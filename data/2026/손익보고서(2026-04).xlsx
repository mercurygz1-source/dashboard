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원가손익\202605\00_보고서\"/>
    </mc:Choice>
  </mc:AlternateContent>
  <xr:revisionPtr revIDLastSave="0" documentId="13_ncr:1_{03CE1D49-94EA-47E8-8B72-9EE9A2E4F3F0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레미콘 영업이익" sheetId="37" r:id="rId3"/>
    <sheet name="사업장별(당월)" sheetId="2" r:id="rId4"/>
    <sheet name="사업장별(누계)" sheetId="38" r:id="rId5"/>
    <sheet name="영업이익" sheetId="25" r:id="rId6"/>
    <sheet name="공헌이익" sheetId="26" r:id="rId7"/>
    <sheet name="재료비단가" sheetId="27" r:id="rId8"/>
    <sheet name="원단위" sheetId="28" r:id="rId9"/>
    <sheet name="건자재" sheetId="3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9" hidden="1">{"Header",#N/A,TRUE,"Summary";"ProjectInfo",#N/A,TRUE,"Total Value"}</definedName>
    <definedName name="edsd" localSheetId="6" hidden="1">{"Header",#N/A,TRUE,"Summary";"ProjectInfo",#N/A,TRUE,"Total Value"}</definedName>
    <definedName name="edsd" localSheetId="5" hidden="1">{"Header",#N/A,TRUE,"Summary";"ProjectInfo",#N/A,TRUE,"Total Value"}</definedName>
    <definedName name="edsd" localSheetId="8" hidden="1">{"Header",#N/A,TRUE,"Summary";"ProjectInfo",#N/A,TRUE,"Total Value"}</definedName>
    <definedName name="edsd" localSheetId="7" hidden="1">{"Header",#N/A,TRUE,"Summary";"ProjectInfo",#N/A,TRUE,"Total Value"}</definedName>
    <definedName name="edsd" hidden="1">{"Header",#N/A,TRUE,"Summary";"ProjectInfo",#N/A,TRUE,"Total Value"}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9" hidden="1">{"Header",#N/A,TRUE,"Summary";"ProjectInfo",#N/A,TRUE,"Total Value"}</definedName>
    <definedName name="jijk" localSheetId="6" hidden="1">{"Header",#N/A,TRUE,"Summary";"ProjectInfo",#N/A,TRUE,"Total Value"}</definedName>
    <definedName name="jijk" localSheetId="5" hidden="1">{"Header",#N/A,TRUE,"Summary";"ProjectInfo",#N/A,TRUE,"Total Value"}</definedName>
    <definedName name="jijk" localSheetId="8" hidden="1">{"Header",#N/A,TRUE,"Summary";"ProjectInfo",#N/A,TRUE,"Total Value"}</definedName>
    <definedName name="jijk" localSheetId="7" hidden="1">{"Header",#N/A,TRUE,"Summary";"ProjectInfo",#N/A,TRUE,"Total Value"}</definedName>
    <definedName name="jijk" hidden="1">{"Header",#N/A,TRUE,"Summary";"ProjectInfo",#N/A,TRUE,"Total Value"}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9">건자재!$D$6:$O$35</definedName>
    <definedName name="_xlnm.Print_Area" localSheetId="6">공헌이익!$D$4:$V$29</definedName>
    <definedName name="_xlnm.Print_Area" localSheetId="2">'레미콘 영업이익'!$H$3:$AC$28</definedName>
    <definedName name="_xlnm.Print_Area" localSheetId="4">'사업장별(누계)'!$H$3:$AG$44</definedName>
    <definedName name="_xlnm.Print_Area" localSheetId="3">'사업장별(당월)'!$H$3:$AG$44</definedName>
    <definedName name="_xlnm.Print_Area" localSheetId="1">손익총괄!$C$3:$X$37</definedName>
    <definedName name="_xlnm.Print_Area" localSheetId="5">영업이익!$D$4:$W$29</definedName>
    <definedName name="_xlnm.Print_Area" localSheetId="8">원단위!$D$4:$V$29</definedName>
    <definedName name="_xlnm.Print_Area" localSheetId="7">재료비단가!$D$4:$V$29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9" hidden="1">{"Header",#N/A,TRUE,"Summary";"ProjectInfo",#N/A,TRUE,"Total Value"}</definedName>
    <definedName name="w" localSheetId="6" hidden="1">{"Header",#N/A,TRUE,"Summary";"ProjectInfo",#N/A,TRUE,"Total Value"}</definedName>
    <definedName name="w" localSheetId="5" hidden="1">{"Header",#N/A,TRUE,"Summary";"ProjectInfo",#N/A,TRUE,"Total Value"}</definedName>
    <definedName name="w" localSheetId="8" hidden="1">{"Header",#N/A,TRUE,"Summary";"ProjectInfo",#N/A,TRUE,"Total Value"}</definedName>
    <definedName name="w" localSheetId="7" hidden="1">{"Header",#N/A,TRUE,"Summary";"ProjectInfo",#N/A,TRUE,"Total Value"}</definedName>
    <definedName name="w" hidden="1">{"Header",#N/A,TRUE,"Summary";"ProjectInfo",#N/A,TRUE,"Total Value"}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9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hidden="1">{"Header",#N/A,TRUE,"Summary";"ProjectInfo",#N/A,TRUE,"Total Value"}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9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9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7" hidden="1">{"Header",#N/A,TRUE,"Summary";"ProjectInfo",#N/A,TRUE,"Total Value"}</definedName>
    <definedName name="ㅈㅇ" hidden="1">{"Header",#N/A,TRUE,"Summary";"ProjectInfo",#N/A,TRUE,"Total Value"}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C35" i="2" l="1"/>
  <c r="AC34" i="2"/>
  <c r="AC33" i="2"/>
  <c r="AA35" i="2"/>
  <c r="AA34" i="2"/>
  <c r="AA33" i="2"/>
  <c r="AC30" i="2" l="1"/>
  <c r="AC31" i="2"/>
  <c r="AC36" i="2" l="1"/>
  <c r="AC32" i="2"/>
  <c r="Z35" i="2" l="1"/>
  <c r="Z34" i="2"/>
  <c r="Z33" i="2"/>
  <c r="Z36" i="2" l="1"/>
  <c r="Z32" i="2"/>
  <c r="Z31" i="2"/>
  <c r="Z30" i="2"/>
  <c r="L33" i="34" l="1"/>
  <c r="G33" i="34"/>
  <c r="N29" i="34"/>
  <c r="L29" i="34"/>
  <c r="I29" i="34"/>
  <c r="G29" i="34"/>
  <c r="N25" i="34"/>
  <c r="L25" i="34"/>
  <c r="I25" i="34"/>
  <c r="G25" i="34"/>
  <c r="N24" i="34"/>
  <c r="L24" i="34"/>
  <c r="I24" i="34"/>
  <c r="G24" i="34"/>
  <c r="N16" i="34"/>
  <c r="L16" i="34"/>
  <c r="I16" i="34"/>
  <c r="G16" i="34"/>
  <c r="N15" i="34"/>
  <c r="L15" i="34"/>
  <c r="I15" i="34"/>
  <c r="G15" i="34"/>
  <c r="N13" i="34"/>
  <c r="L13" i="34"/>
  <c r="I13" i="34"/>
  <c r="G13" i="34"/>
  <c r="N12" i="34"/>
  <c r="L12" i="34"/>
  <c r="I12" i="34"/>
  <c r="G12" i="34"/>
  <c r="N10" i="34"/>
  <c r="L10" i="34"/>
  <c r="I10" i="34"/>
  <c r="G10" i="34"/>
  <c r="AJ39" i="38"/>
  <c r="AJ41" i="38" s="1"/>
  <c r="AD27" i="38"/>
  <c r="AC27" i="38"/>
  <c r="AB27" i="38"/>
  <c r="AA27" i="38"/>
  <c r="Z27" i="38"/>
  <c r="Y27" i="38"/>
  <c r="AD26" i="38"/>
  <c r="AC26" i="38"/>
  <c r="AB26" i="38"/>
  <c r="AA26" i="38"/>
  <c r="Z26" i="38"/>
  <c r="Y26" i="38"/>
  <c r="AD25" i="38"/>
  <c r="AC25" i="38"/>
  <c r="AB25" i="38"/>
  <c r="AA25" i="38"/>
  <c r="Z25" i="38"/>
  <c r="Y25" i="38"/>
  <c r="AD24" i="38"/>
  <c r="AC24" i="38"/>
  <c r="AB24" i="38"/>
  <c r="AA24" i="38"/>
  <c r="Z24" i="38"/>
  <c r="Y24" i="38"/>
  <c r="AD23" i="38"/>
  <c r="AC23" i="38"/>
  <c r="AB23" i="38"/>
  <c r="AA23" i="38"/>
  <c r="Z23" i="38"/>
  <c r="Y23" i="38"/>
  <c r="AD22" i="38"/>
  <c r="AC22" i="38"/>
  <c r="AB22" i="38"/>
  <c r="AA22" i="38"/>
  <c r="Z22" i="38"/>
  <c r="Y22" i="38"/>
  <c r="AD21" i="38"/>
  <c r="AC21" i="38"/>
  <c r="AB21" i="38"/>
  <c r="AA21" i="38"/>
  <c r="Z21" i="38"/>
  <c r="Y21" i="38"/>
  <c r="AD20" i="38"/>
  <c r="AC20" i="38"/>
  <c r="AB20" i="38"/>
  <c r="AA20" i="38"/>
  <c r="Z20" i="38"/>
  <c r="Y20" i="38"/>
  <c r="AD19" i="38"/>
  <c r="AC19" i="38"/>
  <c r="AB19" i="38"/>
  <c r="AA19" i="38"/>
  <c r="Z19" i="38"/>
  <c r="Y19" i="38"/>
  <c r="AD18" i="38"/>
  <c r="AC18" i="38"/>
  <c r="AB18" i="38"/>
  <c r="AA18" i="38"/>
  <c r="Z18" i="38"/>
  <c r="Y18" i="38"/>
  <c r="AD17" i="38"/>
  <c r="AC17" i="38"/>
  <c r="AB17" i="38"/>
  <c r="AA17" i="38"/>
  <c r="Z17" i="38"/>
  <c r="Y17" i="38"/>
  <c r="AD16" i="38"/>
  <c r="AC16" i="38"/>
  <c r="AB16" i="38"/>
  <c r="AA16" i="38"/>
  <c r="Z16" i="38"/>
  <c r="Y16" i="38"/>
  <c r="AD15" i="38"/>
  <c r="AC15" i="38"/>
  <c r="AB15" i="38"/>
  <c r="AA15" i="38"/>
  <c r="Z15" i="38"/>
  <c r="Y15" i="38"/>
  <c r="AD14" i="38"/>
  <c r="AC14" i="38"/>
  <c r="AB14" i="38"/>
  <c r="AA14" i="38"/>
  <c r="Z14" i="38"/>
  <c r="Y14" i="38"/>
  <c r="AD13" i="38"/>
  <c r="AC13" i="38"/>
  <c r="AB13" i="38"/>
  <c r="AA13" i="38"/>
  <c r="Z13" i="38"/>
  <c r="Y13" i="38"/>
  <c r="AD12" i="38"/>
  <c r="AC12" i="38"/>
  <c r="AB12" i="38"/>
  <c r="AA12" i="38"/>
  <c r="Z12" i="38"/>
  <c r="Y12" i="38"/>
  <c r="AD11" i="38"/>
  <c r="AC11" i="38"/>
  <c r="AB11" i="38"/>
  <c r="AA11" i="38"/>
  <c r="Z11" i="38"/>
  <c r="Y11" i="38"/>
  <c r="AD10" i="38"/>
  <c r="AC10" i="38"/>
  <c r="AB10" i="38"/>
  <c r="AA10" i="38"/>
  <c r="Z10" i="38"/>
  <c r="Y10" i="38"/>
  <c r="AD9" i="38"/>
  <c r="AC9" i="38"/>
  <c r="AB9" i="38"/>
  <c r="AA9" i="38"/>
  <c r="Z9" i="38"/>
  <c r="Y9" i="38"/>
  <c r="AD8" i="38"/>
  <c r="AC8" i="38"/>
  <c r="AB8" i="38"/>
  <c r="AA8" i="38"/>
  <c r="Z8" i="38"/>
  <c r="Y8" i="38"/>
  <c r="AD7" i="38"/>
  <c r="AC7" i="38"/>
  <c r="AB7" i="38"/>
  <c r="AA7" i="38"/>
  <c r="Z7" i="38"/>
  <c r="Y7" i="38"/>
  <c r="W48" i="38"/>
  <c r="U48" i="38"/>
  <c r="T48" i="38"/>
  <c r="R48" i="38"/>
  <c r="P48" i="38"/>
  <c r="O48" i="38"/>
  <c r="M48" i="38"/>
  <c r="K48" i="38"/>
  <c r="J48" i="38"/>
  <c r="W43" i="38"/>
  <c r="U43" i="38"/>
  <c r="T43" i="38"/>
  <c r="R43" i="38"/>
  <c r="P43" i="38"/>
  <c r="O43" i="38"/>
  <c r="M43" i="38"/>
  <c r="K43" i="38"/>
  <c r="J43" i="38"/>
  <c r="W39" i="38"/>
  <c r="R39" i="38"/>
  <c r="P39" i="38"/>
  <c r="O39" i="38"/>
  <c r="U38" i="38"/>
  <c r="U39" i="38" s="1"/>
  <c r="W37" i="38"/>
  <c r="U37" i="38"/>
  <c r="T37" i="38"/>
  <c r="R37" i="38"/>
  <c r="W36" i="38"/>
  <c r="U36" i="38"/>
  <c r="W35" i="38"/>
  <c r="U35" i="38"/>
  <c r="T35" i="38"/>
  <c r="T39" i="38" s="1"/>
  <c r="W34" i="38"/>
  <c r="U34" i="38"/>
  <c r="T34" i="38"/>
  <c r="W33" i="38"/>
  <c r="U33" i="38"/>
  <c r="T33" i="38"/>
  <c r="R33" i="38"/>
  <c r="P33" i="38"/>
  <c r="O33" i="38"/>
  <c r="W32" i="38"/>
  <c r="U32" i="38"/>
  <c r="T32" i="38"/>
  <c r="R32" i="38"/>
  <c r="P32" i="38"/>
  <c r="O32" i="38"/>
  <c r="W30" i="38"/>
  <c r="U30" i="38"/>
  <c r="T30" i="38"/>
  <c r="R30" i="38"/>
  <c r="P30" i="38"/>
  <c r="O30" i="38"/>
  <c r="M30" i="38"/>
  <c r="K30" i="38"/>
  <c r="J30" i="38"/>
  <c r="W29" i="38"/>
  <c r="U29" i="38"/>
  <c r="T29" i="38"/>
  <c r="R29" i="38"/>
  <c r="P29" i="38"/>
  <c r="O29" i="38"/>
  <c r="M29" i="38"/>
  <c r="K29" i="38"/>
  <c r="J29" i="38"/>
  <c r="W28" i="38"/>
  <c r="U28" i="38"/>
  <c r="T28" i="38"/>
  <c r="R28" i="38"/>
  <c r="P28" i="38"/>
  <c r="O28" i="38"/>
  <c r="M28" i="38"/>
  <c r="K28" i="38"/>
  <c r="J28" i="38"/>
  <c r="W23" i="38"/>
  <c r="U23" i="38"/>
  <c r="T23" i="38"/>
  <c r="R23" i="38"/>
  <c r="P23" i="38"/>
  <c r="O23" i="38"/>
  <c r="M23" i="38"/>
  <c r="K23" i="38"/>
  <c r="J23" i="38"/>
  <c r="W22" i="38"/>
  <c r="U22" i="38"/>
  <c r="T22" i="38"/>
  <c r="R22" i="38"/>
  <c r="P22" i="38"/>
  <c r="O22" i="38"/>
  <c r="M22" i="38"/>
  <c r="K22" i="38"/>
  <c r="J22" i="38"/>
  <c r="W21" i="38"/>
  <c r="U21" i="38"/>
  <c r="T21" i="38"/>
  <c r="R21" i="38"/>
  <c r="P21" i="38"/>
  <c r="O21" i="38"/>
  <c r="M21" i="38"/>
  <c r="K21" i="38"/>
  <c r="J21" i="38"/>
  <c r="W20" i="38"/>
  <c r="U20" i="38"/>
  <c r="T20" i="38"/>
  <c r="R20" i="38"/>
  <c r="P20" i="38"/>
  <c r="O20" i="38"/>
  <c r="M20" i="38"/>
  <c r="K20" i="38"/>
  <c r="J20" i="38"/>
  <c r="W19" i="38"/>
  <c r="U19" i="38"/>
  <c r="T19" i="38"/>
  <c r="R19" i="38"/>
  <c r="P19" i="38"/>
  <c r="O19" i="38"/>
  <c r="M19" i="38"/>
  <c r="K19" i="38"/>
  <c r="J19" i="38"/>
  <c r="W18" i="38"/>
  <c r="U18" i="38"/>
  <c r="T18" i="38"/>
  <c r="R18" i="38"/>
  <c r="P18" i="38"/>
  <c r="O18" i="38"/>
  <c r="M18" i="38"/>
  <c r="K18" i="38"/>
  <c r="J18" i="38"/>
  <c r="W17" i="38"/>
  <c r="U17" i="38"/>
  <c r="T17" i="38"/>
  <c r="R17" i="38"/>
  <c r="P17" i="38"/>
  <c r="O17" i="38"/>
  <c r="M17" i="38"/>
  <c r="K17" i="38"/>
  <c r="J17" i="38"/>
  <c r="W16" i="38"/>
  <c r="U16" i="38"/>
  <c r="T16" i="38"/>
  <c r="R16" i="38"/>
  <c r="P16" i="38"/>
  <c r="O16" i="38"/>
  <c r="M16" i="38"/>
  <c r="K16" i="38"/>
  <c r="J16" i="38"/>
  <c r="W15" i="38"/>
  <c r="U15" i="38"/>
  <c r="T15" i="38"/>
  <c r="R15" i="38"/>
  <c r="P15" i="38"/>
  <c r="O15" i="38"/>
  <c r="M15" i="38"/>
  <c r="K15" i="38"/>
  <c r="J15" i="38"/>
  <c r="W14" i="38"/>
  <c r="U14" i="38"/>
  <c r="T14" i="38"/>
  <c r="R14" i="38"/>
  <c r="P14" i="38"/>
  <c r="O14" i="38"/>
  <c r="M14" i="38"/>
  <c r="K14" i="38"/>
  <c r="J14" i="38"/>
  <c r="W13" i="38"/>
  <c r="U13" i="38"/>
  <c r="T13" i="38"/>
  <c r="R13" i="38"/>
  <c r="P13" i="38"/>
  <c r="O13" i="38"/>
  <c r="M13" i="38"/>
  <c r="K13" i="38"/>
  <c r="J13" i="38"/>
  <c r="W12" i="38"/>
  <c r="U12" i="38"/>
  <c r="T12" i="38"/>
  <c r="R12" i="38"/>
  <c r="P12" i="38"/>
  <c r="O12" i="38"/>
  <c r="M12" i="38"/>
  <c r="K12" i="38"/>
  <c r="J12" i="38"/>
  <c r="W11" i="38"/>
  <c r="U11" i="38"/>
  <c r="T11" i="38"/>
  <c r="R11" i="38"/>
  <c r="P11" i="38"/>
  <c r="O11" i="38"/>
  <c r="M11" i="38"/>
  <c r="K11" i="38"/>
  <c r="J11" i="38"/>
  <c r="W10" i="38"/>
  <c r="U10" i="38"/>
  <c r="T10" i="38"/>
  <c r="R10" i="38"/>
  <c r="P10" i="38"/>
  <c r="O10" i="38"/>
  <c r="M10" i="38"/>
  <c r="K10" i="38"/>
  <c r="J10" i="38"/>
  <c r="W9" i="38"/>
  <c r="U9" i="38"/>
  <c r="T9" i="38"/>
  <c r="R9" i="38"/>
  <c r="P9" i="38"/>
  <c r="O9" i="38"/>
  <c r="M9" i="38"/>
  <c r="K9" i="38"/>
  <c r="J9" i="38"/>
  <c r="W8" i="38"/>
  <c r="U8" i="38"/>
  <c r="T8" i="38"/>
  <c r="R8" i="38"/>
  <c r="P8" i="38"/>
  <c r="O8" i="38"/>
  <c r="M8" i="38"/>
  <c r="K8" i="38"/>
  <c r="J8" i="38"/>
  <c r="W7" i="38"/>
  <c r="U7" i="38"/>
  <c r="T7" i="38"/>
  <c r="R7" i="38"/>
  <c r="P7" i="38"/>
  <c r="O7" i="38"/>
  <c r="M7" i="38"/>
  <c r="K7" i="38"/>
  <c r="J7" i="38"/>
  <c r="W48" i="2"/>
  <c r="U48" i="2"/>
  <c r="T48" i="2"/>
  <c r="R48" i="2"/>
  <c r="P48" i="2"/>
  <c r="O48" i="2"/>
  <c r="M48" i="2"/>
  <c r="K48" i="2"/>
  <c r="J48" i="2"/>
  <c r="W43" i="2"/>
  <c r="U43" i="2"/>
  <c r="T43" i="2"/>
  <c r="R43" i="2"/>
  <c r="P43" i="2"/>
  <c r="O43" i="2"/>
  <c r="M43" i="2"/>
  <c r="K43" i="2"/>
  <c r="J43" i="2"/>
  <c r="W39" i="2"/>
  <c r="R39" i="2"/>
  <c r="P39" i="2"/>
  <c r="O39" i="2"/>
  <c r="U38" i="2"/>
  <c r="U39" i="2" s="1"/>
  <c r="W37" i="2"/>
  <c r="U37" i="2"/>
  <c r="T37" i="2"/>
  <c r="R37" i="2"/>
  <c r="W36" i="2"/>
  <c r="U36" i="2"/>
  <c r="W35" i="2"/>
  <c r="U35" i="2"/>
  <c r="T35" i="2"/>
  <c r="T39" i="2" s="1"/>
  <c r="W34" i="2"/>
  <c r="U34" i="2"/>
  <c r="T34" i="2"/>
  <c r="W33" i="2"/>
  <c r="U33" i="2"/>
  <c r="T33" i="2"/>
  <c r="R33" i="2"/>
  <c r="P33" i="2"/>
  <c r="O33" i="2"/>
  <c r="W32" i="2"/>
  <c r="U32" i="2"/>
  <c r="T32" i="2"/>
  <c r="R32" i="2"/>
  <c r="P32" i="2"/>
  <c r="O32" i="2"/>
  <c r="W30" i="2"/>
  <c r="U30" i="2"/>
  <c r="T30" i="2"/>
  <c r="R30" i="2"/>
  <c r="P30" i="2"/>
  <c r="O30" i="2"/>
  <c r="M30" i="2"/>
  <c r="K30" i="2"/>
  <c r="J30" i="2"/>
  <c r="W29" i="2"/>
  <c r="U29" i="2"/>
  <c r="T29" i="2"/>
  <c r="R29" i="2"/>
  <c r="P29" i="2"/>
  <c r="O29" i="2"/>
  <c r="M29" i="2"/>
  <c r="K29" i="2"/>
  <c r="J29" i="2"/>
  <c r="W28" i="2"/>
  <c r="U28" i="2"/>
  <c r="T28" i="2"/>
  <c r="R28" i="2"/>
  <c r="P28" i="2"/>
  <c r="O28" i="2"/>
  <c r="M28" i="2"/>
  <c r="K28" i="2"/>
  <c r="J28" i="2"/>
  <c r="W23" i="2"/>
  <c r="U23" i="2"/>
  <c r="T23" i="2"/>
  <c r="R23" i="2"/>
  <c r="P23" i="2"/>
  <c r="O23" i="2"/>
  <c r="M23" i="2"/>
  <c r="K23" i="2"/>
  <c r="J23" i="2"/>
  <c r="W22" i="2"/>
  <c r="U22" i="2"/>
  <c r="T22" i="2"/>
  <c r="R22" i="2"/>
  <c r="P22" i="2"/>
  <c r="O22" i="2"/>
  <c r="M22" i="2"/>
  <c r="K22" i="2"/>
  <c r="J22" i="2"/>
  <c r="W21" i="2"/>
  <c r="U21" i="2"/>
  <c r="T21" i="2"/>
  <c r="R21" i="2"/>
  <c r="P21" i="2"/>
  <c r="O21" i="2"/>
  <c r="M21" i="2"/>
  <c r="K21" i="2"/>
  <c r="J21" i="2"/>
  <c r="W20" i="2"/>
  <c r="U20" i="2"/>
  <c r="T20" i="2"/>
  <c r="R20" i="2"/>
  <c r="P20" i="2"/>
  <c r="O20" i="2"/>
  <c r="M20" i="2"/>
  <c r="K20" i="2"/>
  <c r="J20" i="2"/>
  <c r="W19" i="2"/>
  <c r="U19" i="2"/>
  <c r="T19" i="2"/>
  <c r="R19" i="2"/>
  <c r="P19" i="2"/>
  <c r="O19" i="2"/>
  <c r="M19" i="2"/>
  <c r="K19" i="2"/>
  <c r="J19" i="2"/>
  <c r="W18" i="2"/>
  <c r="U18" i="2"/>
  <c r="T18" i="2"/>
  <c r="R18" i="2"/>
  <c r="P18" i="2"/>
  <c r="O18" i="2"/>
  <c r="M18" i="2"/>
  <c r="K18" i="2"/>
  <c r="J18" i="2"/>
  <c r="W17" i="2"/>
  <c r="U17" i="2"/>
  <c r="T17" i="2"/>
  <c r="R17" i="2"/>
  <c r="P17" i="2"/>
  <c r="O17" i="2"/>
  <c r="M17" i="2"/>
  <c r="K17" i="2"/>
  <c r="J17" i="2"/>
  <c r="W16" i="2"/>
  <c r="U16" i="2"/>
  <c r="T16" i="2"/>
  <c r="R16" i="2"/>
  <c r="P16" i="2"/>
  <c r="O16" i="2"/>
  <c r="M16" i="2"/>
  <c r="K16" i="2"/>
  <c r="J16" i="2"/>
  <c r="W15" i="2"/>
  <c r="U15" i="2"/>
  <c r="T15" i="2"/>
  <c r="R15" i="2"/>
  <c r="P15" i="2"/>
  <c r="O15" i="2"/>
  <c r="M15" i="2"/>
  <c r="K15" i="2"/>
  <c r="J15" i="2"/>
  <c r="W14" i="2"/>
  <c r="U14" i="2"/>
  <c r="T14" i="2"/>
  <c r="R14" i="2"/>
  <c r="P14" i="2"/>
  <c r="O14" i="2"/>
  <c r="M14" i="2"/>
  <c r="K14" i="2"/>
  <c r="J14" i="2"/>
  <c r="W13" i="2"/>
  <c r="U13" i="2"/>
  <c r="T13" i="2"/>
  <c r="R13" i="2"/>
  <c r="P13" i="2"/>
  <c r="O13" i="2"/>
  <c r="M13" i="2"/>
  <c r="K13" i="2"/>
  <c r="J13" i="2"/>
  <c r="W12" i="2"/>
  <c r="U12" i="2"/>
  <c r="T12" i="2"/>
  <c r="R12" i="2"/>
  <c r="P12" i="2"/>
  <c r="O12" i="2"/>
  <c r="M12" i="2"/>
  <c r="K12" i="2"/>
  <c r="J12" i="2"/>
  <c r="W11" i="2"/>
  <c r="U11" i="2"/>
  <c r="T11" i="2"/>
  <c r="R11" i="2"/>
  <c r="P11" i="2"/>
  <c r="O11" i="2"/>
  <c r="M11" i="2"/>
  <c r="K11" i="2"/>
  <c r="J11" i="2"/>
  <c r="W10" i="2"/>
  <c r="U10" i="2"/>
  <c r="T10" i="2"/>
  <c r="R10" i="2"/>
  <c r="P10" i="2"/>
  <c r="O10" i="2"/>
  <c r="M10" i="2"/>
  <c r="K10" i="2"/>
  <c r="J10" i="2"/>
  <c r="W9" i="2"/>
  <c r="U9" i="2"/>
  <c r="T9" i="2"/>
  <c r="R9" i="2"/>
  <c r="P9" i="2"/>
  <c r="O9" i="2"/>
  <c r="M9" i="2"/>
  <c r="K9" i="2"/>
  <c r="J9" i="2"/>
  <c r="W8" i="2"/>
  <c r="U8" i="2"/>
  <c r="T8" i="2"/>
  <c r="R8" i="2"/>
  <c r="P8" i="2"/>
  <c r="O8" i="2"/>
  <c r="M8" i="2"/>
  <c r="K8" i="2"/>
  <c r="J8" i="2"/>
  <c r="W7" i="2"/>
  <c r="U7" i="2"/>
  <c r="T7" i="2"/>
  <c r="R7" i="2"/>
  <c r="P7" i="2"/>
  <c r="O7" i="2"/>
  <c r="M7" i="2"/>
  <c r="K7" i="2"/>
  <c r="J7" i="2"/>
  <c r="AJ39" i="2"/>
  <c r="Z38" i="2"/>
  <c r="AO27" i="2"/>
  <c r="AD27" i="2"/>
  <c r="AC27" i="2"/>
  <c r="AB27" i="2"/>
  <c r="AA27" i="2"/>
  <c r="Z27" i="2"/>
  <c r="Y27" i="2"/>
  <c r="AO26" i="2"/>
  <c r="AD26" i="2"/>
  <c r="AC26" i="2"/>
  <c r="AB26" i="2"/>
  <c r="AA26" i="2"/>
  <c r="Z26" i="2"/>
  <c r="Y26" i="2"/>
  <c r="AO25" i="2"/>
  <c r="AD25" i="2"/>
  <c r="AC25" i="2"/>
  <c r="AB25" i="2"/>
  <c r="AA25" i="2"/>
  <c r="Z25" i="2"/>
  <c r="Y25" i="2"/>
  <c r="AO24" i="2"/>
  <c r="AD24" i="2"/>
  <c r="AC24" i="2"/>
  <c r="AB24" i="2"/>
  <c r="AA24" i="2"/>
  <c r="Z24" i="2"/>
  <c r="Y24" i="2"/>
  <c r="AO23" i="2"/>
  <c r="AD23" i="2"/>
  <c r="AC23" i="2"/>
  <c r="AB23" i="2"/>
  <c r="AA23" i="2"/>
  <c r="Z23" i="2"/>
  <c r="Y23" i="2"/>
  <c r="AO22" i="2"/>
  <c r="AD22" i="2"/>
  <c r="AC22" i="2"/>
  <c r="AB22" i="2"/>
  <c r="AA22" i="2"/>
  <c r="Z22" i="2"/>
  <c r="Y22" i="2"/>
  <c r="AO21" i="2"/>
  <c r="AD21" i="2"/>
  <c r="AC21" i="2"/>
  <c r="AB21" i="2"/>
  <c r="AA21" i="2"/>
  <c r="Z21" i="2"/>
  <c r="Y21" i="2"/>
  <c r="AO20" i="2"/>
  <c r="AD20" i="2"/>
  <c r="AC20" i="2"/>
  <c r="AB20" i="2"/>
  <c r="AA20" i="2"/>
  <c r="Z20" i="2"/>
  <c r="Y20" i="2"/>
  <c r="AO19" i="2"/>
  <c r="AD19" i="2"/>
  <c r="AC19" i="2"/>
  <c r="AB19" i="2"/>
  <c r="AA19" i="2"/>
  <c r="Z19" i="2"/>
  <c r="Y19" i="2"/>
  <c r="AO18" i="2"/>
  <c r="AD18" i="2"/>
  <c r="AC18" i="2"/>
  <c r="AB18" i="2"/>
  <c r="AA18" i="2"/>
  <c r="Z18" i="2"/>
  <c r="Y18" i="2"/>
  <c r="AO17" i="2"/>
  <c r="AD17" i="2"/>
  <c r="AC17" i="2"/>
  <c r="AB17" i="2"/>
  <c r="AA17" i="2"/>
  <c r="Z17" i="2"/>
  <c r="Y17" i="2"/>
  <c r="AO16" i="2"/>
  <c r="AD16" i="2"/>
  <c r="AC16" i="2"/>
  <c r="AB16" i="2"/>
  <c r="AA16" i="2"/>
  <c r="Z16" i="2"/>
  <c r="Y16" i="2"/>
  <c r="AO15" i="2"/>
  <c r="AD15" i="2"/>
  <c r="AC15" i="2"/>
  <c r="AB15" i="2"/>
  <c r="AA15" i="2"/>
  <c r="Z15" i="2"/>
  <c r="Y15" i="2"/>
  <c r="AO14" i="2"/>
  <c r="AD14" i="2"/>
  <c r="AC14" i="2"/>
  <c r="AB14" i="2"/>
  <c r="AA14" i="2"/>
  <c r="Z14" i="2"/>
  <c r="Y14" i="2"/>
  <c r="AO13" i="2"/>
  <c r="AD13" i="2"/>
  <c r="AC13" i="2"/>
  <c r="AB13" i="2"/>
  <c r="AA13" i="2"/>
  <c r="Z13" i="2"/>
  <c r="Y13" i="2"/>
  <c r="AO12" i="2"/>
  <c r="AD12" i="2"/>
  <c r="AC12" i="2"/>
  <c r="AB12" i="2"/>
  <c r="AA12" i="2"/>
  <c r="Z12" i="2"/>
  <c r="Y12" i="2"/>
  <c r="AO11" i="2"/>
  <c r="AD11" i="2"/>
  <c r="AC11" i="2"/>
  <c r="AB11" i="2"/>
  <c r="AA11" i="2"/>
  <c r="Z11" i="2"/>
  <c r="Y11" i="2"/>
  <c r="AO10" i="2"/>
  <c r="AD10" i="2"/>
  <c r="AC10" i="2"/>
  <c r="AB10" i="2"/>
  <c r="AA10" i="2"/>
  <c r="Z10" i="2"/>
  <c r="Y10" i="2"/>
  <c r="AO9" i="2"/>
  <c r="AD9" i="2"/>
  <c r="AC9" i="2"/>
  <c r="AB9" i="2"/>
  <c r="AA9" i="2"/>
  <c r="Z9" i="2"/>
  <c r="Y9" i="2"/>
  <c r="AO8" i="2"/>
  <c r="AD8" i="2"/>
  <c r="AC8" i="2"/>
  <c r="AB8" i="2"/>
  <c r="AA8" i="2"/>
  <c r="Z8" i="2"/>
  <c r="Y8" i="2"/>
  <c r="AO7" i="2"/>
  <c r="AD7" i="2"/>
  <c r="AC7" i="2"/>
  <c r="AB7" i="2"/>
  <c r="AA7" i="2"/>
  <c r="Z7" i="2"/>
  <c r="Y7" i="2"/>
  <c r="V24" i="1"/>
  <c r="V23" i="1"/>
  <c r="T24" i="1"/>
  <c r="S24" i="1"/>
  <c r="T23" i="1"/>
  <c r="S23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V37" i="1" l="1"/>
  <c r="T37" i="1"/>
  <c r="S37" i="1"/>
  <c r="V36" i="1"/>
  <c r="T36" i="1"/>
  <c r="S36" i="1"/>
  <c r="M39" i="1"/>
  <c r="K39" i="1"/>
  <c r="J39" i="1"/>
  <c r="H39" i="1"/>
  <c r="F39" i="1"/>
  <c r="E39" i="1"/>
  <c r="M36" i="1"/>
  <c r="K36" i="1"/>
  <c r="J36" i="1"/>
  <c r="H36" i="1"/>
  <c r="F36" i="1"/>
  <c r="M34" i="1"/>
  <c r="K34" i="1"/>
  <c r="J34" i="1"/>
  <c r="H34" i="1"/>
  <c r="F34" i="1"/>
  <c r="M33" i="1"/>
  <c r="K33" i="1"/>
  <c r="J33" i="1"/>
  <c r="H33" i="1"/>
  <c r="F33" i="1"/>
  <c r="M32" i="1"/>
  <c r="K32" i="1"/>
  <c r="J32" i="1"/>
  <c r="H32" i="1"/>
  <c r="F32" i="1"/>
  <c r="J23" i="1"/>
  <c r="E23" i="1"/>
  <c r="M22" i="1"/>
  <c r="K22" i="1"/>
  <c r="J22" i="1"/>
  <c r="H22" i="1"/>
  <c r="H23" i="1" s="1"/>
  <c r="F22" i="1"/>
  <c r="E22" i="1"/>
  <c r="M21" i="1"/>
  <c r="M23" i="1" s="1"/>
  <c r="K21" i="1"/>
  <c r="J21" i="1"/>
  <c r="H21" i="1"/>
  <c r="F21" i="1"/>
  <c r="E21" i="1"/>
  <c r="K15" i="1"/>
  <c r="J15" i="1"/>
  <c r="F15" i="1"/>
  <c r="E15" i="1"/>
  <c r="M14" i="1"/>
  <c r="K14" i="1"/>
  <c r="J14" i="1"/>
  <c r="H14" i="1"/>
  <c r="F14" i="1"/>
  <c r="E14" i="1"/>
  <c r="M13" i="1"/>
  <c r="M15" i="1" s="1"/>
  <c r="K13" i="1"/>
  <c r="J13" i="1"/>
  <c r="H13" i="1"/>
  <c r="H15" i="1" s="1"/>
  <c r="F13" i="1"/>
  <c r="E13" i="1"/>
  <c r="K11" i="1"/>
  <c r="F11" i="1"/>
  <c r="M10" i="1"/>
  <c r="K10" i="1"/>
  <c r="J10" i="1"/>
  <c r="H10" i="1"/>
  <c r="F10" i="1"/>
  <c r="E10" i="1"/>
  <c r="M9" i="1"/>
  <c r="M11" i="1" s="1"/>
  <c r="K9" i="1"/>
  <c r="J9" i="1"/>
  <c r="H9" i="1"/>
  <c r="H11" i="1" s="1"/>
  <c r="F9" i="1"/>
  <c r="E9" i="1"/>
  <c r="M8" i="1"/>
  <c r="K8" i="1"/>
  <c r="J8" i="1"/>
  <c r="H8" i="1"/>
  <c r="F8" i="1"/>
  <c r="E8" i="1"/>
  <c r="M7" i="1"/>
  <c r="K7" i="1"/>
  <c r="J7" i="1"/>
  <c r="H7" i="1"/>
  <c r="F7" i="1"/>
  <c r="E7" i="1"/>
  <c r="K23" i="1" l="1"/>
  <c r="J11" i="1"/>
  <c r="F23" i="1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O28" i="26"/>
  <c r="N28" i="26"/>
  <c r="L28" i="26"/>
  <c r="K28" i="26"/>
  <c r="I28" i="26"/>
  <c r="H28" i="26"/>
  <c r="F28" i="26"/>
  <c r="E28" i="26"/>
  <c r="O27" i="26"/>
  <c r="N27" i="26"/>
  <c r="L27" i="26"/>
  <c r="K27" i="26"/>
  <c r="I27" i="26"/>
  <c r="H27" i="26"/>
  <c r="F27" i="26"/>
  <c r="E27" i="26"/>
  <c r="O26" i="26"/>
  <c r="N26" i="26"/>
  <c r="L26" i="26"/>
  <c r="K26" i="26"/>
  <c r="I26" i="26"/>
  <c r="H26" i="26"/>
  <c r="F26" i="26"/>
  <c r="E26" i="26"/>
  <c r="O25" i="26"/>
  <c r="N25" i="26"/>
  <c r="L25" i="26"/>
  <c r="K25" i="26"/>
  <c r="I25" i="26"/>
  <c r="H25" i="26"/>
  <c r="F25" i="26"/>
  <c r="E25" i="26"/>
  <c r="O24" i="26"/>
  <c r="N24" i="26"/>
  <c r="L24" i="26"/>
  <c r="K24" i="26"/>
  <c r="I24" i="26"/>
  <c r="H24" i="26"/>
  <c r="F24" i="26"/>
  <c r="E24" i="26"/>
  <c r="O23" i="26"/>
  <c r="N23" i="26"/>
  <c r="L23" i="26"/>
  <c r="K23" i="26"/>
  <c r="I23" i="26"/>
  <c r="H23" i="26"/>
  <c r="F23" i="26"/>
  <c r="E23" i="26"/>
  <c r="O22" i="26"/>
  <c r="N22" i="26"/>
  <c r="L22" i="26"/>
  <c r="K22" i="26"/>
  <c r="I22" i="26"/>
  <c r="H22" i="26"/>
  <c r="F22" i="26"/>
  <c r="E22" i="26"/>
  <c r="O21" i="26"/>
  <c r="N21" i="26"/>
  <c r="L21" i="26"/>
  <c r="K21" i="26"/>
  <c r="I21" i="26"/>
  <c r="H21" i="26"/>
  <c r="F21" i="26"/>
  <c r="E21" i="26"/>
  <c r="O20" i="26"/>
  <c r="N20" i="26"/>
  <c r="L20" i="26"/>
  <c r="K20" i="26"/>
  <c r="I20" i="26"/>
  <c r="H20" i="26"/>
  <c r="F20" i="26"/>
  <c r="E20" i="26"/>
  <c r="O19" i="26"/>
  <c r="N19" i="26"/>
  <c r="L19" i="26"/>
  <c r="K19" i="26"/>
  <c r="I19" i="26"/>
  <c r="H19" i="26"/>
  <c r="F19" i="26"/>
  <c r="E19" i="26"/>
  <c r="O18" i="26"/>
  <c r="N18" i="26"/>
  <c r="L18" i="26"/>
  <c r="K18" i="26"/>
  <c r="I18" i="26"/>
  <c r="H18" i="26"/>
  <c r="F18" i="26"/>
  <c r="E18" i="26"/>
  <c r="O17" i="26"/>
  <c r="N17" i="26"/>
  <c r="L17" i="26"/>
  <c r="K17" i="26"/>
  <c r="I17" i="26"/>
  <c r="H17" i="26"/>
  <c r="F17" i="26"/>
  <c r="E17" i="26"/>
  <c r="O16" i="26"/>
  <c r="N16" i="26"/>
  <c r="L16" i="26"/>
  <c r="K16" i="26"/>
  <c r="I16" i="26"/>
  <c r="H16" i="26"/>
  <c r="F16" i="26"/>
  <c r="E16" i="26"/>
  <c r="O15" i="26"/>
  <c r="N15" i="26"/>
  <c r="L15" i="26"/>
  <c r="K15" i="26"/>
  <c r="I15" i="26"/>
  <c r="H15" i="26"/>
  <c r="F15" i="26"/>
  <c r="E15" i="26"/>
  <c r="O14" i="26"/>
  <c r="N14" i="26"/>
  <c r="L14" i="26"/>
  <c r="K14" i="26"/>
  <c r="I14" i="26"/>
  <c r="H14" i="26"/>
  <c r="F14" i="26"/>
  <c r="E14" i="26"/>
  <c r="O13" i="26"/>
  <c r="N13" i="26"/>
  <c r="L13" i="26"/>
  <c r="K13" i="26"/>
  <c r="I13" i="26"/>
  <c r="H13" i="26"/>
  <c r="F13" i="26"/>
  <c r="E13" i="26"/>
  <c r="O12" i="26"/>
  <c r="N12" i="26"/>
  <c r="L12" i="26"/>
  <c r="K12" i="26"/>
  <c r="I12" i="26"/>
  <c r="H12" i="26"/>
  <c r="F12" i="26"/>
  <c r="E12" i="26"/>
  <c r="O11" i="26"/>
  <c r="N11" i="26"/>
  <c r="L11" i="26"/>
  <c r="K11" i="26"/>
  <c r="I11" i="26"/>
  <c r="H11" i="26"/>
  <c r="F11" i="26"/>
  <c r="E11" i="26"/>
  <c r="O10" i="26"/>
  <c r="N10" i="26"/>
  <c r="L10" i="26"/>
  <c r="K10" i="26"/>
  <c r="I10" i="26"/>
  <c r="H10" i="26"/>
  <c r="F10" i="26"/>
  <c r="E10" i="26"/>
  <c r="O9" i="26"/>
  <c r="N9" i="26"/>
  <c r="L9" i="26"/>
  <c r="K9" i="26"/>
  <c r="I9" i="26"/>
  <c r="H9" i="26"/>
  <c r="F9" i="26"/>
  <c r="E9" i="26"/>
  <c r="O8" i="26"/>
  <c r="N8" i="26"/>
  <c r="L8" i="26"/>
  <c r="K8" i="26"/>
  <c r="I8" i="26"/>
  <c r="H8" i="26"/>
  <c r="F8" i="26"/>
  <c r="E8" i="26"/>
  <c r="U28" i="27"/>
  <c r="T28" i="27"/>
  <c r="R28" i="27"/>
  <c r="Q28" i="27"/>
  <c r="O28" i="27"/>
  <c r="N28" i="27"/>
  <c r="L28" i="27"/>
  <c r="K28" i="27"/>
  <c r="I28" i="27"/>
  <c r="H28" i="27"/>
  <c r="F28" i="27"/>
  <c r="E28" i="27"/>
  <c r="U27" i="27"/>
  <c r="T27" i="27"/>
  <c r="R27" i="27"/>
  <c r="Q27" i="27"/>
  <c r="O27" i="27"/>
  <c r="N27" i="27"/>
  <c r="L27" i="27"/>
  <c r="K27" i="27"/>
  <c r="I27" i="27"/>
  <c r="H27" i="27"/>
  <c r="F27" i="27"/>
  <c r="E27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U9" i="27"/>
  <c r="T9" i="27"/>
  <c r="R9" i="27"/>
  <c r="Q9" i="27"/>
  <c r="O9" i="27"/>
  <c r="N9" i="27"/>
  <c r="L9" i="27"/>
  <c r="K9" i="27"/>
  <c r="I9" i="27"/>
  <c r="H9" i="27"/>
  <c r="F9" i="27"/>
  <c r="E9" i="27"/>
  <c r="U8" i="27"/>
  <c r="T8" i="27"/>
  <c r="R8" i="27"/>
  <c r="Q8" i="27"/>
  <c r="O8" i="27"/>
  <c r="N8" i="27"/>
  <c r="L8" i="27"/>
  <c r="K8" i="27"/>
  <c r="I8" i="27"/>
  <c r="H8" i="27"/>
  <c r="F8" i="27"/>
  <c r="E8" i="27"/>
  <c r="U28" i="28"/>
  <c r="T28" i="28"/>
  <c r="R28" i="28"/>
  <c r="Q28" i="28"/>
  <c r="O28" i="28"/>
  <c r="N28" i="28"/>
  <c r="L28" i="28"/>
  <c r="K28" i="28"/>
  <c r="I28" i="28"/>
  <c r="H28" i="28"/>
  <c r="F28" i="28"/>
  <c r="E28" i="28"/>
  <c r="U27" i="28"/>
  <c r="T27" i="28"/>
  <c r="R27" i="28"/>
  <c r="Q27" i="28"/>
  <c r="O27" i="28"/>
  <c r="N27" i="28"/>
  <c r="L27" i="28"/>
  <c r="K27" i="28"/>
  <c r="I27" i="28"/>
  <c r="H27" i="28"/>
  <c r="F27" i="28"/>
  <c r="E27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U20" i="28"/>
  <c r="T20" i="28"/>
  <c r="R20" i="28"/>
  <c r="Q20" i="28"/>
  <c r="O20" i="28"/>
  <c r="N20" i="28"/>
  <c r="L20" i="28"/>
  <c r="K20" i="28"/>
  <c r="I20" i="28"/>
  <c r="H20" i="28"/>
  <c r="F20" i="28"/>
  <c r="E20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U14" i="28"/>
  <c r="T14" i="28"/>
  <c r="R14" i="28"/>
  <c r="Q14" i="28"/>
  <c r="O14" i="28"/>
  <c r="N14" i="28"/>
  <c r="L14" i="28"/>
  <c r="K14" i="28"/>
  <c r="I14" i="28"/>
  <c r="H14" i="28"/>
  <c r="F14" i="28"/>
  <c r="E14" i="28"/>
  <c r="U13" i="28"/>
  <c r="T13" i="28"/>
  <c r="R13" i="28"/>
  <c r="Q13" i="28"/>
  <c r="O13" i="28"/>
  <c r="N13" i="28"/>
  <c r="L13" i="28"/>
  <c r="K13" i="28"/>
  <c r="I13" i="28"/>
  <c r="H13" i="28"/>
  <c r="F13" i="28"/>
  <c r="E13" i="28"/>
  <c r="U12" i="28"/>
  <c r="T12" i="28"/>
  <c r="R12" i="28"/>
  <c r="Q12" i="28"/>
  <c r="O12" i="28"/>
  <c r="N12" i="28"/>
  <c r="L12" i="28"/>
  <c r="K12" i="28"/>
  <c r="I12" i="28"/>
  <c r="H12" i="28"/>
  <c r="F12" i="28"/>
  <c r="E12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U9" i="28"/>
  <c r="T9" i="28"/>
  <c r="R9" i="28"/>
  <c r="Q9" i="28"/>
  <c r="O9" i="28"/>
  <c r="N9" i="28"/>
  <c r="L9" i="28"/>
  <c r="K9" i="28"/>
  <c r="I9" i="28"/>
  <c r="H9" i="28"/>
  <c r="F9" i="28"/>
  <c r="E9" i="28"/>
  <c r="U8" i="28"/>
  <c r="T8" i="28"/>
  <c r="R8" i="28"/>
  <c r="Q8" i="28"/>
  <c r="O8" i="28"/>
  <c r="N8" i="28"/>
  <c r="L8" i="28"/>
  <c r="K8" i="28"/>
  <c r="I8" i="28"/>
  <c r="H8" i="28"/>
  <c r="F8" i="28"/>
  <c r="E8" i="28"/>
  <c r="AB24" i="37"/>
  <c r="Z24" i="37"/>
  <c r="Y24" i="37"/>
  <c r="W24" i="37"/>
  <c r="U24" i="37"/>
  <c r="T24" i="37"/>
  <c r="R24" i="37"/>
  <c r="P24" i="37"/>
  <c r="O24" i="37"/>
  <c r="M24" i="37"/>
  <c r="K24" i="37"/>
  <c r="J24" i="37"/>
  <c r="AB23" i="37"/>
  <c r="Z23" i="37"/>
  <c r="Y23" i="37"/>
  <c r="W23" i="37"/>
  <c r="U23" i="37"/>
  <c r="T23" i="37"/>
  <c r="R23" i="37"/>
  <c r="P23" i="37"/>
  <c r="O23" i="37"/>
  <c r="M23" i="37"/>
  <c r="K23" i="37"/>
  <c r="J23" i="37"/>
  <c r="AB22" i="37"/>
  <c r="Z22" i="37"/>
  <c r="Y22" i="37"/>
  <c r="W22" i="37"/>
  <c r="U22" i="37"/>
  <c r="T22" i="37"/>
  <c r="R22" i="37"/>
  <c r="P22" i="37"/>
  <c r="O22" i="37"/>
  <c r="M22" i="37"/>
  <c r="K22" i="37"/>
  <c r="J22" i="37"/>
  <c r="AB21" i="37"/>
  <c r="Z21" i="37"/>
  <c r="Y21" i="37"/>
  <c r="W21" i="37"/>
  <c r="U21" i="37"/>
  <c r="T21" i="37"/>
  <c r="R21" i="37"/>
  <c r="P21" i="37"/>
  <c r="O21" i="37"/>
  <c r="M21" i="37"/>
  <c r="K21" i="37"/>
  <c r="J21" i="37"/>
  <c r="AB20" i="37"/>
  <c r="Z20" i="37"/>
  <c r="Y20" i="37"/>
  <c r="W20" i="37"/>
  <c r="U20" i="37"/>
  <c r="T20" i="37"/>
  <c r="R20" i="37"/>
  <c r="P20" i="37"/>
  <c r="O20" i="37"/>
  <c r="M20" i="37"/>
  <c r="K20" i="37"/>
  <c r="J20" i="37"/>
  <c r="AB19" i="37"/>
  <c r="Z19" i="37"/>
  <c r="Y19" i="37"/>
  <c r="W19" i="37"/>
  <c r="U19" i="37"/>
  <c r="T19" i="37"/>
  <c r="R19" i="37"/>
  <c r="P19" i="37"/>
  <c r="O19" i="37"/>
  <c r="M19" i="37"/>
  <c r="K19" i="37"/>
  <c r="J19" i="37"/>
  <c r="AB18" i="37"/>
  <c r="Z18" i="37"/>
  <c r="Y18" i="37"/>
  <c r="W18" i="37"/>
  <c r="U18" i="37"/>
  <c r="T18" i="37"/>
  <c r="R18" i="37"/>
  <c r="P18" i="37"/>
  <c r="O18" i="37"/>
  <c r="M18" i="37"/>
  <c r="K18" i="37"/>
  <c r="J18" i="37"/>
  <c r="AB17" i="37"/>
  <c r="Z17" i="37"/>
  <c r="Y17" i="37"/>
  <c r="W17" i="37"/>
  <c r="U17" i="37"/>
  <c r="T17" i="37"/>
  <c r="R17" i="37"/>
  <c r="P17" i="37"/>
  <c r="O17" i="37"/>
  <c r="M17" i="37"/>
  <c r="K17" i="37"/>
  <c r="J17" i="37"/>
  <c r="AB16" i="37"/>
  <c r="Z16" i="37"/>
  <c r="Y16" i="37"/>
  <c r="W16" i="37"/>
  <c r="U16" i="37"/>
  <c r="T16" i="37"/>
  <c r="R16" i="37"/>
  <c r="P16" i="37"/>
  <c r="O16" i="37"/>
  <c r="M16" i="37"/>
  <c r="K16" i="37"/>
  <c r="J16" i="37"/>
  <c r="AB15" i="37"/>
  <c r="Z15" i="37"/>
  <c r="Y15" i="37"/>
  <c r="W15" i="37"/>
  <c r="U15" i="37"/>
  <c r="T15" i="37"/>
  <c r="R15" i="37"/>
  <c r="P15" i="37"/>
  <c r="O15" i="37"/>
  <c r="M15" i="37"/>
  <c r="K15" i="37"/>
  <c r="J15" i="37"/>
  <c r="AB14" i="37"/>
  <c r="Z14" i="37"/>
  <c r="Y14" i="37"/>
  <c r="W14" i="37"/>
  <c r="U14" i="37"/>
  <c r="T14" i="37"/>
  <c r="R14" i="37"/>
  <c r="P14" i="37"/>
  <c r="O14" i="37"/>
  <c r="M14" i="37"/>
  <c r="K14" i="37"/>
  <c r="J14" i="37"/>
  <c r="AB13" i="37"/>
  <c r="Z13" i="37"/>
  <c r="Y13" i="37"/>
  <c r="W13" i="37"/>
  <c r="U13" i="37"/>
  <c r="T13" i="37"/>
  <c r="R13" i="37"/>
  <c r="P13" i="37"/>
  <c r="O13" i="37"/>
  <c r="M13" i="37"/>
  <c r="K13" i="37"/>
  <c r="J13" i="37"/>
  <c r="AB12" i="37"/>
  <c r="Z12" i="37"/>
  <c r="Y12" i="37"/>
  <c r="W12" i="37"/>
  <c r="U12" i="37"/>
  <c r="T12" i="37"/>
  <c r="R12" i="37"/>
  <c r="P12" i="37"/>
  <c r="O12" i="37"/>
  <c r="M12" i="37"/>
  <c r="K12" i="37"/>
  <c r="J12" i="37"/>
  <c r="AB11" i="37"/>
  <c r="Z11" i="37"/>
  <c r="Y11" i="37"/>
  <c r="W11" i="37"/>
  <c r="U11" i="37"/>
  <c r="T11" i="37"/>
  <c r="R11" i="37"/>
  <c r="P11" i="37"/>
  <c r="O11" i="37"/>
  <c r="M11" i="37"/>
  <c r="K11" i="37"/>
  <c r="J11" i="37"/>
  <c r="AB10" i="37"/>
  <c r="Z10" i="37"/>
  <c r="Y10" i="37"/>
  <c r="W10" i="37"/>
  <c r="U10" i="37"/>
  <c r="T10" i="37"/>
  <c r="R10" i="37"/>
  <c r="P10" i="37"/>
  <c r="O10" i="37"/>
  <c r="M10" i="37"/>
  <c r="K10" i="37"/>
  <c r="J10" i="37"/>
  <c r="AB9" i="37"/>
  <c r="Z9" i="37"/>
  <c r="Y9" i="37"/>
  <c r="W9" i="37"/>
  <c r="U9" i="37"/>
  <c r="T9" i="37"/>
  <c r="R9" i="37"/>
  <c r="P9" i="37"/>
  <c r="O9" i="37"/>
  <c r="M9" i="37"/>
  <c r="K9" i="37"/>
  <c r="J9" i="37"/>
  <c r="AB8" i="37"/>
  <c r="Z8" i="37"/>
  <c r="Y8" i="37"/>
  <c r="W8" i="37"/>
  <c r="U8" i="37"/>
  <c r="T8" i="37"/>
  <c r="R8" i="37"/>
  <c r="P8" i="37"/>
  <c r="O8" i="37"/>
  <c r="M8" i="37"/>
  <c r="K8" i="37"/>
  <c r="J8" i="37"/>
  <c r="AF34" i="38" l="1"/>
  <c r="AJ34" i="38"/>
  <c r="AJ31" i="38" l="1"/>
  <c r="AJ30" i="38"/>
  <c r="AD33" i="2" l="1"/>
  <c r="AD34" i="2"/>
  <c r="AI26" i="2" l="1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D35" i="2"/>
  <c r="AJ31" i="2" s="1"/>
  <c r="AG27" i="38" l="1"/>
  <c r="AG26" i="38"/>
  <c r="AG25" i="38"/>
  <c r="AG22" i="38"/>
  <c r="AG21" i="38"/>
  <c r="AG20" i="38"/>
  <c r="AG17" i="38"/>
  <c r="AG15" i="38"/>
  <c r="AG12" i="38"/>
  <c r="AG11" i="38"/>
  <c r="AG9" i="38"/>
  <c r="AG7" i="38"/>
  <c r="T64" i="38"/>
  <c r="S37" i="38"/>
  <c r="O40" i="38"/>
  <c r="J26" i="38"/>
  <c r="J24" i="38"/>
  <c r="S64" i="38"/>
  <c r="T63" i="38"/>
  <c r="S63" i="38"/>
  <c r="T62" i="38"/>
  <c r="S62" i="38"/>
  <c r="T61" i="38"/>
  <c r="S61" i="38"/>
  <c r="K40" i="38"/>
  <c r="J40" i="38"/>
  <c r="G40" i="38"/>
  <c r="N39" i="38"/>
  <c r="L39" i="38"/>
  <c r="G39" i="38"/>
  <c r="G38" i="38"/>
  <c r="Q37" i="38"/>
  <c r="M37" i="38"/>
  <c r="M40" i="38" s="1"/>
  <c r="G37" i="38"/>
  <c r="S36" i="38"/>
  <c r="Q36" i="38"/>
  <c r="N36" i="38"/>
  <c r="G36" i="38"/>
  <c r="S35" i="38"/>
  <c r="Q35" i="38"/>
  <c r="N35" i="38"/>
  <c r="G35" i="38"/>
  <c r="S34" i="38"/>
  <c r="Q34" i="38"/>
  <c r="N34" i="38"/>
  <c r="L34" i="38"/>
  <c r="G34" i="38"/>
  <c r="N33" i="38"/>
  <c r="L33" i="38"/>
  <c r="G33" i="38"/>
  <c r="N32" i="38"/>
  <c r="L32" i="38"/>
  <c r="G31" i="38"/>
  <c r="G30" i="38"/>
  <c r="G29" i="38"/>
  <c r="G26" i="38"/>
  <c r="G25" i="38"/>
  <c r="G24" i="38"/>
  <c r="G23" i="38"/>
  <c r="G22" i="38"/>
  <c r="G21" i="38"/>
  <c r="G20" i="38"/>
  <c r="AG19" i="38"/>
  <c r="G19" i="38"/>
  <c r="G18" i="38"/>
  <c r="G17" i="38"/>
  <c r="AG16" i="38"/>
  <c r="G16" i="38"/>
  <c r="G15" i="38"/>
  <c r="G14" i="38"/>
  <c r="G13" i="38"/>
  <c r="G12" i="38"/>
  <c r="G11" i="38"/>
  <c r="G10" i="38"/>
  <c r="G9" i="38"/>
  <c r="G8" i="38"/>
  <c r="G7" i="38"/>
  <c r="W24" i="38" l="1"/>
  <c r="R31" i="38"/>
  <c r="AG10" i="38"/>
  <c r="AG23" i="38"/>
  <c r="O31" i="38"/>
  <c r="W31" i="38"/>
  <c r="T54" i="38"/>
  <c r="M24" i="38"/>
  <c r="M31" i="38"/>
  <c r="AG8" i="38"/>
  <c r="AG18" i="38"/>
  <c r="J25" i="38"/>
  <c r="J27" i="38" s="1"/>
  <c r="J49" i="38" s="1"/>
  <c r="AG13" i="38"/>
  <c r="W40" i="38"/>
  <c r="AG24" i="38"/>
  <c r="T24" i="38"/>
  <c r="J31" i="38"/>
  <c r="O26" i="38"/>
  <c r="T68" i="38"/>
  <c r="R25" i="38"/>
  <c r="T25" i="38"/>
  <c r="M25" i="38"/>
  <c r="AG14" i="38"/>
  <c r="T26" i="38"/>
  <c r="W25" i="38"/>
  <c r="R26" i="38"/>
  <c r="T31" i="38"/>
  <c r="T53" i="38" s="1"/>
  <c r="O24" i="38"/>
  <c r="O25" i="38"/>
  <c r="W26" i="38"/>
  <c r="R24" i="38"/>
  <c r="T60" i="38"/>
  <c r="T65" i="38" s="1"/>
  <c r="R40" i="38"/>
  <c r="T40" i="38"/>
  <c r="N40" i="38"/>
  <c r="M26" i="38"/>
  <c r="N37" i="38"/>
  <c r="L40" i="38"/>
  <c r="M27" i="38" l="1"/>
  <c r="M49" i="38" s="1"/>
  <c r="T27" i="38"/>
  <c r="R27" i="38"/>
  <c r="R41" i="38" s="1"/>
  <c r="R44" i="38" s="1"/>
  <c r="R49" i="38" s="1"/>
  <c r="O27" i="38"/>
  <c r="O41" i="38" s="1"/>
  <c r="O51" i="38" s="1"/>
  <c r="O52" i="38" s="1"/>
  <c r="W27" i="38"/>
  <c r="W41" i="38" s="1"/>
  <c r="W44" i="38" s="1"/>
  <c r="W49" i="38" s="1"/>
  <c r="T41" i="38"/>
  <c r="T52" i="38"/>
  <c r="F10" i="34"/>
  <c r="O44" i="38" l="1"/>
  <c r="O49" i="38" s="1"/>
  <c r="T55" i="38"/>
  <c r="T56" i="38" s="1"/>
  <c r="T44" i="38"/>
  <c r="T49" i="38" s="1"/>
  <c r="T70" i="38"/>
  <c r="T71" i="38" s="1"/>
  <c r="E36" i="1"/>
  <c r="E34" i="1"/>
  <c r="E33" i="1"/>
  <c r="E11" i="1" s="1"/>
  <c r="E32" i="1"/>
  <c r="T57" i="38" l="1"/>
  <c r="M17" i="1" l="1"/>
  <c r="M25" i="1" s="1"/>
  <c r="M18" i="1"/>
  <c r="M27" i="1" s="1"/>
  <c r="M35" i="1"/>
  <c r="M37" i="1"/>
  <c r="M26" i="1"/>
  <c r="M24" i="1"/>
  <c r="M16" i="1"/>
  <c r="M19" i="1" l="1"/>
  <c r="M12" i="1"/>
  <c r="M28" i="1" l="1"/>
  <c r="M20" i="1"/>
  <c r="M29" i="1" l="1"/>
  <c r="M30" i="1" s="1"/>
  <c r="J18" i="1"/>
  <c r="J24" i="1" l="1"/>
  <c r="E35" i="1"/>
  <c r="E37" i="1"/>
  <c r="J27" i="1"/>
  <c r="J16" i="1"/>
  <c r="J35" i="1"/>
  <c r="J37" i="1"/>
  <c r="J19" i="1"/>
  <c r="J28" i="1" s="1"/>
  <c r="J17" i="1"/>
  <c r="J12" i="1" l="1"/>
  <c r="J25" i="1"/>
  <c r="J20" i="1"/>
  <c r="J29" i="1" l="1"/>
  <c r="J26" i="1"/>
  <c r="J30" i="1" l="1"/>
  <c r="K33" i="34" l="1"/>
  <c r="M33" i="34" s="1"/>
  <c r="K29" i="34"/>
  <c r="M29" i="34" s="1"/>
  <c r="K25" i="34"/>
  <c r="K24" i="34"/>
  <c r="K16" i="34"/>
  <c r="K15" i="34"/>
  <c r="K13" i="34"/>
  <c r="K12" i="34"/>
  <c r="K11" i="34"/>
  <c r="K10" i="34"/>
  <c r="N30" i="34"/>
  <c r="L30" i="34"/>
  <c r="I30" i="34"/>
  <c r="G30" i="34"/>
  <c r="F29" i="34"/>
  <c r="F30" i="34" s="1"/>
  <c r="F33" i="34"/>
  <c r="H33" i="34" s="1"/>
  <c r="O33" i="34"/>
  <c r="O29" i="34"/>
  <c r="J33" i="34"/>
  <c r="J29" i="34"/>
  <c r="F25" i="34"/>
  <c r="F24" i="34"/>
  <c r="F16" i="34"/>
  <c r="F15" i="34"/>
  <c r="F13" i="34"/>
  <c r="F12" i="34"/>
  <c r="F11" i="34"/>
  <c r="K30" i="34" l="1"/>
  <c r="K20" i="34"/>
  <c r="K21" i="34" s="1"/>
  <c r="K14" i="34"/>
  <c r="K26" i="34"/>
  <c r="K18" i="34"/>
  <c r="K19" i="34" s="1"/>
  <c r="J30" i="34"/>
  <c r="M30" i="34"/>
  <c r="O30" i="34"/>
  <c r="H30" i="34"/>
  <c r="K17" i="34"/>
  <c r="H29" i="34"/>
  <c r="K22" i="34" l="1"/>
  <c r="K23" i="34" s="1"/>
  <c r="K27" i="34" l="1"/>
  <c r="K28" i="34" s="1"/>
  <c r="K31" i="34" l="1"/>
  <c r="K32" i="34" s="1"/>
  <c r="K34" i="34"/>
  <c r="K35" i="34" s="1"/>
  <c r="J40" i="1" l="1"/>
  <c r="M27" i="37" l="1"/>
  <c r="R25" i="37" l="1"/>
  <c r="R26" i="37"/>
  <c r="R27" i="37"/>
  <c r="M25" i="37"/>
  <c r="M26" i="37"/>
  <c r="R28" i="37" l="1"/>
  <c r="M28" i="37"/>
  <c r="I11" i="34" l="1"/>
  <c r="I17" i="34"/>
  <c r="I18" i="34"/>
  <c r="I19" i="34" s="1"/>
  <c r="F17" i="34"/>
  <c r="I14" i="34"/>
  <c r="I26" i="34"/>
  <c r="F14" i="34"/>
  <c r="F18" i="34"/>
  <c r="F19" i="34" s="1"/>
  <c r="F26" i="34"/>
  <c r="F20" i="34"/>
  <c r="F21" i="34" s="1"/>
  <c r="I20" i="34"/>
  <c r="I21" i="34" s="1"/>
  <c r="I22" i="34" l="1"/>
  <c r="I27" i="34" s="1"/>
  <c r="F22" i="34"/>
  <c r="F27" i="34" s="1"/>
  <c r="F28" i="34" l="1"/>
  <c r="F31" i="34"/>
  <c r="F34" i="34" s="1"/>
  <c r="F35" i="34" s="1"/>
  <c r="I28" i="34"/>
  <c r="I31" i="34"/>
  <c r="I23" i="34"/>
  <c r="F23" i="34"/>
  <c r="I32" i="34" l="1"/>
  <c r="I34" i="34"/>
  <c r="I35" i="34" s="1"/>
  <c r="F32" i="34"/>
  <c r="M40" i="1" l="1"/>
  <c r="G39" i="2"/>
  <c r="S64" i="2" l="1"/>
  <c r="S63" i="2"/>
  <c r="T62" i="2"/>
  <c r="S62" i="2"/>
  <c r="S61" i="2"/>
  <c r="K40" i="2"/>
  <c r="J40" i="2"/>
  <c r="N39" i="2"/>
  <c r="L39" i="2"/>
  <c r="G40" i="2"/>
  <c r="Q37" i="2"/>
  <c r="M37" i="2"/>
  <c r="M40" i="2" s="1"/>
  <c r="G38" i="2"/>
  <c r="S36" i="2"/>
  <c r="Q36" i="2"/>
  <c r="N36" i="2"/>
  <c r="G37" i="2"/>
  <c r="S35" i="2"/>
  <c r="Q35" i="2"/>
  <c r="N35" i="2"/>
  <c r="G36" i="2"/>
  <c r="V30" i="1"/>
  <c r="S34" i="2"/>
  <c r="Q34" i="2"/>
  <c r="N34" i="2"/>
  <c r="L34" i="2"/>
  <c r="G35" i="2"/>
  <c r="V29" i="1"/>
  <c r="N33" i="2"/>
  <c r="L33" i="2"/>
  <c r="G34" i="2"/>
  <c r="N32" i="2"/>
  <c r="L32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28" i="1"/>
  <c r="H17" i="1"/>
  <c r="H25" i="1" s="1"/>
  <c r="H26" i="1" s="1"/>
  <c r="V12" i="1"/>
  <c r="N37" i="2" l="1"/>
  <c r="N40" i="2"/>
  <c r="L40" i="2"/>
  <c r="H24" i="1"/>
  <c r="W26" i="2"/>
  <c r="H16" i="1"/>
  <c r="T61" i="2"/>
  <c r="R24" i="2"/>
  <c r="W24" i="2"/>
  <c r="H12" i="1"/>
  <c r="R25" i="2"/>
  <c r="R31" i="2"/>
  <c r="H18" i="1"/>
  <c r="H27" i="1" s="1"/>
  <c r="R26" i="2"/>
  <c r="W25" i="2"/>
  <c r="R40" i="2"/>
  <c r="W40" i="2"/>
  <c r="W31" i="2"/>
  <c r="S37" i="2"/>
  <c r="H37" i="1" l="1"/>
  <c r="H35" i="1"/>
  <c r="V32" i="1"/>
  <c r="V31" i="1" s="1"/>
  <c r="H19" i="1"/>
  <c r="W27" i="2"/>
  <c r="W41" i="2" s="1"/>
  <c r="R27" i="2"/>
  <c r="R41" i="2" s="1"/>
  <c r="R44" i="2" l="1"/>
  <c r="R49" i="2" s="1"/>
  <c r="W44" i="2"/>
  <c r="W49" i="2" s="1"/>
  <c r="H28" i="1"/>
  <c r="H29" i="1" s="1"/>
  <c r="H40" i="1" s="1"/>
  <c r="H20" i="1"/>
  <c r="H30" i="1" l="1"/>
  <c r="M26" i="2" l="1"/>
  <c r="M24" i="2"/>
  <c r="M31" i="2"/>
  <c r="M25" i="2"/>
  <c r="M27" i="2" l="1"/>
  <c r="M49" i="2" l="1"/>
  <c r="V25" i="1" l="1"/>
  <c r="W24" i="1" l="1"/>
  <c r="U24" i="1" l="1"/>
  <c r="S25" i="1" l="1"/>
  <c r="O40" i="2" l="1"/>
  <c r="O24" i="2" l="1"/>
  <c r="J24" i="2"/>
  <c r="S29" i="1" l="1"/>
  <c r="S28" i="1" l="1"/>
  <c r="T54" i="2"/>
  <c r="T60" i="2"/>
  <c r="T63" i="2" l="1"/>
  <c r="O25" i="2" l="1"/>
  <c r="J25" i="2"/>
  <c r="J31" i="2" l="1"/>
  <c r="O31" i="2" l="1"/>
  <c r="E18" i="1" l="1"/>
  <c r="E27" i="1" l="1"/>
  <c r="T31" i="2" l="1"/>
  <c r="T53" i="2" l="1"/>
  <c r="J26" i="2" l="1"/>
  <c r="O26" i="2"/>
  <c r="J27" i="2" l="1"/>
  <c r="O27" i="2"/>
  <c r="O41" i="2" s="1"/>
  <c r="AJ27" i="2" l="1"/>
  <c r="AJ22" i="2"/>
  <c r="AJ23" i="2"/>
  <c r="AJ19" i="2"/>
  <c r="AJ11" i="2"/>
  <c r="AJ12" i="2"/>
  <c r="AJ20" i="2"/>
  <c r="AJ21" i="2"/>
  <c r="AJ14" i="2"/>
  <c r="AJ17" i="2"/>
  <c r="AJ8" i="2"/>
  <c r="AJ13" i="2"/>
  <c r="AJ10" i="2"/>
  <c r="AJ7" i="2"/>
  <c r="AJ18" i="2"/>
  <c r="AJ9" i="2"/>
  <c r="AJ15" i="2"/>
  <c r="AJ16" i="2"/>
  <c r="AJ24" i="2"/>
  <c r="AJ25" i="2"/>
  <c r="AJ26" i="2"/>
  <c r="J49" i="2"/>
  <c r="E12" i="1"/>
  <c r="O44" i="2" l="1"/>
  <c r="O49" i="2" s="1"/>
  <c r="O51" i="2"/>
  <c r="O52" i="2" l="1"/>
  <c r="T24" i="2" l="1"/>
  <c r="T25" i="2" l="1"/>
  <c r="E17" i="1" l="1"/>
  <c r="T26" i="2" l="1"/>
  <c r="E25" i="1"/>
  <c r="E19" i="1"/>
  <c r="E20" i="1" s="1"/>
  <c r="E16" i="1"/>
  <c r="T27" i="2" l="1"/>
  <c r="E26" i="1"/>
  <c r="S30" i="1" l="1"/>
  <c r="T52" i="2"/>
  <c r="E24" i="1" l="1"/>
  <c r="E28" i="1"/>
  <c r="E29" i="1" s="1"/>
  <c r="E40" i="1" s="1"/>
  <c r="T55" i="2"/>
  <c r="T56" i="2" l="1"/>
  <c r="T57" i="2"/>
  <c r="T64" i="2"/>
  <c r="T68" i="2"/>
  <c r="T40" i="2"/>
  <c r="T41" i="2" s="1"/>
  <c r="S32" i="1" l="1"/>
  <c r="T44" i="2"/>
  <c r="T49" i="2" s="1"/>
  <c r="T65" i="2"/>
  <c r="E30" i="1"/>
  <c r="S31" i="1" l="1"/>
  <c r="T70" i="2"/>
  <c r="T71" i="2" s="1"/>
  <c r="AB27" i="37" l="1"/>
  <c r="W27" i="37"/>
  <c r="W25" i="37"/>
  <c r="AB26" i="37" l="1"/>
  <c r="W26" i="37"/>
  <c r="W28" i="37" s="1"/>
  <c r="AB25" i="37" l="1"/>
  <c r="AB28" i="37" s="1"/>
  <c r="N11" i="34" l="1"/>
  <c r="N14" i="34"/>
  <c r="N20" i="34"/>
  <c r="N21" i="34" s="1"/>
  <c r="N26" i="34"/>
  <c r="N17" i="34"/>
  <c r="N18" i="34"/>
  <c r="N19" i="34" s="1"/>
  <c r="N22" i="34" l="1"/>
  <c r="N27" i="34" s="1"/>
  <c r="N28" i="34" l="1"/>
  <c r="N31" i="34"/>
  <c r="N23" i="34"/>
  <c r="N32" i="34" l="1"/>
  <c r="N34" i="34"/>
  <c r="N35" i="34" s="1"/>
  <c r="J12" i="34"/>
  <c r="H12" i="34"/>
  <c r="G11" i="34"/>
  <c r="G18" i="34"/>
  <c r="J15" i="34"/>
  <c r="H15" i="34"/>
  <c r="H24" i="34"/>
  <c r="J24" i="34"/>
  <c r="W36" i="1"/>
  <c r="O15" i="34" l="1"/>
  <c r="M15" i="34"/>
  <c r="L11" i="34"/>
  <c r="J10" i="34"/>
  <c r="H10" i="34"/>
  <c r="M12" i="34"/>
  <c r="O12" i="34"/>
  <c r="L18" i="34"/>
  <c r="J18" i="34"/>
  <c r="G19" i="34"/>
  <c r="H18" i="34"/>
  <c r="J11" i="34"/>
  <c r="H11" i="34"/>
  <c r="O24" i="34"/>
  <c r="M24" i="34"/>
  <c r="J19" i="34" l="1"/>
  <c r="H19" i="34"/>
  <c r="M11" i="34"/>
  <c r="O11" i="34"/>
  <c r="O18" i="34"/>
  <c r="L19" i="34"/>
  <c r="M18" i="34"/>
  <c r="O10" i="34"/>
  <c r="M10" i="34"/>
  <c r="H25" i="34"/>
  <c r="J25" i="34"/>
  <c r="G26" i="34"/>
  <c r="M19" i="34" l="1"/>
  <c r="O19" i="34"/>
  <c r="H26" i="34"/>
  <c r="J26" i="34"/>
  <c r="M25" i="34"/>
  <c r="O25" i="34"/>
  <c r="L26" i="34"/>
  <c r="O26" i="34" l="1"/>
  <c r="M26" i="34"/>
  <c r="G17" i="34" l="1"/>
  <c r="J16" i="34"/>
  <c r="H16" i="34"/>
  <c r="U36" i="1"/>
  <c r="H17" i="34" l="1"/>
  <c r="J17" i="34"/>
  <c r="G20" i="34"/>
  <c r="G14" i="34"/>
  <c r="H13" i="34"/>
  <c r="J13" i="34"/>
  <c r="L17" i="34"/>
  <c r="M16" i="34"/>
  <c r="O16" i="34"/>
  <c r="L14" i="34" l="1"/>
  <c r="M13" i="34"/>
  <c r="L20" i="34"/>
  <c r="O13" i="34"/>
  <c r="M17" i="34"/>
  <c r="O17" i="34"/>
  <c r="J14" i="34"/>
  <c r="H14" i="34"/>
  <c r="G21" i="34"/>
  <c r="J20" i="34"/>
  <c r="H20" i="34"/>
  <c r="G22" i="34"/>
  <c r="G27" i="34" s="1"/>
  <c r="G28" i="34" l="1"/>
  <c r="H27" i="34"/>
  <c r="G31" i="34"/>
  <c r="J27" i="34"/>
  <c r="W37" i="1"/>
  <c r="U37" i="1"/>
  <c r="G23" i="34"/>
  <c r="H22" i="34"/>
  <c r="J22" i="34"/>
  <c r="M20" i="34"/>
  <c r="L22" i="34"/>
  <c r="L27" i="34" s="1"/>
  <c r="L21" i="34"/>
  <c r="O20" i="34"/>
  <c r="J21" i="34"/>
  <c r="H21" i="34"/>
  <c r="O14" i="34"/>
  <c r="M14" i="34"/>
  <c r="G32" i="34" l="1"/>
  <c r="G34" i="34"/>
  <c r="H31" i="34"/>
  <c r="J31" i="34"/>
  <c r="L28" i="34"/>
  <c r="O27" i="34"/>
  <c r="L31" i="34"/>
  <c r="M27" i="34"/>
  <c r="J28" i="34"/>
  <c r="H28" i="34"/>
  <c r="M21" i="34"/>
  <c r="O21" i="34"/>
  <c r="L23" i="34"/>
  <c r="O22" i="34"/>
  <c r="M22" i="34"/>
  <c r="J23" i="34"/>
  <c r="H23" i="34"/>
  <c r="G35" i="34" l="1"/>
  <c r="J34" i="34"/>
  <c r="H34" i="34"/>
  <c r="L32" i="34"/>
  <c r="O31" i="34"/>
  <c r="L34" i="34"/>
  <c r="M31" i="34"/>
  <c r="O28" i="34"/>
  <c r="M28" i="34"/>
  <c r="J32" i="34"/>
  <c r="H32" i="34"/>
  <c r="M23" i="34"/>
  <c r="O23" i="34"/>
  <c r="O32" i="34" l="1"/>
  <c r="M32" i="34"/>
  <c r="L35" i="34"/>
  <c r="O34" i="34"/>
  <c r="M34" i="34"/>
  <c r="J35" i="34"/>
  <c r="H35" i="34"/>
  <c r="O35" i="34" l="1"/>
  <c r="M35" i="34"/>
  <c r="W15" i="1" l="1"/>
  <c r="W14" i="1"/>
  <c r="W16" i="1"/>
  <c r="W13" i="1"/>
  <c r="T12" i="1" l="1"/>
  <c r="W9" i="1"/>
  <c r="W11" i="1"/>
  <c r="W10" i="1"/>
  <c r="W12" i="1" l="1"/>
  <c r="N12" i="37" l="1"/>
  <c r="K26" i="37" l="1"/>
  <c r="N9" i="37"/>
  <c r="N8" i="37"/>
  <c r="K25" i="37"/>
  <c r="N18" i="37"/>
  <c r="N13" i="37"/>
  <c r="N16" i="37"/>
  <c r="N17" i="37"/>
  <c r="N21" i="37"/>
  <c r="N15" i="37"/>
  <c r="N14" i="37"/>
  <c r="N23" i="37"/>
  <c r="N24" i="37"/>
  <c r="N10" i="37"/>
  <c r="N11" i="37"/>
  <c r="N19" i="37"/>
  <c r="N22" i="37"/>
  <c r="K27" i="37"/>
  <c r="N20" i="37"/>
  <c r="N26" i="37" l="1"/>
  <c r="N27" i="37"/>
  <c r="K28" i="37"/>
  <c r="N25" i="37"/>
  <c r="N28" i="37" l="1"/>
  <c r="S22" i="37" l="1"/>
  <c r="S16" i="37"/>
  <c r="S21" i="37"/>
  <c r="S9" i="37"/>
  <c r="S20" i="37"/>
  <c r="P27" i="37"/>
  <c r="S17" i="37"/>
  <c r="S12" i="37"/>
  <c r="P26" i="37"/>
  <c r="S23" i="37"/>
  <c r="S13" i="37"/>
  <c r="S18" i="37"/>
  <c r="S24" i="37"/>
  <c r="S15" i="37"/>
  <c r="S11" i="37"/>
  <c r="S8" i="37"/>
  <c r="S19" i="37"/>
  <c r="S14" i="37"/>
  <c r="S26" i="37" l="1"/>
  <c r="S27" i="37"/>
  <c r="AB34" i="2" l="1"/>
  <c r="AB33" i="2" l="1"/>
  <c r="AB35" i="2" l="1"/>
  <c r="AJ40" i="2" s="1"/>
  <c r="AJ41" i="2" s="1"/>
  <c r="AF31" i="2" l="1"/>
  <c r="S10" i="37" l="1"/>
  <c r="P25" i="37"/>
  <c r="P28" i="37" l="1"/>
  <c r="S25" i="37"/>
  <c r="S28" i="37" l="1"/>
  <c r="I32" i="1" l="1"/>
  <c r="G32" i="1"/>
  <c r="N43" i="2"/>
  <c r="G48" i="2"/>
  <c r="L43" i="2"/>
  <c r="F48" i="2"/>
  <c r="X38" i="2" l="1"/>
  <c r="V38" i="2"/>
  <c r="L17" i="2" l="1"/>
  <c r="N30" i="2"/>
  <c r="N19" i="2"/>
  <c r="N15" i="2"/>
  <c r="N12" i="2"/>
  <c r="N13" i="2"/>
  <c r="L9" i="2"/>
  <c r="L20" i="2"/>
  <c r="N18" i="2"/>
  <c r="L16" i="2"/>
  <c r="L23" i="2"/>
  <c r="L29" i="2"/>
  <c r="N10" i="2"/>
  <c r="L21" i="2"/>
  <c r="L14" i="2"/>
  <c r="N14" i="2"/>
  <c r="N17" i="2"/>
  <c r="N32" i="1"/>
  <c r="L32" i="1"/>
  <c r="N8" i="2"/>
  <c r="L8" i="2"/>
  <c r="N43" i="38"/>
  <c r="L43" i="38"/>
  <c r="G48" i="38"/>
  <c r="F48" i="38"/>
  <c r="L18" i="2" l="1"/>
  <c r="N16" i="2"/>
  <c r="N21" i="2"/>
  <c r="L19" i="2"/>
  <c r="L30" i="2"/>
  <c r="N29" i="2"/>
  <c r="L10" i="2"/>
  <c r="L12" i="2"/>
  <c r="N9" i="2"/>
  <c r="L15" i="2"/>
  <c r="S16" i="2"/>
  <c r="S17" i="2"/>
  <c r="N20" i="2"/>
  <c r="Q22" i="2"/>
  <c r="S15" i="2"/>
  <c r="K24" i="2"/>
  <c r="N23" i="2"/>
  <c r="N22" i="2"/>
  <c r="Q20" i="2"/>
  <c r="N28" i="2"/>
  <c r="Q18" i="2"/>
  <c r="Q14" i="2"/>
  <c r="Q7" i="2"/>
  <c r="Q10" i="2"/>
  <c r="S28" i="2"/>
  <c r="Q13" i="2"/>
  <c r="L13" i="2"/>
  <c r="S23" i="2"/>
  <c r="Q9" i="2"/>
  <c r="Q21" i="2"/>
  <c r="K25" i="2"/>
  <c r="Q12" i="2"/>
  <c r="S29" i="2"/>
  <c r="S30" i="2"/>
  <c r="S14" i="2"/>
  <c r="Q23" i="2"/>
  <c r="Q30" i="2"/>
  <c r="S18" i="2" l="1"/>
  <c r="Q17" i="2"/>
  <c r="L7" i="2"/>
  <c r="N7" i="2"/>
  <c r="S7" i="2"/>
  <c r="K31" i="2"/>
  <c r="N31" i="2" s="1"/>
  <c r="L22" i="2"/>
  <c r="Q16" i="2"/>
  <c r="S20" i="2"/>
  <c r="S10" i="2"/>
  <c r="Q29" i="2"/>
  <c r="L28" i="2"/>
  <c r="P24" i="2"/>
  <c r="Q24" i="2" s="1"/>
  <c r="S8" i="2"/>
  <c r="Q8" i="2"/>
  <c r="P26" i="2"/>
  <c r="Q26" i="2" s="1"/>
  <c r="S12" i="2"/>
  <c r="P25" i="2"/>
  <c r="Q25" i="2" s="1"/>
  <c r="N11" i="2"/>
  <c r="K26" i="2"/>
  <c r="K27" i="2" s="1"/>
  <c r="AK24" i="2" s="1"/>
  <c r="L11" i="2"/>
  <c r="S22" i="2"/>
  <c r="Q11" i="2"/>
  <c r="S11" i="2"/>
  <c r="S21" i="2"/>
  <c r="Q19" i="2"/>
  <c r="Q32" i="2"/>
  <c r="S9" i="2"/>
  <c r="Q33" i="2"/>
  <c r="Q28" i="2"/>
  <c r="S19" i="2"/>
  <c r="P31" i="2"/>
  <c r="Q31" i="2" s="1"/>
  <c r="Q15" i="2"/>
  <c r="S13" i="2"/>
  <c r="G10" i="1"/>
  <c r="I10" i="1"/>
  <c r="F18" i="1"/>
  <c r="F17" i="1"/>
  <c r="G13" i="1"/>
  <c r="I13" i="1"/>
  <c r="G9" i="1"/>
  <c r="I9" i="1"/>
  <c r="G14" i="1"/>
  <c r="I14" i="1"/>
  <c r="F16" i="1"/>
  <c r="S43" i="2"/>
  <c r="Q43" i="2"/>
  <c r="G34" i="1"/>
  <c r="F35" i="1"/>
  <c r="G35" i="1" s="1"/>
  <c r="I34" i="1"/>
  <c r="I33" i="1"/>
  <c r="G33" i="1"/>
  <c r="I7" i="1"/>
  <c r="G7" i="1"/>
  <c r="G8" i="1"/>
  <c r="I8" i="1"/>
  <c r="F25" i="2"/>
  <c r="N25" i="2"/>
  <c r="L25" i="2"/>
  <c r="N24" i="2"/>
  <c r="F24" i="2"/>
  <c r="L24" i="2"/>
  <c r="F49" i="2" l="1"/>
  <c r="L31" i="2"/>
  <c r="G49" i="2"/>
  <c r="S26" i="2"/>
  <c r="F26" i="2"/>
  <c r="S24" i="2"/>
  <c r="N26" i="2"/>
  <c r="P27" i="2"/>
  <c r="Q27" i="2" s="1"/>
  <c r="L26" i="2"/>
  <c r="S25" i="2"/>
  <c r="S33" i="2"/>
  <c r="S32" i="2"/>
  <c r="V18" i="2"/>
  <c r="X8" i="2"/>
  <c r="X36" i="2"/>
  <c r="S31" i="2"/>
  <c r="X22" i="2"/>
  <c r="X13" i="2"/>
  <c r="X10" i="2"/>
  <c r="V20" i="2"/>
  <c r="X17" i="2"/>
  <c r="V15" i="2"/>
  <c r="V7" i="2"/>
  <c r="V21" i="2"/>
  <c r="V23" i="2"/>
  <c r="X30" i="2"/>
  <c r="X19" i="2"/>
  <c r="X16" i="2"/>
  <c r="K49" i="2"/>
  <c r="V9" i="2"/>
  <c r="X14" i="2"/>
  <c r="U61" i="2"/>
  <c r="V61" i="2" s="1"/>
  <c r="V11" i="2"/>
  <c r="V12" i="2"/>
  <c r="S27" i="2"/>
  <c r="I35" i="1"/>
  <c r="F12" i="1"/>
  <c r="F19" i="1"/>
  <c r="F20" i="1" s="1"/>
  <c r="I11" i="1"/>
  <c r="G11" i="1"/>
  <c r="I16" i="1"/>
  <c r="G16" i="1"/>
  <c r="I17" i="1"/>
  <c r="G17" i="1"/>
  <c r="G18" i="1"/>
  <c r="I18" i="1"/>
  <c r="I15" i="1"/>
  <c r="G15" i="1"/>
  <c r="AL24" i="2"/>
  <c r="AP24" i="2"/>
  <c r="AQ24" i="2" s="1"/>
  <c r="AK25" i="2"/>
  <c r="N27" i="2"/>
  <c r="F23" i="2"/>
  <c r="AK27" i="2"/>
  <c r="L27" i="2"/>
  <c r="G27" i="2"/>
  <c r="F27" i="2"/>
  <c r="AK10" i="2"/>
  <c r="AK8" i="2"/>
  <c r="AK16" i="2"/>
  <c r="AK18" i="2"/>
  <c r="AK13" i="2"/>
  <c r="AK9" i="2"/>
  <c r="AK21" i="2"/>
  <c r="AK23" i="2"/>
  <c r="AK14" i="2"/>
  <c r="AK12" i="2"/>
  <c r="AK20" i="2"/>
  <c r="AK17" i="2"/>
  <c r="AK19" i="2"/>
  <c r="AK15" i="2"/>
  <c r="AK7" i="2"/>
  <c r="AK11" i="2"/>
  <c r="AK22" i="2"/>
  <c r="AK26" i="2"/>
  <c r="X18" i="2" l="1"/>
  <c r="U62" i="2"/>
  <c r="V62" i="2" s="1"/>
  <c r="X21" i="2"/>
  <c r="V17" i="2"/>
  <c r="X7" i="2"/>
  <c r="X20" i="2"/>
  <c r="X11" i="2"/>
  <c r="X15" i="2"/>
  <c r="V8" i="2"/>
  <c r="V10" i="2"/>
  <c r="V19" i="2"/>
  <c r="V30" i="2"/>
  <c r="U24" i="2"/>
  <c r="V24" i="2" s="1"/>
  <c r="U25" i="2"/>
  <c r="V25" i="2" s="1"/>
  <c r="V36" i="2"/>
  <c r="T29" i="1"/>
  <c r="X35" i="2"/>
  <c r="V35" i="2"/>
  <c r="V14" i="2"/>
  <c r="U26" i="2"/>
  <c r="U27" i="2" s="1"/>
  <c r="V13" i="2"/>
  <c r="V22" i="2"/>
  <c r="X9" i="2"/>
  <c r="V16" i="2"/>
  <c r="X23" i="2"/>
  <c r="X12" i="2"/>
  <c r="G19" i="1"/>
  <c r="I19" i="1"/>
  <c r="V43" i="2"/>
  <c r="X43" i="2"/>
  <c r="G12" i="1"/>
  <c r="I12" i="1"/>
  <c r="I36" i="1"/>
  <c r="F37" i="1"/>
  <c r="G36" i="1"/>
  <c r="G20" i="1"/>
  <c r="I20" i="1"/>
  <c r="AP16" i="2"/>
  <c r="AQ16" i="2" s="1"/>
  <c r="AL16" i="2"/>
  <c r="AP14" i="2"/>
  <c r="AQ14" i="2" s="1"/>
  <c r="AL14" i="2"/>
  <c r="AP18" i="2"/>
  <c r="AQ18" i="2" s="1"/>
  <c r="AL18" i="2"/>
  <c r="AL8" i="2"/>
  <c r="AP8" i="2"/>
  <c r="AQ8" i="2" s="1"/>
  <c r="AL10" i="2"/>
  <c r="AP10" i="2"/>
  <c r="AQ10" i="2" s="1"/>
  <c r="AP20" i="2"/>
  <c r="AQ20" i="2" s="1"/>
  <c r="AL20" i="2"/>
  <c r="AL12" i="2"/>
  <c r="AP12" i="2"/>
  <c r="AQ12" i="2" s="1"/>
  <c r="AP26" i="2"/>
  <c r="AQ26" i="2" s="1"/>
  <c r="AL26" i="2"/>
  <c r="AP22" i="2"/>
  <c r="AQ22" i="2" s="1"/>
  <c r="AL22" i="2"/>
  <c r="AP7" i="2"/>
  <c r="AQ7" i="2" s="1"/>
  <c r="AL7" i="2"/>
  <c r="AP15" i="2"/>
  <c r="AQ15" i="2" s="1"/>
  <c r="AL15" i="2"/>
  <c r="AL19" i="2"/>
  <c r="AP19" i="2"/>
  <c r="AQ19" i="2" s="1"/>
  <c r="AL23" i="2"/>
  <c r="AP23" i="2"/>
  <c r="AQ23" i="2" s="1"/>
  <c r="AP21" i="2"/>
  <c r="AQ21" i="2" s="1"/>
  <c r="AL21" i="2"/>
  <c r="AL9" i="2"/>
  <c r="AP9" i="2"/>
  <c r="AQ9" i="2" s="1"/>
  <c r="AL13" i="2"/>
  <c r="AP13" i="2"/>
  <c r="AQ13" i="2" s="1"/>
  <c r="AL27" i="2"/>
  <c r="AP27" i="2"/>
  <c r="AP11" i="2"/>
  <c r="AQ11" i="2" s="1"/>
  <c r="AL11" i="2"/>
  <c r="AP25" i="2"/>
  <c r="AQ25" i="2" s="1"/>
  <c r="AL25" i="2"/>
  <c r="AL17" i="2"/>
  <c r="AP17" i="2"/>
  <c r="AQ17" i="2" s="1"/>
  <c r="X24" i="2" l="1"/>
  <c r="U60" i="2"/>
  <c r="V60" i="2" s="1"/>
  <c r="V26" i="2"/>
  <c r="X26" i="2"/>
  <c r="X25" i="2"/>
  <c r="V33" i="2"/>
  <c r="X33" i="2"/>
  <c r="U54" i="2"/>
  <c r="T28" i="1"/>
  <c r="V32" i="2"/>
  <c r="X32" i="2"/>
  <c r="V27" i="2"/>
  <c r="X27" i="2"/>
  <c r="V54" i="2"/>
  <c r="W29" i="1"/>
  <c r="U29" i="1"/>
  <c r="G37" i="1"/>
  <c r="I37" i="1"/>
  <c r="U28" i="1"/>
  <c r="W28" i="1"/>
  <c r="V38" i="38"/>
  <c r="X38" i="38"/>
  <c r="Q39" i="2"/>
  <c r="S39" i="2"/>
  <c r="P40" i="2"/>
  <c r="AQ27" i="2"/>
  <c r="AJ34" i="2" s="1"/>
  <c r="S40" i="2" l="1"/>
  <c r="Q40" i="2"/>
  <c r="P41" i="2"/>
  <c r="P44" i="2" l="1"/>
  <c r="G42" i="2"/>
  <c r="S41" i="2"/>
  <c r="Q41" i="2"/>
  <c r="P51" i="2"/>
  <c r="P52" i="2" l="1"/>
  <c r="Q51" i="2"/>
  <c r="S44" i="2"/>
  <c r="Q44" i="2"/>
  <c r="P49" i="2"/>
  <c r="Q52" i="2" l="1"/>
  <c r="Q53" i="2"/>
  <c r="L7" i="38" l="1"/>
  <c r="N7" i="38"/>
  <c r="K24" i="38"/>
  <c r="N23" i="38"/>
  <c r="L23" i="38"/>
  <c r="L29" i="38"/>
  <c r="N29" i="38"/>
  <c r="N17" i="38"/>
  <c r="L17" i="38"/>
  <c r="L18" i="38"/>
  <c r="N18" i="38"/>
  <c r="N10" i="38"/>
  <c r="L10" i="38"/>
  <c r="L8" i="38"/>
  <c r="N8" i="38"/>
  <c r="L13" i="38"/>
  <c r="N13" i="38"/>
  <c r="K25" i="38"/>
  <c r="N11" i="38"/>
  <c r="L11" i="38"/>
  <c r="L16" i="38"/>
  <c r="N16" i="38"/>
  <c r="L20" i="38"/>
  <c r="N20" i="38"/>
  <c r="L15" i="38"/>
  <c r="N15" i="38"/>
  <c r="L12" i="38"/>
  <c r="N12" i="38"/>
  <c r="L14" i="38"/>
  <c r="N14" i="38"/>
  <c r="L21" i="38"/>
  <c r="N21" i="38"/>
  <c r="L28" i="38"/>
  <c r="K31" i="38"/>
  <c r="N28" i="38"/>
  <c r="N19" i="38"/>
  <c r="K26" i="38"/>
  <c r="L19" i="38"/>
  <c r="N30" i="38"/>
  <c r="L30" i="38"/>
  <c r="L9" i="38"/>
  <c r="N9" i="38"/>
  <c r="L22" i="38"/>
  <c r="N22" i="38"/>
  <c r="S30" i="38" l="1"/>
  <c r="Q30" i="38"/>
  <c r="Q19" i="38"/>
  <c r="S19" i="38"/>
  <c r="L26" i="38"/>
  <c r="F26" i="38"/>
  <c r="N26" i="38"/>
  <c r="L31" i="38"/>
  <c r="N31" i="38"/>
  <c r="F49" i="38"/>
  <c r="G49" i="38"/>
  <c r="N7" i="1"/>
  <c r="L7" i="1"/>
  <c r="L24" i="38"/>
  <c r="K27" i="38"/>
  <c r="F24" i="38"/>
  <c r="N24" i="38"/>
  <c r="N8" i="1"/>
  <c r="L8" i="1"/>
  <c r="L25" i="38"/>
  <c r="F25" i="38"/>
  <c r="N25" i="38"/>
  <c r="S21" i="38" l="1"/>
  <c r="Q21" i="38"/>
  <c r="S20" i="38"/>
  <c r="Q20" i="38"/>
  <c r="S18" i="38"/>
  <c r="Q18" i="38"/>
  <c r="S23" i="38"/>
  <c r="Q23" i="38"/>
  <c r="P26" i="38"/>
  <c r="S22" i="38"/>
  <c r="Q22" i="38"/>
  <c r="K49" i="38"/>
  <c r="G27" i="38"/>
  <c r="F23" i="38"/>
  <c r="L27" i="38"/>
  <c r="N27" i="38"/>
  <c r="F27" i="38"/>
  <c r="U61" i="38" l="1"/>
  <c r="V61" i="38" s="1"/>
  <c r="X35" i="38"/>
  <c r="V35" i="38"/>
  <c r="S26" i="38"/>
  <c r="Q26" i="38"/>
  <c r="V18" i="38"/>
  <c r="X18" i="38"/>
  <c r="U62" i="38"/>
  <c r="V62" i="38" s="1"/>
  <c r="X36" i="38"/>
  <c r="V36" i="38"/>
  <c r="X23" i="38"/>
  <c r="V23" i="38"/>
  <c r="X19" i="38"/>
  <c r="V19" i="38"/>
  <c r="U26" i="38" l="1"/>
  <c r="X26" i="38" s="1"/>
  <c r="X22" i="38"/>
  <c r="V22" i="38"/>
  <c r="V21" i="38"/>
  <c r="X21" i="38"/>
  <c r="V20" i="38"/>
  <c r="X20" i="38"/>
  <c r="V26" i="38" l="1"/>
  <c r="Q10" i="38" l="1"/>
  <c r="S10" i="38"/>
  <c r="Q12" i="38" l="1"/>
  <c r="S12" i="38"/>
  <c r="S28" i="38"/>
  <c r="Q28" i="38"/>
  <c r="P31" i="38"/>
  <c r="S17" i="38"/>
  <c r="Q17" i="38"/>
  <c r="Q14" i="38"/>
  <c r="S14" i="38"/>
  <c r="Q9" i="38"/>
  <c r="S9" i="38"/>
  <c r="S29" i="38"/>
  <c r="Q29" i="38"/>
  <c r="S8" i="38"/>
  <c r="Q8" i="38"/>
  <c r="Q13" i="38"/>
  <c r="S13" i="38"/>
  <c r="Q16" i="38"/>
  <c r="S16" i="38"/>
  <c r="S15" i="38"/>
  <c r="Q15" i="38"/>
  <c r="P24" i="38"/>
  <c r="Q7" i="38"/>
  <c r="S7" i="38"/>
  <c r="S11" i="38"/>
  <c r="Q11" i="38"/>
  <c r="P25" i="38"/>
  <c r="L9" i="1" l="1"/>
  <c r="N9" i="1"/>
  <c r="Q43" i="38"/>
  <c r="S43" i="38"/>
  <c r="S31" i="38"/>
  <c r="Q31" i="38"/>
  <c r="P27" i="38"/>
  <c r="S24" i="38"/>
  <c r="Q24" i="38"/>
  <c r="S25" i="38"/>
  <c r="Q25" i="38"/>
  <c r="N10" i="1"/>
  <c r="L10" i="1"/>
  <c r="N33" i="1"/>
  <c r="L33" i="1"/>
  <c r="S32" i="38" l="1"/>
  <c r="Q32" i="38"/>
  <c r="Q27" i="38"/>
  <c r="S27" i="38"/>
  <c r="P40" i="38" l="1"/>
  <c r="L11" i="1"/>
  <c r="N11" i="1"/>
  <c r="K12" i="1"/>
  <c r="Q33" i="38"/>
  <c r="S33" i="38"/>
  <c r="Q40" i="38" l="1"/>
  <c r="S40" i="38"/>
  <c r="P41" i="38"/>
  <c r="S39" i="38"/>
  <c r="Q39" i="38"/>
  <c r="N12" i="1"/>
  <c r="L12" i="1"/>
  <c r="P44" i="38" l="1"/>
  <c r="G42" i="38"/>
  <c r="Q41" i="38"/>
  <c r="S41" i="38"/>
  <c r="P51" i="38"/>
  <c r="K35" i="1" l="1"/>
  <c r="N34" i="1"/>
  <c r="L34" i="1"/>
  <c r="P52" i="38"/>
  <c r="Q51" i="38"/>
  <c r="S44" i="38"/>
  <c r="Q44" i="38"/>
  <c r="P49" i="38"/>
  <c r="Q53" i="38" l="1"/>
  <c r="Q52" i="38"/>
  <c r="L35" i="1"/>
  <c r="N35" i="1"/>
  <c r="N14" i="1" l="1"/>
  <c r="L14" i="1"/>
  <c r="K18" i="1"/>
  <c r="L13" i="1"/>
  <c r="N13" i="1"/>
  <c r="K17" i="1"/>
  <c r="N15" i="1" l="1"/>
  <c r="L15" i="1"/>
  <c r="K19" i="1"/>
  <c r="K16" i="1"/>
  <c r="L17" i="1"/>
  <c r="N17" i="1"/>
  <c r="K20" i="1"/>
  <c r="N18" i="1"/>
  <c r="L18" i="1"/>
  <c r="L16" i="1" l="1"/>
  <c r="N16" i="1"/>
  <c r="N19" i="1"/>
  <c r="L19" i="1"/>
  <c r="N20" i="1"/>
  <c r="L20" i="1"/>
  <c r="V33" i="38" l="1"/>
  <c r="X33" i="38"/>
  <c r="V10" i="38" l="1"/>
  <c r="X10" i="38"/>
  <c r="X7" i="38" l="1"/>
  <c r="V7" i="38"/>
  <c r="V8" i="38" l="1"/>
  <c r="X8" i="38"/>
  <c r="V9" i="38" l="1"/>
  <c r="X9" i="38"/>
  <c r="U24" i="38"/>
  <c r="X24" i="38" l="1"/>
  <c r="V24" i="38"/>
  <c r="V17" i="38" l="1"/>
  <c r="X17" i="38"/>
  <c r="V16" i="38" l="1"/>
  <c r="X16" i="38"/>
  <c r="X11" i="38" l="1"/>
  <c r="V11" i="38"/>
  <c r="V14" i="38" l="1"/>
  <c r="X14" i="38"/>
  <c r="X12" i="38"/>
  <c r="V12" i="38"/>
  <c r="X15" i="38"/>
  <c r="V15" i="38"/>
  <c r="V13" i="38" l="1"/>
  <c r="X13" i="38"/>
  <c r="U25" i="38"/>
  <c r="X25" i="38" l="1"/>
  <c r="V25" i="38"/>
  <c r="U27" i="38"/>
  <c r="V27" i="38" l="1"/>
  <c r="X27" i="38"/>
  <c r="V32" i="38" l="1"/>
  <c r="U54" i="38"/>
  <c r="U60" i="38"/>
  <c r="X32" i="38"/>
  <c r="V60" i="38" l="1"/>
  <c r="V54" i="38"/>
  <c r="V30" i="38" l="1"/>
  <c r="X30" i="38"/>
  <c r="K37" i="1" l="1"/>
  <c r="N36" i="1"/>
  <c r="L36" i="1"/>
  <c r="V43" i="38"/>
  <c r="X43" i="38"/>
  <c r="L37" i="1" l="1"/>
  <c r="N37" i="1"/>
  <c r="U31" i="2" l="1"/>
  <c r="I22" i="1"/>
  <c r="G22" i="1"/>
  <c r="F27" i="1"/>
  <c r="V29" i="38"/>
  <c r="X29" i="38"/>
  <c r="X29" i="2"/>
  <c r="V29" i="2"/>
  <c r="V28" i="2" l="1"/>
  <c r="X28" i="2"/>
  <c r="X37" i="2"/>
  <c r="X31" i="2"/>
  <c r="V31" i="2"/>
  <c r="U53" i="2"/>
  <c r="V53" i="2" s="1"/>
  <c r="I21" i="1"/>
  <c r="G21" i="1"/>
  <c r="F25" i="1"/>
  <c r="X34" i="2"/>
  <c r="T30" i="1"/>
  <c r="V34" i="2"/>
  <c r="U52" i="2"/>
  <c r="N22" i="1"/>
  <c r="L22" i="1"/>
  <c r="K27" i="1"/>
  <c r="V28" i="38"/>
  <c r="X28" i="38"/>
  <c r="U31" i="38"/>
  <c r="I27" i="1"/>
  <c r="G27" i="1"/>
  <c r="V37" i="2" l="1"/>
  <c r="U63" i="2"/>
  <c r="G23" i="1"/>
  <c r="I23" i="1"/>
  <c r="F28" i="1"/>
  <c r="F29" i="1" s="1"/>
  <c r="W52" i="2"/>
  <c r="V52" i="2"/>
  <c r="U30" i="1"/>
  <c r="W30" i="1"/>
  <c r="N27" i="1"/>
  <c r="L27" i="1"/>
  <c r="G25" i="1"/>
  <c r="I25" i="1"/>
  <c r="F26" i="1"/>
  <c r="N21" i="1"/>
  <c r="L21" i="1"/>
  <c r="K25" i="1"/>
  <c r="F24" i="1"/>
  <c r="V63" i="2"/>
  <c r="U63" i="38"/>
  <c r="V37" i="38"/>
  <c r="X37" i="38"/>
  <c r="V34" i="38"/>
  <c r="X34" i="38"/>
  <c r="U52" i="38"/>
  <c r="U53" i="38"/>
  <c r="V53" i="38" s="1"/>
  <c r="X31" i="38"/>
  <c r="V31" i="38"/>
  <c r="G26" i="1" l="1"/>
  <c r="I26" i="1"/>
  <c r="G24" i="1"/>
  <c r="I24" i="1"/>
  <c r="F30" i="1"/>
  <c r="I29" i="1"/>
  <c r="G29" i="1"/>
  <c r="L25" i="1"/>
  <c r="K26" i="1"/>
  <c r="N25" i="1"/>
  <c r="F40" i="1"/>
  <c r="I28" i="1"/>
  <c r="G28" i="1"/>
  <c r="V63" i="38"/>
  <c r="V52" i="38"/>
  <c r="W52" i="38"/>
  <c r="U55" i="2" l="1"/>
  <c r="N26" i="1"/>
  <c r="L26" i="1"/>
  <c r="N23" i="1"/>
  <c r="L23" i="1"/>
  <c r="K28" i="1"/>
  <c r="K24" i="1"/>
  <c r="G30" i="1"/>
  <c r="I30" i="1"/>
  <c r="U64" i="2"/>
  <c r="V39" i="2"/>
  <c r="X39" i="2"/>
  <c r="U40" i="2"/>
  <c r="U68" i="2"/>
  <c r="V68" i="2" s="1"/>
  <c r="L24" i="1" l="1"/>
  <c r="N24" i="1"/>
  <c r="V64" i="2"/>
  <c r="V65" i="2" s="1"/>
  <c r="U65" i="2"/>
  <c r="U64" i="38"/>
  <c r="X39" i="38"/>
  <c r="V39" i="38"/>
  <c r="U68" i="38"/>
  <c r="V68" i="38" s="1"/>
  <c r="U40" i="38"/>
  <c r="X40" i="2"/>
  <c r="T32" i="1"/>
  <c r="V40" i="2"/>
  <c r="U41" i="2"/>
  <c r="N28" i="1"/>
  <c r="L28" i="1"/>
  <c r="K29" i="1"/>
  <c r="U55" i="38"/>
  <c r="V55" i="2"/>
  <c r="V56" i="2" s="1"/>
  <c r="U56" i="2"/>
  <c r="U57" i="2"/>
  <c r="V57" i="2" s="1"/>
  <c r="V55" i="38" l="1"/>
  <c r="V56" i="38" s="1"/>
  <c r="U56" i="38"/>
  <c r="U57" i="38"/>
  <c r="V57" i="38" s="1"/>
  <c r="U44" i="2"/>
  <c r="X41" i="2"/>
  <c r="V41" i="2"/>
  <c r="U70" i="2"/>
  <c r="U71" i="2" s="1"/>
  <c r="V71" i="2" s="1"/>
  <c r="K30" i="1"/>
  <c r="N29" i="1"/>
  <c r="K40" i="1"/>
  <c r="L29" i="1"/>
  <c r="V64" i="38"/>
  <c r="V65" i="38" s="1"/>
  <c r="U65" i="38"/>
  <c r="T31" i="1"/>
  <c r="U32" i="1"/>
  <c r="W32" i="1"/>
  <c r="V40" i="38"/>
  <c r="X40" i="38"/>
  <c r="U41" i="38"/>
  <c r="W31" i="1" l="1"/>
  <c r="U31" i="1"/>
  <c r="L30" i="1"/>
  <c r="N30" i="1"/>
  <c r="X41" i="38"/>
  <c r="U70" i="38"/>
  <c r="U71" i="38" s="1"/>
  <c r="V71" i="38" s="1"/>
  <c r="V41" i="38"/>
  <c r="U44" i="38"/>
  <c r="X44" i="2"/>
  <c r="V44" i="2"/>
  <c r="U49" i="2"/>
  <c r="V44" i="38" l="1"/>
  <c r="X44" i="38"/>
  <c r="U49" i="38"/>
  <c r="V28" i="25" l="1"/>
  <c r="V26" i="25"/>
  <c r="V20" i="25"/>
  <c r="V17" i="25"/>
  <c r="V14" i="25" l="1"/>
  <c r="V13" i="25"/>
  <c r="V27" i="25"/>
  <c r="V19" i="25"/>
  <c r="V15" i="25"/>
  <c r="V10" i="25"/>
  <c r="V16" i="25"/>
  <c r="V22" i="25"/>
  <c r="V18" i="25"/>
  <c r="V12" i="25"/>
  <c r="V25" i="25"/>
  <c r="V24" i="25"/>
  <c r="J22" i="25"/>
  <c r="J16" i="25"/>
  <c r="J23" i="25"/>
  <c r="V21" i="25"/>
  <c r="J25" i="25"/>
  <c r="V23" i="25"/>
  <c r="G22" i="26" l="1"/>
  <c r="N22" i="25"/>
  <c r="G16" i="26"/>
  <c r="N16" i="25"/>
  <c r="G25" i="26"/>
  <c r="N25" i="25"/>
  <c r="N23" i="25"/>
  <c r="G23" i="26"/>
  <c r="J27" i="25"/>
  <c r="J13" i="25"/>
  <c r="J18" i="25"/>
  <c r="V11" i="25"/>
  <c r="P21" i="26"/>
  <c r="V8" i="25"/>
  <c r="J19" i="25"/>
  <c r="V9" i="25"/>
  <c r="M25" i="26"/>
  <c r="P19" i="26"/>
  <c r="M19" i="26"/>
  <c r="J24" i="25"/>
  <c r="J21" i="25"/>
  <c r="P20" i="26"/>
  <c r="J15" i="25"/>
  <c r="J20" i="25"/>
  <c r="M12" i="26"/>
  <c r="P12" i="26"/>
  <c r="J28" i="25"/>
  <c r="J17" i="25"/>
  <c r="J14" i="25"/>
  <c r="M14" i="26"/>
  <c r="J26" i="25"/>
  <c r="J12" i="25"/>
  <c r="M21" i="26"/>
  <c r="M27" i="26"/>
  <c r="P27" i="26"/>
  <c r="P13" i="26"/>
  <c r="M13" i="26"/>
  <c r="P24" i="26"/>
  <c r="M24" i="26"/>
  <c r="P18" i="26"/>
  <c r="M18" i="26"/>
  <c r="M22" i="26" l="1"/>
  <c r="P15" i="26"/>
  <c r="M17" i="26"/>
  <c r="M20" i="26"/>
  <c r="P28" i="26"/>
  <c r="P23" i="26"/>
  <c r="P26" i="26"/>
  <c r="M15" i="26"/>
  <c r="M16" i="26"/>
  <c r="M26" i="26"/>
  <c r="M28" i="26"/>
  <c r="P16" i="26"/>
  <c r="M23" i="26"/>
  <c r="P22" i="26"/>
  <c r="P17" i="26"/>
  <c r="P25" i="26"/>
  <c r="P14" i="26"/>
  <c r="N28" i="25"/>
  <c r="G28" i="26"/>
  <c r="N26" i="25"/>
  <c r="G26" i="26"/>
  <c r="N17" i="25"/>
  <c r="G17" i="26"/>
  <c r="N18" i="25"/>
  <c r="AM18" i="2"/>
  <c r="N21" i="25"/>
  <c r="G20" i="26"/>
  <c r="N20" i="25"/>
  <c r="G12" i="26"/>
  <c r="N12" i="25"/>
  <c r="N19" i="25"/>
  <c r="AM11" i="2"/>
  <c r="AM17" i="2"/>
  <c r="N27" i="25"/>
  <c r="G15" i="26"/>
  <c r="N15" i="25"/>
  <c r="AM20" i="2"/>
  <c r="N24" i="25"/>
  <c r="G24" i="26"/>
  <c r="J8" i="25"/>
  <c r="P11" i="26"/>
  <c r="M11" i="26"/>
  <c r="U14" i="1"/>
  <c r="U15" i="1"/>
  <c r="U13" i="1"/>
  <c r="U16" i="1"/>
  <c r="P10" i="26"/>
  <c r="M10" i="26"/>
  <c r="P9" i="26"/>
  <c r="M9" i="26"/>
  <c r="P8" i="26"/>
  <c r="M8" i="26"/>
  <c r="N13" i="25" l="1"/>
  <c r="AM15" i="2"/>
  <c r="N14" i="25"/>
  <c r="G17" i="25"/>
  <c r="L13" i="37"/>
  <c r="J10" i="25"/>
  <c r="U10" i="1"/>
  <c r="AM14" i="2"/>
  <c r="AM19" i="2"/>
  <c r="G21" i="26"/>
  <c r="G23" i="25"/>
  <c r="Y23" i="25" s="1"/>
  <c r="Z23" i="25" s="1"/>
  <c r="L19" i="37"/>
  <c r="AM16" i="2"/>
  <c r="G19" i="26"/>
  <c r="Q24" i="26"/>
  <c r="G22" i="25"/>
  <c r="Y22" i="25" s="1"/>
  <c r="Z22" i="25" s="1"/>
  <c r="L18" i="37"/>
  <c r="G15" i="25"/>
  <c r="L11" i="37"/>
  <c r="AM22" i="2"/>
  <c r="G27" i="26"/>
  <c r="AM13" i="2"/>
  <c r="Q19" i="26"/>
  <c r="T19" i="26" s="1"/>
  <c r="AM10" i="2"/>
  <c r="G18" i="26"/>
  <c r="AM23" i="2"/>
  <c r="Q18" i="26"/>
  <c r="T18" i="26" s="1"/>
  <c r="G18" i="25"/>
  <c r="L14" i="37"/>
  <c r="AM21" i="2"/>
  <c r="G19" i="25"/>
  <c r="L15" i="37"/>
  <c r="Q21" i="26"/>
  <c r="T21" i="26" s="1"/>
  <c r="U11" i="1"/>
  <c r="J11" i="25"/>
  <c r="Q27" i="26"/>
  <c r="Q13" i="26"/>
  <c r="J9" i="25"/>
  <c r="AM7" i="2"/>
  <c r="AM12" i="2"/>
  <c r="Q18" i="37"/>
  <c r="Q13" i="37"/>
  <c r="Q14" i="37"/>
  <c r="Q11" i="37"/>
  <c r="Q15" i="37"/>
  <c r="Q19" i="37"/>
  <c r="Y17" i="25" l="1"/>
  <c r="Z17" i="25" s="1"/>
  <c r="Q26" i="26"/>
  <c r="G14" i="26"/>
  <c r="Q11" i="26"/>
  <c r="G28" i="25"/>
  <c r="Y28" i="25" s="1"/>
  <c r="Z28" i="25" s="1"/>
  <c r="L24" i="37"/>
  <c r="N11" i="25"/>
  <c r="Q8" i="26"/>
  <c r="AM9" i="2"/>
  <c r="S12" i="1"/>
  <c r="U12" i="1" s="1"/>
  <c r="U9" i="1"/>
  <c r="AE16" i="2"/>
  <c r="Q20" i="26"/>
  <c r="G14" i="25"/>
  <c r="Y14" i="25" s="1"/>
  <c r="Z14" i="25" s="1"/>
  <c r="L10" i="37"/>
  <c r="T27" i="26"/>
  <c r="T24" i="26"/>
  <c r="G16" i="25"/>
  <c r="Y16" i="25" s="1"/>
  <c r="Z16" i="25" s="1"/>
  <c r="Q16" i="26"/>
  <c r="AE19" i="2"/>
  <c r="N8" i="25"/>
  <c r="G21" i="25"/>
  <c r="Y21" i="25" s="1"/>
  <c r="Z21" i="25" s="1"/>
  <c r="L17" i="37"/>
  <c r="Q23" i="26"/>
  <c r="G25" i="25"/>
  <c r="Y25" i="25" s="1"/>
  <c r="Z25" i="25" s="1"/>
  <c r="L21" i="37"/>
  <c r="AE13" i="2"/>
  <c r="Y18" i="25"/>
  <c r="Z18" i="25" s="1"/>
  <c r="N9" i="25"/>
  <c r="Q14" i="26"/>
  <c r="AE22" i="2"/>
  <c r="G12" i="25"/>
  <c r="Y12" i="25" s="1"/>
  <c r="Z12" i="25" s="1"/>
  <c r="Q17" i="26"/>
  <c r="Y19" i="25"/>
  <c r="Z19" i="25" s="1"/>
  <c r="Y15" i="25"/>
  <c r="Z15" i="25" s="1"/>
  <c r="AM8" i="2"/>
  <c r="G26" i="25"/>
  <c r="Y26" i="25" s="1"/>
  <c r="Z26" i="25" s="1"/>
  <c r="L22" i="37"/>
  <c r="Q10" i="26"/>
  <c r="Q9" i="26"/>
  <c r="Q22" i="26"/>
  <c r="G27" i="25"/>
  <c r="Y27" i="25" s="1"/>
  <c r="Z27" i="25" s="1"/>
  <c r="L23" i="37"/>
  <c r="G24" i="25"/>
  <c r="Y24" i="25" s="1"/>
  <c r="Z24" i="25" s="1"/>
  <c r="AE8" i="2"/>
  <c r="T13" i="26"/>
  <c r="G13" i="26"/>
  <c r="N10" i="25"/>
  <c r="Q25" i="26"/>
  <c r="AE14" i="2"/>
  <c r="Q15" i="26"/>
  <c r="Q28" i="26"/>
  <c r="Q12" i="26"/>
  <c r="G13" i="25"/>
  <c r="Y13" i="25" s="1"/>
  <c r="Z13" i="25" s="1"/>
  <c r="L9" i="37"/>
  <c r="Q17" i="37"/>
  <c r="Q10" i="37"/>
  <c r="Q9" i="37"/>
  <c r="Q21" i="37"/>
  <c r="Q24" i="37"/>
  <c r="G8" i="25"/>
  <c r="G9" i="25"/>
  <c r="Q22" i="37"/>
  <c r="G11" i="25"/>
  <c r="G10" i="25"/>
  <c r="Q23" i="37"/>
  <c r="Y8" i="25" l="1"/>
  <c r="Z8" i="25" s="1"/>
  <c r="Y10" i="25"/>
  <c r="Z10" i="25" s="1"/>
  <c r="AM27" i="2"/>
  <c r="AF34" i="2" s="1"/>
  <c r="Y9" i="25"/>
  <c r="Z9" i="25" s="1"/>
  <c r="J27" i="37"/>
  <c r="L27" i="37" s="1"/>
  <c r="L20" i="37"/>
  <c r="T8" i="26"/>
  <c r="G8" i="26"/>
  <c r="AE26" i="2"/>
  <c r="AE24" i="2"/>
  <c r="AE15" i="2"/>
  <c r="AE25" i="2"/>
  <c r="AM25" i="2"/>
  <c r="T9" i="26"/>
  <c r="G9" i="26"/>
  <c r="AM26" i="2"/>
  <c r="T25" i="26"/>
  <c r="Y11" i="25"/>
  <c r="Z11" i="25" s="1"/>
  <c r="AE21" i="2"/>
  <c r="G20" i="25"/>
  <c r="Y20" i="25" s="1"/>
  <c r="Z20" i="25" s="1"/>
  <c r="L16" i="37"/>
  <c r="T10" i="26"/>
  <c r="G10" i="26"/>
  <c r="T23" i="26"/>
  <c r="T20" i="26"/>
  <c r="T15" i="26"/>
  <c r="AE27" i="2"/>
  <c r="Q12" i="37"/>
  <c r="AE17" i="2"/>
  <c r="T12" i="26"/>
  <c r="T22" i="26"/>
  <c r="T11" i="26"/>
  <c r="G11" i="26"/>
  <c r="O25" i="37"/>
  <c r="Q8" i="37"/>
  <c r="AM24" i="2"/>
  <c r="AE12" i="2"/>
  <c r="AE10" i="2"/>
  <c r="AE7" i="2"/>
  <c r="T14" i="26"/>
  <c r="AE11" i="2"/>
  <c r="AE18" i="2"/>
  <c r="AE23" i="2"/>
  <c r="T17" i="26"/>
  <c r="O27" i="37"/>
  <c r="Q27" i="37" s="1"/>
  <c r="Q20" i="37"/>
  <c r="AE9" i="2"/>
  <c r="T28" i="26"/>
  <c r="T16" i="26"/>
  <c r="J26" i="37"/>
  <c r="L26" i="37" s="1"/>
  <c r="L12" i="37"/>
  <c r="AE20" i="2"/>
  <c r="J25" i="37"/>
  <c r="L8" i="37"/>
  <c r="T26" i="26"/>
  <c r="Q16" i="37"/>
  <c r="J28" i="37" l="1"/>
  <c r="L28" i="37" s="1"/>
  <c r="L25" i="37"/>
  <c r="Q25" i="37"/>
  <c r="O26" i="37"/>
  <c r="Q26" i="37" s="1"/>
  <c r="O28" i="37" l="1"/>
  <c r="Q28" i="37" s="1"/>
  <c r="V14" i="28" l="1"/>
  <c r="J14" i="27"/>
  <c r="M17" i="27"/>
  <c r="P20" i="27"/>
  <c r="V12" i="27"/>
  <c r="S8" i="28"/>
  <c r="S12" i="28"/>
  <c r="V15" i="28"/>
  <c r="P26" i="27"/>
  <c r="V13" i="27"/>
  <c r="S13" i="28"/>
  <c r="V24" i="28"/>
  <c r="M19" i="27"/>
  <c r="P25" i="27"/>
  <c r="V14" i="27"/>
  <c r="S14" i="28"/>
  <c r="V22" i="28"/>
  <c r="M20" i="27"/>
  <c r="P27" i="27"/>
  <c r="P12" i="28"/>
  <c r="S12" i="27"/>
  <c r="V15" i="27"/>
  <c r="S15" i="28"/>
  <c r="V21" i="28"/>
  <c r="P23" i="27"/>
  <c r="S13" i="27"/>
  <c r="P13" i="28"/>
  <c r="V24" i="27"/>
  <c r="S24" i="28"/>
  <c r="V16" i="28"/>
  <c r="S28" i="27"/>
  <c r="P28" i="28"/>
  <c r="J15" i="27"/>
  <c r="M25" i="27"/>
  <c r="P28" i="27"/>
  <c r="S14" i="27"/>
  <c r="P14" i="28"/>
  <c r="V22" i="27"/>
  <c r="S22" i="28"/>
  <c r="V17" i="28"/>
  <c r="J22" i="27"/>
  <c r="M27" i="27"/>
  <c r="S15" i="27"/>
  <c r="P15" i="28"/>
  <c r="S21" i="28"/>
  <c r="V18" i="28"/>
  <c r="J16" i="27"/>
  <c r="J18" i="27"/>
  <c r="M23" i="27"/>
  <c r="S24" i="27"/>
  <c r="P24" i="28"/>
  <c r="S16" i="28"/>
  <c r="V19" i="28"/>
  <c r="J24" i="27"/>
  <c r="G21" i="27"/>
  <c r="G21" i="28"/>
  <c r="M28" i="27"/>
  <c r="S22" i="27"/>
  <c r="P22" i="28"/>
  <c r="S17" i="28"/>
  <c r="V20" i="28"/>
  <c r="J13" i="27"/>
  <c r="G14" i="27"/>
  <c r="G14" i="28"/>
  <c r="G16" i="27"/>
  <c r="G16" i="28"/>
  <c r="J20" i="27"/>
  <c r="P12" i="27"/>
  <c r="P21" i="28"/>
  <c r="S18" i="28"/>
  <c r="V26" i="28"/>
  <c r="J26" i="27"/>
  <c r="P13" i="27"/>
  <c r="P16" i="28"/>
  <c r="S19" i="28"/>
  <c r="V25" i="28"/>
  <c r="J21" i="27"/>
  <c r="G18" i="27"/>
  <c r="G18" i="28"/>
  <c r="J25" i="27"/>
  <c r="P14" i="27"/>
  <c r="P17" i="28"/>
  <c r="S20" i="28"/>
  <c r="V27" i="28"/>
  <c r="P19" i="27"/>
  <c r="G15" i="27"/>
  <c r="G15" i="28"/>
  <c r="G17" i="27"/>
  <c r="G17" i="28"/>
  <c r="J27" i="27"/>
  <c r="M12" i="27"/>
  <c r="P15" i="27"/>
  <c r="P18" i="28"/>
  <c r="V26" i="27"/>
  <c r="S26" i="28"/>
  <c r="V23" i="28"/>
  <c r="M18" i="27"/>
  <c r="J17" i="27"/>
  <c r="G26" i="27"/>
  <c r="G26" i="28"/>
  <c r="J23" i="27"/>
  <c r="M13" i="27"/>
  <c r="P24" i="27"/>
  <c r="P19" i="28"/>
  <c r="V25" i="27"/>
  <c r="S25" i="28"/>
  <c r="V28" i="28"/>
  <c r="M26" i="27"/>
  <c r="J28" i="27"/>
  <c r="M14" i="27"/>
  <c r="P22" i="27"/>
  <c r="P20" i="28"/>
  <c r="V27" i="27"/>
  <c r="S27" i="28"/>
  <c r="M16" i="27"/>
  <c r="G24" i="27"/>
  <c r="G24" i="28"/>
  <c r="G25" i="27"/>
  <c r="G25" i="28"/>
  <c r="P21" i="27"/>
  <c r="P26" i="28"/>
  <c r="S26" i="27"/>
  <c r="V23" i="27"/>
  <c r="S23" i="28"/>
  <c r="G13" i="27"/>
  <c r="G13" i="28"/>
  <c r="G22" i="27"/>
  <c r="G22" i="28"/>
  <c r="G20" i="27"/>
  <c r="G20" i="28"/>
  <c r="G23" i="27"/>
  <c r="G23" i="28"/>
  <c r="P16" i="27"/>
  <c r="V28" i="27"/>
  <c r="S28" i="28"/>
  <c r="G12" i="27"/>
  <c r="G12" i="28"/>
  <c r="J19" i="27"/>
  <c r="G19" i="27"/>
  <c r="G19" i="28"/>
  <c r="G27" i="27"/>
  <c r="G27" i="28"/>
  <c r="M15" i="27"/>
  <c r="M24" i="27"/>
  <c r="S25" i="27"/>
  <c r="P25" i="28"/>
  <c r="G28" i="27"/>
  <c r="G28" i="28"/>
  <c r="M22" i="27"/>
  <c r="P17" i="27"/>
  <c r="S27" i="27"/>
  <c r="P27" i="28"/>
  <c r="V12" i="28"/>
  <c r="J12" i="27"/>
  <c r="M21" i="27"/>
  <c r="P18" i="27"/>
  <c r="S23" i="27"/>
  <c r="P23" i="28"/>
  <c r="V13" i="28"/>
  <c r="M23" i="28" l="1"/>
  <c r="M24" i="28"/>
  <c r="M13" i="28"/>
  <c r="M14" i="28"/>
  <c r="M16" i="28"/>
  <c r="M15" i="28"/>
  <c r="M19" i="28"/>
  <c r="P10" i="27"/>
  <c r="G11" i="27"/>
  <c r="G11" i="28"/>
  <c r="J16" i="28"/>
  <c r="J10" i="27"/>
  <c r="V9" i="28"/>
  <c r="J12" i="28"/>
  <c r="G10" i="27"/>
  <c r="G10" i="28"/>
  <c r="V8" i="28"/>
  <c r="J23" i="28"/>
  <c r="V10" i="28"/>
  <c r="M11" i="27"/>
  <c r="G8" i="27"/>
  <c r="G8" i="28"/>
  <c r="M10" i="27"/>
  <c r="M8" i="27"/>
  <c r="P8" i="28"/>
  <c r="G9" i="27"/>
  <c r="G9" i="28"/>
  <c r="M9" i="27"/>
  <c r="J14" i="28"/>
  <c r="S10" i="28"/>
  <c r="P9" i="28"/>
  <c r="S9" i="27"/>
  <c r="V11" i="27"/>
  <c r="S11" i="28"/>
  <c r="V9" i="27"/>
  <c r="S9" i="28"/>
  <c r="J9" i="27"/>
  <c r="J20" i="28"/>
  <c r="P11" i="27"/>
  <c r="J17" i="28"/>
  <c r="J21" i="28"/>
  <c r="P11" i="28"/>
  <c r="S11" i="27"/>
  <c r="J27" i="28"/>
  <c r="V11" i="28"/>
  <c r="J22" i="28"/>
  <c r="J15" i="28"/>
  <c r="P8" i="27"/>
  <c r="J28" i="28"/>
  <c r="J19" i="28"/>
  <c r="J25" i="28"/>
  <c r="P9" i="27"/>
  <c r="J11" i="27"/>
  <c r="J13" i="28"/>
  <c r="J26" i="28"/>
  <c r="J8" i="27"/>
  <c r="J24" i="28"/>
  <c r="J18" i="28"/>
  <c r="P10" i="28"/>
  <c r="M25" i="28" l="1"/>
  <c r="M26" i="28"/>
  <c r="M18" i="28"/>
  <c r="M22" i="28"/>
  <c r="M12" i="28"/>
  <c r="M21" i="28"/>
  <c r="M17" i="28"/>
  <c r="M27" i="28"/>
  <c r="M28" i="28"/>
  <c r="M20" i="28"/>
  <c r="J10" i="28"/>
  <c r="J11" i="28"/>
  <c r="J9" i="28"/>
  <c r="R23" i="26" l="1"/>
  <c r="J23" i="26"/>
  <c r="R28" i="26"/>
  <c r="J28" i="26"/>
  <c r="M11" i="28"/>
  <c r="J8" i="28"/>
  <c r="M9" i="28"/>
  <c r="R25" i="26"/>
  <c r="J25" i="26"/>
  <c r="M10" i="28"/>
  <c r="R15" i="26"/>
  <c r="J15" i="26"/>
  <c r="R14" i="26"/>
  <c r="J14" i="26"/>
  <c r="R12" i="26"/>
  <c r="J12" i="26"/>
  <c r="R22" i="26"/>
  <c r="J22" i="26"/>
  <c r="R26" i="26"/>
  <c r="J26" i="26"/>
  <c r="R13" i="26"/>
  <c r="J13" i="26"/>
  <c r="R27" i="26"/>
  <c r="J27" i="26"/>
  <c r="M8" i="28"/>
  <c r="R24" i="26"/>
  <c r="J24" i="26"/>
  <c r="U12" i="26" l="1"/>
  <c r="V12" i="26" s="1"/>
  <c r="S12" i="26"/>
  <c r="U14" i="26"/>
  <c r="V14" i="26" s="1"/>
  <c r="S14" i="26"/>
  <c r="U15" i="26"/>
  <c r="V15" i="26" s="1"/>
  <c r="S15" i="26"/>
  <c r="U27" i="26"/>
  <c r="V27" i="26" s="1"/>
  <c r="S27" i="26"/>
  <c r="U22" i="26"/>
  <c r="V22" i="26" s="1"/>
  <c r="S22" i="26"/>
  <c r="R9" i="26"/>
  <c r="J9" i="26"/>
  <c r="U24" i="26"/>
  <c r="V24" i="26" s="1"/>
  <c r="S24" i="26"/>
  <c r="U13" i="26"/>
  <c r="V13" i="26" s="1"/>
  <c r="S13" i="26"/>
  <c r="R11" i="26"/>
  <c r="J11" i="26"/>
  <c r="U25" i="26"/>
  <c r="V25" i="26" s="1"/>
  <c r="S25" i="26"/>
  <c r="U26" i="26"/>
  <c r="V26" i="26" s="1"/>
  <c r="S26" i="26"/>
  <c r="U28" i="26"/>
  <c r="V28" i="26" s="1"/>
  <c r="S28" i="26"/>
  <c r="U23" i="26"/>
  <c r="V23" i="26" s="1"/>
  <c r="S23" i="26"/>
  <c r="AF23" i="2" l="1"/>
  <c r="U11" i="26"/>
  <c r="V11" i="26" s="1"/>
  <c r="S11" i="26"/>
  <c r="AF8" i="2"/>
  <c r="AF20" i="2"/>
  <c r="AF17" i="2"/>
  <c r="AF19" i="2"/>
  <c r="AF21" i="2"/>
  <c r="AF18" i="2"/>
  <c r="U9" i="26"/>
  <c r="V9" i="26" s="1"/>
  <c r="S9" i="26"/>
  <c r="AF22" i="2"/>
  <c r="AF7" i="2"/>
  <c r="AF10" i="2"/>
  <c r="AF9" i="2"/>
  <c r="AF26" i="2" l="1"/>
  <c r="AF24" i="2"/>
  <c r="W17" i="1" l="1"/>
  <c r="U17" i="1"/>
  <c r="W19" i="1"/>
  <c r="U19" i="1"/>
  <c r="S20" i="27" l="1"/>
  <c r="S19" i="27" l="1"/>
  <c r="S18" i="27" l="1"/>
  <c r="S17" i="27"/>
  <c r="S21" i="27"/>
  <c r="S16" i="27" l="1"/>
  <c r="S10" i="27" l="1"/>
  <c r="S8" i="27"/>
  <c r="V20" i="27" l="1"/>
  <c r="V21" i="27"/>
  <c r="V18" i="27" l="1"/>
  <c r="V19" i="27"/>
  <c r="V17" i="27" l="1"/>
  <c r="R20" i="26" l="1"/>
  <c r="J20" i="26"/>
  <c r="R21" i="26"/>
  <c r="J21" i="26"/>
  <c r="R18" i="26" l="1"/>
  <c r="J18" i="26"/>
  <c r="R19" i="26"/>
  <c r="J19" i="26"/>
  <c r="U21" i="26"/>
  <c r="V21" i="26" s="1"/>
  <c r="S21" i="26"/>
  <c r="U20" i="26"/>
  <c r="V20" i="26" s="1"/>
  <c r="S20" i="26"/>
  <c r="AF15" i="2" l="1"/>
  <c r="R17" i="26"/>
  <c r="J17" i="26"/>
  <c r="AF16" i="2"/>
  <c r="U19" i="26"/>
  <c r="V19" i="26" s="1"/>
  <c r="S19" i="26"/>
  <c r="U18" i="26"/>
  <c r="V18" i="26" s="1"/>
  <c r="S18" i="26"/>
  <c r="AF13" i="2" l="1"/>
  <c r="AF14" i="2"/>
  <c r="U17" i="26"/>
  <c r="V17" i="26" s="1"/>
  <c r="S17" i="26"/>
  <c r="AF12" i="2" l="1"/>
  <c r="V16" i="27"/>
  <c r="V8" i="27" l="1"/>
  <c r="V10" i="27"/>
  <c r="R16" i="26" l="1"/>
  <c r="J16" i="26"/>
  <c r="R8" i="26" l="1"/>
  <c r="J8" i="26"/>
  <c r="R10" i="26"/>
  <c r="J10" i="26"/>
  <c r="U16" i="26"/>
  <c r="V16" i="26" s="1"/>
  <c r="S16" i="26"/>
  <c r="AF11" i="2" l="1"/>
  <c r="U10" i="26"/>
  <c r="V10" i="26" s="1"/>
  <c r="S10" i="26"/>
  <c r="U8" i="26"/>
  <c r="V8" i="26" s="1"/>
  <c r="S8" i="26"/>
  <c r="AF25" i="2" l="1"/>
  <c r="AF27" i="2"/>
  <c r="W18" i="1" l="1"/>
  <c r="U18" i="1"/>
  <c r="W20" i="1"/>
  <c r="U20" i="1"/>
  <c r="R28" i="25" l="1"/>
  <c r="R13" i="25"/>
  <c r="R23" i="25"/>
  <c r="R17" i="25"/>
  <c r="R22" i="25"/>
  <c r="R15" i="25"/>
  <c r="R16" i="25"/>
  <c r="R19" i="25"/>
  <c r="R21" i="25"/>
  <c r="R26" i="25"/>
  <c r="R27" i="25"/>
  <c r="R24" i="25"/>
  <c r="R14" i="25"/>
  <c r="R18" i="25"/>
  <c r="R12" i="25"/>
  <c r="R20" i="25"/>
  <c r="R25" i="25"/>
  <c r="R11" i="25" l="1"/>
  <c r="R8" i="25"/>
  <c r="R10" i="25"/>
  <c r="R9" i="25"/>
  <c r="AE13" i="38" l="1"/>
  <c r="AE14" i="38"/>
  <c r="AE16" i="38"/>
  <c r="AE8" i="38"/>
  <c r="AE19" i="38"/>
  <c r="AE22" i="38"/>
  <c r="AE26" i="38" l="1"/>
  <c r="AE25" i="38"/>
  <c r="AE18" i="38"/>
  <c r="AE10" i="38"/>
  <c r="AE15" i="38"/>
  <c r="AE21" i="38"/>
  <c r="AE17" i="38"/>
  <c r="AE9" i="38"/>
  <c r="AE20" i="38"/>
  <c r="AE23" i="38"/>
  <c r="AE11" i="38"/>
  <c r="AE12" i="38"/>
  <c r="AE24" i="38"/>
  <c r="AE7" i="38" l="1"/>
  <c r="AE27" i="38"/>
  <c r="T26" i="37" l="1"/>
  <c r="X9" i="37"/>
  <c r="V9" i="37"/>
  <c r="X24" i="37"/>
  <c r="V24" i="37"/>
  <c r="X10" i="37"/>
  <c r="V10" i="37"/>
  <c r="X20" i="37"/>
  <c r="V20" i="37"/>
  <c r="V18" i="37"/>
  <c r="X18" i="37"/>
  <c r="V16" i="37"/>
  <c r="X16" i="37"/>
  <c r="X23" i="37"/>
  <c r="X21" i="37"/>
  <c r="V21" i="37"/>
  <c r="T25" i="37"/>
  <c r="V15" i="37"/>
  <c r="X15" i="37"/>
  <c r="X17" i="37"/>
  <c r="V17" i="37"/>
  <c r="X14" i="37"/>
  <c r="V14" i="37"/>
  <c r="X19" i="37"/>
  <c r="V19" i="37"/>
  <c r="V13" i="37"/>
  <c r="X13" i="37"/>
  <c r="X12" i="37"/>
  <c r="V12" i="37"/>
  <c r="U26" i="37"/>
  <c r="T27" i="37"/>
  <c r="U27" i="37"/>
  <c r="V23" i="37" l="1"/>
  <c r="Y26" i="37"/>
  <c r="V27" i="37"/>
  <c r="X27" i="37"/>
  <c r="AA14" i="37"/>
  <c r="AC14" i="37"/>
  <c r="AC20" i="37"/>
  <c r="AA20" i="37"/>
  <c r="AA9" i="37"/>
  <c r="AC9" i="37"/>
  <c r="AA16" i="37"/>
  <c r="AC16" i="37"/>
  <c r="X11" i="37"/>
  <c r="V11" i="37"/>
  <c r="AC21" i="37"/>
  <c r="AA21" i="37"/>
  <c r="AC23" i="37"/>
  <c r="AA23" i="37"/>
  <c r="AC18" i="37"/>
  <c r="AA18" i="37"/>
  <c r="Y27" i="37"/>
  <c r="AA19" i="37"/>
  <c r="AC19" i="37"/>
  <c r="AC10" i="37"/>
  <c r="AA10" i="37"/>
  <c r="Y25" i="37"/>
  <c r="Y28" i="37" s="1"/>
  <c r="AC17" i="37"/>
  <c r="AA17" i="37"/>
  <c r="T28" i="37"/>
  <c r="V8" i="37"/>
  <c r="U25" i="37"/>
  <c r="X8" i="37"/>
  <c r="V22" i="37"/>
  <c r="X22" i="37"/>
  <c r="V26" i="37"/>
  <c r="X26" i="37"/>
  <c r="AA24" i="37"/>
  <c r="AC24" i="37"/>
  <c r="AA13" i="37"/>
  <c r="AC13" i="37"/>
  <c r="AA12" i="37"/>
  <c r="AC12" i="37"/>
  <c r="Z26" i="37"/>
  <c r="AA15" i="37"/>
  <c r="AC15" i="37"/>
  <c r="AA8" i="37" l="1"/>
  <c r="AC8" i="37"/>
  <c r="Z25" i="37"/>
  <c r="U28" i="37"/>
  <c r="V25" i="37"/>
  <c r="X25" i="37"/>
  <c r="AC26" i="37"/>
  <c r="AA26" i="37"/>
  <c r="AC11" i="37"/>
  <c r="AA11" i="37"/>
  <c r="AA22" i="37" l="1"/>
  <c r="AC22" i="37"/>
  <c r="Z27" i="37"/>
  <c r="V28" i="37"/>
  <c r="X28" i="37"/>
  <c r="AA25" i="37"/>
  <c r="AC25" i="37"/>
  <c r="Z28" i="37"/>
  <c r="AC28" i="37" l="1"/>
  <c r="AA28" i="37"/>
  <c r="AA27" i="37"/>
  <c r="AC27" i="37"/>
  <c r="AF16" i="38" l="1"/>
  <c r="AF7" i="38"/>
  <c r="AF17" i="38"/>
  <c r="AF18" i="38"/>
  <c r="AF15" i="38"/>
  <c r="AF9" i="38"/>
  <c r="AF21" i="38"/>
  <c r="AF14" i="38"/>
  <c r="AF22" i="38"/>
  <c r="AF13" i="38"/>
  <c r="AF23" i="38"/>
  <c r="AF19" i="38"/>
  <c r="AF12" i="38"/>
  <c r="AF10" i="38"/>
  <c r="AF8" i="38"/>
  <c r="AF20" i="38"/>
  <c r="AF11" i="38"/>
  <c r="AF27" i="38" l="1"/>
  <c r="AI27" i="38" s="1"/>
  <c r="AF26" i="38"/>
  <c r="AF25" i="38"/>
  <c r="AF24" i="38"/>
  <c r="W23" i="1" l="1"/>
  <c r="T25" i="1"/>
  <c r="U23" i="1"/>
  <c r="W25" i="1" l="1"/>
  <c r="U25" i="1"/>
  <c r="AF33" i="2" l="1"/>
  <c r="AJ33" i="2"/>
  <c r="AA36" i="2" l="1"/>
  <c r="AB36" i="2" l="1"/>
  <c r="AF30" i="2" s="1"/>
  <c r="AD36" i="2"/>
  <c r="AJ30" i="2" s="1"/>
  <c r="AA30" i="2" l="1"/>
  <c r="AA31" i="2"/>
  <c r="AB30" i="2" l="1"/>
  <c r="AD30" i="2"/>
  <c r="AD31" i="2"/>
  <c r="AB31" i="2"/>
  <c r="AA32" i="2"/>
  <c r="AB32" i="2" l="1"/>
  <c r="AF32" i="2" s="1"/>
  <c r="AF35" i="2" s="1"/>
  <c r="AD32" i="2"/>
  <c r="AJ32" i="2" s="1"/>
  <c r="AJ35" i="2" s="1"/>
</calcChain>
</file>

<file path=xl/sharedStrings.xml><?xml version="1.0" encoding="utf-8"?>
<sst xmlns="http://schemas.openxmlformats.org/spreadsheetml/2006/main" count="711" uniqueCount="223">
  <si>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</si>
  <si>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</si>
  <si>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</si>
  <si>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</si>
  <si>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</si>
  <si>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</si>
  <si>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</si>
  <si>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</si>
  <si>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</si>
  <si>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</si>
  <si>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</si>
  <si>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</si>
  <si>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</si>
  <si>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</si>
  <si>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</si>
  <si>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</si>
  <si>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</si>
  <si>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</si>
  <si>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</si>
  <si>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</si>
  <si>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</si>
  <si>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</si>
  <si>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</si>
  <si>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</si>
  <si>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</si>
  <si>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</si>
  <si>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</si>
  <si>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</si>
  <si>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</si>
  <si>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</si>
  <si>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</si>
  <si>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</si>
  <si>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</si>
  <si>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</si>
  <si>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</si>
  <si>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</si>
  <si>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</si>
  <si>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</si>
  <si>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</si>
  <si>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</si>
  <si>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</si>
  <si>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</si>
  <si>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</si>
  <si>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</si>
  <si>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</si>
  <si>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</si>
  <si>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</si>
  <si>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</si>
  <si>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</si>
  <si>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</si>
  <si>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</si>
  <si>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</si>
  <si>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</si>
  <si>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</si>
  <si>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</si>
  <si>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</si>
  <si>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</si>
  <si>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</si>
  <si>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</si>
  <si>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</si>
  <si>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</si>
  <si>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</si>
  <si>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</si>
  <si>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</si>
  <si>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</si>
  <si>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</si>
  <si>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</si>
  <si>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</si>
  <si>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</si>
  <si>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</si>
  <si>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</si>
  <si>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</si>
  <si>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</si>
  <si>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</si>
  <si>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</si>
  <si>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</si>
  <si>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</si>
  <si>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</si>
  <si>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</si>
  <si>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</si>
  <si>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</si>
  <si>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</si>
  <si>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</si>
  <si>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</si>
  <si>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</si>
  <si>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</si>
  <si>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</si>
  <si>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</si>
  <si>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</si>
  <si>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</si>
  <si>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</si>
  <si>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</si>
  <si>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</si>
  <si>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</si>
  <si>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</si>
  <si>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</si>
  <si>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</si>
  <si>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</si>
  <si>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</si>
  <si>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</si>
  <si>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</si>
  <si>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</si>
  <si>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</si>
  <si>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</si>
  <si>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</si>
  <si>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</si>
  <si>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</si>
  <si>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</si>
  <si>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</si>
  <si>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</si>
  <si>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</si>
  <si>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</si>
  <si>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</si>
  <si>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</si>
  <si>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</si>
  <si>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</si>
  <si>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</si>
  <si>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</si>
  <si>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</si>
  <si>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</si>
  <si>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</si>
  <si>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</si>
  <si>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</si>
  <si>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</si>
  <si>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</si>
  <si>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</si>
  <si>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</si>
  <si>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</si>
  <si>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</si>
  <si>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</si>
  <si>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</si>
  <si>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</si>
  <si>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</si>
  <si>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</si>
  <si>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</si>
  <si>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</si>
  <si>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</si>
  <si>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</si>
  <si>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</si>
  <si>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</si>
  <si>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</si>
  <si>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</si>
  <si>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</si>
  <si>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</si>
  <si>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</si>
  <si>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</si>
  <si>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</si>
  <si>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</si>
  <si>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</si>
  <si>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</si>
  <si>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</si>
  <si>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</si>
  <si>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</si>
  <si>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</si>
  <si>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</si>
  <si>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 xml:space="preserve">   · 집합대손 2.2억 // 개별대손 3억(삼정이앤시) → 안양 2.9억, 양산 0.1억</t>
    <phoneticPr fontId="1" type="noConversion"/>
  </si>
  <si>
    <t>퇴직위로금</t>
    <phoneticPr fontId="1" type="noConversion"/>
  </si>
  <si>
    <t>[단위 : 톤, 천원]</t>
    <phoneticPr fontId="1" type="noConversion"/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</si>
  <si>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</si>
  <si>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</si>
  <si>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</si>
  <si>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</si>
  <si>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</si>
  <si>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</si>
  <si>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</si>
  <si>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</si>
  <si>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영업이익(공통비 배부후)</t>
    <phoneticPr fontId="1" type="noConversion"/>
  </si>
  <si>
    <t>레미콘사업본부</t>
    <phoneticPr fontId="1" type="noConversion"/>
  </si>
  <si>
    <t>2024년 1월 마감 손익</t>
  </si>
  <si>
    <t>물량</t>
    <phoneticPr fontId="1" type="noConversion"/>
  </si>
  <si>
    <t>매출</t>
    <phoneticPr fontId="1" type="noConversion"/>
  </si>
  <si>
    <t>매출이익</t>
    <phoneticPr fontId="1" type="noConversion"/>
  </si>
  <si>
    <t>영업이익</t>
    <phoneticPr fontId="1" type="noConversion"/>
  </si>
  <si>
    <t xml:space="preserve"> * 건자재</t>
    <phoneticPr fontId="1" type="noConversion"/>
  </si>
  <si>
    <t>EBITDA</t>
    <phoneticPr fontId="1" type="noConversion"/>
  </si>
  <si>
    <t>감가상각비</t>
    <phoneticPr fontId="1" type="noConversion"/>
  </si>
  <si>
    <t>판관</t>
    <phoneticPr fontId="1" type="noConversion"/>
  </si>
  <si>
    <t>영업이익 I</t>
    <phoneticPr fontId="1" type="noConversion"/>
  </si>
  <si>
    <t>영업이익 II</t>
    <phoneticPr fontId="1" type="noConversion"/>
  </si>
  <si>
    <t>건자재영업</t>
  </si>
  <si>
    <t>(%)</t>
    <phoneticPr fontId="1" type="noConversion"/>
  </si>
  <si>
    <t>전월</t>
    <phoneticPr fontId="1" type="noConversion"/>
  </si>
  <si>
    <t>1군</t>
    <phoneticPr fontId="1" type="noConversion"/>
  </si>
  <si>
    <t xml:space="preserve"> - 1군비율 : </t>
    <phoneticPr fontId="1" type="noConversion"/>
  </si>
  <si>
    <t>중소</t>
    <phoneticPr fontId="1" type="noConversion"/>
  </si>
  <si>
    <t xml:space="preserve"> - 강도</t>
    <phoneticPr fontId="1" type="noConversion"/>
  </si>
  <si>
    <t>강도</t>
    <phoneticPr fontId="1" type="noConversion"/>
  </si>
  <si>
    <t xml:space="preserve"> - mix차이</t>
    <phoneticPr fontId="1" type="noConversion"/>
  </si>
  <si>
    <t>1군비율</t>
    <phoneticPr fontId="1" type="noConversion"/>
  </si>
  <si>
    <t xml:space="preserve"> - 합계</t>
    <phoneticPr fontId="1" type="noConversion"/>
  </si>
  <si>
    <t>원/㎥</t>
    <phoneticPr fontId="1" type="noConversion"/>
  </si>
  <si>
    <t>판매비중</t>
    <phoneticPr fontId="1" type="noConversion"/>
  </si>
  <si>
    <t>공장명</t>
    <phoneticPr fontId="1" type="noConversion"/>
  </si>
  <si>
    <t>추정</t>
    <phoneticPr fontId="1" type="noConversion"/>
  </si>
  <si>
    <t xml:space="preserve"> □ 판매단가</t>
    <phoneticPr fontId="1" type="noConversion"/>
  </si>
  <si>
    <t xml:space="preserve"> - 1군소급</t>
    <phoneticPr fontId="1" type="noConversion"/>
  </si>
  <si>
    <t xml:space="preserve">원/㎥ </t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</si>
  <si>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  <scheme val="minor"/>
      </rPr>
      <t>○</t>
    </r>
    <r>
      <rPr>
        <sz val="11"/>
        <color theme="1"/>
        <rFont val="맑은 고딕"/>
        <family val="3"/>
        <charset val="129"/>
        <scheme val="minor"/>
      </rPr>
      <t xml:space="preserve"> 계획대비 차이</t>
    </r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</si>
  <si>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  <scheme val="minor"/>
      </rPr>
      <t>○</t>
    </r>
    <r>
      <rPr>
        <sz val="11"/>
        <color theme="1"/>
        <rFont val="맑은 고딕"/>
        <family val="3"/>
        <charset val="129"/>
        <scheme val="minor"/>
      </rPr>
      <t xml:space="preserve"> 전월대비 차이</t>
    </r>
    <phoneticPr fontId="1" type="noConversion"/>
  </si>
  <si>
    <t>원/㎥↑</t>
    <phoneticPr fontId="1" type="noConversion"/>
  </si>
  <si>
    <t xml:space="preserve"> - 치환율</t>
    <phoneticPr fontId="1" type="noConversion"/>
  </si>
  <si>
    <t xml:space="preserve"> - 원단위</t>
    <phoneticPr fontId="1" type="noConversion"/>
  </si>
  <si>
    <t xml:space="preserve"> - 강도</t>
    <phoneticPr fontId="1" type="noConversion"/>
  </si>
  <si>
    <t xml:space="preserve"> □ 결합재</t>
    <phoneticPr fontId="1" type="noConversion"/>
  </si>
  <si>
    <t xml:space="preserve"> - 단가</t>
    <phoneticPr fontId="1" type="noConversion"/>
  </si>
  <si>
    <t>2026년 4월 마감 손익</t>
    <phoneticPr fontId="1" type="noConversion"/>
  </si>
  <si>
    <t>□ 레미콘 원재료 원단위(2026-04)</t>
  </si>
  <si>
    <t>□ 레미콘 원재료단가(2026-04)</t>
  </si>
  <si>
    <t>□ 레미콘 단위당 공헌이익(2026-04)</t>
  </si>
  <si>
    <t>□ 레미콘 영업이익 차이분석(2026-04)</t>
  </si>
  <si>
    <t>□ 레미콘 영업이익(4월)</t>
  </si>
  <si>
    <t>4월</t>
  </si>
  <si>
    <t>4월누계</t>
  </si>
  <si>
    <t>4월 주요지표</t>
  </si>
  <si>
    <t>□ 사업장별 손익실적(2026-04)</t>
  </si>
  <si>
    <t>2024년 4월 마감 손익</t>
  </si>
  <si>
    <t>2024년 4월누계 마감 손익</t>
  </si>
  <si>
    <t>□ 사업장별 손익실적(2026-04누계)</t>
  </si>
  <si>
    <t>□ 건자재 손익실적(2026-04)</t>
  </si>
  <si>
    <t xml:space="preserve"> ※ 1군소급 : 589백만원</t>
    <phoneticPr fontId="1" type="noConversion"/>
  </si>
  <si>
    <t xml:space="preserve">  - 원단위 차이 : 1,404원/㎥(치환율 224원↑, 원단위 71원↑, 강도 1,109원↑)</t>
    <phoneticPr fontId="1" type="noConversion"/>
  </si>
  <si>
    <t xml:space="preserve">  - 단가 차이 : 866원/㎥(OPC 단가 3,000원/톤)</t>
    <phoneticPr fontId="1" type="noConversion"/>
  </si>
  <si>
    <t>□ 건재사업본부 손익실적(2026-04)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</si>
</sst>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#,##0.000_);[Red]\(#,##0.000\)"/>
    <numFmt numFmtId="181" formatCode="#,##0.0"/>
    <numFmt numFmtId="182" formatCode="0.0"/>
    <numFmt numFmtId="183" formatCode="#,##0.000000_ "/>
    <numFmt numFmtId="184" formatCode="0_);[Red]\(0\)"/>
    <numFmt numFmtId="185" formatCode="#,##0.00_);[Red]\(#,##0.00\)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6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0" fillId="0" borderId="0"/>
    <xf numFmtId="9" fontId="3" fillId="0" borderId="0" applyFont="0" applyFill="0" applyBorder="0" applyAlignment="0" applyProtection="0">
      <alignment vertical="center"/>
    </xf>
  </cellStyleXfs>
  <cellXfs count="69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2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2" fillId="0" borderId="4" xfId="0" applyFont="1" applyBorder="1">
      <alignment vertical="center"/>
    </xf>
    <xf numFmtId="0" fontId="12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2" fillId="0" borderId="13" xfId="0" applyNumberFormat="1" applyFont="1" applyBorder="1">
      <alignment vertical="center"/>
    </xf>
    <xf numFmtId="177" fontId="12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2" fillId="0" borderId="16" xfId="0" applyNumberFormat="1" applyFont="1" applyBorder="1">
      <alignment vertical="center"/>
    </xf>
    <xf numFmtId="177" fontId="12" fillId="0" borderId="17" xfId="0" applyNumberFormat="1" applyFont="1" applyBorder="1">
      <alignment vertical="center"/>
    </xf>
    <xf numFmtId="0" fontId="13" fillId="6" borderId="2" xfId="0" applyFont="1" applyFill="1" applyBorder="1" applyAlignment="1">
      <alignment horizontal="centerContinuous" vertical="center"/>
    </xf>
    <xf numFmtId="0" fontId="13" fillId="6" borderId="3" xfId="0" applyFont="1" applyFill="1" applyBorder="1" applyAlignment="1">
      <alignment horizontal="centerContinuous" vertical="center"/>
    </xf>
    <xf numFmtId="0" fontId="14" fillId="0" borderId="0" xfId="0" applyFont="1">
      <alignment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5" fillId="9" borderId="34" xfId="0" applyFont="1" applyFill="1" applyBorder="1" applyAlignment="1">
      <alignment horizontal="centerContinuous" vertical="center"/>
    </xf>
    <xf numFmtId="0" fontId="15" fillId="9" borderId="35" xfId="0" applyFont="1" applyFill="1" applyBorder="1" applyAlignment="1">
      <alignment horizontal="centerContinuous" vertical="center"/>
    </xf>
    <xf numFmtId="0" fontId="15" fillId="9" borderId="36" xfId="0" applyFont="1" applyFill="1" applyBorder="1" applyAlignment="1">
      <alignment horizontal="centerContinuous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50" xfId="0" applyFont="1" applyFill="1" applyBorder="1" applyAlignment="1">
      <alignment horizontal="center" vertical="center"/>
    </xf>
    <xf numFmtId="0" fontId="15" fillId="9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4" xfId="0" applyNumberFormat="1" applyFont="1" applyBorder="1">
      <alignment vertical="center"/>
    </xf>
    <xf numFmtId="176" fontId="7" fillId="8" borderId="28" xfId="0" applyNumberFormat="1" applyFont="1" applyFill="1" applyBorder="1" applyAlignment="1">
      <alignment horizontal="center" vertical="center"/>
    </xf>
    <xf numFmtId="176" fontId="7" fillId="8" borderId="12" xfId="0" applyNumberFormat="1" applyFont="1" applyFill="1" applyBorder="1" applyAlignment="1">
      <alignment horizontal="center" vertical="center"/>
    </xf>
    <xf numFmtId="176" fontId="7" fillId="8" borderId="6" xfId="0" applyNumberFormat="1" applyFont="1" applyFill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8" borderId="27" xfId="0" applyNumberFormat="1" applyFont="1" applyFill="1" applyBorder="1" applyAlignment="1">
      <alignment horizontal="center" vertical="center"/>
    </xf>
    <xf numFmtId="176" fontId="7" fillId="8" borderId="31" xfId="0" applyNumberFormat="1" applyFont="1" applyFill="1" applyBorder="1" applyAlignment="1">
      <alignment horizontal="center" vertical="center"/>
    </xf>
    <xf numFmtId="176" fontId="7" fillId="8" borderId="33" xfId="0" applyNumberFormat="1" applyFont="1" applyFill="1" applyBorder="1" applyAlignment="1">
      <alignment horizontal="center" vertical="center"/>
    </xf>
    <xf numFmtId="176" fontId="7" fillId="8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2" fillId="0" borderId="1" xfId="0" applyNumberFormat="1" applyFont="1" applyBorder="1">
      <alignment vertical="center"/>
    </xf>
    <xf numFmtId="176" fontId="12" fillId="0" borderId="4" xfId="0" applyNumberFormat="1" applyFont="1" applyBorder="1">
      <alignment vertical="center"/>
    </xf>
    <xf numFmtId="176" fontId="12" fillId="0" borderId="22" xfId="0" applyNumberFormat="1" applyFont="1" applyBorder="1">
      <alignment vertical="center"/>
    </xf>
    <xf numFmtId="176" fontId="12" fillId="0" borderId="6" xfId="0" applyNumberFormat="1" applyFont="1" applyBorder="1">
      <alignment vertical="center"/>
    </xf>
    <xf numFmtId="176" fontId="12" fillId="8" borderId="1" xfId="0" applyNumberFormat="1" applyFont="1" applyFill="1" applyBorder="1">
      <alignment vertical="center"/>
    </xf>
    <xf numFmtId="176" fontId="12" fillId="8" borderId="4" xfId="0" applyNumberFormat="1" applyFont="1" applyFill="1" applyBorder="1">
      <alignment vertical="center"/>
    </xf>
    <xf numFmtId="176" fontId="12" fillId="8" borderId="22" xfId="0" applyNumberFormat="1" applyFont="1" applyFill="1" applyBorder="1">
      <alignment vertical="center"/>
    </xf>
    <xf numFmtId="176" fontId="12" fillId="8" borderId="6" xfId="0" applyNumberFormat="1" applyFont="1" applyFill="1" applyBorder="1">
      <alignment vertical="center"/>
    </xf>
    <xf numFmtId="177" fontId="12" fillId="0" borderId="4" xfId="0" applyNumberFormat="1" applyFont="1" applyBorder="1">
      <alignment vertical="center"/>
    </xf>
    <xf numFmtId="177" fontId="12" fillId="0" borderId="6" xfId="0" applyNumberFormat="1" applyFont="1" applyBorder="1">
      <alignment vertical="center"/>
    </xf>
    <xf numFmtId="177" fontId="12" fillId="0" borderId="46" xfId="0" applyNumberFormat="1" applyFont="1" applyBorder="1">
      <alignment vertical="center"/>
    </xf>
    <xf numFmtId="177" fontId="12" fillId="0" borderId="47" xfId="0" applyNumberFormat="1" applyFont="1" applyBorder="1">
      <alignment vertical="center"/>
    </xf>
    <xf numFmtId="177" fontId="12" fillId="0" borderId="75" xfId="0" applyNumberFormat="1" applyFont="1" applyBorder="1">
      <alignment vertical="center"/>
    </xf>
    <xf numFmtId="177" fontId="12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0" borderId="48" xfId="0" applyFont="1" applyFill="1" applyBorder="1" applyAlignment="1">
      <alignment horizontal="centerContinuous" vertical="center"/>
    </xf>
    <xf numFmtId="0" fontId="7" fillId="10" borderId="67" xfId="0" applyFont="1" applyFill="1" applyBorder="1" applyAlignment="1">
      <alignment horizontal="centerContinuous" vertical="center"/>
    </xf>
    <xf numFmtId="0" fontId="7" fillId="10" borderId="1" xfId="0" applyFont="1" applyFill="1" applyBorder="1" applyAlignment="1">
      <alignment horizontal="centerContinuous" vertical="center"/>
    </xf>
    <xf numFmtId="0" fontId="7" fillId="10" borderId="29" xfId="0" applyFont="1" applyFill="1" applyBorder="1" applyAlignment="1">
      <alignment horizontal="centerContinuous" vertical="center"/>
    </xf>
    <xf numFmtId="0" fontId="7" fillId="10" borderId="39" xfId="0" applyFont="1" applyFill="1" applyBorder="1" applyAlignment="1">
      <alignment horizontal="centerContinuous" vertical="center"/>
    </xf>
    <xf numFmtId="0" fontId="7" fillId="10" borderId="30" xfId="0" applyFont="1" applyFill="1" applyBorder="1" applyAlignment="1">
      <alignment horizontal="centerContinuous" vertical="center"/>
    </xf>
    <xf numFmtId="0" fontId="2" fillId="10" borderId="48" xfId="0" applyFont="1" applyFill="1" applyBorder="1" applyAlignment="1">
      <alignment horizontal="centerContinuous" vertical="center"/>
    </xf>
    <xf numFmtId="0" fontId="2" fillId="10" borderId="67" xfId="0" applyFont="1" applyFill="1" applyBorder="1" applyAlignment="1">
      <alignment horizontal="centerContinuous" vertical="center"/>
    </xf>
    <xf numFmtId="178" fontId="2" fillId="10" borderId="1" xfId="0" applyNumberFormat="1" applyFont="1" applyFill="1" applyBorder="1" applyAlignment="1">
      <alignment horizontal="centerContinuous" vertical="center"/>
    </xf>
    <xf numFmtId="178" fontId="2" fillId="10" borderId="29" xfId="0" applyNumberFormat="1" applyFont="1" applyFill="1" applyBorder="1" applyAlignment="1">
      <alignment horizontal="centerContinuous" vertical="center"/>
    </xf>
    <xf numFmtId="178" fontId="2" fillId="10" borderId="2" xfId="0" applyNumberFormat="1" applyFont="1" applyFill="1" applyBorder="1" applyAlignment="1">
      <alignment horizontal="centerContinuous" vertical="center"/>
    </xf>
    <xf numFmtId="178" fontId="2" fillId="10" borderId="3" xfId="0" applyNumberFormat="1" applyFont="1" applyFill="1" applyBorder="1" applyAlignment="1">
      <alignment horizontal="centerContinuous"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0" fontId="0" fillId="8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8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8" borderId="1" xfId="1" applyNumberFormat="1" applyFont="1" applyFill="1" applyBorder="1" applyAlignment="1">
      <alignment vertical="center"/>
    </xf>
    <xf numFmtId="178" fontId="6" fillId="8" borderId="2" xfId="1" applyNumberFormat="1" applyFont="1" applyFill="1" applyBorder="1" applyAlignment="1">
      <alignment vertical="center"/>
    </xf>
    <xf numFmtId="178" fontId="6" fillId="8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2" fillId="0" borderId="39" xfId="0" applyNumberFormat="1" applyFont="1" applyBorder="1">
      <alignment vertical="center"/>
    </xf>
    <xf numFmtId="178" fontId="12" fillId="0" borderId="29" xfId="0" applyNumberFormat="1" applyFont="1" applyBorder="1">
      <alignment vertical="center"/>
    </xf>
    <xf numFmtId="178" fontId="12" fillId="0" borderId="30" xfId="0" applyNumberFormat="1" applyFont="1" applyBorder="1">
      <alignment vertical="center"/>
    </xf>
    <xf numFmtId="178" fontId="12" fillId="0" borderId="46" xfId="0" applyNumberFormat="1" applyFont="1" applyBorder="1">
      <alignment vertical="center"/>
    </xf>
    <xf numFmtId="178" fontId="12" fillId="0" borderId="13" xfId="0" applyNumberFormat="1" applyFont="1" applyBorder="1">
      <alignment vertical="center"/>
    </xf>
    <xf numFmtId="178" fontId="12" fillId="0" borderId="14" xfId="0" applyNumberFormat="1" applyFont="1" applyBorder="1">
      <alignment vertical="center"/>
    </xf>
    <xf numFmtId="178" fontId="12" fillId="0" borderId="49" xfId="0" applyNumberFormat="1" applyFont="1" applyBorder="1">
      <alignment vertical="center"/>
    </xf>
    <xf numFmtId="178" fontId="12" fillId="0" borderId="25" xfId="0" applyNumberFormat="1" applyFont="1" applyBorder="1">
      <alignment vertical="center"/>
    </xf>
    <xf numFmtId="178" fontId="12" fillId="0" borderId="26" xfId="0" applyNumberFormat="1" applyFont="1" applyBorder="1">
      <alignment vertical="center"/>
    </xf>
    <xf numFmtId="178" fontId="12" fillId="0" borderId="47" xfId="0" applyNumberFormat="1" applyFont="1" applyBorder="1">
      <alignment vertical="center"/>
    </xf>
    <xf numFmtId="178" fontId="12" fillId="0" borderId="16" xfId="0" applyNumberFormat="1" applyFont="1" applyBorder="1">
      <alignment vertical="center"/>
    </xf>
    <xf numFmtId="178" fontId="12" fillId="0" borderId="17" xfId="0" applyNumberFormat="1" applyFont="1" applyBorder="1">
      <alignment vertical="center"/>
    </xf>
    <xf numFmtId="178" fontId="12" fillId="8" borderId="39" xfId="0" applyNumberFormat="1" applyFont="1" applyFill="1" applyBorder="1">
      <alignment vertical="center"/>
    </xf>
    <xf numFmtId="178" fontId="12" fillId="8" borderId="29" xfId="0" applyNumberFormat="1" applyFont="1" applyFill="1" applyBorder="1">
      <alignment vertical="center"/>
    </xf>
    <xf numFmtId="178" fontId="12" fillId="8" borderId="30" xfId="0" applyNumberFormat="1" applyFont="1" applyFill="1" applyBorder="1">
      <alignment vertical="center"/>
    </xf>
    <xf numFmtId="178" fontId="12" fillId="8" borderId="46" xfId="0" applyNumberFormat="1" applyFont="1" applyFill="1" applyBorder="1">
      <alignment vertical="center"/>
    </xf>
    <xf numFmtId="178" fontId="12" fillId="8" borderId="13" xfId="0" applyNumberFormat="1" applyFont="1" applyFill="1" applyBorder="1">
      <alignment vertical="center"/>
    </xf>
    <xf numFmtId="178" fontId="12" fillId="8" borderId="14" xfId="0" applyNumberFormat="1" applyFont="1" applyFill="1" applyBorder="1">
      <alignment vertical="center"/>
    </xf>
    <xf numFmtId="178" fontId="12" fillId="8" borderId="49" xfId="0" applyNumberFormat="1" applyFont="1" applyFill="1" applyBorder="1">
      <alignment vertical="center"/>
    </xf>
    <xf numFmtId="178" fontId="12" fillId="8" borderId="25" xfId="0" applyNumberFormat="1" applyFont="1" applyFill="1" applyBorder="1">
      <alignment vertical="center"/>
    </xf>
    <xf numFmtId="178" fontId="12" fillId="8" borderId="26" xfId="0" applyNumberFormat="1" applyFont="1" applyFill="1" applyBorder="1">
      <alignment vertical="center"/>
    </xf>
    <xf numFmtId="178" fontId="12" fillId="8" borderId="47" xfId="0" applyNumberFormat="1" applyFont="1" applyFill="1" applyBorder="1">
      <alignment vertical="center"/>
    </xf>
    <xf numFmtId="178" fontId="12" fillId="8" borderId="16" xfId="0" applyNumberFormat="1" applyFont="1" applyFill="1" applyBorder="1">
      <alignment vertical="center"/>
    </xf>
    <xf numFmtId="178" fontId="12" fillId="8" borderId="17" xfId="0" applyNumberFormat="1" applyFont="1" applyFill="1" applyBorder="1">
      <alignment vertical="center"/>
    </xf>
    <xf numFmtId="178" fontId="12" fillId="0" borderId="1" xfId="0" applyNumberFormat="1" applyFont="1" applyBorder="1">
      <alignment vertical="center"/>
    </xf>
    <xf numFmtId="178" fontId="12" fillId="0" borderId="74" xfId="0" applyNumberFormat="1" applyFont="1" applyBorder="1">
      <alignment vertical="center"/>
    </xf>
    <xf numFmtId="178" fontId="12" fillId="0" borderId="4" xfId="0" applyNumberFormat="1" applyFont="1" applyBorder="1">
      <alignment vertical="center"/>
    </xf>
    <xf numFmtId="178" fontId="12" fillId="0" borderId="75" xfId="0" applyNumberFormat="1" applyFont="1" applyBorder="1">
      <alignment vertical="center"/>
    </xf>
    <xf numFmtId="178" fontId="12" fillId="0" borderId="18" xfId="0" applyNumberFormat="1" applyFont="1" applyBorder="1">
      <alignment vertical="center"/>
    </xf>
    <xf numFmtId="178" fontId="12" fillId="0" borderId="79" xfId="0" applyNumberFormat="1" applyFont="1" applyBorder="1">
      <alignment vertical="center"/>
    </xf>
    <xf numFmtId="178" fontId="12" fillId="0" borderId="53" xfId="0" applyNumberFormat="1" applyFont="1" applyBorder="1">
      <alignment vertical="center"/>
    </xf>
    <xf numFmtId="178" fontId="12" fillId="0" borderId="20" xfId="0" applyNumberFormat="1" applyFont="1" applyBorder="1">
      <alignment vertical="center"/>
    </xf>
    <xf numFmtId="178" fontId="12" fillId="0" borderId="21" xfId="0" applyNumberFormat="1" applyFont="1" applyBorder="1">
      <alignment vertical="center"/>
    </xf>
    <xf numFmtId="178" fontId="12" fillId="0" borderId="22" xfId="0" applyNumberFormat="1" applyFont="1" applyBorder="1">
      <alignment vertical="center"/>
    </xf>
    <xf numFmtId="178" fontId="12" fillId="0" borderId="76" xfId="0" applyNumberFormat="1" applyFont="1" applyBorder="1">
      <alignment vertical="center"/>
    </xf>
    <xf numFmtId="178" fontId="11" fillId="7" borderId="79" xfId="0" applyNumberFormat="1" applyFont="1" applyFill="1" applyBorder="1">
      <alignment vertical="center"/>
    </xf>
    <xf numFmtId="178" fontId="11" fillId="5" borderId="75" xfId="0" applyNumberFormat="1" applyFont="1" applyFill="1" applyBorder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6" fillId="11" borderId="17" xfId="0" applyNumberFormat="1" applyFont="1" applyFill="1" applyBorder="1" applyAlignment="1">
      <alignment horizontal="right" vertical="center"/>
    </xf>
    <xf numFmtId="178" fontId="16" fillId="11" borderId="0" xfId="0" applyNumberFormat="1" applyFont="1" applyFill="1" applyBorder="1" applyAlignment="1">
      <alignment horizontal="right" vertical="center"/>
    </xf>
    <xf numFmtId="178" fontId="16" fillId="11" borderId="83" xfId="0" applyNumberFormat="1" applyFont="1" applyFill="1" applyBorder="1" applyAlignment="1">
      <alignment horizontal="right" vertical="center"/>
    </xf>
    <xf numFmtId="178" fontId="16" fillId="11" borderId="4" xfId="0" applyNumberFormat="1" applyFont="1" applyFill="1" applyBorder="1" applyAlignment="1">
      <alignment horizontal="right" vertical="center"/>
    </xf>
    <xf numFmtId="178" fontId="16" fillId="11" borderId="69" xfId="0" applyNumberFormat="1" applyFont="1" applyFill="1" applyBorder="1" applyAlignment="1">
      <alignment horizontal="center" vertical="center"/>
    </xf>
    <xf numFmtId="178" fontId="16" fillId="11" borderId="44" xfId="0" applyNumberFormat="1" applyFont="1" applyFill="1" applyBorder="1" applyAlignment="1">
      <alignment horizontal="right" vertical="center"/>
    </xf>
    <xf numFmtId="178" fontId="16" fillId="11" borderId="81" xfId="0" applyNumberFormat="1" applyFont="1" applyFill="1" applyBorder="1" applyAlignment="1">
      <alignment horizontal="right" vertical="center"/>
    </xf>
    <xf numFmtId="178" fontId="16" fillId="11" borderId="88" xfId="0" applyNumberFormat="1" applyFont="1" applyFill="1" applyBorder="1" applyAlignment="1">
      <alignment horizontal="right" vertical="center"/>
    </xf>
    <xf numFmtId="178" fontId="16" fillId="11" borderId="80" xfId="0" applyNumberFormat="1" applyFont="1" applyFill="1" applyBorder="1" applyAlignment="1">
      <alignment horizontal="right" vertical="center"/>
    </xf>
    <xf numFmtId="178" fontId="16" fillId="11" borderId="89" xfId="0" applyNumberFormat="1" applyFont="1" applyFill="1" applyBorder="1" applyAlignment="1">
      <alignment horizontal="center" vertical="center"/>
    </xf>
    <xf numFmtId="178" fontId="16" fillId="11" borderId="30" xfId="0" applyNumberFormat="1" applyFont="1" applyFill="1" applyBorder="1" applyAlignment="1">
      <alignment horizontal="right" vertical="center"/>
    </xf>
    <xf numFmtId="178" fontId="16" fillId="11" borderId="2" xfId="0" applyNumberFormat="1" applyFont="1" applyFill="1" applyBorder="1" applyAlignment="1">
      <alignment horizontal="right" vertical="center"/>
    </xf>
    <xf numFmtId="178" fontId="16" fillId="11" borderId="87" xfId="0" applyNumberFormat="1" applyFont="1" applyFill="1" applyBorder="1" applyAlignment="1">
      <alignment horizontal="right" vertical="center"/>
    </xf>
    <xf numFmtId="178" fontId="16" fillId="11" borderId="1" xfId="0" applyNumberFormat="1" applyFont="1" applyFill="1" applyBorder="1" applyAlignment="1">
      <alignment horizontal="right" vertical="center"/>
    </xf>
    <xf numFmtId="178" fontId="16" fillId="11" borderId="68" xfId="0" applyNumberFormat="1" applyFont="1" applyFill="1" applyBorder="1" applyAlignment="1">
      <alignment horizontal="center" vertical="center"/>
    </xf>
    <xf numFmtId="178" fontId="17" fillId="12" borderId="90" xfId="0" applyNumberFormat="1" applyFont="1" applyFill="1" applyBorder="1" applyAlignment="1">
      <alignment horizontal="right" vertical="center"/>
    </xf>
    <xf numFmtId="178" fontId="17" fillId="12" borderId="67" xfId="0" applyNumberFormat="1" applyFont="1" applyFill="1" applyBorder="1" applyAlignment="1">
      <alignment horizontal="right" vertical="center"/>
    </xf>
    <xf numFmtId="178" fontId="17" fillId="12" borderId="91" xfId="0" applyNumberFormat="1" applyFont="1" applyFill="1" applyBorder="1" applyAlignment="1">
      <alignment horizontal="right" vertical="center"/>
    </xf>
    <xf numFmtId="178" fontId="17" fillId="12" borderId="48" xfId="0" applyNumberFormat="1" applyFont="1" applyFill="1" applyBorder="1" applyAlignment="1">
      <alignment horizontal="right" vertical="center"/>
    </xf>
    <xf numFmtId="178" fontId="17" fillId="12" borderId="92" xfId="0" applyNumberFormat="1" applyFont="1" applyFill="1" applyBorder="1" applyAlignment="1">
      <alignment horizontal="right" vertical="center"/>
    </xf>
    <xf numFmtId="178" fontId="17" fillId="12" borderId="65" xfId="0" applyNumberFormat="1" applyFont="1" applyFill="1" applyBorder="1" applyAlignment="1">
      <alignment horizontal="center" vertical="center"/>
    </xf>
    <xf numFmtId="178" fontId="15" fillId="13" borderId="11" xfId="0" applyNumberFormat="1" applyFont="1" applyFill="1" applyBorder="1" applyAlignment="1">
      <alignment horizontal="centerContinuous" vertical="center"/>
    </xf>
    <xf numFmtId="178" fontId="15" fillId="13" borderId="64" xfId="0" applyNumberFormat="1" applyFont="1" applyFill="1" applyBorder="1" applyAlignment="1">
      <alignment horizontal="centerContinuous" vertical="center"/>
    </xf>
    <xf numFmtId="178" fontId="15" fillId="13" borderId="93" xfId="0" applyNumberFormat="1" applyFont="1" applyFill="1" applyBorder="1" applyAlignment="1">
      <alignment horizontal="centerContinuous" vertical="center"/>
    </xf>
    <xf numFmtId="178" fontId="15" fillId="13" borderId="71" xfId="0" applyNumberFormat="1" applyFont="1" applyFill="1" applyBorder="1" applyAlignment="1">
      <alignment horizontal="centerContinuous" vertical="center"/>
    </xf>
    <xf numFmtId="178" fontId="15" fillId="13" borderId="50" xfId="0" applyNumberFormat="1" applyFont="1" applyFill="1" applyBorder="1" applyAlignment="1">
      <alignment horizontal="centerContinuous" vertical="center"/>
    </xf>
    <xf numFmtId="178" fontId="15" fillId="13" borderId="3" xfId="0" applyNumberFormat="1" applyFont="1" applyFill="1" applyBorder="1" applyAlignment="1">
      <alignment horizontal="centerContinuous" vertical="center"/>
    </xf>
    <xf numFmtId="178" fontId="15" fillId="13" borderId="2" xfId="0" applyNumberFormat="1" applyFont="1" applyFill="1" applyBorder="1" applyAlignment="1">
      <alignment horizontal="centerContinuous" vertical="center"/>
    </xf>
    <xf numFmtId="178" fontId="15" fillId="13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6" fillId="11" borderId="5" xfId="0" applyNumberFormat="1" applyFont="1" applyFill="1" applyBorder="1" applyAlignment="1">
      <alignment horizontal="right" vertical="center"/>
    </xf>
    <xf numFmtId="178" fontId="16" fillId="11" borderId="52" xfId="0" applyNumberFormat="1" applyFont="1" applyFill="1" applyBorder="1" applyAlignment="1">
      <alignment horizontal="right" vertical="center"/>
    </xf>
    <xf numFmtId="178" fontId="16" fillId="11" borderId="3" xfId="0" applyNumberFormat="1" applyFont="1" applyFill="1" applyBorder="1" applyAlignment="1">
      <alignment horizontal="right" vertical="center"/>
    </xf>
    <xf numFmtId="178" fontId="17" fillId="12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6" fillId="11" borderId="5" xfId="1" applyNumberFormat="1" applyFont="1" applyFill="1" applyBorder="1" applyAlignment="1">
      <alignment horizontal="right" vertical="center"/>
    </xf>
    <xf numFmtId="178" fontId="16" fillId="11" borderId="83" xfId="1" applyNumberFormat="1" applyFont="1" applyFill="1" applyBorder="1" applyAlignment="1">
      <alignment horizontal="right" vertical="center"/>
    </xf>
    <xf numFmtId="178" fontId="16" fillId="11" borderId="4" xfId="1" applyNumberFormat="1" applyFont="1" applyFill="1" applyBorder="1" applyAlignment="1">
      <alignment horizontal="right" vertical="center"/>
    </xf>
    <xf numFmtId="178" fontId="16" fillId="11" borderId="52" xfId="1" applyNumberFormat="1" applyFont="1" applyFill="1" applyBorder="1" applyAlignment="1">
      <alignment horizontal="right" vertical="center"/>
    </xf>
    <xf numFmtId="178" fontId="16" fillId="11" borderId="88" xfId="1" applyNumberFormat="1" applyFont="1" applyFill="1" applyBorder="1" applyAlignment="1">
      <alignment horizontal="right" vertical="center"/>
    </xf>
    <xf numFmtId="178" fontId="16" fillId="11" borderId="80" xfId="1" applyNumberFormat="1" applyFont="1" applyFill="1" applyBorder="1" applyAlignment="1">
      <alignment horizontal="right" vertical="center"/>
    </xf>
    <xf numFmtId="178" fontId="16" fillId="11" borderId="3" xfId="1" applyNumberFormat="1" applyFont="1" applyFill="1" applyBorder="1" applyAlignment="1">
      <alignment horizontal="right" vertical="center"/>
    </xf>
    <xf numFmtId="178" fontId="16" fillId="11" borderId="87" xfId="1" applyNumberFormat="1" applyFont="1" applyFill="1" applyBorder="1" applyAlignment="1">
      <alignment horizontal="right" vertical="center"/>
    </xf>
    <xf numFmtId="178" fontId="16" fillId="11" borderId="1" xfId="1" applyNumberFormat="1" applyFont="1" applyFill="1" applyBorder="1" applyAlignment="1">
      <alignment horizontal="right" vertical="center"/>
    </xf>
    <xf numFmtId="178" fontId="17" fillId="12" borderId="55" xfId="1" applyNumberFormat="1" applyFont="1" applyFill="1" applyBorder="1" applyAlignment="1">
      <alignment horizontal="right" vertical="center"/>
    </xf>
    <xf numFmtId="178" fontId="17" fillId="12" borderId="91" xfId="1" applyNumberFormat="1" applyFont="1" applyFill="1" applyBorder="1" applyAlignment="1">
      <alignment horizontal="right" vertical="center"/>
    </xf>
    <xf numFmtId="178" fontId="17" fillId="12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6" fillId="11" borderId="5" xfId="0" applyNumberFormat="1" applyFont="1" applyFill="1" applyBorder="1" applyAlignment="1">
      <alignment horizontal="right" vertical="center"/>
    </xf>
    <xf numFmtId="9" fontId="16" fillId="11" borderId="83" xfId="0" applyNumberFormat="1" applyFont="1" applyFill="1" applyBorder="1" applyAlignment="1">
      <alignment horizontal="right" vertical="center"/>
    </xf>
    <xf numFmtId="9" fontId="16" fillId="11" borderId="4" xfId="0" applyNumberFormat="1" applyFont="1" applyFill="1" applyBorder="1" applyAlignment="1">
      <alignment horizontal="right" vertical="center"/>
    </xf>
    <xf numFmtId="9" fontId="16" fillId="11" borderId="52" xfId="0" applyNumberFormat="1" applyFont="1" applyFill="1" applyBorder="1" applyAlignment="1">
      <alignment horizontal="right" vertical="center"/>
    </xf>
    <xf numFmtId="9" fontId="16" fillId="11" borderId="88" xfId="0" applyNumberFormat="1" applyFont="1" applyFill="1" applyBorder="1" applyAlignment="1">
      <alignment horizontal="right" vertical="center"/>
    </xf>
    <xf numFmtId="9" fontId="16" fillId="11" borderId="80" xfId="0" applyNumberFormat="1" applyFont="1" applyFill="1" applyBorder="1" applyAlignment="1">
      <alignment horizontal="right" vertical="center"/>
    </xf>
    <xf numFmtId="9" fontId="16" fillId="11" borderId="3" xfId="0" applyNumberFormat="1" applyFont="1" applyFill="1" applyBorder="1" applyAlignment="1">
      <alignment horizontal="right" vertical="center"/>
    </xf>
    <xf numFmtId="9" fontId="16" fillId="11" borderId="87" xfId="0" applyNumberFormat="1" applyFont="1" applyFill="1" applyBorder="1" applyAlignment="1">
      <alignment horizontal="right" vertical="center"/>
    </xf>
    <xf numFmtId="9" fontId="16" fillId="11" borderId="1" xfId="0" applyNumberFormat="1" applyFont="1" applyFill="1" applyBorder="1" applyAlignment="1">
      <alignment horizontal="right" vertical="center"/>
    </xf>
    <xf numFmtId="9" fontId="17" fillId="12" borderId="55" xfId="0" applyNumberFormat="1" applyFont="1" applyFill="1" applyBorder="1" applyAlignment="1">
      <alignment horizontal="right" vertical="center"/>
    </xf>
    <xf numFmtId="9" fontId="17" fillId="12" borderId="91" xfId="0" applyNumberFormat="1" applyFont="1" applyFill="1" applyBorder="1" applyAlignment="1">
      <alignment horizontal="right" vertical="center"/>
    </xf>
    <xf numFmtId="9" fontId="17" fillId="12" borderId="48" xfId="0" applyNumberFormat="1" applyFont="1" applyFill="1" applyBorder="1" applyAlignment="1">
      <alignment horizontal="right" vertical="center"/>
    </xf>
    <xf numFmtId="178" fontId="2" fillId="8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19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1" fontId="0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3" fontId="0" fillId="0" borderId="0" xfId="0" applyNumberFormat="1">
      <alignment vertical="center"/>
    </xf>
    <xf numFmtId="184" fontId="6" fillId="0" borderId="0" xfId="1" applyNumberFormat="1" applyFont="1">
      <alignment vertical="center"/>
    </xf>
    <xf numFmtId="184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8" borderId="4" xfId="1" quotePrefix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5" fillId="0" borderId="0" xfId="0" applyNumberFormat="1" applyFont="1" applyFill="1" applyBorder="1" applyAlignment="1">
      <alignment vertical="center"/>
    </xf>
    <xf numFmtId="0" fontId="13" fillId="6" borderId="65" xfId="0" applyFont="1" applyFill="1" applyBorder="1" applyAlignment="1">
      <alignment horizontal="centerContinuous" vertical="center"/>
    </xf>
    <xf numFmtId="0" fontId="13" fillId="6" borderId="67" xfId="0" applyFont="1" applyFill="1" applyBorder="1" applyAlignment="1">
      <alignment horizontal="centerContinuous" vertical="center"/>
    </xf>
    <xf numFmtId="0" fontId="13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95" xfId="0" applyNumberFormat="1" applyFont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96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85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96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85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5" fillId="9" borderId="48" xfId="0" applyFont="1" applyFill="1" applyBorder="1" applyAlignment="1">
      <alignment horizontal="centerContinuous" vertical="center"/>
    </xf>
    <xf numFmtId="0" fontId="15" fillId="9" borderId="67" xfId="0" applyFont="1" applyFill="1" applyBorder="1" applyAlignment="1">
      <alignment horizontal="centerContinuous" vertical="center"/>
    </xf>
    <xf numFmtId="0" fontId="15" fillId="9" borderId="55" xfId="0" applyFont="1" applyFill="1" applyBorder="1" applyAlignment="1">
      <alignment horizontal="centerContinuous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10" borderId="67" xfId="0" applyFont="1" applyFill="1" applyBorder="1" applyAlignment="1">
      <alignment horizontal="center" vertical="center"/>
    </xf>
    <xf numFmtId="178" fontId="2" fillId="10" borderId="1" xfId="0" applyNumberFormat="1" applyFont="1" applyFill="1" applyBorder="1" applyAlignment="1">
      <alignment horizontal="center" vertical="center"/>
    </xf>
    <xf numFmtId="178" fontId="2" fillId="10" borderId="29" xfId="0" applyNumberFormat="1" applyFont="1" applyFill="1" applyBorder="1" applyAlignment="1">
      <alignment horizontal="center" vertical="center"/>
    </xf>
    <xf numFmtId="178" fontId="2" fillId="10" borderId="2" xfId="0" applyNumberFormat="1" applyFont="1" applyFill="1" applyBorder="1" applyAlignment="1">
      <alignment horizontal="center" vertical="center"/>
    </xf>
    <xf numFmtId="178" fontId="2" fillId="10" borderId="3" xfId="0" applyNumberFormat="1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13" fillId="14" borderId="1" xfId="0" applyFont="1" applyFill="1" applyBorder="1" applyAlignment="1">
      <alignment horizontal="centerContinuous" vertical="center"/>
    </xf>
    <xf numFmtId="0" fontId="13" fillId="14" borderId="2" xfId="0" applyFont="1" applyFill="1" applyBorder="1" applyAlignment="1">
      <alignment horizontal="centerContinuous" vertical="center"/>
    </xf>
    <xf numFmtId="0" fontId="13" fillId="14" borderId="3" xfId="0" applyFont="1" applyFill="1" applyBorder="1" applyAlignment="1">
      <alignment horizontal="centerContinuous" vertical="center"/>
    </xf>
    <xf numFmtId="0" fontId="13" fillId="14" borderId="71" xfId="0" applyFont="1" applyFill="1" applyBorder="1" applyAlignment="1">
      <alignment horizontal="centerContinuous" vertical="center"/>
    </xf>
    <xf numFmtId="0" fontId="13" fillId="14" borderId="78" xfId="0" applyFont="1" applyFill="1" applyBorder="1" applyAlignment="1">
      <alignment horizontal="centerContinuous" vertical="center"/>
    </xf>
    <xf numFmtId="0" fontId="13" fillId="14" borderId="45" xfId="0" applyFont="1" applyFill="1" applyBorder="1" applyAlignment="1">
      <alignment horizontal="centerContinuous" vertical="center"/>
    </xf>
    <xf numFmtId="0" fontId="13" fillId="14" borderId="10" xfId="0" applyFont="1" applyFill="1" applyBorder="1" applyAlignment="1">
      <alignment horizontal="centerContinuous" vertical="center"/>
    </xf>
    <xf numFmtId="0" fontId="13" fillId="14" borderId="11" xfId="0" applyFont="1" applyFill="1" applyBorder="1" applyAlignment="1">
      <alignment horizontal="centerContinuous" vertical="center"/>
    </xf>
    <xf numFmtId="0" fontId="7" fillId="0" borderId="1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55" xfId="0" applyFont="1" applyBorder="1" applyAlignment="1">
      <alignment horizontal="centerContinuous" vertical="center"/>
    </xf>
    <xf numFmtId="178" fontId="12" fillId="0" borderId="48" xfId="0" applyNumberFormat="1" applyFont="1" applyBorder="1">
      <alignment vertical="center"/>
    </xf>
    <xf numFmtId="178" fontId="12" fillId="0" borderId="40" xfId="0" applyNumberFormat="1" applyFont="1" applyBorder="1">
      <alignment vertical="center"/>
    </xf>
    <xf numFmtId="178" fontId="12" fillId="0" borderId="38" xfId="0" applyNumberFormat="1" applyFont="1" applyBorder="1">
      <alignment vertical="center"/>
    </xf>
    <xf numFmtId="178" fontId="12" fillId="0" borderId="90" xfId="0" applyNumberFormat="1" applyFont="1" applyBorder="1">
      <alignment vertical="center"/>
    </xf>
    <xf numFmtId="178" fontId="12" fillId="0" borderId="78" xfId="0" applyNumberFormat="1" applyFont="1" applyBorder="1">
      <alignment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Continuous" vertical="center"/>
    </xf>
    <xf numFmtId="0" fontId="2" fillId="3" borderId="55" xfId="0" applyFont="1" applyFill="1" applyBorder="1" applyAlignment="1">
      <alignment horizontal="centerContinuous" vertical="center"/>
    </xf>
    <xf numFmtId="0" fontId="0" fillId="8" borderId="1" xfId="0" applyFill="1" applyBorder="1" applyAlignment="1">
      <alignment horizontal="centerContinuous" vertical="center"/>
    </xf>
    <xf numFmtId="0" fontId="0" fillId="8" borderId="3" xfId="0" applyFill="1" applyBorder="1" applyAlignment="1">
      <alignment horizontal="centerContinuous" vertical="center"/>
    </xf>
    <xf numFmtId="0" fontId="0" fillId="8" borderId="4" xfId="0" applyFill="1" applyBorder="1">
      <alignment vertical="center"/>
    </xf>
    <xf numFmtId="0" fontId="0" fillId="8" borderId="11" xfId="0" applyFill="1" applyBorder="1" applyAlignment="1">
      <alignment horizontal="right" vertical="center"/>
    </xf>
    <xf numFmtId="0" fontId="0" fillId="8" borderId="6" xfId="0" applyFill="1" applyBorder="1">
      <alignment vertical="center"/>
    </xf>
    <xf numFmtId="0" fontId="0" fillId="8" borderId="2" xfId="0" applyFill="1" applyBorder="1" applyAlignment="1">
      <alignment horizontal="centerContinuous" vertical="center"/>
    </xf>
    <xf numFmtId="0" fontId="0" fillId="8" borderId="97" xfId="0" applyFill="1" applyBorder="1" applyAlignment="1">
      <alignment horizontal="right" vertical="center"/>
    </xf>
    <xf numFmtId="0" fontId="0" fillId="8" borderId="97" xfId="0" applyFill="1" applyBorder="1" applyAlignment="1">
      <alignment horizontal="distributed" vertical="center"/>
    </xf>
    <xf numFmtId="0" fontId="13" fillId="6" borderId="1" xfId="0" applyFont="1" applyFill="1" applyBorder="1" applyAlignment="1">
      <alignment horizontal="centerContinuous" vertical="center"/>
    </xf>
    <xf numFmtId="0" fontId="13" fillId="6" borderId="48" xfId="0" applyFont="1" applyFill="1" applyBorder="1" applyAlignment="1">
      <alignment horizontal="centerContinuous" vertical="center"/>
    </xf>
    <xf numFmtId="178" fontId="6" fillId="0" borderId="1" xfId="0" applyNumberFormat="1" applyFont="1" applyBorder="1">
      <alignment vertical="center"/>
    </xf>
    <xf numFmtId="178" fontId="6" fillId="0" borderId="3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5" xfId="0" applyNumberFormat="1" applyFont="1" applyBorder="1">
      <alignment vertical="center"/>
    </xf>
    <xf numFmtId="178" fontId="6" fillId="0" borderId="22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7" fontId="6" fillId="0" borderId="4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22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7" fontId="0" fillId="0" borderId="71" xfId="5" applyNumberFormat="1" applyFont="1" applyBorder="1" applyAlignment="1">
      <alignment horizontal="right" vertical="center"/>
    </xf>
    <xf numFmtId="176" fontId="0" fillId="0" borderId="71" xfId="0" applyNumberFormat="1" applyBorder="1" applyAlignment="1">
      <alignment horizontal="right" vertical="center"/>
    </xf>
    <xf numFmtId="177" fontId="0" fillId="0" borderId="71" xfId="0" applyNumberFormat="1" applyBorder="1" applyAlignment="1">
      <alignment horizontal="right" vertical="center"/>
    </xf>
    <xf numFmtId="176" fontId="0" fillId="0" borderId="68" xfId="0" applyNumberFormat="1" applyBorder="1" applyAlignment="1">
      <alignment horizontal="right" vertical="center"/>
    </xf>
    <xf numFmtId="177" fontId="0" fillId="0" borderId="73" xfId="5" applyNumberFormat="1" applyFont="1" applyBorder="1" applyAlignment="1">
      <alignment horizontal="right" vertical="center"/>
    </xf>
    <xf numFmtId="176" fontId="0" fillId="0" borderId="73" xfId="0" applyNumberFormat="1" applyBorder="1" applyAlignment="1">
      <alignment horizontal="right" vertical="center"/>
    </xf>
    <xf numFmtId="177" fontId="0" fillId="0" borderId="73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64" xfId="5" applyNumberFormat="1" applyFont="1" applyBorder="1" applyAlignment="1">
      <alignment horizontal="right" vertical="center"/>
    </xf>
    <xf numFmtId="176" fontId="0" fillId="0" borderId="64" xfId="0" applyNumberFormat="1" applyBorder="1" applyAlignment="1">
      <alignment horizontal="right" vertical="center"/>
    </xf>
    <xf numFmtId="177" fontId="0" fillId="0" borderId="64" xfId="0" applyNumberFormat="1" applyBorder="1" applyAlignment="1">
      <alignment horizontal="right" vertical="center"/>
    </xf>
    <xf numFmtId="0" fontId="13" fillId="6" borderId="68" xfId="0" applyFont="1" applyFill="1" applyBorder="1" applyAlignment="1">
      <alignment horizontal="centerContinuous" vertical="center"/>
    </xf>
    <xf numFmtId="176" fontId="0" fillId="0" borderId="3" xfId="0" applyNumberFormat="1" applyBorder="1" applyAlignment="1">
      <alignment horizontal="right" vertical="center"/>
    </xf>
    <xf numFmtId="177" fontId="0" fillId="0" borderId="50" xfId="5" applyNumberFormat="1" applyFont="1" applyBorder="1" applyAlignment="1">
      <alignment horizontal="right" vertical="center"/>
    </xf>
    <xf numFmtId="176" fontId="0" fillId="0" borderId="50" xfId="0" applyNumberFormat="1" applyBorder="1" applyAlignment="1">
      <alignment horizontal="right" vertical="center"/>
    </xf>
    <xf numFmtId="177" fontId="0" fillId="0" borderId="50" xfId="0" applyNumberFormat="1" applyBorder="1" applyAlignment="1">
      <alignment horizontal="right" vertical="center"/>
    </xf>
    <xf numFmtId="0" fontId="6" fillId="0" borderId="34" xfId="0" applyFont="1" applyBorder="1" applyAlignment="1">
      <alignment horizontal="centerContinuous" vertical="center"/>
    </xf>
    <xf numFmtId="0" fontId="6" fillId="0" borderId="36" xfId="0" applyFont="1" applyBorder="1" applyAlignment="1">
      <alignment horizontal="centerContinuous" vertical="center"/>
    </xf>
    <xf numFmtId="0" fontId="6" fillId="0" borderId="18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0" borderId="6" xfId="0" applyFont="1" applyBorder="1" applyAlignment="1">
      <alignment horizontal="centerContinuous" vertical="center"/>
    </xf>
    <xf numFmtId="0" fontId="7" fillId="0" borderId="8" xfId="0" applyFont="1" applyBorder="1" applyAlignment="1">
      <alignment horizontal="centerContinuous" vertical="center"/>
    </xf>
    <xf numFmtId="9" fontId="12" fillId="0" borderId="6" xfId="0" applyNumberFormat="1" applyFont="1" applyBorder="1">
      <alignment vertical="center"/>
    </xf>
    <xf numFmtId="9" fontId="12" fillId="0" borderId="98" xfId="0" applyNumberFormat="1" applyFont="1" applyBorder="1">
      <alignment vertical="center"/>
    </xf>
    <xf numFmtId="9" fontId="12" fillId="0" borderId="47" xfId="0" applyNumberFormat="1" applyFont="1" applyBorder="1">
      <alignment vertical="center"/>
    </xf>
    <xf numFmtId="9" fontId="12" fillId="0" borderId="16" xfId="0" applyNumberFormat="1" applyFont="1" applyBorder="1">
      <alignment vertical="center"/>
    </xf>
    <xf numFmtId="9" fontId="12" fillId="0" borderId="17" xfId="0" applyNumberFormat="1" applyFont="1" applyBorder="1">
      <alignment vertical="center"/>
    </xf>
    <xf numFmtId="3" fontId="0" fillId="8" borderId="0" xfId="0" applyNumberFormat="1" applyFill="1">
      <alignment vertical="center"/>
    </xf>
    <xf numFmtId="9" fontId="12" fillId="0" borderId="77" xfId="0" applyNumberFormat="1" applyFont="1" applyBorder="1">
      <alignment vertical="center"/>
    </xf>
    <xf numFmtId="0" fontId="15" fillId="9" borderId="0" xfId="0" applyFont="1" applyFill="1" applyBorder="1" applyAlignment="1">
      <alignment horizontal="center" vertical="center"/>
    </xf>
    <xf numFmtId="178" fontId="6" fillId="8" borderId="0" xfId="1" applyNumberFormat="1" applyFont="1" applyFill="1" applyBorder="1" applyAlignment="1">
      <alignment vertical="center"/>
    </xf>
    <xf numFmtId="178" fontId="6" fillId="16" borderId="65" xfId="1" applyNumberFormat="1" applyFont="1" applyFill="1" applyBorder="1" applyAlignment="1">
      <alignment horizontal="center" vertical="center"/>
    </xf>
    <xf numFmtId="178" fontId="6" fillId="16" borderId="48" xfId="1" applyNumberFormat="1" applyFont="1" applyFill="1" applyBorder="1" applyAlignment="1">
      <alignment horizontal="center" vertical="center"/>
    </xf>
    <xf numFmtId="178" fontId="6" fillId="16" borderId="78" xfId="1" applyNumberFormat="1" applyFont="1" applyFill="1" applyBorder="1" applyAlignment="1">
      <alignment horizontal="center" vertical="center"/>
    </xf>
    <xf numFmtId="178" fontId="6" fillId="16" borderId="55" xfId="1" applyNumberFormat="1" applyFont="1" applyFill="1" applyBorder="1" applyAlignment="1">
      <alignment horizontal="center" vertical="center"/>
    </xf>
    <xf numFmtId="179" fontId="6" fillId="8" borderId="68" xfId="1" applyNumberFormat="1" applyFont="1" applyFill="1" applyBorder="1" applyAlignment="1">
      <alignment horizontal="center" vertical="center"/>
    </xf>
    <xf numFmtId="178" fontId="6" fillId="0" borderId="1" xfId="1" applyNumberFormat="1" applyFont="1" applyFill="1" applyBorder="1" applyAlignment="1">
      <alignment vertical="center"/>
    </xf>
    <xf numFmtId="178" fontId="6" fillId="0" borderId="74" xfId="1" applyNumberFormat="1" applyFont="1" applyFill="1" applyBorder="1" applyAlignment="1">
      <alignment vertical="center"/>
    </xf>
    <xf numFmtId="178" fontId="6" fillId="0" borderId="68" xfId="1" applyNumberFormat="1" applyFont="1" applyFill="1" applyBorder="1" applyAlignment="1">
      <alignment vertical="center"/>
    </xf>
    <xf numFmtId="178" fontId="6" fillId="8" borderId="70" xfId="1" applyNumberFormat="1" applyFont="1" applyFill="1" applyBorder="1" applyAlignment="1">
      <alignment horizontal="center"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98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6" fillId="0" borderId="70" xfId="1" applyNumberFormat="1" applyFont="1" applyFill="1" applyBorder="1" applyAlignment="1">
      <alignment vertical="center"/>
    </xf>
    <xf numFmtId="178" fontId="6" fillId="16" borderId="48" xfId="1" applyNumberFormat="1" applyFont="1" applyFill="1" applyBorder="1" applyAlignment="1">
      <alignment vertical="center"/>
    </xf>
    <xf numFmtId="178" fontId="6" fillId="16" borderId="99" xfId="1" applyNumberFormat="1" applyFont="1" applyFill="1" applyBorder="1" applyAlignment="1">
      <alignment vertical="center"/>
    </xf>
    <xf numFmtId="178" fontId="6" fillId="16" borderId="55" xfId="1" applyNumberFormat="1" applyFont="1" applyFill="1" applyBorder="1" applyAlignment="1">
      <alignment vertical="center"/>
    </xf>
    <xf numFmtId="178" fontId="6" fillId="16" borderId="65" xfId="1" applyNumberFormat="1" applyFont="1" applyFill="1" applyBorder="1" applyAlignment="1">
      <alignment vertical="center"/>
    </xf>
    <xf numFmtId="179" fontId="6" fillId="0" borderId="1" xfId="1" applyNumberFormat="1" applyFont="1" applyFill="1" applyBorder="1" applyAlignment="1">
      <alignment vertical="center"/>
    </xf>
    <xf numFmtId="179" fontId="6" fillId="0" borderId="74" xfId="1" applyNumberFormat="1" applyFont="1" applyFill="1" applyBorder="1" applyAlignment="1">
      <alignment vertical="center"/>
    </xf>
    <xf numFmtId="179" fontId="6" fillId="0" borderId="3" xfId="1" applyNumberFormat="1" applyFont="1" applyFill="1" applyBorder="1" applyAlignment="1">
      <alignment vertical="center"/>
    </xf>
    <xf numFmtId="179" fontId="6" fillId="0" borderId="68" xfId="1" applyNumberFormat="1" applyFont="1" applyFill="1" applyBorder="1" applyAlignment="1">
      <alignment vertical="center"/>
    </xf>
    <xf numFmtId="9" fontId="6" fillId="0" borderId="6" xfId="1" applyNumberFormat="1" applyFont="1" applyFill="1" applyBorder="1" applyAlignment="1">
      <alignment vertical="center"/>
    </xf>
    <xf numFmtId="9" fontId="6" fillId="0" borderId="77" xfId="1" applyNumberFormat="1" applyFont="1" applyFill="1" applyBorder="1" applyAlignment="1">
      <alignment vertical="center"/>
    </xf>
    <xf numFmtId="9" fontId="6" fillId="0" borderId="8" xfId="1" applyNumberFormat="1" applyFont="1" applyFill="1" applyBorder="1" applyAlignment="1">
      <alignment vertical="center"/>
    </xf>
    <xf numFmtId="9" fontId="6" fillId="0" borderId="70" xfId="1" applyNumberFormat="1" applyFont="1" applyFill="1" applyBorder="1" applyAlignment="1">
      <alignment vertical="center"/>
    </xf>
    <xf numFmtId="0" fontId="15" fillId="9" borderId="0" xfId="0" applyFont="1" applyFill="1" applyBorder="1" applyAlignment="1">
      <alignment horizontal="centerContinuous" vertical="center"/>
    </xf>
    <xf numFmtId="14" fontId="6" fillId="0" borderId="0" xfId="1" applyNumberFormat="1" applyFont="1" applyAlignment="1">
      <alignment horizontal="center" vertical="center"/>
    </xf>
    <xf numFmtId="9" fontId="6" fillId="0" borderId="0" xfId="1" applyNumberFormat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3" fontId="2" fillId="4" borderId="0" xfId="0" applyNumberFormat="1" applyFont="1" applyFill="1">
      <alignment vertical="center"/>
    </xf>
    <xf numFmtId="178" fontId="2" fillId="4" borderId="9" xfId="1" applyNumberFormat="1" applyFont="1" applyFill="1" applyBorder="1" applyAlignment="1">
      <alignment vertical="center"/>
    </xf>
    <xf numFmtId="178" fontId="2" fillId="4" borderId="10" xfId="1" applyNumberFormat="1" applyFont="1" applyFill="1" applyBorder="1" applyAlignment="1">
      <alignment vertical="center"/>
    </xf>
    <xf numFmtId="178" fontId="2" fillId="4" borderId="50" xfId="1" applyNumberFormat="1" applyFont="1" applyFill="1" applyBorder="1" applyAlignment="1">
      <alignment vertical="center"/>
    </xf>
    <xf numFmtId="178" fontId="2" fillId="4" borderId="45" xfId="1" applyNumberFormat="1" applyFont="1" applyFill="1" applyBorder="1" applyAlignment="1">
      <alignment vertical="center"/>
    </xf>
    <xf numFmtId="178" fontId="2" fillId="4" borderId="11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9" fontId="6" fillId="0" borderId="98" xfId="1" applyNumberFormat="1" applyFont="1" applyFill="1" applyBorder="1" applyAlignment="1">
      <alignment vertical="center"/>
    </xf>
    <xf numFmtId="179" fontId="6" fillId="0" borderId="8" xfId="1" applyNumberFormat="1" applyFont="1" applyFill="1" applyBorder="1" applyAlignment="1">
      <alignment vertical="center"/>
    </xf>
    <xf numFmtId="179" fontId="6" fillId="0" borderId="70" xfId="1" applyNumberFormat="1" applyFont="1" applyFill="1" applyBorder="1" applyAlignment="1">
      <alignment vertical="center"/>
    </xf>
    <xf numFmtId="178" fontId="6" fillId="8" borderId="68" xfId="1" applyNumberFormat="1" applyFont="1" applyFill="1" applyBorder="1" applyAlignment="1">
      <alignment horizontal="right" vertical="center"/>
    </xf>
    <xf numFmtId="178" fontId="6" fillId="8" borderId="70" xfId="1" applyNumberFormat="1" applyFont="1" applyFill="1" applyBorder="1" applyAlignment="1">
      <alignment horizontal="right" vertical="center"/>
    </xf>
    <xf numFmtId="179" fontId="6" fillId="16" borderId="48" xfId="1" applyNumberFormat="1" applyFont="1" applyFill="1" applyBorder="1" applyAlignment="1">
      <alignment vertical="center"/>
    </xf>
    <xf numFmtId="179" fontId="6" fillId="16" borderId="99" xfId="1" applyNumberFormat="1" applyFont="1" applyFill="1" applyBorder="1" applyAlignment="1">
      <alignment vertical="center"/>
    </xf>
    <xf numFmtId="179" fontId="6" fillId="16" borderId="55" xfId="1" applyNumberFormat="1" applyFont="1" applyFill="1" applyBorder="1" applyAlignment="1">
      <alignment vertical="center"/>
    </xf>
    <xf numFmtId="179" fontId="6" fillId="16" borderId="65" xfId="1" applyNumberFormat="1" applyFont="1" applyFill="1" applyBorder="1" applyAlignment="1">
      <alignment vertical="center"/>
    </xf>
    <xf numFmtId="178" fontId="8" fillId="0" borderId="4" xfId="1" applyNumberFormat="1" applyFont="1" applyFill="1" applyBorder="1" applyAlignment="1">
      <alignment vertical="center"/>
    </xf>
    <xf numFmtId="43" fontId="0" fillId="0" borderId="0" xfId="0" applyNumberFormat="1" applyFont="1">
      <alignment vertical="center"/>
    </xf>
    <xf numFmtId="178" fontId="2" fillId="4" borderId="0" xfId="1" applyNumberFormat="1" applyFont="1" applyFill="1" applyBorder="1" applyAlignment="1">
      <alignment vertical="center"/>
    </xf>
    <xf numFmtId="178" fontId="19" fillId="0" borderId="0" xfId="1" applyNumberFormat="1" applyFont="1" applyFill="1" applyBorder="1" applyAlignment="1">
      <alignment vertical="center"/>
    </xf>
    <xf numFmtId="178" fontId="19" fillId="0" borderId="5" xfId="1" applyNumberFormat="1" applyFont="1" applyFill="1" applyBorder="1" applyAlignment="1">
      <alignment vertical="center"/>
    </xf>
    <xf numFmtId="0" fontId="15" fillId="9" borderId="0" xfId="0" applyFont="1" applyFill="1" applyBorder="1" applyAlignment="1">
      <alignment horizontal="center"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4" xfId="1" applyNumberFormat="1" applyFont="1" applyBorder="1">
      <alignment vertical="center"/>
    </xf>
    <xf numFmtId="178" fontId="2" fillId="0" borderId="4" xfId="0" applyNumberFormat="1" applyFont="1" applyBorder="1">
      <alignment vertical="center"/>
    </xf>
    <xf numFmtId="43" fontId="0" fillId="0" borderId="0" xfId="0" applyNumberFormat="1" applyFont="1" applyBorder="1">
      <alignment vertical="center"/>
    </xf>
    <xf numFmtId="0" fontId="0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21" fillId="15" borderId="0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0" fontId="21" fillId="15" borderId="6" xfId="0" applyFont="1" applyFill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1" fillId="15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178" fontId="15" fillId="13" borderId="68" xfId="0" applyNumberFormat="1" applyFont="1" applyFill="1" applyBorder="1" applyAlignment="1">
      <alignment horizontal="center" vertical="center"/>
    </xf>
    <xf numFmtId="178" fontId="15" fillId="13" borderId="70" xfId="0" applyNumberFormat="1" applyFont="1" applyFill="1" applyBorder="1" applyAlignment="1">
      <alignment horizontal="center" vertical="center"/>
    </xf>
    <xf numFmtId="178" fontId="15" fillId="13" borderId="1" xfId="0" applyNumberFormat="1" applyFont="1" applyFill="1" applyBorder="1" applyAlignment="1">
      <alignment horizontal="center" vertical="center"/>
    </xf>
    <xf numFmtId="178" fontId="15" fillId="13" borderId="2" xfId="0" applyNumberFormat="1" applyFont="1" applyFill="1" applyBorder="1" applyAlignment="1">
      <alignment horizontal="center" vertical="center"/>
    </xf>
    <xf numFmtId="178" fontId="15" fillId="13" borderId="6" xfId="0" applyNumberFormat="1" applyFont="1" applyFill="1" applyBorder="1" applyAlignment="1">
      <alignment horizontal="center" vertical="center"/>
    </xf>
    <xf numFmtId="178" fontId="15" fillId="13" borderId="7" xfId="0" applyNumberFormat="1" applyFont="1" applyFill="1" applyBorder="1" applyAlignment="1">
      <alignment horizontal="center" vertical="center"/>
    </xf>
  </cellXfs>
  <cellStyles count="6">
    <cellStyle name="백분율" xfId="5" builtinId="5"/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FFFFCC"/>
      <color rgb="FF0000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1_&#51665;&#44228;/&#50896;&#44032;&#49552;&#51061;/2026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0_&#48372;&#44256;&#49436;/2025&#45380;_&#54637;&#47785;&#48324;&#49552;&#51061;&#49892;&#5120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1_&#47112;&#48120;&#53080;/&#47112;&#48120;&#53080;&#50896;&#44032;&#49552;&#51061;(2026-04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1_&#47112;&#48120;&#53080;/&#47112;&#48120;&#53080;&#50896;&#44032;&#49552;&#51061;(2026-04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3_&#44264;&#51116;/&#48512;&#49328;&#47784;&#47000;&#51109;&#50896;&#44032;&#49552;&#51061;(2026-04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3_&#44264;&#51116;/&#48512;&#49328;&#53356;&#46972;&#49380;&#50896;&#44032;&#49552;&#51061;(2026-0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3_&#44264;&#51116;/&#49436;&#48512;&#49328;&#53356;&#46972;&#49380;&#50896;&#44032;&#49552;&#51061;(2026-04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47784;&#47000;&#51109;&#50896;&#44032;&#49552;&#51061;(2025-04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53356;&#46972;&#49380;&#50896;&#44032;&#49552;&#51061;(2025-04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9436;&#48512;&#49328;&#53356;&#46972;&#49380;&#50896;&#44032;&#49552;&#51061;(2025-04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4148;&#51088;&#51116;/2026&#45380;_&#50696;&#49328;&#50836;&#44396;&#50504;_&#44148;&#51088;&#51116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2_&#44148;&#51088;&#51116;/&#44148;&#51088;&#51116;&#50689;&#50629;&#49552;&#51061;(2026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2_&#44148;&#51088;&#51116;/&#44148;&#51088;&#51116;&#50689;&#50629;&#49552;&#51061;(2025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1_&#47112;&#48120;&#53080;/&#47112;&#48120;&#53080;&#50896;&#44032;&#49552;&#51061;(2026-04&#45572;&#44228;)&#44228;&#54925;&#45824;&#48708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1_&#47112;&#48120;&#53080;/&#47112;&#48120;&#53080;&#50896;&#44032;&#49552;&#51061;(2026-04&#45572;&#44228;)&#51204;&#45380;&#45824;&#48708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1_&#47112;&#48120;&#53080;/&#47112;&#48120;&#53080;&#50896;&#44032;&#49552;&#51061;(2026-04)&#51204;&#50900;&#45824;&#48708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7112;&#48120;&#53080;/&#49688;&#49888;&#9316;/2026&#45380;_&#50696;&#49328;&#50836;&#44396;&#50504;_&#54633;&#44228;_&#49688;&#49888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12_&#51452;&#50836;&#51648;&#54364;&#44288;&#47532;/&#49688;&#51452;&#50689;&#50629;&#54016;/&#49688;&#51061;&#49457;&#51665;&#44228;_&#54032;&#47588;&#45800;&#44032;(202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7112;&#48120;&#53080;/&#49324;&#50629;&#44228;&#54925;2/2026&#45380;%20&#49324;&#50629;&#44228;&#54925;(&#54633;&#44228;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12_&#51452;&#50836;&#51648;&#54364;&#44288;&#47532;/&#50672;&#44396;&#44060;&#48156;&#54016;/&#54217;&#44512;&#44053;&#46020;(2026-04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4/08_&#49688;&#49888;/&#49688;&#51452;&#50689;&#50629;&#54016;/&#54032;&#47588;&#45800;&#44032;%20&#47560;&#51060;&#45320;&#49828;&#44228;&#49328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월별손익 (3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3-12월"/>
      <sheetName val="9-12월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>
        <row r="7">
          <cell r="Z7">
            <v>189000</v>
          </cell>
        </row>
      </sheetData>
      <sheetData sheetId="4">
        <row r="7">
          <cell r="Z7">
            <v>176999.8</v>
          </cell>
        </row>
      </sheetData>
      <sheetData sheetId="5">
        <row r="7">
          <cell r="Z7">
            <v>258500</v>
          </cell>
        </row>
      </sheetData>
      <sheetData sheetId="6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</row>
        <row r="7">
          <cell r="D7" t="str">
            <v>물     량</v>
          </cell>
          <cell r="F7">
            <v>40000</v>
          </cell>
          <cell r="G7">
            <v>35000</v>
          </cell>
          <cell r="H7">
            <v>17000</v>
          </cell>
          <cell r="I7">
            <v>15000</v>
          </cell>
          <cell r="J7">
            <v>20000</v>
          </cell>
          <cell r="K7">
            <v>21000</v>
          </cell>
          <cell r="L7">
            <v>10000</v>
          </cell>
          <cell r="M7">
            <v>22000</v>
          </cell>
          <cell r="N7">
            <v>10000</v>
          </cell>
          <cell r="O7">
            <v>13000</v>
          </cell>
          <cell r="P7">
            <v>8500</v>
          </cell>
          <cell r="Q7">
            <v>11500</v>
          </cell>
          <cell r="R7">
            <v>23000</v>
          </cell>
          <cell r="S7">
            <v>11000</v>
          </cell>
          <cell r="T7">
            <v>5000</v>
          </cell>
          <cell r="U7">
            <v>4000</v>
          </cell>
          <cell r="V7">
            <v>6000</v>
          </cell>
          <cell r="W7">
            <v>0</v>
          </cell>
          <cell r="X7">
            <v>0</v>
          </cell>
          <cell r="Y7">
            <v>0</v>
          </cell>
          <cell r="Z7">
            <v>272000</v>
          </cell>
          <cell r="AA7">
            <v>9400</v>
          </cell>
          <cell r="AB7">
            <v>49070.333333333328</v>
          </cell>
          <cell r="AC7">
            <v>1</v>
          </cell>
          <cell r="AD7">
            <v>21896.95104895105</v>
          </cell>
          <cell r="AE7">
            <v>70968.284382284386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D8" t="str">
            <v>매 출 액</v>
          </cell>
          <cell r="E8">
            <v>38274930.887149774</v>
          </cell>
          <cell r="F8">
            <v>3918274.378</v>
          </cell>
          <cell r="G8">
            <v>3494056.9043911132</v>
          </cell>
          <cell r="H8">
            <v>1678067.7714</v>
          </cell>
          <cell r="I8">
            <v>1451679.2881999998</v>
          </cell>
          <cell r="J8">
            <v>2166057.807</v>
          </cell>
          <cell r="K8">
            <v>2184116.3171200003</v>
          </cell>
          <cell r="L8">
            <v>1012933.8088</v>
          </cell>
          <cell r="M8">
            <v>2334377.8542800006</v>
          </cell>
          <cell r="N8">
            <v>1008101.0890000002</v>
          </cell>
          <cell r="O8">
            <v>1265962.8987823906</v>
          </cell>
          <cell r="P8">
            <v>767394.46335999994</v>
          </cell>
          <cell r="Q8">
            <v>1195454.385</v>
          </cell>
          <cell r="R8">
            <v>2281579.4400000004</v>
          </cell>
          <cell r="S8">
            <v>1120471</v>
          </cell>
          <cell r="T8">
            <v>560423.79999999993</v>
          </cell>
          <cell r="U8">
            <v>446559.53574400011</v>
          </cell>
          <cell r="V8">
            <v>736040</v>
          </cell>
          <cell r="W8">
            <v>0</v>
          </cell>
          <cell r="X8">
            <v>0</v>
          </cell>
          <cell r="Y8">
            <v>0</v>
          </cell>
          <cell r="Z8">
            <v>27621550.741077513</v>
          </cell>
          <cell r="AA8">
            <v>9270292.1250000019</v>
          </cell>
          <cell r="AB8">
            <v>641295.76</v>
          </cell>
          <cell r="AC8">
            <v>0</v>
          </cell>
          <cell r="AD8">
            <v>622425.5944055944</v>
          </cell>
          <cell r="AE8">
            <v>1263721.3544055945</v>
          </cell>
          <cell r="AF8">
            <v>12500</v>
          </cell>
          <cell r="AG8">
            <v>0</v>
          </cell>
          <cell r="AH8">
            <v>25000</v>
          </cell>
          <cell r="AI8">
            <v>75396.666666666672</v>
          </cell>
          <cell r="AJ8">
            <v>4700</v>
          </cell>
          <cell r="AK8">
            <v>0</v>
          </cell>
          <cell r="AL8">
            <v>117596.66666666667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1770</v>
          </cell>
          <cell r="AV8">
            <v>1770</v>
          </cell>
        </row>
        <row r="9">
          <cell r="D9" t="str">
            <v xml:space="preserve"> - 단  위  당</v>
          </cell>
          <cell r="F9">
            <v>97956.859449999989</v>
          </cell>
          <cell r="G9">
            <v>99830.197268317526</v>
          </cell>
          <cell r="H9">
            <v>98709.868905882351</v>
          </cell>
          <cell r="I9">
            <v>96778.619213333324</v>
          </cell>
          <cell r="J9">
            <v>108302.89035</v>
          </cell>
          <cell r="K9">
            <v>104005.5389104762</v>
          </cell>
          <cell r="L9">
            <v>101293.38088</v>
          </cell>
          <cell r="M9">
            <v>106108.08428545456</v>
          </cell>
          <cell r="N9">
            <v>100810.10890000002</v>
          </cell>
          <cell r="O9">
            <v>97381.761444799282</v>
          </cell>
          <cell r="P9">
            <v>90281.701571764701</v>
          </cell>
          <cell r="Q9">
            <v>103952.5552173913</v>
          </cell>
          <cell r="R9">
            <v>99199.106086956526</v>
          </cell>
          <cell r="S9">
            <v>101861</v>
          </cell>
          <cell r="T9">
            <v>112084.76</v>
          </cell>
          <cell r="U9">
            <v>111639.88393600003</v>
          </cell>
          <cell r="V9">
            <v>122673.33333333333</v>
          </cell>
          <cell r="W9">
            <v>0</v>
          </cell>
          <cell r="X9">
            <v>0</v>
          </cell>
          <cell r="Y9">
            <v>0</v>
          </cell>
          <cell r="Z9">
            <v>101549.81890102028</v>
          </cell>
          <cell r="AA9">
            <v>986201.28989361716</v>
          </cell>
          <cell r="AB9">
            <v>13068.909796142952</v>
          </cell>
          <cell r="AC9">
            <v>0</v>
          </cell>
          <cell r="AD9">
            <v>28425.217420185585</v>
          </cell>
          <cell r="AE9">
            <v>17806.846613316946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D10" t="str">
            <v>매출원가</v>
          </cell>
          <cell r="E10">
            <v>33870256.831024185</v>
          </cell>
          <cell r="F10">
            <v>3324827.6605342943</v>
          </cell>
          <cell r="G10">
            <v>3099860.7161328094</v>
          </cell>
          <cell r="H10">
            <v>1527645.7504722506</v>
          </cell>
          <cell r="I10">
            <v>1301499.345455904</v>
          </cell>
          <cell r="J10">
            <v>1828052.6235010633</v>
          </cell>
          <cell r="K10">
            <v>1749407.6304349054</v>
          </cell>
          <cell r="L10">
            <v>887247.56376089854</v>
          </cell>
          <cell r="M10">
            <v>1941478.2568722642</v>
          </cell>
          <cell r="N10">
            <v>849770.62942338968</v>
          </cell>
          <cell r="O10">
            <v>1108102.8130993517</v>
          </cell>
          <cell r="P10">
            <v>702666.1587915303</v>
          </cell>
          <cell r="Q10">
            <v>1055785.1855378991</v>
          </cell>
          <cell r="R10">
            <v>1964421.0315331605</v>
          </cell>
          <cell r="S10">
            <v>937657.76475000009</v>
          </cell>
          <cell r="T10">
            <v>432086.16362845286</v>
          </cell>
          <cell r="U10">
            <v>360209.33872212697</v>
          </cell>
          <cell r="V10">
            <v>641897.8018039451</v>
          </cell>
          <cell r="W10">
            <v>0</v>
          </cell>
          <cell r="X10">
            <v>0</v>
          </cell>
          <cell r="Y10">
            <v>0</v>
          </cell>
          <cell r="Z10">
            <v>23712616.434454251</v>
          </cell>
          <cell r="AA10">
            <v>9047355.0950000007</v>
          </cell>
          <cell r="AB10">
            <v>447405.49766666658</v>
          </cell>
          <cell r="AC10">
            <v>90719.239833333297</v>
          </cell>
          <cell r="AD10">
            <v>536030.23406993016</v>
          </cell>
          <cell r="AE10">
            <v>1074154.97156993</v>
          </cell>
          <cell r="AF10">
            <v>120</v>
          </cell>
          <cell r="AG10">
            <v>0</v>
          </cell>
          <cell r="AH10">
            <v>539</v>
          </cell>
          <cell r="AI10">
            <v>239</v>
          </cell>
          <cell r="AJ10">
            <v>173</v>
          </cell>
          <cell r="AK10">
            <v>0</v>
          </cell>
          <cell r="AL10">
            <v>1071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35059.33</v>
          </cell>
          <cell r="AT10">
            <v>0</v>
          </cell>
          <cell r="AU10">
            <v>0</v>
          </cell>
          <cell r="AV10">
            <v>35059.33</v>
          </cell>
        </row>
        <row r="11">
          <cell r="D11" t="str">
            <v xml:space="preserve"> - 단  위  당</v>
          </cell>
          <cell r="F11">
            <v>83120.691513357364</v>
          </cell>
          <cell r="G11">
            <v>88567.449032365985</v>
          </cell>
          <cell r="H11">
            <v>89861.51473366181</v>
          </cell>
          <cell r="I11">
            <v>86766.623030393603</v>
          </cell>
          <cell r="J11">
            <v>91402.631175053175</v>
          </cell>
          <cell r="K11">
            <v>83305.125258805027</v>
          </cell>
          <cell r="L11">
            <v>88724.756376089863</v>
          </cell>
          <cell r="M11">
            <v>88249.011676012</v>
          </cell>
          <cell r="N11">
            <v>84977.062942338962</v>
          </cell>
          <cell r="O11">
            <v>85238.677930719365</v>
          </cell>
          <cell r="P11">
            <v>82666.60691665062</v>
          </cell>
          <cell r="Q11">
            <v>91807.407438078182</v>
          </cell>
          <cell r="R11">
            <v>85409.610066659152</v>
          </cell>
          <cell r="S11">
            <v>85241.614977272737</v>
          </cell>
          <cell r="T11">
            <v>86417.23272569057</v>
          </cell>
          <cell r="U11">
            <v>90052.334680531741</v>
          </cell>
          <cell r="V11">
            <v>106982.96696732419</v>
          </cell>
          <cell r="W11">
            <v>0</v>
          </cell>
          <cell r="X11">
            <v>0</v>
          </cell>
          <cell r="Y11">
            <v>0</v>
          </cell>
          <cell r="Z11">
            <v>87178.736891375913</v>
          </cell>
          <cell r="AA11">
            <v>962484.5845744682</v>
          </cell>
          <cell r="AB11">
            <v>9117.6372214032908</v>
          </cell>
          <cell r="AC11">
            <v>90719239.833333299</v>
          </cell>
          <cell r="AD11">
            <v>24479.674493112048</v>
          </cell>
          <cell r="AE11">
            <v>15135.704363146029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D12" t="str">
            <v>매출이익</v>
          </cell>
          <cell r="E12">
            <v>4404674.0561255887</v>
          </cell>
          <cell r="F12">
            <v>593446.7174657057</v>
          </cell>
          <cell r="G12">
            <v>394196.1882583038</v>
          </cell>
          <cell r="H12">
            <v>150422.02092774934</v>
          </cell>
          <cell r="I12">
            <v>150179.94274409581</v>
          </cell>
          <cell r="J12">
            <v>338005.18349893671</v>
          </cell>
          <cell r="K12">
            <v>434708.68668509484</v>
          </cell>
          <cell r="L12">
            <v>125686.24503910146</v>
          </cell>
          <cell r="M12">
            <v>392899.59740773635</v>
          </cell>
          <cell r="N12">
            <v>158330.45957661048</v>
          </cell>
          <cell r="O12">
            <v>157860.08568303892</v>
          </cell>
          <cell r="P12">
            <v>64728.304568469641</v>
          </cell>
          <cell r="Q12">
            <v>139669.19946210086</v>
          </cell>
          <cell r="R12">
            <v>317158.40846683993</v>
          </cell>
          <cell r="S12">
            <v>182813.23524999991</v>
          </cell>
          <cell r="T12">
            <v>128337.63637154707</v>
          </cell>
          <cell r="U12">
            <v>86350.197021873144</v>
          </cell>
          <cell r="V12">
            <v>94142.198196054902</v>
          </cell>
          <cell r="W12">
            <v>0</v>
          </cell>
          <cell r="X12">
            <v>0</v>
          </cell>
          <cell r="Y12">
            <v>0</v>
          </cell>
          <cell r="Z12">
            <v>3908934.3066232614</v>
          </cell>
          <cell r="AA12">
            <v>222937.03000000119</v>
          </cell>
          <cell r="AB12">
            <v>193890.26233333343</v>
          </cell>
          <cell r="AC12">
            <v>-90719.239833333297</v>
          </cell>
          <cell r="AD12">
            <v>86395.360335664242</v>
          </cell>
          <cell r="AE12">
            <v>189566.38283566455</v>
          </cell>
          <cell r="AF12">
            <v>12380</v>
          </cell>
          <cell r="AG12">
            <v>0</v>
          </cell>
          <cell r="AH12">
            <v>24461</v>
          </cell>
          <cell r="AI12">
            <v>75157.666666666672</v>
          </cell>
          <cell r="AJ12">
            <v>4527</v>
          </cell>
          <cell r="AK12">
            <v>0</v>
          </cell>
          <cell r="AL12">
            <v>116525.66666666667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-35059.33</v>
          </cell>
          <cell r="AT12">
            <v>0</v>
          </cell>
          <cell r="AU12">
            <v>1770</v>
          </cell>
          <cell r="AV12">
            <v>-33289.33</v>
          </cell>
        </row>
        <row r="13">
          <cell r="D13" t="str">
            <v>판 관 비</v>
          </cell>
          <cell r="E13">
            <v>862383.83899999992</v>
          </cell>
          <cell r="F13">
            <v>70070.172999999995</v>
          </cell>
          <cell r="G13">
            <v>67753.407000000007</v>
          </cell>
          <cell r="H13">
            <v>50837.95</v>
          </cell>
          <cell r="I13">
            <v>39472.125</v>
          </cell>
          <cell r="J13">
            <v>60768.852000000006</v>
          </cell>
          <cell r="K13">
            <v>55490.36</v>
          </cell>
          <cell r="L13">
            <v>32392.596999999998</v>
          </cell>
          <cell r="M13">
            <v>50412.209000000003</v>
          </cell>
          <cell r="N13">
            <v>28828.060000000005</v>
          </cell>
          <cell r="O13">
            <v>27326.347000000002</v>
          </cell>
          <cell r="P13">
            <v>29280.285000000003</v>
          </cell>
          <cell r="Q13">
            <v>29011.119999999999</v>
          </cell>
          <cell r="R13">
            <v>50483.353000000003</v>
          </cell>
          <cell r="S13">
            <v>31727.421999999999</v>
          </cell>
          <cell r="T13">
            <v>12173.483</v>
          </cell>
          <cell r="U13">
            <v>11981.141</v>
          </cell>
          <cell r="V13">
            <v>15781.02</v>
          </cell>
          <cell r="W13">
            <v>0</v>
          </cell>
          <cell r="X13">
            <v>0</v>
          </cell>
          <cell r="Y13">
            <v>0</v>
          </cell>
          <cell r="Z13">
            <v>663789.90399999998</v>
          </cell>
          <cell r="AA13">
            <v>162462.32500000001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551.5</v>
          </cell>
          <cell r="AN13">
            <v>427.5</v>
          </cell>
          <cell r="AO13">
            <v>1842</v>
          </cell>
          <cell r="AP13">
            <v>191.5</v>
          </cell>
          <cell r="AQ13">
            <v>150</v>
          </cell>
          <cell r="AR13">
            <v>8799</v>
          </cell>
          <cell r="AS13">
            <v>24170.109999999997</v>
          </cell>
          <cell r="AT13">
            <v>0</v>
          </cell>
          <cell r="AU13">
            <v>0</v>
          </cell>
          <cell r="AV13">
            <v>36131.61</v>
          </cell>
        </row>
        <row r="14">
          <cell r="D14" t="str">
            <v xml:space="preserve"> - 노   무   비</v>
          </cell>
          <cell r="E14">
            <v>601964.44899999991</v>
          </cell>
          <cell r="F14">
            <v>51443.192999999999</v>
          </cell>
          <cell r="G14">
            <v>49252.087</v>
          </cell>
          <cell r="H14">
            <v>37909.72</v>
          </cell>
          <cell r="I14">
            <v>29390.445000000003</v>
          </cell>
          <cell r="J14">
            <v>43675.892000000007</v>
          </cell>
          <cell r="K14">
            <v>39846.93</v>
          </cell>
          <cell r="L14">
            <v>23026.986999999997</v>
          </cell>
          <cell r="M14">
            <v>36689.909</v>
          </cell>
          <cell r="N14">
            <v>20379.520000000004</v>
          </cell>
          <cell r="O14">
            <v>20430.287</v>
          </cell>
          <cell r="P14">
            <v>22203.435000000001</v>
          </cell>
          <cell r="Q14">
            <v>20665.23</v>
          </cell>
          <cell r="R14">
            <v>36565.953000000001</v>
          </cell>
          <cell r="S14">
            <v>23351.241999999998</v>
          </cell>
          <cell r="T14">
            <v>8707.6229999999996</v>
          </cell>
          <cell r="U14">
            <v>7855.1709999999994</v>
          </cell>
          <cell r="V14">
            <v>11248.17</v>
          </cell>
          <cell r="W14">
            <v>0</v>
          </cell>
          <cell r="X14">
            <v>0</v>
          </cell>
          <cell r="Y14">
            <v>0</v>
          </cell>
          <cell r="Z14">
            <v>482641.79399999994</v>
          </cell>
          <cell r="AA14">
            <v>95152.545000000013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24170.109999999997</v>
          </cell>
          <cell r="AT14">
            <v>0</v>
          </cell>
          <cell r="AU14">
            <v>0</v>
          </cell>
          <cell r="AV14">
            <v>24170.109999999997</v>
          </cell>
        </row>
        <row r="15">
          <cell r="D15" t="str">
            <v xml:space="preserve"> - 경        비</v>
          </cell>
          <cell r="E15">
            <v>260419.39</v>
          </cell>
          <cell r="F15">
            <v>18626.98</v>
          </cell>
          <cell r="G15">
            <v>18501.32</v>
          </cell>
          <cell r="H15">
            <v>12928.23</v>
          </cell>
          <cell r="I15">
            <v>10081.68</v>
          </cell>
          <cell r="J15">
            <v>17092.96</v>
          </cell>
          <cell r="K15">
            <v>15643.43</v>
          </cell>
          <cell r="L15">
            <v>9365.61</v>
          </cell>
          <cell r="M15">
            <v>13722.3</v>
          </cell>
          <cell r="N15">
            <v>8448.5400000000009</v>
          </cell>
          <cell r="O15">
            <v>6896.0599999999995</v>
          </cell>
          <cell r="P15">
            <v>7076.85</v>
          </cell>
          <cell r="Q15">
            <v>8345.89</v>
          </cell>
          <cell r="R15">
            <v>13917.4</v>
          </cell>
          <cell r="S15">
            <v>8376.18</v>
          </cell>
          <cell r="T15">
            <v>3465.86</v>
          </cell>
          <cell r="U15">
            <v>4125.97</v>
          </cell>
          <cell r="V15">
            <v>4532.8500000000004</v>
          </cell>
          <cell r="W15">
            <v>0</v>
          </cell>
          <cell r="X15">
            <v>0</v>
          </cell>
          <cell r="Y15">
            <v>0</v>
          </cell>
          <cell r="Z15">
            <v>181148.11000000002</v>
          </cell>
          <cell r="AA15">
            <v>67309.78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551.5</v>
          </cell>
          <cell r="AN15">
            <v>427.5</v>
          </cell>
          <cell r="AO15">
            <v>1842</v>
          </cell>
          <cell r="AP15">
            <v>191.5</v>
          </cell>
          <cell r="AQ15">
            <v>150</v>
          </cell>
          <cell r="AR15">
            <v>8799</v>
          </cell>
          <cell r="AS15">
            <v>0</v>
          </cell>
          <cell r="AT15">
            <v>0</v>
          </cell>
          <cell r="AU15">
            <v>0</v>
          </cell>
          <cell r="AV15">
            <v>11961.5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D17" t="str">
            <v>EBITDA</v>
          </cell>
          <cell r="E17">
            <v>3542290.217125589</v>
          </cell>
          <cell r="F17">
            <v>523376.54446570569</v>
          </cell>
          <cell r="G17">
            <v>326442.78125830379</v>
          </cell>
          <cell r="H17">
            <v>99584.070927749344</v>
          </cell>
          <cell r="I17">
            <v>110707.81774409581</v>
          </cell>
          <cell r="J17">
            <v>277236.33149893669</v>
          </cell>
          <cell r="K17">
            <v>379218.32668509486</v>
          </cell>
          <cell r="L17">
            <v>93293.648039101463</v>
          </cell>
          <cell r="M17">
            <v>342487.38840773632</v>
          </cell>
          <cell r="N17">
            <v>129502.39957661048</v>
          </cell>
          <cell r="O17">
            <v>130533.73868303892</v>
          </cell>
          <cell r="P17">
            <v>35448.019568469637</v>
          </cell>
          <cell r="Q17">
            <v>110658.07946210087</v>
          </cell>
          <cell r="R17">
            <v>266675.05546683993</v>
          </cell>
          <cell r="S17">
            <v>151085.81324999992</v>
          </cell>
          <cell r="T17">
            <v>116164.15337154706</v>
          </cell>
          <cell r="U17">
            <v>74369.056021873141</v>
          </cell>
          <cell r="V17">
            <v>78361.178196054898</v>
          </cell>
          <cell r="W17">
            <v>0</v>
          </cell>
          <cell r="X17">
            <v>0</v>
          </cell>
          <cell r="Y17">
            <v>0</v>
          </cell>
          <cell r="Z17">
            <v>3245144.4026232613</v>
          </cell>
          <cell r="AA17">
            <v>60474.70500000118</v>
          </cell>
          <cell r="AB17">
            <v>193890.26233333343</v>
          </cell>
          <cell r="AC17">
            <v>-90719.239833333297</v>
          </cell>
          <cell r="AD17">
            <v>86395.360335664242</v>
          </cell>
          <cell r="AE17">
            <v>189566.38283566455</v>
          </cell>
          <cell r="AF17">
            <v>12380</v>
          </cell>
          <cell r="AG17">
            <v>0</v>
          </cell>
          <cell r="AH17">
            <v>24461</v>
          </cell>
          <cell r="AI17">
            <v>75157.666666666672</v>
          </cell>
          <cell r="AJ17">
            <v>4527</v>
          </cell>
          <cell r="AK17">
            <v>0</v>
          </cell>
          <cell r="AL17">
            <v>116525.66666666667</v>
          </cell>
          <cell r="AM17">
            <v>-551.5</v>
          </cell>
          <cell r="AN17">
            <v>-427.5</v>
          </cell>
          <cell r="AO17">
            <v>-1842</v>
          </cell>
          <cell r="AP17">
            <v>-191.5</v>
          </cell>
          <cell r="AQ17">
            <v>-150</v>
          </cell>
          <cell r="AR17">
            <v>-8799</v>
          </cell>
          <cell r="AS17">
            <v>-59229.440000000002</v>
          </cell>
          <cell r="AT17">
            <v>0</v>
          </cell>
          <cell r="AU17">
            <v>1770</v>
          </cell>
          <cell r="AV17">
            <v>-69420.94</v>
          </cell>
        </row>
        <row r="18">
          <cell r="D18" t="str">
            <v>감가상각비</v>
          </cell>
          <cell r="E18">
            <v>620268.87218398997</v>
          </cell>
          <cell r="F18">
            <v>31086.133888888886</v>
          </cell>
          <cell r="G18">
            <v>36194.868666666669</v>
          </cell>
          <cell r="H18">
            <v>25319.698222222221</v>
          </cell>
          <cell r="I18">
            <v>18678.445555555558</v>
          </cell>
          <cell r="J18">
            <v>48073.718333333338</v>
          </cell>
          <cell r="K18">
            <v>28828.647222222218</v>
          </cell>
          <cell r="L18">
            <v>13584.039666666667</v>
          </cell>
          <cell r="M18">
            <v>19631.002</v>
          </cell>
          <cell r="N18">
            <v>12513.293444444444</v>
          </cell>
          <cell r="O18">
            <v>31647.162333333334</v>
          </cell>
          <cell r="P18">
            <v>15870.410436470889</v>
          </cell>
          <cell r="Q18">
            <v>15821.835721949396</v>
          </cell>
          <cell r="R18">
            <v>36520.554333333333</v>
          </cell>
          <cell r="S18">
            <v>21862.992111111111</v>
          </cell>
          <cell r="T18">
            <v>10370.319666666666</v>
          </cell>
          <cell r="U18">
            <v>6031.4589999999989</v>
          </cell>
          <cell r="V18">
            <v>12808.388620014095</v>
          </cell>
          <cell r="W18">
            <v>0</v>
          </cell>
          <cell r="X18">
            <v>0</v>
          </cell>
          <cell r="Y18">
            <v>0</v>
          </cell>
          <cell r="Z18">
            <v>384842.96922287886</v>
          </cell>
          <cell r="AA18">
            <v>5186.2629999999999</v>
          </cell>
          <cell r="AB18">
            <v>72109.442738888902</v>
          </cell>
          <cell r="AC18">
            <v>57965.727999999996</v>
          </cell>
          <cell r="AD18">
            <v>37024.947222222225</v>
          </cell>
          <cell r="AE18">
            <v>167100.11796111113</v>
          </cell>
          <cell r="AF18">
            <v>3156.7039999999997</v>
          </cell>
          <cell r="AG18">
            <v>0</v>
          </cell>
          <cell r="AH18">
            <v>8222.2649999999994</v>
          </cell>
          <cell r="AI18">
            <v>5524.1019999999999</v>
          </cell>
          <cell r="AJ18">
            <v>1312.8920000000001</v>
          </cell>
          <cell r="AK18">
            <v>0</v>
          </cell>
          <cell r="AL18">
            <v>18215.963</v>
          </cell>
          <cell r="AM18">
            <v>3275.9680000000003</v>
          </cell>
          <cell r="AN18">
            <v>350.85900000000004</v>
          </cell>
          <cell r="AO18">
            <v>5731.549</v>
          </cell>
          <cell r="AP18">
            <v>0</v>
          </cell>
          <cell r="AQ18">
            <v>241.20500000000001</v>
          </cell>
          <cell r="AR18">
            <v>18257.885000000002</v>
          </cell>
          <cell r="AS18">
            <v>0</v>
          </cell>
          <cell r="AT18">
            <v>0</v>
          </cell>
          <cell r="AU18">
            <v>17066.092999999997</v>
          </cell>
          <cell r="AV18">
            <v>44923.558999999994</v>
          </cell>
        </row>
        <row r="19">
          <cell r="D19" t="str">
            <v xml:space="preserve"> - 제        조</v>
          </cell>
          <cell r="E19">
            <v>548766.43618398998</v>
          </cell>
          <cell r="F19">
            <v>28791.264888888887</v>
          </cell>
          <cell r="G19">
            <v>34270.399666666672</v>
          </cell>
          <cell r="H19">
            <v>23105.582222222223</v>
          </cell>
          <cell r="I19">
            <v>17486.457555555557</v>
          </cell>
          <cell r="J19">
            <v>46207.985333333338</v>
          </cell>
          <cell r="K19">
            <v>27274.578222222219</v>
          </cell>
          <cell r="L19">
            <v>12390.440666666667</v>
          </cell>
          <cell r="M19">
            <v>17697.296999999999</v>
          </cell>
          <cell r="N19">
            <v>12133.657444444443</v>
          </cell>
          <cell r="O19">
            <v>30809.129333333334</v>
          </cell>
          <cell r="P19">
            <v>15057.141436470889</v>
          </cell>
          <cell r="Q19">
            <v>14636.513721949395</v>
          </cell>
          <cell r="R19">
            <v>34956.55533333333</v>
          </cell>
          <cell r="S19">
            <v>21049.72311111111</v>
          </cell>
          <cell r="T19">
            <v>9927.4506666666657</v>
          </cell>
          <cell r="U19">
            <v>5661.0589999999993</v>
          </cell>
          <cell r="V19">
            <v>11995.119620014095</v>
          </cell>
          <cell r="W19">
            <v>0</v>
          </cell>
          <cell r="X19">
            <v>0</v>
          </cell>
          <cell r="Y19">
            <v>0</v>
          </cell>
          <cell r="Z19">
            <v>363450.35522287886</v>
          </cell>
          <cell r="AA19">
            <v>0</v>
          </cell>
          <cell r="AB19">
            <v>72109.442738888902</v>
          </cell>
          <cell r="AC19">
            <v>57965.727999999996</v>
          </cell>
          <cell r="AD19">
            <v>37024.947222222225</v>
          </cell>
          <cell r="AE19">
            <v>167100.11796111113</v>
          </cell>
          <cell r="AF19">
            <v>3156.7039999999997</v>
          </cell>
          <cell r="AG19">
            <v>0</v>
          </cell>
          <cell r="AH19">
            <v>8222.2649999999994</v>
          </cell>
          <cell r="AI19">
            <v>5524.1019999999999</v>
          </cell>
          <cell r="AJ19">
            <v>1312.8920000000001</v>
          </cell>
          <cell r="AK19">
            <v>0</v>
          </cell>
          <cell r="AL19">
            <v>18215.963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D20" t="str">
            <v xml:space="preserve"> - 판        매</v>
          </cell>
          <cell r="E20">
            <v>71502.435999999987</v>
          </cell>
          <cell r="F20">
            <v>2294.8690000000001</v>
          </cell>
          <cell r="G20">
            <v>1924.4690000000001</v>
          </cell>
          <cell r="H20">
            <v>2214.116</v>
          </cell>
          <cell r="I20">
            <v>1191.9880000000001</v>
          </cell>
          <cell r="J20">
            <v>1865.7329999999999</v>
          </cell>
          <cell r="K20">
            <v>1554.069</v>
          </cell>
          <cell r="L20">
            <v>1193.5990000000002</v>
          </cell>
          <cell r="M20">
            <v>1933.7050000000002</v>
          </cell>
          <cell r="N20">
            <v>379.63599999999997</v>
          </cell>
          <cell r="O20">
            <v>838.03300000000002</v>
          </cell>
          <cell r="P20">
            <v>813.26900000000001</v>
          </cell>
          <cell r="Q20">
            <v>1185.3220000000001</v>
          </cell>
          <cell r="R20">
            <v>1563.999</v>
          </cell>
          <cell r="S20">
            <v>813.26900000000001</v>
          </cell>
          <cell r="T20">
            <v>442.86900000000003</v>
          </cell>
          <cell r="U20">
            <v>370.4</v>
          </cell>
          <cell r="V20">
            <v>813.26900000000001</v>
          </cell>
          <cell r="W20">
            <v>0</v>
          </cell>
          <cell r="X20">
            <v>0</v>
          </cell>
          <cell r="Y20">
            <v>0</v>
          </cell>
          <cell r="Z20">
            <v>21392.613999999998</v>
          </cell>
          <cell r="AA20">
            <v>5186.2629999999999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3275.9680000000003</v>
          </cell>
          <cell r="AN20">
            <v>350.85900000000004</v>
          </cell>
          <cell r="AO20">
            <v>5731.549</v>
          </cell>
          <cell r="AP20">
            <v>0</v>
          </cell>
          <cell r="AQ20">
            <v>241.20500000000001</v>
          </cell>
          <cell r="AR20">
            <v>18257.885000000002</v>
          </cell>
          <cell r="AS20">
            <v>0</v>
          </cell>
          <cell r="AT20">
            <v>0</v>
          </cell>
          <cell r="AU20">
            <v>17066.092999999997</v>
          </cell>
          <cell r="AV20">
            <v>44923.558999999994</v>
          </cell>
        </row>
        <row r="21">
          <cell r="D21" t="str">
            <v>영업이익 I</v>
          </cell>
          <cell r="E21">
            <v>2922021.3449415993</v>
          </cell>
          <cell r="F21">
            <v>492290.41057681682</v>
          </cell>
          <cell r="G21">
            <v>290247.91259163711</v>
          </cell>
          <cell r="H21">
            <v>74264.372705527116</v>
          </cell>
          <cell r="I21">
            <v>92029.372188540248</v>
          </cell>
          <cell r="J21">
            <v>229162.61316560337</v>
          </cell>
          <cell r="K21">
            <v>350389.67946287262</v>
          </cell>
          <cell r="L21">
            <v>79709.608372434799</v>
          </cell>
          <cell r="M21">
            <v>322856.38640773634</v>
          </cell>
          <cell r="N21">
            <v>116989.10613216604</v>
          </cell>
          <cell r="O21">
            <v>98886.576349705574</v>
          </cell>
          <cell r="P21">
            <v>19577.609131998746</v>
          </cell>
          <cell r="Q21">
            <v>94836.243740151476</v>
          </cell>
          <cell r="R21">
            <v>230154.50113350659</v>
          </cell>
          <cell r="S21">
            <v>129222.8211388888</v>
          </cell>
          <cell r="T21">
            <v>105793.8337048804</v>
          </cell>
          <cell r="U21">
            <v>68337.597021873138</v>
          </cell>
          <cell r="V21">
            <v>65552.789576040799</v>
          </cell>
          <cell r="W21">
            <v>0</v>
          </cell>
          <cell r="X21">
            <v>0</v>
          </cell>
          <cell r="Y21">
            <v>0</v>
          </cell>
          <cell r="Z21">
            <v>2860301.4334003823</v>
          </cell>
          <cell r="AA21">
            <v>55288.442000001181</v>
          </cell>
          <cell r="AB21">
            <v>121780.81959444453</v>
          </cell>
          <cell r="AC21">
            <v>-148684.9678333333</v>
          </cell>
          <cell r="AD21">
            <v>49370.413113442017</v>
          </cell>
          <cell r="AE21">
            <v>22466.264874553424</v>
          </cell>
          <cell r="AF21">
            <v>9223.2960000000003</v>
          </cell>
          <cell r="AG21">
            <v>0</v>
          </cell>
          <cell r="AH21">
            <v>16238.735000000001</v>
          </cell>
          <cell r="AI21">
            <v>69633.564666666673</v>
          </cell>
          <cell r="AJ21">
            <v>3214.1080000000002</v>
          </cell>
          <cell r="AK21">
            <v>0</v>
          </cell>
          <cell r="AL21">
            <v>98309.703666666668</v>
          </cell>
          <cell r="AM21">
            <v>-3827.4680000000003</v>
          </cell>
          <cell r="AN21">
            <v>-778.35900000000004</v>
          </cell>
          <cell r="AO21">
            <v>-7573.549</v>
          </cell>
          <cell r="AP21">
            <v>-191.5</v>
          </cell>
          <cell r="AQ21">
            <v>-391.20500000000004</v>
          </cell>
          <cell r="AR21">
            <v>-27056.885000000002</v>
          </cell>
          <cell r="AS21">
            <v>-59229.440000000002</v>
          </cell>
          <cell r="AT21">
            <v>0</v>
          </cell>
          <cell r="AU21">
            <v>-15296.092999999997</v>
          </cell>
          <cell r="AV21">
            <v>-114344.499</v>
          </cell>
        </row>
        <row r="22">
          <cell r="D22" t="str">
            <v>공    통    비</v>
          </cell>
          <cell r="E22">
            <v>1746283.9553497459</v>
          </cell>
          <cell r="F22">
            <v>227687.99728936254</v>
          </cell>
          <cell r="G22">
            <v>203037.03677381476</v>
          </cell>
          <cell r="H22">
            <v>97511.264737134712</v>
          </cell>
          <cell r="I22">
            <v>84355.999082794529</v>
          </cell>
          <cell r="J22">
            <v>132849.51818941536</v>
          </cell>
          <cell r="K22">
            <v>133957.08990837305</v>
          </cell>
          <cell r="L22">
            <v>62125.658891452382</v>
          </cell>
          <cell r="M22">
            <v>143172.99021795651</v>
          </cell>
          <cell r="N22">
            <v>61829.256600202527</v>
          </cell>
          <cell r="O22">
            <v>77644.539589573484</v>
          </cell>
          <cell r="P22">
            <v>47066.142181957446</v>
          </cell>
          <cell r="Q22">
            <v>73320.083402868229</v>
          </cell>
          <cell r="R22">
            <v>132580.87699701803</v>
          </cell>
          <cell r="S22">
            <v>65109.732856694129</v>
          </cell>
          <cell r="T22">
            <v>32565.808400693437</v>
          </cell>
          <cell r="U22">
            <v>25949.241057467083</v>
          </cell>
          <cell r="V22">
            <v>42770.734603431185</v>
          </cell>
          <cell r="W22">
            <v>0</v>
          </cell>
          <cell r="X22">
            <v>0</v>
          </cell>
          <cell r="Y22">
            <v>0</v>
          </cell>
          <cell r="Z22">
            <v>1643533.9707802094</v>
          </cell>
          <cell r="AA22">
            <v>53262.669134276592</v>
          </cell>
          <cell r="AB22">
            <v>25113.13546437777</v>
          </cell>
          <cell r="AC22">
            <v>0</v>
          </cell>
          <cell r="AD22">
            <v>24374.179970881993</v>
          </cell>
          <cell r="AE22">
            <v>49487.315435259763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D23" t="str">
            <v xml:space="preserve"> - 영업공통비</v>
          </cell>
          <cell r="E23">
            <v>242381.12666666653</v>
          </cell>
          <cell r="F23">
            <v>21906.423975851521</v>
          </cell>
          <cell r="G23">
            <v>19534.694245279581</v>
          </cell>
          <cell r="H23">
            <v>9381.799362214213</v>
          </cell>
          <cell r="I23">
            <v>8116.0987966605207</v>
          </cell>
          <cell r="J23">
            <v>19091.587934416413</v>
          </cell>
          <cell r="K23">
            <v>19250.755262641153</v>
          </cell>
          <cell r="L23">
            <v>8927.9772774081557</v>
          </cell>
          <cell r="M23">
            <v>20575.15728948453</v>
          </cell>
          <cell r="N23">
            <v>8885.3817867772395</v>
          </cell>
          <cell r="O23">
            <v>11158.170352474215</v>
          </cell>
          <cell r="P23">
            <v>6763.7986531454253</v>
          </cell>
          <cell r="Q23">
            <v>10536.709795580811</v>
          </cell>
          <cell r="R23">
            <v>12755.933282226593</v>
          </cell>
          <cell r="S23">
            <v>6264.3680382523571</v>
          </cell>
          <cell r="T23">
            <v>3133.2367732818884</v>
          </cell>
          <cell r="U23">
            <v>2496.6405046552077</v>
          </cell>
          <cell r="V23">
            <v>4115.0779010570241</v>
          </cell>
          <cell r="W23">
            <v>0</v>
          </cell>
          <cell r="X23">
            <v>0</v>
          </cell>
          <cell r="Y23">
            <v>0</v>
          </cell>
          <cell r="Z23">
            <v>192893.81123140678</v>
          </cell>
          <cell r="AA23">
            <v>0</v>
          </cell>
          <cell r="AB23">
            <v>25113.13546437777</v>
          </cell>
          <cell r="AC23">
            <v>0</v>
          </cell>
          <cell r="AD23">
            <v>24374.179970881993</v>
          </cell>
          <cell r="AE23">
            <v>49487.315435259763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D24" t="str">
            <v xml:space="preserve"> - 부문공통비</v>
          </cell>
          <cell r="E24">
            <v>388228.326</v>
          </cell>
          <cell r="F24">
            <v>55072.400418032797</v>
          </cell>
          <cell r="G24">
            <v>49109.909709855325</v>
          </cell>
          <cell r="H24">
            <v>23585.693935580926</v>
          </cell>
          <cell r="I24">
            <v>20403.742904580031</v>
          </cell>
          <cell r="J24">
            <v>30444.525157678996</v>
          </cell>
          <cell r="K24">
            <v>30698.342375244396</v>
          </cell>
          <cell r="L24">
            <v>14237.057166902843</v>
          </cell>
          <cell r="M24">
            <v>32810.308701127011</v>
          </cell>
          <cell r="N24">
            <v>14169.131990088248</v>
          </cell>
          <cell r="O24">
            <v>17793.449092685605</v>
          </cell>
          <cell r="P24">
            <v>10785.935615441813</v>
          </cell>
          <cell r="Q24">
            <v>16802.432964334166</v>
          </cell>
          <cell r="R24">
            <v>32068.212785386277</v>
          </cell>
          <cell r="S24">
            <v>15748.521317256675</v>
          </cell>
          <cell r="T24">
            <v>7876.9072657819697</v>
          </cell>
          <cell r="U24">
            <v>6276.5144016120275</v>
          </cell>
          <cell r="V24">
            <v>10345.240198410849</v>
          </cell>
          <cell r="W24">
            <v>0</v>
          </cell>
          <cell r="X24">
            <v>0</v>
          </cell>
          <cell r="Y24">
            <v>0</v>
          </cell>
          <cell r="Z24">
            <v>388228.326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D25" t="str">
            <v xml:space="preserve"> - 본사공통비</v>
          </cell>
          <cell r="E25">
            <v>1115674.5026830793</v>
          </cell>
          <cell r="F25">
            <v>150709.1728954782</v>
          </cell>
          <cell r="G25">
            <v>134392.43281867987</v>
          </cell>
          <cell r="H25">
            <v>64543.771439339565</v>
          </cell>
          <cell r="I25">
            <v>55836.157381553974</v>
          </cell>
          <cell r="J25">
            <v>83313.405097319963</v>
          </cell>
          <cell r="K25">
            <v>84007.992270487506</v>
          </cell>
          <cell r="L25">
            <v>38960.624447141381</v>
          </cell>
          <cell r="M25">
            <v>89787.524227344969</v>
          </cell>
          <cell r="N25">
            <v>38774.742823337037</v>
          </cell>
          <cell r="O25">
            <v>48692.920144413656</v>
          </cell>
          <cell r="P25">
            <v>29516.407913370211</v>
          </cell>
          <cell r="Q25">
            <v>45980.940642953254</v>
          </cell>
          <cell r="R25">
            <v>87756.730929405167</v>
          </cell>
          <cell r="S25">
            <v>43096.843501185096</v>
          </cell>
          <cell r="T25">
            <v>21555.664361629577</v>
          </cell>
          <cell r="U25">
            <v>17176.086151199848</v>
          </cell>
          <cell r="V25">
            <v>28310.416503963312</v>
          </cell>
          <cell r="W25">
            <v>0</v>
          </cell>
          <cell r="X25">
            <v>0</v>
          </cell>
          <cell r="Y25">
            <v>0</v>
          </cell>
          <cell r="Z25">
            <v>1062411.8335488026</v>
          </cell>
          <cell r="AA25">
            <v>53262.669134276592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D26" t="str">
            <v>영업이익 II</v>
          </cell>
          <cell r="E26">
            <v>1175737.3895918534</v>
          </cell>
          <cell r="F26">
            <v>264602.41328745428</v>
          </cell>
          <cell r="G26">
            <v>87210.875817822351</v>
          </cell>
          <cell r="H26">
            <v>-23246.892031607596</v>
          </cell>
          <cell r="I26">
            <v>7673.3731057457189</v>
          </cell>
          <cell r="J26">
            <v>96313.094976188004</v>
          </cell>
          <cell r="K26">
            <v>216432.58955449957</v>
          </cell>
          <cell r="L26">
            <v>17583.949480982417</v>
          </cell>
          <cell r="M26">
            <v>179683.39618977983</v>
          </cell>
          <cell r="N26">
            <v>55159.849531963511</v>
          </cell>
          <cell r="O26">
            <v>21242.03676013209</v>
          </cell>
          <cell r="P26">
            <v>-27488.5330499587</v>
          </cell>
          <cell r="Q26">
            <v>21516.160337283247</v>
          </cell>
          <cell r="R26">
            <v>97573.624136488565</v>
          </cell>
          <cell r="S26">
            <v>64113.088282194673</v>
          </cell>
          <cell r="T26">
            <v>73228.025304186958</v>
          </cell>
          <cell r="U26">
            <v>42388.355964406059</v>
          </cell>
          <cell r="V26">
            <v>22782.054972609614</v>
          </cell>
          <cell r="W26">
            <v>0</v>
          </cell>
          <cell r="X26">
            <v>0</v>
          </cell>
          <cell r="Y26">
            <v>0</v>
          </cell>
          <cell r="Z26">
            <v>1216767.4626201729</v>
          </cell>
          <cell r="AA26">
            <v>2025.7728657245898</v>
          </cell>
          <cell r="AB26">
            <v>96667.684130066758</v>
          </cell>
          <cell r="AC26">
            <v>-148684.9678333333</v>
          </cell>
          <cell r="AD26">
            <v>24996.233142560024</v>
          </cell>
          <cell r="AE26">
            <v>-27021.050560706339</v>
          </cell>
          <cell r="AF26">
            <v>9223.2960000000003</v>
          </cell>
          <cell r="AG26">
            <v>0</v>
          </cell>
          <cell r="AH26">
            <v>16238.735000000001</v>
          </cell>
          <cell r="AI26">
            <v>69633.564666666673</v>
          </cell>
          <cell r="AJ26">
            <v>3214.1080000000002</v>
          </cell>
          <cell r="AK26">
            <v>0</v>
          </cell>
          <cell r="AL26">
            <v>98309.703666666668</v>
          </cell>
          <cell r="AM26">
            <v>-3827.4680000000003</v>
          </cell>
          <cell r="AN26">
            <v>-778.35900000000004</v>
          </cell>
          <cell r="AO26">
            <v>-7573.549</v>
          </cell>
          <cell r="AP26">
            <v>-191.5</v>
          </cell>
          <cell r="AQ26">
            <v>-391.20500000000004</v>
          </cell>
          <cell r="AR26">
            <v>-27056.885000000002</v>
          </cell>
          <cell r="AS26">
            <v>-59229.440000000002</v>
          </cell>
          <cell r="AT26">
            <v>0</v>
          </cell>
          <cell r="AU26">
            <v>-15296.092999999997</v>
          </cell>
          <cell r="AV26">
            <v>-114344.499</v>
          </cell>
        </row>
        <row r="27">
          <cell r="E27">
            <v>1175737.3895918555</v>
          </cell>
          <cell r="F27">
            <v>264602.41328745428</v>
          </cell>
          <cell r="G27">
            <v>87210.875817822351</v>
          </cell>
          <cell r="H27">
            <v>-23246.892031607582</v>
          </cell>
          <cell r="I27">
            <v>7673.3731057457335</v>
          </cell>
          <cell r="J27">
            <v>96313.094976188004</v>
          </cell>
          <cell r="K27">
            <v>216432.58955449957</v>
          </cell>
          <cell r="L27">
            <v>17583.949480982417</v>
          </cell>
          <cell r="M27">
            <v>179683.39618977983</v>
          </cell>
          <cell r="N27">
            <v>55159.849531963497</v>
          </cell>
          <cell r="O27">
            <v>21242.03676013209</v>
          </cell>
          <cell r="P27">
            <v>-27488.5330499587</v>
          </cell>
          <cell r="Q27">
            <v>21516.160337283232</v>
          </cell>
          <cell r="R27">
            <v>97573.624136488565</v>
          </cell>
          <cell r="S27">
            <v>64113.088282194673</v>
          </cell>
          <cell r="T27">
            <v>73228.025304186973</v>
          </cell>
          <cell r="U27">
            <v>42388.355964406059</v>
          </cell>
          <cell r="V27">
            <v>22782.054972609629</v>
          </cell>
          <cell r="W27">
            <v>0</v>
          </cell>
          <cell r="X27">
            <v>0</v>
          </cell>
          <cell r="Y27">
            <v>0</v>
          </cell>
          <cell r="Z27">
            <v>1216767.4626201708</v>
          </cell>
          <cell r="AA27">
            <v>2025.7728657245825</v>
          </cell>
          <cell r="AB27">
            <v>96667.684130066758</v>
          </cell>
          <cell r="AC27">
            <v>-148684.9678333333</v>
          </cell>
          <cell r="AD27">
            <v>24996.233142560024</v>
          </cell>
          <cell r="AE27">
            <v>-27021.050560706517</v>
          </cell>
          <cell r="AF27">
            <v>9223.2960000000003</v>
          </cell>
          <cell r="AG27">
            <v>0</v>
          </cell>
          <cell r="AH27">
            <v>16238.735000000001</v>
          </cell>
          <cell r="AI27">
            <v>69633.564666666673</v>
          </cell>
          <cell r="AJ27">
            <v>3214.1080000000002</v>
          </cell>
          <cell r="AK27">
            <v>0</v>
          </cell>
          <cell r="AL27">
            <v>98309.703666666668</v>
          </cell>
          <cell r="AM27">
            <v>-3827.4680000000003</v>
          </cell>
          <cell r="AN27">
            <v>-778.35900000000004</v>
          </cell>
          <cell r="AO27">
            <v>-7573.549</v>
          </cell>
          <cell r="AP27">
            <v>-191.5</v>
          </cell>
          <cell r="AQ27">
            <v>-391.20500000000004</v>
          </cell>
          <cell r="AR27">
            <v>-27056.885000000002</v>
          </cell>
          <cell r="AS27">
            <v>-59229.440000000002</v>
          </cell>
          <cell r="AT27">
            <v>0</v>
          </cell>
          <cell r="AU27">
            <v>-15296.092999999997</v>
          </cell>
          <cell r="AV27">
            <v>-114344.499</v>
          </cell>
        </row>
        <row r="28">
          <cell r="E28">
            <v>-2.0954757928848267E-9</v>
          </cell>
          <cell r="F28">
            <v>0</v>
          </cell>
          <cell r="G28">
            <v>0</v>
          </cell>
          <cell r="H28">
            <v>0</v>
          </cell>
          <cell r="I28">
            <v>-1.4551915228366852E-11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2.0954757928848267E-9</v>
          </cell>
          <cell r="AA28">
            <v>7.2759576141834259E-12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30">
          <cell r="E30">
            <v>352368.28438228439</v>
          </cell>
          <cell r="F30">
            <v>40000</v>
          </cell>
          <cell r="G30">
            <v>35000</v>
          </cell>
          <cell r="H30">
            <v>17000</v>
          </cell>
          <cell r="I30">
            <v>15000</v>
          </cell>
          <cell r="J30">
            <v>20000</v>
          </cell>
          <cell r="K30">
            <v>21000</v>
          </cell>
          <cell r="L30">
            <v>10000</v>
          </cell>
          <cell r="M30">
            <v>22000</v>
          </cell>
          <cell r="N30">
            <v>10000</v>
          </cell>
          <cell r="O30">
            <v>13000</v>
          </cell>
          <cell r="P30">
            <v>8500</v>
          </cell>
          <cell r="Q30">
            <v>11500</v>
          </cell>
          <cell r="R30">
            <v>23000</v>
          </cell>
          <cell r="S30">
            <v>11000</v>
          </cell>
          <cell r="T30">
            <v>5000</v>
          </cell>
          <cell r="U30">
            <v>4000</v>
          </cell>
          <cell r="V30">
            <v>6000</v>
          </cell>
          <cell r="W30">
            <v>0</v>
          </cell>
          <cell r="X30">
            <v>0</v>
          </cell>
          <cell r="Y30">
            <v>0</v>
          </cell>
          <cell r="Z30">
            <v>272000</v>
          </cell>
          <cell r="AA30">
            <v>9400</v>
          </cell>
          <cell r="AB30">
            <v>49070.333333333328</v>
          </cell>
          <cell r="AC30">
            <v>1</v>
          </cell>
          <cell r="AD30">
            <v>21896.95104895105</v>
          </cell>
          <cell r="AE30">
            <v>70968.284382284386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38274930.887149774</v>
          </cell>
          <cell r="F31">
            <v>3918274.378</v>
          </cell>
          <cell r="G31">
            <v>3494056.9043911132</v>
          </cell>
          <cell r="H31">
            <v>1678067.7714</v>
          </cell>
          <cell r="I31">
            <v>1451679.2881999998</v>
          </cell>
          <cell r="J31">
            <v>2166057.807</v>
          </cell>
          <cell r="K31">
            <v>2184116.3171200003</v>
          </cell>
          <cell r="L31">
            <v>1012933.8088</v>
          </cell>
          <cell r="M31">
            <v>2334377.8542800006</v>
          </cell>
          <cell r="N31">
            <v>1008101.0890000002</v>
          </cell>
          <cell r="O31">
            <v>1265962.8987823906</v>
          </cell>
          <cell r="P31">
            <v>767394.46335999994</v>
          </cell>
          <cell r="Q31">
            <v>1195454.385</v>
          </cell>
          <cell r="R31">
            <v>2281579.4400000004</v>
          </cell>
          <cell r="S31">
            <v>1120471</v>
          </cell>
          <cell r="T31">
            <v>560423.79999999993</v>
          </cell>
          <cell r="U31">
            <v>446559.53574400011</v>
          </cell>
          <cell r="V31">
            <v>736040</v>
          </cell>
          <cell r="W31">
            <v>0</v>
          </cell>
          <cell r="X31">
            <v>0</v>
          </cell>
          <cell r="Y31">
            <v>0</v>
          </cell>
          <cell r="Z31">
            <v>27621550.741077513</v>
          </cell>
          <cell r="AA31">
            <v>9270292.1250000019</v>
          </cell>
          <cell r="AB31">
            <v>641295.76</v>
          </cell>
          <cell r="AC31">
            <v>0</v>
          </cell>
          <cell r="AD31">
            <v>622425.5944055944</v>
          </cell>
          <cell r="AE31">
            <v>1263721.3544055945</v>
          </cell>
          <cell r="AF31">
            <v>12500</v>
          </cell>
          <cell r="AG31">
            <v>0</v>
          </cell>
          <cell r="AH31">
            <v>25000</v>
          </cell>
          <cell r="AI31">
            <v>75396.666666666672</v>
          </cell>
          <cell r="AJ31">
            <v>4700</v>
          </cell>
          <cell r="AK31">
            <v>0</v>
          </cell>
          <cell r="AL31">
            <v>117596.66666666667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1770</v>
          </cell>
          <cell r="AV31">
            <v>1770</v>
          </cell>
        </row>
        <row r="32">
          <cell r="D32" t="str">
            <v>매출원가</v>
          </cell>
          <cell r="E32">
            <v>34419023.267208166</v>
          </cell>
          <cell r="F32">
            <v>3353618.925423183</v>
          </cell>
          <cell r="G32">
            <v>3134131.1157994759</v>
          </cell>
          <cell r="H32">
            <v>1550751.3326944727</v>
          </cell>
          <cell r="I32">
            <v>1318985.8030114595</v>
          </cell>
          <cell r="J32">
            <v>1874260.6088343966</v>
          </cell>
          <cell r="K32">
            <v>1776682.2086571276</v>
          </cell>
          <cell r="L32">
            <v>899638.00442756526</v>
          </cell>
          <cell r="M32">
            <v>1959175.5538722642</v>
          </cell>
          <cell r="N32">
            <v>861904.28686783416</v>
          </cell>
          <cell r="O32">
            <v>1138911.9424326851</v>
          </cell>
          <cell r="P32">
            <v>717723.3002280012</v>
          </cell>
          <cell r="Q32">
            <v>1070421.6992598486</v>
          </cell>
          <cell r="R32">
            <v>1999377.5868664938</v>
          </cell>
          <cell r="S32">
            <v>958707.48786111118</v>
          </cell>
          <cell r="T32">
            <v>442013.61429511954</v>
          </cell>
          <cell r="U32">
            <v>365870.39772212697</v>
          </cell>
          <cell r="V32">
            <v>653892.9214239592</v>
          </cell>
          <cell r="W32">
            <v>0</v>
          </cell>
          <cell r="X32">
            <v>0</v>
          </cell>
          <cell r="Y32">
            <v>0</v>
          </cell>
          <cell r="Z32">
            <v>24076066.789677128</v>
          </cell>
          <cell r="AA32">
            <v>9047355.0950000007</v>
          </cell>
          <cell r="AB32">
            <v>519514.94040555548</v>
          </cell>
          <cell r="AC32">
            <v>148684.9678333333</v>
          </cell>
          <cell r="AD32">
            <v>573055.18129215238</v>
          </cell>
          <cell r="AE32">
            <v>1241255.0895310412</v>
          </cell>
          <cell r="AF32">
            <v>3276.7039999999997</v>
          </cell>
          <cell r="AG32">
            <v>0</v>
          </cell>
          <cell r="AH32">
            <v>8761.2649999999994</v>
          </cell>
          <cell r="AI32">
            <v>5763.1019999999999</v>
          </cell>
          <cell r="AJ32">
            <v>1485.8920000000001</v>
          </cell>
          <cell r="AK32">
            <v>0</v>
          </cell>
          <cell r="AL32">
            <v>19286.963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35059.33</v>
          </cell>
          <cell r="AT32">
            <v>0</v>
          </cell>
          <cell r="AU32">
            <v>0</v>
          </cell>
          <cell r="AV32">
            <v>35059.33</v>
          </cell>
        </row>
        <row r="33">
          <cell r="D33" t="str">
            <v>매출이익</v>
          </cell>
          <cell r="E33">
            <v>3855907.6199416053</v>
          </cell>
          <cell r="F33">
            <v>564655.45257681701</v>
          </cell>
          <cell r="G33">
            <v>359925.78859163728</v>
          </cell>
          <cell r="H33">
            <v>127316.43870552722</v>
          </cell>
          <cell r="I33">
            <v>132693.4851885403</v>
          </cell>
          <cell r="J33">
            <v>291797.19816560345</v>
          </cell>
          <cell r="K33">
            <v>407434.10846287268</v>
          </cell>
          <cell r="L33">
            <v>113295.80437243474</v>
          </cell>
          <cell r="M33">
            <v>375202.30040773633</v>
          </cell>
          <cell r="N33">
            <v>146196.80213216599</v>
          </cell>
          <cell r="O33">
            <v>127050.95634970558</v>
          </cell>
          <cell r="P33">
            <v>49671.163131998735</v>
          </cell>
          <cell r="Q33">
            <v>125032.68574015144</v>
          </cell>
          <cell r="R33">
            <v>282201.85313350661</v>
          </cell>
          <cell r="S33">
            <v>161763.51213888882</v>
          </cell>
          <cell r="T33">
            <v>118410.18570488039</v>
          </cell>
          <cell r="U33">
            <v>80689.138021873136</v>
          </cell>
          <cell r="V33">
            <v>82147.078576040803</v>
          </cell>
          <cell r="W33">
            <v>0</v>
          </cell>
          <cell r="X33">
            <v>0</v>
          </cell>
          <cell r="Y33">
            <v>0</v>
          </cell>
          <cell r="Z33">
            <v>3545483.9514003843</v>
          </cell>
          <cell r="AA33">
            <v>222937.03000000119</v>
          </cell>
          <cell r="AB33">
            <v>121780.81959444453</v>
          </cell>
          <cell r="AC33">
            <v>-148684.9678333333</v>
          </cell>
          <cell r="AD33">
            <v>49370.413113442017</v>
          </cell>
          <cell r="AE33">
            <v>22466.264874553308</v>
          </cell>
          <cell r="AF33">
            <v>9223.2960000000003</v>
          </cell>
          <cell r="AG33">
            <v>0</v>
          </cell>
          <cell r="AH33">
            <v>16238.735000000001</v>
          </cell>
          <cell r="AI33">
            <v>69633.564666666673</v>
          </cell>
          <cell r="AJ33">
            <v>3214.1080000000002</v>
          </cell>
          <cell r="AK33">
            <v>0</v>
          </cell>
          <cell r="AL33">
            <v>98309.703666666668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-35059.33</v>
          </cell>
          <cell r="AT33">
            <v>0</v>
          </cell>
          <cell r="AU33">
            <v>1770</v>
          </cell>
          <cell r="AV33">
            <v>-33289.33</v>
          </cell>
        </row>
        <row r="34">
          <cell r="D34" t="str">
            <v>판관비</v>
          </cell>
          <cell r="E34">
            <v>2680170.2303497456</v>
          </cell>
          <cell r="F34">
            <v>300053.03928936255</v>
          </cell>
          <cell r="G34">
            <v>272714.91277381475</v>
          </cell>
          <cell r="H34">
            <v>150563.3307371347</v>
          </cell>
          <cell r="I34">
            <v>125020.11208279453</v>
          </cell>
          <cell r="J34">
            <v>195484.10318941539</v>
          </cell>
          <cell r="K34">
            <v>191001.51890837305</v>
          </cell>
          <cell r="L34">
            <v>95711.854891452385</v>
          </cell>
          <cell r="M34">
            <v>195518.9042179565</v>
          </cell>
          <cell r="N34">
            <v>91036.952600202523</v>
          </cell>
          <cell r="O34">
            <v>105808.91958957349</v>
          </cell>
          <cell r="P34">
            <v>77159.69618195745</v>
          </cell>
          <cell r="Q34">
            <v>103516.52540286822</v>
          </cell>
          <cell r="R34">
            <v>184628.22899701804</v>
          </cell>
          <cell r="S34">
            <v>97650.423856694135</v>
          </cell>
          <cell r="T34">
            <v>45182.160400693436</v>
          </cell>
          <cell r="U34">
            <v>38300.782057467084</v>
          </cell>
          <cell r="V34">
            <v>59365.023603431182</v>
          </cell>
          <cell r="W34">
            <v>0</v>
          </cell>
          <cell r="X34">
            <v>0</v>
          </cell>
          <cell r="Y34">
            <v>0</v>
          </cell>
          <cell r="Z34">
            <v>2328716.4887802093</v>
          </cell>
          <cell r="AA34">
            <v>220911.25713427662</v>
          </cell>
          <cell r="AB34">
            <v>25113.13546437777</v>
          </cell>
          <cell r="AC34">
            <v>0</v>
          </cell>
          <cell r="AD34">
            <v>24374.179970881993</v>
          </cell>
          <cell r="AE34">
            <v>49487.315435259763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3827.4680000000003</v>
          </cell>
          <cell r="AN34">
            <v>778.35900000000004</v>
          </cell>
          <cell r="AO34">
            <v>7573.549</v>
          </cell>
          <cell r="AP34">
            <v>191.5</v>
          </cell>
          <cell r="AQ34">
            <v>391.20500000000004</v>
          </cell>
          <cell r="AR34">
            <v>27056.885000000002</v>
          </cell>
          <cell r="AS34">
            <v>24170.109999999997</v>
          </cell>
          <cell r="AT34">
            <v>0</v>
          </cell>
          <cell r="AU34">
            <v>17066.092999999997</v>
          </cell>
          <cell r="AV34">
            <v>81055.168999999994</v>
          </cell>
        </row>
        <row r="35">
          <cell r="D35" t="str">
            <v>영업이익</v>
          </cell>
          <cell r="E35">
            <v>1175737.3895918597</v>
          </cell>
          <cell r="F35">
            <v>264602.41328745446</v>
          </cell>
          <cell r="G35">
            <v>87210.875817822525</v>
          </cell>
          <cell r="H35">
            <v>-23246.89203160748</v>
          </cell>
          <cell r="I35">
            <v>7673.3731057457771</v>
          </cell>
          <cell r="J35">
            <v>96313.094976188062</v>
          </cell>
          <cell r="K35">
            <v>216432.58955449963</v>
          </cell>
          <cell r="L35">
            <v>17583.949480982352</v>
          </cell>
          <cell r="M35">
            <v>179683.39618977983</v>
          </cell>
          <cell r="N35">
            <v>55159.849531963468</v>
          </cell>
          <cell r="O35">
            <v>21242.03676013209</v>
          </cell>
          <cell r="P35">
            <v>-27488.533049958714</v>
          </cell>
          <cell r="Q35">
            <v>21516.160337283218</v>
          </cell>
          <cell r="R35">
            <v>97573.624136488565</v>
          </cell>
          <cell r="S35">
            <v>64113.088282194687</v>
          </cell>
          <cell r="T35">
            <v>73228.025304186958</v>
          </cell>
          <cell r="U35">
            <v>42388.355964406051</v>
          </cell>
          <cell r="V35">
            <v>22782.054972609621</v>
          </cell>
          <cell r="W35">
            <v>0</v>
          </cell>
          <cell r="X35">
            <v>0</v>
          </cell>
          <cell r="Y35">
            <v>0</v>
          </cell>
          <cell r="Z35">
            <v>1216767.462620175</v>
          </cell>
          <cell r="AA35">
            <v>2025.7728657245752</v>
          </cell>
          <cell r="AB35">
            <v>96667.684130066758</v>
          </cell>
          <cell r="AC35">
            <v>-148684.9678333333</v>
          </cell>
          <cell r="AD35">
            <v>24996.233142560024</v>
          </cell>
          <cell r="AE35">
            <v>-27021.050560706455</v>
          </cell>
          <cell r="AF35">
            <v>9223.2960000000003</v>
          </cell>
          <cell r="AG35">
            <v>0</v>
          </cell>
          <cell r="AH35">
            <v>16238.735000000001</v>
          </cell>
          <cell r="AI35">
            <v>69633.564666666673</v>
          </cell>
          <cell r="AJ35">
            <v>3214.1080000000002</v>
          </cell>
          <cell r="AK35">
            <v>0</v>
          </cell>
          <cell r="AL35">
            <v>98309.703666666668</v>
          </cell>
          <cell r="AM35">
            <v>-3827.4680000000003</v>
          </cell>
          <cell r="AN35">
            <v>-778.35900000000004</v>
          </cell>
          <cell r="AO35">
            <v>-7573.549</v>
          </cell>
          <cell r="AP35">
            <v>-191.5</v>
          </cell>
          <cell r="AQ35">
            <v>-391.20500000000004</v>
          </cell>
          <cell r="AR35">
            <v>-27056.885000000002</v>
          </cell>
          <cell r="AS35">
            <v>-59229.440000000002</v>
          </cell>
          <cell r="AT35">
            <v>0</v>
          </cell>
          <cell r="AU35">
            <v>-15296.092999999997</v>
          </cell>
          <cell r="AV35">
            <v>-114344.499</v>
          </cell>
        </row>
      </sheetData>
      <sheetData sheetId="7">
        <row r="6">
          <cell r="D6" t="str">
            <v>구분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</row>
        <row r="7">
          <cell r="D7" t="str">
            <v>물     량</v>
          </cell>
          <cell r="F7">
            <v>136000</v>
          </cell>
          <cell r="G7">
            <v>117000</v>
          </cell>
          <cell r="H7">
            <v>51000</v>
          </cell>
          <cell r="I7">
            <v>44000</v>
          </cell>
          <cell r="J7">
            <v>74000</v>
          </cell>
          <cell r="K7">
            <v>75000</v>
          </cell>
          <cell r="L7">
            <v>33000</v>
          </cell>
          <cell r="M7">
            <v>80000</v>
          </cell>
          <cell r="N7">
            <v>31000</v>
          </cell>
          <cell r="O7">
            <v>41999.999999999993</v>
          </cell>
          <cell r="P7">
            <v>29000</v>
          </cell>
          <cell r="Q7">
            <v>36000</v>
          </cell>
          <cell r="R7">
            <v>65000</v>
          </cell>
          <cell r="S7">
            <v>32000</v>
          </cell>
          <cell r="T7">
            <v>14500</v>
          </cell>
          <cell r="U7">
            <v>13999.8</v>
          </cell>
          <cell r="V7">
            <v>23000</v>
          </cell>
          <cell r="W7">
            <v>0</v>
          </cell>
          <cell r="X7">
            <v>0</v>
          </cell>
          <cell r="Y7">
            <v>0</v>
          </cell>
          <cell r="Z7">
            <v>896499.8</v>
          </cell>
          <cell r="AA7">
            <v>32900</v>
          </cell>
          <cell r="AB7">
            <v>174045.44</v>
          </cell>
          <cell r="AC7">
            <v>18220.239999999998</v>
          </cell>
          <cell r="AD7">
            <v>81115.235524475531</v>
          </cell>
          <cell r="AE7">
            <v>273380.91552447551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D8" t="str">
            <v>매 출 액</v>
          </cell>
          <cell r="E8">
            <v>128198966.90351765</v>
          </cell>
          <cell r="F8">
            <v>13355644.764</v>
          </cell>
          <cell r="G8">
            <v>11809957.912981341</v>
          </cell>
          <cell r="H8">
            <v>4943372.2544</v>
          </cell>
          <cell r="I8">
            <v>4359018.2637999998</v>
          </cell>
          <cell r="J8">
            <v>8056661.7901999997</v>
          </cell>
          <cell r="K8">
            <v>7667647.5324900001</v>
          </cell>
          <cell r="L8">
            <v>3270085.8523599999</v>
          </cell>
          <cell r="M8">
            <v>8256639.2837300003</v>
          </cell>
          <cell r="N8">
            <v>3066627.38</v>
          </cell>
          <cell r="O8">
            <v>4100819.109995909</v>
          </cell>
          <cell r="P8">
            <v>2628679.1381169995</v>
          </cell>
          <cell r="Q8">
            <v>3758306.9317999994</v>
          </cell>
          <cell r="R8">
            <v>6379683.4000000004</v>
          </cell>
          <cell r="S8">
            <v>3261128.05</v>
          </cell>
          <cell r="T8">
            <v>1629982.8699999996</v>
          </cell>
          <cell r="U8">
            <v>1579068.1680280003</v>
          </cell>
          <cell r="V8">
            <v>2801006.4400000004</v>
          </cell>
          <cell r="W8">
            <v>0</v>
          </cell>
          <cell r="X8">
            <v>0</v>
          </cell>
          <cell r="Y8">
            <v>0</v>
          </cell>
          <cell r="Z8">
            <v>90924329.141902253</v>
          </cell>
          <cell r="AA8">
            <v>31857361.427000001</v>
          </cell>
          <cell r="AB8">
            <v>2254730.0233333334</v>
          </cell>
          <cell r="AC8">
            <v>367708.36</v>
          </cell>
          <cell r="AD8">
            <v>2309571.2846153844</v>
          </cell>
          <cell r="AE8">
            <v>4932009.6679487173</v>
          </cell>
          <cell r="AF8">
            <v>50000</v>
          </cell>
          <cell r="AG8">
            <v>0</v>
          </cell>
          <cell r="AH8">
            <v>112500</v>
          </cell>
          <cell r="AI8">
            <v>301586.66666666669</v>
          </cell>
          <cell r="AJ8">
            <v>14100</v>
          </cell>
          <cell r="AK8">
            <v>0</v>
          </cell>
          <cell r="AL8">
            <v>478186.66666666669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7080</v>
          </cell>
          <cell r="AV8">
            <v>7080</v>
          </cell>
        </row>
        <row r="9">
          <cell r="D9" t="str">
            <v xml:space="preserve"> - 단  위  당</v>
          </cell>
          <cell r="F9">
            <v>98203.270323529403</v>
          </cell>
          <cell r="G9">
            <v>100939.81122206274</v>
          </cell>
          <cell r="H9">
            <v>96928.867733333333</v>
          </cell>
          <cell r="I9">
            <v>99068.59690454544</v>
          </cell>
          <cell r="J9">
            <v>108873.80797567568</v>
          </cell>
          <cell r="K9">
            <v>102235.3004332</v>
          </cell>
          <cell r="L9">
            <v>99093.510677575745</v>
          </cell>
          <cell r="M9">
            <v>103207.991046625</v>
          </cell>
          <cell r="N9">
            <v>98923.463870967738</v>
          </cell>
          <cell r="O9">
            <v>97638.550237997842</v>
          </cell>
          <cell r="P9">
            <v>90644.108210931023</v>
          </cell>
          <cell r="Q9">
            <v>104397.41477222221</v>
          </cell>
          <cell r="R9">
            <v>98148.975384615391</v>
          </cell>
          <cell r="S9">
            <v>101910.25156249999</v>
          </cell>
          <cell r="T9">
            <v>112412.61172413791</v>
          </cell>
          <cell r="U9">
            <v>112792.19474763927</v>
          </cell>
          <cell r="V9">
            <v>121782.88869565219</v>
          </cell>
          <cell r="W9">
            <v>0</v>
          </cell>
          <cell r="X9">
            <v>0</v>
          </cell>
          <cell r="Y9">
            <v>0</v>
          </cell>
          <cell r="Z9">
            <v>101421.47175258963</v>
          </cell>
          <cell r="AA9">
            <v>968308.85796352581</v>
          </cell>
          <cell r="AB9">
            <v>12954.835377090794</v>
          </cell>
          <cell r="AC9">
            <v>20181.312650107797</v>
          </cell>
          <cell r="AD9">
            <v>28472.718715320741</v>
          </cell>
          <cell r="AE9">
            <v>18040.797246167534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D10" t="str">
            <v>매출원가</v>
          </cell>
          <cell r="E10">
            <v>116996400.54052816</v>
          </cell>
          <cell r="F10">
            <v>11776133.364670902</v>
          </cell>
          <cell r="G10">
            <v>10936834.999933008</v>
          </cell>
          <cell r="H10">
            <v>4746597.0975296786</v>
          </cell>
          <cell r="I10">
            <v>4088043.5187077047</v>
          </cell>
          <cell r="J10">
            <v>6982678.0735481642</v>
          </cell>
          <cell r="K10">
            <v>6435600.3880349444</v>
          </cell>
          <cell r="L10">
            <v>3014466.0695465249</v>
          </cell>
          <cell r="M10">
            <v>7277761.477968039</v>
          </cell>
          <cell r="N10">
            <v>2797119.5971194878</v>
          </cell>
          <cell r="O10">
            <v>3753425.509530873</v>
          </cell>
          <cell r="P10">
            <v>2522818.225953225</v>
          </cell>
          <cell r="Q10">
            <v>3531232.5423237002</v>
          </cell>
          <cell r="R10">
            <v>5851313.8635571469</v>
          </cell>
          <cell r="S10">
            <v>2918284.9635871216</v>
          </cell>
          <cell r="T10">
            <v>1339552.563706449</v>
          </cell>
          <cell r="U10">
            <v>1328796.2066421292</v>
          </cell>
          <cell r="V10">
            <v>2477445.2472511576</v>
          </cell>
          <cell r="W10">
            <v>0</v>
          </cell>
          <cell r="X10">
            <v>0</v>
          </cell>
          <cell r="Y10">
            <v>0</v>
          </cell>
          <cell r="Z10">
            <v>81778103.709610254</v>
          </cell>
          <cell r="AA10">
            <v>31151678.090999998</v>
          </cell>
          <cell r="AB10">
            <v>1662080.2099999997</v>
          </cell>
          <cell r="AC10">
            <v>679160.88933333335</v>
          </cell>
          <cell r="AD10">
            <v>2010974.9805845888</v>
          </cell>
          <cell r="AE10">
            <v>4352216.0799179217</v>
          </cell>
          <cell r="AF10">
            <v>480</v>
          </cell>
          <cell r="AG10">
            <v>0</v>
          </cell>
          <cell r="AH10">
            <v>2156</v>
          </cell>
          <cell r="AI10">
            <v>956</v>
          </cell>
          <cell r="AJ10">
            <v>692</v>
          </cell>
          <cell r="AK10">
            <v>0</v>
          </cell>
          <cell r="AL10">
            <v>4284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70118.66</v>
          </cell>
          <cell r="AT10">
            <v>-360000</v>
          </cell>
          <cell r="AU10">
            <v>0</v>
          </cell>
          <cell r="AV10">
            <v>-289881.33999999997</v>
          </cell>
        </row>
        <row r="11">
          <cell r="D11" t="str">
            <v xml:space="preserve"> - 단  위  당</v>
          </cell>
          <cell r="F11">
            <v>86589.215916697809</v>
          </cell>
          <cell r="G11">
            <v>93477.222221649645</v>
          </cell>
          <cell r="H11">
            <v>93070.531324111347</v>
          </cell>
          <cell r="I11">
            <v>92910.079970629653</v>
          </cell>
          <cell r="J11">
            <v>94360.514507407628</v>
          </cell>
          <cell r="K11">
            <v>85808.005173799262</v>
          </cell>
          <cell r="L11">
            <v>91347.456652925001</v>
          </cell>
          <cell r="M11">
            <v>90972.018474600496</v>
          </cell>
          <cell r="N11">
            <v>90229.66442320928</v>
          </cell>
          <cell r="O11">
            <v>89367.27403644938</v>
          </cell>
          <cell r="P11">
            <v>86993.731929421556</v>
          </cell>
          <cell r="Q11">
            <v>98089.792842325012</v>
          </cell>
          <cell r="R11">
            <v>90020.213285494567</v>
          </cell>
          <cell r="S11">
            <v>91196.405112097549</v>
          </cell>
          <cell r="T11">
            <v>92382.935428030964</v>
          </cell>
          <cell r="U11">
            <v>94915.370694019148</v>
          </cell>
          <cell r="V11">
            <v>107715.01075005034</v>
          </cell>
          <cell r="W11">
            <v>0</v>
          </cell>
          <cell r="X11">
            <v>0</v>
          </cell>
          <cell r="Y11">
            <v>0</v>
          </cell>
          <cell r="Z11">
            <v>91219.321755130615</v>
          </cell>
          <cell r="AA11">
            <v>946859.51644376898</v>
          </cell>
          <cell r="AB11">
            <v>9549.6912185691272</v>
          </cell>
          <cell r="AC11">
            <v>37275.079215934224</v>
          </cell>
          <cell r="AD11">
            <v>24791.58160094107</v>
          </cell>
          <cell r="AE11">
            <v>15919.970388453368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D12" t="str">
            <v>매출이익</v>
          </cell>
          <cell r="E12">
            <v>11202566.362989485</v>
          </cell>
          <cell r="F12">
            <v>1579511.3993290979</v>
          </cell>
          <cell r="G12">
            <v>873122.91304833256</v>
          </cell>
          <cell r="H12">
            <v>196775.15687032137</v>
          </cell>
          <cell r="I12">
            <v>270974.74509229511</v>
          </cell>
          <cell r="J12">
            <v>1073983.7166518355</v>
          </cell>
          <cell r="K12">
            <v>1232047.1444550557</v>
          </cell>
          <cell r="L12">
            <v>255619.782813475</v>
          </cell>
          <cell r="M12">
            <v>978877.80576196127</v>
          </cell>
          <cell r="N12">
            <v>269507.78288051207</v>
          </cell>
          <cell r="O12">
            <v>347393.600465036</v>
          </cell>
          <cell r="P12">
            <v>105860.91216377448</v>
          </cell>
          <cell r="Q12">
            <v>227074.38947629929</v>
          </cell>
          <cell r="R12">
            <v>528369.53644285351</v>
          </cell>
          <cell r="S12">
            <v>342843.08641287824</v>
          </cell>
          <cell r="T12">
            <v>290430.30629355065</v>
          </cell>
          <cell r="U12">
            <v>250271.96138587105</v>
          </cell>
          <cell r="V12">
            <v>323561.19274884276</v>
          </cell>
          <cell r="W12">
            <v>0</v>
          </cell>
          <cell r="X12">
            <v>0</v>
          </cell>
          <cell r="Y12">
            <v>0</v>
          </cell>
          <cell r="Z12">
            <v>9146225.4322919995</v>
          </cell>
          <cell r="AA12">
            <v>705683.33600000292</v>
          </cell>
          <cell r="AB12">
            <v>592649.8133333337</v>
          </cell>
          <cell r="AC12">
            <v>-311452.52933333337</v>
          </cell>
          <cell r="AD12">
            <v>298596.30403079558</v>
          </cell>
          <cell r="AE12">
            <v>579793.58803079557</v>
          </cell>
          <cell r="AF12">
            <v>49520</v>
          </cell>
          <cell r="AG12">
            <v>0</v>
          </cell>
          <cell r="AH12">
            <v>110344</v>
          </cell>
          <cell r="AI12">
            <v>300630.66666666669</v>
          </cell>
          <cell r="AJ12">
            <v>13408</v>
          </cell>
          <cell r="AK12">
            <v>0</v>
          </cell>
          <cell r="AL12">
            <v>473902.66666666669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-70118.66</v>
          </cell>
          <cell r="AT12">
            <v>360000</v>
          </cell>
          <cell r="AU12">
            <v>7080</v>
          </cell>
          <cell r="AV12">
            <v>296961.33999999997</v>
          </cell>
        </row>
        <row r="13">
          <cell r="D13" t="str">
            <v>판 관 비</v>
          </cell>
          <cell r="E13">
            <v>3394539.5880000005</v>
          </cell>
          <cell r="F13">
            <v>277686.53200000001</v>
          </cell>
          <cell r="G13">
            <v>270026.42200000002</v>
          </cell>
          <cell r="H13">
            <v>212172.66800000001</v>
          </cell>
          <cell r="I13">
            <v>161380.89000000001</v>
          </cell>
          <cell r="J13">
            <v>240263.55</v>
          </cell>
          <cell r="K13">
            <v>221979.92800000001</v>
          </cell>
          <cell r="L13">
            <v>128357.008</v>
          </cell>
          <cell r="M13">
            <v>203313.82199999999</v>
          </cell>
          <cell r="N13">
            <v>116987.95000000001</v>
          </cell>
          <cell r="O13">
            <v>111153.88599999998</v>
          </cell>
          <cell r="P13">
            <v>128220.84999999999</v>
          </cell>
          <cell r="Q13">
            <v>115469.398</v>
          </cell>
          <cell r="R13">
            <v>203548.11000000002</v>
          </cell>
          <cell r="S13">
            <v>133791.77600000001</v>
          </cell>
          <cell r="T13">
            <v>50255.722000000002</v>
          </cell>
          <cell r="U13">
            <v>49077.233999999997</v>
          </cell>
          <cell r="V13">
            <v>64867.62</v>
          </cell>
          <cell r="W13">
            <v>0</v>
          </cell>
          <cell r="X13">
            <v>0</v>
          </cell>
          <cell r="Y13">
            <v>0</v>
          </cell>
          <cell r="Z13">
            <v>2688553.3660000004</v>
          </cell>
          <cell r="AA13">
            <v>604800.00199999998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2206</v>
          </cell>
          <cell r="AN13">
            <v>1710</v>
          </cell>
          <cell r="AO13">
            <v>7368</v>
          </cell>
          <cell r="AP13">
            <v>766</v>
          </cell>
          <cell r="AQ13">
            <v>600</v>
          </cell>
          <cell r="AR13">
            <v>40196</v>
          </cell>
          <cell r="AS13">
            <v>48340.219999999994</v>
          </cell>
          <cell r="AT13">
            <v>0</v>
          </cell>
          <cell r="AU13">
            <v>0</v>
          </cell>
          <cell r="AV13">
            <v>101186.22</v>
          </cell>
        </row>
        <row r="14">
          <cell r="D14" t="str">
            <v xml:space="preserve"> - 노   무   비</v>
          </cell>
          <cell r="E14">
            <v>2331984.2880000002</v>
          </cell>
          <cell r="F14">
            <v>202197.89199999999</v>
          </cell>
          <cell r="G14">
            <v>195310.42200000002</v>
          </cell>
          <cell r="H14">
            <v>149535.16800000001</v>
          </cell>
          <cell r="I14">
            <v>115048.51000000001</v>
          </cell>
          <cell r="J14">
            <v>171801.06</v>
          </cell>
          <cell r="K14">
            <v>157503.478</v>
          </cell>
          <cell r="L14">
            <v>91704.857999999993</v>
          </cell>
          <cell r="M14">
            <v>144048.36199999999</v>
          </cell>
          <cell r="N14">
            <v>80059.720000000016</v>
          </cell>
          <cell r="O14">
            <v>80968.375999999989</v>
          </cell>
          <cell r="P14">
            <v>88421.93</v>
          </cell>
          <cell r="Q14">
            <v>81841.567999999999</v>
          </cell>
          <cell r="R14">
            <v>144169.58000000002</v>
          </cell>
          <cell r="S14">
            <v>92650.055999999997</v>
          </cell>
          <cell r="T14">
            <v>34830.491999999998</v>
          </cell>
          <cell r="U14">
            <v>31027.553999999996</v>
          </cell>
          <cell r="V14">
            <v>44992.68</v>
          </cell>
          <cell r="W14">
            <v>0</v>
          </cell>
          <cell r="X14">
            <v>0</v>
          </cell>
          <cell r="Y14">
            <v>0</v>
          </cell>
          <cell r="Z14">
            <v>1906111.706</v>
          </cell>
          <cell r="AA14">
            <v>377532.36199999996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48340.219999999994</v>
          </cell>
          <cell r="AT14">
            <v>0</v>
          </cell>
          <cell r="AU14">
            <v>0</v>
          </cell>
          <cell r="AV14">
            <v>48340.219999999994</v>
          </cell>
        </row>
        <row r="15">
          <cell r="D15" t="str">
            <v xml:space="preserve"> - 경        비</v>
          </cell>
          <cell r="E15">
            <v>1062555.3000000003</v>
          </cell>
          <cell r="F15">
            <v>75488.639999999999</v>
          </cell>
          <cell r="G15">
            <v>74716</v>
          </cell>
          <cell r="H15">
            <v>62637.5</v>
          </cell>
          <cell r="I15">
            <v>46332.380000000005</v>
          </cell>
          <cell r="J15">
            <v>68462.489999999991</v>
          </cell>
          <cell r="K15">
            <v>64476.450000000004</v>
          </cell>
          <cell r="L15">
            <v>36652.15</v>
          </cell>
          <cell r="M15">
            <v>59265.460000000006</v>
          </cell>
          <cell r="N15">
            <v>36928.230000000003</v>
          </cell>
          <cell r="O15">
            <v>30185.509999999995</v>
          </cell>
          <cell r="P15">
            <v>39798.92</v>
          </cell>
          <cell r="Q15">
            <v>33627.83</v>
          </cell>
          <cell r="R15">
            <v>59378.530000000006</v>
          </cell>
          <cell r="S15">
            <v>41141.72</v>
          </cell>
          <cell r="T15">
            <v>15425.230000000001</v>
          </cell>
          <cell r="U15">
            <v>18049.68</v>
          </cell>
          <cell r="V15">
            <v>19874.940000000002</v>
          </cell>
          <cell r="W15">
            <v>0</v>
          </cell>
          <cell r="X15">
            <v>0</v>
          </cell>
          <cell r="Y15">
            <v>0</v>
          </cell>
          <cell r="Z15">
            <v>782441.66000000015</v>
          </cell>
          <cell r="AA15">
            <v>227267.63999999998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2206</v>
          </cell>
          <cell r="AN15">
            <v>1710</v>
          </cell>
          <cell r="AO15">
            <v>7368</v>
          </cell>
          <cell r="AP15">
            <v>766</v>
          </cell>
          <cell r="AQ15">
            <v>600</v>
          </cell>
          <cell r="AR15">
            <v>40196</v>
          </cell>
          <cell r="AS15">
            <v>0</v>
          </cell>
          <cell r="AT15">
            <v>0</v>
          </cell>
          <cell r="AU15">
            <v>0</v>
          </cell>
          <cell r="AV15">
            <v>52846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D17" t="str">
            <v>EBITDA</v>
          </cell>
          <cell r="E17">
            <v>7808026.7749894848</v>
          </cell>
          <cell r="F17">
            <v>1301824.8673290978</v>
          </cell>
          <cell r="G17">
            <v>603096.49104833254</v>
          </cell>
          <cell r="H17">
            <v>-15397.511129678634</v>
          </cell>
          <cell r="I17">
            <v>109593.8550922951</v>
          </cell>
          <cell r="J17">
            <v>833720.16665183543</v>
          </cell>
          <cell r="K17">
            <v>1010067.2164550556</v>
          </cell>
          <cell r="L17">
            <v>127262.774813475</v>
          </cell>
          <cell r="M17">
            <v>775563.98376196134</v>
          </cell>
          <cell r="N17">
            <v>152519.83288051205</v>
          </cell>
          <cell r="O17">
            <v>236239.714465036</v>
          </cell>
          <cell r="P17">
            <v>-22359.937836225508</v>
          </cell>
          <cell r="Q17">
            <v>111604.99147629928</v>
          </cell>
          <cell r="R17">
            <v>324821.42644285352</v>
          </cell>
          <cell r="S17">
            <v>209051.31041287823</v>
          </cell>
          <cell r="T17">
            <v>240174.58429355064</v>
          </cell>
          <cell r="U17">
            <v>201194.72738587105</v>
          </cell>
          <cell r="V17">
            <v>258693.57274884277</v>
          </cell>
          <cell r="W17">
            <v>0</v>
          </cell>
          <cell r="X17">
            <v>0</v>
          </cell>
          <cell r="Y17">
            <v>0</v>
          </cell>
          <cell r="Z17">
            <v>6457672.0662919991</v>
          </cell>
          <cell r="AA17">
            <v>100883.33400000294</v>
          </cell>
          <cell r="AB17">
            <v>592649.8133333337</v>
          </cell>
          <cell r="AC17">
            <v>-311452.52933333337</v>
          </cell>
          <cell r="AD17">
            <v>298596.30403079558</v>
          </cell>
          <cell r="AE17">
            <v>579793.58803079557</v>
          </cell>
          <cell r="AF17">
            <v>49520</v>
          </cell>
          <cell r="AG17">
            <v>0</v>
          </cell>
          <cell r="AH17">
            <v>110344</v>
          </cell>
          <cell r="AI17">
            <v>300630.66666666669</v>
          </cell>
          <cell r="AJ17">
            <v>13408</v>
          </cell>
          <cell r="AK17">
            <v>0</v>
          </cell>
          <cell r="AL17">
            <v>473902.66666666669</v>
          </cell>
          <cell r="AM17">
            <v>-2206</v>
          </cell>
          <cell r="AN17">
            <v>-1710</v>
          </cell>
          <cell r="AO17">
            <v>-7368</v>
          </cell>
          <cell r="AP17">
            <v>-766</v>
          </cell>
          <cell r="AQ17">
            <v>-600</v>
          </cell>
          <cell r="AR17">
            <v>-40196</v>
          </cell>
          <cell r="AS17">
            <v>-118458.88</v>
          </cell>
          <cell r="AT17">
            <v>360000</v>
          </cell>
          <cell r="AU17">
            <v>7080</v>
          </cell>
          <cell r="AV17">
            <v>195775.11999999997</v>
          </cell>
        </row>
        <row r="18">
          <cell r="D18" t="str">
            <v>감가상각비</v>
          </cell>
          <cell r="E18">
            <v>2384305.4865137381</v>
          </cell>
          <cell r="F18">
            <v>123837.59111111111</v>
          </cell>
          <cell r="G18">
            <v>144515.58577777777</v>
          </cell>
          <cell r="H18">
            <v>98452.660555555558</v>
          </cell>
          <cell r="I18">
            <v>74519.337777777793</v>
          </cell>
          <cell r="J18">
            <v>191357.37333333335</v>
          </cell>
          <cell r="K18">
            <v>99638.932222222211</v>
          </cell>
          <cell r="L18">
            <v>53040.700777777784</v>
          </cell>
          <cell r="M18">
            <v>75984.661111111112</v>
          </cell>
          <cell r="N18">
            <v>49129.082444444444</v>
          </cell>
          <cell r="O18">
            <v>125720.59377777777</v>
          </cell>
          <cell r="P18">
            <v>63206.508745883562</v>
          </cell>
          <cell r="Q18">
            <v>62387.953554464257</v>
          </cell>
          <cell r="R18">
            <v>134856.40433333334</v>
          </cell>
          <cell r="S18">
            <v>87195.024000000005</v>
          </cell>
          <cell r="T18">
            <v>41435.445333333329</v>
          </cell>
          <cell r="U18">
            <v>24125.835999999996</v>
          </cell>
          <cell r="V18">
            <v>51118.290702278609</v>
          </cell>
          <cell r="W18">
            <v>0</v>
          </cell>
          <cell r="X18">
            <v>0</v>
          </cell>
          <cell r="Y18">
            <v>0</v>
          </cell>
          <cell r="Z18">
            <v>1500521.9815581823</v>
          </cell>
          <cell r="AA18">
            <v>20745.052</v>
          </cell>
          <cell r="AB18">
            <v>281215.54873333336</v>
          </cell>
          <cell r="AC18">
            <v>231862.91199999998</v>
          </cell>
          <cell r="AD18">
            <v>146595.84122222223</v>
          </cell>
          <cell r="AE18">
            <v>659674.30195555557</v>
          </cell>
          <cell r="AF18">
            <v>12415.576999999999</v>
          </cell>
          <cell r="AG18">
            <v>0</v>
          </cell>
          <cell r="AH18">
            <v>30281.072999999997</v>
          </cell>
          <cell r="AI18">
            <v>18399.982</v>
          </cell>
          <cell r="AJ18">
            <v>5251.5680000000002</v>
          </cell>
          <cell r="AK18">
            <v>0</v>
          </cell>
          <cell r="AL18">
            <v>66348.2</v>
          </cell>
          <cell r="AM18">
            <v>13103.872000000001</v>
          </cell>
          <cell r="AN18">
            <v>1403.4360000000001</v>
          </cell>
          <cell r="AO18">
            <v>22559.418999999998</v>
          </cell>
          <cell r="AP18">
            <v>0</v>
          </cell>
          <cell r="AQ18">
            <v>964.82</v>
          </cell>
          <cell r="AR18">
            <v>40675.853000000003</v>
          </cell>
          <cell r="AS18">
            <v>0</v>
          </cell>
          <cell r="AT18">
            <v>0</v>
          </cell>
          <cell r="AU18">
            <v>58308.550999999992</v>
          </cell>
          <cell r="AV18">
            <v>137015.951</v>
          </cell>
        </row>
        <row r="19">
          <cell r="D19" t="str">
            <v xml:space="preserve"> - 제        조</v>
          </cell>
          <cell r="E19">
            <v>2141442.8135137381</v>
          </cell>
          <cell r="F19">
            <v>114658.11511111111</v>
          </cell>
          <cell r="G19">
            <v>136817.70977777778</v>
          </cell>
          <cell r="H19">
            <v>90064.982555555558</v>
          </cell>
          <cell r="I19">
            <v>69751.385777777788</v>
          </cell>
          <cell r="J19">
            <v>183894.44133333335</v>
          </cell>
          <cell r="K19">
            <v>93422.656222222213</v>
          </cell>
          <cell r="L19">
            <v>48266.304777777783</v>
          </cell>
          <cell r="M19">
            <v>68249.841111111105</v>
          </cell>
          <cell r="N19">
            <v>47610.538444444443</v>
          </cell>
          <cell r="O19">
            <v>122368.46177777777</v>
          </cell>
          <cell r="P19">
            <v>59953.432745883561</v>
          </cell>
          <cell r="Q19">
            <v>57646.665554464256</v>
          </cell>
          <cell r="R19">
            <v>128600.40833333333</v>
          </cell>
          <cell r="S19">
            <v>83941.948000000004</v>
          </cell>
          <cell r="T19">
            <v>39663.969333333327</v>
          </cell>
          <cell r="U19">
            <v>22644.235999999997</v>
          </cell>
          <cell r="V19">
            <v>47865.214702278608</v>
          </cell>
          <cell r="W19">
            <v>0</v>
          </cell>
          <cell r="X19">
            <v>0</v>
          </cell>
          <cell r="Y19">
            <v>0</v>
          </cell>
          <cell r="Z19">
            <v>1415420.3115581824</v>
          </cell>
          <cell r="AA19">
            <v>0</v>
          </cell>
          <cell r="AB19">
            <v>281215.54873333336</v>
          </cell>
          <cell r="AC19">
            <v>231862.91199999998</v>
          </cell>
          <cell r="AD19">
            <v>146595.84122222223</v>
          </cell>
          <cell r="AE19">
            <v>659674.30195555557</v>
          </cell>
          <cell r="AF19">
            <v>12415.576999999999</v>
          </cell>
          <cell r="AG19">
            <v>0</v>
          </cell>
          <cell r="AH19">
            <v>30281.072999999997</v>
          </cell>
          <cell r="AI19">
            <v>18399.982</v>
          </cell>
          <cell r="AJ19">
            <v>5251.5680000000002</v>
          </cell>
          <cell r="AK19">
            <v>0</v>
          </cell>
          <cell r="AL19">
            <v>66348.2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D20" t="str">
            <v xml:space="preserve"> - 판        매</v>
          </cell>
          <cell r="E20">
            <v>242862.67300000001</v>
          </cell>
          <cell r="F20">
            <v>9179.4760000000006</v>
          </cell>
          <cell r="G20">
            <v>7697.8760000000002</v>
          </cell>
          <cell r="H20">
            <v>8387.6779999999999</v>
          </cell>
          <cell r="I20">
            <v>4767.9520000000002</v>
          </cell>
          <cell r="J20">
            <v>7462.9319999999998</v>
          </cell>
          <cell r="K20">
            <v>6216.2759999999998</v>
          </cell>
          <cell r="L20">
            <v>4774.3960000000006</v>
          </cell>
          <cell r="M20">
            <v>7734.8200000000006</v>
          </cell>
          <cell r="N20">
            <v>1518.5439999999999</v>
          </cell>
          <cell r="O20">
            <v>3352.1320000000001</v>
          </cell>
          <cell r="P20">
            <v>3253.076</v>
          </cell>
          <cell r="Q20">
            <v>4741.2880000000005</v>
          </cell>
          <cell r="R20">
            <v>6255.9960000000001</v>
          </cell>
          <cell r="S20">
            <v>3253.076</v>
          </cell>
          <cell r="T20">
            <v>1771.4760000000001</v>
          </cell>
          <cell r="U20">
            <v>1481.6</v>
          </cell>
          <cell r="V20">
            <v>3253.076</v>
          </cell>
          <cell r="W20">
            <v>0</v>
          </cell>
          <cell r="X20">
            <v>0</v>
          </cell>
          <cell r="Y20">
            <v>0</v>
          </cell>
          <cell r="Z20">
            <v>85101.67</v>
          </cell>
          <cell r="AA20">
            <v>20745.052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13103.872000000001</v>
          </cell>
          <cell r="AN20">
            <v>1403.4360000000001</v>
          </cell>
          <cell r="AO20">
            <v>22559.418999999998</v>
          </cell>
          <cell r="AP20">
            <v>0</v>
          </cell>
          <cell r="AQ20">
            <v>964.82</v>
          </cell>
          <cell r="AR20">
            <v>40675.853000000003</v>
          </cell>
          <cell r="AS20">
            <v>0</v>
          </cell>
          <cell r="AT20">
            <v>0</v>
          </cell>
          <cell r="AU20">
            <v>58308.550999999992</v>
          </cell>
          <cell r="AV20">
            <v>137015.951</v>
          </cell>
        </row>
        <row r="21">
          <cell r="D21" t="str">
            <v>영업이익 I</v>
          </cell>
          <cell r="E21">
            <v>5423721.2884757463</v>
          </cell>
          <cell r="F21">
            <v>1177987.2762179868</v>
          </cell>
          <cell r="G21">
            <v>458580.90527055477</v>
          </cell>
          <cell r="H21">
            <v>-113850.17168523419</v>
          </cell>
          <cell r="I21">
            <v>35074.517314517303</v>
          </cell>
          <cell r="J21">
            <v>642362.79331850214</v>
          </cell>
          <cell r="K21">
            <v>910428.28423283342</v>
          </cell>
          <cell r="L21">
            <v>74222.074035697209</v>
          </cell>
          <cell r="M21">
            <v>699579.32265085028</v>
          </cell>
          <cell r="N21">
            <v>103390.75043606761</v>
          </cell>
          <cell r="O21">
            <v>110519.12068725823</v>
          </cell>
          <cell r="P21">
            <v>-85566.446582109071</v>
          </cell>
          <cell r="Q21">
            <v>49217.037921835028</v>
          </cell>
          <cell r="R21">
            <v>189965.02210952019</v>
          </cell>
          <cell r="S21">
            <v>121856.28641287822</v>
          </cell>
          <cell r="T21">
            <v>198739.1389602173</v>
          </cell>
          <cell r="U21">
            <v>177068.89138587104</v>
          </cell>
          <cell r="V21">
            <v>207575.28204656416</v>
          </cell>
          <cell r="W21">
            <v>0</v>
          </cell>
          <cell r="X21">
            <v>0</v>
          </cell>
          <cell r="Y21">
            <v>0</v>
          </cell>
          <cell r="Z21">
            <v>4957150.0847338168</v>
          </cell>
          <cell r="AA21">
            <v>80138.282000002946</v>
          </cell>
          <cell r="AB21">
            <v>311434.26460000034</v>
          </cell>
          <cell r="AC21">
            <v>-543315.44133333338</v>
          </cell>
          <cell r="AD21">
            <v>152000.46280857336</v>
          </cell>
          <cell r="AE21">
            <v>-79880.713924759999</v>
          </cell>
          <cell r="AF21">
            <v>37104.423000000003</v>
          </cell>
          <cell r="AG21">
            <v>0</v>
          </cell>
          <cell r="AH21">
            <v>80062.926999999996</v>
          </cell>
          <cell r="AI21">
            <v>282230.68466666667</v>
          </cell>
          <cell r="AJ21">
            <v>8156.4319999999998</v>
          </cell>
          <cell r="AK21">
            <v>0</v>
          </cell>
          <cell r="AL21">
            <v>407554.46666666667</v>
          </cell>
          <cell r="AM21">
            <v>-15309.872000000001</v>
          </cell>
          <cell r="AN21">
            <v>-3113.4360000000001</v>
          </cell>
          <cell r="AO21">
            <v>-29927.418999999998</v>
          </cell>
          <cell r="AP21">
            <v>-766</v>
          </cell>
          <cell r="AQ21">
            <v>-1564.8200000000002</v>
          </cell>
          <cell r="AR21">
            <v>-80871.853000000003</v>
          </cell>
          <cell r="AS21">
            <v>-118458.88</v>
          </cell>
          <cell r="AT21">
            <v>360000</v>
          </cell>
          <cell r="AU21">
            <v>-51228.550999999992</v>
          </cell>
          <cell r="AV21">
            <v>58759.168999999965</v>
          </cell>
        </row>
        <row r="22">
          <cell r="D22" t="str">
            <v>공    통    비</v>
          </cell>
          <cell r="E22">
            <v>6366895.7972842399</v>
          </cell>
          <cell r="F22">
            <v>863233.5514451958</v>
          </cell>
          <cell r="G22">
            <v>757016.49463763728</v>
          </cell>
          <cell r="H22">
            <v>312974.81751400791</v>
          </cell>
          <cell r="I22">
            <v>275736.12191675068</v>
          </cell>
          <cell r="J22">
            <v>560068.98995201045</v>
          </cell>
          <cell r="K22">
            <v>531302.80164748523</v>
          </cell>
          <cell r="L22">
            <v>222676.54523619707</v>
          </cell>
          <cell r="M22">
            <v>571848.81250852044</v>
          </cell>
          <cell r="N22">
            <v>205855.08039497788</v>
          </cell>
          <cell r="O22">
            <v>279027.65703011781</v>
          </cell>
          <cell r="P22">
            <v>182114.73835323099</v>
          </cell>
          <cell r="Q22">
            <v>252412.1223059007</v>
          </cell>
          <cell r="R22">
            <v>392495.95254482166</v>
          </cell>
          <cell r="S22">
            <v>202805.75557405717</v>
          </cell>
          <cell r="T22">
            <v>102535.12139016236</v>
          </cell>
          <cell r="U22">
            <v>102575.53693823643</v>
          </cell>
          <cell r="V22">
            <v>186280.70934786997</v>
          </cell>
          <cell r="W22">
            <v>0</v>
          </cell>
          <cell r="X22">
            <v>0</v>
          </cell>
          <cell r="Y22">
            <v>0</v>
          </cell>
          <cell r="Z22">
            <v>6000960.8087371793</v>
          </cell>
          <cell r="AA22">
            <v>163540.0203632726</v>
          </cell>
          <cell r="AB22">
            <v>93830.22769190972</v>
          </cell>
          <cell r="AC22">
            <v>13090.85269919669</v>
          </cell>
          <cell r="AD22">
            <v>95473.887792681417</v>
          </cell>
          <cell r="AE22">
            <v>202394.96818378783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D23" t="str">
            <v xml:space="preserve"> - 영업공통비</v>
          </cell>
          <cell r="E23">
            <v>920021.20666666655</v>
          </cell>
          <cell r="F23">
            <v>83307.787741084845</v>
          </cell>
          <cell r="G23">
            <v>72904.47866262967</v>
          </cell>
          <cell r="H23">
            <v>30150.893456477606</v>
          </cell>
          <cell r="I23">
            <v>26634.971390784714</v>
          </cell>
          <cell r="J23">
            <v>81561.748375102863</v>
          </cell>
          <cell r="K23">
            <v>77365.063310853147</v>
          </cell>
          <cell r="L23">
            <v>32612.695634400174</v>
          </cell>
          <cell r="M23">
            <v>83412.278796933402</v>
          </cell>
          <cell r="N23">
            <v>30181.551201454487</v>
          </cell>
          <cell r="O23">
            <v>40836.618309601319</v>
          </cell>
          <cell r="P23">
            <v>26578.799601827839</v>
          </cell>
          <cell r="Q23">
            <v>36796.100236889462</v>
          </cell>
          <cell r="R23">
            <v>37893.943914301643</v>
          </cell>
          <cell r="S23">
            <v>19663.144710790573</v>
          </cell>
          <cell r="T23">
            <v>9902.8705834691027</v>
          </cell>
          <cell r="U23">
            <v>9913.2404420534658</v>
          </cell>
          <cell r="V23">
            <v>17910.052114224411</v>
          </cell>
          <cell r="W23">
            <v>0</v>
          </cell>
          <cell r="X23">
            <v>0</v>
          </cell>
          <cell r="Y23">
            <v>0</v>
          </cell>
          <cell r="Z23">
            <v>717626.23848287866</v>
          </cell>
          <cell r="AA23">
            <v>0</v>
          </cell>
          <cell r="AB23">
            <v>93830.22769190972</v>
          </cell>
          <cell r="AC23">
            <v>13090.85269919669</v>
          </cell>
          <cell r="AD23">
            <v>95473.887792681417</v>
          </cell>
          <cell r="AE23">
            <v>202394.96818378783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D24" t="str">
            <v xml:space="preserve"> - 부문공통비</v>
          </cell>
          <cell r="E24">
            <v>1965334.5898</v>
          </cell>
          <cell r="F24">
            <v>291317.45090844273</v>
          </cell>
          <cell r="G24">
            <v>255000.65471813848</v>
          </cell>
          <cell r="H24">
            <v>103737.72278668471</v>
          </cell>
          <cell r="I24">
            <v>91705.186157318152</v>
          </cell>
          <cell r="J24">
            <v>180170.23111246346</v>
          </cell>
          <cell r="K24">
            <v>169960.78824051676</v>
          </cell>
          <cell r="L24">
            <v>70644.526901541001</v>
          </cell>
          <cell r="M24">
            <v>183167.34348162072</v>
          </cell>
          <cell r="N24">
            <v>64784.002324229266</v>
          </cell>
          <cell r="O24">
            <v>88518.313059650958</v>
          </cell>
          <cell r="P24">
            <v>58173.810590153458</v>
          </cell>
          <cell r="Q24">
            <v>79549.658865626159</v>
          </cell>
          <cell r="R24">
            <v>129166.29942737578</v>
          </cell>
          <cell r="S24">
            <v>67240.383786595543</v>
          </cell>
          <cell r="T24">
            <v>33956.127612172269</v>
          </cell>
          <cell r="U24">
            <v>34768.228628907404</v>
          </cell>
          <cell r="V24">
            <v>63473.86119856299</v>
          </cell>
          <cell r="W24">
            <v>0</v>
          </cell>
          <cell r="X24">
            <v>0</v>
          </cell>
          <cell r="Y24">
            <v>0</v>
          </cell>
          <cell r="Z24">
            <v>1965334.5898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D25" t="str">
            <v xml:space="preserve"> - 본사공통비</v>
          </cell>
          <cell r="E25">
            <v>3481540.0008175736</v>
          </cell>
          <cell r="F25">
            <v>488608.31279566826</v>
          </cell>
          <cell r="G25">
            <v>429111.36125686916</v>
          </cell>
          <cell r="H25">
            <v>179086.2012708456</v>
          </cell>
          <cell r="I25">
            <v>157395.96436864778</v>
          </cell>
          <cell r="J25">
            <v>298337.01046444412</v>
          </cell>
          <cell r="K25">
            <v>283976.95009611535</v>
          </cell>
          <cell r="L25">
            <v>119419.32270025591</v>
          </cell>
          <cell r="M25">
            <v>305269.19022996631</v>
          </cell>
          <cell r="N25">
            <v>110889.52686929412</v>
          </cell>
          <cell r="O25">
            <v>149672.72566086557</v>
          </cell>
          <cell r="P25">
            <v>97362.128161249682</v>
          </cell>
          <cell r="Q25">
            <v>136066.36320338509</v>
          </cell>
          <cell r="R25">
            <v>225435.70920314424</v>
          </cell>
          <cell r="S25">
            <v>115902.22707667106</v>
          </cell>
          <cell r="T25">
            <v>58676.123194520995</v>
          </cell>
          <cell r="U25">
            <v>57894.06786727556</v>
          </cell>
          <cell r="V25">
            <v>104896.79603508259</v>
          </cell>
          <cell r="W25">
            <v>0</v>
          </cell>
          <cell r="X25">
            <v>0</v>
          </cell>
          <cell r="Y25">
            <v>0</v>
          </cell>
          <cell r="Z25">
            <v>3317999.980454301</v>
          </cell>
          <cell r="AA25">
            <v>163540.0203632726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D26" t="str">
            <v>영업이익 II</v>
          </cell>
          <cell r="E26">
            <v>-943174.50880849361</v>
          </cell>
          <cell r="F26">
            <v>314753.72477279103</v>
          </cell>
          <cell r="G26">
            <v>-298435.58936708252</v>
          </cell>
          <cell r="H26">
            <v>-426824.98919924209</v>
          </cell>
          <cell r="I26">
            <v>-240661.60460223339</v>
          </cell>
          <cell r="J26">
            <v>82293.803366491687</v>
          </cell>
          <cell r="K26">
            <v>379125.48258534819</v>
          </cell>
          <cell r="L26">
            <v>-148454.47120049986</v>
          </cell>
          <cell r="M26">
            <v>127730.51014232985</v>
          </cell>
          <cell r="N26">
            <v>-102464.32995891027</v>
          </cell>
          <cell r="O26">
            <v>-168508.53634285959</v>
          </cell>
          <cell r="P26">
            <v>-267681.18493534008</v>
          </cell>
          <cell r="Q26">
            <v>-203195.08438406567</v>
          </cell>
          <cell r="R26">
            <v>-202530.93043530147</v>
          </cell>
          <cell r="S26">
            <v>-80949.469161178946</v>
          </cell>
          <cell r="T26">
            <v>96204.017570054944</v>
          </cell>
          <cell r="U26">
            <v>74493.354447634614</v>
          </cell>
          <cell r="V26">
            <v>21294.572698694188</v>
          </cell>
          <cell r="W26">
            <v>0</v>
          </cell>
          <cell r="X26">
            <v>0</v>
          </cell>
          <cell r="Y26">
            <v>0</v>
          </cell>
          <cell r="Z26">
            <v>-1043810.7240033625</v>
          </cell>
          <cell r="AA26">
            <v>-83401.738363269658</v>
          </cell>
          <cell r="AB26">
            <v>217604.03690809064</v>
          </cell>
          <cell r="AC26">
            <v>-556406.29403253004</v>
          </cell>
          <cell r="AD26">
            <v>56526.57501589194</v>
          </cell>
          <cell r="AE26">
            <v>-282275.68210854783</v>
          </cell>
          <cell r="AF26">
            <v>37104.423000000003</v>
          </cell>
          <cell r="AG26">
            <v>0</v>
          </cell>
          <cell r="AH26">
            <v>80062.926999999996</v>
          </cell>
          <cell r="AI26">
            <v>282230.68466666667</v>
          </cell>
          <cell r="AJ26">
            <v>8156.4319999999998</v>
          </cell>
          <cell r="AK26">
            <v>0</v>
          </cell>
          <cell r="AL26">
            <v>407554.46666666667</v>
          </cell>
          <cell r="AM26">
            <v>-15309.872000000001</v>
          </cell>
          <cell r="AN26">
            <v>-3113.4360000000001</v>
          </cell>
          <cell r="AO26">
            <v>-29927.418999999998</v>
          </cell>
          <cell r="AP26">
            <v>-766</v>
          </cell>
          <cell r="AQ26">
            <v>-1564.8200000000002</v>
          </cell>
          <cell r="AR26">
            <v>-80871.853000000003</v>
          </cell>
          <cell r="AS26">
            <v>-118458.88</v>
          </cell>
          <cell r="AT26">
            <v>360000</v>
          </cell>
          <cell r="AU26">
            <v>-51228.550999999992</v>
          </cell>
          <cell r="AV26">
            <v>58759.168999999965</v>
          </cell>
        </row>
        <row r="27">
          <cell r="E27" t="e">
            <v>#REF!</v>
          </cell>
          <cell r="F27">
            <v>314753.72477279103</v>
          </cell>
          <cell r="G27">
            <v>-298435.58936708164</v>
          </cell>
          <cell r="H27">
            <v>-426824.98919924255</v>
          </cell>
          <cell r="I27">
            <v>-240661.60460223319</v>
          </cell>
          <cell r="J27">
            <v>82293.803366491513</v>
          </cell>
          <cell r="K27">
            <v>379125.48258534819</v>
          </cell>
          <cell r="L27">
            <v>-148454.47120049977</v>
          </cell>
          <cell r="M27">
            <v>127730.51014233119</v>
          </cell>
          <cell r="N27">
            <v>-102464.3299589098</v>
          </cell>
          <cell r="O27">
            <v>-168508.53634285988</v>
          </cell>
          <cell r="P27">
            <v>-267681.18493534008</v>
          </cell>
          <cell r="Q27">
            <v>-203195.08438406489</v>
          </cell>
          <cell r="R27">
            <v>-202530.93043530217</v>
          </cell>
          <cell r="S27">
            <v>-80949.46916117896</v>
          </cell>
          <cell r="T27">
            <v>96204.017570055265</v>
          </cell>
          <cell r="U27">
            <v>74493.354447634571</v>
          </cell>
          <cell r="V27">
            <v>21294.57269869381</v>
          </cell>
          <cell r="W27">
            <v>0</v>
          </cell>
          <cell r="X27">
            <v>0</v>
          </cell>
          <cell r="Y27">
            <v>0</v>
          </cell>
          <cell r="Z27">
            <v>-1043810.724003367</v>
          </cell>
          <cell r="AA27">
            <v>-83401.738363268756</v>
          </cell>
          <cell r="AB27">
            <v>217604.03690809046</v>
          </cell>
          <cell r="AC27">
            <v>-556406.29403253016</v>
          </cell>
          <cell r="AD27">
            <v>56526.575015892224</v>
          </cell>
          <cell r="AE27">
            <v>-282275.68210854748</v>
          </cell>
          <cell r="AF27">
            <v>37104.423000000003</v>
          </cell>
          <cell r="AG27">
            <v>0</v>
          </cell>
          <cell r="AH27">
            <v>80062.927000000011</v>
          </cell>
          <cell r="AI27">
            <v>282230.68466666667</v>
          </cell>
          <cell r="AJ27">
            <v>8156.4320000000007</v>
          </cell>
          <cell r="AK27">
            <v>0</v>
          </cell>
          <cell r="AL27">
            <v>407554.46666666667</v>
          </cell>
          <cell r="AM27">
            <v>-15309.872000000001</v>
          </cell>
          <cell r="AN27">
            <v>-3113.4360000000001</v>
          </cell>
          <cell r="AO27">
            <v>-29927.418999999998</v>
          </cell>
          <cell r="AP27">
            <v>-766</v>
          </cell>
          <cell r="AQ27">
            <v>-1564.8200000000002</v>
          </cell>
          <cell r="AR27">
            <v>-80871.853000000003</v>
          </cell>
          <cell r="AS27">
            <v>-118458.88</v>
          </cell>
          <cell r="AT27">
            <v>360000</v>
          </cell>
          <cell r="AU27">
            <v>-51228.550999999992</v>
          </cell>
          <cell r="AV27">
            <v>58759.169000000009</v>
          </cell>
        </row>
        <row r="28">
          <cell r="E28" t="e">
            <v>#REF!</v>
          </cell>
          <cell r="F28">
            <v>0</v>
          </cell>
          <cell r="G28">
            <v>-8.7311491370201111E-10</v>
          </cell>
          <cell r="H28">
            <v>4.6566128730773926E-10</v>
          </cell>
          <cell r="I28">
            <v>0</v>
          </cell>
          <cell r="J28">
            <v>1.7462298274040222E-10</v>
          </cell>
          <cell r="K28">
            <v>0</v>
          </cell>
          <cell r="L28">
            <v>0</v>
          </cell>
          <cell r="M28">
            <v>-1.3387762010097504E-9</v>
          </cell>
          <cell r="N28">
            <v>-4.6566128730773926E-10</v>
          </cell>
          <cell r="O28">
            <v>2.9103830456733704E-10</v>
          </cell>
          <cell r="P28">
            <v>0</v>
          </cell>
          <cell r="Q28">
            <v>-7.8580342233181E-10</v>
          </cell>
          <cell r="R28">
            <v>6.9849193096160889E-10</v>
          </cell>
          <cell r="S28">
            <v>0</v>
          </cell>
          <cell r="T28">
            <v>-3.2014213502407074E-10</v>
          </cell>
          <cell r="U28">
            <v>0</v>
          </cell>
          <cell r="V28">
            <v>3.7834979593753815E-10</v>
          </cell>
          <cell r="W28">
            <v>0</v>
          </cell>
          <cell r="X28">
            <v>0</v>
          </cell>
          <cell r="Y28">
            <v>0</v>
          </cell>
          <cell r="Z28">
            <v>4.5401975512504578E-9</v>
          </cell>
          <cell r="AA28">
            <v>-9.0221874415874481E-10</v>
          </cell>
          <cell r="AB28">
            <v>0</v>
          </cell>
          <cell r="AC28">
            <v>0</v>
          </cell>
          <cell r="AD28">
            <v>-2.8376234695315361E-10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30">
          <cell r="E30">
            <v>1202780.7155244756</v>
          </cell>
          <cell r="F30">
            <v>136000</v>
          </cell>
          <cell r="G30">
            <v>117000</v>
          </cell>
          <cell r="H30">
            <v>51000</v>
          </cell>
          <cell r="I30">
            <v>44000</v>
          </cell>
          <cell r="J30">
            <v>74000</v>
          </cell>
          <cell r="K30">
            <v>75000</v>
          </cell>
          <cell r="L30">
            <v>33000</v>
          </cell>
          <cell r="M30">
            <v>80000</v>
          </cell>
          <cell r="N30">
            <v>31000</v>
          </cell>
          <cell r="O30">
            <v>41999.999999999993</v>
          </cell>
          <cell r="P30">
            <v>29000</v>
          </cell>
          <cell r="Q30">
            <v>36000</v>
          </cell>
          <cell r="R30">
            <v>65000</v>
          </cell>
          <cell r="S30">
            <v>32000</v>
          </cell>
          <cell r="T30">
            <v>14500</v>
          </cell>
          <cell r="U30">
            <v>13999.8</v>
          </cell>
          <cell r="V30">
            <v>23000</v>
          </cell>
          <cell r="W30">
            <v>0</v>
          </cell>
          <cell r="X30">
            <v>0</v>
          </cell>
          <cell r="Y30">
            <v>0</v>
          </cell>
          <cell r="Z30">
            <v>896499.8</v>
          </cell>
          <cell r="AA30">
            <v>32900</v>
          </cell>
          <cell r="AB30">
            <v>174045.44</v>
          </cell>
          <cell r="AC30">
            <v>18220.239999999998</v>
          </cell>
          <cell r="AD30">
            <v>81115.235524475531</v>
          </cell>
          <cell r="AE30">
            <v>273380.91552447551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128198966.90351765</v>
          </cell>
          <cell r="F31">
            <v>13355644.764</v>
          </cell>
          <cell r="G31">
            <v>11809957.912981341</v>
          </cell>
          <cell r="H31">
            <v>4943372.2544</v>
          </cell>
          <cell r="I31">
            <v>4359018.2637999998</v>
          </cell>
          <cell r="J31">
            <v>8056661.7901999997</v>
          </cell>
          <cell r="K31">
            <v>7667647.5324900001</v>
          </cell>
          <cell r="L31">
            <v>3270085.8523599999</v>
          </cell>
          <cell r="M31">
            <v>8256639.2837300003</v>
          </cell>
          <cell r="N31">
            <v>3066627.38</v>
          </cell>
          <cell r="O31">
            <v>4100819.109995909</v>
          </cell>
          <cell r="P31">
            <v>2628679.1381169995</v>
          </cell>
          <cell r="Q31">
            <v>3758306.9317999994</v>
          </cell>
          <cell r="R31">
            <v>6379683.4000000004</v>
          </cell>
          <cell r="S31">
            <v>3261128.05</v>
          </cell>
          <cell r="T31">
            <v>1629982.8699999996</v>
          </cell>
          <cell r="U31">
            <v>1579068.1680280003</v>
          </cell>
          <cell r="V31">
            <v>2801006.4400000004</v>
          </cell>
          <cell r="W31">
            <v>0</v>
          </cell>
          <cell r="X31">
            <v>0</v>
          </cell>
          <cell r="Y31">
            <v>0</v>
          </cell>
          <cell r="Z31">
            <v>90924329.141902253</v>
          </cell>
          <cell r="AA31">
            <v>31857361.427000001</v>
          </cell>
          <cell r="AB31">
            <v>2254730.0233333334</v>
          </cell>
          <cell r="AC31">
            <v>367708.36</v>
          </cell>
          <cell r="AD31">
            <v>2309571.2846153844</v>
          </cell>
          <cell r="AE31">
            <v>4932009.6679487173</v>
          </cell>
          <cell r="AF31">
            <v>50000</v>
          </cell>
          <cell r="AG31">
            <v>0</v>
          </cell>
          <cell r="AH31">
            <v>112500</v>
          </cell>
          <cell r="AI31">
            <v>301586.66666666669</v>
          </cell>
          <cell r="AJ31">
            <v>14100</v>
          </cell>
          <cell r="AK31">
            <v>0</v>
          </cell>
          <cell r="AL31">
            <v>478186.66666666669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7080</v>
          </cell>
          <cell r="AV31">
            <v>7080</v>
          </cell>
        </row>
        <row r="32">
          <cell r="D32" t="str">
            <v>매출원가</v>
          </cell>
          <cell r="E32">
            <v>119137843.3540419</v>
          </cell>
          <cell r="F32">
            <v>11890791.479782013</v>
          </cell>
          <cell r="G32">
            <v>11073652.709710786</v>
          </cell>
          <cell r="H32">
            <v>4836662.0800852338</v>
          </cell>
          <cell r="I32">
            <v>4157794.9044854827</v>
          </cell>
          <cell r="J32">
            <v>7166572.5148814972</v>
          </cell>
          <cell r="K32">
            <v>6529023.0442571668</v>
          </cell>
          <cell r="L32">
            <v>3062732.3743243027</v>
          </cell>
          <cell r="M32">
            <v>7346011.3190791504</v>
          </cell>
          <cell r="N32">
            <v>2844730.1355639324</v>
          </cell>
          <cell r="O32">
            <v>3875793.9713086509</v>
          </cell>
          <cell r="P32">
            <v>2582771.6586991088</v>
          </cell>
          <cell r="Q32">
            <v>3588879.2078781645</v>
          </cell>
          <cell r="R32">
            <v>5979914.2718904801</v>
          </cell>
          <cell r="S32">
            <v>3002226.9115871214</v>
          </cell>
          <cell r="T32">
            <v>1379216.5330397824</v>
          </cell>
          <cell r="U32">
            <v>1351440.4426421293</v>
          </cell>
          <cell r="V32">
            <v>2525310.461953436</v>
          </cell>
          <cell r="W32">
            <v>0</v>
          </cell>
          <cell r="X32">
            <v>0</v>
          </cell>
          <cell r="Y32">
            <v>0</v>
          </cell>
          <cell r="Z32">
            <v>83193524.021168441</v>
          </cell>
          <cell r="AA32">
            <v>31151678.090999998</v>
          </cell>
          <cell r="AB32">
            <v>1943295.7587333331</v>
          </cell>
          <cell r="AC32">
            <v>911023.80133333337</v>
          </cell>
          <cell r="AD32">
            <v>2157570.8218068113</v>
          </cell>
          <cell r="AE32">
            <v>5011890.3818734773</v>
          </cell>
          <cell r="AF32">
            <v>12895.576999999999</v>
          </cell>
          <cell r="AG32">
            <v>0</v>
          </cell>
          <cell r="AH32">
            <v>32437.072999999997</v>
          </cell>
          <cell r="AI32">
            <v>19355.982</v>
          </cell>
          <cell r="AJ32">
            <v>5943.5680000000002</v>
          </cell>
          <cell r="AK32">
            <v>0</v>
          </cell>
          <cell r="AL32">
            <v>70632.2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70118.66</v>
          </cell>
          <cell r="AT32">
            <v>-360000</v>
          </cell>
          <cell r="AU32">
            <v>0</v>
          </cell>
          <cell r="AV32">
            <v>-289881.33999999997</v>
          </cell>
        </row>
        <row r="33">
          <cell r="D33" t="str">
            <v>매출이익</v>
          </cell>
          <cell r="E33">
            <v>9061123.549475722</v>
          </cell>
          <cell r="F33">
            <v>1464853.2842179872</v>
          </cell>
          <cell r="G33">
            <v>736305.20327055454</v>
          </cell>
          <cell r="H33">
            <v>106710.17431476619</v>
          </cell>
          <cell r="I33">
            <v>201223.35931451712</v>
          </cell>
          <cell r="J33">
            <v>890089.27531850245</v>
          </cell>
          <cell r="K33">
            <v>1138624.4882328333</v>
          </cell>
          <cell r="L33">
            <v>207353.47803569725</v>
          </cell>
          <cell r="M33">
            <v>910627.96465084981</v>
          </cell>
          <cell r="N33">
            <v>221897.24443606753</v>
          </cell>
          <cell r="O33">
            <v>225025.13868725812</v>
          </cell>
          <cell r="P33">
            <v>45907.479417890776</v>
          </cell>
          <cell r="Q33">
            <v>169427.72392183496</v>
          </cell>
          <cell r="R33">
            <v>399769.1281095203</v>
          </cell>
          <cell r="S33">
            <v>258901.13841287838</v>
          </cell>
          <cell r="T33">
            <v>250766.33696021722</v>
          </cell>
          <cell r="U33">
            <v>227627.72538587102</v>
          </cell>
          <cell r="V33">
            <v>275695.97804656439</v>
          </cell>
          <cell r="W33">
            <v>0</v>
          </cell>
          <cell r="X33">
            <v>0</v>
          </cell>
          <cell r="Y33">
            <v>0</v>
          </cell>
          <cell r="Z33">
            <v>7730805.1207338125</v>
          </cell>
          <cell r="AA33">
            <v>705683.33600000292</v>
          </cell>
          <cell r="AB33">
            <v>311434.26460000034</v>
          </cell>
          <cell r="AC33">
            <v>-543315.44133333338</v>
          </cell>
          <cell r="AD33">
            <v>152000.46280857315</v>
          </cell>
          <cell r="AE33">
            <v>-79880.713924759999</v>
          </cell>
          <cell r="AF33">
            <v>37104.423000000003</v>
          </cell>
          <cell r="AG33">
            <v>0</v>
          </cell>
          <cell r="AH33">
            <v>80062.926999999996</v>
          </cell>
          <cell r="AI33">
            <v>282230.68466666667</v>
          </cell>
          <cell r="AJ33">
            <v>8156.4319999999998</v>
          </cell>
          <cell r="AK33">
            <v>0</v>
          </cell>
          <cell r="AL33">
            <v>407554.46666666667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-70118.66</v>
          </cell>
          <cell r="AT33">
            <v>360000</v>
          </cell>
          <cell r="AU33">
            <v>7080</v>
          </cell>
          <cell r="AV33">
            <v>296961.33999999997</v>
          </cell>
        </row>
        <row r="34">
          <cell r="D34" t="str">
            <v>판관비</v>
          </cell>
          <cell r="E34">
            <v>10004298.05828424</v>
          </cell>
          <cell r="F34">
            <v>1150099.5594451958</v>
          </cell>
          <cell r="G34">
            <v>1034740.7926376374</v>
          </cell>
          <cell r="H34">
            <v>533535.16351400793</v>
          </cell>
          <cell r="I34">
            <v>441884.96391675068</v>
          </cell>
          <cell r="J34">
            <v>807795.47195201041</v>
          </cell>
          <cell r="K34">
            <v>759499.00564748526</v>
          </cell>
          <cell r="L34">
            <v>355807.94923619711</v>
          </cell>
          <cell r="M34">
            <v>782897.45450852031</v>
          </cell>
          <cell r="N34">
            <v>324361.57439497788</v>
          </cell>
          <cell r="O34">
            <v>393533.6750301178</v>
          </cell>
          <cell r="P34">
            <v>313588.66435323097</v>
          </cell>
          <cell r="Q34">
            <v>372622.80830590072</v>
          </cell>
          <cell r="R34">
            <v>602300.05854482169</v>
          </cell>
          <cell r="S34">
            <v>339850.60757405718</v>
          </cell>
          <cell r="T34">
            <v>154562.31939016236</v>
          </cell>
          <cell r="U34">
            <v>153134.37093823645</v>
          </cell>
          <cell r="V34">
            <v>254401.40534786996</v>
          </cell>
          <cell r="W34">
            <v>0</v>
          </cell>
          <cell r="X34">
            <v>0</v>
          </cell>
          <cell r="Y34">
            <v>0</v>
          </cell>
          <cell r="Z34">
            <v>8774615.8447371796</v>
          </cell>
          <cell r="AA34">
            <v>789085.07436327264</v>
          </cell>
          <cell r="AB34">
            <v>93830.22769190972</v>
          </cell>
          <cell r="AC34">
            <v>13090.85269919669</v>
          </cell>
          <cell r="AD34">
            <v>95473.887792681417</v>
          </cell>
          <cell r="AE34">
            <v>202394.96818378783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15309.872000000001</v>
          </cell>
          <cell r="AN34">
            <v>3113.4360000000001</v>
          </cell>
          <cell r="AO34">
            <v>29927.418999999998</v>
          </cell>
          <cell r="AP34">
            <v>766</v>
          </cell>
          <cell r="AQ34">
            <v>1564.8200000000002</v>
          </cell>
          <cell r="AR34">
            <v>80871.853000000003</v>
          </cell>
          <cell r="AS34">
            <v>48340.219999999994</v>
          </cell>
          <cell r="AT34">
            <v>0</v>
          </cell>
          <cell r="AU34">
            <v>58308.550999999992</v>
          </cell>
          <cell r="AV34">
            <v>238202.171</v>
          </cell>
        </row>
        <row r="35">
          <cell r="D35" t="str">
            <v>영업이익</v>
          </cell>
          <cell r="E35">
            <v>-943174.50880851794</v>
          </cell>
          <cell r="F35">
            <v>314753.72477279138</v>
          </cell>
          <cell r="G35">
            <v>-298435.58936708281</v>
          </cell>
          <cell r="H35">
            <v>-426824.98919924174</v>
          </cell>
          <cell r="I35">
            <v>-240661.60460223356</v>
          </cell>
          <cell r="J35">
            <v>82293.803366492037</v>
          </cell>
          <cell r="K35">
            <v>379125.48258534807</v>
          </cell>
          <cell r="L35">
            <v>-148454.47120049986</v>
          </cell>
          <cell r="M35">
            <v>127730.5101423295</v>
          </cell>
          <cell r="N35">
            <v>-102464.32995891036</v>
          </cell>
          <cell r="O35">
            <v>-168508.53634285968</v>
          </cell>
          <cell r="P35">
            <v>-267681.18493534019</v>
          </cell>
          <cell r="Q35">
            <v>-203195.08438406576</v>
          </cell>
          <cell r="R35">
            <v>-202530.93043530139</v>
          </cell>
          <cell r="S35">
            <v>-80949.4691611788</v>
          </cell>
          <cell r="T35">
            <v>96204.017570054857</v>
          </cell>
          <cell r="U35">
            <v>74493.354447634571</v>
          </cell>
          <cell r="V35">
            <v>21294.572698694421</v>
          </cell>
          <cell r="W35">
            <v>0</v>
          </cell>
          <cell r="X35">
            <v>0</v>
          </cell>
          <cell r="Y35">
            <v>0</v>
          </cell>
          <cell r="Z35">
            <v>-1043810.7240033671</v>
          </cell>
          <cell r="AA35">
            <v>-83401.738363269717</v>
          </cell>
          <cell r="AB35">
            <v>217604.03690809064</v>
          </cell>
          <cell r="AC35">
            <v>-556406.29403253004</v>
          </cell>
          <cell r="AD35">
            <v>56526.575015891736</v>
          </cell>
          <cell r="AE35">
            <v>-282275.68210854783</v>
          </cell>
          <cell r="AF35">
            <v>37104.423000000003</v>
          </cell>
          <cell r="AG35">
            <v>0</v>
          </cell>
          <cell r="AH35">
            <v>80062.926999999996</v>
          </cell>
          <cell r="AI35">
            <v>282230.68466666667</v>
          </cell>
          <cell r="AJ35">
            <v>8156.4319999999998</v>
          </cell>
          <cell r="AK35">
            <v>0</v>
          </cell>
          <cell r="AL35">
            <v>407554.46666666667</v>
          </cell>
          <cell r="AM35">
            <v>-15309.872000000001</v>
          </cell>
          <cell r="AN35">
            <v>-3113.4360000000001</v>
          </cell>
          <cell r="AO35">
            <v>-29927.418999999998</v>
          </cell>
          <cell r="AP35">
            <v>-766</v>
          </cell>
          <cell r="AQ35">
            <v>-1564.8200000000002</v>
          </cell>
          <cell r="AR35">
            <v>-80871.853000000003</v>
          </cell>
          <cell r="AS35">
            <v>-118458.88</v>
          </cell>
          <cell r="AT35">
            <v>360000</v>
          </cell>
          <cell r="AU35">
            <v>-51228.550999999992</v>
          </cell>
          <cell r="AV35">
            <v>58759.168999999965</v>
          </cell>
        </row>
      </sheetData>
      <sheetData sheetId="18">
        <row r="6">
          <cell r="D6" t="str">
            <v>구분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3월"/>
      <sheetName val="4월"/>
      <sheetName val="5월"/>
      <sheetName val="2월누계"/>
      <sheetName val="3월누계"/>
      <sheetName val="4월누계"/>
      <sheetName val="5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G7">
            <v>30862</v>
          </cell>
        </row>
      </sheetData>
      <sheetData sheetId="7">
        <row r="7">
          <cell r="G7">
            <v>29129</v>
          </cell>
        </row>
      </sheetData>
      <sheetData sheetId="8">
        <row r="7">
          <cell r="G7">
            <v>42206</v>
          </cell>
        </row>
      </sheetData>
      <sheetData sheetId="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42104</v>
          </cell>
          <cell r="H7">
            <v>35418.5</v>
          </cell>
          <cell r="I7">
            <v>19506</v>
          </cell>
          <cell r="J7">
            <v>17667</v>
          </cell>
          <cell r="K7">
            <v>20768</v>
          </cell>
          <cell r="L7">
            <v>22096</v>
          </cell>
          <cell r="M7">
            <v>6351</v>
          </cell>
          <cell r="N7">
            <v>18285</v>
          </cell>
          <cell r="O7">
            <v>7209</v>
          </cell>
          <cell r="P7">
            <v>11571</v>
          </cell>
          <cell r="Q7">
            <v>5713.5</v>
          </cell>
          <cell r="R7">
            <v>14457</v>
          </cell>
          <cell r="S7">
            <v>24258</v>
          </cell>
          <cell r="T7">
            <v>4844</v>
          </cell>
          <cell r="U7">
            <v>5101</v>
          </cell>
          <cell r="V7">
            <v>13510</v>
          </cell>
          <cell r="W7">
            <v>4089</v>
          </cell>
          <cell r="Z7">
            <v>272948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272948</v>
          </cell>
          <cell r="AJ7">
            <v>23612</v>
          </cell>
          <cell r="AK7">
            <v>33184</v>
          </cell>
          <cell r="AL7">
            <v>14697</v>
          </cell>
          <cell r="AN7">
            <v>71493</v>
          </cell>
          <cell r="AO7">
            <v>3426.7159999999999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32992818.354000002</v>
          </cell>
          <cell r="G8">
            <v>4092885.057</v>
          </cell>
          <cell r="H8">
            <v>3527917.8529999997</v>
          </cell>
          <cell r="I8">
            <v>1955169</v>
          </cell>
          <cell r="J8">
            <v>1742582.6560000002</v>
          </cell>
          <cell r="K8">
            <v>2394694</v>
          </cell>
          <cell r="L8">
            <v>2230498.5</v>
          </cell>
          <cell r="M8">
            <v>625031.19999999995</v>
          </cell>
          <cell r="N8">
            <v>1879017.2</v>
          </cell>
          <cell r="O8">
            <v>709838.9</v>
          </cell>
          <cell r="P8">
            <v>1083698.6000000001</v>
          </cell>
          <cell r="Q8">
            <v>443313.24699999997</v>
          </cell>
          <cell r="R8">
            <v>1468285.5</v>
          </cell>
          <cell r="S8">
            <v>2423597.0019999999</v>
          </cell>
          <cell r="T8">
            <v>527774.56000000006</v>
          </cell>
          <cell r="U8">
            <v>567926.44999999995</v>
          </cell>
          <cell r="V8">
            <v>1313697.5</v>
          </cell>
          <cell r="W8">
            <v>536507.50899999996</v>
          </cell>
          <cell r="Z8">
            <v>27522434.733999997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27565774.733999997</v>
          </cell>
          <cell r="AJ8">
            <v>657786</v>
          </cell>
          <cell r="AK8">
            <v>450680</v>
          </cell>
          <cell r="AL8">
            <v>292709.09999999998</v>
          </cell>
          <cell r="AN8">
            <v>1401175.1</v>
          </cell>
          <cell r="AO8">
            <v>4012700.142</v>
          </cell>
          <cell r="AP8">
            <v>0</v>
          </cell>
          <cell r="AS8">
            <v>4012700.142</v>
          </cell>
          <cell r="AT8">
            <v>4700</v>
          </cell>
          <cell r="AU8">
            <v>5959</v>
          </cell>
          <cell r="AV8">
            <v>911.27800000000002</v>
          </cell>
          <cell r="BA8">
            <v>11570.278</v>
          </cell>
          <cell r="BB8">
            <v>0</v>
          </cell>
          <cell r="BC8">
            <v>1598.1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1598.1</v>
          </cell>
        </row>
        <row r="9">
          <cell r="G9">
            <v>97208.936371841162</v>
          </cell>
          <cell r="H9">
            <v>99606.642093821021</v>
          </cell>
          <cell r="I9">
            <v>100234.23561980929</v>
          </cell>
          <cell r="J9">
            <v>98634.893077489105</v>
          </cell>
          <cell r="K9">
            <v>115306.91448382125</v>
          </cell>
          <cell r="L9">
            <v>100945.8046705286</v>
          </cell>
          <cell r="M9">
            <v>98414.61187214611</v>
          </cell>
          <cell r="N9">
            <v>102762.76729559748</v>
          </cell>
          <cell r="O9">
            <v>98465.654043556671</v>
          </cell>
          <cell r="P9">
            <v>93656.434188920583</v>
          </cell>
          <cell r="Q9">
            <v>77590.486916951078</v>
          </cell>
          <cell r="R9">
            <v>101562.25357958082</v>
          </cell>
          <cell r="S9">
            <v>99909.184681342231</v>
          </cell>
          <cell r="T9">
            <v>108954.28571428572</v>
          </cell>
          <cell r="U9">
            <v>111336.29680454811</v>
          </cell>
          <cell r="V9">
            <v>97238.897113249448</v>
          </cell>
          <cell r="W9">
            <v>131207.51014918071</v>
          </cell>
          <cell r="Z9">
            <v>100833.9857188915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100992.77054237436</v>
          </cell>
          <cell r="AJ9">
            <v>27858.122988311028</v>
          </cell>
          <cell r="AK9">
            <v>13581.243972999035</v>
          </cell>
          <cell r="AL9">
            <v>19916.248213921208</v>
          </cell>
          <cell r="AO9">
            <v>1171004.5833970485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29731592.947430011</v>
          </cell>
          <cell r="G10">
            <v>3629749.62182</v>
          </cell>
          <cell r="H10">
            <v>3299396.6510700001</v>
          </cell>
          <cell r="I10">
            <v>1760087.2711800002</v>
          </cell>
          <cell r="J10">
            <v>1574345.4201600002</v>
          </cell>
          <cell r="K10">
            <v>2019768.4994599998</v>
          </cell>
          <cell r="L10">
            <v>1940581.2394400002</v>
          </cell>
          <cell r="M10">
            <v>583095.12326000002</v>
          </cell>
          <cell r="N10">
            <v>1633487.4805099999</v>
          </cell>
          <cell r="O10">
            <v>647305.08711000008</v>
          </cell>
          <cell r="P10">
            <v>936391.68374000001</v>
          </cell>
          <cell r="Q10">
            <v>479198.98744</v>
          </cell>
          <cell r="R10">
            <v>1306261.59708</v>
          </cell>
          <cell r="S10">
            <v>2201731.8906999999</v>
          </cell>
          <cell r="T10">
            <v>406383.63367000001</v>
          </cell>
          <cell r="U10">
            <v>447424.21203</v>
          </cell>
          <cell r="V10">
            <v>1201144.6451900001</v>
          </cell>
          <cell r="W10">
            <v>477097.3823</v>
          </cell>
          <cell r="Z10">
            <v>24543450.426160008</v>
          </cell>
          <cell r="AA10">
            <v>0</v>
          </cell>
          <cell r="AB10">
            <v>0</v>
          </cell>
          <cell r="AC10">
            <v>115.986</v>
          </cell>
          <cell r="AD10">
            <v>555.66600000000005</v>
          </cell>
          <cell r="AH10">
            <v>671.65200000000004</v>
          </cell>
          <cell r="AI10">
            <v>24544122.078160007</v>
          </cell>
          <cell r="AJ10">
            <v>597298.08901</v>
          </cell>
          <cell r="AK10">
            <v>348746.98851</v>
          </cell>
          <cell r="AL10">
            <v>341615.19475000002</v>
          </cell>
          <cell r="AN10">
            <v>1287660.2722700001</v>
          </cell>
          <cell r="AO10">
            <v>3899411.4270000001</v>
          </cell>
          <cell r="AP10">
            <v>0</v>
          </cell>
          <cell r="AS10">
            <v>3899411.4270000001</v>
          </cell>
          <cell r="AT10">
            <v>167.67400000000001</v>
          </cell>
          <cell r="AU10">
            <v>231.49600000000001</v>
          </cell>
          <cell r="AV10">
            <v>0</v>
          </cell>
          <cell r="BA10">
            <v>399.17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J10">
            <v>0</v>
          </cell>
        </row>
        <row r="11">
          <cell r="G11">
            <v>86209.139792418762</v>
          </cell>
          <cell r="H11">
            <v>93154.612732611495</v>
          </cell>
          <cell r="I11">
            <v>90233.121664103368</v>
          </cell>
          <cell r="J11">
            <v>89112.210344710489</v>
          </cell>
          <cell r="K11">
            <v>97253.876129622484</v>
          </cell>
          <cell r="L11">
            <v>87825.001784938446</v>
          </cell>
          <cell r="M11">
            <v>91811.545151944592</v>
          </cell>
          <cell r="N11">
            <v>89334.836232430942</v>
          </cell>
          <cell r="O11">
            <v>89791.245264253026</v>
          </cell>
          <cell r="P11">
            <v>80925.735350445088</v>
          </cell>
          <cell r="Q11">
            <v>83871.355113328085</v>
          </cell>
          <cell r="R11">
            <v>90354.955874662788</v>
          </cell>
          <cell r="S11">
            <v>90763.12518344463</v>
          </cell>
          <cell r="T11">
            <v>83894.226604046242</v>
          </cell>
          <cell r="U11">
            <v>87713.039017839634</v>
          </cell>
          <cell r="V11">
            <v>88907.819777202079</v>
          </cell>
          <cell r="W11">
            <v>116678.25441428222</v>
          </cell>
          <cell r="Z11">
            <v>89919.876409279459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89922.337141726661</v>
          </cell>
          <cell r="AJ11">
            <v>25296.378494409622</v>
          </cell>
          <cell r="AK11">
            <v>10509.492180267598</v>
          </cell>
          <cell r="AL11">
            <v>23243.872542015379</v>
          </cell>
          <cell r="AO11">
            <v>1137944.1503176803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3261225.4065699913</v>
          </cell>
          <cell r="G12">
            <v>463135.43518000003</v>
          </cell>
          <cell r="H12">
            <v>228521.20192999952</v>
          </cell>
          <cell r="I12">
            <v>195081.72881999984</v>
          </cell>
          <cell r="J12">
            <v>168237.23583999998</v>
          </cell>
          <cell r="K12">
            <v>374925.50054000015</v>
          </cell>
          <cell r="L12">
            <v>289917.26055999985</v>
          </cell>
          <cell r="M12">
            <v>41936.076739999931</v>
          </cell>
          <cell r="N12">
            <v>245529.71949000005</v>
          </cell>
          <cell r="O12">
            <v>62533.812889999943</v>
          </cell>
          <cell r="P12">
            <v>147306.91626000009</v>
          </cell>
          <cell r="Q12">
            <v>-35885.740440000023</v>
          </cell>
          <cell r="R12">
            <v>162023.90292000002</v>
          </cell>
          <cell r="S12">
            <v>221865.11129999999</v>
          </cell>
          <cell r="T12">
            <v>121390.92633000005</v>
          </cell>
          <cell r="U12">
            <v>120502.23796999996</v>
          </cell>
          <cell r="V12">
            <v>112552.85480999993</v>
          </cell>
          <cell r="W12">
            <v>59410.126699999964</v>
          </cell>
          <cell r="Z12">
            <v>2978984.3078399994</v>
          </cell>
          <cell r="AA12">
            <v>0</v>
          </cell>
          <cell r="AB12">
            <v>0</v>
          </cell>
          <cell r="AC12">
            <v>12384.013999999999</v>
          </cell>
          <cell r="AD12">
            <v>30284.333999999999</v>
          </cell>
          <cell r="AH12">
            <v>42668.347999999998</v>
          </cell>
          <cell r="AI12">
            <v>3021652.6558399908</v>
          </cell>
          <cell r="AJ12">
            <v>60487.910990000004</v>
          </cell>
          <cell r="AK12">
            <v>101933.01149</v>
          </cell>
          <cell r="AL12">
            <v>-48906.094750000047</v>
          </cell>
          <cell r="AN12">
            <v>113514.82773000002</v>
          </cell>
          <cell r="AO12">
            <v>113288.71499999985</v>
          </cell>
          <cell r="AP12">
            <v>0</v>
          </cell>
          <cell r="AS12">
            <v>113288.71499999985</v>
          </cell>
          <cell r="AT12">
            <v>4532.326</v>
          </cell>
          <cell r="AU12">
            <v>5727.5039999999999</v>
          </cell>
          <cell r="AV12">
            <v>911.27800000000002</v>
          </cell>
          <cell r="BA12">
            <v>11171.108</v>
          </cell>
          <cell r="BB12">
            <v>0</v>
          </cell>
          <cell r="BC12">
            <v>1598.1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J12">
            <v>1598.1</v>
          </cell>
        </row>
        <row r="13">
          <cell r="F13">
            <v>816048.13199999998</v>
          </cell>
          <cell r="G13">
            <v>73245.832999999984</v>
          </cell>
          <cell r="H13">
            <v>67416.7</v>
          </cell>
          <cell r="I13">
            <v>45290.550999999999</v>
          </cell>
          <cell r="J13">
            <v>40125.006999999998</v>
          </cell>
          <cell r="K13">
            <v>52081.217000000004</v>
          </cell>
          <cell r="L13">
            <v>54250.740000000005</v>
          </cell>
          <cell r="M13">
            <v>33414.483999999997</v>
          </cell>
          <cell r="N13">
            <v>56387.695999999996</v>
          </cell>
          <cell r="O13">
            <v>30032.261000000006</v>
          </cell>
          <cell r="P13">
            <v>37404.167000000001</v>
          </cell>
          <cell r="Q13">
            <v>28054.07</v>
          </cell>
          <cell r="R13">
            <v>30731.106999999996</v>
          </cell>
          <cell r="S13">
            <v>51664.169000000002</v>
          </cell>
          <cell r="T13">
            <v>11782.956999999999</v>
          </cell>
          <cell r="U13">
            <v>13615.064999999999</v>
          </cell>
          <cell r="V13">
            <v>29412.641999999996</v>
          </cell>
          <cell r="W13">
            <v>17489.73</v>
          </cell>
          <cell r="Z13">
            <v>672398.39600000007</v>
          </cell>
          <cell r="AA13">
            <v>3064.3420000000001</v>
          </cell>
          <cell r="AB13">
            <v>178</v>
          </cell>
          <cell r="AC13">
            <v>0</v>
          </cell>
          <cell r="AD13">
            <v>0</v>
          </cell>
          <cell r="AH13">
            <v>3242.3420000000001</v>
          </cell>
          <cell r="AI13">
            <v>675640.73800000013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130528.408</v>
          </cell>
          <cell r="AP13">
            <v>0</v>
          </cell>
          <cell r="AS13">
            <v>130528.408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9878.985999999999</v>
          </cell>
          <cell r="BG13">
            <v>0</v>
          </cell>
          <cell r="BH13">
            <v>0</v>
          </cell>
          <cell r="BJ13">
            <v>9878.985999999999</v>
          </cell>
        </row>
        <row r="14">
          <cell r="F14">
            <v>567242.353</v>
          </cell>
          <cell r="G14">
            <v>52330.107999999993</v>
          </cell>
          <cell r="H14">
            <v>46714.440999999999</v>
          </cell>
          <cell r="I14">
            <v>31463.184000000001</v>
          </cell>
          <cell r="J14">
            <v>29916.964</v>
          </cell>
          <cell r="K14">
            <v>35915.181000000004</v>
          </cell>
          <cell r="L14">
            <v>38343.575000000004</v>
          </cell>
          <cell r="M14">
            <v>22639.499</v>
          </cell>
          <cell r="N14">
            <v>37216.501999999993</v>
          </cell>
          <cell r="O14">
            <v>21364.514000000003</v>
          </cell>
          <cell r="P14">
            <v>27264.805</v>
          </cell>
          <cell r="Q14">
            <v>21346.156999999999</v>
          </cell>
          <cell r="R14">
            <v>22028.721999999998</v>
          </cell>
          <cell r="S14">
            <v>37594.158000000003</v>
          </cell>
          <cell r="T14">
            <v>7680.5669999999991</v>
          </cell>
          <cell r="U14">
            <v>8727.49</v>
          </cell>
          <cell r="V14">
            <v>22723.540999999997</v>
          </cell>
          <cell r="W14">
            <v>11239.298999999999</v>
          </cell>
          <cell r="Z14">
            <v>474508.70700000005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474508.70700000005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92733.645999999993</v>
          </cell>
          <cell r="AP14">
            <v>0</v>
          </cell>
          <cell r="AS14">
            <v>92733.645999999993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248805.77900000001</v>
          </cell>
          <cell r="G15">
            <v>20915.724999999999</v>
          </cell>
          <cell r="H15">
            <v>20702.258999999998</v>
          </cell>
          <cell r="I15">
            <v>13827.366999999998</v>
          </cell>
          <cell r="J15">
            <v>10208.043</v>
          </cell>
          <cell r="K15">
            <v>16166.035999999998</v>
          </cell>
          <cell r="L15">
            <v>15907.165000000001</v>
          </cell>
          <cell r="M15">
            <v>10774.985000000001</v>
          </cell>
          <cell r="N15">
            <v>19171.194000000003</v>
          </cell>
          <cell r="O15">
            <v>8667.7470000000012</v>
          </cell>
          <cell r="P15">
            <v>10139.361999999999</v>
          </cell>
          <cell r="Q15">
            <v>6707.9129999999996</v>
          </cell>
          <cell r="R15">
            <v>8702.3850000000002</v>
          </cell>
          <cell r="S15">
            <v>14070.010999999999</v>
          </cell>
          <cell r="T15">
            <v>4102.3899999999994</v>
          </cell>
          <cell r="U15">
            <v>4887.5749999999998</v>
          </cell>
          <cell r="V15">
            <v>6689.1009999999997</v>
          </cell>
          <cell r="W15">
            <v>6250.4309999999996</v>
          </cell>
          <cell r="Z15">
            <v>197889.68900000001</v>
          </cell>
          <cell r="AA15">
            <v>3064.3420000000001</v>
          </cell>
          <cell r="AB15">
            <v>178</v>
          </cell>
          <cell r="AC15">
            <v>0</v>
          </cell>
          <cell r="AD15">
            <v>0</v>
          </cell>
          <cell r="AH15">
            <v>3242.3420000000001</v>
          </cell>
          <cell r="AI15">
            <v>201132.03100000002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37794.761999999995</v>
          </cell>
          <cell r="AP15">
            <v>0</v>
          </cell>
          <cell r="AS15">
            <v>37794.761999999995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9878.985999999999</v>
          </cell>
          <cell r="BG15">
            <v>0</v>
          </cell>
          <cell r="BH15">
            <v>0</v>
          </cell>
          <cell r="BJ15">
            <v>9878.985999999999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2445177.274569991</v>
          </cell>
          <cell r="G17">
            <v>389889.60218000005</v>
          </cell>
          <cell r="H17">
            <v>161104.5019299995</v>
          </cell>
          <cell r="I17">
            <v>149791.17781999984</v>
          </cell>
          <cell r="J17">
            <v>128112.22883999998</v>
          </cell>
          <cell r="K17">
            <v>322844.28354000015</v>
          </cell>
          <cell r="L17">
            <v>235666.52055999986</v>
          </cell>
          <cell r="M17">
            <v>8521.5927399999346</v>
          </cell>
          <cell r="N17">
            <v>189142.02349000005</v>
          </cell>
          <cell r="O17">
            <v>32501.551889999937</v>
          </cell>
          <cell r="P17">
            <v>109902.74926000008</v>
          </cell>
          <cell r="Q17">
            <v>-63939.810440000023</v>
          </cell>
          <cell r="R17">
            <v>131292.79592000003</v>
          </cell>
          <cell r="S17">
            <v>170200.9423</v>
          </cell>
          <cell r="T17">
            <v>109607.96933000005</v>
          </cell>
          <cell r="U17">
            <v>106887.17296999996</v>
          </cell>
          <cell r="V17">
            <v>83140.212809999939</v>
          </cell>
          <cell r="W17">
            <v>41920.396699999968</v>
          </cell>
          <cell r="Z17">
            <v>2306585.9118399993</v>
          </cell>
          <cell r="AA17">
            <v>-3064.3420000000001</v>
          </cell>
          <cell r="AB17">
            <v>-178</v>
          </cell>
          <cell r="AC17">
            <v>12384.013999999999</v>
          </cell>
          <cell r="AD17">
            <v>30284.333999999999</v>
          </cell>
          <cell r="AH17">
            <v>39426.006000000001</v>
          </cell>
          <cell r="AI17">
            <v>2346011.9178399909</v>
          </cell>
          <cell r="AJ17">
            <v>60487.910990000004</v>
          </cell>
          <cell r="AK17">
            <v>101933.01149</v>
          </cell>
          <cell r="AL17">
            <v>-48906.094750000047</v>
          </cell>
          <cell r="AN17">
            <v>113514.82773000002</v>
          </cell>
          <cell r="AO17">
            <v>-17239.693000000145</v>
          </cell>
          <cell r="AP17">
            <v>0</v>
          </cell>
          <cell r="AS17">
            <v>-17239.693000000145</v>
          </cell>
          <cell r="AT17">
            <v>4532.326</v>
          </cell>
          <cell r="AU17">
            <v>5727.5039999999999</v>
          </cell>
          <cell r="AV17">
            <v>911.27800000000002</v>
          </cell>
          <cell r="BA17">
            <v>11171.108</v>
          </cell>
          <cell r="BB17">
            <v>0</v>
          </cell>
          <cell r="BC17">
            <v>1598.1</v>
          </cell>
          <cell r="BD17">
            <v>0</v>
          </cell>
          <cell r="BE17">
            <v>0</v>
          </cell>
          <cell r="BF17">
            <v>-9878.985999999999</v>
          </cell>
          <cell r="BG17">
            <v>0</v>
          </cell>
          <cell r="BH17">
            <v>0</v>
          </cell>
          <cell r="BJ17">
            <v>-8280.8859999999986</v>
          </cell>
        </row>
        <row r="18">
          <cell r="F18">
            <v>759239.18256999995</v>
          </cell>
          <cell r="G18">
            <v>31170.06018</v>
          </cell>
          <cell r="H18">
            <v>39514.593930000003</v>
          </cell>
          <cell r="I18">
            <v>20715.384819999999</v>
          </cell>
          <cell r="J18">
            <v>17935.06984</v>
          </cell>
          <cell r="K18">
            <v>122739.02254000001</v>
          </cell>
          <cell r="L18">
            <v>69874.328560000009</v>
          </cell>
          <cell r="M18">
            <v>15924.13774</v>
          </cell>
          <cell r="N18">
            <v>29055.43449</v>
          </cell>
          <cell r="O18">
            <v>13587.953890000001</v>
          </cell>
          <cell r="P18">
            <v>35948.951260000002</v>
          </cell>
          <cell r="Q18">
            <v>15923.957560000001</v>
          </cell>
          <cell r="R18">
            <v>16913.303919999998</v>
          </cell>
          <cell r="S18">
            <v>36369.566299999999</v>
          </cell>
          <cell r="T18">
            <v>6157.2273300000006</v>
          </cell>
          <cell r="U18">
            <v>10525.859970000001</v>
          </cell>
          <cell r="V18">
            <v>21708.319809999997</v>
          </cell>
          <cell r="W18">
            <v>12590.662699999999</v>
          </cell>
          <cell r="Z18">
            <v>516653.83484000002</v>
          </cell>
          <cell r="AA18">
            <v>5731.549</v>
          </cell>
          <cell r="AB18">
            <v>0</v>
          </cell>
          <cell r="AC18">
            <v>3218.5030000000002</v>
          </cell>
          <cell r="AD18">
            <v>8205.6319999999996</v>
          </cell>
          <cell r="AH18">
            <v>17155.684000000001</v>
          </cell>
          <cell r="AI18">
            <v>533809.51884000003</v>
          </cell>
          <cell r="AJ18">
            <v>44910.846990000005</v>
          </cell>
          <cell r="AK18">
            <v>64329.086490000002</v>
          </cell>
          <cell r="AL18">
            <v>65249.862249999998</v>
          </cell>
          <cell r="AN18">
            <v>174489.79573000001</v>
          </cell>
          <cell r="AO18">
            <v>4725.1719999999996</v>
          </cell>
          <cell r="AP18">
            <v>0</v>
          </cell>
          <cell r="AS18">
            <v>4725.1719999999996</v>
          </cell>
          <cell r="AT18">
            <v>1312.8920000000001</v>
          </cell>
          <cell r="AU18">
            <v>5524.1020000000008</v>
          </cell>
          <cell r="AV18">
            <v>0</v>
          </cell>
          <cell r="BA18">
            <v>6836.9940000000006</v>
          </cell>
          <cell r="BB18">
            <v>0</v>
          </cell>
          <cell r="BC18">
            <v>17731.492999999999</v>
          </cell>
          <cell r="BD18">
            <v>0</v>
          </cell>
          <cell r="BE18">
            <v>0</v>
          </cell>
          <cell r="BF18">
            <v>21646.208999999999</v>
          </cell>
          <cell r="BG18">
            <v>0</v>
          </cell>
          <cell r="BH18">
            <v>0</v>
          </cell>
          <cell r="BJ18">
            <v>39377.701999999997</v>
          </cell>
        </row>
        <row r="19">
          <cell r="F19">
            <v>687774.04356999998</v>
          </cell>
          <cell r="G19">
            <v>28875.197179999999</v>
          </cell>
          <cell r="H19">
            <v>37590.129930000003</v>
          </cell>
          <cell r="I19">
            <v>18871.67282</v>
          </cell>
          <cell r="J19">
            <v>16743.08484</v>
          </cell>
          <cell r="K19">
            <v>120857.58454000001</v>
          </cell>
          <cell r="L19">
            <v>68320.263560000007</v>
          </cell>
          <cell r="M19">
            <v>15100.94074</v>
          </cell>
          <cell r="N19">
            <v>27492.13349</v>
          </cell>
          <cell r="O19">
            <v>12379.34289</v>
          </cell>
          <cell r="P19">
            <v>34740.521260000001</v>
          </cell>
          <cell r="Q19">
            <v>15110.690560000001</v>
          </cell>
          <cell r="R19">
            <v>15655.51592</v>
          </cell>
          <cell r="S19">
            <v>34805.571299999996</v>
          </cell>
          <cell r="T19">
            <v>5786.8283300000003</v>
          </cell>
          <cell r="U19">
            <v>10082.991970000001</v>
          </cell>
          <cell r="V19">
            <v>20895.052809999997</v>
          </cell>
          <cell r="W19">
            <v>11777.395699999999</v>
          </cell>
          <cell r="Z19">
            <v>495084.91784000001</v>
          </cell>
          <cell r="AA19">
            <v>0</v>
          </cell>
          <cell r="AB19">
            <v>0</v>
          </cell>
          <cell r="AC19">
            <v>3156.7040000000002</v>
          </cell>
          <cell r="AD19">
            <v>8205.6319999999996</v>
          </cell>
          <cell r="AH19">
            <v>11362.335999999999</v>
          </cell>
          <cell r="AI19">
            <v>506447.25384000002</v>
          </cell>
          <cell r="AJ19">
            <v>44910.846990000005</v>
          </cell>
          <cell r="AK19">
            <v>64329.086490000002</v>
          </cell>
          <cell r="AL19">
            <v>65249.862249999998</v>
          </cell>
          <cell r="AN19">
            <v>174489.79573000001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71465.138999999996</v>
          </cell>
          <cell r="G20">
            <v>2294.8629999999998</v>
          </cell>
          <cell r="H20">
            <v>1924.4639999999999</v>
          </cell>
          <cell r="I20">
            <v>1843.712</v>
          </cell>
          <cell r="J20">
            <v>1191.9849999999999</v>
          </cell>
          <cell r="K20">
            <v>1881.4380000000001</v>
          </cell>
          <cell r="L20">
            <v>1554.0650000000001</v>
          </cell>
          <cell r="M20">
            <v>823.197</v>
          </cell>
          <cell r="N20">
            <v>1563.3009999999999</v>
          </cell>
          <cell r="O20">
            <v>1208.6110000000001</v>
          </cell>
          <cell r="P20">
            <v>1208.43</v>
          </cell>
          <cell r="Q20">
            <v>813.26700000000005</v>
          </cell>
          <cell r="R20">
            <v>1257.788</v>
          </cell>
          <cell r="S20">
            <v>1563.9949999999999</v>
          </cell>
          <cell r="T20">
            <v>370.399</v>
          </cell>
          <cell r="U20">
            <v>442.86799999999999</v>
          </cell>
          <cell r="V20">
            <v>813.26700000000005</v>
          </cell>
          <cell r="W20">
            <v>813.26700000000005</v>
          </cell>
          <cell r="Z20">
            <v>21568.916999999998</v>
          </cell>
          <cell r="AA20">
            <v>5731.549</v>
          </cell>
          <cell r="AB20">
            <v>0</v>
          </cell>
          <cell r="AC20">
            <v>61.798999999999999</v>
          </cell>
          <cell r="AD20">
            <v>0</v>
          </cell>
          <cell r="AH20">
            <v>5793.348</v>
          </cell>
          <cell r="AI20">
            <v>27362.264999999999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4725.1719999999996</v>
          </cell>
          <cell r="AP20">
            <v>0</v>
          </cell>
          <cell r="AS20">
            <v>4725.1719999999996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17731.492999999999</v>
          </cell>
          <cell r="BD20">
            <v>0</v>
          </cell>
          <cell r="BE20">
            <v>0</v>
          </cell>
          <cell r="BF20">
            <v>21646.208999999999</v>
          </cell>
          <cell r="BG20">
            <v>0</v>
          </cell>
          <cell r="BH20">
            <v>0</v>
          </cell>
          <cell r="BJ20">
            <v>39377.701999999997</v>
          </cell>
        </row>
        <row r="21">
          <cell r="F21">
            <v>1685938.0919999911</v>
          </cell>
          <cell r="G21">
            <v>358719.54200000002</v>
          </cell>
          <cell r="H21">
            <v>121589.9079999995</v>
          </cell>
          <cell r="I21">
            <v>129075.79299999983</v>
          </cell>
          <cell r="J21">
            <v>110177.15899999999</v>
          </cell>
          <cell r="K21">
            <v>200105.26100000014</v>
          </cell>
          <cell r="L21">
            <v>165792.19199999986</v>
          </cell>
          <cell r="M21">
            <v>-7402.5450000000656</v>
          </cell>
          <cell r="N21">
            <v>160086.58900000004</v>
          </cell>
          <cell r="O21">
            <v>18913.597999999936</v>
          </cell>
          <cell r="P21">
            <v>73953.798000000083</v>
          </cell>
          <cell r="Q21">
            <v>-79863.768000000025</v>
          </cell>
          <cell r="R21">
            <v>114379.49200000003</v>
          </cell>
          <cell r="S21">
            <v>133831.37599999999</v>
          </cell>
          <cell r="T21">
            <v>103450.74200000006</v>
          </cell>
          <cell r="U21">
            <v>96361.312999999951</v>
          </cell>
          <cell r="V21">
            <v>61431.892999999938</v>
          </cell>
          <cell r="W21">
            <v>29329.733999999968</v>
          </cell>
          <cell r="Z21">
            <v>1789932.0769999991</v>
          </cell>
          <cell r="AA21">
            <v>-8795.8909999999996</v>
          </cell>
          <cell r="AB21">
            <v>-178</v>
          </cell>
          <cell r="AC21">
            <v>9165.5109999999986</v>
          </cell>
          <cell r="AD21">
            <v>22078.701999999997</v>
          </cell>
          <cell r="AH21">
            <v>22270.322</v>
          </cell>
          <cell r="AI21">
            <v>1812202.3989999909</v>
          </cell>
          <cell r="AJ21">
            <v>15577.063999999998</v>
          </cell>
          <cell r="AK21">
            <v>37603.925000000003</v>
          </cell>
          <cell r="AL21">
            <v>-114155.95700000005</v>
          </cell>
          <cell r="AN21">
            <v>-60974.967999999993</v>
          </cell>
          <cell r="AO21">
            <v>-21964.865000000143</v>
          </cell>
          <cell r="AP21">
            <v>0</v>
          </cell>
          <cell r="AS21">
            <v>-21964.865000000143</v>
          </cell>
          <cell r="AT21">
            <v>3219.4340000000002</v>
          </cell>
          <cell r="AU21">
            <v>203.40199999999913</v>
          </cell>
          <cell r="AV21">
            <v>911.27800000000002</v>
          </cell>
          <cell r="BA21">
            <v>4334.1139999999996</v>
          </cell>
          <cell r="BB21">
            <v>0</v>
          </cell>
          <cell r="BC21">
            <v>-16133.392999999998</v>
          </cell>
          <cell r="BD21">
            <v>0</v>
          </cell>
          <cell r="BE21">
            <v>0</v>
          </cell>
          <cell r="BF21">
            <v>-31525.195</v>
          </cell>
          <cell r="BG21">
            <v>0</v>
          </cell>
          <cell r="BH21">
            <v>0</v>
          </cell>
          <cell r="BJ21">
            <v>-47658.587999999996</v>
          </cell>
        </row>
        <row r="22">
          <cell r="F22">
            <v>1748642.1980042174</v>
          </cell>
          <cell r="G22">
            <v>239268.47226716267</v>
          </cell>
          <cell r="H22">
            <v>206240.70874594283</v>
          </cell>
          <cell r="I22">
            <v>114298.42107440259</v>
          </cell>
          <cell r="J22">
            <v>101870.70589419064</v>
          </cell>
          <cell r="K22">
            <v>148101.09128721131</v>
          </cell>
          <cell r="L22">
            <v>137946.3355086236</v>
          </cell>
          <cell r="M22">
            <v>38655.378436057057</v>
          </cell>
          <cell r="N22">
            <v>116208.79238326073</v>
          </cell>
          <cell r="O22">
            <v>43900.354587314148</v>
          </cell>
          <cell r="P22">
            <v>67021.901456479667</v>
          </cell>
          <cell r="Q22">
            <v>27416.937472084974</v>
          </cell>
          <cell r="R22">
            <v>90806.877568152209</v>
          </cell>
          <cell r="S22">
            <v>141682.54030687662</v>
          </cell>
          <cell r="T22">
            <v>30853.495984867575</v>
          </cell>
          <cell r="U22">
            <v>33200.759894101546</v>
          </cell>
          <cell r="V22">
            <v>76798.246095038325</v>
          </cell>
          <cell r="W22">
            <v>31364.020794755248</v>
          </cell>
          <cell r="Z22">
            <v>1645635.0397565216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1645635.0397565216</v>
          </cell>
          <cell r="AJ22">
            <v>23075.503623771634</v>
          </cell>
          <cell r="AK22">
            <v>15810.108413923983</v>
          </cell>
          <cell r="AL22">
            <v>10268.400210000002</v>
          </cell>
          <cell r="AN22">
            <v>49154.012247695617</v>
          </cell>
          <cell r="AO22">
            <v>53853.146000000001</v>
          </cell>
          <cell r="AP22">
            <v>0</v>
          </cell>
          <cell r="AS22">
            <v>53853.146000000001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J22">
            <v>0</v>
          </cell>
        </row>
        <row r="23">
          <cell r="F23">
            <v>243254.80700421744</v>
          </cell>
          <cell r="G23">
            <v>15401.012241592241</v>
          </cell>
          <cell r="H23">
            <v>13275.111635118859</v>
          </cell>
          <cell r="I23">
            <v>7357.0553006081318</v>
          </cell>
          <cell r="J23">
            <v>6557.119597371171</v>
          </cell>
          <cell r="K23">
            <v>17119.141915923756</v>
          </cell>
          <cell r="L23">
            <v>15945.344317376275</v>
          </cell>
          <cell r="M23">
            <v>4468.2108923645874</v>
          </cell>
          <cell r="N23">
            <v>13432.681632501561</v>
          </cell>
          <cell r="O23">
            <v>5074.482529518682</v>
          </cell>
          <cell r="P23">
            <v>7747.1234852920225</v>
          </cell>
          <cell r="Q23">
            <v>3169.1491224356687</v>
          </cell>
          <cell r="R23">
            <v>10496.450839895648</v>
          </cell>
          <cell r="S23">
            <v>9119.6910190894359</v>
          </cell>
          <cell r="T23">
            <v>1985.9493599653658</v>
          </cell>
          <cell r="U23">
            <v>2137.0358773732901</v>
          </cell>
          <cell r="V23">
            <v>4943.2786402457541</v>
          </cell>
          <cell r="W23">
            <v>2018.8103498493042</v>
          </cell>
          <cell r="Z23">
            <v>140247.64875652181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140247.64875652181</v>
          </cell>
          <cell r="AJ23">
            <v>23075.503623771634</v>
          </cell>
          <cell r="AK23">
            <v>15810.108413923983</v>
          </cell>
          <cell r="AL23">
            <v>10268.400210000002</v>
          </cell>
          <cell r="AN23">
            <v>49154.012247695617</v>
          </cell>
          <cell r="AO23">
            <v>53853.146000000001</v>
          </cell>
          <cell r="AP23">
            <v>0</v>
          </cell>
          <cell r="AS23">
            <v>53853.146000000001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403802.38299999986</v>
          </cell>
          <cell r="G24">
            <v>60049.801383305581</v>
          </cell>
          <cell r="H24">
            <v>51760.741730809823</v>
          </cell>
          <cell r="I24">
            <v>28685.757964298533</v>
          </cell>
          <cell r="J24">
            <v>25566.743490102639</v>
          </cell>
          <cell r="K24">
            <v>35134.360499045302</v>
          </cell>
          <cell r="L24">
            <v>32725.3245682245</v>
          </cell>
          <cell r="M24">
            <v>9170.3038066453937</v>
          </cell>
          <cell r="N24">
            <v>27568.477512662037</v>
          </cell>
          <cell r="O24">
            <v>10414.58149093194</v>
          </cell>
          <cell r="P24">
            <v>15899.758918972822</v>
          </cell>
          <cell r="Q24">
            <v>6504.1827615972279</v>
          </cell>
          <cell r="R24">
            <v>21542.323183054279</v>
          </cell>
          <cell r="S24">
            <v>35558.418224906149</v>
          </cell>
          <cell r="T24">
            <v>7743.3783411429677</v>
          </cell>
          <cell r="U24">
            <v>8332.4769808764813</v>
          </cell>
          <cell r="V24">
            <v>19274.246125682264</v>
          </cell>
          <cell r="W24">
            <v>7871.5060177420546</v>
          </cell>
          <cell r="Z24">
            <v>403802.38299999986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403802.38299999986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1101585.0079999999</v>
          </cell>
          <cell r="G25">
            <v>163817.65864226484</v>
          </cell>
          <cell r="H25">
            <v>141204.85538001414</v>
          </cell>
          <cell r="I25">
            <v>78255.607809495923</v>
          </cell>
          <cell r="J25">
            <v>69746.842806716828</v>
          </cell>
          <cell r="K25">
            <v>95847.588872242253</v>
          </cell>
          <cell r="L25">
            <v>89275.666623022829</v>
          </cell>
          <cell r="M25">
            <v>25016.863737047079</v>
          </cell>
          <cell r="N25">
            <v>75207.633238097143</v>
          </cell>
          <cell r="O25">
            <v>28411.290566863529</v>
          </cell>
          <cell r="P25">
            <v>43375.019052214826</v>
          </cell>
          <cell r="Q25">
            <v>17743.605588052076</v>
          </cell>
          <cell r="R25">
            <v>58768.103545202292</v>
          </cell>
          <cell r="S25">
            <v>97004.431062881034</v>
          </cell>
          <cell r="T25">
            <v>21124.168283759242</v>
          </cell>
          <cell r="U25">
            <v>22731.247035851778</v>
          </cell>
          <cell r="V25">
            <v>52580.721329110303</v>
          </cell>
          <cell r="W25">
            <v>21473.704427163892</v>
          </cell>
          <cell r="Z25">
            <v>1101585.0079999999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1101585.0079999999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J25">
            <v>0</v>
          </cell>
        </row>
        <row r="26">
          <cell r="F26">
            <v>-62704.106004226254</v>
          </cell>
          <cell r="G26">
            <v>119451.06973283735</v>
          </cell>
          <cell r="H26">
            <v>-84650.800745943328</v>
          </cell>
          <cell r="I26">
            <v>14777.371925597239</v>
          </cell>
          <cell r="J26">
            <v>8306.4531058093417</v>
          </cell>
          <cell r="K26">
            <v>52004.169712788833</v>
          </cell>
          <cell r="L26">
            <v>27845.856491376268</v>
          </cell>
          <cell r="M26">
            <v>-46057.923436057121</v>
          </cell>
          <cell r="N26">
            <v>43877.796616739302</v>
          </cell>
          <cell r="O26">
            <v>-24986.756587314212</v>
          </cell>
          <cell r="P26">
            <v>6931.8965435204154</v>
          </cell>
          <cell r="Q26">
            <v>-107280.705472085</v>
          </cell>
          <cell r="R26">
            <v>23572.614431847818</v>
          </cell>
          <cell r="S26">
            <v>-7851.164306876628</v>
          </cell>
          <cell r="T26">
            <v>72597.246015132478</v>
          </cell>
          <cell r="U26">
            <v>63160.553105898405</v>
          </cell>
          <cell r="V26">
            <v>-15366.353095038387</v>
          </cell>
          <cell r="W26">
            <v>-2034.2867947552804</v>
          </cell>
          <cell r="Z26">
            <v>144297.03724347753</v>
          </cell>
          <cell r="AA26">
            <v>-8795.8909999999996</v>
          </cell>
          <cell r="AB26">
            <v>-178</v>
          </cell>
          <cell r="AC26">
            <v>9165.5109999999986</v>
          </cell>
          <cell r="AD26">
            <v>22078.701999999997</v>
          </cell>
          <cell r="AH26">
            <v>22270.322</v>
          </cell>
          <cell r="AI26">
            <v>166567.35924346931</v>
          </cell>
          <cell r="AJ26">
            <v>-7498.4396237716355</v>
          </cell>
          <cell r="AK26">
            <v>21793.81658607602</v>
          </cell>
          <cell r="AL26">
            <v>-124424.35721000006</v>
          </cell>
          <cell r="AN26">
            <v>-110128.98024769561</v>
          </cell>
          <cell r="AO26">
            <v>-75818.011000000144</v>
          </cell>
          <cell r="AP26">
            <v>0</v>
          </cell>
          <cell r="AS26">
            <v>-75818.011000000144</v>
          </cell>
          <cell r="AT26">
            <v>3219.4340000000002</v>
          </cell>
          <cell r="AU26">
            <v>203.40199999999913</v>
          </cell>
          <cell r="AV26">
            <v>911.27800000000002</v>
          </cell>
          <cell r="BA26">
            <v>4334.1139999999996</v>
          </cell>
          <cell r="BB26">
            <v>0</v>
          </cell>
          <cell r="BC26">
            <v>-16133.392999999998</v>
          </cell>
          <cell r="BD26">
            <v>0</v>
          </cell>
          <cell r="BE26">
            <v>0</v>
          </cell>
          <cell r="BF26">
            <v>-31525.195</v>
          </cell>
          <cell r="BG26">
            <v>0</v>
          </cell>
          <cell r="BH26">
            <v>0</v>
          </cell>
          <cell r="BJ26">
            <v>-47658.587999999996</v>
          </cell>
        </row>
        <row r="27">
          <cell r="F27">
            <v>-62704.106004218265</v>
          </cell>
          <cell r="G27">
            <v>119451.06973283741</v>
          </cell>
          <cell r="H27">
            <v>-84650.800745943299</v>
          </cell>
          <cell r="I27">
            <v>14777.371925597246</v>
          </cell>
          <cell r="J27">
            <v>8306.4531058093235</v>
          </cell>
          <cell r="K27">
            <v>52004.169712788855</v>
          </cell>
          <cell r="L27">
            <v>27845.856491376242</v>
          </cell>
          <cell r="M27">
            <v>-46057.923436057128</v>
          </cell>
          <cell r="N27">
            <v>43877.796616739302</v>
          </cell>
          <cell r="O27">
            <v>-24986.756587314212</v>
          </cell>
          <cell r="P27">
            <v>6931.8965435204373</v>
          </cell>
          <cell r="Q27">
            <v>-107280.705472085</v>
          </cell>
          <cell r="R27">
            <v>23572.614431847782</v>
          </cell>
          <cell r="S27">
            <v>-7851.1643068766034</v>
          </cell>
          <cell r="T27">
            <v>72597.246015132478</v>
          </cell>
          <cell r="U27">
            <v>63160.553105898405</v>
          </cell>
          <cell r="V27">
            <v>-15366.353095038383</v>
          </cell>
          <cell r="W27">
            <v>-2034.2867947552825</v>
          </cell>
          <cell r="Z27">
            <v>144297.03724347756</v>
          </cell>
          <cell r="AA27">
            <v>-8795.8909999999996</v>
          </cell>
          <cell r="AB27">
            <v>-178</v>
          </cell>
          <cell r="AC27">
            <v>9165.5109999999986</v>
          </cell>
          <cell r="AD27">
            <v>22078.701999999997</v>
          </cell>
          <cell r="AH27">
            <v>22270.321999999996</v>
          </cell>
          <cell r="AI27">
            <v>166567.35924347755</v>
          </cell>
          <cell r="AJ27">
            <v>-7498.4396237716355</v>
          </cell>
          <cell r="AK27">
            <v>21793.81658607602</v>
          </cell>
          <cell r="AL27">
            <v>-124424.35721000005</v>
          </cell>
          <cell r="AN27">
            <v>-110128.98024769567</v>
          </cell>
          <cell r="AO27">
            <v>-75818.011000000144</v>
          </cell>
          <cell r="AP27">
            <v>0</v>
          </cell>
          <cell r="AS27">
            <v>-75818.011000000144</v>
          </cell>
          <cell r="AT27">
            <v>3219.4340000000002</v>
          </cell>
          <cell r="AU27">
            <v>203.40199999999913</v>
          </cell>
          <cell r="AV27">
            <v>911.27800000000002</v>
          </cell>
          <cell r="BA27">
            <v>4334.1139999999996</v>
          </cell>
          <cell r="BB27">
            <v>0</v>
          </cell>
          <cell r="BC27">
            <v>-16133.392999999998</v>
          </cell>
          <cell r="BD27">
            <v>0</v>
          </cell>
          <cell r="BE27">
            <v>0</v>
          </cell>
          <cell r="BF27">
            <v>-31525.195</v>
          </cell>
          <cell r="BG27">
            <v>0</v>
          </cell>
          <cell r="BH27">
            <v>0</v>
          </cell>
          <cell r="BJ27">
            <v>-47658.587999999996</v>
          </cell>
        </row>
        <row r="28">
          <cell r="F28">
            <v>-7.9890014603734016E-9</v>
          </cell>
          <cell r="G28">
            <v>0</v>
          </cell>
          <cell r="H28">
            <v>0</v>
          </cell>
          <cell r="I28">
            <v>0</v>
          </cell>
          <cell r="J28">
            <v>1.8189894035458565E-11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-2.1827872842550278E-11</v>
          </cell>
          <cell r="Q28">
            <v>0</v>
          </cell>
          <cell r="R28">
            <v>3.637978807091713E-11</v>
          </cell>
          <cell r="S28">
            <v>-2.4556356947869062E-11</v>
          </cell>
          <cell r="T28">
            <v>0</v>
          </cell>
          <cell r="U28">
            <v>0</v>
          </cell>
          <cell r="V28">
            <v>0</v>
          </cell>
          <cell r="W28">
            <v>2.0463630789890885E-12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-8.2363840192556381E-9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29">
          <cell r="F29">
            <v>13113.90499577389</v>
          </cell>
        </row>
        <row r="31">
          <cell r="G31">
            <v>42104</v>
          </cell>
          <cell r="H31">
            <v>35418.5</v>
          </cell>
          <cell r="I31">
            <v>19506</v>
          </cell>
          <cell r="J31">
            <v>17667</v>
          </cell>
          <cell r="K31">
            <v>20768</v>
          </cell>
          <cell r="L31">
            <v>22096</v>
          </cell>
          <cell r="M31">
            <v>6351</v>
          </cell>
          <cell r="N31">
            <v>18285</v>
          </cell>
          <cell r="O31">
            <v>7209</v>
          </cell>
          <cell r="P31">
            <v>11571</v>
          </cell>
          <cell r="Q31">
            <v>5713.5</v>
          </cell>
          <cell r="R31">
            <v>14457</v>
          </cell>
          <cell r="S31">
            <v>24258</v>
          </cell>
          <cell r="T31">
            <v>4844</v>
          </cell>
          <cell r="U31">
            <v>5101</v>
          </cell>
          <cell r="V31">
            <v>13510</v>
          </cell>
          <cell r="W31">
            <v>4089</v>
          </cell>
          <cell r="X31">
            <v>0</v>
          </cell>
          <cell r="Y31">
            <v>0</v>
          </cell>
          <cell r="Z31">
            <v>272948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272948</v>
          </cell>
          <cell r="AJ31">
            <v>23612</v>
          </cell>
          <cell r="AK31">
            <v>33184</v>
          </cell>
          <cell r="AL31">
            <v>14697</v>
          </cell>
          <cell r="AN31">
            <v>71493</v>
          </cell>
          <cell r="AO31">
            <v>3426.7159999999999</v>
          </cell>
          <cell r="AP31">
            <v>0</v>
          </cell>
          <cell r="AS31">
            <v>3426.7159999999999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32992818.354000002</v>
          </cell>
          <cell r="G32">
            <v>4092885.057</v>
          </cell>
          <cell r="H32">
            <v>3527917.8529999997</v>
          </cell>
          <cell r="I32">
            <v>1955169</v>
          </cell>
          <cell r="J32">
            <v>1742582.6560000002</v>
          </cell>
          <cell r="K32">
            <v>2394694</v>
          </cell>
          <cell r="L32">
            <v>2230498.5</v>
          </cell>
          <cell r="M32">
            <v>625031.19999999995</v>
          </cell>
          <cell r="N32">
            <v>1879017.2</v>
          </cell>
          <cell r="O32">
            <v>709838.9</v>
          </cell>
          <cell r="P32">
            <v>1083698.6000000001</v>
          </cell>
          <cell r="Q32">
            <v>443313.24699999997</v>
          </cell>
          <cell r="R32">
            <v>1468285.5</v>
          </cell>
          <cell r="S32">
            <v>2423597.0019999999</v>
          </cell>
          <cell r="T32">
            <v>527774.56000000006</v>
          </cell>
          <cell r="U32">
            <v>567926.44999999995</v>
          </cell>
          <cell r="V32">
            <v>1313697.5</v>
          </cell>
          <cell r="W32">
            <v>536507.50899999996</v>
          </cell>
          <cell r="X32">
            <v>0</v>
          </cell>
          <cell r="Y32">
            <v>0</v>
          </cell>
          <cell r="Z32">
            <v>27522434.733999997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27565774.733999997</v>
          </cell>
          <cell r="AJ32">
            <v>657786</v>
          </cell>
          <cell r="AK32">
            <v>450680</v>
          </cell>
          <cell r="AL32">
            <v>292709.09999999998</v>
          </cell>
          <cell r="AN32">
            <v>1401175.1</v>
          </cell>
          <cell r="AO32">
            <v>4012700.142</v>
          </cell>
          <cell r="AP32">
            <v>0</v>
          </cell>
          <cell r="AS32">
            <v>4012700.142</v>
          </cell>
          <cell r="AT32">
            <v>4700</v>
          </cell>
          <cell r="AU32">
            <v>5959</v>
          </cell>
          <cell r="AV32">
            <v>911.27800000000002</v>
          </cell>
          <cell r="BA32">
            <v>11570.278</v>
          </cell>
          <cell r="BB32">
            <v>0</v>
          </cell>
          <cell r="BC32">
            <v>1598.1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1598.1</v>
          </cell>
        </row>
        <row r="33">
          <cell r="F33">
            <v>30419366.991000008</v>
          </cell>
          <cell r="G33">
            <v>3658624.8190000001</v>
          </cell>
          <cell r="H33">
            <v>3336986.781</v>
          </cell>
          <cell r="I33">
            <v>1778958.9440000001</v>
          </cell>
          <cell r="J33">
            <v>1591088.5050000001</v>
          </cell>
          <cell r="K33">
            <v>2140626.0839999998</v>
          </cell>
          <cell r="L33">
            <v>2008901.5030000003</v>
          </cell>
          <cell r="M33">
            <v>598196.06400000001</v>
          </cell>
          <cell r="N33">
            <v>1660979.6139999998</v>
          </cell>
          <cell r="O33">
            <v>659684.43000000005</v>
          </cell>
          <cell r="P33">
            <v>971132.20499999996</v>
          </cell>
          <cell r="Q33">
            <v>494309.67800000001</v>
          </cell>
          <cell r="R33">
            <v>1321917.1129999999</v>
          </cell>
          <cell r="S33">
            <v>2236537.4619999998</v>
          </cell>
          <cell r="T33">
            <v>412170.462</v>
          </cell>
          <cell r="U33">
            <v>457507.20399999997</v>
          </cell>
          <cell r="V33">
            <v>1222039.6980000001</v>
          </cell>
          <cell r="W33">
            <v>488874.77799999999</v>
          </cell>
          <cell r="X33">
            <v>0</v>
          </cell>
          <cell r="Y33">
            <v>0</v>
          </cell>
          <cell r="Z33">
            <v>25038535.344000004</v>
          </cell>
          <cell r="AA33">
            <v>0</v>
          </cell>
          <cell r="AB33">
            <v>0</v>
          </cell>
          <cell r="AC33">
            <v>3272.69</v>
          </cell>
          <cell r="AD33">
            <v>8761.2979999999989</v>
          </cell>
          <cell r="AH33">
            <v>12033.987999999999</v>
          </cell>
          <cell r="AI33">
            <v>25050569.332000006</v>
          </cell>
          <cell r="AJ33">
            <v>642208.93599999999</v>
          </cell>
          <cell r="AK33">
            <v>413076.07500000001</v>
          </cell>
          <cell r="AL33">
            <v>406865.05700000003</v>
          </cell>
          <cell r="AN33">
            <v>1462150.068</v>
          </cell>
          <cell r="AO33">
            <v>3899411.4270000001</v>
          </cell>
          <cell r="AP33">
            <v>0</v>
          </cell>
          <cell r="AS33">
            <v>3899411.4270000001</v>
          </cell>
          <cell r="AT33">
            <v>1480.566</v>
          </cell>
          <cell r="AU33">
            <v>5755.5980000000009</v>
          </cell>
          <cell r="AV33">
            <v>0</v>
          </cell>
          <cell r="BA33">
            <v>7236.1640000000007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J33">
            <v>0</v>
          </cell>
        </row>
        <row r="34">
          <cell r="F34">
            <v>2573451.3629999943</v>
          </cell>
          <cell r="G34">
            <v>434260.2379999999</v>
          </cell>
          <cell r="H34">
            <v>190931.07199999969</v>
          </cell>
          <cell r="I34">
            <v>176210.05599999987</v>
          </cell>
          <cell r="J34">
            <v>151494.15100000007</v>
          </cell>
          <cell r="K34">
            <v>254067.9160000002</v>
          </cell>
          <cell r="L34">
            <v>221596.99699999974</v>
          </cell>
          <cell r="M34">
            <v>26835.13599999994</v>
          </cell>
          <cell r="N34">
            <v>218037.58600000013</v>
          </cell>
          <cell r="O34">
            <v>50154.469999999972</v>
          </cell>
          <cell r="P34">
            <v>112566.39500000014</v>
          </cell>
          <cell r="Q34">
            <v>-50996.431000000041</v>
          </cell>
          <cell r="R34">
            <v>146368.3870000001</v>
          </cell>
          <cell r="S34">
            <v>187059.54000000004</v>
          </cell>
          <cell r="T34">
            <v>115604.09800000006</v>
          </cell>
          <cell r="U34">
            <v>110419.24599999998</v>
          </cell>
          <cell r="V34">
            <v>91657.801999999909</v>
          </cell>
          <cell r="W34">
            <v>47632.730999999971</v>
          </cell>
          <cell r="X34">
            <v>0</v>
          </cell>
          <cell r="Y34">
            <v>0</v>
          </cell>
          <cell r="Z34">
            <v>2483899.3899999931</v>
          </cell>
          <cell r="AA34">
            <v>0</v>
          </cell>
          <cell r="AB34">
            <v>0</v>
          </cell>
          <cell r="AC34">
            <v>9227.31</v>
          </cell>
          <cell r="AD34">
            <v>22078.702000000001</v>
          </cell>
          <cell r="AH34">
            <v>31306.012000000002</v>
          </cell>
          <cell r="AI34">
            <v>2515205.4019999914</v>
          </cell>
          <cell r="AJ34">
            <v>15577.064000000013</v>
          </cell>
          <cell r="AK34">
            <v>37603.924999999988</v>
          </cell>
          <cell r="AL34">
            <v>-114155.95700000005</v>
          </cell>
          <cell r="AN34">
            <v>-60974.967999999877</v>
          </cell>
          <cell r="AO34">
            <v>113288.71499999985</v>
          </cell>
          <cell r="AP34">
            <v>0</v>
          </cell>
          <cell r="AS34">
            <v>113288.71499999985</v>
          </cell>
          <cell r="AT34">
            <v>3219.4340000000002</v>
          </cell>
          <cell r="AU34">
            <v>203.40199999999913</v>
          </cell>
          <cell r="AV34">
            <v>911.27800000000002</v>
          </cell>
          <cell r="BA34">
            <v>4334.1139999999996</v>
          </cell>
          <cell r="BB34">
            <v>0</v>
          </cell>
          <cell r="BC34">
            <v>1598.1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J34">
            <v>1598.1</v>
          </cell>
        </row>
        <row r="35">
          <cell r="F35">
            <v>2636155.4690042171</v>
          </cell>
          <cell r="G35">
            <v>314809.16826716263</v>
          </cell>
          <cell r="H35">
            <v>275581.87274594279</v>
          </cell>
          <cell r="I35">
            <v>161432.68407440258</v>
          </cell>
          <cell r="J35">
            <v>143187.69789419061</v>
          </cell>
          <cell r="K35">
            <v>202063.74628721131</v>
          </cell>
          <cell r="L35">
            <v>193751.14050862362</v>
          </cell>
          <cell r="M35">
            <v>72893.059436057054</v>
          </cell>
          <cell r="N35">
            <v>174159.78938326074</v>
          </cell>
          <cell r="O35">
            <v>75141.226587314159</v>
          </cell>
          <cell r="P35">
            <v>105634.49845647966</v>
          </cell>
          <cell r="Q35">
            <v>56284.274472084973</v>
          </cell>
          <cell r="R35">
            <v>122795.7725681522</v>
          </cell>
          <cell r="S35">
            <v>194910.70430687661</v>
          </cell>
          <cell r="T35">
            <v>43006.851984867571</v>
          </cell>
          <cell r="U35">
            <v>47258.69289410155</v>
          </cell>
          <cell r="V35">
            <v>107024.15509503832</v>
          </cell>
          <cell r="W35">
            <v>49667.017794755251</v>
          </cell>
          <cell r="X35">
            <v>0</v>
          </cell>
          <cell r="Y35">
            <v>0</v>
          </cell>
          <cell r="Z35">
            <v>2339602.3527565217</v>
          </cell>
          <cell r="AA35">
            <v>8795.8909999999996</v>
          </cell>
          <cell r="AB35">
            <v>178</v>
          </cell>
          <cell r="AC35">
            <v>61.798999999999999</v>
          </cell>
          <cell r="AD35">
            <v>0</v>
          </cell>
          <cell r="AH35">
            <v>9035.69</v>
          </cell>
          <cell r="AI35">
            <v>2348638.0427565216</v>
          </cell>
          <cell r="AJ35">
            <v>23075.503623771634</v>
          </cell>
          <cell r="AK35">
            <v>15810.108413923983</v>
          </cell>
          <cell r="AL35">
            <v>10268.400210000002</v>
          </cell>
          <cell r="AN35">
            <v>49154.012247695617</v>
          </cell>
          <cell r="AO35">
            <v>189106.726</v>
          </cell>
          <cell r="AP35">
            <v>0</v>
          </cell>
          <cell r="AS35">
            <v>189106.726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17731.492999999999</v>
          </cell>
          <cell r="BD35">
            <v>0</v>
          </cell>
          <cell r="BE35">
            <v>0</v>
          </cell>
          <cell r="BF35">
            <v>31525.195</v>
          </cell>
          <cell r="BG35">
            <v>0</v>
          </cell>
          <cell r="BH35">
            <v>0</v>
          </cell>
          <cell r="BJ35">
            <v>49256.687999999995</v>
          </cell>
        </row>
        <row r="36">
          <cell r="F36">
            <v>-62704.106004222762</v>
          </cell>
          <cell r="G36">
            <v>119451.06973283726</v>
          </cell>
          <cell r="H36">
            <v>-84650.800745943096</v>
          </cell>
          <cell r="I36">
            <v>14777.371925597283</v>
          </cell>
          <cell r="J36">
            <v>8306.4531058094581</v>
          </cell>
          <cell r="K36">
            <v>52004.169712788891</v>
          </cell>
          <cell r="L36">
            <v>27845.856491376122</v>
          </cell>
          <cell r="M36">
            <v>-46057.923436057114</v>
          </cell>
          <cell r="N36">
            <v>43877.79661673939</v>
          </cell>
          <cell r="O36">
            <v>-24986.756587314187</v>
          </cell>
          <cell r="P36">
            <v>6931.8965435204736</v>
          </cell>
          <cell r="Q36">
            <v>-107280.70547208501</v>
          </cell>
          <cell r="R36">
            <v>23572.614431847906</v>
          </cell>
          <cell r="S36">
            <v>-7851.1643068765698</v>
          </cell>
          <cell r="T36">
            <v>72597.246015132492</v>
          </cell>
          <cell r="U36">
            <v>63160.553105898434</v>
          </cell>
          <cell r="V36">
            <v>-15366.353095038416</v>
          </cell>
          <cell r="W36">
            <v>-2034.2867947552804</v>
          </cell>
          <cell r="X36">
            <v>0</v>
          </cell>
          <cell r="Y36">
            <v>0</v>
          </cell>
          <cell r="Z36">
            <v>144297.03724347148</v>
          </cell>
          <cell r="AA36">
            <v>-8795.8909999999996</v>
          </cell>
          <cell r="AB36">
            <v>-178</v>
          </cell>
          <cell r="AC36">
            <v>9165.5109999999986</v>
          </cell>
          <cell r="AD36">
            <v>22078.702000000001</v>
          </cell>
          <cell r="AH36">
            <v>22270.322</v>
          </cell>
          <cell r="AI36">
            <v>166567.35924346978</v>
          </cell>
          <cell r="AJ36">
            <v>-7498.439623771621</v>
          </cell>
          <cell r="AK36">
            <v>21793.816586076005</v>
          </cell>
          <cell r="AL36">
            <v>-124424.35721000006</v>
          </cell>
          <cell r="AN36">
            <v>-110128.98024769549</v>
          </cell>
          <cell r="AO36">
            <v>-75818.011000000144</v>
          </cell>
          <cell r="AP36">
            <v>0</v>
          </cell>
          <cell r="AS36">
            <v>-75818.011000000144</v>
          </cell>
          <cell r="AT36">
            <v>3219.4340000000002</v>
          </cell>
          <cell r="AU36">
            <v>203.40199999999913</v>
          </cell>
          <cell r="AV36">
            <v>911.27800000000002</v>
          </cell>
          <cell r="BA36">
            <v>4334.1139999999996</v>
          </cell>
          <cell r="BB36">
            <v>0</v>
          </cell>
          <cell r="BC36">
            <v>-16133.392999999998</v>
          </cell>
          <cell r="BD36">
            <v>0</v>
          </cell>
          <cell r="BE36">
            <v>0</v>
          </cell>
          <cell r="BF36">
            <v>-31525.195</v>
          </cell>
          <cell r="BG36">
            <v>0</v>
          </cell>
          <cell r="BH36">
            <v>0</v>
          </cell>
          <cell r="BJ36">
            <v>-47658.587999999996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-16302</v>
          </cell>
          <cell r="AK38">
            <v>-21888</v>
          </cell>
          <cell r="AL38">
            <v>-12585</v>
          </cell>
          <cell r="AN38">
            <v>-50775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-1064787.5</v>
          </cell>
          <cell r="Z39">
            <v>0</v>
          </cell>
          <cell r="AH39">
            <v>0</v>
          </cell>
          <cell r="AI39">
            <v>0</v>
          </cell>
          <cell r="AJ39">
            <v>-461776</v>
          </cell>
          <cell r="AK39">
            <v>-339544</v>
          </cell>
          <cell r="AL39">
            <v>-263467.5</v>
          </cell>
          <cell r="AN39">
            <v>-1064787.5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-1064787.5</v>
          </cell>
          <cell r="K40">
            <v>64139.644</v>
          </cell>
          <cell r="L40">
            <v>-46704.745000000003</v>
          </cell>
          <cell r="M40">
            <v>2236.8510000000001</v>
          </cell>
          <cell r="N40">
            <v>5494.4009999999998</v>
          </cell>
          <cell r="O40">
            <v>414.887</v>
          </cell>
          <cell r="P40">
            <v>2387.5720000000001</v>
          </cell>
          <cell r="Q40">
            <v>0</v>
          </cell>
          <cell r="R40">
            <v>1621.8309999999999</v>
          </cell>
          <cell r="Z40">
            <v>29590.440999999995</v>
          </cell>
          <cell r="AH40">
            <v>0</v>
          </cell>
          <cell r="AI40">
            <v>29590.440999999995</v>
          </cell>
          <cell r="AJ40">
            <v>-454915.848</v>
          </cell>
          <cell r="AK40">
            <v>-291197.15000000002</v>
          </cell>
          <cell r="AL40">
            <v>-348264.94300000003</v>
          </cell>
          <cell r="AN40">
            <v>-1094377.9410000001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-64139.644</v>
          </cell>
          <cell r="L41">
            <v>46704.745000000003</v>
          </cell>
          <cell r="M41">
            <v>-2236.8510000000001</v>
          </cell>
          <cell r="N41">
            <v>-5494.4009999999998</v>
          </cell>
          <cell r="O41">
            <v>-414.887</v>
          </cell>
          <cell r="P41">
            <v>-2387.5720000000001</v>
          </cell>
          <cell r="Q41">
            <v>0</v>
          </cell>
          <cell r="R41">
            <v>-1621.8309999999999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-29590.440999999995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-29590.440999999995</v>
          </cell>
          <cell r="AJ41">
            <v>-6860.1520000000019</v>
          </cell>
          <cell r="AK41">
            <v>-48346.849999999977</v>
          </cell>
          <cell r="AL41">
            <v>84797.443000000028</v>
          </cell>
          <cell r="AN41">
            <v>29590.441000000108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-64139.644</v>
          </cell>
          <cell r="L43">
            <v>46704.745000000003</v>
          </cell>
          <cell r="M43">
            <v>-2236.8510000000001</v>
          </cell>
          <cell r="N43">
            <v>-5494.4009999999998</v>
          </cell>
          <cell r="O43">
            <v>-414.887</v>
          </cell>
          <cell r="P43">
            <v>-2387.5720000000001</v>
          </cell>
          <cell r="Q43">
            <v>0</v>
          </cell>
          <cell r="R43">
            <v>-1621.8309999999999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-29590.440999999995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-29590.440999999995</v>
          </cell>
          <cell r="AJ43">
            <v>-6860.1520000000019</v>
          </cell>
          <cell r="AK43">
            <v>-48346.849999999977</v>
          </cell>
          <cell r="AL43">
            <v>84797.443000000028</v>
          </cell>
          <cell r="AN43">
            <v>29590.441000000108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42104</v>
          </cell>
          <cell r="H45">
            <v>35418.5</v>
          </cell>
          <cell r="I45">
            <v>19506</v>
          </cell>
          <cell r="J45">
            <v>17667</v>
          </cell>
          <cell r="K45">
            <v>20768</v>
          </cell>
          <cell r="L45">
            <v>22096</v>
          </cell>
          <cell r="M45">
            <v>6351</v>
          </cell>
          <cell r="N45">
            <v>18285</v>
          </cell>
          <cell r="O45">
            <v>7209</v>
          </cell>
          <cell r="P45">
            <v>11571</v>
          </cell>
          <cell r="Q45">
            <v>5713.5</v>
          </cell>
          <cell r="R45">
            <v>14457</v>
          </cell>
          <cell r="S45">
            <v>24258</v>
          </cell>
          <cell r="T45">
            <v>4844</v>
          </cell>
          <cell r="U45">
            <v>5101</v>
          </cell>
          <cell r="V45">
            <v>13510</v>
          </cell>
          <cell r="W45">
            <v>4089</v>
          </cell>
          <cell r="X45">
            <v>0</v>
          </cell>
          <cell r="Y45">
            <v>0</v>
          </cell>
          <cell r="Z45">
            <v>272948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272948</v>
          </cell>
          <cell r="AJ45">
            <v>7310</v>
          </cell>
          <cell r="AK45">
            <v>11296</v>
          </cell>
          <cell r="AL45">
            <v>2112</v>
          </cell>
          <cell r="AN45">
            <v>20718</v>
          </cell>
          <cell r="AO45">
            <v>3426.7159999999999</v>
          </cell>
          <cell r="AP45">
            <v>0</v>
          </cell>
          <cell r="AS45">
            <v>3426.7159999999999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31928030.854000002</v>
          </cell>
          <cell r="G46">
            <v>4092885.057</v>
          </cell>
          <cell r="H46">
            <v>3527917.8529999997</v>
          </cell>
          <cell r="I46">
            <v>1955169</v>
          </cell>
          <cell r="J46">
            <v>1742582.6560000002</v>
          </cell>
          <cell r="K46">
            <v>2394694</v>
          </cell>
          <cell r="L46">
            <v>2230498.5</v>
          </cell>
          <cell r="M46">
            <v>625031.19999999995</v>
          </cell>
          <cell r="N46">
            <v>1879017.2</v>
          </cell>
          <cell r="O46">
            <v>709838.9</v>
          </cell>
          <cell r="P46">
            <v>1083698.6000000001</v>
          </cell>
          <cell r="Q46">
            <v>443313.24699999997</v>
          </cell>
          <cell r="R46">
            <v>1468285.5</v>
          </cell>
          <cell r="S46">
            <v>2423597.0019999999</v>
          </cell>
          <cell r="T46">
            <v>527774.56000000006</v>
          </cell>
          <cell r="U46">
            <v>567926.44999999995</v>
          </cell>
          <cell r="V46">
            <v>1313697.5</v>
          </cell>
          <cell r="W46">
            <v>536507.50899999996</v>
          </cell>
          <cell r="X46">
            <v>0</v>
          </cell>
          <cell r="Y46">
            <v>0</v>
          </cell>
          <cell r="Z46">
            <v>27522434.733999997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27565774.733999997</v>
          </cell>
          <cell r="AJ46">
            <v>196010</v>
          </cell>
          <cell r="AK46">
            <v>111136</v>
          </cell>
          <cell r="AL46">
            <v>29241.599999999977</v>
          </cell>
          <cell r="AN46">
            <v>336387.6</v>
          </cell>
          <cell r="AO46">
            <v>4012700.142</v>
          </cell>
          <cell r="AP46">
            <v>0</v>
          </cell>
          <cell r="AS46">
            <v>4012700.142</v>
          </cell>
          <cell r="AT46">
            <v>4700</v>
          </cell>
          <cell r="AU46">
            <v>5959</v>
          </cell>
          <cell r="AV46">
            <v>911.27800000000002</v>
          </cell>
          <cell r="BA46">
            <v>11570.278</v>
          </cell>
          <cell r="BB46">
            <v>0</v>
          </cell>
          <cell r="BC46">
            <v>1598.1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1598.1</v>
          </cell>
        </row>
        <row r="47">
          <cell r="F47">
            <v>29354579.491000004</v>
          </cell>
          <cell r="G47">
            <v>3658624.8190000001</v>
          </cell>
          <cell r="H47">
            <v>3336986.781</v>
          </cell>
          <cell r="I47">
            <v>1778958.9440000001</v>
          </cell>
          <cell r="J47">
            <v>1591088.5050000001</v>
          </cell>
          <cell r="K47">
            <v>2204765.7279999997</v>
          </cell>
          <cell r="L47">
            <v>1962196.7580000001</v>
          </cell>
          <cell r="M47">
            <v>600432.91500000004</v>
          </cell>
          <cell r="N47">
            <v>1666474.0149999999</v>
          </cell>
          <cell r="O47">
            <v>660099.31700000004</v>
          </cell>
          <cell r="P47">
            <v>973519.777</v>
          </cell>
          <cell r="Q47">
            <v>494309.67800000001</v>
          </cell>
          <cell r="R47">
            <v>1323538.9439999999</v>
          </cell>
          <cell r="S47">
            <v>2236537.4619999998</v>
          </cell>
          <cell r="T47">
            <v>412170.462</v>
          </cell>
          <cell r="U47">
            <v>457507.20399999997</v>
          </cell>
          <cell r="V47">
            <v>1222039.6980000001</v>
          </cell>
          <cell r="W47">
            <v>488874.77799999999</v>
          </cell>
          <cell r="X47">
            <v>0</v>
          </cell>
          <cell r="Y47">
            <v>0</v>
          </cell>
          <cell r="Z47">
            <v>25068125.785</v>
          </cell>
          <cell r="AA47">
            <v>0</v>
          </cell>
          <cell r="AB47">
            <v>0</v>
          </cell>
          <cell r="AC47">
            <v>3272.69</v>
          </cell>
          <cell r="AD47">
            <v>8761.2979999999989</v>
          </cell>
          <cell r="AH47">
            <v>12033.987999999999</v>
          </cell>
          <cell r="AI47">
            <v>25080159.773000002</v>
          </cell>
          <cell r="AJ47">
            <v>187293.08799999999</v>
          </cell>
          <cell r="AK47">
            <v>121878.92499999999</v>
          </cell>
          <cell r="AL47">
            <v>58600.114000000001</v>
          </cell>
          <cell r="AN47">
            <v>367772.12699999998</v>
          </cell>
          <cell r="AO47">
            <v>3899411.4270000001</v>
          </cell>
          <cell r="AP47">
            <v>0</v>
          </cell>
          <cell r="AS47">
            <v>3899411.4270000001</v>
          </cell>
          <cell r="AT47">
            <v>1480.566</v>
          </cell>
          <cell r="AU47">
            <v>5755.5980000000009</v>
          </cell>
          <cell r="AV47">
            <v>0</v>
          </cell>
          <cell r="BA47">
            <v>7236.1640000000007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J47">
            <v>0</v>
          </cell>
        </row>
        <row r="48">
          <cell r="F48">
            <v>2573451.362999998</v>
          </cell>
          <cell r="G48">
            <v>434260.2379999999</v>
          </cell>
          <cell r="H48">
            <v>190931.07199999969</v>
          </cell>
          <cell r="I48">
            <v>176210.05599999987</v>
          </cell>
          <cell r="J48">
            <v>151494.15100000007</v>
          </cell>
          <cell r="K48">
            <v>189928.27200000035</v>
          </cell>
          <cell r="L48">
            <v>268301.74199999985</v>
          </cell>
          <cell r="M48">
            <v>24598.284999999916</v>
          </cell>
          <cell r="N48">
            <v>212543.18500000006</v>
          </cell>
          <cell r="O48">
            <v>49739.582999999984</v>
          </cell>
          <cell r="P48">
            <v>110178.82300000009</v>
          </cell>
          <cell r="Q48">
            <v>-50996.431000000041</v>
          </cell>
          <cell r="R48">
            <v>144746.5560000001</v>
          </cell>
          <cell r="S48">
            <v>187059.54000000004</v>
          </cell>
          <cell r="T48">
            <v>115604.09800000006</v>
          </cell>
          <cell r="U48">
            <v>110419.24599999998</v>
          </cell>
          <cell r="V48">
            <v>91657.801999999909</v>
          </cell>
          <cell r="W48">
            <v>47632.730999999971</v>
          </cell>
          <cell r="X48">
            <v>0</v>
          </cell>
          <cell r="Y48">
            <v>0</v>
          </cell>
          <cell r="Z48">
            <v>2454308.9489999972</v>
          </cell>
          <cell r="AA48">
            <v>0</v>
          </cell>
          <cell r="AB48">
            <v>0</v>
          </cell>
          <cell r="AC48">
            <v>9227.31</v>
          </cell>
          <cell r="AD48">
            <v>22078.702000000001</v>
          </cell>
          <cell r="AH48">
            <v>31306.012000000002</v>
          </cell>
          <cell r="AI48">
            <v>2485614.9609999955</v>
          </cell>
          <cell r="AJ48">
            <v>8716.9120000000112</v>
          </cell>
          <cell r="AK48">
            <v>-10742.924999999988</v>
          </cell>
          <cell r="AL48">
            <v>-29358.514000000025</v>
          </cell>
          <cell r="AN48">
            <v>-31384.527000000002</v>
          </cell>
          <cell r="AO48">
            <v>113288.71499999985</v>
          </cell>
          <cell r="AP48">
            <v>0</v>
          </cell>
          <cell r="AS48">
            <v>113288.71499999985</v>
          </cell>
          <cell r="AT48">
            <v>3219.4340000000002</v>
          </cell>
          <cell r="AU48">
            <v>203.40199999999913</v>
          </cell>
          <cell r="AV48">
            <v>911.27800000000002</v>
          </cell>
          <cell r="BA48">
            <v>4334.1139999999996</v>
          </cell>
          <cell r="BB48">
            <v>0</v>
          </cell>
          <cell r="BC48">
            <v>1598.1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J48">
            <v>1598.1</v>
          </cell>
        </row>
        <row r="49">
          <cell r="F49">
            <v>2636155.4690042171</v>
          </cell>
          <cell r="G49">
            <v>314809.16826716263</v>
          </cell>
          <cell r="H49">
            <v>275581.87274594279</v>
          </cell>
          <cell r="I49">
            <v>161432.68407440258</v>
          </cell>
          <cell r="J49">
            <v>143187.69789419061</v>
          </cell>
          <cell r="K49">
            <v>202063.74628721131</v>
          </cell>
          <cell r="L49">
            <v>193751.14050862362</v>
          </cell>
          <cell r="M49">
            <v>72893.059436057054</v>
          </cell>
          <cell r="N49">
            <v>174159.78938326074</v>
          </cell>
          <cell r="O49">
            <v>75141.226587314159</v>
          </cell>
          <cell r="P49">
            <v>105634.49845647966</v>
          </cell>
          <cell r="Q49">
            <v>56284.274472084973</v>
          </cell>
          <cell r="R49">
            <v>122795.7725681522</v>
          </cell>
          <cell r="S49">
            <v>194910.70430687661</v>
          </cell>
          <cell r="T49">
            <v>43006.851984867571</v>
          </cell>
          <cell r="U49">
            <v>47258.69289410155</v>
          </cell>
          <cell r="V49">
            <v>107024.15509503832</v>
          </cell>
          <cell r="W49">
            <v>49667.017794755251</v>
          </cell>
          <cell r="X49">
            <v>0</v>
          </cell>
          <cell r="Y49">
            <v>0</v>
          </cell>
          <cell r="Z49">
            <v>2339602.3527565217</v>
          </cell>
          <cell r="AA49">
            <v>8795.8909999999996</v>
          </cell>
          <cell r="AB49">
            <v>178</v>
          </cell>
          <cell r="AC49">
            <v>61.798999999999999</v>
          </cell>
          <cell r="AD49">
            <v>0</v>
          </cell>
          <cell r="AH49">
            <v>9035.69</v>
          </cell>
          <cell r="AI49">
            <v>2348638.0427565216</v>
          </cell>
          <cell r="AJ49">
            <v>23075.503623771634</v>
          </cell>
          <cell r="AK49">
            <v>15810.108413923983</v>
          </cell>
          <cell r="AL49">
            <v>10268.400210000002</v>
          </cell>
          <cell r="AN49">
            <v>49154.012247695617</v>
          </cell>
          <cell r="AO49">
            <v>189106.726</v>
          </cell>
          <cell r="AP49">
            <v>0</v>
          </cell>
          <cell r="AS49">
            <v>189106.726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17731.492999999999</v>
          </cell>
          <cell r="BD49">
            <v>0</v>
          </cell>
          <cell r="BE49">
            <v>0</v>
          </cell>
          <cell r="BF49">
            <v>31525.195</v>
          </cell>
          <cell r="BG49">
            <v>0</v>
          </cell>
          <cell r="BH49">
            <v>0</v>
          </cell>
          <cell r="BJ49">
            <v>49256.687999999995</v>
          </cell>
        </row>
        <row r="50">
          <cell r="F50">
            <v>-62704.106004219037</v>
          </cell>
          <cell r="G50">
            <v>119451.06973283726</v>
          </cell>
          <cell r="H50">
            <v>-84650.800745943096</v>
          </cell>
          <cell r="I50">
            <v>14777.371925597283</v>
          </cell>
          <cell r="J50">
            <v>8306.4531058094581</v>
          </cell>
          <cell r="K50">
            <v>-12135.474287210964</v>
          </cell>
          <cell r="L50">
            <v>74550.601491376234</v>
          </cell>
          <cell r="M50">
            <v>-48294.774436057138</v>
          </cell>
          <cell r="N50">
            <v>38383.395616739319</v>
          </cell>
          <cell r="O50">
            <v>-25401.643587314175</v>
          </cell>
          <cell r="P50">
            <v>4544.3245435204299</v>
          </cell>
          <cell r="Q50">
            <v>-107280.70547208501</v>
          </cell>
          <cell r="R50">
            <v>21950.7834318479</v>
          </cell>
          <cell r="S50">
            <v>-7851.1643068765698</v>
          </cell>
          <cell r="T50">
            <v>72597.246015132492</v>
          </cell>
          <cell r="U50">
            <v>63160.553105898434</v>
          </cell>
          <cell r="V50">
            <v>-15366.353095038416</v>
          </cell>
          <cell r="W50">
            <v>-2034.2867947552804</v>
          </cell>
          <cell r="X50">
            <v>0</v>
          </cell>
          <cell r="Y50">
            <v>0</v>
          </cell>
          <cell r="Z50">
            <v>114706.59624347556</v>
          </cell>
          <cell r="AA50">
            <v>-8795.8909999999996</v>
          </cell>
          <cell r="AB50">
            <v>-178</v>
          </cell>
          <cell r="AC50">
            <v>9165.5109999999986</v>
          </cell>
          <cell r="AD50">
            <v>22078.702000000001</v>
          </cell>
          <cell r="AH50">
            <v>22270.322</v>
          </cell>
          <cell r="AI50">
            <v>136976.91824347386</v>
          </cell>
          <cell r="AJ50">
            <v>-14358.591623771623</v>
          </cell>
          <cell r="AK50">
            <v>-26553.033413923971</v>
          </cell>
          <cell r="AL50">
            <v>-39626.914210000024</v>
          </cell>
          <cell r="AN50">
            <v>-80538.539247695619</v>
          </cell>
          <cell r="AO50">
            <v>-75818.011000000144</v>
          </cell>
          <cell r="AP50">
            <v>0</v>
          </cell>
          <cell r="AS50">
            <v>-75818.011000000144</v>
          </cell>
          <cell r="AT50">
            <v>3219.4340000000002</v>
          </cell>
          <cell r="AU50">
            <v>203.40199999999913</v>
          </cell>
          <cell r="AV50">
            <v>911.27800000000002</v>
          </cell>
          <cell r="BA50">
            <v>4334.1139999999996</v>
          </cell>
          <cell r="BB50">
            <v>0</v>
          </cell>
          <cell r="BC50">
            <v>-16133.392999999998</v>
          </cell>
          <cell r="BD50">
            <v>0</v>
          </cell>
          <cell r="BE50">
            <v>0</v>
          </cell>
          <cell r="BF50">
            <v>-31525.195</v>
          </cell>
          <cell r="BG50">
            <v>0</v>
          </cell>
          <cell r="BH50">
            <v>0</v>
          </cell>
          <cell r="BJ50">
            <v>-47658.587999999996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0">
        <row r="21">
          <cell r="Z21">
            <v>1350292.3180000007</v>
          </cell>
        </row>
      </sheetData>
      <sheetData sheetId="11" refreshError="1"/>
      <sheetData sheetId="12" refreshError="1"/>
      <sheetData sheetId="1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144301</v>
          </cell>
          <cell r="H7">
            <v>110445</v>
          </cell>
          <cell r="I7">
            <v>46641</v>
          </cell>
          <cell r="J7">
            <v>46143.5</v>
          </cell>
          <cell r="K7">
            <v>83695</v>
          </cell>
          <cell r="L7">
            <v>70426</v>
          </cell>
          <cell r="M7">
            <v>23432.5</v>
          </cell>
          <cell r="N7">
            <v>51809</v>
          </cell>
          <cell r="O7">
            <v>20555</v>
          </cell>
          <cell r="P7">
            <v>37153</v>
          </cell>
          <cell r="Q7">
            <v>15971.5</v>
          </cell>
          <cell r="R7">
            <v>46439</v>
          </cell>
          <cell r="S7">
            <v>76852</v>
          </cell>
          <cell r="T7">
            <v>12109</v>
          </cell>
          <cell r="U7">
            <v>14195.5</v>
          </cell>
          <cell r="V7">
            <v>42017.5</v>
          </cell>
          <cell r="W7">
            <v>15169</v>
          </cell>
          <cell r="Z7">
            <v>857354.5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857354.5</v>
          </cell>
          <cell r="AJ7">
            <v>75851</v>
          </cell>
          <cell r="AK7">
            <v>109404</v>
          </cell>
          <cell r="AL7">
            <v>63468</v>
          </cell>
          <cell r="AN7">
            <v>248723</v>
          </cell>
          <cell r="AO7">
            <v>17304.953999999998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111890375.25699997</v>
          </cell>
          <cell r="G8">
            <v>14674688.958999999</v>
          </cell>
          <cell r="H8">
            <v>11133833.698999999</v>
          </cell>
          <cell r="I8">
            <v>4630279.5999999996</v>
          </cell>
          <cell r="J8">
            <v>4490610.8150000004</v>
          </cell>
          <cell r="K8">
            <v>9836887.0500000007</v>
          </cell>
          <cell r="L8">
            <v>7264385.0099999998</v>
          </cell>
          <cell r="M8">
            <v>2298845.75</v>
          </cell>
          <cell r="N8">
            <v>5434628.4000000004</v>
          </cell>
          <cell r="O8">
            <v>2081617.1</v>
          </cell>
          <cell r="P8">
            <v>3585019.7</v>
          </cell>
          <cell r="Q8">
            <v>1342623.0219999999</v>
          </cell>
          <cell r="R8">
            <v>4941381</v>
          </cell>
          <cell r="S8">
            <v>7706150.1490000002</v>
          </cell>
          <cell r="T8">
            <v>1451932.46</v>
          </cell>
          <cell r="U8">
            <v>1573850.3659999999</v>
          </cell>
          <cell r="V8">
            <v>4152282.9980000001</v>
          </cell>
          <cell r="W8">
            <v>1936418.469</v>
          </cell>
          <cell r="Z8">
            <v>88535434.546999976</v>
          </cell>
          <cell r="AA8">
            <v>0</v>
          </cell>
          <cell r="AB8">
            <v>0</v>
          </cell>
          <cell r="AC8">
            <v>50000</v>
          </cell>
          <cell r="AD8">
            <v>123360</v>
          </cell>
          <cell r="AH8">
            <v>173360</v>
          </cell>
          <cell r="AI8">
            <v>88708794.546999976</v>
          </cell>
          <cell r="AJ8">
            <v>2148604.5</v>
          </cell>
          <cell r="AK8">
            <v>1532480</v>
          </cell>
          <cell r="AL8">
            <v>1259793.6000000001</v>
          </cell>
          <cell r="AN8">
            <v>4940878.0999999996</v>
          </cell>
          <cell r="AO8">
            <v>18007081.888999999</v>
          </cell>
          <cell r="AP8">
            <v>0</v>
          </cell>
          <cell r="AS8">
            <v>18007081.888999999</v>
          </cell>
          <cell r="AT8">
            <v>14100</v>
          </cell>
          <cell r="AU8">
            <v>24829</v>
          </cell>
          <cell r="AV8">
            <v>188169.72099999999</v>
          </cell>
          <cell r="BA8">
            <v>227098.72099999999</v>
          </cell>
          <cell r="BB8">
            <v>0</v>
          </cell>
          <cell r="BC8">
            <v>6522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6522</v>
          </cell>
        </row>
        <row r="9">
          <cell r="G9">
            <v>101694.99143457078</v>
          </cell>
          <cell r="H9">
            <v>100808.85236090362</v>
          </cell>
          <cell r="I9">
            <v>99274.878325936399</v>
          </cell>
          <cell r="J9">
            <v>97318.383195899762</v>
          </cell>
          <cell r="K9">
            <v>117532.55331859729</v>
          </cell>
          <cell r="L9">
            <v>103149.19220174367</v>
          </cell>
          <cell r="M9">
            <v>98105.014403072651</v>
          </cell>
          <cell r="N9">
            <v>104897.38076395993</v>
          </cell>
          <cell r="O9">
            <v>101270.59596205303</v>
          </cell>
          <cell r="P9">
            <v>96493.411030064875</v>
          </cell>
          <cell r="Q9">
            <v>84063.677300190961</v>
          </cell>
          <cell r="R9">
            <v>106405.84422575853</v>
          </cell>
          <cell r="S9">
            <v>100272.60382293239</v>
          </cell>
          <cell r="T9">
            <v>119905.23247171525</v>
          </cell>
          <cell r="U9">
            <v>110869.66757070903</v>
          </cell>
          <cell r="V9">
            <v>98822.70477777117</v>
          </cell>
          <cell r="W9">
            <v>127656.30357966907</v>
          </cell>
          <cell r="Z9">
            <v>103265.84224728508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103468.04565322744</v>
          </cell>
          <cell r="AJ9">
            <v>28326.646978945566</v>
          </cell>
          <cell r="AK9">
            <v>14007.53171730467</v>
          </cell>
          <cell r="AL9">
            <v>19849.272074116092</v>
          </cell>
          <cell r="AO9">
            <v>1040573.8084597046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102345881.31159997</v>
          </cell>
          <cell r="G10">
            <v>13121775.848329999</v>
          </cell>
          <cell r="H10">
            <v>10650467.26584</v>
          </cell>
          <cell r="I10">
            <v>4575947.6006000005</v>
          </cell>
          <cell r="J10">
            <v>4348696.4979900001</v>
          </cell>
          <cell r="K10">
            <v>8149829.7511999998</v>
          </cell>
          <cell r="L10">
            <v>6209895.1865400001</v>
          </cell>
          <cell r="M10">
            <v>2220998.0409599999</v>
          </cell>
          <cell r="N10">
            <v>4985475.0214900002</v>
          </cell>
          <cell r="O10">
            <v>1970949.0805200003</v>
          </cell>
          <cell r="P10">
            <v>3192719.8878800003</v>
          </cell>
          <cell r="Q10">
            <v>1516001.7970700001</v>
          </cell>
          <cell r="R10">
            <v>4444874.3465999998</v>
          </cell>
          <cell r="S10">
            <v>7160369.1006399989</v>
          </cell>
          <cell r="T10">
            <v>1201838.40704</v>
          </cell>
          <cell r="U10">
            <v>1310188.0086099999</v>
          </cell>
          <cell r="V10">
            <v>3822828.3498800001</v>
          </cell>
          <cell r="W10">
            <v>1769859.2157399999</v>
          </cell>
          <cell r="Z10">
            <v>80652713.40692997</v>
          </cell>
          <cell r="AA10">
            <v>0</v>
          </cell>
          <cell r="AB10">
            <v>0</v>
          </cell>
          <cell r="AC10">
            <v>463.94299999999998</v>
          </cell>
          <cell r="AD10">
            <v>2071.7249999999999</v>
          </cell>
          <cell r="AH10">
            <v>2535.6679999999997</v>
          </cell>
          <cell r="AI10">
            <v>80655249.074929968</v>
          </cell>
          <cell r="AJ10">
            <v>1871202.0796399999</v>
          </cell>
          <cell r="AK10">
            <v>1308646.3425</v>
          </cell>
          <cell r="AL10">
            <v>1448418.2895300002</v>
          </cell>
          <cell r="AN10">
            <v>4628266.7116700001</v>
          </cell>
          <cell r="AO10">
            <v>17561898.225000001</v>
          </cell>
          <cell r="AP10">
            <v>0</v>
          </cell>
          <cell r="AS10">
            <v>17561898.225000001</v>
          </cell>
          <cell r="AT10">
            <v>670.69600000000003</v>
          </cell>
          <cell r="AU10">
            <v>925.98299999999995</v>
          </cell>
          <cell r="AV10">
            <v>0</v>
          </cell>
          <cell r="BA10">
            <v>1596.6790000000001</v>
          </cell>
          <cell r="BB10">
            <v>0</v>
          </cell>
          <cell r="BC10">
            <v>0</v>
          </cell>
          <cell r="BD10">
            <v>-533648.35</v>
          </cell>
          <cell r="BE10">
            <v>0</v>
          </cell>
          <cell r="BF10">
            <v>0</v>
          </cell>
          <cell r="BG10">
            <v>0</v>
          </cell>
          <cell r="BH10">
            <v>32518.971000000001</v>
          </cell>
          <cell r="BJ10">
            <v>-501129.37899999996</v>
          </cell>
        </row>
        <row r="11">
          <cell r="G11">
            <v>90933.367394058238</v>
          </cell>
          <cell r="H11">
            <v>96432.317133776989</v>
          </cell>
          <cell r="I11">
            <v>98109.98050213333</v>
          </cell>
          <cell r="J11">
            <v>94242.883569516838</v>
          </cell>
          <cell r="K11">
            <v>97375.348004062369</v>
          </cell>
          <cell r="L11">
            <v>88176.173381137647</v>
          </cell>
          <cell r="M11">
            <v>94782.803412354624</v>
          </cell>
          <cell r="N11">
            <v>96227.972388774142</v>
          </cell>
          <cell r="O11">
            <v>95886.600852347372</v>
          </cell>
          <cell r="P11">
            <v>85934.376440125969</v>
          </cell>
          <cell r="Q11">
            <v>94919.187118930597</v>
          </cell>
          <cell r="R11">
            <v>95714.256263054747</v>
          </cell>
          <cell r="S11">
            <v>93170.888209025128</v>
          </cell>
          <cell r="T11">
            <v>99251.664632917673</v>
          </cell>
          <cell r="U11">
            <v>92296.009905251645</v>
          </cell>
          <cell r="V11">
            <v>90981.813527220802</v>
          </cell>
          <cell r="W11">
            <v>116676.0640609137</v>
          </cell>
          <cell r="Z11">
            <v>94071.604461083451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94074.562010148627</v>
          </cell>
          <cell r="AJ11">
            <v>24669.445091561087</v>
          </cell>
          <cell r="AK11">
            <v>11961.595028518153</v>
          </cell>
          <cell r="AL11">
            <v>22821.237309037628</v>
          </cell>
          <cell r="AO11">
            <v>1014848.0154873572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9544493.9453999996</v>
          </cell>
          <cell r="G12">
            <v>1552913.1106700003</v>
          </cell>
          <cell r="H12">
            <v>483366.43315999955</v>
          </cell>
          <cell r="I12">
            <v>54331.999399999157</v>
          </cell>
          <cell r="J12">
            <v>141914.31701000035</v>
          </cell>
          <cell r="K12">
            <v>1687057.2988000009</v>
          </cell>
          <cell r="L12">
            <v>1054489.8234599996</v>
          </cell>
          <cell r="M12">
            <v>77847.709040000103</v>
          </cell>
          <cell r="N12">
            <v>449153.37851000018</v>
          </cell>
          <cell r="O12">
            <v>110668.01947999978</v>
          </cell>
          <cell r="P12">
            <v>392299.8121199999</v>
          </cell>
          <cell r="Q12">
            <v>-173378.77507000021</v>
          </cell>
          <cell r="R12">
            <v>496506.65340000018</v>
          </cell>
          <cell r="S12">
            <v>545781.0483600013</v>
          </cell>
          <cell r="T12">
            <v>250094.05296</v>
          </cell>
          <cell r="U12">
            <v>263662.35739000002</v>
          </cell>
          <cell r="V12">
            <v>329454.64812000003</v>
          </cell>
          <cell r="W12">
            <v>166559.25326000014</v>
          </cell>
          <cell r="Z12">
            <v>7882721.1400700025</v>
          </cell>
          <cell r="AA12">
            <v>0</v>
          </cell>
          <cell r="AB12">
            <v>0</v>
          </cell>
          <cell r="AC12">
            <v>49536.057000000001</v>
          </cell>
          <cell r="AD12">
            <v>121288.27499999999</v>
          </cell>
          <cell r="AH12">
            <v>170824.33199999999</v>
          </cell>
          <cell r="AI12">
            <v>8053545.4720700085</v>
          </cell>
          <cell r="AJ12">
            <v>277402.42036000011</v>
          </cell>
          <cell r="AK12">
            <v>223833.65749999997</v>
          </cell>
          <cell r="AL12">
            <v>-188624.68953000009</v>
          </cell>
          <cell r="AN12">
            <v>312611.38832999952</v>
          </cell>
          <cell r="AO12">
            <v>445183.66399999708</v>
          </cell>
          <cell r="AP12">
            <v>0</v>
          </cell>
          <cell r="AS12">
            <v>445183.66399999708</v>
          </cell>
          <cell r="AT12">
            <v>13429.304</v>
          </cell>
          <cell r="AU12">
            <v>23903.017</v>
          </cell>
          <cell r="AV12">
            <v>188169.72099999999</v>
          </cell>
          <cell r="BA12">
            <v>225502.04199999999</v>
          </cell>
          <cell r="BB12">
            <v>0</v>
          </cell>
          <cell r="BC12">
            <v>6522</v>
          </cell>
          <cell r="BD12">
            <v>533648.35</v>
          </cell>
          <cell r="BE12">
            <v>0</v>
          </cell>
          <cell r="BF12">
            <v>0</v>
          </cell>
          <cell r="BG12">
            <v>0</v>
          </cell>
          <cell r="BH12">
            <v>-32518.971000000001</v>
          </cell>
          <cell r="BJ12">
            <v>507651.37899999996</v>
          </cell>
        </row>
        <row r="13">
          <cell r="F13">
            <v>3411424.8539999998</v>
          </cell>
          <cell r="G13">
            <v>297969.83600000001</v>
          </cell>
          <cell r="H13">
            <v>278043.06400000001</v>
          </cell>
          <cell r="I13">
            <v>188947.76500000001</v>
          </cell>
          <cell r="J13">
            <v>163282.02600000001</v>
          </cell>
          <cell r="K13">
            <v>221058.61800000002</v>
          </cell>
          <cell r="L13">
            <v>225959.323</v>
          </cell>
          <cell r="M13">
            <v>141529.46400000001</v>
          </cell>
          <cell r="N13">
            <v>222867.06899999999</v>
          </cell>
          <cell r="O13">
            <v>123748.84700000002</v>
          </cell>
          <cell r="P13">
            <v>166292.87599999999</v>
          </cell>
          <cell r="Q13">
            <v>131392.10499999998</v>
          </cell>
          <cell r="R13">
            <v>127220.554</v>
          </cell>
          <cell r="S13">
            <v>213982.48599999998</v>
          </cell>
          <cell r="T13">
            <v>46126.917999999998</v>
          </cell>
          <cell r="U13">
            <v>53183.606</v>
          </cell>
          <cell r="V13">
            <v>134016.55599999998</v>
          </cell>
          <cell r="W13">
            <v>69519.597999999998</v>
          </cell>
          <cell r="Z13">
            <v>2805140.7110000001</v>
          </cell>
          <cell r="AA13">
            <v>8299.7170000000006</v>
          </cell>
          <cell r="AB13">
            <v>820.46699999999998</v>
          </cell>
          <cell r="AC13">
            <v>0</v>
          </cell>
          <cell r="AD13">
            <v>0</v>
          </cell>
          <cell r="AH13">
            <v>9120.1840000000011</v>
          </cell>
          <cell r="AI13">
            <v>2814260.895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550278.65500000003</v>
          </cell>
          <cell r="AP13">
            <v>0</v>
          </cell>
          <cell r="AS13">
            <v>550278.65500000003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46885.303999999996</v>
          </cell>
          <cell r="BG13">
            <v>0</v>
          </cell>
          <cell r="BH13">
            <v>0</v>
          </cell>
          <cell r="BJ13">
            <v>46885.303999999996</v>
          </cell>
        </row>
        <row r="14">
          <cell r="F14">
            <v>2358921.895</v>
          </cell>
          <cell r="G14">
            <v>209158.663</v>
          </cell>
          <cell r="H14">
            <v>194694.81200000001</v>
          </cell>
          <cell r="I14">
            <v>133612.69200000001</v>
          </cell>
          <cell r="J14">
            <v>120296.33300000001</v>
          </cell>
          <cell r="K14">
            <v>145868.15600000002</v>
          </cell>
          <cell r="L14">
            <v>161323.43600000002</v>
          </cell>
          <cell r="M14">
            <v>95918.945999999996</v>
          </cell>
          <cell r="N14">
            <v>149932.655</v>
          </cell>
          <cell r="O14">
            <v>89295.664000000019</v>
          </cell>
          <cell r="P14">
            <v>118123.97899999999</v>
          </cell>
          <cell r="Q14">
            <v>91542.744999999995</v>
          </cell>
          <cell r="R14">
            <v>89114.088999999993</v>
          </cell>
          <cell r="S14">
            <v>152086.033</v>
          </cell>
          <cell r="T14">
            <v>31730.185999999998</v>
          </cell>
          <cell r="U14">
            <v>36080.959999999999</v>
          </cell>
          <cell r="V14">
            <v>96894.194999999992</v>
          </cell>
          <cell r="W14">
            <v>48957.192999999999</v>
          </cell>
          <cell r="Z14">
            <v>1964630.7370000002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1964630.7370000002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394291.158</v>
          </cell>
          <cell r="AP14">
            <v>0</v>
          </cell>
          <cell r="AS14">
            <v>394291.158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1052502.9589999998</v>
          </cell>
          <cell r="G15">
            <v>88811.17300000001</v>
          </cell>
          <cell r="H15">
            <v>83348.252000000008</v>
          </cell>
          <cell r="I15">
            <v>55335.072999999989</v>
          </cell>
          <cell r="J15">
            <v>42985.692999999999</v>
          </cell>
          <cell r="K15">
            <v>75190.462</v>
          </cell>
          <cell r="L15">
            <v>64635.886999999995</v>
          </cell>
          <cell r="M15">
            <v>45610.518000000004</v>
          </cell>
          <cell r="N15">
            <v>72934.41399999999</v>
          </cell>
          <cell r="O15">
            <v>34453.183000000005</v>
          </cell>
          <cell r="P15">
            <v>48168.897000000004</v>
          </cell>
          <cell r="Q15">
            <v>39849.360000000001</v>
          </cell>
          <cell r="R15">
            <v>38106.465000000004</v>
          </cell>
          <cell r="S15">
            <v>61896.452999999994</v>
          </cell>
          <cell r="T15">
            <v>14396.732</v>
          </cell>
          <cell r="U15">
            <v>17102.646000000001</v>
          </cell>
          <cell r="V15">
            <v>37122.360999999997</v>
          </cell>
          <cell r="W15">
            <v>20562.404999999999</v>
          </cell>
          <cell r="Z15">
            <v>840509.97399999981</v>
          </cell>
          <cell r="AA15">
            <v>8299.7170000000006</v>
          </cell>
          <cell r="AB15">
            <v>820.46699999999998</v>
          </cell>
          <cell r="AC15">
            <v>0</v>
          </cell>
          <cell r="AD15">
            <v>0</v>
          </cell>
          <cell r="AH15">
            <v>9120.1840000000011</v>
          </cell>
          <cell r="AI15">
            <v>849630.15799999982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155987.497</v>
          </cell>
          <cell r="AP15">
            <v>0</v>
          </cell>
          <cell r="AS15">
            <v>155987.497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46885.303999999996</v>
          </cell>
          <cell r="BG15">
            <v>0</v>
          </cell>
          <cell r="BH15">
            <v>0</v>
          </cell>
          <cell r="BJ15">
            <v>46885.303999999996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6133069.0913999993</v>
          </cell>
          <cell r="G17">
            <v>1254943.2746700002</v>
          </cell>
          <cell r="H17">
            <v>205323.36915999954</v>
          </cell>
          <cell r="I17">
            <v>-134615.76560000086</v>
          </cell>
          <cell r="J17">
            <v>-21367.708989999664</v>
          </cell>
          <cell r="K17">
            <v>1465998.6808000009</v>
          </cell>
          <cell r="L17">
            <v>828530.50045999966</v>
          </cell>
          <cell r="M17">
            <v>-63681.754959999904</v>
          </cell>
          <cell r="N17">
            <v>226286.3095100002</v>
          </cell>
          <cell r="O17">
            <v>-13080.827520000239</v>
          </cell>
          <cell r="P17">
            <v>226006.93611999991</v>
          </cell>
          <cell r="Q17">
            <v>-304770.88007000019</v>
          </cell>
          <cell r="R17">
            <v>369286.09940000018</v>
          </cell>
          <cell r="S17">
            <v>331798.56236000132</v>
          </cell>
          <cell r="T17">
            <v>203967.13496</v>
          </cell>
          <cell r="U17">
            <v>210478.75139000002</v>
          </cell>
          <cell r="V17">
            <v>195438.09212000004</v>
          </cell>
          <cell r="W17">
            <v>97039.655260000145</v>
          </cell>
          <cell r="Z17">
            <v>5077580.4290700024</v>
          </cell>
          <cell r="AA17">
            <v>-8299.7170000000006</v>
          </cell>
          <cell r="AB17">
            <v>-820.46699999999998</v>
          </cell>
          <cell r="AC17">
            <v>49536.057000000001</v>
          </cell>
          <cell r="AD17">
            <v>121288.27499999999</v>
          </cell>
          <cell r="AH17">
            <v>161704.14799999999</v>
          </cell>
          <cell r="AI17">
            <v>5239284.577070009</v>
          </cell>
          <cell r="AJ17">
            <v>277402.42036000011</v>
          </cell>
          <cell r="AK17">
            <v>223833.65749999997</v>
          </cell>
          <cell r="AL17">
            <v>-188624.68953000009</v>
          </cell>
          <cell r="AN17">
            <v>312611.38832999952</v>
          </cell>
          <cell r="AO17">
            <v>-105094.99100000295</v>
          </cell>
          <cell r="AP17">
            <v>0</v>
          </cell>
          <cell r="AS17">
            <v>-105094.99100000295</v>
          </cell>
          <cell r="AT17">
            <v>13429.304</v>
          </cell>
          <cell r="AU17">
            <v>23903.017</v>
          </cell>
          <cell r="AV17">
            <v>188169.72099999999</v>
          </cell>
          <cell r="BA17">
            <v>225502.04199999999</v>
          </cell>
          <cell r="BB17">
            <v>0</v>
          </cell>
          <cell r="BC17">
            <v>6522</v>
          </cell>
          <cell r="BD17">
            <v>533648.35</v>
          </cell>
          <cell r="BE17">
            <v>0</v>
          </cell>
          <cell r="BF17">
            <v>-46885.303999999996</v>
          </cell>
          <cell r="BG17">
            <v>0</v>
          </cell>
          <cell r="BH17">
            <v>-32518.971000000001</v>
          </cell>
          <cell r="BJ17">
            <v>460766.07499999995</v>
          </cell>
        </row>
        <row r="18">
          <cell r="F18">
            <v>2879741.7733999998</v>
          </cell>
          <cell r="G18">
            <v>124721.93967000001</v>
          </cell>
          <cell r="H18">
            <v>158058.36516000002</v>
          </cell>
          <cell r="I18">
            <v>80392.356400000004</v>
          </cell>
          <cell r="J18">
            <v>71796.548009999999</v>
          </cell>
          <cell r="K18">
            <v>462394.68979999999</v>
          </cell>
          <cell r="L18">
            <v>274528.67545999994</v>
          </cell>
          <cell r="M18">
            <v>62017.569039999995</v>
          </cell>
          <cell r="N18">
            <v>110112.05751</v>
          </cell>
          <cell r="O18">
            <v>52374.914479999999</v>
          </cell>
          <cell r="P18">
            <v>143984.87312000003</v>
          </cell>
          <cell r="Q18">
            <v>63451.692930000005</v>
          </cell>
          <cell r="R18">
            <v>64270.801399999997</v>
          </cell>
          <cell r="S18">
            <v>134190.66035999998</v>
          </cell>
          <cell r="T18">
            <v>24628.881959999999</v>
          </cell>
          <cell r="U18">
            <v>41983.356390000001</v>
          </cell>
          <cell r="V18">
            <v>86889.05012</v>
          </cell>
          <cell r="W18">
            <v>50236.450259999998</v>
          </cell>
          <cell r="Z18">
            <v>2006032.8820700001</v>
          </cell>
          <cell r="AA18">
            <v>22559.418999999998</v>
          </cell>
          <cell r="AB18">
            <v>0</v>
          </cell>
          <cell r="AC18">
            <v>12662.773000000001</v>
          </cell>
          <cell r="AD18">
            <v>30264.445999999996</v>
          </cell>
          <cell r="AH18">
            <v>65486.637999999992</v>
          </cell>
          <cell r="AI18">
            <v>2071519.5200699999</v>
          </cell>
          <cell r="AJ18">
            <v>146991.63836000001</v>
          </cell>
          <cell r="AK18">
            <v>265468.33750000002</v>
          </cell>
          <cell r="AL18">
            <v>237352.67947</v>
          </cell>
          <cell r="AN18">
            <v>649812.65532999998</v>
          </cell>
          <cell r="AO18">
            <v>18914.054</v>
          </cell>
          <cell r="AP18">
            <v>0</v>
          </cell>
          <cell r="AS18">
            <v>18914.054</v>
          </cell>
          <cell r="AT18">
            <v>5251.5680000000002</v>
          </cell>
          <cell r="AU18">
            <v>18399.982000000004</v>
          </cell>
          <cell r="AV18">
            <v>0</v>
          </cell>
          <cell r="BA18">
            <v>23651.550000000003</v>
          </cell>
          <cell r="BB18">
            <v>0</v>
          </cell>
          <cell r="BC18">
            <v>61614.845000000001</v>
          </cell>
          <cell r="BD18">
            <v>0</v>
          </cell>
          <cell r="BE18">
            <v>0</v>
          </cell>
          <cell r="BF18">
            <v>54229.148999999998</v>
          </cell>
          <cell r="BG18">
            <v>0</v>
          </cell>
          <cell r="BH18">
            <v>0</v>
          </cell>
          <cell r="BJ18">
            <v>115843.99400000001</v>
          </cell>
        </row>
        <row r="19">
          <cell r="F19">
            <v>2637040.4623999996</v>
          </cell>
          <cell r="G19">
            <v>115542.47467000001</v>
          </cell>
          <cell r="H19">
            <v>150360.49816000002</v>
          </cell>
          <cell r="I19">
            <v>73486.284400000004</v>
          </cell>
          <cell r="J19">
            <v>67028.601009999998</v>
          </cell>
          <cell r="K19">
            <v>454957.10879999999</v>
          </cell>
          <cell r="L19">
            <v>268312.40645999997</v>
          </cell>
          <cell r="M19">
            <v>58724.776039999997</v>
          </cell>
          <cell r="N19">
            <v>103858.84451</v>
          </cell>
          <cell r="O19">
            <v>47999.04348</v>
          </cell>
          <cell r="P19">
            <v>139151.14612000002</v>
          </cell>
          <cell r="Q19">
            <v>60198.619930000001</v>
          </cell>
          <cell r="R19">
            <v>59239.6414</v>
          </cell>
          <cell r="S19">
            <v>127934.67135999999</v>
          </cell>
          <cell r="T19">
            <v>23147.283960000001</v>
          </cell>
          <cell r="U19">
            <v>40211.881390000002</v>
          </cell>
          <cell r="V19">
            <v>83635.977119999996</v>
          </cell>
          <cell r="W19">
            <v>46983.377260000001</v>
          </cell>
          <cell r="Z19">
            <v>1920772.6360699998</v>
          </cell>
          <cell r="AA19">
            <v>0</v>
          </cell>
          <cell r="AB19">
            <v>0</v>
          </cell>
          <cell r="AC19">
            <v>12539.175000000001</v>
          </cell>
          <cell r="AD19">
            <v>30264.445999999996</v>
          </cell>
          <cell r="AH19">
            <v>42803.620999999999</v>
          </cell>
          <cell r="AI19">
            <v>1963576.2570699998</v>
          </cell>
          <cell r="AJ19">
            <v>146991.63836000001</v>
          </cell>
          <cell r="AK19">
            <v>265468.33750000002</v>
          </cell>
          <cell r="AL19">
            <v>237352.67947</v>
          </cell>
          <cell r="AN19">
            <v>649812.65532999998</v>
          </cell>
          <cell r="AO19">
            <v>0</v>
          </cell>
          <cell r="AP19">
            <v>0</v>
          </cell>
          <cell r="AS19">
            <v>0</v>
          </cell>
          <cell r="AT19">
            <v>5251.5680000000002</v>
          </cell>
          <cell r="AU19">
            <v>18399.982000000004</v>
          </cell>
          <cell r="AV19">
            <v>0</v>
          </cell>
          <cell r="BA19">
            <v>23651.550000000003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242701.31100000002</v>
          </cell>
          <cell r="G20">
            <v>9179.4650000000001</v>
          </cell>
          <cell r="H20">
            <v>7697.8670000000002</v>
          </cell>
          <cell r="I20">
            <v>6906.0720000000001</v>
          </cell>
          <cell r="J20">
            <v>4767.9470000000001</v>
          </cell>
          <cell r="K20">
            <v>7437.5810000000001</v>
          </cell>
          <cell r="L20">
            <v>6216.2690000000002</v>
          </cell>
          <cell r="M20">
            <v>3292.7930000000001</v>
          </cell>
          <cell r="N20">
            <v>6253.2129999999997</v>
          </cell>
          <cell r="O20">
            <v>4375.8710000000001</v>
          </cell>
          <cell r="P20">
            <v>4833.7269999999999</v>
          </cell>
          <cell r="Q20">
            <v>3253.0730000000003</v>
          </cell>
          <cell r="R20">
            <v>5031.16</v>
          </cell>
          <cell r="S20">
            <v>6255.9889999999996</v>
          </cell>
          <cell r="T20">
            <v>1481.598</v>
          </cell>
          <cell r="U20">
            <v>1771.4749999999999</v>
          </cell>
          <cell r="V20">
            <v>3253.0730000000003</v>
          </cell>
          <cell r="W20">
            <v>3253.0730000000003</v>
          </cell>
          <cell r="Z20">
            <v>85260.246000000014</v>
          </cell>
          <cell r="AA20">
            <v>22559.418999999998</v>
          </cell>
          <cell r="AB20">
            <v>0</v>
          </cell>
          <cell r="AC20">
            <v>123.598</v>
          </cell>
          <cell r="AD20">
            <v>0</v>
          </cell>
          <cell r="AH20">
            <v>22683.017</v>
          </cell>
          <cell r="AI20">
            <v>107943.26300000001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18914.054</v>
          </cell>
          <cell r="AP20">
            <v>0</v>
          </cell>
          <cell r="AS20">
            <v>18914.054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61614.845000000001</v>
          </cell>
          <cell r="BD20">
            <v>0</v>
          </cell>
          <cell r="BE20">
            <v>0</v>
          </cell>
          <cell r="BF20">
            <v>54229.148999999998</v>
          </cell>
          <cell r="BG20">
            <v>0</v>
          </cell>
          <cell r="BH20">
            <v>0</v>
          </cell>
          <cell r="BJ20">
            <v>115843.99400000001</v>
          </cell>
        </row>
        <row r="21">
          <cell r="F21">
            <v>3253327.3179999995</v>
          </cell>
          <cell r="G21">
            <v>1130221.3350000002</v>
          </cell>
          <cell r="H21">
            <v>47265.003999999521</v>
          </cell>
          <cell r="I21">
            <v>-215008.12200000085</v>
          </cell>
          <cell r="J21">
            <v>-93164.256999999663</v>
          </cell>
          <cell r="K21">
            <v>1003603.9910000009</v>
          </cell>
          <cell r="L21">
            <v>554001.82499999972</v>
          </cell>
          <cell r="M21">
            <v>-125699.32399999991</v>
          </cell>
          <cell r="N21">
            <v>116174.2520000002</v>
          </cell>
          <cell r="O21">
            <v>-65455.742000000238</v>
          </cell>
          <cell r="P21">
            <v>82022.062999999878</v>
          </cell>
          <cell r="Q21">
            <v>-368222.57300000021</v>
          </cell>
          <cell r="R21">
            <v>305015.29800000018</v>
          </cell>
          <cell r="S21">
            <v>197607.90200000134</v>
          </cell>
          <cell r="T21">
            <v>179338.253</v>
          </cell>
          <cell r="U21">
            <v>168495.39500000002</v>
          </cell>
          <cell r="V21">
            <v>108549.04200000004</v>
          </cell>
          <cell r="W21">
            <v>46803.205000000147</v>
          </cell>
          <cell r="Z21">
            <v>3071547.5470000021</v>
          </cell>
          <cell r="AA21">
            <v>-30859.135999999999</v>
          </cell>
          <cell r="AB21">
            <v>-820.46699999999998</v>
          </cell>
          <cell r="AC21">
            <v>36873.284</v>
          </cell>
          <cell r="AD21">
            <v>91023.828999999998</v>
          </cell>
          <cell r="AH21">
            <v>96217.51</v>
          </cell>
          <cell r="AI21">
            <v>3167765.0570000093</v>
          </cell>
          <cell r="AJ21">
            <v>130410.78200000009</v>
          </cell>
          <cell r="AK21">
            <v>-41634.680000000051</v>
          </cell>
          <cell r="AL21">
            <v>-425977.36900000006</v>
          </cell>
          <cell r="AN21">
            <v>-337201.26700000046</v>
          </cell>
          <cell r="AO21">
            <v>-124009.04500000295</v>
          </cell>
          <cell r="AP21">
            <v>0</v>
          </cell>
          <cell r="AS21">
            <v>-124009.04500000295</v>
          </cell>
          <cell r="AT21">
            <v>8177.7359999999999</v>
          </cell>
          <cell r="AU21">
            <v>5503.0349999999962</v>
          </cell>
          <cell r="AV21">
            <v>188169.72099999999</v>
          </cell>
          <cell r="BA21">
            <v>201850.49199999997</v>
          </cell>
          <cell r="BB21">
            <v>0</v>
          </cell>
          <cell r="BC21">
            <v>-55092.845000000001</v>
          </cell>
          <cell r="BD21">
            <v>533648.35</v>
          </cell>
          <cell r="BE21">
            <v>0</v>
          </cell>
          <cell r="BF21">
            <v>-101114.45299999999</v>
          </cell>
          <cell r="BG21">
            <v>0</v>
          </cell>
          <cell r="BH21">
            <v>-32518.971000000001</v>
          </cell>
          <cell r="BJ21">
            <v>344922.08099999995</v>
          </cell>
        </row>
        <row r="22">
          <cell r="F22">
            <v>6224139.8030001037</v>
          </cell>
          <cell r="G22">
            <v>1000681.9534164919</v>
          </cell>
          <cell r="H22">
            <v>752876.62508132763</v>
          </cell>
          <cell r="I22">
            <v>308843.92209313146</v>
          </cell>
          <cell r="J22">
            <v>294597.90326022077</v>
          </cell>
          <cell r="K22">
            <v>726886.66015065182</v>
          </cell>
          <cell r="L22">
            <v>510410.91272836371</v>
          </cell>
          <cell r="M22">
            <v>168063.0526005314</v>
          </cell>
          <cell r="N22">
            <v>392900.23981974134</v>
          </cell>
          <cell r="O22">
            <v>147568.234883414</v>
          </cell>
          <cell r="P22">
            <v>267208.06137900852</v>
          </cell>
          <cell r="Q22">
            <v>102549.7550475864</v>
          </cell>
          <cell r="R22">
            <v>359418.30271708104</v>
          </cell>
          <cell r="S22">
            <v>525604.01348577533</v>
          </cell>
          <cell r="T22">
            <v>92685.238822865169</v>
          </cell>
          <cell r="U22">
            <v>100514.44378754214</v>
          </cell>
          <cell r="V22">
            <v>270206.49611713749</v>
          </cell>
          <cell r="W22">
            <v>133266.96038107647</v>
          </cell>
          <cell r="Z22">
            <v>6154282.7757719476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6154282.7757719476</v>
          </cell>
          <cell r="AJ22">
            <v>89320.516691286</v>
          </cell>
          <cell r="AK22">
            <v>62593.944136870079</v>
          </cell>
          <cell r="AL22">
            <v>53077.590400000001</v>
          </cell>
          <cell r="AN22">
            <v>204992.05122815608</v>
          </cell>
          <cell r="AO22">
            <v>49305.231</v>
          </cell>
          <cell r="AP22">
            <v>0</v>
          </cell>
          <cell r="AS22">
            <v>49305.231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-184440.255</v>
          </cell>
          <cell r="BF22">
            <v>0</v>
          </cell>
          <cell r="BG22">
            <v>0</v>
          </cell>
          <cell r="BH22">
            <v>0</v>
          </cell>
          <cell r="BJ22">
            <v>-184440.255</v>
          </cell>
        </row>
        <row r="23">
          <cell r="F23">
            <v>905145.39300010283</v>
          </cell>
          <cell r="G23">
            <v>60640.071052392886</v>
          </cell>
          <cell r="H23">
            <v>45792.955862117502</v>
          </cell>
          <cell r="I23">
            <v>18968.950862839421</v>
          </cell>
          <cell r="J23">
            <v>18000.371308956761</v>
          </cell>
          <cell r="K23">
            <v>82027.897736039275</v>
          </cell>
          <cell r="L23">
            <v>58078.129141294557</v>
          </cell>
          <cell r="M23">
            <v>18984.473686083791</v>
          </cell>
          <cell r="N23">
            <v>44446.222866004398</v>
          </cell>
          <cell r="O23">
            <v>16759.683134924635</v>
          </cell>
          <cell r="P23">
            <v>30083.684771397981</v>
          </cell>
          <cell r="Q23">
            <v>11492.919123989552</v>
          </cell>
          <cell r="R23">
            <v>40647.118966537462</v>
          </cell>
          <cell r="S23">
            <v>32024.851118368671</v>
          </cell>
          <cell r="T23">
            <v>5604.2998871090895</v>
          </cell>
          <cell r="U23">
            <v>6088.6013472374452</v>
          </cell>
          <cell r="V23">
            <v>16307.882574212992</v>
          </cell>
          <cell r="W23">
            <v>8080.8943324403826</v>
          </cell>
          <cell r="Z23">
            <v>514029.00777194672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514029.00777194672</v>
          </cell>
          <cell r="AJ23">
            <v>89320.516691286</v>
          </cell>
          <cell r="AK23">
            <v>62593.944136870079</v>
          </cell>
          <cell r="AL23">
            <v>53077.590400000001</v>
          </cell>
          <cell r="AN23">
            <v>204992.05122815608</v>
          </cell>
          <cell r="AO23">
            <v>186124.334</v>
          </cell>
          <cell r="AP23">
            <v>0</v>
          </cell>
          <cell r="AS23">
            <v>186124.334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1838156.3599999999</v>
          </cell>
          <cell r="G24">
            <v>308878.3394529979</v>
          </cell>
          <cell r="H24">
            <v>229583.70250054155</v>
          </cell>
          <cell r="I24">
            <v>91814.954772539611</v>
          </cell>
          <cell r="J24">
            <v>87575.847906608382</v>
          </cell>
          <cell r="K24">
            <v>214680.96348005283</v>
          </cell>
          <cell r="L24">
            <v>148344.60321193797</v>
          </cell>
          <cell r="M24">
            <v>48537.453398897313</v>
          </cell>
          <cell r="N24">
            <v>112458.79250064633</v>
          </cell>
          <cell r="O24">
            <v>42713.099577182875</v>
          </cell>
          <cell r="P24">
            <v>77555.163011939381</v>
          </cell>
          <cell r="Q24">
            <v>29558.885346347855</v>
          </cell>
          <cell r="R24">
            <v>104760.98215690997</v>
          </cell>
          <cell r="S24">
            <v>160256.30311427452</v>
          </cell>
          <cell r="T24">
            <v>27862.818280350035</v>
          </cell>
          <cell r="U24">
            <v>30027.555763914999</v>
          </cell>
          <cell r="V24">
            <v>82244.093508301157</v>
          </cell>
          <cell r="W24">
            <v>41302.802016557202</v>
          </cell>
          <cell r="Z24">
            <v>1838156.3599999999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1838156.3599999999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3480838.0500000003</v>
          </cell>
          <cell r="G25">
            <v>631163.54291110102</v>
          </cell>
          <cell r="H25">
            <v>477499.96671866858</v>
          </cell>
          <cell r="I25">
            <v>198060.01645775244</v>
          </cell>
          <cell r="J25">
            <v>189021.68404465562</v>
          </cell>
          <cell r="K25">
            <v>430177.79893455963</v>
          </cell>
          <cell r="L25">
            <v>303988.1803751312</v>
          </cell>
          <cell r="M25">
            <v>100541.1255155503</v>
          </cell>
          <cell r="N25">
            <v>235995.22445309057</v>
          </cell>
          <cell r="O25">
            <v>88095.452171306504</v>
          </cell>
          <cell r="P25">
            <v>159569.21359567114</v>
          </cell>
          <cell r="Q25">
            <v>61497.950577248994</v>
          </cell>
          <cell r="R25">
            <v>214010.20159363357</v>
          </cell>
          <cell r="S25">
            <v>333322.85925313219</v>
          </cell>
          <cell r="T25">
            <v>59218.120655406048</v>
          </cell>
          <cell r="U25">
            <v>64398.286676389704</v>
          </cell>
          <cell r="V25">
            <v>171654.5200346233</v>
          </cell>
          <cell r="W25">
            <v>83883.264032078878</v>
          </cell>
          <cell r="Z25">
            <v>3802097.4080000003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3802097.4080000003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-136819.103</v>
          </cell>
          <cell r="AP25">
            <v>0</v>
          </cell>
          <cell r="AS25">
            <v>-136819.103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-184440.255</v>
          </cell>
          <cell r="BF25">
            <v>0</v>
          </cell>
          <cell r="BG25">
            <v>0</v>
          </cell>
          <cell r="BH25">
            <v>0</v>
          </cell>
          <cell r="BJ25">
            <v>-184440.255</v>
          </cell>
        </row>
        <row r="26">
          <cell r="F26">
            <v>-2970812.4850001042</v>
          </cell>
          <cell r="G26">
            <v>129539.38158350834</v>
          </cell>
          <cell r="H26">
            <v>-705611.62108132814</v>
          </cell>
          <cell r="I26">
            <v>-523852.04409313231</v>
          </cell>
          <cell r="J26">
            <v>-387762.16026022041</v>
          </cell>
          <cell r="K26">
            <v>276717.33084934903</v>
          </cell>
          <cell r="L26">
            <v>43590.912271636014</v>
          </cell>
          <cell r="M26">
            <v>-293762.37660053128</v>
          </cell>
          <cell r="N26">
            <v>-276725.98781974113</v>
          </cell>
          <cell r="O26">
            <v>-213023.97688341423</v>
          </cell>
          <cell r="P26">
            <v>-185185.99837900864</v>
          </cell>
          <cell r="Q26">
            <v>-470772.3280475866</v>
          </cell>
          <cell r="R26">
            <v>-54403.004717080854</v>
          </cell>
          <cell r="S26">
            <v>-327996.11148577399</v>
          </cell>
          <cell r="T26">
            <v>86653.014177134828</v>
          </cell>
          <cell r="U26">
            <v>67980.951212457876</v>
          </cell>
          <cell r="V26">
            <v>-161657.45411713744</v>
          </cell>
          <cell r="W26">
            <v>-86463.75538107632</v>
          </cell>
          <cell r="Z26">
            <v>-3082735.2287719455</v>
          </cell>
          <cell r="AA26">
            <v>-30859.135999999999</v>
          </cell>
          <cell r="AB26">
            <v>-820.46699999999998</v>
          </cell>
          <cell r="AC26">
            <v>36873.284</v>
          </cell>
          <cell r="AD26">
            <v>91023.828999999998</v>
          </cell>
          <cell r="AH26">
            <v>96217.51</v>
          </cell>
          <cell r="AI26">
            <v>-2986517.7187719382</v>
          </cell>
          <cell r="AJ26">
            <v>41090.265308714093</v>
          </cell>
          <cell r="AK26">
            <v>-104228.62413687013</v>
          </cell>
          <cell r="AL26">
            <v>-479054.95940000005</v>
          </cell>
          <cell r="AN26">
            <v>-542193.31822815654</v>
          </cell>
          <cell r="AO26">
            <v>-173314.27600000295</v>
          </cell>
          <cell r="AP26">
            <v>0</v>
          </cell>
          <cell r="AS26">
            <v>-173314.27600000295</v>
          </cell>
          <cell r="AT26">
            <v>8177.7359999999999</v>
          </cell>
          <cell r="AU26">
            <v>5503.0349999999962</v>
          </cell>
          <cell r="AV26">
            <v>188169.72099999999</v>
          </cell>
          <cell r="BA26">
            <v>201850.49199999997</v>
          </cell>
          <cell r="BB26">
            <v>0</v>
          </cell>
          <cell r="BC26">
            <v>-55092.845000000001</v>
          </cell>
          <cell r="BD26">
            <v>533648.35</v>
          </cell>
          <cell r="BE26">
            <v>184440.255</v>
          </cell>
          <cell r="BF26">
            <v>-101114.45299999999</v>
          </cell>
          <cell r="BG26">
            <v>0</v>
          </cell>
          <cell r="BH26">
            <v>-32518.971000000001</v>
          </cell>
          <cell r="BJ26">
            <v>529362.33599999989</v>
          </cell>
        </row>
        <row r="27">
          <cell r="F27">
            <v>-2970812.4850001051</v>
          </cell>
          <cell r="G27">
            <v>129539.38158350857</v>
          </cell>
          <cell r="H27">
            <v>-705611.62108132872</v>
          </cell>
          <cell r="I27">
            <v>-523852.04409313173</v>
          </cell>
          <cell r="J27">
            <v>-387762.16026022105</v>
          </cell>
          <cell r="K27">
            <v>276717.33084934758</v>
          </cell>
          <cell r="L27">
            <v>43590.912271636043</v>
          </cell>
          <cell r="M27">
            <v>-293762.37660053151</v>
          </cell>
          <cell r="N27">
            <v>-276725.98781974148</v>
          </cell>
          <cell r="O27">
            <v>-213023.97688341414</v>
          </cell>
          <cell r="P27">
            <v>-185185.99837900835</v>
          </cell>
          <cell r="Q27">
            <v>-470772.32804758643</v>
          </cell>
          <cell r="R27">
            <v>-54403.004717080847</v>
          </cell>
          <cell r="S27">
            <v>-327996.11148577527</v>
          </cell>
          <cell r="T27">
            <v>86653.014177134843</v>
          </cell>
          <cell r="U27">
            <v>67980.951212457876</v>
          </cell>
          <cell r="V27">
            <v>-161657.45411713765</v>
          </cell>
          <cell r="W27">
            <v>-86463.75538107648</v>
          </cell>
          <cell r="Z27">
            <v>-3082735.2287719487</v>
          </cell>
          <cell r="AA27">
            <v>-30859.136000000002</v>
          </cell>
          <cell r="AB27">
            <v>-820.46699999999998</v>
          </cell>
          <cell r="AC27">
            <v>36873.283999999992</v>
          </cell>
          <cell r="AD27">
            <v>91023.828999999998</v>
          </cell>
          <cell r="AH27">
            <v>96217.50999999998</v>
          </cell>
          <cell r="AI27">
            <v>-2986517.7187719489</v>
          </cell>
          <cell r="AJ27">
            <v>41090.26530871397</v>
          </cell>
          <cell r="AK27">
            <v>-104228.62413687014</v>
          </cell>
          <cell r="AL27">
            <v>-479054.95940000005</v>
          </cell>
          <cell r="AN27">
            <v>-542193.31822815619</v>
          </cell>
          <cell r="AO27">
            <v>-173314.27600000106</v>
          </cell>
          <cell r="AP27">
            <v>0</v>
          </cell>
          <cell r="AS27">
            <v>-173314.27600000106</v>
          </cell>
          <cell r="AT27">
            <v>8177.7360000000008</v>
          </cell>
          <cell r="AU27">
            <v>5503.034999999998</v>
          </cell>
          <cell r="AV27">
            <v>188169.72099999999</v>
          </cell>
          <cell r="BA27">
            <v>201850.492</v>
          </cell>
          <cell r="BB27">
            <v>0</v>
          </cell>
          <cell r="BC27">
            <v>-55092.845000000001</v>
          </cell>
          <cell r="BD27">
            <v>533648.35</v>
          </cell>
          <cell r="BE27">
            <v>184440.255</v>
          </cell>
          <cell r="BF27">
            <v>-101114.45300000001</v>
          </cell>
          <cell r="BG27">
            <v>0</v>
          </cell>
          <cell r="BH27">
            <v>-32518.971000000001</v>
          </cell>
          <cell r="BJ27">
            <v>529362.33600000001</v>
          </cell>
        </row>
        <row r="28">
          <cell r="F28">
            <v>0</v>
          </cell>
          <cell r="G28">
            <v>-2.3283064365386963E-10</v>
          </cell>
          <cell r="H28">
            <v>0</v>
          </cell>
          <cell r="I28">
            <v>-5.8207660913467407E-10</v>
          </cell>
          <cell r="J28">
            <v>6.4028427004814148E-10</v>
          </cell>
          <cell r="K28">
            <v>1.4551915228366852E-9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-2.9103830456733704E-10</v>
          </cell>
          <cell r="Q28">
            <v>0</v>
          </cell>
          <cell r="R28">
            <v>0</v>
          </cell>
          <cell r="S28">
            <v>1.280568540096283E-9</v>
          </cell>
          <cell r="T28">
            <v>0</v>
          </cell>
          <cell r="U28">
            <v>0</v>
          </cell>
          <cell r="V28">
            <v>0</v>
          </cell>
          <cell r="W28">
            <v>1.6007106751203537E-10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1.0710209608078003E-8</v>
          </cell>
          <cell r="AJ28">
            <v>1.2369127944111824E-10</v>
          </cell>
          <cell r="AK28">
            <v>0</v>
          </cell>
          <cell r="AL28">
            <v>0</v>
          </cell>
          <cell r="AN28">
            <v>0</v>
          </cell>
          <cell r="AO28">
            <v>-1.8917489796876907E-9</v>
          </cell>
          <cell r="AP28">
            <v>0</v>
          </cell>
          <cell r="AS28">
            <v>-1.8917489796876907E-9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29">
          <cell r="BB29">
            <v>0</v>
          </cell>
          <cell r="BC29">
            <v>-55092.845000000001</v>
          </cell>
          <cell r="BD29">
            <v>533648.35</v>
          </cell>
          <cell r="BE29">
            <v>184440.255</v>
          </cell>
          <cell r="BF29">
            <v>-101114.45300000001</v>
          </cell>
          <cell r="BG29">
            <v>0</v>
          </cell>
          <cell r="BH29">
            <v>-32518.971000000001</v>
          </cell>
          <cell r="BI29">
            <v>0</v>
          </cell>
          <cell r="BJ29">
            <v>529362.33600000001</v>
          </cell>
        </row>
        <row r="31">
          <cell r="G31">
            <v>144301</v>
          </cell>
          <cell r="H31">
            <v>110445</v>
          </cell>
          <cell r="I31">
            <v>46641</v>
          </cell>
          <cell r="J31">
            <v>46143.5</v>
          </cell>
          <cell r="K31">
            <v>83695</v>
          </cell>
          <cell r="L31">
            <v>70426</v>
          </cell>
          <cell r="M31">
            <v>23432.5</v>
          </cell>
          <cell r="N31">
            <v>51809</v>
          </cell>
          <cell r="O31">
            <v>20555</v>
          </cell>
          <cell r="P31">
            <v>37153</v>
          </cell>
          <cell r="Q31">
            <v>15971.5</v>
          </cell>
          <cell r="R31">
            <v>46439</v>
          </cell>
          <cell r="S31">
            <v>76852</v>
          </cell>
          <cell r="T31">
            <v>12109</v>
          </cell>
          <cell r="U31">
            <v>14195.5</v>
          </cell>
          <cell r="V31">
            <v>42017.5</v>
          </cell>
          <cell r="W31">
            <v>15169</v>
          </cell>
          <cell r="X31">
            <v>0</v>
          </cell>
          <cell r="Y31">
            <v>0</v>
          </cell>
          <cell r="Z31">
            <v>857354.5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857354.5</v>
          </cell>
          <cell r="AJ31">
            <v>75851</v>
          </cell>
          <cell r="AK31">
            <v>109404</v>
          </cell>
          <cell r="AL31">
            <v>63468</v>
          </cell>
          <cell r="AN31">
            <v>248723</v>
          </cell>
          <cell r="AO31">
            <v>17304.953999999998</v>
          </cell>
          <cell r="AP31">
            <v>0</v>
          </cell>
          <cell r="AS31">
            <v>17304.953999999998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111890375.25699997</v>
          </cell>
          <cell r="G32">
            <v>14674688.958999999</v>
          </cell>
          <cell r="H32">
            <v>11133833.698999999</v>
          </cell>
          <cell r="I32">
            <v>4630279.5999999996</v>
          </cell>
          <cell r="J32">
            <v>4490610.8150000004</v>
          </cell>
          <cell r="K32">
            <v>9836887.0500000007</v>
          </cell>
          <cell r="L32">
            <v>7264385.0099999998</v>
          </cell>
          <cell r="M32">
            <v>2298845.75</v>
          </cell>
          <cell r="N32">
            <v>5434628.4000000004</v>
          </cell>
          <cell r="O32">
            <v>2081617.1</v>
          </cell>
          <cell r="P32">
            <v>3585019.7</v>
          </cell>
          <cell r="Q32">
            <v>1342623.0219999999</v>
          </cell>
          <cell r="R32">
            <v>4941381</v>
          </cell>
          <cell r="S32">
            <v>7706150.1490000002</v>
          </cell>
          <cell r="T32">
            <v>1451932.46</v>
          </cell>
          <cell r="U32">
            <v>1573850.3659999999</v>
          </cell>
          <cell r="V32">
            <v>4152282.9980000001</v>
          </cell>
          <cell r="W32">
            <v>1936418.469</v>
          </cell>
          <cell r="X32">
            <v>0</v>
          </cell>
          <cell r="Y32">
            <v>0</v>
          </cell>
          <cell r="Z32">
            <v>88535434.546999976</v>
          </cell>
          <cell r="AA32">
            <v>0</v>
          </cell>
          <cell r="AB32">
            <v>0</v>
          </cell>
          <cell r="AC32">
            <v>50000</v>
          </cell>
          <cell r="AD32">
            <v>123360</v>
          </cell>
          <cell r="AH32">
            <v>173360</v>
          </cell>
          <cell r="AI32">
            <v>88708794.546999976</v>
          </cell>
          <cell r="AJ32">
            <v>2148604.5</v>
          </cell>
          <cell r="AK32">
            <v>1532480</v>
          </cell>
          <cell r="AL32">
            <v>1259793.6000000001</v>
          </cell>
          <cell r="AN32">
            <v>4940878.0999999996</v>
          </cell>
          <cell r="AO32">
            <v>18007081.888999999</v>
          </cell>
          <cell r="AP32">
            <v>0</v>
          </cell>
          <cell r="AS32">
            <v>18007081.888999999</v>
          </cell>
          <cell r="AT32">
            <v>14100</v>
          </cell>
          <cell r="AU32">
            <v>24829</v>
          </cell>
          <cell r="AV32">
            <v>188169.72099999999</v>
          </cell>
          <cell r="BA32">
            <v>227098.72099999999</v>
          </cell>
          <cell r="BB32">
            <v>0</v>
          </cell>
          <cell r="BC32">
            <v>6522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6522</v>
          </cell>
        </row>
        <row r="33">
          <cell r="F33">
            <v>104950402.803</v>
          </cell>
          <cell r="G33">
            <v>13237318.322999999</v>
          </cell>
          <cell r="H33">
            <v>10800827.764</v>
          </cell>
          <cell r="I33">
            <v>4649433.8850000007</v>
          </cell>
          <cell r="J33">
            <v>4415725.0990000004</v>
          </cell>
          <cell r="K33">
            <v>8604786.8599999994</v>
          </cell>
          <cell r="L33">
            <v>6478207.5930000003</v>
          </cell>
          <cell r="M33">
            <v>2279722.8169999998</v>
          </cell>
          <cell r="N33">
            <v>5089333.8660000004</v>
          </cell>
          <cell r="O33">
            <v>2018948.1240000003</v>
          </cell>
          <cell r="P33">
            <v>3331871.0340000005</v>
          </cell>
          <cell r="Q33">
            <v>1576200.4170000001</v>
          </cell>
          <cell r="R33">
            <v>4504113.9879999999</v>
          </cell>
          <cell r="S33">
            <v>7288303.7719999989</v>
          </cell>
          <cell r="T33">
            <v>1224985.6909999999</v>
          </cell>
          <cell r="U33">
            <v>1350399.89</v>
          </cell>
          <cell r="V33">
            <v>3906464.327</v>
          </cell>
          <cell r="W33">
            <v>1816842.5929999999</v>
          </cell>
          <cell r="X33">
            <v>0</v>
          </cell>
          <cell r="Y33">
            <v>0</v>
          </cell>
          <cell r="Z33">
            <v>82573486.042999998</v>
          </cell>
          <cell r="AA33">
            <v>0</v>
          </cell>
          <cell r="AB33">
            <v>0</v>
          </cell>
          <cell r="AC33">
            <v>13003.118</v>
          </cell>
          <cell r="AD33">
            <v>32336.170999999995</v>
          </cell>
          <cell r="AH33">
            <v>45339.288999999997</v>
          </cell>
          <cell r="AI33">
            <v>82618825.332000002</v>
          </cell>
          <cell r="AJ33">
            <v>2018193.7179999999</v>
          </cell>
          <cell r="AK33">
            <v>1574114.6800000002</v>
          </cell>
          <cell r="AL33">
            <v>1685770.9690000003</v>
          </cell>
          <cell r="AN33">
            <v>5278079.3670000006</v>
          </cell>
          <cell r="AO33">
            <v>17561898.225000001</v>
          </cell>
          <cell r="AP33">
            <v>0</v>
          </cell>
          <cell r="AS33">
            <v>17561898.225000001</v>
          </cell>
          <cell r="AT33">
            <v>5922.2640000000001</v>
          </cell>
          <cell r="AU33">
            <v>19325.965000000004</v>
          </cell>
          <cell r="AV33">
            <v>0</v>
          </cell>
          <cell r="BA33">
            <v>25248.229000000003</v>
          </cell>
          <cell r="BB33">
            <v>0</v>
          </cell>
          <cell r="BC33">
            <v>0</v>
          </cell>
          <cell r="BD33">
            <v>-533648.35</v>
          </cell>
          <cell r="BE33">
            <v>0</v>
          </cell>
          <cell r="BF33">
            <v>0</v>
          </cell>
          <cell r="BG33">
            <v>0</v>
          </cell>
          <cell r="BJ33">
            <v>-533648.35</v>
          </cell>
        </row>
        <row r="34">
          <cell r="F34">
            <v>6939972.4539999664</v>
          </cell>
          <cell r="G34">
            <v>1437370.6359999999</v>
          </cell>
          <cell r="H34">
            <v>333005.93499999866</v>
          </cell>
          <cell r="I34">
            <v>-19154.28500000108</v>
          </cell>
          <cell r="J34">
            <v>74885.716000000015</v>
          </cell>
          <cell r="K34">
            <v>1232100.1900000013</v>
          </cell>
          <cell r="L34">
            <v>786177.41699999943</v>
          </cell>
          <cell r="M34">
            <v>19122.933000000194</v>
          </cell>
          <cell r="N34">
            <v>345294.53399999999</v>
          </cell>
          <cell r="O34">
            <v>62668.975999999791</v>
          </cell>
          <cell r="P34">
            <v>253148.66599999974</v>
          </cell>
          <cell r="Q34">
            <v>-233577.39500000025</v>
          </cell>
          <cell r="R34">
            <v>437267.0120000001</v>
          </cell>
          <cell r="S34">
            <v>417846.37700000126</v>
          </cell>
          <cell r="T34">
            <v>226946.76900000009</v>
          </cell>
          <cell r="U34">
            <v>223450.47600000002</v>
          </cell>
          <cell r="V34">
            <v>245818.67100000009</v>
          </cell>
          <cell r="W34">
            <v>119575.87600000016</v>
          </cell>
          <cell r="X34">
            <v>0</v>
          </cell>
          <cell r="Y34">
            <v>0</v>
          </cell>
          <cell r="Z34">
            <v>5961948.5039999783</v>
          </cell>
          <cell r="AA34">
            <v>0</v>
          </cell>
          <cell r="AB34">
            <v>0</v>
          </cell>
          <cell r="AC34">
            <v>36996.881999999998</v>
          </cell>
          <cell r="AD34">
            <v>91023.828999999998</v>
          </cell>
          <cell r="AH34">
            <v>128020.71100000001</v>
          </cell>
          <cell r="AI34">
            <v>6089969.2149999738</v>
          </cell>
          <cell r="AJ34">
            <v>130410.78200000012</v>
          </cell>
          <cell r="AK34">
            <v>-41634.680000000168</v>
          </cell>
          <cell r="AL34">
            <v>-425977.36900000018</v>
          </cell>
          <cell r="AN34">
            <v>-337201.26700000092</v>
          </cell>
          <cell r="AO34">
            <v>445183.66399999708</v>
          </cell>
          <cell r="AP34">
            <v>0</v>
          </cell>
          <cell r="AS34">
            <v>445183.66399999708</v>
          </cell>
          <cell r="AT34">
            <v>8177.7359999999999</v>
          </cell>
          <cell r="AU34">
            <v>5503.0349999999962</v>
          </cell>
          <cell r="AV34">
            <v>188169.72099999999</v>
          </cell>
          <cell r="BA34">
            <v>201850.492</v>
          </cell>
          <cell r="BB34">
            <v>0</v>
          </cell>
          <cell r="BC34">
            <v>6522</v>
          </cell>
          <cell r="BD34">
            <v>533648.35</v>
          </cell>
          <cell r="BE34">
            <v>0</v>
          </cell>
          <cell r="BF34">
            <v>0</v>
          </cell>
          <cell r="BG34">
            <v>0</v>
          </cell>
          <cell r="BJ34">
            <v>540170.35</v>
          </cell>
        </row>
        <row r="35">
          <cell r="F35">
            <v>9878265.9680000991</v>
          </cell>
          <cell r="G35">
            <v>1307831.2544164921</v>
          </cell>
          <cell r="H35">
            <v>1038617.5560813276</v>
          </cell>
          <cell r="I35">
            <v>504697.75909313146</v>
          </cell>
          <cell r="J35">
            <v>462647.87626022077</v>
          </cell>
          <cell r="K35">
            <v>955382.85915065184</v>
          </cell>
          <cell r="L35">
            <v>742586.50472836371</v>
          </cell>
          <cell r="M35">
            <v>312885.30960053141</v>
          </cell>
          <cell r="N35">
            <v>622020.52181974135</v>
          </cell>
          <cell r="O35">
            <v>275692.95288341399</v>
          </cell>
          <cell r="P35">
            <v>438334.66437900852</v>
          </cell>
          <cell r="Q35">
            <v>237194.93304758638</v>
          </cell>
          <cell r="R35">
            <v>491670.01671708102</v>
          </cell>
          <cell r="S35">
            <v>745842.48848577531</v>
          </cell>
          <cell r="T35">
            <v>140293.75482286516</v>
          </cell>
          <cell r="U35">
            <v>155469.52478754215</v>
          </cell>
          <cell r="V35">
            <v>407476.12511713745</v>
          </cell>
          <cell r="W35">
            <v>206039.63138107647</v>
          </cell>
          <cell r="X35">
            <v>0</v>
          </cell>
          <cell r="Y35">
            <v>0</v>
          </cell>
          <cell r="Z35">
            <v>9044683.7327719443</v>
          </cell>
          <cell r="AA35">
            <v>30859.135999999999</v>
          </cell>
          <cell r="AB35">
            <v>820.46699999999998</v>
          </cell>
          <cell r="AC35">
            <v>123.598</v>
          </cell>
          <cell r="AD35">
            <v>0</v>
          </cell>
          <cell r="AH35">
            <v>31803.201000000001</v>
          </cell>
          <cell r="AI35">
            <v>9076486.9337719437</v>
          </cell>
          <cell r="AJ35">
            <v>89320.516691286</v>
          </cell>
          <cell r="AK35">
            <v>62593.944136870079</v>
          </cell>
          <cell r="AL35">
            <v>53077.590400000001</v>
          </cell>
          <cell r="AN35">
            <v>204992.05122815608</v>
          </cell>
          <cell r="AO35">
            <v>618497.94000000006</v>
          </cell>
          <cell r="AP35">
            <v>0</v>
          </cell>
          <cell r="AS35">
            <v>618497.94000000006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61614.845000000001</v>
          </cell>
          <cell r="BD35">
            <v>0</v>
          </cell>
          <cell r="BE35">
            <v>-184440.255</v>
          </cell>
          <cell r="BF35">
            <v>101114.45299999999</v>
          </cell>
          <cell r="BG35">
            <v>0</v>
          </cell>
          <cell r="BJ35">
            <v>-21710.957000000009</v>
          </cell>
        </row>
        <row r="36">
          <cell r="F36">
            <v>-2938293.5140001327</v>
          </cell>
          <cell r="G36">
            <v>129539.38158350787</v>
          </cell>
          <cell r="H36">
            <v>-705611.62108132895</v>
          </cell>
          <cell r="I36">
            <v>-523852.04409313254</v>
          </cell>
          <cell r="J36">
            <v>-387762.16026022076</v>
          </cell>
          <cell r="K36">
            <v>276717.3308493495</v>
          </cell>
          <cell r="L36">
            <v>43590.912271635723</v>
          </cell>
          <cell r="M36">
            <v>-293762.37660053122</v>
          </cell>
          <cell r="N36">
            <v>-276725.98781974136</v>
          </cell>
          <cell r="O36">
            <v>-213023.9768834142</v>
          </cell>
          <cell r="P36">
            <v>-185185.99837900879</v>
          </cell>
          <cell r="Q36">
            <v>-470772.3280475866</v>
          </cell>
          <cell r="R36">
            <v>-54403.004717080912</v>
          </cell>
          <cell r="S36">
            <v>-327996.11148577405</v>
          </cell>
          <cell r="T36">
            <v>86653.01417713493</v>
          </cell>
          <cell r="U36">
            <v>67980.951212457876</v>
          </cell>
          <cell r="V36">
            <v>-161657.45411713736</v>
          </cell>
          <cell r="W36">
            <v>-86463.755381076306</v>
          </cell>
          <cell r="X36">
            <v>0</v>
          </cell>
          <cell r="Y36">
            <v>0</v>
          </cell>
          <cell r="Z36">
            <v>-3082735.228771966</v>
          </cell>
          <cell r="AA36">
            <v>-30859.135999999999</v>
          </cell>
          <cell r="AB36">
            <v>-820.46699999999998</v>
          </cell>
          <cell r="AC36">
            <v>36873.284</v>
          </cell>
          <cell r="AD36">
            <v>91023.828999999998</v>
          </cell>
          <cell r="AH36">
            <v>96217.510000000009</v>
          </cell>
          <cell r="AI36">
            <v>-2986517.7187719699</v>
          </cell>
          <cell r="AJ36">
            <v>41090.265308714123</v>
          </cell>
          <cell r="AK36">
            <v>-104228.62413687025</v>
          </cell>
          <cell r="AL36">
            <v>-479054.95940000017</v>
          </cell>
          <cell r="AN36">
            <v>-542193.318228157</v>
          </cell>
          <cell r="AO36">
            <v>-173314.27600000298</v>
          </cell>
          <cell r="AP36">
            <v>0</v>
          </cell>
          <cell r="AS36">
            <v>-173314.27600000298</v>
          </cell>
          <cell r="AT36">
            <v>8177.7359999999999</v>
          </cell>
          <cell r="AU36">
            <v>5503.0349999999962</v>
          </cell>
          <cell r="AV36">
            <v>188169.72099999999</v>
          </cell>
          <cell r="BA36">
            <v>201850.492</v>
          </cell>
          <cell r="BB36">
            <v>0</v>
          </cell>
          <cell r="BC36">
            <v>-55092.845000000001</v>
          </cell>
          <cell r="BD36">
            <v>533648.35</v>
          </cell>
          <cell r="BE36">
            <v>184440.255</v>
          </cell>
          <cell r="BF36">
            <v>-101114.45299999999</v>
          </cell>
          <cell r="BG36">
            <v>0</v>
          </cell>
          <cell r="BJ36">
            <v>561881.30700000003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-49945</v>
          </cell>
          <cell r="AK38">
            <v>-75820</v>
          </cell>
          <cell r="AL38">
            <v>-56908</v>
          </cell>
          <cell r="AN38">
            <v>-182673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-3805016</v>
          </cell>
          <cell r="Z39">
            <v>0</v>
          </cell>
          <cell r="AH39">
            <v>0</v>
          </cell>
          <cell r="AI39">
            <v>0</v>
          </cell>
          <cell r="AJ39">
            <v>-1443880</v>
          </cell>
          <cell r="AK39">
            <v>-1185224</v>
          </cell>
          <cell r="AL39">
            <v>-1175912</v>
          </cell>
          <cell r="AN39">
            <v>-3805016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-3807177.1469999999</v>
          </cell>
          <cell r="K40">
            <v>239414.21599999999</v>
          </cell>
          <cell r="L40">
            <v>-74264.453999999998</v>
          </cell>
          <cell r="M40">
            <v>28.644999999999982</v>
          </cell>
          <cell r="N40">
            <v>15205.673999999999</v>
          </cell>
          <cell r="O40">
            <v>594.65899999999999</v>
          </cell>
          <cell r="P40">
            <v>22987.605</v>
          </cell>
          <cell r="Z40">
            <v>203966.345</v>
          </cell>
          <cell r="AH40">
            <v>0</v>
          </cell>
          <cell r="AI40">
            <v>203966.345</v>
          </cell>
          <cell r="AJ40">
            <v>-1351712.737</v>
          </cell>
          <cell r="AK40">
            <v>-1148430.213</v>
          </cell>
          <cell r="AL40">
            <v>-1511000.5419999999</v>
          </cell>
          <cell r="AN40">
            <v>-4011143.4920000001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2161.1469999998808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-239414.21599999999</v>
          </cell>
          <cell r="L41">
            <v>74264.453999999998</v>
          </cell>
          <cell r="M41">
            <v>-28.644999999999982</v>
          </cell>
          <cell r="N41">
            <v>-15205.673999999999</v>
          </cell>
          <cell r="O41">
            <v>-594.65899999999999</v>
          </cell>
          <cell r="P41">
            <v>-22987.605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-203966.345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-203966.345</v>
          </cell>
          <cell r="AJ41">
            <v>-92167.263000000035</v>
          </cell>
          <cell r="AK41">
            <v>-36793.787000000011</v>
          </cell>
          <cell r="AL41">
            <v>335088.5419999999</v>
          </cell>
          <cell r="AN41">
            <v>206127.49200000009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2161.1469999998808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-239414.21599999999</v>
          </cell>
          <cell r="L43">
            <v>74264.453999999998</v>
          </cell>
          <cell r="M43">
            <v>-28.644999999999982</v>
          </cell>
          <cell r="N43">
            <v>-15205.673999999999</v>
          </cell>
          <cell r="O43">
            <v>-594.65899999999999</v>
          </cell>
          <cell r="P43">
            <v>-22987.605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-203966.345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-203966.345</v>
          </cell>
          <cell r="AJ43">
            <v>-92167.263000000035</v>
          </cell>
          <cell r="AK43">
            <v>-36793.787000000011</v>
          </cell>
          <cell r="AL43">
            <v>335088.5419999999</v>
          </cell>
          <cell r="AN43">
            <v>206127.49200000009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144301</v>
          </cell>
          <cell r="H45">
            <v>110445</v>
          </cell>
          <cell r="I45">
            <v>46641</v>
          </cell>
          <cell r="J45">
            <v>46143.5</v>
          </cell>
          <cell r="K45">
            <v>83695</v>
          </cell>
          <cell r="L45">
            <v>70426</v>
          </cell>
          <cell r="M45">
            <v>23432.5</v>
          </cell>
          <cell r="N45">
            <v>51809</v>
          </cell>
          <cell r="O45">
            <v>20555</v>
          </cell>
          <cell r="P45">
            <v>37153</v>
          </cell>
          <cell r="Q45">
            <v>15971.5</v>
          </cell>
          <cell r="R45">
            <v>46439</v>
          </cell>
          <cell r="S45">
            <v>76852</v>
          </cell>
          <cell r="T45">
            <v>12109</v>
          </cell>
          <cell r="U45">
            <v>14195.5</v>
          </cell>
          <cell r="V45">
            <v>42017.5</v>
          </cell>
          <cell r="W45">
            <v>15169</v>
          </cell>
          <cell r="X45">
            <v>0</v>
          </cell>
          <cell r="Y45">
            <v>0</v>
          </cell>
          <cell r="Z45">
            <v>857354.5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857354.5</v>
          </cell>
          <cell r="AJ45">
            <v>25906</v>
          </cell>
          <cell r="AK45">
            <v>33584</v>
          </cell>
          <cell r="AL45">
            <v>6560</v>
          </cell>
          <cell r="AN45">
            <v>66050</v>
          </cell>
          <cell r="AO45">
            <v>17304.953999999998</v>
          </cell>
          <cell r="AP45">
            <v>0</v>
          </cell>
          <cell r="AS45">
            <v>17304.953999999998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108085359.25699997</v>
          </cell>
          <cell r="G46">
            <v>14674688.958999999</v>
          </cell>
          <cell r="H46">
            <v>11133833.698999999</v>
          </cell>
          <cell r="I46">
            <v>4630279.5999999996</v>
          </cell>
          <cell r="J46">
            <v>4490610.8150000004</v>
          </cell>
          <cell r="K46">
            <v>9836887.0500000007</v>
          </cell>
          <cell r="L46">
            <v>7264385.0099999998</v>
          </cell>
          <cell r="M46">
            <v>2298845.75</v>
          </cell>
          <cell r="N46">
            <v>5434628.4000000004</v>
          </cell>
          <cell r="O46">
            <v>2081617.1</v>
          </cell>
          <cell r="P46">
            <v>3585019.7</v>
          </cell>
          <cell r="Q46">
            <v>1342623.0219999999</v>
          </cell>
          <cell r="R46">
            <v>4941381</v>
          </cell>
          <cell r="S46">
            <v>7706150.1490000002</v>
          </cell>
          <cell r="T46">
            <v>1451932.46</v>
          </cell>
          <cell r="U46">
            <v>1573850.3659999999</v>
          </cell>
          <cell r="V46">
            <v>4152282.9980000001</v>
          </cell>
          <cell r="W46">
            <v>1936418.469</v>
          </cell>
          <cell r="X46">
            <v>0</v>
          </cell>
          <cell r="Y46">
            <v>0</v>
          </cell>
          <cell r="Z46">
            <v>88535434.546999976</v>
          </cell>
          <cell r="AA46">
            <v>0</v>
          </cell>
          <cell r="AB46">
            <v>0</v>
          </cell>
          <cell r="AC46">
            <v>50000</v>
          </cell>
          <cell r="AD46">
            <v>123360</v>
          </cell>
          <cell r="AH46">
            <v>173360</v>
          </cell>
          <cell r="AI46">
            <v>88708794.546999976</v>
          </cell>
          <cell r="AJ46">
            <v>704724.5</v>
          </cell>
          <cell r="AK46">
            <v>347256</v>
          </cell>
          <cell r="AL46">
            <v>83881.600000000093</v>
          </cell>
          <cell r="AN46">
            <v>1135862.1000000001</v>
          </cell>
          <cell r="AO46">
            <v>18007081.888999999</v>
          </cell>
          <cell r="AP46">
            <v>0</v>
          </cell>
          <cell r="AS46">
            <v>18007081.888999999</v>
          </cell>
          <cell r="AT46">
            <v>14100</v>
          </cell>
          <cell r="AU46">
            <v>24829</v>
          </cell>
          <cell r="AV46">
            <v>188169.72099999999</v>
          </cell>
          <cell r="BA46">
            <v>227098.72099999999</v>
          </cell>
          <cell r="BB46">
            <v>0</v>
          </cell>
          <cell r="BC46">
            <v>6522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6522</v>
          </cell>
        </row>
        <row r="47">
          <cell r="F47">
            <v>101143225.65600002</v>
          </cell>
          <cell r="G47">
            <v>13237318.322999999</v>
          </cell>
          <cell r="H47">
            <v>10800827.764</v>
          </cell>
          <cell r="I47">
            <v>4649433.8850000007</v>
          </cell>
          <cell r="J47">
            <v>4415725.0990000004</v>
          </cell>
          <cell r="K47">
            <v>8844201.0759999994</v>
          </cell>
          <cell r="L47">
            <v>6403943.1390000004</v>
          </cell>
          <cell r="M47">
            <v>2279751.4619999998</v>
          </cell>
          <cell r="N47">
            <v>5104539.54</v>
          </cell>
          <cell r="O47">
            <v>2019542.7830000003</v>
          </cell>
          <cell r="P47">
            <v>3354858.6390000004</v>
          </cell>
          <cell r="Q47">
            <v>1576200.4170000001</v>
          </cell>
          <cell r="R47">
            <v>4504113.9879999999</v>
          </cell>
          <cell r="S47">
            <v>7288303.7719999989</v>
          </cell>
          <cell r="T47">
            <v>1224985.6909999999</v>
          </cell>
          <cell r="U47">
            <v>1350399.89</v>
          </cell>
          <cell r="V47">
            <v>3906464.327</v>
          </cell>
          <cell r="W47">
            <v>1816842.5929999999</v>
          </cell>
          <cell r="X47">
            <v>0</v>
          </cell>
          <cell r="Y47">
            <v>0</v>
          </cell>
          <cell r="Z47">
            <v>82777452.387999997</v>
          </cell>
          <cell r="AA47">
            <v>0</v>
          </cell>
          <cell r="AB47">
            <v>0</v>
          </cell>
          <cell r="AC47">
            <v>13003.118</v>
          </cell>
          <cell r="AD47">
            <v>32336.170999999995</v>
          </cell>
          <cell r="AH47">
            <v>45339.288999999997</v>
          </cell>
          <cell r="AI47">
            <v>82822791.677000001</v>
          </cell>
          <cell r="AJ47">
            <v>666480.98099999991</v>
          </cell>
          <cell r="AK47">
            <v>425684.46700000018</v>
          </cell>
          <cell r="AL47">
            <v>174770.42700000037</v>
          </cell>
          <cell r="AN47">
            <v>1266935.8750000005</v>
          </cell>
          <cell r="AO47">
            <v>17561898.225000001</v>
          </cell>
          <cell r="AP47">
            <v>0</v>
          </cell>
          <cell r="AS47">
            <v>17561898.225000001</v>
          </cell>
          <cell r="AT47">
            <v>5922.2640000000001</v>
          </cell>
          <cell r="AU47">
            <v>19325.965000000004</v>
          </cell>
          <cell r="AV47">
            <v>0</v>
          </cell>
          <cell r="BA47">
            <v>25248.229000000003</v>
          </cell>
          <cell r="BB47">
            <v>0</v>
          </cell>
          <cell r="BC47">
            <v>0</v>
          </cell>
          <cell r="BD47">
            <v>-533648.35</v>
          </cell>
          <cell r="BE47">
            <v>0</v>
          </cell>
          <cell r="BF47">
            <v>0</v>
          </cell>
          <cell r="BG47">
            <v>0</v>
          </cell>
          <cell r="BJ47">
            <v>-533648.35</v>
          </cell>
        </row>
        <row r="48">
          <cell r="F48">
            <v>6942133.6009999514</v>
          </cell>
          <cell r="G48">
            <v>1437370.6359999999</v>
          </cell>
          <cell r="H48">
            <v>333005.93499999866</v>
          </cell>
          <cell r="I48">
            <v>-19154.28500000108</v>
          </cell>
          <cell r="J48">
            <v>74885.716000000015</v>
          </cell>
          <cell r="K48">
            <v>992685.97400000133</v>
          </cell>
          <cell r="L48">
            <v>860441.87099999934</v>
          </cell>
          <cell r="M48">
            <v>19094.288000000175</v>
          </cell>
          <cell r="N48">
            <v>330088.86000000034</v>
          </cell>
          <cell r="O48">
            <v>62074.316999999806</v>
          </cell>
          <cell r="P48">
            <v>230161.06099999975</v>
          </cell>
          <cell r="Q48">
            <v>-233577.39500000025</v>
          </cell>
          <cell r="R48">
            <v>437267.0120000001</v>
          </cell>
          <cell r="S48">
            <v>417846.37700000126</v>
          </cell>
          <cell r="T48">
            <v>226946.76900000009</v>
          </cell>
          <cell r="U48">
            <v>223450.47600000002</v>
          </cell>
          <cell r="V48">
            <v>245818.67100000009</v>
          </cell>
          <cell r="W48">
            <v>119575.87600000016</v>
          </cell>
          <cell r="X48">
            <v>0</v>
          </cell>
          <cell r="Y48">
            <v>0</v>
          </cell>
          <cell r="Z48">
            <v>5757982.1589999795</v>
          </cell>
          <cell r="AA48">
            <v>0</v>
          </cell>
          <cell r="AB48">
            <v>0</v>
          </cell>
          <cell r="AC48">
            <v>36996.881999999998</v>
          </cell>
          <cell r="AD48">
            <v>91023.828999999998</v>
          </cell>
          <cell r="AH48">
            <v>128020.71100000001</v>
          </cell>
          <cell r="AI48">
            <v>5886002.869999975</v>
          </cell>
          <cell r="AJ48">
            <v>38243.519000000088</v>
          </cell>
          <cell r="AK48">
            <v>-78428.467000000179</v>
          </cell>
          <cell r="AL48">
            <v>-90888.827000000281</v>
          </cell>
          <cell r="AN48">
            <v>-131073.77500000037</v>
          </cell>
          <cell r="AO48">
            <v>445183.66399999708</v>
          </cell>
          <cell r="AP48">
            <v>0</v>
          </cell>
          <cell r="AS48">
            <v>445183.66399999708</v>
          </cell>
          <cell r="AT48">
            <v>8177.7359999999999</v>
          </cell>
          <cell r="AU48">
            <v>5503.0349999999962</v>
          </cell>
          <cell r="AV48">
            <v>188169.72099999999</v>
          </cell>
          <cell r="BA48">
            <v>201850.492</v>
          </cell>
          <cell r="BB48">
            <v>0</v>
          </cell>
          <cell r="BC48">
            <v>6522</v>
          </cell>
          <cell r="BD48">
            <v>533648.35</v>
          </cell>
          <cell r="BE48">
            <v>0</v>
          </cell>
          <cell r="BF48">
            <v>0</v>
          </cell>
          <cell r="BG48">
            <v>0</v>
          </cell>
          <cell r="BJ48">
            <v>540170.35</v>
          </cell>
        </row>
        <row r="49">
          <cell r="F49">
            <v>9878265.9680000991</v>
          </cell>
          <cell r="G49">
            <v>1307831.2544164921</v>
          </cell>
          <cell r="H49">
            <v>1038617.5560813276</v>
          </cell>
          <cell r="I49">
            <v>504697.75909313146</v>
          </cell>
          <cell r="J49">
            <v>462647.87626022077</v>
          </cell>
          <cell r="K49">
            <v>955382.85915065184</v>
          </cell>
          <cell r="L49">
            <v>742586.50472836371</v>
          </cell>
          <cell r="M49">
            <v>312885.30960053141</v>
          </cell>
          <cell r="N49">
            <v>622020.52181974135</v>
          </cell>
          <cell r="O49">
            <v>275692.95288341399</v>
          </cell>
          <cell r="P49">
            <v>438334.66437900852</v>
          </cell>
          <cell r="Q49">
            <v>237194.93304758638</v>
          </cell>
          <cell r="R49">
            <v>491670.01671708102</v>
          </cell>
          <cell r="S49">
            <v>745842.48848577531</v>
          </cell>
          <cell r="T49">
            <v>140293.75482286516</v>
          </cell>
          <cell r="U49">
            <v>155469.52478754215</v>
          </cell>
          <cell r="V49">
            <v>407476.12511713745</v>
          </cell>
          <cell r="W49">
            <v>206039.63138107647</v>
          </cell>
          <cell r="X49">
            <v>0</v>
          </cell>
          <cell r="Y49">
            <v>0</v>
          </cell>
          <cell r="Z49">
            <v>9044683.7327719443</v>
          </cell>
          <cell r="AA49">
            <v>30859.135999999999</v>
          </cell>
          <cell r="AB49">
            <v>820.46699999999998</v>
          </cell>
          <cell r="AC49">
            <v>123.598</v>
          </cell>
          <cell r="AD49">
            <v>0</v>
          </cell>
          <cell r="AH49">
            <v>31803.201000000001</v>
          </cell>
          <cell r="AI49">
            <v>9076486.9337719437</v>
          </cell>
          <cell r="AJ49">
            <v>89320.516691286</v>
          </cell>
          <cell r="AK49">
            <v>62593.944136870079</v>
          </cell>
          <cell r="AL49">
            <v>53077.590400000001</v>
          </cell>
          <cell r="AN49">
            <v>204992.05122815608</v>
          </cell>
          <cell r="AO49">
            <v>618497.94000000006</v>
          </cell>
          <cell r="AP49">
            <v>0</v>
          </cell>
          <cell r="AS49">
            <v>618497.94000000006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61614.845000000001</v>
          </cell>
          <cell r="BD49">
            <v>0</v>
          </cell>
          <cell r="BE49">
            <v>-184440.255</v>
          </cell>
          <cell r="BF49">
            <v>101114.45299999999</v>
          </cell>
          <cell r="BG49">
            <v>0</v>
          </cell>
          <cell r="BJ49">
            <v>-21710.957000000009</v>
          </cell>
        </row>
        <row r="50">
          <cell r="F50">
            <v>-2936132.3670001477</v>
          </cell>
          <cell r="G50">
            <v>129539.38158350787</v>
          </cell>
          <cell r="H50">
            <v>-705611.62108132895</v>
          </cell>
          <cell r="I50">
            <v>-523852.04409313254</v>
          </cell>
          <cell r="J50">
            <v>-387762.16026022076</v>
          </cell>
          <cell r="K50">
            <v>37303.114849349484</v>
          </cell>
          <cell r="L50">
            <v>117855.36627163563</v>
          </cell>
          <cell r="M50">
            <v>-293791.02160053124</v>
          </cell>
          <cell r="N50">
            <v>-291931.66181974101</v>
          </cell>
          <cell r="O50">
            <v>-213618.63588341419</v>
          </cell>
          <cell r="P50">
            <v>-208173.60337900877</v>
          </cell>
          <cell r="Q50">
            <v>-470772.3280475866</v>
          </cell>
          <cell r="R50">
            <v>-54403.004717080912</v>
          </cell>
          <cell r="S50">
            <v>-327996.11148577405</v>
          </cell>
          <cell r="T50">
            <v>86653.01417713493</v>
          </cell>
          <cell r="U50">
            <v>67980.951212457876</v>
          </cell>
          <cell r="V50">
            <v>-161657.45411713736</v>
          </cell>
          <cell r="W50">
            <v>-86463.755381076306</v>
          </cell>
          <cell r="X50">
            <v>0</v>
          </cell>
          <cell r="Y50">
            <v>0</v>
          </cell>
          <cell r="Z50">
            <v>-3286701.5737719648</v>
          </cell>
          <cell r="AA50">
            <v>-30859.135999999999</v>
          </cell>
          <cell r="AB50">
            <v>-820.46699999999998</v>
          </cell>
          <cell r="AC50">
            <v>36873.284</v>
          </cell>
          <cell r="AD50">
            <v>91023.828999999998</v>
          </cell>
          <cell r="AH50">
            <v>96217.510000000009</v>
          </cell>
          <cell r="AI50">
            <v>-3190484.0637719687</v>
          </cell>
          <cell r="AJ50">
            <v>-51076.997691285913</v>
          </cell>
          <cell r="AK50">
            <v>-141022.41113687027</v>
          </cell>
          <cell r="AL50">
            <v>-143966.41740000027</v>
          </cell>
          <cell r="AN50">
            <v>-336065.82622815645</v>
          </cell>
          <cell r="AO50">
            <v>-173314.27600000298</v>
          </cell>
          <cell r="AP50">
            <v>0</v>
          </cell>
          <cell r="AS50">
            <v>-173314.27600000298</v>
          </cell>
          <cell r="AT50">
            <v>8177.7359999999999</v>
          </cell>
          <cell r="AU50">
            <v>5503.0349999999962</v>
          </cell>
          <cell r="AV50">
            <v>188169.72099999999</v>
          </cell>
          <cell r="BA50">
            <v>201850.492</v>
          </cell>
          <cell r="BB50">
            <v>0</v>
          </cell>
          <cell r="BC50">
            <v>-55092.845000000001</v>
          </cell>
          <cell r="BD50">
            <v>533648.35</v>
          </cell>
          <cell r="BE50">
            <v>184440.255</v>
          </cell>
          <cell r="BF50">
            <v>-101114.45299999999</v>
          </cell>
          <cell r="BG50">
            <v>0</v>
          </cell>
          <cell r="BJ50">
            <v>561881.30700000003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4" refreshError="1"/>
      <sheetData sheetId="15">
        <row r="7">
          <cell r="E7" t="str">
            <v>안양</v>
          </cell>
        </row>
      </sheetData>
      <sheetData sheetId="16">
        <row r="7">
          <cell r="E7" t="str">
            <v>안양</v>
          </cell>
        </row>
      </sheetData>
      <sheetData sheetId="17">
        <row r="7">
          <cell r="E7" t="str">
            <v>안양</v>
          </cell>
        </row>
      </sheetData>
      <sheetData sheetId="18">
        <row r="7">
          <cell r="E7" t="str">
            <v>안양</v>
          </cell>
        </row>
      </sheetData>
      <sheetData sheetId="19">
        <row r="7">
          <cell r="E7" t="str">
            <v>안양</v>
          </cell>
        </row>
      </sheetData>
      <sheetData sheetId="20">
        <row r="7">
          <cell r="E7" t="str">
            <v>안양</v>
          </cell>
        </row>
      </sheetData>
      <sheetData sheetId="21">
        <row r="7">
          <cell r="E7" t="str">
            <v>안양</v>
          </cell>
        </row>
      </sheetData>
      <sheetData sheetId="22">
        <row r="7">
          <cell r="E7" t="str">
            <v>안양</v>
          </cell>
        </row>
      </sheetData>
      <sheetData sheetId="23">
        <row r="7">
          <cell r="E7" t="str">
            <v>안양</v>
          </cell>
        </row>
      </sheetData>
      <sheetData sheetId="24">
        <row r="7">
          <cell r="E7" t="str">
            <v>안양</v>
          </cell>
        </row>
      </sheetData>
      <sheetData sheetId="25">
        <row r="7">
          <cell r="E7" t="str">
            <v>안양</v>
          </cell>
        </row>
      </sheetData>
      <sheetData sheetId="26" refreshError="1"/>
      <sheetData sheetId="27" refreshError="1"/>
      <sheetData sheetId="28" refreshError="1"/>
      <sheetData sheetId="29">
        <row r="7">
          <cell r="E7" t="str">
            <v>안양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3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111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G6" t="str">
            <v>안양</v>
          </cell>
        </row>
      </sheetData>
      <sheetData sheetId="8"/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F7"/>
          <cell r="G7">
            <v>40250</v>
          </cell>
          <cell r="H7">
            <v>33570</v>
          </cell>
          <cell r="I7">
            <v>13605</v>
          </cell>
          <cell r="J7">
            <v>12327</v>
          </cell>
          <cell r="K7">
            <v>20499</v>
          </cell>
          <cell r="L7">
            <v>19392</v>
          </cell>
          <cell r="M7">
            <v>11975</v>
          </cell>
          <cell r="N7">
            <v>23628.5</v>
          </cell>
          <cell r="O7">
            <v>6277</v>
          </cell>
          <cell r="P7">
            <v>12462</v>
          </cell>
          <cell r="Q7">
            <v>11731.5</v>
          </cell>
          <cell r="R7">
            <v>13906</v>
          </cell>
          <cell r="S7">
            <v>23173</v>
          </cell>
          <cell r="T7">
            <v>2568.5</v>
          </cell>
          <cell r="U7">
            <v>7043</v>
          </cell>
          <cell r="V7">
            <v>17106</v>
          </cell>
          <cell r="W7">
            <v>7339.5</v>
          </cell>
          <cell r="X7"/>
          <cell r="Y7"/>
          <cell r="Z7">
            <v>276853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276853</v>
          </cell>
          <cell r="AJ7">
            <v>25409</v>
          </cell>
          <cell r="AK7">
            <v>27056</v>
          </cell>
          <cell r="AL7">
            <v>15560</v>
          </cell>
          <cell r="AM7"/>
          <cell r="AN7">
            <v>68025</v>
          </cell>
          <cell r="AO7">
            <v>11123.664999999999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38977313.278999999</v>
          </cell>
          <cell r="G8">
            <v>3841771.1029999997</v>
          </cell>
          <cell r="H8">
            <v>3322184.7299999995</v>
          </cell>
          <cell r="I8">
            <v>1269888.8</v>
          </cell>
          <cell r="J8">
            <v>1182469.9639999999</v>
          </cell>
          <cell r="K8">
            <v>2136824.5</v>
          </cell>
          <cell r="L8">
            <v>1895218.6</v>
          </cell>
          <cell r="M8">
            <v>1030469.9</v>
          </cell>
          <cell r="N8">
            <v>2450840.7000000002</v>
          </cell>
          <cell r="O8">
            <v>579561.65</v>
          </cell>
          <cell r="P8">
            <v>1202330.7</v>
          </cell>
          <cell r="Q8">
            <v>1058224.45</v>
          </cell>
          <cell r="R8">
            <v>1439866.8</v>
          </cell>
          <cell r="S8">
            <v>2210582.0699999998</v>
          </cell>
          <cell r="T8">
            <v>290203.84999999998</v>
          </cell>
          <cell r="U8">
            <v>750896.75</v>
          </cell>
          <cell r="V8">
            <v>1690833.55</v>
          </cell>
          <cell r="W8">
            <v>910086.08100000001</v>
          </cell>
          <cell r="X8"/>
          <cell r="Y8"/>
          <cell r="Z8">
            <v>27262254.197999999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E8"/>
          <cell r="AF8"/>
          <cell r="AG8"/>
          <cell r="AH8">
            <v>43340</v>
          </cell>
          <cell r="AI8">
            <v>27305594.197999999</v>
          </cell>
          <cell r="AJ8">
            <v>749494</v>
          </cell>
          <cell r="AK8">
            <v>390312</v>
          </cell>
          <cell r="AL8">
            <v>309260</v>
          </cell>
          <cell r="AM8"/>
          <cell r="AN8">
            <v>1449066</v>
          </cell>
          <cell r="AO8">
            <v>10147504.217</v>
          </cell>
          <cell r="AP8">
            <v>0</v>
          </cell>
          <cell r="AQ8"/>
          <cell r="AR8"/>
          <cell r="AS8">
            <v>10147504.217</v>
          </cell>
          <cell r="AT8">
            <v>5512.5</v>
          </cell>
          <cell r="AU8">
            <v>5850</v>
          </cell>
          <cell r="AV8">
            <v>62125.714</v>
          </cell>
          <cell r="AW8"/>
          <cell r="AX8"/>
          <cell r="AY8"/>
          <cell r="AZ8"/>
          <cell r="BA8">
            <v>73488.214000000007</v>
          </cell>
          <cell r="BB8">
            <v>0</v>
          </cell>
          <cell r="BC8">
            <v>1660.65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1660.65</v>
          </cell>
          <cell r="BK8"/>
          <cell r="BL8"/>
          <cell r="BM8"/>
          <cell r="BN8"/>
          <cell r="BO8"/>
        </row>
        <row r="9">
          <cell r="F9"/>
          <cell r="G9">
            <v>95447.729267080736</v>
          </cell>
          <cell r="H9">
            <v>98962.905272564778</v>
          </cell>
          <cell r="I9">
            <v>93339.860345461231</v>
          </cell>
          <cell r="J9">
            <v>95925.201914496633</v>
          </cell>
          <cell r="K9">
            <v>104240.42636226157</v>
          </cell>
          <cell r="L9">
            <v>97731.982260726072</v>
          </cell>
          <cell r="M9">
            <v>86051.766179540704</v>
          </cell>
          <cell r="N9">
            <v>103723.92238186936</v>
          </cell>
          <cell r="O9">
            <v>92330.9941054644</v>
          </cell>
          <cell r="P9">
            <v>96479.754453538757</v>
          </cell>
          <cell r="Q9">
            <v>90203.678131526234</v>
          </cell>
          <cell r="R9">
            <v>103542.84481518769</v>
          </cell>
          <cell r="S9">
            <v>95394.729642256061</v>
          </cell>
          <cell r="T9">
            <v>112985.73097138407</v>
          </cell>
          <cell r="U9">
            <v>106616.03720005679</v>
          </cell>
          <cell r="V9">
            <v>98844.472699637568</v>
          </cell>
          <cell r="W9">
            <v>123998.37604741468</v>
          </cell>
          <cell r="X9"/>
          <cell r="Y9"/>
          <cell r="Z9">
            <v>98471.947921821324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98628.493092001896</v>
          </cell>
          <cell r="AJ9">
            <v>29497.186036443778</v>
          </cell>
          <cell r="AK9">
            <v>14426.079243051448</v>
          </cell>
          <cell r="AL9">
            <v>19875.321336760928</v>
          </cell>
          <cell r="AM9"/>
          <cell r="AN9"/>
          <cell r="AO9">
            <v>912244.67987843941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35243668.988779992</v>
          </cell>
          <cell r="G10">
            <v>3421032.7127800002</v>
          </cell>
          <cell r="H10">
            <v>2994575.4217300001</v>
          </cell>
          <cell r="I10">
            <v>1211901.2744600002</v>
          </cell>
          <cell r="J10">
            <v>1061906.57179</v>
          </cell>
          <cell r="K10">
            <v>1865153.5525199999</v>
          </cell>
          <cell r="L10">
            <v>1651165.9727400001</v>
          </cell>
          <cell r="M10">
            <v>996683.30646000011</v>
          </cell>
          <cell r="N10">
            <v>2106186.5485700001</v>
          </cell>
          <cell r="O10">
            <v>564546.20852999995</v>
          </cell>
          <cell r="P10">
            <v>1014461.97001</v>
          </cell>
          <cell r="Q10">
            <v>963410.12604999996</v>
          </cell>
          <cell r="R10">
            <v>1225796.1948199999</v>
          </cell>
          <cell r="S10">
            <v>1946101.53792</v>
          </cell>
          <cell r="T10">
            <v>259113.68677</v>
          </cell>
          <cell r="U10">
            <v>554147.61285000003</v>
          </cell>
          <cell r="V10">
            <v>1409690.4025300001</v>
          </cell>
          <cell r="W10">
            <v>751152.62994000001</v>
          </cell>
          <cell r="X10"/>
          <cell r="Y10"/>
          <cell r="Z10">
            <v>23997025.730469994</v>
          </cell>
          <cell r="AA10">
            <v>574.45600000000002</v>
          </cell>
          <cell r="AB10">
            <v>0</v>
          </cell>
          <cell r="AC10">
            <v>3407.4229999999998</v>
          </cell>
          <cell r="AD10">
            <v>8520.8359999999993</v>
          </cell>
          <cell r="AE10"/>
          <cell r="AF10"/>
          <cell r="AG10"/>
          <cell r="AH10">
            <v>12502.715</v>
          </cell>
          <cell r="AI10">
            <v>24009528.445469994</v>
          </cell>
          <cell r="AJ10">
            <v>707841.72025000001</v>
          </cell>
          <cell r="AK10">
            <v>259333.02333999999</v>
          </cell>
          <cell r="AL10">
            <v>286886.80671999994</v>
          </cell>
          <cell r="AM10"/>
          <cell r="AN10">
            <v>1254061.5503099998</v>
          </cell>
          <cell r="AO10">
            <v>9979760.3579999991</v>
          </cell>
          <cell r="AP10">
            <v>0</v>
          </cell>
          <cell r="AQ10"/>
          <cell r="AR10"/>
          <cell r="AS10">
            <v>9979760.3579999991</v>
          </cell>
          <cell r="AT10">
            <v>138.39099999999999</v>
          </cell>
          <cell r="AU10">
            <v>180.244</v>
          </cell>
          <cell r="AV10">
            <v>0</v>
          </cell>
          <cell r="AW10"/>
          <cell r="AX10"/>
          <cell r="AY10"/>
          <cell r="AZ10"/>
          <cell r="BA10">
            <v>318.63499999999999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84994.601559751565</v>
          </cell>
          <cell r="H11">
            <v>89203.914856419433</v>
          </cell>
          <cell r="I11">
            <v>89077.638696067632</v>
          </cell>
          <cell r="J11">
            <v>86144.769351018083</v>
          </cell>
          <cell r="K11">
            <v>90987.538539440953</v>
          </cell>
          <cell r="L11">
            <v>85146.760145420805</v>
          </cell>
          <cell r="M11">
            <v>83230.33874405011</v>
          </cell>
          <cell r="N11">
            <v>89137.54781598493</v>
          </cell>
          <cell r="O11">
            <v>89938.85750039827</v>
          </cell>
          <cell r="P11">
            <v>81404.427059059541</v>
          </cell>
          <cell r="Q11">
            <v>82121.649068746541</v>
          </cell>
          <cell r="R11">
            <v>88148.726795627779</v>
          </cell>
          <cell r="S11">
            <v>83981.423981357628</v>
          </cell>
          <cell r="T11">
            <v>100881.32636558302</v>
          </cell>
          <cell r="U11">
            <v>78680.620878886839</v>
          </cell>
          <cell r="V11">
            <v>82409.119755056701</v>
          </cell>
          <cell r="W11">
            <v>102343.84221540976</v>
          </cell>
          <cell r="X11"/>
          <cell r="Y11"/>
          <cell r="Z11">
            <v>86677.860563078575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86723.020684153671</v>
          </cell>
          <cell r="AJ11">
            <v>27857.913347632726</v>
          </cell>
          <cell r="AK11">
            <v>9585.0466935245404</v>
          </cell>
          <cell r="AL11">
            <v>18437.455444730072</v>
          </cell>
          <cell r="AM11"/>
          <cell r="AN11"/>
          <cell r="AO11">
            <v>897164.77060393314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3733644.2902200073</v>
          </cell>
          <cell r="G12">
            <v>420738.39021999948</v>
          </cell>
          <cell r="H12">
            <v>327609.30826999946</v>
          </cell>
          <cell r="I12">
            <v>57987.525539999828</v>
          </cell>
          <cell r="J12">
            <v>120563.39220999996</v>
          </cell>
          <cell r="K12">
            <v>271670.94748000009</v>
          </cell>
          <cell r="L12">
            <v>244052.62725999998</v>
          </cell>
          <cell r="M12">
            <v>33786.593539999914</v>
          </cell>
          <cell r="N12">
            <v>344654.15143000009</v>
          </cell>
          <cell r="O12">
            <v>15015.441470000078</v>
          </cell>
          <cell r="P12">
            <v>187868.72998999991</v>
          </cell>
          <cell r="Q12">
            <v>94814.323949999991</v>
          </cell>
          <cell r="R12">
            <v>214070.60518000019</v>
          </cell>
          <cell r="S12">
            <v>264480.5320799998</v>
          </cell>
          <cell r="T12">
            <v>31090.163229999976</v>
          </cell>
          <cell r="U12">
            <v>196749.13714999997</v>
          </cell>
          <cell r="V12">
            <v>281143.14746999997</v>
          </cell>
          <cell r="W12">
            <v>158933.45105999999</v>
          </cell>
          <cell r="X12"/>
          <cell r="Y12"/>
          <cell r="Z12">
            <v>3265228.4675299982</v>
          </cell>
          <cell r="AA12">
            <v>-574.45600000000002</v>
          </cell>
          <cell r="AB12">
            <v>0</v>
          </cell>
          <cell r="AC12">
            <v>9092.5770000000011</v>
          </cell>
          <cell r="AD12">
            <v>22319.164000000001</v>
          </cell>
          <cell r="AE12"/>
          <cell r="AF12"/>
          <cell r="AG12"/>
          <cell r="AH12">
            <v>30837.285</v>
          </cell>
          <cell r="AI12">
            <v>3296065.7525300048</v>
          </cell>
          <cell r="AJ12">
            <v>41652.279749999987</v>
          </cell>
          <cell r="AK12">
            <v>130978.97666000001</v>
          </cell>
          <cell r="AL12">
            <v>22373.193280000065</v>
          </cell>
          <cell r="AM12"/>
          <cell r="AN12">
            <v>195004.44969000015</v>
          </cell>
          <cell r="AO12">
            <v>167743.8590000011</v>
          </cell>
          <cell r="AP12">
            <v>0</v>
          </cell>
          <cell r="AQ12"/>
          <cell r="AR12"/>
          <cell r="AS12">
            <v>167743.8590000011</v>
          </cell>
          <cell r="AT12">
            <v>5374.1090000000004</v>
          </cell>
          <cell r="AU12">
            <v>5669.7560000000003</v>
          </cell>
          <cell r="AV12">
            <v>62125.714</v>
          </cell>
          <cell r="AW12"/>
          <cell r="AX12"/>
          <cell r="AY12"/>
          <cell r="AZ12"/>
          <cell r="BA12">
            <v>73169.578999999998</v>
          </cell>
          <cell r="BB12">
            <v>0</v>
          </cell>
          <cell r="BC12">
            <v>1660.65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/>
          <cell r="BJ12">
            <v>1660.65</v>
          </cell>
          <cell r="BK12"/>
          <cell r="BL12"/>
          <cell r="BM12"/>
          <cell r="BN12"/>
          <cell r="BO12"/>
        </row>
        <row r="13">
          <cell r="F13">
            <v>823491.27899999986</v>
          </cell>
          <cell r="G13">
            <v>69176.744999999995</v>
          </cell>
          <cell r="H13">
            <v>69616.657999999996</v>
          </cell>
          <cell r="I13">
            <v>52487.082999999999</v>
          </cell>
          <cell r="J13">
            <v>37644.355000000003</v>
          </cell>
          <cell r="K13">
            <v>54240.042000000001</v>
          </cell>
          <cell r="L13">
            <v>50332.964999999997</v>
          </cell>
          <cell r="M13">
            <v>39860.15</v>
          </cell>
          <cell r="N13">
            <v>42626.705999999998</v>
          </cell>
          <cell r="O13">
            <v>28825.877</v>
          </cell>
          <cell r="P13">
            <v>29763.690999999999</v>
          </cell>
          <cell r="Q13">
            <v>28524.932000000001</v>
          </cell>
          <cell r="R13">
            <v>23944.023000000001</v>
          </cell>
          <cell r="S13">
            <v>50944.065999999999</v>
          </cell>
          <cell r="T13">
            <v>10556.001</v>
          </cell>
          <cell r="U13">
            <v>11673.427</v>
          </cell>
          <cell r="V13">
            <v>32428.981</v>
          </cell>
          <cell r="W13">
            <v>17709.206000000002</v>
          </cell>
          <cell r="X13"/>
          <cell r="Y13"/>
          <cell r="Z13">
            <v>650354.90799999994</v>
          </cell>
          <cell r="AA13">
            <v>1971.5160000000001</v>
          </cell>
          <cell r="AB13">
            <v>174.78200000000001</v>
          </cell>
          <cell r="AC13">
            <v>0</v>
          </cell>
          <cell r="AD13">
            <v>0</v>
          </cell>
          <cell r="AE13"/>
          <cell r="AF13"/>
          <cell r="AG13"/>
          <cell r="AH13">
            <v>2146.2980000000002</v>
          </cell>
          <cell r="AI13">
            <v>652501.20600000001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162298.98499999999</v>
          </cell>
          <cell r="AP13">
            <v>0</v>
          </cell>
          <cell r="AQ13"/>
          <cell r="AR13"/>
          <cell r="AS13">
            <v>162298.98499999999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8691.0879999999997</v>
          </cell>
          <cell r="BG13">
            <v>0</v>
          </cell>
          <cell r="BH13">
            <v>0</v>
          </cell>
          <cell r="BI13"/>
          <cell r="BJ13">
            <v>8691.0879999999997</v>
          </cell>
          <cell r="BK13"/>
          <cell r="BL13"/>
          <cell r="BM13"/>
          <cell r="BN13"/>
          <cell r="BO13"/>
        </row>
        <row r="14">
          <cell r="F14">
            <v>531615.90799999994</v>
          </cell>
          <cell r="G14">
            <v>45824.235999999997</v>
          </cell>
          <cell r="H14">
            <v>46301.198999999993</v>
          </cell>
          <cell r="I14">
            <v>34638.027999999998</v>
          </cell>
          <cell r="J14">
            <v>26325.045000000002</v>
          </cell>
          <cell r="K14">
            <v>34357.531999999999</v>
          </cell>
          <cell r="L14">
            <v>35821.824999999997</v>
          </cell>
          <cell r="M14">
            <v>27388.455000000002</v>
          </cell>
          <cell r="N14">
            <v>27498.442999999996</v>
          </cell>
          <cell r="O14">
            <v>19532.807000000001</v>
          </cell>
          <cell r="P14">
            <v>19208.598999999998</v>
          </cell>
          <cell r="Q14">
            <v>20308.109</v>
          </cell>
          <cell r="R14">
            <v>18819.579000000002</v>
          </cell>
          <cell r="S14">
            <v>32586.840999999997</v>
          </cell>
          <cell r="T14">
            <v>7515.6970000000001</v>
          </cell>
          <cell r="U14">
            <v>7570.5159999999996</v>
          </cell>
          <cell r="V14">
            <v>22264.538</v>
          </cell>
          <cell r="W14">
            <v>10860.244000000001</v>
          </cell>
          <cell r="X14"/>
          <cell r="Y14"/>
          <cell r="Z14">
            <v>436821.69299999997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436821.69299999997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94794.214999999997</v>
          </cell>
          <cell r="AP14">
            <v>0</v>
          </cell>
          <cell r="AQ14"/>
          <cell r="AR14"/>
          <cell r="AS14">
            <v>94794.214999999997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291875.37099999998</v>
          </cell>
          <cell r="G15">
            <v>23352.508999999998</v>
          </cell>
          <cell r="H15">
            <v>23315.458999999999</v>
          </cell>
          <cell r="I15">
            <v>17849.055</v>
          </cell>
          <cell r="J15">
            <v>11319.31</v>
          </cell>
          <cell r="K15">
            <v>19882.509999999998</v>
          </cell>
          <cell r="L15">
            <v>14511.140000000001</v>
          </cell>
          <cell r="M15">
            <v>12471.695</v>
          </cell>
          <cell r="N15">
            <v>15128.263000000001</v>
          </cell>
          <cell r="O15">
            <v>9293.0700000000015</v>
          </cell>
          <cell r="P15">
            <v>10555.092000000001</v>
          </cell>
          <cell r="Q15">
            <v>8216.8230000000003</v>
          </cell>
          <cell r="R15">
            <v>5124.4440000000004</v>
          </cell>
          <cell r="S15">
            <v>18357.225000000002</v>
          </cell>
          <cell r="T15">
            <v>3040.3040000000001</v>
          </cell>
          <cell r="U15">
            <v>4102.9110000000001</v>
          </cell>
          <cell r="V15">
            <v>10164.443000000001</v>
          </cell>
          <cell r="W15">
            <v>6848.9620000000004</v>
          </cell>
          <cell r="X15"/>
          <cell r="Y15"/>
          <cell r="Z15">
            <v>213533.215</v>
          </cell>
          <cell r="AA15">
            <v>1971.5160000000001</v>
          </cell>
          <cell r="AB15">
            <v>174.78200000000001</v>
          </cell>
          <cell r="AC15">
            <v>0</v>
          </cell>
          <cell r="AD15">
            <v>0</v>
          </cell>
          <cell r="AE15"/>
          <cell r="AF15"/>
          <cell r="AG15"/>
          <cell r="AH15">
            <v>2146.2980000000002</v>
          </cell>
          <cell r="AI15">
            <v>215679.51300000001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67504.77</v>
          </cell>
          <cell r="AP15">
            <v>0</v>
          </cell>
          <cell r="AQ15"/>
          <cell r="AR15"/>
          <cell r="AS15">
            <v>67504.77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8691.0879999999997</v>
          </cell>
          <cell r="BG15">
            <v>0</v>
          </cell>
          <cell r="BH15">
            <v>0</v>
          </cell>
          <cell r="BI15"/>
          <cell r="BJ15">
            <v>8691.0879999999997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2910153.0112200072</v>
          </cell>
          <cell r="G17">
            <v>351561.64521999948</v>
          </cell>
          <cell r="H17">
            <v>257992.65026999946</v>
          </cell>
          <cell r="I17">
            <v>5500.442539999829</v>
          </cell>
          <cell r="J17">
            <v>82919.037209999951</v>
          </cell>
          <cell r="K17">
            <v>217430.90548000007</v>
          </cell>
          <cell r="L17">
            <v>193719.66225999998</v>
          </cell>
          <cell r="M17">
            <v>-6073.5564600000871</v>
          </cell>
          <cell r="N17">
            <v>302027.44543000008</v>
          </cell>
          <cell r="O17">
            <v>-13810.435529999922</v>
          </cell>
          <cell r="P17">
            <v>158105.03898999991</v>
          </cell>
          <cell r="Q17">
            <v>66289.39194999999</v>
          </cell>
          <cell r="R17">
            <v>190126.5821800002</v>
          </cell>
          <cell r="S17">
            <v>213536.46607999981</v>
          </cell>
          <cell r="T17">
            <v>20534.162229999976</v>
          </cell>
          <cell r="U17">
            <v>185075.71014999997</v>
          </cell>
          <cell r="V17">
            <v>248714.16646999997</v>
          </cell>
          <cell r="W17">
            <v>141224.24505999999</v>
          </cell>
          <cell r="X17"/>
          <cell r="Y17"/>
          <cell r="Z17">
            <v>2614873.5595299983</v>
          </cell>
          <cell r="AA17">
            <v>-2545.9720000000002</v>
          </cell>
          <cell r="AB17">
            <v>-174.78200000000001</v>
          </cell>
          <cell r="AC17">
            <v>9092.5770000000011</v>
          </cell>
          <cell r="AD17">
            <v>22319.164000000001</v>
          </cell>
          <cell r="AE17"/>
          <cell r="AF17"/>
          <cell r="AG17"/>
          <cell r="AH17">
            <v>28690.987000000001</v>
          </cell>
          <cell r="AI17">
            <v>2643564.5465300046</v>
          </cell>
          <cell r="AJ17">
            <v>41652.279749999987</v>
          </cell>
          <cell r="AK17">
            <v>130978.97666000001</v>
          </cell>
          <cell r="AL17">
            <v>22373.193280000065</v>
          </cell>
          <cell r="AM17"/>
          <cell r="AN17">
            <v>195004.44969000015</v>
          </cell>
          <cell r="AO17">
            <v>5444.8740000011167</v>
          </cell>
          <cell r="AP17">
            <v>0</v>
          </cell>
          <cell r="AQ17"/>
          <cell r="AR17"/>
          <cell r="AS17">
            <v>5444.8740000011167</v>
          </cell>
          <cell r="AT17">
            <v>5374.1090000000004</v>
          </cell>
          <cell r="AU17">
            <v>5669.7560000000003</v>
          </cell>
          <cell r="AV17">
            <v>62125.714</v>
          </cell>
          <cell r="AW17"/>
          <cell r="AX17"/>
          <cell r="AY17"/>
          <cell r="AZ17"/>
          <cell r="BA17">
            <v>73169.578999999998</v>
          </cell>
          <cell r="BB17">
            <v>0</v>
          </cell>
          <cell r="BC17">
            <v>1660.65</v>
          </cell>
          <cell r="BD17">
            <v>0</v>
          </cell>
          <cell r="BE17">
            <v>0</v>
          </cell>
          <cell r="BF17">
            <v>-8691.0879999999997</v>
          </cell>
          <cell r="BG17">
            <v>0</v>
          </cell>
          <cell r="BH17">
            <v>0</v>
          </cell>
          <cell r="BI17"/>
          <cell r="BJ17">
            <v>-7030.4380000000001</v>
          </cell>
          <cell r="BK17"/>
          <cell r="BL17"/>
          <cell r="BM17"/>
          <cell r="BN17"/>
          <cell r="BO17"/>
        </row>
        <row r="18">
          <cell r="F18">
            <v>602047.32921</v>
          </cell>
          <cell r="G18">
            <v>30545.06322</v>
          </cell>
          <cell r="H18">
            <v>35456.081270000002</v>
          </cell>
          <cell r="I18">
            <v>20654.574539999998</v>
          </cell>
          <cell r="J18">
            <v>18086.447210000002</v>
          </cell>
          <cell r="K18">
            <v>104919.11348</v>
          </cell>
          <cell r="L18">
            <v>37853.496259999993</v>
          </cell>
          <cell r="M18">
            <v>16831.284540000001</v>
          </cell>
          <cell r="N18">
            <v>21936.23143</v>
          </cell>
          <cell r="O18">
            <v>12606.770469999999</v>
          </cell>
          <cell r="P18">
            <v>31684.601989999999</v>
          </cell>
          <cell r="Q18">
            <v>15590.675950000001</v>
          </cell>
          <cell r="R18">
            <v>15225.626179999999</v>
          </cell>
          <cell r="S18">
            <v>36262.857079999994</v>
          </cell>
          <cell r="T18">
            <v>6282.5892300000005</v>
          </cell>
          <cell r="U18">
            <v>11124.040150000001</v>
          </cell>
          <cell r="V18">
            <v>21365.849469999997</v>
          </cell>
          <cell r="W18">
            <v>12779.37406</v>
          </cell>
          <cell r="X18"/>
          <cell r="Y18"/>
          <cell r="Z18">
            <v>449204.67653</v>
          </cell>
          <cell r="AA18">
            <v>5669.0559999999996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5669.0559999999996</v>
          </cell>
          <cell r="AI18">
            <v>454873.73252999998</v>
          </cell>
          <cell r="AJ18">
            <v>36728.873749999999</v>
          </cell>
          <cell r="AK18">
            <v>13458.854660000001</v>
          </cell>
          <cell r="AL18">
            <v>41852.149270000002</v>
          </cell>
          <cell r="AM18"/>
          <cell r="AN18">
            <v>92039.877680000005</v>
          </cell>
          <cell r="AO18">
            <v>5716.42</v>
          </cell>
          <cell r="AP18">
            <v>0</v>
          </cell>
          <cell r="AQ18"/>
          <cell r="AR18"/>
          <cell r="AS18">
            <v>5716.42</v>
          </cell>
          <cell r="AT18">
            <v>1312.8920000000001</v>
          </cell>
          <cell r="AU18">
            <v>8489.6129999999994</v>
          </cell>
          <cell r="AV18">
            <v>0</v>
          </cell>
          <cell r="AW18"/>
          <cell r="AX18"/>
          <cell r="AY18"/>
          <cell r="AZ18"/>
          <cell r="BA18">
            <v>9802.5049999999992</v>
          </cell>
          <cell r="BB18">
            <v>0</v>
          </cell>
          <cell r="BC18">
            <v>17153.462</v>
          </cell>
          <cell r="BD18">
            <v>0</v>
          </cell>
          <cell r="BE18">
            <v>0</v>
          </cell>
          <cell r="BF18">
            <v>22461.331999999999</v>
          </cell>
          <cell r="BG18">
            <v>0</v>
          </cell>
          <cell r="BH18">
            <v>0</v>
          </cell>
          <cell r="BI18"/>
          <cell r="BJ18">
            <v>39614.793999999994</v>
          </cell>
          <cell r="BK18"/>
          <cell r="BL18"/>
          <cell r="BM18"/>
          <cell r="BN18"/>
          <cell r="BO18"/>
        </row>
        <row r="19">
          <cell r="F19">
            <v>529954.32221000001</v>
          </cell>
          <cell r="G19">
            <v>28217.43922</v>
          </cell>
          <cell r="H19">
            <v>33510.94627</v>
          </cell>
          <cell r="I19">
            <v>18883.330539999999</v>
          </cell>
          <cell r="J19">
            <v>16894.461210000001</v>
          </cell>
          <cell r="K19">
            <v>103043.04848</v>
          </cell>
          <cell r="L19">
            <v>36289.095259999995</v>
          </cell>
          <cell r="M19">
            <v>15637.687539999999</v>
          </cell>
          <cell r="N19">
            <v>20372.92943</v>
          </cell>
          <cell r="O19">
            <v>11856.73647</v>
          </cell>
          <cell r="P19">
            <v>30465.83599</v>
          </cell>
          <cell r="Q19">
            <v>14765.46695</v>
          </cell>
          <cell r="R19">
            <v>14410.705179999999</v>
          </cell>
          <cell r="S19">
            <v>34674.649079999996</v>
          </cell>
          <cell r="T19">
            <v>5912.1902300000002</v>
          </cell>
          <cell r="U19">
            <v>10681.17115</v>
          </cell>
          <cell r="V19">
            <v>20542.246469999998</v>
          </cell>
          <cell r="W19">
            <v>11954.00006</v>
          </cell>
          <cell r="X19"/>
          <cell r="Y19"/>
          <cell r="Z19">
            <v>428111.93952999997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0</v>
          </cell>
          <cell r="AI19">
            <v>428111.93952999997</v>
          </cell>
          <cell r="AJ19">
            <v>36728.873749999999</v>
          </cell>
          <cell r="AK19">
            <v>13458.854660000001</v>
          </cell>
          <cell r="AL19">
            <v>41852.149270000002</v>
          </cell>
          <cell r="AM19"/>
          <cell r="AN19">
            <v>92039.877680000005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8489.6129999999994</v>
          </cell>
          <cell r="AV19">
            <v>0</v>
          </cell>
          <cell r="AW19"/>
          <cell r="AX19"/>
          <cell r="AY19"/>
          <cell r="AZ19"/>
          <cell r="BA19">
            <v>9802.5049999999992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72093.006999999983</v>
          </cell>
          <cell r="G20">
            <v>2327.6239999999998</v>
          </cell>
          <cell r="H20">
            <v>1945.135</v>
          </cell>
          <cell r="I20">
            <v>1771.2439999999999</v>
          </cell>
          <cell r="J20">
            <v>1191.9860000000001</v>
          </cell>
          <cell r="K20">
            <v>1876.0650000000001</v>
          </cell>
          <cell r="L20">
            <v>1564.4010000000001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1218.7660000000001</v>
          </cell>
          <cell r="Q20">
            <v>825.20899999999995</v>
          </cell>
          <cell r="R20">
            <v>814.92100000000005</v>
          </cell>
          <cell r="S20">
            <v>1588.2080000000001</v>
          </cell>
          <cell r="T20">
            <v>370.399</v>
          </cell>
          <cell r="U20">
            <v>442.86900000000003</v>
          </cell>
          <cell r="V20">
            <v>823.60299999999995</v>
          </cell>
          <cell r="W20">
            <v>825.37400000000002</v>
          </cell>
          <cell r="X20"/>
          <cell r="Y20"/>
          <cell r="Z20">
            <v>21092.736999999997</v>
          </cell>
          <cell r="AA20">
            <v>5669.0559999999996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5669.0559999999996</v>
          </cell>
          <cell r="AI20">
            <v>26761.792999999998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5716.42</v>
          </cell>
          <cell r="AP20">
            <v>0</v>
          </cell>
          <cell r="AQ20"/>
          <cell r="AR20"/>
          <cell r="AS20">
            <v>5716.42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17153.462</v>
          </cell>
          <cell r="BD20">
            <v>0</v>
          </cell>
          <cell r="BE20">
            <v>0</v>
          </cell>
          <cell r="BF20">
            <v>22461.331999999999</v>
          </cell>
          <cell r="BG20">
            <v>0</v>
          </cell>
          <cell r="BH20">
            <v>0</v>
          </cell>
          <cell r="BI20"/>
          <cell r="BJ20">
            <v>39614.793999999994</v>
          </cell>
          <cell r="BK20"/>
          <cell r="BL20"/>
          <cell r="BM20"/>
          <cell r="BN20"/>
          <cell r="BO20"/>
        </row>
        <row r="21">
          <cell r="F21">
            <v>2308105.6820100071</v>
          </cell>
          <cell r="G21">
            <v>321016.58199999947</v>
          </cell>
          <cell r="H21">
            <v>222536.56899999946</v>
          </cell>
          <cell r="I21">
            <v>-15154.132000000169</v>
          </cell>
          <cell r="J21">
            <v>64832.589999999953</v>
          </cell>
          <cell r="K21">
            <v>112511.79200000007</v>
          </cell>
          <cell r="L21">
            <v>155866.166</v>
          </cell>
          <cell r="M21">
            <v>-22904.841000000088</v>
          </cell>
          <cell r="N21">
            <v>280091.21400000009</v>
          </cell>
          <cell r="O21">
            <v>-26417.205999999922</v>
          </cell>
          <cell r="P21">
            <v>126420.43699999992</v>
          </cell>
          <cell r="Q21">
            <v>50698.715999999986</v>
          </cell>
          <cell r="R21">
            <v>174900.95600000021</v>
          </cell>
          <cell r="S21">
            <v>177273.60899999982</v>
          </cell>
          <cell r="T21">
            <v>14251.572999999975</v>
          </cell>
          <cell r="U21">
            <v>173951.66999999998</v>
          </cell>
          <cell r="V21">
            <v>227348.31699999998</v>
          </cell>
          <cell r="W21">
            <v>128444.87099999998</v>
          </cell>
          <cell r="X21"/>
          <cell r="Y21"/>
          <cell r="Z21">
            <v>2165668.8829999985</v>
          </cell>
          <cell r="AA21">
            <v>-8215.0280000000002</v>
          </cell>
          <cell r="AB21">
            <v>-174.78200000000001</v>
          </cell>
          <cell r="AC21">
            <v>9092.5770000000011</v>
          </cell>
          <cell r="AD21">
            <v>22319.164000000001</v>
          </cell>
          <cell r="AE21"/>
          <cell r="AF21"/>
          <cell r="AG21"/>
          <cell r="AH21">
            <v>23021.931</v>
          </cell>
          <cell r="AI21">
            <v>2188690.8140000044</v>
          </cell>
          <cell r="AJ21">
            <v>4923.4059999999881</v>
          </cell>
          <cell r="AK21">
            <v>117520.12200000002</v>
          </cell>
          <cell r="AL21">
            <v>-19478.955989999937</v>
          </cell>
          <cell r="AM21"/>
          <cell r="AN21">
            <v>102964.57201000015</v>
          </cell>
          <cell r="AO21">
            <v>-271.54599999888342</v>
          </cell>
          <cell r="AP21">
            <v>0</v>
          </cell>
          <cell r="AQ21"/>
          <cell r="AR21"/>
          <cell r="AS21">
            <v>-271.54599999888342</v>
          </cell>
          <cell r="AT21">
            <v>4061.2170000000006</v>
          </cell>
          <cell r="AU21">
            <v>-2819.8569999999991</v>
          </cell>
          <cell r="AV21">
            <v>62125.714</v>
          </cell>
          <cell r="AW21"/>
          <cell r="AX21"/>
          <cell r="AY21"/>
          <cell r="AZ21"/>
          <cell r="BA21">
            <v>63367.074000000001</v>
          </cell>
          <cell r="BB21">
            <v>0</v>
          </cell>
          <cell r="BC21">
            <v>-15492.812</v>
          </cell>
          <cell r="BD21">
            <v>0</v>
          </cell>
          <cell r="BE21">
            <v>0</v>
          </cell>
          <cell r="BF21">
            <v>-31152.42</v>
          </cell>
          <cell r="BG21">
            <v>0</v>
          </cell>
          <cell r="BH21">
            <v>0</v>
          </cell>
          <cell r="BI21"/>
          <cell r="BJ21">
            <v>-46645.231999999996</v>
          </cell>
          <cell r="BK21"/>
          <cell r="BL21"/>
          <cell r="BM21"/>
          <cell r="BN21"/>
          <cell r="BO21"/>
        </row>
        <row r="22">
          <cell r="F22">
            <v>1700556.4970035343</v>
          </cell>
          <cell r="G22">
            <v>227891.25213547915</v>
          </cell>
          <cell r="H22">
            <v>197069.74144135226</v>
          </cell>
          <cell r="I22">
            <v>75328.940987357186</v>
          </cell>
          <cell r="J22">
            <v>70143.315018983034</v>
          </cell>
          <cell r="K22">
            <v>133599.73986163657</v>
          </cell>
          <cell r="L22">
            <v>118493.92027325362</v>
          </cell>
          <cell r="M22">
            <v>64427.617043536622</v>
          </cell>
          <cell r="N22">
            <v>153232.83683910925</v>
          </cell>
          <cell r="O22">
            <v>36235.678537840082</v>
          </cell>
          <cell r="P22">
            <v>75172.794372050383</v>
          </cell>
          <cell r="Q22">
            <v>66162.902585225602</v>
          </cell>
          <cell r="R22">
            <v>90024.159642220067</v>
          </cell>
          <cell r="S22">
            <v>131108.76991517172</v>
          </cell>
          <cell r="T22">
            <v>17211.878407277145</v>
          </cell>
          <cell r="U22">
            <v>44535.396609726522</v>
          </cell>
          <cell r="V22">
            <v>100282.68566921067</v>
          </cell>
          <cell r="W22">
            <v>53976.854429489409</v>
          </cell>
          <cell r="X22"/>
          <cell r="Y22"/>
          <cell r="Z22">
            <v>1654898.4837689195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1654898.4837689195</v>
          </cell>
          <cell r="AJ22">
            <v>23615.492302362803</v>
          </cell>
          <cell r="AK22">
            <v>12298.177212252307</v>
          </cell>
          <cell r="AL22">
            <v>9744.3437200000008</v>
          </cell>
          <cell r="AM22"/>
          <cell r="AN22">
            <v>45658.013234615108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224466.32400353433</v>
          </cell>
          <cell r="G23">
            <v>19882.019631525414</v>
          </cell>
          <cell r="H23">
            <v>17193.044627212388</v>
          </cell>
          <cell r="I23">
            <v>6571.9568851299809</v>
          </cell>
          <cell r="J23">
            <v>6119.5449722599333</v>
          </cell>
          <cell r="K23">
            <v>17903.303940830279</v>
          </cell>
          <cell r="L23">
            <v>15879.017968071243</v>
          </cell>
          <cell r="M23">
            <v>8633.7534138049159</v>
          </cell>
          <cell r="N23">
            <v>20534.276896702209</v>
          </cell>
          <cell r="O23">
            <v>4855.8355505560239</v>
          </cell>
          <cell r="P23">
            <v>10073.682681704198</v>
          </cell>
          <cell r="Q23">
            <v>8866.2938701647963</v>
          </cell>
          <cell r="R23">
            <v>12063.869987783595</v>
          </cell>
          <cell r="S23">
            <v>11418.796868981808</v>
          </cell>
          <cell r="T23">
            <v>1499.0526064234596</v>
          </cell>
          <cell r="U23">
            <v>3878.7691143394718</v>
          </cell>
          <cell r="V23">
            <v>8734.0276159524801</v>
          </cell>
          <cell r="W23">
            <v>4701.0641374770248</v>
          </cell>
          <cell r="X23"/>
          <cell r="Y23"/>
          <cell r="Z23">
            <v>178808.31076891924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178808.31076891924</v>
          </cell>
          <cell r="AJ23">
            <v>23615.492302362803</v>
          </cell>
          <cell r="AK23">
            <v>12298.177212252307</v>
          </cell>
          <cell r="AL23">
            <v>9744.3437200000008</v>
          </cell>
          <cell r="AM23"/>
          <cell r="AN23">
            <v>45658.013234615108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390462.98200000002</v>
          </cell>
          <cell r="G24">
            <v>55023.674496764696</v>
          </cell>
          <cell r="H24">
            <v>47581.911129191525</v>
          </cell>
          <cell r="I24">
            <v>18187.951885973445</v>
          </cell>
          <cell r="J24">
            <v>16935.897703673541</v>
          </cell>
          <cell r="K24">
            <v>30604.617660041782</v>
          </cell>
          <cell r="L24">
            <v>27144.222951018979</v>
          </cell>
          <cell r="M24">
            <v>14758.880432006225</v>
          </cell>
          <cell r="N24">
            <v>35102.107154410274</v>
          </cell>
          <cell r="O24">
            <v>8300.7578341941298</v>
          </cell>
          <cell r="P24">
            <v>17220.352618771638</v>
          </cell>
          <cell r="Q24">
            <v>15156.39430882508</v>
          </cell>
          <cell r="R24">
            <v>20622.45771488854</v>
          </cell>
          <cell r="S24">
            <v>31661.008687654838</v>
          </cell>
          <cell r="T24">
            <v>4156.437682515394</v>
          </cell>
          <cell r="U24">
            <v>10754.700695315865</v>
          </cell>
          <cell r="V24">
            <v>24216.922973562469</v>
          </cell>
          <cell r="W24">
            <v>13034.686071191534</v>
          </cell>
          <cell r="X24"/>
          <cell r="Y24"/>
          <cell r="Z24">
            <v>390462.98200000002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390462.98200000002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1085627.1910000001</v>
          </cell>
          <cell r="G25">
            <v>152985.55800718904</v>
          </cell>
          <cell r="H25">
            <v>132294.78568494835</v>
          </cell>
          <cell r="I25">
            <v>50569.032216253756</v>
          </cell>
          <cell r="J25">
            <v>47087.872343049567</v>
          </cell>
          <cell r="K25">
            <v>85091.818260764499</v>
          </cell>
          <cell r="L25">
            <v>75470.679354163396</v>
          </cell>
          <cell r="M25">
            <v>41034.98319772548</v>
          </cell>
          <cell r="N25">
            <v>97596.452787996779</v>
          </cell>
          <cell r="O25">
            <v>23079.085153089927</v>
          </cell>
          <cell r="P25">
            <v>47878.759071574554</v>
          </cell>
          <cell r="Q25">
            <v>42140.214406235726</v>
          </cell>
          <cell r="R25">
            <v>57337.831939547934</v>
          </cell>
          <cell r="S25">
            <v>88028.964358535086</v>
          </cell>
          <cell r="T25">
            <v>11556.388118338291</v>
          </cell>
          <cell r="U25">
            <v>29901.926800071185</v>
          </cell>
          <cell r="V25">
            <v>67331.735079695718</v>
          </cell>
          <cell r="W25">
            <v>36241.104220820846</v>
          </cell>
          <cell r="X25"/>
          <cell r="Y25"/>
          <cell r="Z25">
            <v>1085627.1910000001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1085627.1910000001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607549.18500647275</v>
          </cell>
          <cell r="G26">
            <v>93125.329864520318</v>
          </cell>
          <cell r="H26">
            <v>25466.827558647201</v>
          </cell>
          <cell r="I26">
            <v>-90483.072987357358</v>
          </cell>
          <cell r="J26">
            <v>-5310.7250189830811</v>
          </cell>
          <cell r="K26">
            <v>-21087.947861636494</v>
          </cell>
          <cell r="L26">
            <v>37372.245726746376</v>
          </cell>
          <cell r="M26">
            <v>-87332.45804353671</v>
          </cell>
          <cell r="N26">
            <v>126858.37716089084</v>
          </cell>
          <cell r="O26">
            <v>-62652.88453784</v>
          </cell>
          <cell r="P26">
            <v>51247.642627949535</v>
          </cell>
          <cell r="Q26">
            <v>-15464.186585225616</v>
          </cell>
          <cell r="R26">
            <v>84876.796357780142</v>
          </cell>
          <cell r="S26">
            <v>46164.839084828098</v>
          </cell>
          <cell r="T26">
            <v>-2960.3054072771702</v>
          </cell>
          <cell r="U26">
            <v>129416.27339027346</v>
          </cell>
          <cell r="V26">
            <v>127065.63133078931</v>
          </cell>
          <cell r="W26">
            <v>74468.016570510576</v>
          </cell>
          <cell r="X26"/>
          <cell r="Y26"/>
          <cell r="Z26">
            <v>510770.39923107903</v>
          </cell>
          <cell r="AA26">
            <v>-8215.0280000000002</v>
          </cell>
          <cell r="AB26">
            <v>-174.78200000000001</v>
          </cell>
          <cell r="AC26">
            <v>9092.5770000000011</v>
          </cell>
          <cell r="AD26">
            <v>22319.164000000001</v>
          </cell>
          <cell r="AE26"/>
          <cell r="AF26"/>
          <cell r="AG26"/>
          <cell r="AH26">
            <v>23021.931</v>
          </cell>
          <cell r="AI26">
            <v>533792.33023108495</v>
          </cell>
          <cell r="AJ26">
            <v>-18692.086302362815</v>
          </cell>
          <cell r="AK26">
            <v>105221.94478774771</v>
          </cell>
          <cell r="AL26">
            <v>-29223.299709999937</v>
          </cell>
          <cell r="AM26"/>
          <cell r="AN26">
            <v>57306.558775385041</v>
          </cell>
          <cell r="AO26">
            <v>-271.54599999888342</v>
          </cell>
          <cell r="AP26">
            <v>0</v>
          </cell>
          <cell r="AQ26"/>
          <cell r="AR26"/>
          <cell r="AS26">
            <v>-271.54599999888342</v>
          </cell>
          <cell r="AT26">
            <v>4061.2170000000006</v>
          </cell>
          <cell r="AU26">
            <v>-2819.8569999999991</v>
          </cell>
          <cell r="AV26">
            <v>62125.714</v>
          </cell>
          <cell r="AW26"/>
          <cell r="AX26"/>
          <cell r="AY26"/>
          <cell r="AZ26"/>
          <cell r="BA26">
            <v>63367.074000000001</v>
          </cell>
          <cell r="BB26">
            <v>0</v>
          </cell>
          <cell r="BC26">
            <v>-15492.812</v>
          </cell>
          <cell r="BD26">
            <v>0</v>
          </cell>
          <cell r="BE26">
            <v>0</v>
          </cell>
          <cell r="BF26">
            <v>-31152.42</v>
          </cell>
          <cell r="BG26">
            <v>0</v>
          </cell>
          <cell r="BH26">
            <v>0</v>
          </cell>
          <cell r="BI26"/>
          <cell r="BJ26">
            <v>-46645.231999999996</v>
          </cell>
          <cell r="BK26"/>
          <cell r="BL26"/>
          <cell r="BM26"/>
          <cell r="BN26"/>
          <cell r="BO26"/>
        </row>
        <row r="27">
          <cell r="F27">
            <v>607549.18500646553</v>
          </cell>
          <cell r="G27">
            <v>93125.32986452039</v>
          </cell>
          <cell r="H27">
            <v>25466.827558647168</v>
          </cell>
          <cell r="I27">
            <v>-90483.072987357358</v>
          </cell>
          <cell r="J27">
            <v>-5310.7250189830766</v>
          </cell>
          <cell r="K27">
            <v>-21087.94786163649</v>
          </cell>
          <cell r="L27">
            <v>37372.24572674634</v>
          </cell>
          <cell r="M27">
            <v>-87332.458043536695</v>
          </cell>
          <cell r="N27">
            <v>126858.37716089089</v>
          </cell>
          <cell r="O27">
            <v>-62652.88453784</v>
          </cell>
          <cell r="P27">
            <v>51247.642627949528</v>
          </cell>
          <cell r="Q27">
            <v>-15464.186585225612</v>
          </cell>
          <cell r="R27">
            <v>84876.796357780127</v>
          </cell>
          <cell r="S27">
            <v>46164.839084828105</v>
          </cell>
          <cell r="T27">
            <v>-2960.305407277167</v>
          </cell>
          <cell r="U27">
            <v>129416.27339027346</v>
          </cell>
          <cell r="V27">
            <v>127065.63133078931</v>
          </cell>
          <cell r="W27">
            <v>74468.016570510576</v>
          </cell>
          <cell r="X27"/>
          <cell r="Y27"/>
          <cell r="Z27">
            <v>510770.3992310795</v>
          </cell>
          <cell r="AA27">
            <v>-8215.0280000000002</v>
          </cell>
          <cell r="AB27">
            <v>-174.78200000000001</v>
          </cell>
          <cell r="AC27">
            <v>9092.5770000000011</v>
          </cell>
          <cell r="AD27">
            <v>22319.164000000001</v>
          </cell>
          <cell r="AE27"/>
          <cell r="AF27"/>
          <cell r="AG27"/>
          <cell r="AH27">
            <v>23021.931000000004</v>
          </cell>
          <cell r="AI27">
            <v>533792.33023107948</v>
          </cell>
          <cell r="AJ27">
            <v>-18692.086302362815</v>
          </cell>
          <cell r="AK27">
            <v>105221.94478774771</v>
          </cell>
          <cell r="AL27">
            <v>-29223.299709999937</v>
          </cell>
          <cell r="AM27"/>
          <cell r="AN27">
            <v>57306.558775384954</v>
          </cell>
          <cell r="AO27">
            <v>-271.54599999889797</v>
          </cell>
          <cell r="AP27">
            <v>0</v>
          </cell>
          <cell r="AQ27"/>
          <cell r="AR27"/>
          <cell r="AS27">
            <v>-271.54599999889797</v>
          </cell>
          <cell r="AT27">
            <v>4061.2170000000006</v>
          </cell>
          <cell r="AU27">
            <v>-2819.8569999999991</v>
          </cell>
          <cell r="AV27">
            <v>62125.714</v>
          </cell>
          <cell r="AW27"/>
          <cell r="AX27"/>
          <cell r="AY27"/>
          <cell r="AZ27"/>
          <cell r="BA27">
            <v>63367.074000000001</v>
          </cell>
          <cell r="BB27">
            <v>0</v>
          </cell>
          <cell r="BC27">
            <v>-15492.812</v>
          </cell>
          <cell r="BD27">
            <v>0</v>
          </cell>
          <cell r="BE27">
            <v>0</v>
          </cell>
          <cell r="BF27">
            <v>-31152.419999999995</v>
          </cell>
          <cell r="BG27">
            <v>0</v>
          </cell>
          <cell r="BH27">
            <v>0</v>
          </cell>
          <cell r="BI27"/>
          <cell r="BJ27">
            <v>-46645.231999999996</v>
          </cell>
          <cell r="BK27"/>
          <cell r="BL27"/>
          <cell r="BM27"/>
          <cell r="BN27"/>
          <cell r="BO27"/>
        </row>
        <row r="28">
          <cell r="F28">
            <v>7.2177499532699585E-9</v>
          </cell>
          <cell r="G28">
            <v>0</v>
          </cell>
          <cell r="H28">
            <v>3.2741809263825417E-11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-4.6566128730773926E-10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5.4715201258659363E-9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8.7311491370201111E-11</v>
          </cell>
          <cell r="AO28">
            <v>1.4551915228366852E-11</v>
          </cell>
          <cell r="AP28">
            <v>0</v>
          </cell>
          <cell r="AQ28"/>
          <cell r="AR28"/>
          <cell r="AS28">
            <v>1.4551915228366852E-11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40250</v>
          </cell>
          <cell r="H31">
            <v>33570</v>
          </cell>
          <cell r="I31">
            <v>13605</v>
          </cell>
          <cell r="J31">
            <v>12327</v>
          </cell>
          <cell r="K31">
            <v>20499</v>
          </cell>
          <cell r="L31">
            <v>19392</v>
          </cell>
          <cell r="M31">
            <v>11975</v>
          </cell>
          <cell r="N31">
            <v>23628.5</v>
          </cell>
          <cell r="O31">
            <v>6277</v>
          </cell>
          <cell r="P31">
            <v>12462</v>
          </cell>
          <cell r="Q31">
            <v>11731.5</v>
          </cell>
          <cell r="R31">
            <v>13906</v>
          </cell>
          <cell r="S31">
            <v>23173</v>
          </cell>
          <cell r="T31">
            <v>2568.5</v>
          </cell>
          <cell r="U31">
            <v>7043</v>
          </cell>
          <cell r="V31">
            <v>17106</v>
          </cell>
          <cell r="W31">
            <v>7339.5</v>
          </cell>
          <cell r="X31">
            <v>0</v>
          </cell>
          <cell r="Y31">
            <v>0</v>
          </cell>
          <cell r="Z31">
            <v>276853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276853</v>
          </cell>
          <cell r="AJ31">
            <v>25409</v>
          </cell>
          <cell r="AK31">
            <v>27056</v>
          </cell>
          <cell r="AL31">
            <v>15560</v>
          </cell>
          <cell r="AM31"/>
          <cell r="AN31">
            <v>68025</v>
          </cell>
          <cell r="AO31">
            <v>11123.664999999999</v>
          </cell>
          <cell r="AP31">
            <v>0</v>
          </cell>
          <cell r="AQ31"/>
          <cell r="AR31"/>
          <cell r="AS31">
            <v>11123.664999999999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38977313.278999999</v>
          </cell>
          <cell r="G32">
            <v>3841771.1029999997</v>
          </cell>
          <cell r="H32">
            <v>3322184.7299999995</v>
          </cell>
          <cell r="I32">
            <v>1269888.8</v>
          </cell>
          <cell r="J32">
            <v>1182469.9639999999</v>
          </cell>
          <cell r="K32">
            <v>2136824.5</v>
          </cell>
          <cell r="L32">
            <v>1895218.6</v>
          </cell>
          <cell r="M32">
            <v>1030469.9</v>
          </cell>
          <cell r="N32">
            <v>2450840.7000000002</v>
          </cell>
          <cell r="O32">
            <v>579561.65</v>
          </cell>
          <cell r="P32">
            <v>1202330.7</v>
          </cell>
          <cell r="Q32">
            <v>1058224.45</v>
          </cell>
          <cell r="R32">
            <v>1439866.8</v>
          </cell>
          <cell r="S32">
            <v>2210582.0699999998</v>
          </cell>
          <cell r="T32">
            <v>290203.84999999998</v>
          </cell>
          <cell r="U32">
            <v>750896.75</v>
          </cell>
          <cell r="V32">
            <v>1690833.55</v>
          </cell>
          <cell r="W32">
            <v>910086.08100000001</v>
          </cell>
          <cell r="X32">
            <v>0</v>
          </cell>
          <cell r="Y32">
            <v>0</v>
          </cell>
          <cell r="Z32">
            <v>27262254.197999999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E32"/>
          <cell r="AF32"/>
          <cell r="AG32"/>
          <cell r="AH32">
            <v>43340</v>
          </cell>
          <cell r="AI32">
            <v>27305594.197999999</v>
          </cell>
          <cell r="AJ32">
            <v>749494</v>
          </cell>
          <cell r="AK32">
            <v>390312</v>
          </cell>
          <cell r="AL32">
            <v>309260</v>
          </cell>
          <cell r="AM32"/>
          <cell r="AN32">
            <v>1449066</v>
          </cell>
          <cell r="AO32">
            <v>10147504.217</v>
          </cell>
          <cell r="AP32">
            <v>0</v>
          </cell>
          <cell r="AQ32"/>
          <cell r="AR32"/>
          <cell r="AS32">
            <v>10147504.217</v>
          </cell>
          <cell r="AT32">
            <v>5512.5</v>
          </cell>
          <cell r="AU32">
            <v>5850</v>
          </cell>
          <cell r="AV32">
            <v>62125.714</v>
          </cell>
          <cell r="AW32"/>
          <cell r="AX32"/>
          <cell r="AY32"/>
          <cell r="AZ32"/>
          <cell r="BA32">
            <v>73488.214000000007</v>
          </cell>
          <cell r="BB32">
            <v>0</v>
          </cell>
          <cell r="BC32">
            <v>1660.65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1660.65</v>
          </cell>
        </row>
        <row r="33">
          <cell r="F33">
            <v>35773623.310990006</v>
          </cell>
          <cell r="G33">
            <v>3449250.1520000002</v>
          </cell>
          <cell r="H33">
            <v>3028086.3680000002</v>
          </cell>
          <cell r="I33">
            <v>1230784.6050000002</v>
          </cell>
          <cell r="J33">
            <v>1078801.0330000001</v>
          </cell>
          <cell r="K33">
            <v>1968196.6009999998</v>
          </cell>
          <cell r="L33">
            <v>1687455.0680000002</v>
          </cell>
          <cell r="M33">
            <v>1012320.9940000001</v>
          </cell>
          <cell r="N33">
            <v>2126559.4780000001</v>
          </cell>
          <cell r="O33">
            <v>576402.94499999995</v>
          </cell>
          <cell r="P33">
            <v>1044927.8060000001</v>
          </cell>
          <cell r="Q33">
            <v>978175.59299999999</v>
          </cell>
          <cell r="R33">
            <v>1240206.8999999999</v>
          </cell>
          <cell r="S33">
            <v>1980776.1869999999</v>
          </cell>
          <cell r="T33">
            <v>265025.87699999998</v>
          </cell>
          <cell r="U33">
            <v>564828.78399999999</v>
          </cell>
          <cell r="V33">
            <v>1430232.649</v>
          </cell>
          <cell r="W33">
            <v>763106.63</v>
          </cell>
          <cell r="X33">
            <v>0</v>
          </cell>
          <cell r="Y33">
            <v>0</v>
          </cell>
          <cell r="Z33">
            <v>24425137.670000002</v>
          </cell>
          <cell r="AA33">
            <v>574.45600000000002</v>
          </cell>
          <cell r="AB33">
            <v>0</v>
          </cell>
          <cell r="AC33">
            <v>3407.4229999999998</v>
          </cell>
          <cell r="AD33">
            <v>8520.8359999999993</v>
          </cell>
          <cell r="AE33"/>
          <cell r="AF33"/>
          <cell r="AG33"/>
          <cell r="AH33">
            <v>12502.715</v>
          </cell>
          <cell r="AI33">
            <v>24437640.385000002</v>
          </cell>
          <cell r="AJ33">
            <v>744570.59400000004</v>
          </cell>
          <cell r="AK33">
            <v>272791.87799999997</v>
          </cell>
          <cell r="AL33">
            <v>328738.95598999993</v>
          </cell>
          <cell r="AM33"/>
          <cell r="AN33">
            <v>1346101.42799</v>
          </cell>
          <cell r="AO33">
            <v>9979760.3579999991</v>
          </cell>
          <cell r="AP33">
            <v>0</v>
          </cell>
          <cell r="AQ33"/>
          <cell r="AR33"/>
          <cell r="AS33">
            <v>9979760.3579999991</v>
          </cell>
          <cell r="AT33">
            <v>1451.2830000000001</v>
          </cell>
          <cell r="AU33">
            <v>8669.857</v>
          </cell>
          <cell r="AV33">
            <v>0</v>
          </cell>
          <cell r="AW33"/>
          <cell r="AX33"/>
          <cell r="AY33"/>
          <cell r="AZ33"/>
          <cell r="BA33">
            <v>10121.14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/>
          <cell r="BJ33">
            <v>0</v>
          </cell>
        </row>
        <row r="34">
          <cell r="F34">
            <v>3203689.9680099934</v>
          </cell>
          <cell r="G34">
            <v>392520.95099999942</v>
          </cell>
          <cell r="H34">
            <v>294098.36199999927</v>
          </cell>
          <cell r="I34">
            <v>39104.194999999832</v>
          </cell>
          <cell r="J34">
            <v>103668.93099999987</v>
          </cell>
          <cell r="K34">
            <v>168627.89900000021</v>
          </cell>
          <cell r="L34">
            <v>207763.53199999989</v>
          </cell>
          <cell r="M34">
            <v>18148.905999999959</v>
          </cell>
          <cell r="N34">
            <v>324281.22200000007</v>
          </cell>
          <cell r="O34">
            <v>3158.7050000000745</v>
          </cell>
          <cell r="P34">
            <v>157402.89399999985</v>
          </cell>
          <cell r="Q34">
            <v>80048.85699999996</v>
          </cell>
          <cell r="R34">
            <v>199659.90000000014</v>
          </cell>
          <cell r="S34">
            <v>229805.88299999991</v>
          </cell>
          <cell r="T34">
            <v>25177.972999999998</v>
          </cell>
          <cell r="U34">
            <v>186067.96600000001</v>
          </cell>
          <cell r="V34">
            <v>260600.90100000007</v>
          </cell>
          <cell r="W34">
            <v>146979.451</v>
          </cell>
          <cell r="X34">
            <v>0</v>
          </cell>
          <cell r="Y34">
            <v>0</v>
          </cell>
          <cell r="Z34">
            <v>2837116.5279999971</v>
          </cell>
          <cell r="AA34">
            <v>-574.45600000000002</v>
          </cell>
          <cell r="AB34">
            <v>0</v>
          </cell>
          <cell r="AC34">
            <v>9092.5770000000011</v>
          </cell>
          <cell r="AD34">
            <v>22319.164000000001</v>
          </cell>
          <cell r="AE34"/>
          <cell r="AF34"/>
          <cell r="AG34"/>
          <cell r="AH34">
            <v>30837.285</v>
          </cell>
          <cell r="AI34">
            <v>2867953.8129999973</v>
          </cell>
          <cell r="AJ34">
            <v>4923.405999999959</v>
          </cell>
          <cell r="AK34">
            <v>117520.12200000003</v>
          </cell>
          <cell r="AL34">
            <v>-19478.955989999929</v>
          </cell>
          <cell r="AM34"/>
          <cell r="AN34">
            <v>102964.57201</v>
          </cell>
          <cell r="AO34">
            <v>167743.8590000011</v>
          </cell>
          <cell r="AP34">
            <v>0</v>
          </cell>
          <cell r="AQ34"/>
          <cell r="AR34"/>
          <cell r="AS34">
            <v>167743.8590000011</v>
          </cell>
          <cell r="AT34">
            <v>4061.2169999999996</v>
          </cell>
          <cell r="AU34">
            <v>-2819.857</v>
          </cell>
          <cell r="AV34">
            <v>62125.714</v>
          </cell>
          <cell r="AW34"/>
          <cell r="AX34"/>
          <cell r="AY34"/>
          <cell r="AZ34"/>
          <cell r="BA34">
            <v>63367.074000000008</v>
          </cell>
          <cell r="BB34">
            <v>0</v>
          </cell>
          <cell r="BC34">
            <v>1660.65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/>
          <cell r="BJ34">
            <v>1660.65</v>
          </cell>
        </row>
        <row r="35">
          <cell r="F35">
            <v>2596140.7830035347</v>
          </cell>
          <cell r="G35">
            <v>299395.62113547913</v>
          </cell>
          <cell r="H35">
            <v>268631.53444135224</v>
          </cell>
          <cell r="I35">
            <v>129587.26798735719</v>
          </cell>
          <cell r="J35">
            <v>108979.65601898305</v>
          </cell>
          <cell r="K35">
            <v>189715.84686163656</v>
          </cell>
          <cell r="L35">
            <v>170391.28627325362</v>
          </cell>
          <cell r="M35">
            <v>105481.36404353661</v>
          </cell>
          <cell r="N35">
            <v>197422.84483910925</v>
          </cell>
          <cell r="O35">
            <v>65811.589537840089</v>
          </cell>
          <cell r="P35">
            <v>106155.25137205038</v>
          </cell>
          <cell r="Q35">
            <v>95513.043585225605</v>
          </cell>
          <cell r="R35">
            <v>114783.10364222007</v>
          </cell>
          <cell r="S35">
            <v>183641.04391517173</v>
          </cell>
          <cell r="T35">
            <v>28138.278407277146</v>
          </cell>
          <cell r="U35">
            <v>56651.692609726517</v>
          </cell>
          <cell r="V35">
            <v>133535.26966921065</v>
          </cell>
          <cell r="W35">
            <v>72511.434429489411</v>
          </cell>
          <cell r="X35">
            <v>0</v>
          </cell>
          <cell r="Y35">
            <v>0</v>
          </cell>
          <cell r="Z35">
            <v>2326346.1287689195</v>
          </cell>
          <cell r="AA35">
            <v>7640.5720000000001</v>
          </cell>
          <cell r="AB35">
            <v>174.78200000000001</v>
          </cell>
          <cell r="AC35">
            <v>0</v>
          </cell>
          <cell r="AD35">
            <v>0</v>
          </cell>
          <cell r="AE35"/>
          <cell r="AF35"/>
          <cell r="AG35"/>
          <cell r="AH35">
            <v>7815.3540000000003</v>
          </cell>
          <cell r="AI35">
            <v>2334161.4827689193</v>
          </cell>
          <cell r="AJ35">
            <v>23615.492302362803</v>
          </cell>
          <cell r="AK35">
            <v>12298.177212252307</v>
          </cell>
          <cell r="AL35">
            <v>9744.3437200000008</v>
          </cell>
          <cell r="AM35"/>
          <cell r="AN35">
            <v>45658.013234615108</v>
          </cell>
          <cell r="AO35">
            <v>168015.405</v>
          </cell>
          <cell r="AP35">
            <v>0</v>
          </cell>
          <cell r="AQ35"/>
          <cell r="AR35"/>
          <cell r="AS35">
            <v>168015.405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17153.462</v>
          </cell>
          <cell r="BD35">
            <v>0</v>
          </cell>
          <cell r="BE35">
            <v>0</v>
          </cell>
          <cell r="BF35">
            <v>31152.42</v>
          </cell>
          <cell r="BG35">
            <v>0</v>
          </cell>
          <cell r="BH35">
            <v>0</v>
          </cell>
          <cell r="BI35"/>
          <cell r="BJ35">
            <v>48305.881999999998</v>
          </cell>
        </row>
        <row r="36">
          <cell r="F36">
            <v>607549.18500645878</v>
          </cell>
          <cell r="G36">
            <v>93125.329864520289</v>
          </cell>
          <cell r="H36">
            <v>25466.827558647026</v>
          </cell>
          <cell r="I36">
            <v>-90483.072987357358</v>
          </cell>
          <cell r="J36">
            <v>-5310.725018983183</v>
          </cell>
          <cell r="K36">
            <v>-21087.947861636349</v>
          </cell>
          <cell r="L36">
            <v>37372.245726746274</v>
          </cell>
          <cell r="M36">
            <v>-87332.458043536652</v>
          </cell>
          <cell r="N36">
            <v>126858.37716089081</v>
          </cell>
          <cell r="O36">
            <v>-62652.884537840015</v>
          </cell>
          <cell r="P36">
            <v>51247.642627949477</v>
          </cell>
          <cell r="Q36">
            <v>-15464.186585225645</v>
          </cell>
          <cell r="R36">
            <v>84876.796357780069</v>
          </cell>
          <cell r="S36">
            <v>46164.839084828185</v>
          </cell>
          <cell r="T36">
            <v>-2960.3054072771483</v>
          </cell>
          <cell r="U36">
            <v>129416.27339027351</v>
          </cell>
          <cell r="V36">
            <v>127065.63133078942</v>
          </cell>
          <cell r="W36">
            <v>74468.01657051059</v>
          </cell>
          <cell r="X36">
            <v>0</v>
          </cell>
          <cell r="Y36">
            <v>0</v>
          </cell>
          <cell r="Z36">
            <v>510770.39923107764</v>
          </cell>
          <cell r="AA36">
            <v>-8215.0280000000002</v>
          </cell>
          <cell r="AB36">
            <v>-174.78200000000001</v>
          </cell>
          <cell r="AC36">
            <v>9092.5770000000011</v>
          </cell>
          <cell r="AD36">
            <v>22319.164000000001</v>
          </cell>
          <cell r="AE36"/>
          <cell r="AF36"/>
          <cell r="AG36"/>
          <cell r="AH36">
            <v>23021.931</v>
          </cell>
          <cell r="AI36">
            <v>533792.33023107797</v>
          </cell>
          <cell r="AJ36">
            <v>-18692.086302362844</v>
          </cell>
          <cell r="AK36">
            <v>105221.94478774772</v>
          </cell>
          <cell r="AL36">
            <v>-29223.29970999993</v>
          </cell>
          <cell r="AM36"/>
          <cell r="AN36">
            <v>57306.558775384896</v>
          </cell>
          <cell r="AO36">
            <v>-271.54599999889615</v>
          </cell>
          <cell r="AP36">
            <v>0</v>
          </cell>
          <cell r="AQ36"/>
          <cell r="AR36"/>
          <cell r="AS36">
            <v>-271.54599999889615</v>
          </cell>
          <cell r="AT36">
            <v>4061.2169999999996</v>
          </cell>
          <cell r="AU36">
            <v>-2819.857</v>
          </cell>
          <cell r="AV36">
            <v>62125.714</v>
          </cell>
          <cell r="AW36"/>
          <cell r="AX36"/>
          <cell r="AY36"/>
          <cell r="AZ36"/>
          <cell r="BA36">
            <v>63367.074000000008</v>
          </cell>
          <cell r="BB36">
            <v>0</v>
          </cell>
          <cell r="BC36">
            <v>-15492.812</v>
          </cell>
          <cell r="BD36">
            <v>0</v>
          </cell>
          <cell r="BE36">
            <v>0</v>
          </cell>
          <cell r="BF36">
            <v>-31152.42</v>
          </cell>
          <cell r="BG36">
            <v>0</v>
          </cell>
          <cell r="BH36">
            <v>0</v>
          </cell>
          <cell r="BI36"/>
          <cell r="BJ36">
            <v>-46645.231999999996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-13747</v>
          </cell>
          <cell r="AK38">
            <v>-15392</v>
          </cell>
          <cell r="AL38">
            <v>-14616</v>
          </cell>
          <cell r="AM38"/>
          <cell r="AN38">
            <v>-43755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-978597.5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-413497.5</v>
          </cell>
          <cell r="AK39">
            <v>-272512</v>
          </cell>
          <cell r="AL39">
            <v>-292588</v>
          </cell>
          <cell r="AM39"/>
          <cell r="AN39">
            <v>-978597.5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-978597.5</v>
          </cell>
          <cell r="G40"/>
          <cell r="H40"/>
          <cell r="I40"/>
          <cell r="J40"/>
          <cell r="K40">
            <v>-26025.775000000001</v>
          </cell>
          <cell r="L40">
            <v>-97690.027000000002</v>
          </cell>
          <cell r="M40">
            <v>6872.7</v>
          </cell>
          <cell r="N40">
            <v>7986.8410000000003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-108856.261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-108856.261</v>
          </cell>
          <cell r="AJ40">
            <v>-406102.15600000002</v>
          </cell>
          <cell r="AK40">
            <v>-154841.497</v>
          </cell>
          <cell r="AL40">
            <v>-308797.58600000001</v>
          </cell>
          <cell r="AM40"/>
          <cell r="AN40">
            <v>-869741.23900000006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26025.775000000001</v>
          </cell>
          <cell r="L41">
            <v>97690.027000000002</v>
          </cell>
          <cell r="M41">
            <v>-6872.7</v>
          </cell>
          <cell r="N41">
            <v>-7986.8410000000003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108856.261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108856.261</v>
          </cell>
          <cell r="AJ41">
            <v>-7395.3439999999828</v>
          </cell>
          <cell r="AK41">
            <v>-117670.503</v>
          </cell>
          <cell r="AL41">
            <v>16209.58600000001</v>
          </cell>
          <cell r="AM41"/>
          <cell r="AN41">
            <v>-108856.26099999994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26025.775000000001</v>
          </cell>
          <cell r="L43">
            <v>97690.027000000002</v>
          </cell>
          <cell r="M43">
            <v>-6872.7</v>
          </cell>
          <cell r="N43">
            <v>-7986.8410000000003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108856.261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108856.261</v>
          </cell>
          <cell r="AJ43">
            <v>-7395.3439999999828</v>
          </cell>
          <cell r="AK43">
            <v>-117670.503</v>
          </cell>
          <cell r="AL43">
            <v>16209.58600000001</v>
          </cell>
          <cell r="AM43"/>
          <cell r="AN43">
            <v>-108856.26099999994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F45"/>
          <cell r="G45">
            <v>40250</v>
          </cell>
          <cell r="H45">
            <v>33570</v>
          </cell>
          <cell r="I45">
            <v>13605</v>
          </cell>
          <cell r="J45">
            <v>12327</v>
          </cell>
          <cell r="K45">
            <v>20499</v>
          </cell>
          <cell r="L45">
            <v>19392</v>
          </cell>
          <cell r="M45">
            <v>11975</v>
          </cell>
          <cell r="N45">
            <v>23628.5</v>
          </cell>
          <cell r="O45">
            <v>6277</v>
          </cell>
          <cell r="P45">
            <v>12462</v>
          </cell>
          <cell r="Q45">
            <v>11731.5</v>
          </cell>
          <cell r="R45">
            <v>13906</v>
          </cell>
          <cell r="S45">
            <v>23173</v>
          </cell>
          <cell r="T45">
            <v>2568.5</v>
          </cell>
          <cell r="U45">
            <v>7043</v>
          </cell>
          <cell r="V45">
            <v>17106</v>
          </cell>
          <cell r="W45">
            <v>7339.5</v>
          </cell>
          <cell r="X45">
            <v>0</v>
          </cell>
          <cell r="Y45">
            <v>0</v>
          </cell>
          <cell r="Z45">
            <v>276853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276853</v>
          </cell>
          <cell r="AJ45">
            <v>11662</v>
          </cell>
          <cell r="AK45">
            <v>11664</v>
          </cell>
          <cell r="AL45">
            <v>944</v>
          </cell>
          <cell r="AM45"/>
          <cell r="AN45">
            <v>24270</v>
          </cell>
          <cell r="AO45">
            <v>11123.664999999999</v>
          </cell>
          <cell r="AP45">
            <v>0</v>
          </cell>
          <cell r="AQ45"/>
          <cell r="AR45"/>
          <cell r="AS45">
            <v>11123.664999999999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37998715.778999999</v>
          </cell>
          <cell r="G46">
            <v>3841771.1029999997</v>
          </cell>
          <cell r="H46">
            <v>3322184.7299999995</v>
          </cell>
          <cell r="I46">
            <v>1269888.8</v>
          </cell>
          <cell r="J46">
            <v>1182469.9639999999</v>
          </cell>
          <cell r="K46">
            <v>2136824.5</v>
          </cell>
          <cell r="L46">
            <v>1895218.6</v>
          </cell>
          <cell r="M46">
            <v>1030469.9</v>
          </cell>
          <cell r="N46">
            <v>2450840.7000000002</v>
          </cell>
          <cell r="O46">
            <v>579561.65</v>
          </cell>
          <cell r="P46">
            <v>1202330.7</v>
          </cell>
          <cell r="Q46">
            <v>1058224.45</v>
          </cell>
          <cell r="R46">
            <v>1439866.8</v>
          </cell>
          <cell r="S46">
            <v>2210582.0699999998</v>
          </cell>
          <cell r="T46">
            <v>290203.84999999998</v>
          </cell>
          <cell r="U46">
            <v>750896.75</v>
          </cell>
          <cell r="V46">
            <v>1690833.55</v>
          </cell>
          <cell r="W46">
            <v>910086.08100000001</v>
          </cell>
          <cell r="X46">
            <v>0</v>
          </cell>
          <cell r="Y46">
            <v>0</v>
          </cell>
          <cell r="Z46">
            <v>27262254.197999999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E46"/>
          <cell r="AF46"/>
          <cell r="AG46"/>
          <cell r="AH46">
            <v>43340</v>
          </cell>
          <cell r="AI46">
            <v>27305594.197999999</v>
          </cell>
          <cell r="AJ46">
            <v>335996.5</v>
          </cell>
          <cell r="AK46">
            <v>117800</v>
          </cell>
          <cell r="AL46">
            <v>16672</v>
          </cell>
          <cell r="AM46"/>
          <cell r="AN46">
            <v>470468.5</v>
          </cell>
          <cell r="AO46">
            <v>10147504.217</v>
          </cell>
          <cell r="AP46">
            <v>0</v>
          </cell>
          <cell r="AQ46"/>
          <cell r="AR46"/>
          <cell r="AS46">
            <v>10147504.217</v>
          </cell>
          <cell r="AT46">
            <v>5512.5</v>
          </cell>
          <cell r="AU46">
            <v>5850</v>
          </cell>
          <cell r="AV46">
            <v>62125.714</v>
          </cell>
          <cell r="AW46"/>
          <cell r="AX46"/>
          <cell r="AY46"/>
          <cell r="AZ46"/>
          <cell r="BA46">
            <v>73488.214000000007</v>
          </cell>
          <cell r="BB46">
            <v>0</v>
          </cell>
          <cell r="BC46">
            <v>1660.65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1660.65</v>
          </cell>
        </row>
        <row r="47">
          <cell r="F47">
            <v>34795025.810990006</v>
          </cell>
          <cell r="G47">
            <v>3449250.1520000002</v>
          </cell>
          <cell r="H47">
            <v>3028086.3680000002</v>
          </cell>
          <cell r="I47">
            <v>1230784.6050000002</v>
          </cell>
          <cell r="J47">
            <v>1078801.0330000001</v>
          </cell>
          <cell r="K47">
            <v>1942170.8259999999</v>
          </cell>
          <cell r="L47">
            <v>1589765.0410000002</v>
          </cell>
          <cell r="M47">
            <v>1019193.694</v>
          </cell>
          <cell r="N47">
            <v>2134546.3190000001</v>
          </cell>
          <cell r="O47">
            <v>576402.94499999995</v>
          </cell>
          <cell r="P47">
            <v>1044927.8060000001</v>
          </cell>
          <cell r="Q47">
            <v>978175.59299999999</v>
          </cell>
          <cell r="R47">
            <v>1240206.8999999999</v>
          </cell>
          <cell r="S47">
            <v>1980776.1869999999</v>
          </cell>
          <cell r="T47">
            <v>265025.87699999998</v>
          </cell>
          <cell r="U47">
            <v>564828.78399999999</v>
          </cell>
          <cell r="V47">
            <v>1430232.649</v>
          </cell>
          <cell r="W47">
            <v>763106.63</v>
          </cell>
          <cell r="X47">
            <v>0</v>
          </cell>
          <cell r="Y47">
            <v>0</v>
          </cell>
          <cell r="Z47">
            <v>24316281.409000002</v>
          </cell>
          <cell r="AA47">
            <v>574.45600000000002</v>
          </cell>
          <cell r="AB47">
            <v>0</v>
          </cell>
          <cell r="AC47">
            <v>3407.4229999999998</v>
          </cell>
          <cell r="AD47">
            <v>8520.8359999999993</v>
          </cell>
          <cell r="AE47"/>
          <cell r="AF47"/>
          <cell r="AG47"/>
          <cell r="AH47">
            <v>12502.715</v>
          </cell>
          <cell r="AI47">
            <v>24328784.124000002</v>
          </cell>
          <cell r="AJ47">
            <v>338468.43800000002</v>
          </cell>
          <cell r="AK47">
            <v>117950.38099999996</v>
          </cell>
          <cell r="AL47">
            <v>19941.369989999919</v>
          </cell>
          <cell r="AM47"/>
          <cell r="AN47">
            <v>476360.18898999994</v>
          </cell>
          <cell r="AO47">
            <v>9979760.3579999991</v>
          </cell>
          <cell r="AP47">
            <v>0</v>
          </cell>
          <cell r="AQ47"/>
          <cell r="AR47"/>
          <cell r="AS47">
            <v>9979760.3579999991</v>
          </cell>
          <cell r="AT47">
            <v>1451.2830000000001</v>
          </cell>
          <cell r="AU47">
            <v>8669.857</v>
          </cell>
          <cell r="AV47">
            <v>0</v>
          </cell>
          <cell r="AW47"/>
          <cell r="AX47"/>
          <cell r="AY47"/>
          <cell r="AZ47"/>
          <cell r="BA47">
            <v>10121.14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/>
          <cell r="BJ47">
            <v>0</v>
          </cell>
        </row>
        <row r="48">
          <cell r="F48">
            <v>3203689.9680099934</v>
          </cell>
          <cell r="G48">
            <v>392520.95099999942</v>
          </cell>
          <cell r="H48">
            <v>294098.36199999927</v>
          </cell>
          <cell r="I48">
            <v>39104.194999999832</v>
          </cell>
          <cell r="J48">
            <v>103668.93099999987</v>
          </cell>
          <cell r="K48">
            <v>194653.67400000012</v>
          </cell>
          <cell r="L48">
            <v>305453.55899999989</v>
          </cell>
          <cell r="M48">
            <v>11276.206000000006</v>
          </cell>
          <cell r="N48">
            <v>316294.38100000005</v>
          </cell>
          <cell r="O48">
            <v>3158.7050000000745</v>
          </cell>
          <cell r="P48">
            <v>157402.89399999985</v>
          </cell>
          <cell r="Q48">
            <v>80048.85699999996</v>
          </cell>
          <cell r="R48">
            <v>199659.90000000014</v>
          </cell>
          <cell r="S48">
            <v>229805.88299999991</v>
          </cell>
          <cell r="T48">
            <v>25177.972999999998</v>
          </cell>
          <cell r="U48">
            <v>186067.96600000001</v>
          </cell>
          <cell r="V48">
            <v>260600.90100000007</v>
          </cell>
          <cell r="W48">
            <v>146979.451</v>
          </cell>
          <cell r="X48">
            <v>0</v>
          </cell>
          <cell r="Y48">
            <v>0</v>
          </cell>
          <cell r="Z48">
            <v>2945972.7889999971</v>
          </cell>
          <cell r="AA48">
            <v>-574.45600000000002</v>
          </cell>
          <cell r="AB48">
            <v>0</v>
          </cell>
          <cell r="AC48">
            <v>9092.5770000000011</v>
          </cell>
          <cell r="AD48">
            <v>22319.164000000001</v>
          </cell>
          <cell r="AE48"/>
          <cell r="AF48"/>
          <cell r="AG48"/>
          <cell r="AH48">
            <v>30837.285</v>
          </cell>
          <cell r="AI48">
            <v>2976810.0739999972</v>
          </cell>
          <cell r="AJ48">
            <v>-2471.9380000000237</v>
          </cell>
          <cell r="AK48">
            <v>-150.38099999996484</v>
          </cell>
          <cell r="AL48">
            <v>-3269.3699899999192</v>
          </cell>
          <cell r="AM48"/>
          <cell r="AN48">
            <v>-5891.6889899999369</v>
          </cell>
          <cell r="AO48">
            <v>167743.8590000011</v>
          </cell>
          <cell r="AP48">
            <v>0</v>
          </cell>
          <cell r="AQ48"/>
          <cell r="AR48"/>
          <cell r="AS48">
            <v>167743.8590000011</v>
          </cell>
          <cell r="AT48">
            <v>4061.2169999999996</v>
          </cell>
          <cell r="AU48">
            <v>-2819.857</v>
          </cell>
          <cell r="AV48">
            <v>62125.714</v>
          </cell>
          <cell r="AW48"/>
          <cell r="AX48"/>
          <cell r="AY48"/>
          <cell r="AZ48"/>
          <cell r="BA48">
            <v>63367.074000000008</v>
          </cell>
          <cell r="BB48">
            <v>0</v>
          </cell>
          <cell r="BC48">
            <v>1660.65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/>
          <cell r="BJ48">
            <v>1660.65</v>
          </cell>
        </row>
        <row r="49">
          <cell r="F49">
            <v>2596140.7830035347</v>
          </cell>
          <cell r="G49">
            <v>299395.62113547913</v>
          </cell>
          <cell r="H49">
            <v>268631.53444135224</v>
          </cell>
          <cell r="I49">
            <v>129587.26798735719</v>
          </cell>
          <cell r="J49">
            <v>108979.65601898305</v>
          </cell>
          <cell r="K49">
            <v>189715.84686163656</v>
          </cell>
          <cell r="L49">
            <v>170391.28627325362</v>
          </cell>
          <cell r="M49">
            <v>105481.36404353661</v>
          </cell>
          <cell r="N49">
            <v>197422.84483910925</v>
          </cell>
          <cell r="O49">
            <v>65811.589537840089</v>
          </cell>
          <cell r="P49">
            <v>106155.25137205038</v>
          </cell>
          <cell r="Q49">
            <v>95513.043585225605</v>
          </cell>
          <cell r="R49">
            <v>114783.10364222007</v>
          </cell>
          <cell r="S49">
            <v>183641.04391517173</v>
          </cell>
          <cell r="T49">
            <v>28138.278407277146</v>
          </cell>
          <cell r="U49">
            <v>56651.692609726517</v>
          </cell>
          <cell r="V49">
            <v>133535.26966921065</v>
          </cell>
          <cell r="W49">
            <v>72511.434429489411</v>
          </cell>
          <cell r="X49">
            <v>0</v>
          </cell>
          <cell r="Y49">
            <v>0</v>
          </cell>
          <cell r="Z49">
            <v>2326346.1287689195</v>
          </cell>
          <cell r="AA49">
            <v>7640.5720000000001</v>
          </cell>
          <cell r="AB49">
            <v>174.78200000000001</v>
          </cell>
          <cell r="AC49">
            <v>0</v>
          </cell>
          <cell r="AD49">
            <v>0</v>
          </cell>
          <cell r="AE49"/>
          <cell r="AF49"/>
          <cell r="AG49"/>
          <cell r="AH49">
            <v>7815.3540000000003</v>
          </cell>
          <cell r="AI49">
            <v>2334161.4827689193</v>
          </cell>
          <cell r="AJ49">
            <v>23615.492302362803</v>
          </cell>
          <cell r="AK49">
            <v>12298.177212252307</v>
          </cell>
          <cell r="AL49">
            <v>9744.3437200000008</v>
          </cell>
          <cell r="AM49"/>
          <cell r="AN49">
            <v>45658.013234615108</v>
          </cell>
          <cell r="AO49">
            <v>168015.405</v>
          </cell>
          <cell r="AP49">
            <v>0</v>
          </cell>
          <cell r="AQ49"/>
          <cell r="AR49"/>
          <cell r="AS49">
            <v>168015.405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17153.462</v>
          </cell>
          <cell r="BD49">
            <v>0</v>
          </cell>
          <cell r="BE49">
            <v>0</v>
          </cell>
          <cell r="BF49">
            <v>31152.42</v>
          </cell>
          <cell r="BG49">
            <v>0</v>
          </cell>
          <cell r="BH49">
            <v>0</v>
          </cell>
          <cell r="BI49"/>
          <cell r="BJ49">
            <v>48305.881999999998</v>
          </cell>
        </row>
        <row r="50">
          <cell r="F50">
            <v>607549.18500645878</v>
          </cell>
          <cell r="G50">
            <v>93125.329864520289</v>
          </cell>
          <cell r="H50">
            <v>25466.827558647026</v>
          </cell>
          <cell r="I50">
            <v>-90483.072987357358</v>
          </cell>
          <cell r="J50">
            <v>-5310.725018983183</v>
          </cell>
          <cell r="K50">
            <v>4937.8271383635583</v>
          </cell>
          <cell r="L50">
            <v>135062.27272674628</v>
          </cell>
          <cell r="M50">
            <v>-94205.158043536605</v>
          </cell>
          <cell r="N50">
            <v>118871.5361608908</v>
          </cell>
          <cell r="O50">
            <v>-62652.884537840015</v>
          </cell>
          <cell r="P50">
            <v>51247.642627949477</v>
          </cell>
          <cell r="Q50">
            <v>-15464.186585225645</v>
          </cell>
          <cell r="R50">
            <v>84876.796357780069</v>
          </cell>
          <cell r="S50">
            <v>46164.839084828185</v>
          </cell>
          <cell r="T50">
            <v>-2960.3054072771483</v>
          </cell>
          <cell r="U50">
            <v>129416.27339027351</v>
          </cell>
          <cell r="V50">
            <v>127065.63133078942</v>
          </cell>
          <cell r="W50">
            <v>74468.01657051059</v>
          </cell>
          <cell r="X50">
            <v>0</v>
          </cell>
          <cell r="Y50">
            <v>0</v>
          </cell>
          <cell r="Z50">
            <v>619626.66023107758</v>
          </cell>
          <cell r="AA50">
            <v>-8215.0280000000002</v>
          </cell>
          <cell r="AB50">
            <v>-174.78200000000001</v>
          </cell>
          <cell r="AC50">
            <v>9092.5770000000011</v>
          </cell>
          <cell r="AD50">
            <v>22319.164000000001</v>
          </cell>
          <cell r="AE50"/>
          <cell r="AF50"/>
          <cell r="AG50"/>
          <cell r="AH50">
            <v>23021.931</v>
          </cell>
          <cell r="AI50">
            <v>642648.59123107791</v>
          </cell>
          <cell r="AJ50">
            <v>-26087.430302362827</v>
          </cell>
          <cell r="AK50">
            <v>-12448.558212252272</v>
          </cell>
          <cell r="AL50">
            <v>-13013.71370999992</v>
          </cell>
          <cell r="AM50"/>
          <cell r="AN50">
            <v>-51549.702224615045</v>
          </cell>
          <cell r="AO50">
            <v>-271.54599999889615</v>
          </cell>
          <cell r="AP50">
            <v>0</v>
          </cell>
          <cell r="AQ50"/>
          <cell r="AR50"/>
          <cell r="AS50">
            <v>-271.54599999889615</v>
          </cell>
          <cell r="AT50">
            <v>4061.2169999999996</v>
          </cell>
          <cell r="AU50">
            <v>-2819.857</v>
          </cell>
          <cell r="AV50">
            <v>62125.714</v>
          </cell>
          <cell r="AW50"/>
          <cell r="AX50"/>
          <cell r="AY50"/>
          <cell r="AZ50"/>
          <cell r="BA50">
            <v>63367.074000000008</v>
          </cell>
          <cell r="BB50">
            <v>0</v>
          </cell>
          <cell r="BC50">
            <v>-15492.812</v>
          </cell>
          <cell r="BD50">
            <v>0</v>
          </cell>
          <cell r="BE50">
            <v>0</v>
          </cell>
          <cell r="BF50">
            <v>-31152.42</v>
          </cell>
          <cell r="BG50">
            <v>0</v>
          </cell>
          <cell r="BH50">
            <v>0</v>
          </cell>
          <cell r="BI50"/>
          <cell r="BJ50">
            <v>-46645.231999999996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2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F7"/>
          <cell r="G7">
            <v>140460</v>
          </cell>
          <cell r="H7">
            <v>103722</v>
          </cell>
          <cell r="I7">
            <v>43281</v>
          </cell>
          <cell r="J7">
            <v>36927</v>
          </cell>
          <cell r="K7">
            <v>74847</v>
          </cell>
          <cell r="L7">
            <v>67223</v>
          </cell>
          <cell r="M7">
            <v>34275</v>
          </cell>
          <cell r="N7">
            <v>77971.5</v>
          </cell>
          <cell r="O7">
            <v>29916</v>
          </cell>
          <cell r="P7">
            <v>43261</v>
          </cell>
          <cell r="Q7">
            <v>41921.5</v>
          </cell>
          <cell r="R7">
            <v>44811</v>
          </cell>
          <cell r="S7">
            <v>81340</v>
          </cell>
          <cell r="T7">
            <v>8438</v>
          </cell>
          <cell r="U7">
            <v>19002</v>
          </cell>
          <cell r="V7">
            <v>60048</v>
          </cell>
          <cell r="W7">
            <v>23994.5</v>
          </cell>
          <cell r="X7"/>
          <cell r="Y7"/>
          <cell r="Z7">
            <v>931438.5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931438.5</v>
          </cell>
          <cell r="AJ7">
            <v>94411</v>
          </cell>
          <cell r="AK7">
            <v>73478</v>
          </cell>
          <cell r="AL7">
            <v>67536</v>
          </cell>
          <cell r="AM7"/>
          <cell r="AN7">
            <v>235425</v>
          </cell>
          <cell r="AO7">
            <v>45346.46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136196546.99299997</v>
          </cell>
          <cell r="G8">
            <v>13476409.308</v>
          </cell>
          <cell r="H8">
            <v>10154913.379000001</v>
          </cell>
          <cell r="I8">
            <v>3997085.915</v>
          </cell>
          <cell r="J8">
            <v>3518427.1359999999</v>
          </cell>
          <cell r="K8">
            <v>7925726.0199999996</v>
          </cell>
          <cell r="L8">
            <v>6505480.0179999992</v>
          </cell>
          <cell r="M8">
            <v>3117415.7</v>
          </cell>
          <cell r="N8">
            <v>7962465.79</v>
          </cell>
          <cell r="O8">
            <v>2823580.0269999998</v>
          </cell>
          <cell r="P8">
            <v>4266675.63</v>
          </cell>
          <cell r="Q8">
            <v>3851699.5789999999</v>
          </cell>
          <cell r="R8">
            <v>4723127.5999999996</v>
          </cell>
          <cell r="S8">
            <v>8067073.0510000009</v>
          </cell>
          <cell r="T8">
            <v>906761.50399999996</v>
          </cell>
          <cell r="U8">
            <v>2081438.277</v>
          </cell>
          <cell r="V8">
            <v>5832244.3959999997</v>
          </cell>
          <cell r="W8">
            <v>2928038.2960000001</v>
          </cell>
          <cell r="X8"/>
          <cell r="Y8"/>
          <cell r="Z8">
            <v>92138561.625999987</v>
          </cell>
          <cell r="AA8">
            <v>125000</v>
          </cell>
          <cell r="AB8">
            <v>0</v>
          </cell>
          <cell r="AC8">
            <v>50000</v>
          </cell>
          <cell r="AD8">
            <v>115860</v>
          </cell>
          <cell r="AE8"/>
          <cell r="AF8"/>
          <cell r="AG8"/>
          <cell r="AH8">
            <v>290860</v>
          </cell>
          <cell r="AI8">
            <v>92429421.625999987</v>
          </cell>
          <cell r="AJ8">
            <v>2729232.5</v>
          </cell>
          <cell r="AK8">
            <v>1042126</v>
          </cell>
          <cell r="AL8">
            <v>1255456</v>
          </cell>
          <cell r="AM8"/>
          <cell r="AN8">
            <v>5026814.5</v>
          </cell>
          <cell r="AO8">
            <v>38439847.708999999</v>
          </cell>
          <cell r="AP8">
            <v>0</v>
          </cell>
          <cell r="AQ8"/>
          <cell r="AR8"/>
          <cell r="AS8">
            <v>38439847.708999999</v>
          </cell>
          <cell r="AT8">
            <v>22050</v>
          </cell>
          <cell r="AU8">
            <v>23400</v>
          </cell>
          <cell r="AV8">
            <v>248312.95800000001</v>
          </cell>
          <cell r="AW8"/>
          <cell r="AX8"/>
          <cell r="AY8"/>
          <cell r="AZ8"/>
          <cell r="BA8">
            <v>293762.95799999998</v>
          </cell>
          <cell r="BB8">
            <v>0</v>
          </cell>
          <cell r="BC8">
            <v>6700.1999999999989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6700.1999999999989</v>
          </cell>
          <cell r="BK8"/>
          <cell r="BL8"/>
          <cell r="BM8"/>
          <cell r="BN8"/>
          <cell r="BO8"/>
        </row>
        <row r="9">
          <cell r="F9"/>
          <cell r="G9">
            <v>95944.819222554477</v>
          </cell>
          <cell r="H9">
            <v>97905.105753842014</v>
          </cell>
          <cell r="I9">
            <v>92351.976964487883</v>
          </cell>
          <cell r="J9">
            <v>95280.611368375452</v>
          </cell>
          <cell r="K9">
            <v>105892.36736275334</v>
          </cell>
          <cell r="L9">
            <v>96774.616098656697</v>
          </cell>
          <cell r="M9">
            <v>90953.04741064916</v>
          </cell>
          <cell r="N9">
            <v>102120.207896475</v>
          </cell>
          <cell r="O9">
            <v>94383.608336676014</v>
          </cell>
          <cell r="P9">
            <v>98626.375488315112</v>
          </cell>
          <cell r="Q9">
            <v>91878.85879560608</v>
          </cell>
          <cell r="R9">
            <v>105401.07562875186</v>
          </cell>
          <cell r="S9">
            <v>99177.19511925253</v>
          </cell>
          <cell r="T9">
            <v>107461.6620052145</v>
          </cell>
          <cell r="U9">
            <v>109537.85269971582</v>
          </cell>
          <cell r="V9">
            <v>97126.372168931513</v>
          </cell>
          <cell r="W9">
            <v>122029.56077434412</v>
          </cell>
          <cell r="X9"/>
          <cell r="Y9"/>
          <cell r="Z9">
            <v>98920.714170608131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99232.983848101605</v>
          </cell>
          <cell r="AJ9">
            <v>28907.99271271356</v>
          </cell>
          <cell r="AK9">
            <v>14182.830234900242</v>
          </cell>
          <cell r="AL9">
            <v>18589.433783463632</v>
          </cell>
          <cell r="AM9"/>
          <cell r="AN9"/>
          <cell r="AO9">
            <v>847692.36030772852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126177063.63121001</v>
          </cell>
          <cell r="G10">
            <v>12224184.46827</v>
          </cell>
          <cell r="H10">
            <v>9592621.935109999</v>
          </cell>
          <cell r="I10">
            <v>4019028.5616699997</v>
          </cell>
          <cell r="J10">
            <v>3352206.4276100001</v>
          </cell>
          <cell r="K10">
            <v>6655333.5898899995</v>
          </cell>
          <cell r="L10">
            <v>5749214.1210000003</v>
          </cell>
          <cell r="M10">
            <v>3004437.6965800002</v>
          </cell>
          <cell r="N10">
            <v>7061209.0759699997</v>
          </cell>
          <cell r="O10">
            <v>2623695.1472399998</v>
          </cell>
          <cell r="P10">
            <v>3682898.8178199995</v>
          </cell>
          <cell r="Q10">
            <v>3607923.3098400002</v>
          </cell>
          <cell r="R10">
            <v>4140107.66126</v>
          </cell>
          <cell r="S10">
            <v>7390040.6181300003</v>
          </cell>
          <cell r="T10">
            <v>900511.84164000012</v>
          </cell>
          <cell r="U10">
            <v>1619035.4903000002</v>
          </cell>
          <cell r="V10">
            <v>4930170.5958500002</v>
          </cell>
          <cell r="W10">
            <v>2455851.3854800002</v>
          </cell>
          <cell r="X10"/>
          <cell r="Y10"/>
          <cell r="Z10">
            <v>83008470.743660003</v>
          </cell>
          <cell r="AA10">
            <v>6297.8249999999998</v>
          </cell>
          <cell r="AB10">
            <v>0</v>
          </cell>
          <cell r="AC10">
            <v>13503.581999999999</v>
          </cell>
          <cell r="AD10">
            <v>31492.279000000002</v>
          </cell>
          <cell r="AE10"/>
          <cell r="AF10"/>
          <cell r="AG10"/>
          <cell r="AH10">
            <v>51293.686000000002</v>
          </cell>
          <cell r="AI10">
            <v>83059764.429660007</v>
          </cell>
          <cell r="AJ10">
            <v>2486038.5101100001</v>
          </cell>
          <cell r="AK10">
            <v>792903.21761999989</v>
          </cell>
          <cell r="AL10">
            <v>1588996.9178199999</v>
          </cell>
          <cell r="AM10"/>
          <cell r="AN10">
            <v>4867938.6455499995</v>
          </cell>
          <cell r="AO10">
            <v>37939687.751000002</v>
          </cell>
          <cell r="AP10">
            <v>0</v>
          </cell>
          <cell r="AQ10"/>
          <cell r="AR10"/>
          <cell r="AS10">
            <v>37939687.751000002</v>
          </cell>
          <cell r="AT10">
            <v>553.56399999999996</v>
          </cell>
          <cell r="AU10">
            <v>720.976</v>
          </cell>
          <cell r="AV10">
            <v>0</v>
          </cell>
          <cell r="AW10"/>
          <cell r="AX10"/>
          <cell r="AY10"/>
          <cell r="AZ10"/>
          <cell r="BA10">
            <v>1274.54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5593.3850000000002</v>
          </cell>
          <cell r="BI10"/>
          <cell r="BJ10">
            <v>308398.26500000001</v>
          </cell>
          <cell r="BK10"/>
          <cell r="BL10"/>
          <cell r="BM10"/>
          <cell r="BN10"/>
          <cell r="BO10"/>
        </row>
        <row r="11">
          <cell r="F11"/>
          <cell r="G11">
            <v>87029.648784493795</v>
          </cell>
          <cell r="H11">
            <v>92483.966131678899</v>
          </cell>
          <cell r="I11">
            <v>92858.958010905466</v>
          </cell>
          <cell r="J11">
            <v>90779.278782733498</v>
          </cell>
          <cell r="K11">
            <v>88919.176318222497</v>
          </cell>
          <cell r="L11">
            <v>85524.509780878579</v>
          </cell>
          <cell r="M11">
            <v>87656.825574908842</v>
          </cell>
          <cell r="N11">
            <v>90561.411233206993</v>
          </cell>
          <cell r="O11">
            <v>87702.07070597673</v>
          </cell>
          <cell r="P11">
            <v>85132.077802639789</v>
          </cell>
          <cell r="Q11">
            <v>86063.793276481054</v>
          </cell>
          <cell r="R11">
            <v>92390.432288054275</v>
          </cell>
          <cell r="S11">
            <v>90853.708115687245</v>
          </cell>
          <cell r="T11">
            <v>106721.00517184168</v>
          </cell>
          <cell r="U11">
            <v>85203.425444690045</v>
          </cell>
          <cell r="V11">
            <v>82103.826869337863</v>
          </cell>
          <cell r="W11">
            <v>102350.59640667653</v>
          </cell>
          <cell r="X11"/>
          <cell r="Y11"/>
          <cell r="Z11">
            <v>89118.57384428494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89173.643165555215</v>
          </cell>
          <cell r="AJ11">
            <v>26332.085351389138</v>
          </cell>
          <cell r="AK11">
            <v>10791.028847001822</v>
          </cell>
          <cell r="AL11">
            <v>23528.146733890073</v>
          </cell>
          <cell r="AM11"/>
          <cell r="AN11"/>
          <cell r="AO11">
            <v>836662.61381814594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10019483.361789957</v>
          </cell>
          <cell r="G12">
            <v>1252224.8397300001</v>
          </cell>
          <cell r="H12">
            <v>562291.44389000162</v>
          </cell>
          <cell r="I12">
            <v>-21942.646669999696</v>
          </cell>
          <cell r="J12">
            <v>166220.70838999981</v>
          </cell>
          <cell r="K12">
            <v>1270392.4301100001</v>
          </cell>
          <cell r="L12">
            <v>756265.89699999895</v>
          </cell>
          <cell r="M12">
            <v>112978.00341999996</v>
          </cell>
          <cell r="N12">
            <v>901256.71403000038</v>
          </cell>
          <cell r="O12">
            <v>199884.87975999992</v>
          </cell>
          <cell r="P12">
            <v>583776.81218000036</v>
          </cell>
          <cell r="Q12">
            <v>243776.26915999968</v>
          </cell>
          <cell r="R12">
            <v>583019.93873999966</v>
          </cell>
          <cell r="S12">
            <v>677032.4328700006</v>
          </cell>
          <cell r="T12">
            <v>6249.662359999842</v>
          </cell>
          <cell r="U12">
            <v>462402.78669999982</v>
          </cell>
          <cell r="V12">
            <v>902073.80014999956</v>
          </cell>
          <cell r="W12">
            <v>472186.91051999992</v>
          </cell>
          <cell r="X12"/>
          <cell r="Y12"/>
          <cell r="Z12">
            <v>9130090.8823400009</v>
          </cell>
          <cell r="AA12">
            <v>118702.175</v>
          </cell>
          <cell r="AB12">
            <v>0</v>
          </cell>
          <cell r="AC12">
            <v>36496.418000000005</v>
          </cell>
          <cell r="AD12">
            <v>84367.72099999999</v>
          </cell>
          <cell r="AE12"/>
          <cell r="AF12"/>
          <cell r="AG12"/>
          <cell r="AH12">
            <v>239566.31400000001</v>
          </cell>
          <cell r="AI12">
            <v>9369657.1963399798</v>
          </cell>
          <cell r="AJ12">
            <v>243193.98988999985</v>
          </cell>
          <cell r="AK12">
            <v>249222.78238000011</v>
          </cell>
          <cell r="AL12">
            <v>-333540.91781999986</v>
          </cell>
          <cell r="AM12"/>
          <cell r="AN12">
            <v>158875.85445000045</v>
          </cell>
          <cell r="AO12">
            <v>500159.95799999684</v>
          </cell>
          <cell r="AP12">
            <v>0</v>
          </cell>
          <cell r="AQ12"/>
          <cell r="AR12"/>
          <cell r="AS12">
            <v>500159.95799999684</v>
          </cell>
          <cell r="AT12">
            <v>21496.436000000002</v>
          </cell>
          <cell r="AU12">
            <v>22679.024000000001</v>
          </cell>
          <cell r="AV12">
            <v>248312.95800000001</v>
          </cell>
          <cell r="AW12"/>
          <cell r="AX12"/>
          <cell r="AY12"/>
          <cell r="AZ12"/>
          <cell r="BA12">
            <v>292488.41800000001</v>
          </cell>
          <cell r="BB12">
            <v>0</v>
          </cell>
          <cell r="BC12">
            <v>6700.1999999999989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-5593.3850000000002</v>
          </cell>
          <cell r="BI12"/>
          <cell r="BJ12">
            <v>-301698.065</v>
          </cell>
          <cell r="BK12"/>
          <cell r="BL12"/>
          <cell r="BM12"/>
          <cell r="BN12"/>
          <cell r="BO12"/>
        </row>
        <row r="13">
          <cell r="F13">
            <v>3458236.1129999999</v>
          </cell>
          <cell r="G13">
            <v>265943.69499999995</v>
          </cell>
          <cell r="H13">
            <v>276298.973</v>
          </cell>
          <cell r="I13">
            <v>210428.65399999998</v>
          </cell>
          <cell r="J13">
            <v>144381.24</v>
          </cell>
          <cell r="K13">
            <v>207575.06199999998</v>
          </cell>
          <cell r="L13">
            <v>214522.98899999997</v>
          </cell>
          <cell r="M13">
            <v>157439.45600000001</v>
          </cell>
          <cell r="N13">
            <v>162439.70499999999</v>
          </cell>
          <cell r="O13">
            <v>129295.31700000001</v>
          </cell>
          <cell r="P13">
            <v>124695.175</v>
          </cell>
          <cell r="Q13">
            <v>120053.283</v>
          </cell>
          <cell r="R13">
            <v>103816.473</v>
          </cell>
          <cell r="S13">
            <v>187139.07500000001</v>
          </cell>
          <cell r="T13">
            <v>43442.087</v>
          </cell>
          <cell r="U13">
            <v>44132.411</v>
          </cell>
          <cell r="V13">
            <v>131364.74900000001</v>
          </cell>
          <cell r="W13">
            <v>64494.566000000006</v>
          </cell>
          <cell r="X13"/>
          <cell r="Y13"/>
          <cell r="Z13">
            <v>2587462.91</v>
          </cell>
          <cell r="AA13">
            <v>2021.4680000000001</v>
          </cell>
          <cell r="AB13">
            <v>808.24699999999996</v>
          </cell>
          <cell r="AC13">
            <v>0</v>
          </cell>
          <cell r="AD13">
            <v>0</v>
          </cell>
          <cell r="AE13"/>
          <cell r="AF13"/>
          <cell r="AG13"/>
          <cell r="AH13">
            <v>2829.7150000000001</v>
          </cell>
          <cell r="AI13">
            <v>2590292.625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583702.82700000005</v>
          </cell>
          <cell r="AP13">
            <v>0</v>
          </cell>
          <cell r="AQ13"/>
          <cell r="AR13"/>
          <cell r="AS13">
            <v>583702.82700000005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45853.760999999999</v>
          </cell>
          <cell r="BG13">
            <v>238386.9</v>
          </cell>
          <cell r="BH13">
            <v>0</v>
          </cell>
          <cell r="BI13"/>
          <cell r="BJ13">
            <v>284240.66099999996</v>
          </cell>
          <cell r="BK13"/>
          <cell r="BL13"/>
          <cell r="BM13"/>
          <cell r="BN13"/>
          <cell r="BO13"/>
        </row>
        <row r="14">
          <cell r="F14">
            <v>2362488.128</v>
          </cell>
          <cell r="G14">
            <v>175179.16899999999</v>
          </cell>
          <cell r="H14">
            <v>182624.55599999998</v>
          </cell>
          <cell r="I14">
            <v>139619.58499999999</v>
          </cell>
          <cell r="J14">
            <v>103761.9</v>
          </cell>
          <cell r="K14">
            <v>135888.61499999999</v>
          </cell>
          <cell r="L14">
            <v>143244.37799999997</v>
          </cell>
          <cell r="M14">
            <v>108173.63499999999</v>
          </cell>
          <cell r="N14">
            <v>109650.33699999998</v>
          </cell>
          <cell r="O14">
            <v>85334.175000000003</v>
          </cell>
          <cell r="P14">
            <v>84841.455000000002</v>
          </cell>
          <cell r="Q14">
            <v>81837.648000000001</v>
          </cell>
          <cell r="R14">
            <v>74395.106</v>
          </cell>
          <cell r="S14">
            <v>128869.511</v>
          </cell>
          <cell r="T14">
            <v>29892.050000000003</v>
          </cell>
          <cell r="U14">
            <v>29768.984</v>
          </cell>
          <cell r="V14">
            <v>89433.638999999996</v>
          </cell>
          <cell r="W14">
            <v>42876.593000000001</v>
          </cell>
          <cell r="X14"/>
          <cell r="Y14"/>
          <cell r="Z14">
            <v>1745391.3360000001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1745391.3360000001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378709.89199999999</v>
          </cell>
          <cell r="AP14">
            <v>0</v>
          </cell>
          <cell r="AQ14"/>
          <cell r="AR14"/>
          <cell r="AS14">
            <v>378709.89199999999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I14"/>
          <cell r="BJ14">
            <v>238386.9</v>
          </cell>
          <cell r="BK14"/>
          <cell r="BL14"/>
          <cell r="BM14"/>
          <cell r="BN14"/>
          <cell r="BO14"/>
        </row>
        <row r="15">
          <cell r="F15">
            <v>1095747.9849999999</v>
          </cell>
          <cell r="G15">
            <v>90764.525999999983</v>
          </cell>
          <cell r="H15">
            <v>93674.417000000001</v>
          </cell>
          <cell r="I15">
            <v>70809.068999999989</v>
          </cell>
          <cell r="J15">
            <v>40619.339999999997</v>
          </cell>
          <cell r="K15">
            <v>71686.447</v>
          </cell>
          <cell r="L15">
            <v>71278.611000000004</v>
          </cell>
          <cell r="M15">
            <v>49265.821000000004</v>
          </cell>
          <cell r="N15">
            <v>52789.368000000002</v>
          </cell>
          <cell r="O15">
            <v>43961.142</v>
          </cell>
          <cell r="P15">
            <v>39853.72</v>
          </cell>
          <cell r="Q15">
            <v>38215.634999999995</v>
          </cell>
          <cell r="R15">
            <v>29421.366999999998</v>
          </cell>
          <cell r="S15">
            <v>58269.563999999998</v>
          </cell>
          <cell r="T15">
            <v>13550.037</v>
          </cell>
          <cell r="U15">
            <v>14363.427</v>
          </cell>
          <cell r="V15">
            <v>41931.11</v>
          </cell>
          <cell r="W15">
            <v>21617.973000000002</v>
          </cell>
          <cell r="X15"/>
          <cell r="Y15"/>
          <cell r="Z15">
            <v>842071.57399999991</v>
          </cell>
          <cell r="AA15">
            <v>2021.4680000000001</v>
          </cell>
          <cell r="AB15">
            <v>808.24699999999996</v>
          </cell>
          <cell r="AC15">
            <v>0</v>
          </cell>
          <cell r="AD15">
            <v>0</v>
          </cell>
          <cell r="AE15"/>
          <cell r="AF15"/>
          <cell r="AG15"/>
          <cell r="AH15">
            <v>2829.7150000000001</v>
          </cell>
          <cell r="AI15">
            <v>844901.28899999987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204992.935</v>
          </cell>
          <cell r="AP15">
            <v>0</v>
          </cell>
          <cell r="AQ15"/>
          <cell r="AR15"/>
          <cell r="AS15">
            <v>204992.935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45853.760999999999</v>
          </cell>
          <cell r="BG15">
            <v>0</v>
          </cell>
          <cell r="BH15">
            <v>0</v>
          </cell>
          <cell r="BI15"/>
          <cell r="BJ15">
            <v>45853.760999999999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6561247.2487899568</v>
          </cell>
          <cell r="G17">
            <v>986281.14473000017</v>
          </cell>
          <cell r="H17">
            <v>285992.47089000163</v>
          </cell>
          <cell r="I17">
            <v>-232371.30066999968</v>
          </cell>
          <cell r="J17">
            <v>21839.46838999982</v>
          </cell>
          <cell r="K17">
            <v>1062817.3681100002</v>
          </cell>
          <cell r="L17">
            <v>541742.90799999901</v>
          </cell>
          <cell r="M17">
            <v>-44461.452580000041</v>
          </cell>
          <cell r="N17">
            <v>738817.00903000042</v>
          </cell>
          <cell r="O17">
            <v>70589.562759999913</v>
          </cell>
          <cell r="P17">
            <v>459081.63718000037</v>
          </cell>
          <cell r="Q17">
            <v>123722.98615999968</v>
          </cell>
          <cell r="R17">
            <v>479203.46573999966</v>
          </cell>
          <cell r="S17">
            <v>489893.35787000059</v>
          </cell>
          <cell r="T17">
            <v>-37192.424640000158</v>
          </cell>
          <cell r="U17">
            <v>418270.3756999998</v>
          </cell>
          <cell r="V17">
            <v>770709.05114999949</v>
          </cell>
          <cell r="W17">
            <v>407692.34451999993</v>
          </cell>
          <cell r="X17"/>
          <cell r="Y17"/>
          <cell r="Z17">
            <v>6542627.9723400008</v>
          </cell>
          <cell r="AA17">
            <v>116680.70700000001</v>
          </cell>
          <cell r="AB17">
            <v>-808.24699999999996</v>
          </cell>
          <cell r="AC17">
            <v>36496.418000000005</v>
          </cell>
          <cell r="AD17">
            <v>84367.72099999999</v>
          </cell>
          <cell r="AE17"/>
          <cell r="AF17"/>
          <cell r="AG17"/>
          <cell r="AH17">
            <v>236736.59900000002</v>
          </cell>
          <cell r="AI17">
            <v>6779364.5713399798</v>
          </cell>
          <cell r="AJ17">
            <v>243193.98988999985</v>
          </cell>
          <cell r="AK17">
            <v>249222.78238000011</v>
          </cell>
          <cell r="AL17">
            <v>-333540.91781999986</v>
          </cell>
          <cell r="AM17"/>
          <cell r="AN17">
            <v>158875.85445000045</v>
          </cell>
          <cell r="AO17">
            <v>-83542.869000003207</v>
          </cell>
          <cell r="AP17">
            <v>0</v>
          </cell>
          <cell r="AQ17"/>
          <cell r="AR17"/>
          <cell r="AS17">
            <v>-83542.869000003207</v>
          </cell>
          <cell r="AT17">
            <v>21496.436000000002</v>
          </cell>
          <cell r="AU17">
            <v>22679.024000000001</v>
          </cell>
          <cell r="AV17">
            <v>248312.95800000001</v>
          </cell>
          <cell r="AW17"/>
          <cell r="AX17"/>
          <cell r="AY17"/>
          <cell r="AZ17"/>
          <cell r="BA17">
            <v>292488.41800000001</v>
          </cell>
          <cell r="BB17">
            <v>0</v>
          </cell>
          <cell r="BC17">
            <v>6700.1999999999989</v>
          </cell>
          <cell r="BD17">
            <v>0</v>
          </cell>
          <cell r="BE17">
            <v>0</v>
          </cell>
          <cell r="BF17">
            <v>-45853.760999999999</v>
          </cell>
          <cell r="BG17">
            <v>-541191.78</v>
          </cell>
          <cell r="BH17">
            <v>-5593.3850000000002</v>
          </cell>
          <cell r="BI17"/>
          <cell r="BJ17">
            <v>-585938.72600000002</v>
          </cell>
          <cell r="BK17"/>
          <cell r="BL17"/>
          <cell r="BM17"/>
          <cell r="BN17"/>
          <cell r="BO17"/>
        </row>
        <row r="18">
          <cell r="F18">
            <v>2327377.9257899998</v>
          </cell>
          <cell r="G18">
            <v>121007.51673</v>
          </cell>
          <cell r="H18">
            <v>142109.22288999998</v>
          </cell>
          <cell r="I18">
            <v>80379.047330000001</v>
          </cell>
          <cell r="J18">
            <v>72350.642389999994</v>
          </cell>
          <cell r="K18">
            <v>386738.98511000001</v>
          </cell>
          <cell r="L18">
            <v>126857.55899999998</v>
          </cell>
          <cell r="M18">
            <v>61062.979420000003</v>
          </cell>
          <cell r="N18">
            <v>91655.105030000006</v>
          </cell>
          <cell r="O18">
            <v>49653.395759999999</v>
          </cell>
          <cell r="P18">
            <v>126952.75618</v>
          </cell>
          <cell r="Q18">
            <v>62553.94616</v>
          </cell>
          <cell r="R18">
            <v>59947.242739999994</v>
          </cell>
          <cell r="S18">
            <v>132133.74987</v>
          </cell>
          <cell r="T18">
            <v>24767.324359999999</v>
          </cell>
          <cell r="U18">
            <v>44496.173700000007</v>
          </cell>
          <cell r="V18">
            <v>84368.735150000008</v>
          </cell>
          <cell r="W18">
            <v>51927.082519999996</v>
          </cell>
          <cell r="X18"/>
          <cell r="Y18"/>
          <cell r="Z18">
            <v>1718961.4643399999</v>
          </cell>
          <cell r="AA18">
            <v>22309.447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22309.447</v>
          </cell>
          <cell r="AI18">
            <v>1741270.9113399999</v>
          </cell>
          <cell r="AJ18">
            <v>137538.95289999997</v>
          </cell>
          <cell r="AK18">
            <v>58688.852369999993</v>
          </cell>
          <cell r="AL18">
            <v>223001.46518</v>
          </cell>
          <cell r="AM18"/>
          <cell r="AN18">
            <v>419229.27044999995</v>
          </cell>
          <cell r="AO18">
            <v>23040.063000000002</v>
          </cell>
          <cell r="AP18">
            <v>0</v>
          </cell>
          <cell r="AQ18"/>
          <cell r="AR18"/>
          <cell r="AS18">
            <v>23040.063000000002</v>
          </cell>
          <cell r="AT18">
            <v>5251.5680000000002</v>
          </cell>
          <cell r="AU18">
            <v>21365.493000000002</v>
          </cell>
          <cell r="AV18">
            <v>0</v>
          </cell>
          <cell r="AW18"/>
          <cell r="AX18"/>
          <cell r="AY18"/>
          <cell r="AZ18"/>
          <cell r="BA18">
            <v>26617.061000000002</v>
          </cell>
          <cell r="BB18">
            <v>0</v>
          </cell>
          <cell r="BC18">
            <v>59730.978999999999</v>
          </cell>
          <cell r="BD18">
            <v>0</v>
          </cell>
          <cell r="BE18">
            <v>0</v>
          </cell>
          <cell r="BF18">
            <v>57489.640999999989</v>
          </cell>
          <cell r="BG18">
            <v>0</v>
          </cell>
          <cell r="BH18">
            <v>0</v>
          </cell>
          <cell r="BI18"/>
          <cell r="BJ18">
            <v>117220.62</v>
          </cell>
          <cell r="BK18"/>
          <cell r="BL18"/>
          <cell r="BM18"/>
          <cell r="BN18"/>
          <cell r="BO18"/>
        </row>
        <row r="19">
          <cell r="F19">
            <v>2097229.48679</v>
          </cell>
          <cell r="G19">
            <v>112808.23073</v>
          </cell>
          <cell r="H19">
            <v>133217.48788999999</v>
          </cell>
          <cell r="I19">
            <v>73762.851330000005</v>
          </cell>
          <cell r="J19">
            <v>67582.69438999999</v>
          </cell>
          <cell r="K19">
            <v>379234.72511</v>
          </cell>
          <cell r="L19">
            <v>120599.95499999999</v>
          </cell>
          <cell r="M19">
            <v>56288.587420000003</v>
          </cell>
          <cell r="N19">
            <v>85401.891029999999</v>
          </cell>
          <cell r="O19">
            <v>46653.25576</v>
          </cell>
          <cell r="P19">
            <v>122077.69417999999</v>
          </cell>
          <cell r="Q19">
            <v>59243.327160000001</v>
          </cell>
          <cell r="R19">
            <v>56400.333739999995</v>
          </cell>
          <cell r="S19">
            <v>125780.94187000001</v>
          </cell>
          <cell r="T19">
            <v>23285.726360000001</v>
          </cell>
          <cell r="U19">
            <v>42724.697700000004</v>
          </cell>
          <cell r="V19">
            <v>81054.765150000007</v>
          </cell>
          <cell r="W19">
            <v>48625.599519999996</v>
          </cell>
          <cell r="X19"/>
          <cell r="Y19"/>
          <cell r="Z19">
            <v>1634742.7643399998</v>
          </cell>
          <cell r="AA19">
            <v>16640.391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16640.391</v>
          </cell>
          <cell r="AI19">
            <v>1651383.1553399998</v>
          </cell>
          <cell r="AJ19">
            <v>137538.95289999997</v>
          </cell>
          <cell r="AK19">
            <v>58688.852369999993</v>
          </cell>
          <cell r="AL19">
            <v>223001.46518</v>
          </cell>
          <cell r="AM19"/>
          <cell r="AN19">
            <v>419229.27044999995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5251.5680000000002</v>
          </cell>
          <cell r="AU19">
            <v>21365.493000000002</v>
          </cell>
          <cell r="AV19">
            <v>0</v>
          </cell>
          <cell r="AW19"/>
          <cell r="AX19"/>
          <cell r="AY19"/>
          <cell r="AZ19"/>
          <cell r="BA19">
            <v>26617.061000000002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230148.43899999998</v>
          </cell>
          <cell r="G20">
            <v>8199.2860000000001</v>
          </cell>
          <cell r="H20">
            <v>8891.7350000000006</v>
          </cell>
          <cell r="I20">
            <v>6616.1959999999999</v>
          </cell>
          <cell r="J20">
            <v>4767.9480000000003</v>
          </cell>
          <cell r="K20">
            <v>7504.26</v>
          </cell>
          <cell r="L20">
            <v>6257.6039999999994</v>
          </cell>
          <cell r="M20">
            <v>4774.3919999999998</v>
          </cell>
          <cell r="N20">
            <v>6253.2139999999999</v>
          </cell>
          <cell r="O20">
            <v>3000.14</v>
          </cell>
          <cell r="P20">
            <v>4875.0619999999999</v>
          </cell>
          <cell r="Q20">
            <v>3310.6189999999997</v>
          </cell>
          <cell r="R20">
            <v>3546.9089999999997</v>
          </cell>
          <cell r="S20">
            <v>6352.8080000000009</v>
          </cell>
          <cell r="T20">
            <v>1481.598</v>
          </cell>
          <cell r="U20">
            <v>1771.4760000000001</v>
          </cell>
          <cell r="V20">
            <v>3313.97</v>
          </cell>
          <cell r="W20">
            <v>3301.4830000000002</v>
          </cell>
          <cell r="X20"/>
          <cell r="Y20"/>
          <cell r="Z20">
            <v>84218.699999999983</v>
          </cell>
          <cell r="AA20">
            <v>5669.0559999999996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5669.0559999999996</v>
          </cell>
          <cell r="AI20">
            <v>89887.755999999979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23040.063000000002</v>
          </cell>
          <cell r="AP20">
            <v>0</v>
          </cell>
          <cell r="AQ20"/>
          <cell r="AR20"/>
          <cell r="AS20">
            <v>23040.063000000002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59730.978999999999</v>
          </cell>
          <cell r="BD20">
            <v>0</v>
          </cell>
          <cell r="BE20">
            <v>0</v>
          </cell>
          <cell r="BF20">
            <v>57489.640999999989</v>
          </cell>
          <cell r="BG20">
            <v>0</v>
          </cell>
          <cell r="BH20">
            <v>0</v>
          </cell>
          <cell r="BI20"/>
          <cell r="BJ20">
            <v>117220.62</v>
          </cell>
          <cell r="BK20"/>
          <cell r="BL20"/>
          <cell r="BM20"/>
          <cell r="BN20"/>
          <cell r="BO20"/>
        </row>
        <row r="21">
          <cell r="F21">
            <v>4233869.322999957</v>
          </cell>
          <cell r="G21">
            <v>865273.62800000014</v>
          </cell>
          <cell r="H21">
            <v>143883.24800000165</v>
          </cell>
          <cell r="I21">
            <v>-312750.34799999965</v>
          </cell>
          <cell r="J21">
            <v>-50511.174000000174</v>
          </cell>
          <cell r="K21">
            <v>676078.38300000015</v>
          </cell>
          <cell r="L21">
            <v>414885.348999999</v>
          </cell>
          <cell r="M21">
            <v>-105524.43200000004</v>
          </cell>
          <cell r="N21">
            <v>647161.90400000045</v>
          </cell>
          <cell r="O21">
            <v>20936.166999999914</v>
          </cell>
          <cell r="P21">
            <v>332128.8810000004</v>
          </cell>
          <cell r="Q21">
            <v>61169.039999999681</v>
          </cell>
          <cell r="R21">
            <v>419256.22299999965</v>
          </cell>
          <cell r="S21">
            <v>357759.60800000059</v>
          </cell>
          <cell r="T21">
            <v>-61959.749000000156</v>
          </cell>
          <cell r="U21">
            <v>373774.20199999982</v>
          </cell>
          <cell r="V21">
            <v>686340.31599999953</v>
          </cell>
          <cell r="W21">
            <v>355765.26199999993</v>
          </cell>
          <cell r="X21"/>
          <cell r="Y21"/>
          <cell r="Z21">
            <v>4823666.5080000013</v>
          </cell>
          <cell r="AA21">
            <v>94371.260000000009</v>
          </cell>
          <cell r="AB21">
            <v>-808.24699999999996</v>
          </cell>
          <cell r="AC21">
            <v>36496.418000000005</v>
          </cell>
          <cell r="AD21">
            <v>84367.72099999999</v>
          </cell>
          <cell r="AE21"/>
          <cell r="AF21"/>
          <cell r="AG21"/>
          <cell r="AH21">
            <v>214427.152</v>
          </cell>
          <cell r="AI21">
            <v>5038093.6599999797</v>
          </cell>
          <cell r="AJ21">
            <v>105655.03698999988</v>
          </cell>
          <cell r="AK21">
            <v>190533.93001000013</v>
          </cell>
          <cell r="AL21">
            <v>-556542.38299999991</v>
          </cell>
          <cell r="AM21"/>
          <cell r="AN21">
            <v>-260353.4159999995</v>
          </cell>
          <cell r="AO21">
            <v>-106582.9320000032</v>
          </cell>
          <cell r="AP21">
            <v>0</v>
          </cell>
          <cell r="AQ21"/>
          <cell r="AR21"/>
          <cell r="AS21">
            <v>-106582.9320000032</v>
          </cell>
          <cell r="AT21">
            <v>16244.868000000002</v>
          </cell>
          <cell r="AU21">
            <v>1313.530999999999</v>
          </cell>
          <cell r="AV21">
            <v>248312.95800000001</v>
          </cell>
          <cell r="AW21"/>
          <cell r="AX21"/>
          <cell r="AY21"/>
          <cell r="AZ21"/>
          <cell r="BA21">
            <v>265871.35700000002</v>
          </cell>
          <cell r="BB21">
            <v>0</v>
          </cell>
          <cell r="BC21">
            <v>-53030.779000000002</v>
          </cell>
          <cell r="BD21">
            <v>0</v>
          </cell>
          <cell r="BE21">
            <v>0</v>
          </cell>
          <cell r="BF21">
            <v>-103343.40199999999</v>
          </cell>
          <cell r="BG21">
            <v>-541191.78</v>
          </cell>
          <cell r="BH21">
            <v>-5593.3850000000002</v>
          </cell>
          <cell r="BI21"/>
          <cell r="BJ21">
            <v>-703159.34600000002</v>
          </cell>
          <cell r="BK21"/>
          <cell r="BL21"/>
          <cell r="BM21"/>
          <cell r="BN21"/>
          <cell r="BO21"/>
        </row>
        <row r="22">
          <cell r="F22">
            <v>6835663.5989990998</v>
          </cell>
          <cell r="G22">
            <v>847198.26438382897</v>
          </cell>
          <cell r="H22">
            <v>621345.51455456158</v>
          </cell>
          <cell r="I22">
            <v>252516.6399707876</v>
          </cell>
          <cell r="J22">
            <v>214259.35300380102</v>
          </cell>
          <cell r="K22">
            <v>517605.6172534728</v>
          </cell>
          <cell r="L22">
            <v>429549.05322992371</v>
          </cell>
          <cell r="M22">
            <v>199930.1869655574</v>
          </cell>
          <cell r="N22">
            <v>532229.91075738985</v>
          </cell>
          <cell r="O22">
            <v>185131.44849152426</v>
          </cell>
          <cell r="P22">
            <v>285697.80505503097</v>
          </cell>
          <cell r="Q22">
            <v>260990.806628686</v>
          </cell>
          <cell r="R22">
            <v>314435.86328992178</v>
          </cell>
          <cell r="S22">
            <v>508009.95554676547</v>
          </cell>
          <cell r="T22">
            <v>59072.150677343088</v>
          </cell>
          <cell r="U22">
            <v>126487.88535429665</v>
          </cell>
          <cell r="V22">
            <v>364703.10727162764</v>
          </cell>
          <cell r="W22">
            <v>188567.48943752184</v>
          </cell>
          <cell r="X22"/>
          <cell r="Y22"/>
          <cell r="Z22">
            <v>5907731.0518720411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5907731.0518720411</v>
          </cell>
          <cell r="AJ22">
            <v>101905.16056092847</v>
          </cell>
          <cell r="AK22">
            <v>35912.112576129934</v>
          </cell>
          <cell r="AL22">
            <v>49567.814079999996</v>
          </cell>
          <cell r="AM22"/>
          <cell r="AN22">
            <v>187385.0872170584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522396.05099999998</v>
          </cell>
          <cell r="BF22">
            <v>0</v>
          </cell>
          <cell r="BG22">
            <v>218151.40891</v>
          </cell>
          <cell r="BH22">
            <v>0</v>
          </cell>
          <cell r="BI22"/>
          <cell r="BJ22">
            <v>740547.45990999998</v>
          </cell>
          <cell r="BK22"/>
          <cell r="BL22"/>
          <cell r="BM22"/>
          <cell r="BN22"/>
          <cell r="BO22"/>
        </row>
        <row r="23">
          <cell r="F23">
            <v>895208.68699909933</v>
          </cell>
          <cell r="G23">
            <v>82806.273884139868</v>
          </cell>
          <cell r="H23">
            <v>59978.057090088791</v>
          </cell>
          <cell r="I23">
            <v>24601.219971358336</v>
          </cell>
          <cell r="J23">
            <v>20626.447548192555</v>
          </cell>
          <cell r="K23">
            <v>75574.626352605148</v>
          </cell>
          <cell r="L23">
            <v>62536.799966535677</v>
          </cell>
          <cell r="M23">
            <v>29035.853008685084</v>
          </cell>
          <cell r="N23">
            <v>77543.676028809001</v>
          </cell>
          <cell r="O23">
            <v>27171.96927486224</v>
          </cell>
          <cell r="P23">
            <v>41726.70537854117</v>
          </cell>
          <cell r="Q23">
            <v>38250.794380799729</v>
          </cell>
          <cell r="R23">
            <v>45844.663689599118</v>
          </cell>
          <cell r="S23">
            <v>49872.275050988894</v>
          </cell>
          <cell r="T23">
            <v>5879.1379476305556</v>
          </cell>
          <cell r="U23">
            <v>12103.883547374966</v>
          </cell>
          <cell r="V23">
            <v>35639.921571729144</v>
          </cell>
          <cell r="W23">
            <v>18631.295090100481</v>
          </cell>
          <cell r="X23"/>
          <cell r="Y23"/>
          <cell r="Z23">
            <v>707823.59978204092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707823.59978204092</v>
          </cell>
          <cell r="AJ23">
            <v>101905.16056092847</v>
          </cell>
          <cell r="AK23">
            <v>35912.112576129934</v>
          </cell>
          <cell r="AL23">
            <v>49567.814079999996</v>
          </cell>
          <cell r="AM23"/>
          <cell r="AN23">
            <v>187385.0872170584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1850313.0699999998</v>
          </cell>
          <cell r="G24">
            <v>274088.14864190423</v>
          </cell>
          <cell r="H24">
            <v>196942.72884404348</v>
          </cell>
          <cell r="I24">
            <v>81046.12657863085</v>
          </cell>
          <cell r="J24">
            <v>67656.231467354679</v>
          </cell>
          <cell r="K24">
            <v>158367.0815410846</v>
          </cell>
          <cell r="L24">
            <v>131623.62835021527</v>
          </cell>
          <cell r="M24">
            <v>59118.288730761677</v>
          </cell>
          <cell r="N24">
            <v>161671.55804174676</v>
          </cell>
          <cell r="O24">
            <v>58237.405195527681</v>
          </cell>
          <cell r="P24">
            <v>87635.492531435826</v>
          </cell>
          <cell r="Q24">
            <v>79792.736521742831</v>
          </cell>
          <cell r="R24">
            <v>95233.147991819467</v>
          </cell>
          <cell r="S24">
            <v>163827.66334659912</v>
          </cell>
          <cell r="T24">
            <v>18552.013472053048</v>
          </cell>
          <cell r="U24">
            <v>39661.996283346205</v>
          </cell>
          <cell r="V24">
            <v>116997.2030060759</v>
          </cell>
          <cell r="W24">
            <v>59861.619455658161</v>
          </cell>
          <cell r="X24"/>
          <cell r="Y24"/>
          <cell r="Z24">
            <v>1850313.0699999998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1850313.0699999998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4090141.8420000002</v>
          </cell>
          <cell r="G25">
            <v>490303.84185778489</v>
          </cell>
          <cell r="H25">
            <v>364424.72862042929</v>
          </cell>
          <cell r="I25">
            <v>146869.29342079841</v>
          </cell>
          <cell r="J25">
            <v>125976.67398825378</v>
          </cell>
          <cell r="K25">
            <v>283663.90935978305</v>
          </cell>
          <cell r="L25">
            <v>235388.6249131728</v>
          </cell>
          <cell r="M25">
            <v>111776.04522611065</v>
          </cell>
          <cell r="N25">
            <v>293014.67668683402</v>
          </cell>
          <cell r="O25">
            <v>99722.074021134351</v>
          </cell>
          <cell r="P25">
            <v>156335.60714505395</v>
          </cell>
          <cell r="Q25">
            <v>142947.27572614345</v>
          </cell>
          <cell r="R25">
            <v>173358.05160850321</v>
          </cell>
          <cell r="S25">
            <v>294310.01714917744</v>
          </cell>
          <cell r="T25">
            <v>34640.999257659489</v>
          </cell>
          <cell r="U25">
            <v>74722.005523575484</v>
          </cell>
          <cell r="V25">
            <v>212065.98269382259</v>
          </cell>
          <cell r="W25">
            <v>110074.57489176319</v>
          </cell>
          <cell r="X25"/>
          <cell r="Y25"/>
          <cell r="Z25">
            <v>3349594.38209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3349594.38209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522396.05099999998</v>
          </cell>
          <cell r="BF25">
            <v>0</v>
          </cell>
          <cell r="BG25">
            <v>218151.40891</v>
          </cell>
          <cell r="BH25">
            <v>0</v>
          </cell>
          <cell r="BI25"/>
          <cell r="BJ25">
            <v>740547.45990999998</v>
          </cell>
          <cell r="BK25"/>
          <cell r="BL25"/>
          <cell r="BM25"/>
          <cell r="BN25"/>
          <cell r="BO25"/>
        </row>
        <row r="26">
          <cell r="F26">
            <v>-2601794.2759991428</v>
          </cell>
          <cell r="G26">
            <v>18075.363616171177</v>
          </cell>
          <cell r="H26">
            <v>-477462.26655455993</v>
          </cell>
          <cell r="I26">
            <v>-565266.98797078722</v>
          </cell>
          <cell r="J26">
            <v>-264770.52700380119</v>
          </cell>
          <cell r="K26">
            <v>158472.76574652735</v>
          </cell>
          <cell r="L26">
            <v>-14663.704229924711</v>
          </cell>
          <cell r="M26">
            <v>-305454.61896555743</v>
          </cell>
          <cell r="N26">
            <v>114931.9932426106</v>
          </cell>
          <cell r="O26">
            <v>-164195.28149152437</v>
          </cell>
          <cell r="P26">
            <v>46431.075944969431</v>
          </cell>
          <cell r="Q26">
            <v>-199821.76662868631</v>
          </cell>
          <cell r="R26">
            <v>104820.35971007787</v>
          </cell>
          <cell r="S26">
            <v>-150250.34754676488</v>
          </cell>
          <cell r="T26">
            <v>-121031.89967734324</v>
          </cell>
          <cell r="U26">
            <v>247286.31664570316</v>
          </cell>
          <cell r="V26">
            <v>321637.20872837189</v>
          </cell>
          <cell r="W26">
            <v>167197.77256247809</v>
          </cell>
          <cell r="X26"/>
          <cell r="Y26"/>
          <cell r="Z26">
            <v>-1084064.5438720398</v>
          </cell>
          <cell r="AA26">
            <v>94371.260000000009</v>
          </cell>
          <cell r="AB26">
            <v>-808.24699999999996</v>
          </cell>
          <cell r="AC26">
            <v>36496.418000000005</v>
          </cell>
          <cell r="AD26">
            <v>84367.72099999999</v>
          </cell>
          <cell r="AE26"/>
          <cell r="AF26"/>
          <cell r="AG26"/>
          <cell r="AH26">
            <v>214427.152</v>
          </cell>
          <cell r="AI26">
            <v>-869637.39187206142</v>
          </cell>
          <cell r="AJ26">
            <v>3749.8764290714025</v>
          </cell>
          <cell r="AK26">
            <v>154621.81743387019</v>
          </cell>
          <cell r="AL26">
            <v>-606110.19707999995</v>
          </cell>
          <cell r="AM26"/>
          <cell r="AN26">
            <v>-447738.50321705791</v>
          </cell>
          <cell r="AO26">
            <v>-106582.9320000032</v>
          </cell>
          <cell r="AP26">
            <v>0</v>
          </cell>
          <cell r="AQ26"/>
          <cell r="AR26"/>
          <cell r="AS26">
            <v>-106582.9320000032</v>
          </cell>
          <cell r="AT26">
            <v>16244.868000000002</v>
          </cell>
          <cell r="AU26">
            <v>1313.530999999999</v>
          </cell>
          <cell r="AV26">
            <v>248312.95800000001</v>
          </cell>
          <cell r="AW26"/>
          <cell r="AX26"/>
          <cell r="AY26"/>
          <cell r="AZ26"/>
          <cell r="BA26">
            <v>265871.35700000002</v>
          </cell>
          <cell r="BB26">
            <v>0</v>
          </cell>
          <cell r="BC26">
            <v>-53030.779000000002</v>
          </cell>
          <cell r="BD26">
            <v>0</v>
          </cell>
          <cell r="BE26">
            <v>-522396.05099999998</v>
          </cell>
          <cell r="BF26">
            <v>-103343.40199999999</v>
          </cell>
          <cell r="BG26">
            <v>-759343.18891000003</v>
          </cell>
          <cell r="BH26">
            <v>-5593.3850000000002</v>
          </cell>
          <cell r="BI26"/>
          <cell r="BJ26">
            <v>-1443706.8059100001</v>
          </cell>
          <cell r="BK26"/>
          <cell r="BL26"/>
          <cell r="BM26"/>
          <cell r="BN26"/>
          <cell r="BO26"/>
        </row>
        <row r="27">
          <cell r="F27">
            <v>-2601794.2759990999</v>
          </cell>
          <cell r="G27">
            <v>18075.36361617173</v>
          </cell>
          <cell r="H27">
            <v>-477462.26655456156</v>
          </cell>
          <cell r="I27">
            <v>-565266.98797078745</v>
          </cell>
          <cell r="J27">
            <v>-264770.52700380108</v>
          </cell>
          <cell r="K27">
            <v>158472.76574652721</v>
          </cell>
          <cell r="L27">
            <v>-14663.704229924151</v>
          </cell>
          <cell r="M27">
            <v>-305454.61896555737</v>
          </cell>
          <cell r="N27">
            <v>114931.99324261022</v>
          </cell>
          <cell r="O27">
            <v>-164195.28149152422</v>
          </cell>
          <cell r="P27">
            <v>46431.075944969067</v>
          </cell>
          <cell r="Q27">
            <v>-199821.76662868613</v>
          </cell>
          <cell r="R27">
            <v>104820.35971007835</v>
          </cell>
          <cell r="S27">
            <v>-150250.34754676578</v>
          </cell>
          <cell r="T27">
            <v>-121031.89967734317</v>
          </cell>
          <cell r="U27">
            <v>247286.31664570339</v>
          </cell>
          <cell r="V27">
            <v>321637.20872837194</v>
          </cell>
          <cell r="W27">
            <v>167197.77256247809</v>
          </cell>
          <cell r="X27"/>
          <cell r="Y27"/>
          <cell r="Z27">
            <v>-1084064.5438720412</v>
          </cell>
          <cell r="AA27">
            <v>94371.260000000009</v>
          </cell>
          <cell r="AB27">
            <v>-808.24699999999996</v>
          </cell>
          <cell r="AC27">
            <v>36496.418000000005</v>
          </cell>
          <cell r="AD27">
            <v>84367.721000000005</v>
          </cell>
          <cell r="AE27"/>
          <cell r="AF27"/>
          <cell r="AG27"/>
          <cell r="AH27">
            <v>214427.152</v>
          </cell>
          <cell r="AI27">
            <v>-869637.39187204116</v>
          </cell>
          <cell r="AJ27">
            <v>3749.8764290715044</v>
          </cell>
          <cell r="AK27">
            <v>154621.81743387011</v>
          </cell>
          <cell r="AL27">
            <v>-606110.19707999984</v>
          </cell>
          <cell r="AM27"/>
          <cell r="AN27">
            <v>-447738.50321705826</v>
          </cell>
          <cell r="AO27">
            <v>-106582.93200000036</v>
          </cell>
          <cell r="AP27">
            <v>0</v>
          </cell>
          <cell r="AQ27"/>
          <cell r="AR27"/>
          <cell r="AS27">
            <v>-106582.93200000036</v>
          </cell>
          <cell r="AT27">
            <v>16244.868000000002</v>
          </cell>
          <cell r="AU27">
            <v>1313.530999999999</v>
          </cell>
          <cell r="AV27">
            <v>248312.95800000001</v>
          </cell>
          <cell r="AW27"/>
          <cell r="AX27"/>
          <cell r="AY27"/>
          <cell r="AZ27"/>
          <cell r="BA27">
            <v>265871.35700000002</v>
          </cell>
          <cell r="BB27">
            <v>0</v>
          </cell>
          <cell r="BC27">
            <v>-53030.778999999995</v>
          </cell>
          <cell r="BD27">
            <v>0</v>
          </cell>
          <cell r="BE27">
            <v>-522396.05099999998</v>
          </cell>
          <cell r="BF27">
            <v>-103343.40199999999</v>
          </cell>
          <cell r="BG27">
            <v>-759343.18891000003</v>
          </cell>
          <cell r="BH27">
            <v>-5593.3850000000002</v>
          </cell>
          <cell r="BI27"/>
          <cell r="BJ27">
            <v>-1443706.8059099999</v>
          </cell>
          <cell r="BK27"/>
          <cell r="BL27"/>
          <cell r="BM27"/>
          <cell r="BN27"/>
          <cell r="BO27"/>
        </row>
        <row r="28">
          <cell r="F28">
            <v>-4.2840838432312012E-8</v>
          </cell>
          <cell r="G28">
            <v>-5.5297277867794037E-10</v>
          </cell>
          <cell r="H28">
            <v>1.6298145055770874E-9</v>
          </cell>
          <cell r="I28">
            <v>0</v>
          </cell>
          <cell r="J28">
            <v>0</v>
          </cell>
          <cell r="K28">
            <v>0</v>
          </cell>
          <cell r="L28">
            <v>-5.6024873629212379E-10</v>
          </cell>
          <cell r="M28">
            <v>0</v>
          </cell>
          <cell r="N28">
            <v>3.7834979593753815E-10</v>
          </cell>
          <cell r="O28">
            <v>0</v>
          </cell>
          <cell r="P28">
            <v>3.637978807091713E-10</v>
          </cell>
          <cell r="Q28">
            <v>0</v>
          </cell>
          <cell r="R28">
            <v>-4.8021320253610611E-10</v>
          </cell>
          <cell r="S28">
            <v>9.0221874415874481E-10</v>
          </cell>
          <cell r="T28">
            <v>0</v>
          </cell>
          <cell r="U28">
            <v>-2.3283064365386963E-10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-2.0256265997886658E-8</v>
          </cell>
          <cell r="AJ28">
            <v>-1.0186340659856796E-10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-2.8376234695315361E-9</v>
          </cell>
          <cell r="AP28">
            <v>0</v>
          </cell>
          <cell r="AQ28"/>
          <cell r="AR28"/>
          <cell r="AS28">
            <v>-2.8376234695315361E-9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140460</v>
          </cell>
          <cell r="H31">
            <v>103722</v>
          </cell>
          <cell r="I31">
            <v>43281</v>
          </cell>
          <cell r="J31">
            <v>36927</v>
          </cell>
          <cell r="K31">
            <v>74847</v>
          </cell>
          <cell r="L31">
            <v>67223</v>
          </cell>
          <cell r="M31">
            <v>34275</v>
          </cell>
          <cell r="N31">
            <v>77971.5</v>
          </cell>
          <cell r="O31">
            <v>29916</v>
          </cell>
          <cell r="P31">
            <v>43261</v>
          </cell>
          <cell r="Q31">
            <v>41921.5</v>
          </cell>
          <cell r="R31">
            <v>44811</v>
          </cell>
          <cell r="S31">
            <v>81340</v>
          </cell>
          <cell r="T31">
            <v>8438</v>
          </cell>
          <cell r="U31">
            <v>19002</v>
          </cell>
          <cell r="V31">
            <v>60048</v>
          </cell>
          <cell r="W31">
            <v>23994.5</v>
          </cell>
          <cell r="X31">
            <v>0</v>
          </cell>
          <cell r="Y31">
            <v>0</v>
          </cell>
          <cell r="Z31">
            <v>931438.5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931438.5</v>
          </cell>
          <cell r="AJ31">
            <v>94411</v>
          </cell>
          <cell r="AK31">
            <v>73478</v>
          </cell>
          <cell r="AL31">
            <v>67536</v>
          </cell>
          <cell r="AM31"/>
          <cell r="AN31">
            <v>235425</v>
          </cell>
          <cell r="AO31">
            <v>45346.46</v>
          </cell>
          <cell r="AP31">
            <v>0</v>
          </cell>
          <cell r="AQ31"/>
          <cell r="AR31"/>
          <cell r="AS31">
            <v>45346.46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136196546.99299997</v>
          </cell>
          <cell r="G32">
            <v>13476409.308</v>
          </cell>
          <cell r="H32">
            <v>10154913.379000001</v>
          </cell>
          <cell r="I32">
            <v>3997085.915</v>
          </cell>
          <cell r="J32">
            <v>3518427.1359999999</v>
          </cell>
          <cell r="K32">
            <v>7925726.0199999996</v>
          </cell>
          <cell r="L32">
            <v>6505480.0179999992</v>
          </cell>
          <cell r="M32">
            <v>3117415.7</v>
          </cell>
          <cell r="N32">
            <v>7962465.79</v>
          </cell>
          <cell r="O32">
            <v>2823580.0269999998</v>
          </cell>
          <cell r="P32">
            <v>4266675.63</v>
          </cell>
          <cell r="Q32">
            <v>3851699.5789999999</v>
          </cell>
          <cell r="R32">
            <v>4723127.5999999996</v>
          </cell>
          <cell r="S32">
            <v>8067073.0510000009</v>
          </cell>
          <cell r="T32">
            <v>906761.50399999996</v>
          </cell>
          <cell r="U32">
            <v>2081438.277</v>
          </cell>
          <cell r="V32">
            <v>5832244.3959999997</v>
          </cell>
          <cell r="W32">
            <v>2928038.2960000001</v>
          </cell>
          <cell r="X32">
            <v>0</v>
          </cell>
          <cell r="Y32">
            <v>0</v>
          </cell>
          <cell r="Z32">
            <v>92138561.625999987</v>
          </cell>
          <cell r="AA32">
            <v>125000</v>
          </cell>
          <cell r="AB32">
            <v>0</v>
          </cell>
          <cell r="AC32">
            <v>50000</v>
          </cell>
          <cell r="AD32">
            <v>115860</v>
          </cell>
          <cell r="AE32"/>
          <cell r="AF32"/>
          <cell r="AG32"/>
          <cell r="AH32">
            <v>290860</v>
          </cell>
          <cell r="AI32">
            <v>92429421.625999987</v>
          </cell>
          <cell r="AJ32">
            <v>2729232.5</v>
          </cell>
          <cell r="AK32">
            <v>1042126</v>
          </cell>
          <cell r="AL32">
            <v>1255456</v>
          </cell>
          <cell r="AM32"/>
          <cell r="AN32">
            <v>5026814.5</v>
          </cell>
          <cell r="AO32">
            <v>38439847.708999999</v>
          </cell>
          <cell r="AP32">
            <v>0</v>
          </cell>
          <cell r="AQ32"/>
          <cell r="AR32"/>
          <cell r="AS32">
            <v>38439847.708999999</v>
          </cell>
          <cell r="AT32">
            <v>22050</v>
          </cell>
          <cell r="AU32">
            <v>23400</v>
          </cell>
          <cell r="AV32">
            <v>248312.95800000001</v>
          </cell>
          <cell r="AW32"/>
          <cell r="AX32"/>
          <cell r="AY32"/>
          <cell r="AZ32"/>
          <cell r="BA32">
            <v>293762.95799999998</v>
          </cell>
          <cell r="BB32">
            <v>0</v>
          </cell>
          <cell r="BC32">
            <v>6700.1999999999989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6700.1999999999989</v>
          </cell>
        </row>
        <row r="33">
          <cell r="F33">
            <v>128274293.118</v>
          </cell>
          <cell r="G33">
            <v>12336992.699000001</v>
          </cell>
          <cell r="H33">
            <v>9725839.4229999986</v>
          </cell>
          <cell r="I33">
            <v>4092791.4129999997</v>
          </cell>
          <cell r="J33">
            <v>3419789.122</v>
          </cell>
          <cell r="K33">
            <v>7034568.3149999995</v>
          </cell>
          <cell r="L33">
            <v>5869814.0760000004</v>
          </cell>
          <cell r="M33">
            <v>3060726.2840000005</v>
          </cell>
          <cell r="N33">
            <v>7146610.9669999992</v>
          </cell>
          <cell r="O33">
            <v>2670348.4029999999</v>
          </cell>
          <cell r="P33">
            <v>3804976.5119999996</v>
          </cell>
          <cell r="Q33">
            <v>3667166.6370000001</v>
          </cell>
          <cell r="R33">
            <v>4196507.9950000001</v>
          </cell>
          <cell r="S33">
            <v>7515821.5600000005</v>
          </cell>
          <cell r="T33">
            <v>923797.56800000009</v>
          </cell>
          <cell r="U33">
            <v>1661760.1880000001</v>
          </cell>
          <cell r="V33">
            <v>5011225.3610000005</v>
          </cell>
          <cell r="W33">
            <v>2504476.9850000003</v>
          </cell>
          <cell r="X33">
            <v>0</v>
          </cell>
          <cell r="Y33">
            <v>0</v>
          </cell>
          <cell r="Z33">
            <v>84643213.508000001</v>
          </cell>
          <cell r="AA33">
            <v>22938.216</v>
          </cell>
          <cell r="AB33">
            <v>0</v>
          </cell>
          <cell r="AC33">
            <v>13503.581999999999</v>
          </cell>
          <cell r="AD33">
            <v>31492.279000000002</v>
          </cell>
          <cell r="AE33"/>
          <cell r="AF33"/>
          <cell r="AG33"/>
          <cell r="AH33">
            <v>67934.07699999999</v>
          </cell>
          <cell r="AI33">
            <v>84711147.585000008</v>
          </cell>
          <cell r="AJ33">
            <v>2623577.4630100001</v>
          </cell>
          <cell r="AK33">
            <v>851592.06998999987</v>
          </cell>
          <cell r="AL33">
            <v>1811998.3829999999</v>
          </cell>
          <cell r="AM33"/>
          <cell r="AN33">
            <v>5287167.9159999993</v>
          </cell>
          <cell r="AO33">
            <v>37939687.751000002</v>
          </cell>
          <cell r="AP33">
            <v>0</v>
          </cell>
          <cell r="AQ33"/>
          <cell r="AR33"/>
          <cell r="AS33">
            <v>37939687.751000002</v>
          </cell>
          <cell r="AT33">
            <v>5805.1320000000005</v>
          </cell>
          <cell r="AU33">
            <v>22086.469000000001</v>
          </cell>
          <cell r="AV33">
            <v>0</v>
          </cell>
          <cell r="AW33"/>
          <cell r="AX33"/>
          <cell r="AY33"/>
          <cell r="AZ33"/>
          <cell r="BA33">
            <v>27891.601000000002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5593.3850000000002</v>
          </cell>
          <cell r="BI33"/>
          <cell r="BJ33">
            <v>308398.26500000001</v>
          </cell>
        </row>
        <row r="34">
          <cell r="F34">
            <v>7922253.8749999702</v>
          </cell>
          <cell r="G34">
            <v>1139416.6089999992</v>
          </cell>
          <cell r="H34">
            <v>429073.9560000021</v>
          </cell>
          <cell r="I34">
            <v>-95705.497999999672</v>
          </cell>
          <cell r="J34">
            <v>98638.013999999966</v>
          </cell>
          <cell r="K34">
            <v>891157.70500000007</v>
          </cell>
          <cell r="L34">
            <v>635665.94199999887</v>
          </cell>
          <cell r="M34">
            <v>56689.415999999736</v>
          </cell>
          <cell r="N34">
            <v>815854.82300000079</v>
          </cell>
          <cell r="O34">
            <v>153231.62399999984</v>
          </cell>
          <cell r="P34">
            <v>461699.11800000025</v>
          </cell>
          <cell r="Q34">
            <v>184532.94199999981</v>
          </cell>
          <cell r="R34">
            <v>526619.60499999952</v>
          </cell>
          <cell r="S34">
            <v>551251.49100000039</v>
          </cell>
          <cell r="T34">
            <v>-17036.064000000129</v>
          </cell>
          <cell r="U34">
            <v>419678.08899999992</v>
          </cell>
          <cell r="V34">
            <v>821019.03499999922</v>
          </cell>
          <cell r="W34">
            <v>423561.31099999975</v>
          </cell>
          <cell r="X34">
            <v>0</v>
          </cell>
          <cell r="Y34">
            <v>0</v>
          </cell>
          <cell r="Z34">
            <v>7495348.1179999858</v>
          </cell>
          <cell r="AA34">
            <v>102061.784</v>
          </cell>
          <cell r="AB34">
            <v>0</v>
          </cell>
          <cell r="AC34">
            <v>36496.418000000005</v>
          </cell>
          <cell r="AD34">
            <v>84367.72099999999</v>
          </cell>
          <cell r="AE34"/>
          <cell r="AF34"/>
          <cell r="AG34"/>
          <cell r="AH34">
            <v>222925.92300000001</v>
          </cell>
          <cell r="AI34">
            <v>7718274.0409999788</v>
          </cell>
          <cell r="AJ34">
            <v>105655.03698999994</v>
          </cell>
          <cell r="AK34">
            <v>190533.93001000013</v>
          </cell>
          <cell r="AL34">
            <v>-556542.38299999991</v>
          </cell>
          <cell r="AM34"/>
          <cell r="AN34">
            <v>-260353.41599999927</v>
          </cell>
          <cell r="AO34">
            <v>500159.95799999684</v>
          </cell>
          <cell r="AP34">
            <v>0</v>
          </cell>
          <cell r="AQ34"/>
          <cell r="AR34"/>
          <cell r="AS34">
            <v>500159.95799999684</v>
          </cell>
          <cell r="AT34">
            <v>16244.867999999999</v>
          </cell>
          <cell r="AU34">
            <v>1313.530999999999</v>
          </cell>
          <cell r="AV34">
            <v>248312.95800000001</v>
          </cell>
          <cell r="AW34"/>
          <cell r="AX34"/>
          <cell r="AY34"/>
          <cell r="AZ34"/>
          <cell r="BA34">
            <v>265871.35699999996</v>
          </cell>
          <cell r="BB34">
            <v>0</v>
          </cell>
          <cell r="BC34">
            <v>6700.1999999999989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-5593.3850000000002</v>
          </cell>
          <cell r="BI34"/>
          <cell r="BJ34">
            <v>-301698.065</v>
          </cell>
        </row>
        <row r="35">
          <cell r="F35">
            <v>10524048.150999099</v>
          </cell>
          <cell r="G35">
            <v>1121341.2453838291</v>
          </cell>
          <cell r="H35">
            <v>906536.22255456157</v>
          </cell>
          <cell r="I35">
            <v>469561.48997078754</v>
          </cell>
          <cell r="J35">
            <v>363408.54100380099</v>
          </cell>
          <cell r="K35">
            <v>732684.93925347272</v>
          </cell>
          <cell r="L35">
            <v>650329.6462299237</v>
          </cell>
          <cell r="M35">
            <v>362144.0349655574</v>
          </cell>
          <cell r="N35">
            <v>700922.82975738985</v>
          </cell>
          <cell r="O35">
            <v>317426.90549152426</v>
          </cell>
          <cell r="P35">
            <v>415268.04205503094</v>
          </cell>
          <cell r="Q35">
            <v>384354.70862868597</v>
          </cell>
          <cell r="R35">
            <v>421799.24528992176</v>
          </cell>
          <cell r="S35">
            <v>701501.8385467655</v>
          </cell>
          <cell r="T35">
            <v>103995.83567734309</v>
          </cell>
          <cell r="U35">
            <v>172391.77235429664</v>
          </cell>
          <cell r="V35">
            <v>499381.82627162762</v>
          </cell>
          <cell r="W35">
            <v>256363.53843752184</v>
          </cell>
          <cell r="X35">
            <v>0</v>
          </cell>
          <cell r="Y35">
            <v>0</v>
          </cell>
          <cell r="Z35">
            <v>8579412.6618720405</v>
          </cell>
          <cell r="AA35">
            <v>7690.5239999999994</v>
          </cell>
          <cell r="AB35">
            <v>808.24699999999996</v>
          </cell>
          <cell r="AC35">
            <v>0</v>
          </cell>
          <cell r="AD35">
            <v>0</v>
          </cell>
          <cell r="AE35"/>
          <cell r="AF35"/>
          <cell r="AG35"/>
          <cell r="AH35">
            <v>8498.7709999999988</v>
          </cell>
          <cell r="AI35">
            <v>8587911.4328720402</v>
          </cell>
          <cell r="AJ35">
            <v>101905.16056092847</v>
          </cell>
          <cell r="AK35">
            <v>35912.112576129934</v>
          </cell>
          <cell r="AL35">
            <v>49567.814079999996</v>
          </cell>
          <cell r="AM35"/>
          <cell r="AN35">
            <v>187385.0872170584</v>
          </cell>
          <cell r="AO35">
            <v>606742.89</v>
          </cell>
          <cell r="AP35">
            <v>0</v>
          </cell>
          <cell r="AQ35"/>
          <cell r="AR35"/>
          <cell r="AS35">
            <v>606742.89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59730.978999999999</v>
          </cell>
          <cell r="BD35">
            <v>0</v>
          </cell>
          <cell r="BE35">
            <v>522396.05099999998</v>
          </cell>
          <cell r="BF35">
            <v>103343.40199999999</v>
          </cell>
          <cell r="BG35">
            <v>456538.30891000002</v>
          </cell>
          <cell r="BH35">
            <v>0</v>
          </cell>
          <cell r="BI35"/>
          <cell r="BJ35">
            <v>1142008.7409100002</v>
          </cell>
        </row>
        <row r="36">
          <cell r="F36">
            <v>-2601794.2759991288</v>
          </cell>
          <cell r="G36">
            <v>18075.363616170129</v>
          </cell>
          <cell r="H36">
            <v>-477462.26655455946</v>
          </cell>
          <cell r="I36">
            <v>-565266.98797078722</v>
          </cell>
          <cell r="J36">
            <v>-264770.52700380102</v>
          </cell>
          <cell r="K36">
            <v>158472.76574652735</v>
          </cell>
          <cell r="L36">
            <v>-14663.704229924828</v>
          </cell>
          <cell r="M36">
            <v>-305454.61896555766</v>
          </cell>
          <cell r="N36">
            <v>114931.99324261094</v>
          </cell>
          <cell r="O36">
            <v>-164195.28149152442</v>
          </cell>
          <cell r="P36">
            <v>46431.075944969314</v>
          </cell>
          <cell r="Q36">
            <v>-199821.76662868616</v>
          </cell>
          <cell r="R36">
            <v>104820.35971007776</v>
          </cell>
          <cell r="S36">
            <v>-150250.34754676512</v>
          </cell>
          <cell r="T36">
            <v>-121031.89967734322</v>
          </cell>
          <cell r="U36">
            <v>247286.31664570328</v>
          </cell>
          <cell r="V36">
            <v>321637.2087283716</v>
          </cell>
          <cell r="W36">
            <v>167197.77256247791</v>
          </cell>
          <cell r="X36">
            <v>0</v>
          </cell>
          <cell r="Y36">
            <v>0</v>
          </cell>
          <cell r="Z36">
            <v>-1084064.5438720547</v>
          </cell>
          <cell r="AA36">
            <v>94371.26</v>
          </cell>
          <cell r="AB36">
            <v>-808.24699999999996</v>
          </cell>
          <cell r="AC36">
            <v>36496.418000000005</v>
          </cell>
          <cell r="AD36">
            <v>84367.72099999999</v>
          </cell>
          <cell r="AE36"/>
          <cell r="AF36"/>
          <cell r="AG36"/>
          <cell r="AH36">
            <v>214427.152</v>
          </cell>
          <cell r="AI36">
            <v>-869637.39187206142</v>
          </cell>
          <cell r="AJ36">
            <v>3749.8764290714607</v>
          </cell>
          <cell r="AK36">
            <v>154621.81743387019</v>
          </cell>
          <cell r="AL36">
            <v>-606110.19707999995</v>
          </cell>
          <cell r="AM36"/>
          <cell r="AN36">
            <v>-447738.50321705767</v>
          </cell>
          <cell r="AO36">
            <v>-106582.93200000317</v>
          </cell>
          <cell r="AP36">
            <v>0</v>
          </cell>
          <cell r="AQ36"/>
          <cell r="AR36"/>
          <cell r="AS36">
            <v>-106582.93200000317</v>
          </cell>
          <cell r="AT36">
            <v>16244.867999999999</v>
          </cell>
          <cell r="AU36">
            <v>1313.530999999999</v>
          </cell>
          <cell r="AV36">
            <v>248312.95800000001</v>
          </cell>
          <cell r="AW36"/>
          <cell r="AX36"/>
          <cell r="AY36"/>
          <cell r="AZ36"/>
          <cell r="BA36">
            <v>265871.35699999996</v>
          </cell>
          <cell r="BB36">
            <v>0</v>
          </cell>
          <cell r="BC36">
            <v>-53030.779000000002</v>
          </cell>
          <cell r="BD36">
            <v>0</v>
          </cell>
          <cell r="BE36">
            <v>-522396.05099999998</v>
          </cell>
          <cell r="BF36">
            <v>-103343.40199999999</v>
          </cell>
          <cell r="BG36">
            <v>-759343.18891000003</v>
          </cell>
          <cell r="BH36">
            <v>-5593.3850000000002</v>
          </cell>
          <cell r="BI36"/>
          <cell r="BJ36">
            <v>-1443706.8059100001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M38"/>
          <cell r="AN38">
            <v>-30260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-647732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M39"/>
          <cell r="AN39">
            <v>-647732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-647732</v>
          </cell>
          <cell r="G40"/>
          <cell r="H40"/>
          <cell r="I40"/>
          <cell r="J40"/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78201.733999999997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M40"/>
          <cell r="AN40">
            <v>-725933.73399999994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M41"/>
          <cell r="AN41">
            <v>78201.733999999939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M43"/>
          <cell r="AN43">
            <v>78201.733999999939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F45"/>
          <cell r="G45">
            <v>140460</v>
          </cell>
          <cell r="H45">
            <v>103722</v>
          </cell>
          <cell r="I45">
            <v>43281</v>
          </cell>
          <cell r="J45">
            <v>36927</v>
          </cell>
          <cell r="K45">
            <v>74847</v>
          </cell>
          <cell r="L45">
            <v>67223</v>
          </cell>
          <cell r="M45">
            <v>34275</v>
          </cell>
          <cell r="N45">
            <v>77971.5</v>
          </cell>
          <cell r="O45">
            <v>29916</v>
          </cell>
          <cell r="P45">
            <v>43261</v>
          </cell>
          <cell r="Q45">
            <v>41921.5</v>
          </cell>
          <cell r="R45">
            <v>44811</v>
          </cell>
          <cell r="S45">
            <v>81340</v>
          </cell>
          <cell r="T45">
            <v>8438</v>
          </cell>
          <cell r="U45">
            <v>19002</v>
          </cell>
          <cell r="V45">
            <v>60048</v>
          </cell>
          <cell r="W45">
            <v>23994.5</v>
          </cell>
          <cell r="X45">
            <v>0</v>
          </cell>
          <cell r="Y45">
            <v>0</v>
          </cell>
          <cell r="Z45">
            <v>931438.5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931438.5</v>
          </cell>
          <cell r="AJ45">
            <v>84439</v>
          </cell>
          <cell r="AK45">
            <v>73478</v>
          </cell>
          <cell r="AL45">
            <v>47248</v>
          </cell>
          <cell r="AM45"/>
          <cell r="AN45">
            <v>205165</v>
          </cell>
          <cell r="AO45">
            <v>45346.46</v>
          </cell>
          <cell r="AP45">
            <v>0</v>
          </cell>
          <cell r="AQ45"/>
          <cell r="AR45"/>
          <cell r="AS45">
            <v>45346.46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135548814.99299997</v>
          </cell>
          <cell r="G46">
            <v>13476409.308</v>
          </cell>
          <cell r="H46">
            <v>10154913.379000001</v>
          </cell>
          <cell r="I46">
            <v>3997085.915</v>
          </cell>
          <cell r="J46">
            <v>3518427.1359999999</v>
          </cell>
          <cell r="K46">
            <v>7925726.0199999996</v>
          </cell>
          <cell r="L46">
            <v>6505480.0179999992</v>
          </cell>
          <cell r="M46">
            <v>3117415.7</v>
          </cell>
          <cell r="N46">
            <v>7962465.79</v>
          </cell>
          <cell r="O46">
            <v>2823580.0269999998</v>
          </cell>
          <cell r="P46">
            <v>4266675.63</v>
          </cell>
          <cell r="Q46">
            <v>3851699.5789999999</v>
          </cell>
          <cell r="R46">
            <v>4723127.5999999996</v>
          </cell>
          <cell r="S46">
            <v>8067073.0510000009</v>
          </cell>
          <cell r="T46">
            <v>906761.50399999996</v>
          </cell>
          <cell r="U46">
            <v>2081438.277</v>
          </cell>
          <cell r="V46">
            <v>5832244.3959999997</v>
          </cell>
          <cell r="W46">
            <v>2928038.2960000001</v>
          </cell>
          <cell r="X46">
            <v>0</v>
          </cell>
          <cell r="Y46">
            <v>0</v>
          </cell>
          <cell r="Z46">
            <v>92138561.625999987</v>
          </cell>
          <cell r="AA46">
            <v>125000</v>
          </cell>
          <cell r="AB46">
            <v>0</v>
          </cell>
          <cell r="AC46">
            <v>50000</v>
          </cell>
          <cell r="AD46">
            <v>115860</v>
          </cell>
          <cell r="AE46"/>
          <cell r="AF46"/>
          <cell r="AG46"/>
          <cell r="AH46">
            <v>290860</v>
          </cell>
          <cell r="AI46">
            <v>92429421.625999987</v>
          </cell>
          <cell r="AJ46">
            <v>2438952.5</v>
          </cell>
          <cell r="AK46">
            <v>1042126</v>
          </cell>
          <cell r="AL46">
            <v>898004</v>
          </cell>
          <cell r="AM46"/>
          <cell r="AN46">
            <v>4379082.5</v>
          </cell>
          <cell r="AO46">
            <v>38439847.708999999</v>
          </cell>
          <cell r="AP46">
            <v>0</v>
          </cell>
          <cell r="AQ46"/>
          <cell r="AR46"/>
          <cell r="AS46">
            <v>38439847.708999999</v>
          </cell>
          <cell r="AT46">
            <v>22050</v>
          </cell>
          <cell r="AU46">
            <v>23400</v>
          </cell>
          <cell r="AV46">
            <v>248312.95800000001</v>
          </cell>
          <cell r="AW46"/>
          <cell r="AX46"/>
          <cell r="AY46"/>
          <cell r="AZ46"/>
          <cell r="BA46">
            <v>293762.95799999998</v>
          </cell>
          <cell r="BB46">
            <v>0</v>
          </cell>
          <cell r="BC46">
            <v>6700.1999999999989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6700.1999999999989</v>
          </cell>
        </row>
        <row r="47">
          <cell r="F47">
            <v>127626561.118</v>
          </cell>
          <cell r="G47">
            <v>12336992.699000001</v>
          </cell>
          <cell r="H47">
            <v>9725839.4229999986</v>
          </cell>
          <cell r="I47">
            <v>4092791.4129999997</v>
          </cell>
          <cell r="J47">
            <v>3419789.122</v>
          </cell>
          <cell r="K47">
            <v>7048394.8209999995</v>
          </cell>
          <cell r="L47">
            <v>5933309.4500000002</v>
          </cell>
          <cell r="M47">
            <v>3059355.6500000004</v>
          </cell>
          <cell r="N47">
            <v>7148861.4549999991</v>
          </cell>
          <cell r="O47">
            <v>2670348.4029999999</v>
          </cell>
          <cell r="P47">
            <v>3804976.5119999996</v>
          </cell>
          <cell r="Q47">
            <v>3667166.6370000001</v>
          </cell>
          <cell r="R47">
            <v>4196507.9950000001</v>
          </cell>
          <cell r="S47">
            <v>7515821.5600000005</v>
          </cell>
          <cell r="T47">
            <v>923797.56800000009</v>
          </cell>
          <cell r="U47">
            <v>1661760.1880000001</v>
          </cell>
          <cell r="V47">
            <v>5011225.3610000005</v>
          </cell>
          <cell r="W47">
            <v>2504476.9850000003</v>
          </cell>
          <cell r="X47">
            <v>0</v>
          </cell>
          <cell r="Y47">
            <v>0</v>
          </cell>
          <cell r="Z47">
            <v>84721415.241999999</v>
          </cell>
          <cell r="AA47">
            <v>22938.216</v>
          </cell>
          <cell r="AB47">
            <v>0</v>
          </cell>
          <cell r="AC47">
            <v>13503.581999999999</v>
          </cell>
          <cell r="AD47">
            <v>31492.279000000002</v>
          </cell>
          <cell r="AE47"/>
          <cell r="AF47"/>
          <cell r="AG47"/>
          <cell r="AH47">
            <v>67934.07699999999</v>
          </cell>
          <cell r="AI47">
            <v>84789349.319000006</v>
          </cell>
          <cell r="AJ47">
            <v>2357605.1940100002</v>
          </cell>
          <cell r="AK47">
            <v>851592.06998999987</v>
          </cell>
          <cell r="AL47">
            <v>1352036.9179999998</v>
          </cell>
          <cell r="AM47"/>
          <cell r="AN47">
            <v>4561234.182</v>
          </cell>
          <cell r="AO47">
            <v>37939687.751000002</v>
          </cell>
          <cell r="AP47">
            <v>0</v>
          </cell>
          <cell r="AQ47"/>
          <cell r="AR47"/>
          <cell r="AS47">
            <v>37939687.751000002</v>
          </cell>
          <cell r="AT47">
            <v>5805.1320000000005</v>
          </cell>
          <cell r="AU47">
            <v>22086.469000000001</v>
          </cell>
          <cell r="AV47">
            <v>0</v>
          </cell>
          <cell r="AW47"/>
          <cell r="AX47"/>
          <cell r="AY47"/>
          <cell r="AZ47"/>
          <cell r="BA47">
            <v>27891.601000000002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5593.3850000000002</v>
          </cell>
          <cell r="BI47"/>
          <cell r="BJ47">
            <v>308398.26500000001</v>
          </cell>
        </row>
        <row r="48">
          <cell r="F48">
            <v>7922253.8749999702</v>
          </cell>
          <cell r="G48">
            <v>1139416.6089999992</v>
          </cell>
          <cell r="H48">
            <v>429073.9560000021</v>
          </cell>
          <cell r="I48">
            <v>-95705.497999999672</v>
          </cell>
          <cell r="J48">
            <v>98638.013999999966</v>
          </cell>
          <cell r="K48">
            <v>877331.19900000002</v>
          </cell>
          <cell r="L48">
            <v>572170.56799999904</v>
          </cell>
          <cell r="M48">
            <v>58060.049999999814</v>
          </cell>
          <cell r="N48">
            <v>813604.33500000089</v>
          </cell>
          <cell r="O48">
            <v>153231.62399999984</v>
          </cell>
          <cell r="P48">
            <v>461699.11800000025</v>
          </cell>
          <cell r="Q48">
            <v>184532.94199999981</v>
          </cell>
          <cell r="R48">
            <v>526619.60499999952</v>
          </cell>
          <cell r="S48">
            <v>551251.49100000039</v>
          </cell>
          <cell r="T48">
            <v>-17036.064000000129</v>
          </cell>
          <cell r="U48">
            <v>419678.08899999992</v>
          </cell>
          <cell r="V48">
            <v>821019.03499999922</v>
          </cell>
          <cell r="W48">
            <v>423561.31099999975</v>
          </cell>
          <cell r="X48">
            <v>0</v>
          </cell>
          <cell r="Y48">
            <v>0</v>
          </cell>
          <cell r="Z48">
            <v>7417146.3839999884</v>
          </cell>
          <cell r="AA48">
            <v>102061.784</v>
          </cell>
          <cell r="AB48">
            <v>0</v>
          </cell>
          <cell r="AC48">
            <v>36496.418000000005</v>
          </cell>
          <cell r="AD48">
            <v>84367.72099999999</v>
          </cell>
          <cell r="AE48"/>
          <cell r="AF48"/>
          <cell r="AG48"/>
          <cell r="AH48">
            <v>222925.92300000001</v>
          </cell>
          <cell r="AI48">
            <v>7640072.3069999814</v>
          </cell>
          <cell r="AJ48">
            <v>81347.30598999979</v>
          </cell>
          <cell r="AK48">
            <v>190533.93001000013</v>
          </cell>
          <cell r="AL48">
            <v>-454032.91799999983</v>
          </cell>
          <cell r="AM48"/>
          <cell r="AN48">
            <v>-182151.68200000003</v>
          </cell>
          <cell r="AO48">
            <v>500159.95799999684</v>
          </cell>
          <cell r="AP48">
            <v>0</v>
          </cell>
          <cell r="AQ48"/>
          <cell r="AR48"/>
          <cell r="AS48">
            <v>500159.95799999684</v>
          </cell>
          <cell r="AT48">
            <v>16244.867999999999</v>
          </cell>
          <cell r="AU48">
            <v>1313.530999999999</v>
          </cell>
          <cell r="AV48">
            <v>248312.95800000001</v>
          </cell>
          <cell r="AW48"/>
          <cell r="AX48"/>
          <cell r="AY48"/>
          <cell r="AZ48"/>
          <cell r="BA48">
            <v>265871.35699999996</v>
          </cell>
          <cell r="BB48">
            <v>0</v>
          </cell>
          <cell r="BC48">
            <v>6700.1999999999989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-5593.3850000000002</v>
          </cell>
          <cell r="BI48"/>
          <cell r="BJ48">
            <v>-301698.065</v>
          </cell>
        </row>
        <row r="49">
          <cell r="F49">
            <v>10524048.150999099</v>
          </cell>
          <cell r="G49">
            <v>1121341.2453838291</v>
          </cell>
          <cell r="H49">
            <v>906536.22255456157</v>
          </cell>
          <cell r="I49">
            <v>469561.48997078754</v>
          </cell>
          <cell r="J49">
            <v>363408.54100380099</v>
          </cell>
          <cell r="K49">
            <v>732684.93925347272</v>
          </cell>
          <cell r="L49">
            <v>650329.6462299237</v>
          </cell>
          <cell r="M49">
            <v>362144.0349655574</v>
          </cell>
          <cell r="N49">
            <v>700922.82975738985</v>
          </cell>
          <cell r="O49">
            <v>317426.90549152426</v>
          </cell>
          <cell r="P49">
            <v>415268.04205503094</v>
          </cell>
          <cell r="Q49">
            <v>384354.70862868597</v>
          </cell>
          <cell r="R49">
            <v>421799.24528992176</v>
          </cell>
          <cell r="S49">
            <v>701501.8385467655</v>
          </cell>
          <cell r="T49">
            <v>103995.83567734309</v>
          </cell>
          <cell r="U49">
            <v>172391.77235429664</v>
          </cell>
          <cell r="V49">
            <v>499381.82627162762</v>
          </cell>
          <cell r="W49">
            <v>256363.53843752184</v>
          </cell>
          <cell r="X49">
            <v>0</v>
          </cell>
          <cell r="Y49">
            <v>0</v>
          </cell>
          <cell r="Z49">
            <v>8579412.6618720405</v>
          </cell>
          <cell r="AA49">
            <v>7690.5239999999994</v>
          </cell>
          <cell r="AB49">
            <v>808.24699999999996</v>
          </cell>
          <cell r="AC49">
            <v>0</v>
          </cell>
          <cell r="AD49">
            <v>0</v>
          </cell>
          <cell r="AE49"/>
          <cell r="AF49"/>
          <cell r="AG49"/>
          <cell r="AH49">
            <v>8498.7709999999988</v>
          </cell>
          <cell r="AI49">
            <v>8587911.4328720402</v>
          </cell>
          <cell r="AJ49">
            <v>101905.16056092847</v>
          </cell>
          <cell r="AK49">
            <v>35912.112576129934</v>
          </cell>
          <cell r="AL49">
            <v>49567.814079999996</v>
          </cell>
          <cell r="AM49"/>
          <cell r="AN49">
            <v>187385.0872170584</v>
          </cell>
          <cell r="AO49">
            <v>606742.89</v>
          </cell>
          <cell r="AP49">
            <v>0</v>
          </cell>
          <cell r="AQ49"/>
          <cell r="AR49"/>
          <cell r="AS49">
            <v>606742.89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59730.978999999999</v>
          </cell>
          <cell r="BD49">
            <v>0</v>
          </cell>
          <cell r="BE49">
            <v>522396.05099999998</v>
          </cell>
          <cell r="BF49">
            <v>103343.40199999999</v>
          </cell>
          <cell r="BG49">
            <v>456538.30891000002</v>
          </cell>
          <cell r="BH49">
            <v>0</v>
          </cell>
          <cell r="BI49"/>
          <cell r="BJ49">
            <v>1142008.7409100002</v>
          </cell>
        </row>
        <row r="50">
          <cell r="F50">
            <v>-2601794.2759991288</v>
          </cell>
          <cell r="G50">
            <v>18075.363616170129</v>
          </cell>
          <cell r="H50">
            <v>-477462.26655455946</v>
          </cell>
          <cell r="I50">
            <v>-565266.98797078722</v>
          </cell>
          <cell r="J50">
            <v>-264770.52700380102</v>
          </cell>
          <cell r="K50">
            <v>144646.2597465273</v>
          </cell>
          <cell r="L50">
            <v>-78159.078229924664</v>
          </cell>
          <cell r="M50">
            <v>-304083.98496555758</v>
          </cell>
          <cell r="N50">
            <v>112681.50524261105</v>
          </cell>
          <cell r="O50">
            <v>-164195.28149152442</v>
          </cell>
          <cell r="P50">
            <v>46431.075944969314</v>
          </cell>
          <cell r="Q50">
            <v>-199821.76662868616</v>
          </cell>
          <cell r="R50">
            <v>104820.35971007776</v>
          </cell>
          <cell r="S50">
            <v>-150250.34754676512</v>
          </cell>
          <cell r="T50">
            <v>-121031.89967734322</v>
          </cell>
          <cell r="U50">
            <v>247286.31664570328</v>
          </cell>
          <cell r="V50">
            <v>321637.2087283716</v>
          </cell>
          <cell r="W50">
            <v>167197.77256247791</v>
          </cell>
          <cell r="X50">
            <v>0</v>
          </cell>
          <cell r="Y50">
            <v>0</v>
          </cell>
          <cell r="Z50">
            <v>-1162266.277872052</v>
          </cell>
          <cell r="AA50">
            <v>94371.26</v>
          </cell>
          <cell r="AB50">
            <v>-808.24699999999996</v>
          </cell>
          <cell r="AC50">
            <v>36496.418000000005</v>
          </cell>
          <cell r="AD50">
            <v>84367.72099999999</v>
          </cell>
          <cell r="AE50"/>
          <cell r="AF50"/>
          <cell r="AG50"/>
          <cell r="AH50">
            <v>214427.152</v>
          </cell>
          <cell r="AI50">
            <v>-947839.12587205879</v>
          </cell>
          <cell r="AJ50">
            <v>-20557.854570928685</v>
          </cell>
          <cell r="AK50">
            <v>154621.81743387019</v>
          </cell>
          <cell r="AL50">
            <v>-503600.73207999981</v>
          </cell>
          <cell r="AM50"/>
          <cell r="AN50">
            <v>-369536.76921705843</v>
          </cell>
          <cell r="AO50">
            <v>-106582.93200000317</v>
          </cell>
          <cell r="AP50">
            <v>0</v>
          </cell>
          <cell r="AQ50"/>
          <cell r="AR50"/>
          <cell r="AS50">
            <v>-106582.93200000317</v>
          </cell>
          <cell r="AT50">
            <v>16244.867999999999</v>
          </cell>
          <cell r="AU50">
            <v>1313.530999999999</v>
          </cell>
          <cell r="AV50">
            <v>248312.95800000001</v>
          </cell>
          <cell r="AW50"/>
          <cell r="AX50"/>
          <cell r="AY50"/>
          <cell r="AZ50"/>
          <cell r="BA50">
            <v>265871.35699999996</v>
          </cell>
          <cell r="BB50">
            <v>0</v>
          </cell>
          <cell r="BC50">
            <v>-53030.779000000002</v>
          </cell>
          <cell r="BD50">
            <v>0</v>
          </cell>
          <cell r="BE50">
            <v>-522396.05099999998</v>
          </cell>
          <cell r="BF50">
            <v>-103343.40199999999</v>
          </cell>
          <cell r="BG50">
            <v>-759343.18891000003</v>
          </cell>
          <cell r="BH50">
            <v>-5593.3850000000002</v>
          </cell>
          <cell r="BI50"/>
          <cell r="BJ50">
            <v>-1443706.8059100001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270782</v>
          </cell>
          <cell r="T5">
            <v>272000</v>
          </cell>
          <cell r="U5">
            <v>272948</v>
          </cell>
        </row>
        <row r="6">
          <cell r="H6">
            <v>-223.59104837408742</v>
          </cell>
        </row>
        <row r="9">
          <cell r="E9">
            <v>255.63972584734756</v>
          </cell>
          <cell r="F9">
            <v>264.41817203506884</v>
          </cell>
          <cell r="G9">
            <v>97521.515189230049</v>
          </cell>
          <cell r="H9">
            <v>100269.50963477093</v>
          </cell>
        </row>
        <row r="10">
          <cell r="E10">
            <v>33.418809813321651</v>
          </cell>
          <cell r="F10">
            <v>41.035683612647809</v>
          </cell>
          <cell r="G10">
            <v>91103.198165013629</v>
          </cell>
          <cell r="H10">
            <v>95220.804376891829</v>
          </cell>
        </row>
        <row r="11">
          <cell r="E11">
            <v>0</v>
          </cell>
          <cell r="F11">
            <v>1.3986693354802022</v>
          </cell>
        </row>
        <row r="12">
          <cell r="E12">
            <v>47.319651504551679</v>
          </cell>
          <cell r="F12">
            <v>45.475032572327557</v>
          </cell>
          <cell r="G12">
            <v>59693.190999795173</v>
          </cell>
          <cell r="H12">
            <v>57905.474691486626</v>
          </cell>
        </row>
        <row r="13">
          <cell r="E13">
            <v>33.433110032008962</v>
          </cell>
          <cell r="F13">
            <v>29.989983935416685</v>
          </cell>
          <cell r="G13">
            <v>35867.274137966779</v>
          </cell>
          <cell r="H13">
            <v>37585.201312672696</v>
          </cell>
        </row>
        <row r="14">
          <cell r="E14">
            <v>7.0232869322042146E-2</v>
          </cell>
          <cell r="F14">
            <v>0</v>
          </cell>
        </row>
        <row r="15">
          <cell r="E15">
            <v>369.88153006655199</v>
          </cell>
          <cell r="F15">
            <v>382.31754149094104</v>
          </cell>
          <cell r="G15">
            <v>86674.102489008044</v>
          </cell>
          <cell r="S15">
            <v>2269.962422230994</v>
          </cell>
          <cell r="U15">
            <v>1404.1498174052101</v>
          </cell>
        </row>
        <row r="16">
          <cell r="E16">
            <v>827.14747953888775</v>
          </cell>
          <cell r="F16">
            <v>805.86671196756038</v>
          </cell>
          <cell r="G16">
            <v>12941.923785071192</v>
          </cell>
          <cell r="H16">
            <v>13082.388813376951</v>
          </cell>
        </row>
        <row r="17">
          <cell r="E17">
            <v>893.69178388475018</v>
          </cell>
          <cell r="F17">
            <v>899.03037129499012</v>
          </cell>
          <cell r="G17">
            <v>15606.318565406213</v>
          </cell>
          <cell r="H17">
            <v>15291.722283441193</v>
          </cell>
        </row>
        <row r="19">
          <cell r="E19">
            <v>3.2112875847202114</v>
          </cell>
          <cell r="F19">
            <v>3.1346281141287085</v>
          </cell>
        </row>
        <row r="20">
          <cell r="Q20">
            <v>59560.354356820753</v>
          </cell>
          <cell r="R20">
            <v>61638.173881572628</v>
          </cell>
        </row>
        <row r="21">
          <cell r="Q21">
            <v>19330.89006029045</v>
          </cell>
          <cell r="R21">
            <v>20262.536195168068</v>
          </cell>
        </row>
        <row r="22">
          <cell r="Q22">
            <v>232.76011029411765</v>
          </cell>
          <cell r="R22">
            <v>260.6898501377492</v>
          </cell>
        </row>
        <row r="50">
          <cell r="Q50">
            <v>87178.736891375913</v>
          </cell>
          <cell r="R50">
            <v>90410.314880605074</v>
          </cell>
        </row>
        <row r="56">
          <cell r="L56">
            <v>-742664.83035180834</v>
          </cell>
        </row>
        <row r="61">
          <cell r="T61">
            <v>101549.81890102028</v>
          </cell>
          <cell r="U61">
            <v>100907.33058181037</v>
          </cell>
        </row>
        <row r="80">
          <cell r="H80">
            <v>663789.9040000001</v>
          </cell>
          <cell r="I80">
            <v>672398.39599999995</v>
          </cell>
          <cell r="L80">
            <v>-8608.4919999999183</v>
          </cell>
        </row>
        <row r="85">
          <cell r="H85">
            <v>384842.96922287886</v>
          </cell>
          <cell r="I85">
            <v>516653.83484000002</v>
          </cell>
          <cell r="L85">
            <v>-131810.86561712116</v>
          </cell>
          <cell r="Q85">
            <v>101549.81890102028</v>
          </cell>
          <cell r="R85">
            <v>100907.33058181037</v>
          </cell>
        </row>
        <row r="86">
          <cell r="H86">
            <v>2860301.4334003823</v>
          </cell>
          <cell r="I86">
            <v>1789932.0769999935</v>
          </cell>
          <cell r="K86">
            <v>-173881.75373433103</v>
          </cell>
          <cell r="M86">
            <v>-13403.414697135653</v>
          </cell>
        </row>
        <row r="89">
          <cell r="Q89">
            <v>79124.004527405312</v>
          </cell>
          <cell r="R89">
            <v>82161.399926878439</v>
          </cell>
        </row>
        <row r="90">
          <cell r="Q90">
            <v>22425.814373614965</v>
          </cell>
          <cell r="R90">
            <v>18745.93065493193</v>
          </cell>
        </row>
      </sheetData>
      <sheetData sheetId="1">
        <row r="5">
          <cell r="T5">
            <v>107000</v>
          </cell>
          <cell r="U5">
            <v>114695.5</v>
          </cell>
        </row>
        <row r="9">
          <cell r="E9">
            <v>278.84506542056073</v>
          </cell>
          <cell r="F9">
            <v>291.34937221186897</v>
          </cell>
          <cell r="G9">
            <v>97000</v>
          </cell>
          <cell r="H9">
            <v>99865.93301265777</v>
          </cell>
        </row>
        <row r="10">
          <cell r="E10">
            <v>14.640186915887851</v>
          </cell>
          <cell r="F10">
            <v>20.627672936393921</v>
          </cell>
          <cell r="G10">
            <v>95432.333226939038</v>
          </cell>
          <cell r="H10">
            <v>98560.447254157363</v>
          </cell>
        </row>
        <row r="11">
          <cell r="E11">
            <v>0</v>
          </cell>
          <cell r="F11">
            <v>0</v>
          </cell>
        </row>
        <row r="12">
          <cell r="E12">
            <v>52.199912149532715</v>
          </cell>
          <cell r="F12">
            <v>47.129052780458728</v>
          </cell>
          <cell r="G12">
            <v>60000</v>
          </cell>
          <cell r="H12">
            <v>57772.618343158465</v>
          </cell>
        </row>
        <row r="13">
          <cell r="E13">
            <v>30.979850467289719</v>
          </cell>
          <cell r="F13">
            <v>28.741938382027886</v>
          </cell>
          <cell r="G13">
            <v>39732.170805021291</v>
          </cell>
          <cell r="H13">
            <v>40892.45834330919</v>
          </cell>
        </row>
        <row r="14">
          <cell r="E14">
            <v>0</v>
          </cell>
          <cell r="F14">
            <v>0</v>
          </cell>
        </row>
        <row r="15">
          <cell r="E15">
            <v>376.66501495327105</v>
          </cell>
          <cell r="F15">
            <v>387.84803631074954</v>
          </cell>
        </row>
        <row r="16">
          <cell r="E16">
            <v>849.548691588785</v>
          </cell>
          <cell r="F16">
            <v>847.83509831566846</v>
          </cell>
          <cell r="G16">
            <v>14882.734952584135</v>
          </cell>
          <cell r="H16">
            <v>14979.710488724708</v>
          </cell>
        </row>
        <row r="17">
          <cell r="E17">
            <v>879.66289719626161</v>
          </cell>
          <cell r="F17">
            <v>871.65259276720474</v>
          </cell>
          <cell r="G17">
            <v>13713.507132864657</v>
          </cell>
          <cell r="H17">
            <v>13720.774789828545</v>
          </cell>
        </row>
        <row r="19">
          <cell r="E19">
            <v>3.2667001554392523</v>
          </cell>
          <cell r="F19">
            <v>3.1275263413050332</v>
          </cell>
        </row>
        <row r="20">
          <cell r="Q20">
            <v>60370.369992823551</v>
          </cell>
          <cell r="R20">
            <v>62704.480952868063</v>
          </cell>
        </row>
        <row r="21">
          <cell r="Q21">
            <v>19199.399574266088</v>
          </cell>
          <cell r="R21">
            <v>19999.749053758944</v>
          </cell>
        </row>
        <row r="22">
          <cell r="Q22">
            <v>235.24065420560746</v>
          </cell>
          <cell r="R22">
            <v>239.36502443992759</v>
          </cell>
        </row>
        <row r="50">
          <cell r="Q50">
            <v>86484.424977525778</v>
          </cell>
          <cell r="R50">
            <v>89483.171408620459</v>
          </cell>
        </row>
        <row r="56">
          <cell r="L56">
            <v>-337125.76009348023</v>
          </cell>
        </row>
        <row r="61">
          <cell r="T61">
            <v>98524.096654122564</v>
          </cell>
          <cell r="U61">
            <v>98815.722886796051</v>
          </cell>
        </row>
        <row r="80">
          <cell r="H80">
            <v>228133.655</v>
          </cell>
          <cell r="I80">
            <v>226078.09099999999</v>
          </cell>
          <cell r="L80">
            <v>2055.5640000000221</v>
          </cell>
        </row>
        <row r="85">
          <cell r="H85">
            <v>111279.14633333332</v>
          </cell>
          <cell r="I85">
            <v>109335.10876999999</v>
          </cell>
          <cell r="L85">
            <v>1944.0375633333424</v>
          </cell>
          <cell r="Q85">
            <v>98524.096654122564</v>
          </cell>
          <cell r="R85">
            <v>98815.722886796051</v>
          </cell>
        </row>
        <row r="86">
          <cell r="H86">
            <v>948832.06806252245</v>
          </cell>
          <cell r="I86">
            <v>719562.4019999986</v>
          </cell>
          <cell r="K86">
            <v>32777.18460822021</v>
          </cell>
          <cell r="M86">
            <v>71079.307859401335</v>
          </cell>
        </row>
        <row r="89">
          <cell r="Q89">
            <v>79805.010221295248</v>
          </cell>
          <cell r="R89">
            <v>82943.595031066943</v>
          </cell>
        </row>
        <row r="90">
          <cell r="Q90">
            <v>18719.086432827316</v>
          </cell>
          <cell r="R90">
            <v>15872.127855729108</v>
          </cell>
        </row>
      </sheetData>
      <sheetData sheetId="2">
        <row r="5">
          <cell r="T5">
            <v>116000</v>
          </cell>
          <cell r="U5">
            <v>106450.5</v>
          </cell>
        </row>
        <row r="9">
          <cell r="E9">
            <v>220.28674358698794</v>
          </cell>
          <cell r="F9">
            <v>222.8028719075177</v>
          </cell>
          <cell r="G9">
            <v>97000.000000000015</v>
          </cell>
          <cell r="H9">
            <v>100000.00012639639</v>
          </cell>
        </row>
        <row r="10">
          <cell r="E10">
            <v>62.872263574740252</v>
          </cell>
          <cell r="F10">
            <v>73.964904884608316</v>
          </cell>
          <cell r="G10">
            <v>90172.620331465485</v>
          </cell>
          <cell r="H10">
            <v>94252.747507285967</v>
          </cell>
        </row>
        <row r="11">
          <cell r="E11">
            <v>0</v>
          </cell>
          <cell r="F11">
            <v>2.7068288767794537</v>
          </cell>
        </row>
        <row r="12">
          <cell r="E12">
            <v>44.419565001186776</v>
          </cell>
          <cell r="F12">
            <v>46.033836766686861</v>
          </cell>
          <cell r="G12">
            <v>59163.555551590332</v>
          </cell>
          <cell r="H12">
            <v>57799.504574668848</v>
          </cell>
        </row>
        <row r="13">
          <cell r="E13">
            <v>37.301830114668448</v>
          </cell>
          <cell r="F13">
            <v>32.216655449011299</v>
          </cell>
          <cell r="G13">
            <v>32410.127674422307</v>
          </cell>
          <cell r="H13">
            <v>34005.778183665796</v>
          </cell>
        </row>
        <row r="14">
          <cell r="E14">
            <v>0.16468396944478847</v>
          </cell>
          <cell r="F14">
            <v>0</v>
          </cell>
        </row>
        <row r="15">
          <cell r="E15">
            <v>365.04508624702822</v>
          </cell>
          <cell r="F15">
            <v>377.72509788460366</v>
          </cell>
        </row>
        <row r="16">
          <cell r="E16">
            <v>810.18090029808161</v>
          </cell>
          <cell r="F16">
            <v>775.35391937368865</v>
          </cell>
          <cell r="G16">
            <v>11024.026013672905</v>
          </cell>
          <cell r="H16">
            <v>11069.748934862149</v>
          </cell>
        </row>
        <row r="17">
          <cell r="E17">
            <v>897.05504841941433</v>
          </cell>
          <cell r="F17">
            <v>894.59309011203584</v>
          </cell>
          <cell r="G17">
            <v>17798.159864986825</v>
          </cell>
          <cell r="H17">
            <v>17408.926590084375</v>
          </cell>
        </row>
        <row r="19">
          <cell r="E19">
            <v>3.2709509173439444</v>
          </cell>
          <cell r="F19">
            <v>3.0805943010555858</v>
          </cell>
        </row>
        <row r="20">
          <cell r="Q20">
            <v>58807.267361362654</v>
          </cell>
          <cell r="R20">
            <v>60346.687740839305</v>
          </cell>
        </row>
        <row r="21">
          <cell r="Q21">
            <v>19734.554211953178</v>
          </cell>
          <cell r="R21">
            <v>20681.976785555042</v>
          </cell>
        </row>
        <row r="22">
          <cell r="Q22">
            <v>235.34482758620689</v>
          </cell>
          <cell r="R22">
            <v>280.56199045325894</v>
          </cell>
        </row>
        <row r="50">
          <cell r="Q50">
            <v>87263.024667425023</v>
          </cell>
          <cell r="R50">
            <v>90915.544826032463</v>
          </cell>
        </row>
        <row r="56">
          <cell r="L56">
            <v>-256897.09068027587</v>
          </cell>
        </row>
        <row r="61">
          <cell r="T61">
            <v>102882.74675295166</v>
          </cell>
          <cell r="U61">
            <v>101778.54633843899</v>
          </cell>
        </row>
        <row r="80">
          <cell r="H80">
            <v>313509.83</v>
          </cell>
          <cell r="I80">
            <v>322355.74200000003</v>
          </cell>
          <cell r="L80">
            <v>-8845.9120000000021</v>
          </cell>
        </row>
        <row r="85">
          <cell r="H85">
            <v>185970.10915842027</v>
          </cell>
          <cell r="I85">
            <v>319967.08996000001</v>
          </cell>
          <cell r="L85">
            <v>-133996.98080157975</v>
          </cell>
          <cell r="Q85">
            <v>102882.74675295166</v>
          </cell>
          <cell r="R85">
            <v>101778.54633843899</v>
          </cell>
        </row>
        <row r="86">
          <cell r="H86">
            <v>1312407.8227626707</v>
          </cell>
          <cell r="I86">
            <v>645964.61699999869</v>
          </cell>
          <cell r="K86">
            <v>-117542.68622508101</v>
          </cell>
          <cell r="M86">
            <v>-149160.53605573671</v>
          </cell>
        </row>
        <row r="89">
          <cell r="Q89">
            <v>78777.166400902031</v>
          </cell>
          <cell r="R89">
            <v>81309.226516847615</v>
          </cell>
        </row>
        <row r="90">
          <cell r="Q90">
            <v>24105.580352049627</v>
          </cell>
          <cell r="R90">
            <v>20469.319821591373</v>
          </cell>
        </row>
      </sheetData>
      <sheetData sheetId="3"/>
      <sheetData sheetId="4"/>
      <sheetData sheetId="5"/>
      <sheetData sheetId="6">
        <row r="5">
          <cell r="T5">
            <v>49000</v>
          </cell>
          <cell r="U5">
            <v>51802</v>
          </cell>
        </row>
        <row r="9">
          <cell r="E9">
            <v>288.65961580383566</v>
          </cell>
          <cell r="F9">
            <v>291.53595678595553</v>
          </cell>
          <cell r="G9">
            <v>99563.787936720764</v>
          </cell>
          <cell r="H9">
            <v>101567.5139820452</v>
          </cell>
        </row>
        <row r="10">
          <cell r="E10">
            <v>4.6986468276249296</v>
          </cell>
          <cell r="F10">
            <v>17.621723931706374</v>
          </cell>
          <cell r="G10">
            <v>91126.148608958014</v>
          </cell>
          <cell r="H10">
            <v>95093.014285203506</v>
          </cell>
        </row>
        <row r="11">
          <cell r="E11">
            <v>0</v>
          </cell>
          <cell r="F11">
            <v>1.7436106877592357</v>
          </cell>
        </row>
        <row r="12">
          <cell r="E12">
            <v>43.528266716334507</v>
          </cell>
          <cell r="F12">
            <v>40.739409086524546</v>
          </cell>
          <cell r="G12">
            <v>60169.254314369726</v>
          </cell>
          <cell r="H12">
            <v>58484.889007471123</v>
          </cell>
        </row>
        <row r="13">
          <cell r="E13">
            <v>29.631625212344822</v>
          </cell>
          <cell r="F13">
            <v>28.120579724124628</v>
          </cell>
          <cell r="G13">
            <v>37346.378968966237</v>
          </cell>
          <cell r="H13">
            <v>38681.767890039322</v>
          </cell>
        </row>
        <row r="14">
          <cell r="E14">
            <v>0</v>
          </cell>
          <cell r="F14">
            <v>0</v>
          </cell>
        </row>
        <row r="15">
          <cell r="E15">
            <v>366.51815456013992</v>
          </cell>
          <cell r="F15">
            <v>379.76128021607036</v>
          </cell>
        </row>
        <row r="16">
          <cell r="E16">
            <v>818.39632653061233</v>
          </cell>
          <cell r="F16">
            <v>777.55493392495407</v>
          </cell>
          <cell r="G16">
            <v>13037.253743134279</v>
          </cell>
          <cell r="H16">
            <v>12720.157148471539</v>
          </cell>
        </row>
        <row r="17">
          <cell r="E17">
            <v>916.36427755102045</v>
          </cell>
          <cell r="F17">
            <v>967.52589948876221</v>
          </cell>
          <cell r="G17">
            <v>14494.546626672467</v>
          </cell>
          <cell r="H17">
            <v>14337.978060765832</v>
          </cell>
        </row>
        <row r="19">
          <cell r="E19">
            <v>2.9490408163265305</v>
          </cell>
          <cell r="F19">
            <v>3.2610776502363281</v>
          </cell>
        </row>
        <row r="20">
          <cell r="Q20">
            <v>59574.362896021528</v>
          </cell>
          <cell r="R20">
            <v>61979.785531011868</v>
          </cell>
        </row>
        <row r="21">
          <cell r="Q21">
            <v>18662.409252366608</v>
          </cell>
          <cell r="R21">
            <v>19970.45091154625</v>
          </cell>
        </row>
        <row r="22">
          <cell r="Q22">
            <v>221.22448979591834</v>
          </cell>
          <cell r="R22">
            <v>266.09846628725757</v>
          </cell>
        </row>
        <row r="50">
          <cell r="Q50">
            <v>88495.348988524187</v>
          </cell>
          <cell r="R50">
            <v>91382.759949840838</v>
          </cell>
        </row>
        <row r="56">
          <cell r="L56">
            <v>-149515.05372736507</v>
          </cell>
        </row>
        <row r="61">
          <cell r="T61">
            <v>105001.50562742859</v>
          </cell>
          <cell r="U61">
            <v>103655.65271368716</v>
          </cell>
        </row>
        <row r="80">
          <cell r="H80">
            <v>122146.41899999998</v>
          </cell>
          <cell r="I80">
            <v>123964.56300000001</v>
          </cell>
          <cell r="L80">
            <v>-1818.1440000000246</v>
          </cell>
        </row>
        <row r="85">
          <cell r="H85">
            <v>87593.713731125201</v>
          </cell>
          <cell r="I85">
            <v>87351.636109999992</v>
          </cell>
          <cell r="L85">
            <v>242.07762112521505</v>
          </cell>
          <cell r="Q85">
            <v>105001.50562742859</v>
          </cell>
          <cell r="R85">
            <v>103655.65271368716</v>
          </cell>
        </row>
        <row r="86">
          <cell r="H86">
            <v>599061.54257518938</v>
          </cell>
          <cell r="I86">
            <v>424405.05799999961</v>
          </cell>
          <cell r="K86">
            <v>-69705.759961409873</v>
          </cell>
          <cell r="M86">
            <v>46140.395492459938</v>
          </cell>
        </row>
        <row r="89">
          <cell r="Q89">
            <v>78457.99663818405</v>
          </cell>
          <cell r="R89">
            <v>82216.334908845369</v>
          </cell>
        </row>
        <row r="90">
          <cell r="Q90">
            <v>26543.508989244539</v>
          </cell>
          <cell r="R90">
            <v>21439.31780484179</v>
          </cell>
        </row>
      </sheetData>
      <sheetData sheetId="7">
        <row r="2">
          <cell r="N2">
            <v>40000</v>
          </cell>
        </row>
        <row r="5">
          <cell r="T5">
            <v>40000</v>
          </cell>
          <cell r="U5">
            <v>42104</v>
          </cell>
        </row>
        <row r="9">
          <cell r="E9">
            <v>292.08749999999998</v>
          </cell>
          <cell r="F9">
            <v>295.77464150672472</v>
          </cell>
          <cell r="G9">
            <v>97000</v>
          </cell>
          <cell r="H9">
            <v>99708.306073665866</v>
          </cell>
        </row>
        <row r="10">
          <cell r="E10">
            <v>0</v>
          </cell>
          <cell r="F10">
            <v>12.354185133776866</v>
          </cell>
          <cell r="G10">
            <v>0</v>
          </cell>
          <cell r="H10">
            <v>100500.00776782559</v>
          </cell>
        </row>
        <row r="11">
          <cell r="E11">
            <v>0</v>
          </cell>
          <cell r="F11">
            <v>0</v>
          </cell>
        </row>
        <row r="12">
          <cell r="E12">
            <v>47.800000000000011</v>
          </cell>
          <cell r="F12">
            <v>44.584790839037012</v>
          </cell>
          <cell r="G12">
            <v>60000</v>
          </cell>
          <cell r="H12">
            <v>57817.93966395648</v>
          </cell>
        </row>
        <row r="13">
          <cell r="E13">
            <v>29.175000000000001</v>
          </cell>
          <cell r="F13">
            <v>32.448671564638914</v>
          </cell>
          <cell r="G13">
            <v>38500</v>
          </cell>
          <cell r="H13">
            <v>40403.07126146205</v>
          </cell>
        </row>
        <row r="14">
          <cell r="E14">
            <v>0</v>
          </cell>
          <cell r="F14">
            <v>0</v>
          </cell>
        </row>
        <row r="15">
          <cell r="E15">
            <v>369.0625</v>
          </cell>
          <cell r="F15">
            <v>385.1622890441775</v>
          </cell>
        </row>
        <row r="16">
          <cell r="E16">
            <v>842.77500000000009</v>
          </cell>
          <cell r="F16">
            <v>837.57646101565058</v>
          </cell>
          <cell r="G16">
            <v>14133.333333333332</v>
          </cell>
          <cell r="H16">
            <v>14023.065193061406</v>
          </cell>
        </row>
        <row r="17">
          <cell r="E17">
            <v>876.96249999999998</v>
          </cell>
          <cell r="F17">
            <v>849.89228449720008</v>
          </cell>
          <cell r="G17">
            <v>13548.387096774193</v>
          </cell>
          <cell r="H17">
            <v>13583.969481662503</v>
          </cell>
        </row>
        <row r="19">
          <cell r="E19">
            <v>3.34</v>
          </cell>
          <cell r="F19">
            <v>3.4723914708275472</v>
          </cell>
        </row>
        <row r="20">
          <cell r="Q20">
            <v>59189.172419354843</v>
          </cell>
          <cell r="R20">
            <v>61272.371823098634</v>
          </cell>
        </row>
        <row r="21">
          <cell r="Q21">
            <v>18426.852525252525</v>
          </cell>
          <cell r="R21">
            <v>19469.363997511129</v>
          </cell>
        </row>
        <row r="22">
          <cell r="Q22">
            <v>195</v>
          </cell>
          <cell r="R22">
            <v>174.87519743454746</v>
          </cell>
        </row>
        <row r="50">
          <cell r="Q50">
            <v>83120.691513357378</v>
          </cell>
          <cell r="R50">
            <v>86130.544392858836</v>
          </cell>
        </row>
        <row r="56">
          <cell r="L56">
            <v>-125785.85454100941</v>
          </cell>
        </row>
        <row r="80">
          <cell r="H80">
            <v>70070.172999999995</v>
          </cell>
          <cell r="I80">
            <v>73245.832999999984</v>
          </cell>
          <cell r="L80">
            <v>-3175.6599999999944</v>
          </cell>
        </row>
        <row r="85">
          <cell r="H85">
            <v>31086.133888888886</v>
          </cell>
          <cell r="I85">
            <v>31170.06018</v>
          </cell>
          <cell r="L85">
            <v>-83.926291111111823</v>
          </cell>
          <cell r="Q85">
            <v>97956.859449999989</v>
          </cell>
          <cell r="R85">
            <v>97182.938119404411</v>
          </cell>
        </row>
        <row r="86">
          <cell r="H86">
            <v>492290.41057681682</v>
          </cell>
          <cell r="I86">
            <v>358719.54200000002</v>
          </cell>
          <cell r="K86">
            <v>-32329.789664299682</v>
          </cell>
          <cell r="M86">
            <v>27804.361919604038</v>
          </cell>
        </row>
        <row r="89">
          <cell r="Q89">
            <v>77811.024944607372</v>
          </cell>
          <cell r="R89">
            <v>80916.611018044307</v>
          </cell>
        </row>
        <row r="92">
          <cell r="H92">
            <v>264602.41328745428</v>
          </cell>
          <cell r="I92">
            <v>119451.06973283735</v>
          </cell>
        </row>
      </sheetData>
      <sheetData sheetId="8">
        <row r="2">
          <cell r="N2">
            <v>35000</v>
          </cell>
        </row>
        <row r="5">
          <cell r="T5">
            <v>35000</v>
          </cell>
          <cell r="U5">
            <v>35418.5</v>
          </cell>
        </row>
        <row r="9">
          <cell r="E9">
            <v>272.14285714285705</v>
          </cell>
          <cell r="F9">
            <v>317.18091899492919</v>
          </cell>
          <cell r="G9">
            <v>97000</v>
          </cell>
          <cell r="H9">
            <v>99929.603957463667</v>
          </cell>
        </row>
        <row r="10">
          <cell r="E10">
            <v>32</v>
          </cell>
          <cell r="F10">
            <v>28.953057682201045</v>
          </cell>
          <cell r="G10">
            <v>97000</v>
          </cell>
          <cell r="H10">
            <v>99581.674117117931</v>
          </cell>
        </row>
        <row r="11">
          <cell r="E11">
            <v>0</v>
          </cell>
          <cell r="F11">
            <v>0</v>
          </cell>
        </row>
        <row r="12">
          <cell r="E12">
            <v>56.914285714285725</v>
          </cell>
          <cell r="F12">
            <v>42.567054244847512</v>
          </cell>
          <cell r="G12">
            <v>60000</v>
          </cell>
          <cell r="H12">
            <v>57799.864225360616</v>
          </cell>
        </row>
        <row r="13">
          <cell r="E13">
            <v>30.200000000000003</v>
          </cell>
          <cell r="F13">
            <v>22.00074343422866</v>
          </cell>
          <cell r="G13">
            <v>39000</v>
          </cell>
          <cell r="H13">
            <v>39613.49182552773</v>
          </cell>
        </row>
        <row r="14">
          <cell r="E14">
            <v>0</v>
          </cell>
          <cell r="F14">
            <v>0</v>
          </cell>
        </row>
        <row r="15">
          <cell r="E15">
            <v>391.25714285714275</v>
          </cell>
          <cell r="F15">
            <v>410.70177435620639</v>
          </cell>
        </row>
        <row r="16">
          <cell r="E16">
            <v>880</v>
          </cell>
          <cell r="F16">
            <v>871.27949093078439</v>
          </cell>
          <cell r="G16">
            <v>15333.333333333334</v>
          </cell>
          <cell r="H16">
            <v>15666.394981862772</v>
          </cell>
        </row>
        <row r="17">
          <cell r="E17">
            <v>849.91428571428571</v>
          </cell>
          <cell r="F17">
            <v>877.7951507748254</v>
          </cell>
          <cell r="G17">
            <v>13952.457269132081</v>
          </cell>
          <cell r="H17">
            <v>14046.566689016387</v>
          </cell>
        </row>
        <row r="19">
          <cell r="E19">
            <v>3.2874285714285714</v>
          </cell>
          <cell r="F19">
            <v>2.9137195858131051</v>
          </cell>
        </row>
        <row r="20">
          <cell r="Q20">
            <v>62207.680372901108</v>
          </cell>
          <cell r="R20">
            <v>66966.478047810466</v>
          </cell>
        </row>
        <row r="21">
          <cell r="Q21">
            <v>19633.609373750591</v>
          </cell>
          <cell r="R21">
            <v>19596.530176270895</v>
          </cell>
        </row>
        <row r="22">
          <cell r="Q22">
            <v>330</v>
          </cell>
          <cell r="R22">
            <v>393.35127764441859</v>
          </cell>
        </row>
        <row r="50">
          <cell r="Q50">
            <v>88567.449032365985</v>
          </cell>
          <cell r="R50">
            <v>93206.180162777149</v>
          </cell>
        </row>
        <row r="56">
          <cell r="L56">
            <v>-163290.29295716886</v>
          </cell>
        </row>
        <row r="80">
          <cell r="H80">
            <v>67753.407000000007</v>
          </cell>
          <cell r="I80">
            <v>67416.7</v>
          </cell>
          <cell r="L80">
            <v>336.70700000000033</v>
          </cell>
        </row>
        <row r="85">
          <cell r="H85">
            <v>36194.868666666669</v>
          </cell>
          <cell r="I85">
            <v>39514.593930000003</v>
          </cell>
          <cell r="L85">
            <v>-3319.725263333331</v>
          </cell>
          <cell r="Q85">
            <v>99830.197268317526</v>
          </cell>
          <cell r="R85">
            <v>99671.435961535724</v>
          </cell>
        </row>
        <row r="86">
          <cell r="H86">
            <v>290247.91259163711</v>
          </cell>
          <cell r="I86">
            <v>121589.9079999995</v>
          </cell>
          <cell r="K86">
            <v>-5588.6361406796022</v>
          </cell>
          <cell r="M86">
            <v>3203.9427695442428</v>
          </cell>
        </row>
        <row r="89">
          <cell r="Q89">
            <v>82171.289746651702</v>
          </cell>
          <cell r="R89">
            <v>86956.35950172579</v>
          </cell>
        </row>
        <row r="92">
          <cell r="H92">
            <v>87210.875817822351</v>
          </cell>
          <cell r="I92">
            <v>-84650.800745943328</v>
          </cell>
        </row>
      </sheetData>
      <sheetData sheetId="9">
        <row r="2">
          <cell r="N2">
            <v>17000</v>
          </cell>
        </row>
        <row r="5">
          <cell r="T5">
            <v>17000</v>
          </cell>
          <cell r="U5">
            <v>19506</v>
          </cell>
        </row>
        <row r="9">
          <cell r="E9">
            <v>300.26011764705879</v>
          </cell>
          <cell r="F9">
            <v>293.36513198757757</v>
          </cell>
          <cell r="G9">
            <v>96999.999999999985</v>
          </cell>
          <cell r="H9">
            <v>100000.00000000004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41.552388235294103</v>
          </cell>
          <cell r="F12">
            <v>51.211073646850053</v>
          </cell>
          <cell r="G12">
            <v>60000.000000000007</v>
          </cell>
          <cell r="H12">
            <v>57901.148066148606</v>
          </cell>
        </row>
        <row r="13">
          <cell r="E13">
            <v>33.343764705882364</v>
          </cell>
          <cell r="F13">
            <v>26.483425576752445</v>
          </cell>
          <cell r="G13">
            <v>42000</v>
          </cell>
          <cell r="H13">
            <v>42505.68522656506</v>
          </cell>
        </row>
        <row r="14">
          <cell r="E14">
            <v>0</v>
          </cell>
          <cell r="F14">
            <v>0</v>
          </cell>
        </row>
        <row r="15">
          <cell r="E15">
            <v>375.1562705882352</v>
          </cell>
          <cell r="F15">
            <v>371.05963121118009</v>
          </cell>
        </row>
        <row r="16">
          <cell r="E16">
            <v>827.63</v>
          </cell>
          <cell r="F16">
            <v>818.72282608695707</v>
          </cell>
          <cell r="G16">
            <v>15666.666666666668</v>
          </cell>
          <cell r="H16">
            <v>15774.101025454482</v>
          </cell>
        </row>
        <row r="17">
          <cell r="E17">
            <v>902.96647058823532</v>
          </cell>
          <cell r="F17">
            <v>887.92230479148111</v>
          </cell>
          <cell r="G17">
            <v>13225.806451612903</v>
          </cell>
          <cell r="H17">
            <v>13144.330512462837</v>
          </cell>
        </row>
        <row r="19">
          <cell r="E19">
            <v>3.000995096</v>
          </cell>
          <cell r="F19">
            <v>2.7723114463176581</v>
          </cell>
        </row>
        <row r="20">
          <cell r="Q20">
            <v>60478.321760758743</v>
          </cell>
          <cell r="R20">
            <v>60075.630601153505</v>
          </cell>
        </row>
        <row r="21">
          <cell r="Q21">
            <v>20461.812394471679</v>
          </cell>
          <cell r="R21">
            <v>21490.623059006211</v>
          </cell>
        </row>
        <row r="22">
          <cell r="Q22">
            <v>289.45588235294116</v>
          </cell>
          <cell r="R22">
            <v>231.45103149955631</v>
          </cell>
        </row>
        <row r="50">
          <cell r="Q50">
            <v>89861.514733661796</v>
          </cell>
          <cell r="R50">
            <v>90264.844221384206</v>
          </cell>
        </row>
        <row r="56">
          <cell r="L56">
            <v>-7272.8375026104432</v>
          </cell>
        </row>
        <row r="80">
          <cell r="H80">
            <v>50837.95</v>
          </cell>
          <cell r="I80">
            <v>45290.550999999999</v>
          </cell>
          <cell r="L80">
            <v>5547.3989999999994</v>
          </cell>
        </row>
        <row r="85">
          <cell r="H85">
            <v>25319.698222222221</v>
          </cell>
          <cell r="I85">
            <v>20715.384819999999</v>
          </cell>
          <cell r="L85">
            <v>4604.3134022222239</v>
          </cell>
          <cell r="Q85">
            <v>98709.868905882351</v>
          </cell>
          <cell r="R85">
            <v>100911.57941437444</v>
          </cell>
        </row>
        <row r="86">
          <cell r="H86">
            <v>74264.372705527116</v>
          </cell>
          <cell r="I86">
            <v>129075.79299999983</v>
          </cell>
          <cell r="K86">
            <v>39701.243889129393</v>
          </cell>
          <cell r="M86">
            <v>12231.301505731593</v>
          </cell>
        </row>
        <row r="89">
          <cell r="Q89">
            <v>81229.590037583359</v>
          </cell>
          <cell r="R89">
            <v>81797.704691659266</v>
          </cell>
        </row>
        <row r="92">
          <cell r="H92">
            <v>-23246.892031607596</v>
          </cell>
          <cell r="I92">
            <v>14777.371925597239</v>
          </cell>
        </row>
      </sheetData>
      <sheetData sheetId="10">
        <row r="2">
          <cell r="N2">
            <v>15000</v>
          </cell>
        </row>
        <row r="5">
          <cell r="T5">
            <v>15000</v>
          </cell>
          <cell r="U5">
            <v>17667</v>
          </cell>
        </row>
        <row r="9">
          <cell r="E9">
            <v>234.9</v>
          </cell>
          <cell r="F9">
            <v>226.37025403758821</v>
          </cell>
          <cell r="G9">
            <v>97000</v>
          </cell>
          <cell r="H9">
            <v>100000.00000000006</v>
          </cell>
        </row>
        <row r="10">
          <cell r="E10">
            <v>29.766666666666666</v>
          </cell>
          <cell r="F10">
            <v>45.031841485142813</v>
          </cell>
          <cell r="G10">
            <v>91500</v>
          </cell>
          <cell r="H10">
            <v>95954.110342649437</v>
          </cell>
        </row>
        <row r="11">
          <cell r="E11">
            <v>0</v>
          </cell>
          <cell r="F11">
            <v>0</v>
          </cell>
        </row>
        <row r="12">
          <cell r="E12">
            <v>65</v>
          </cell>
          <cell r="F12">
            <v>58.238698201046041</v>
          </cell>
          <cell r="G12">
            <v>60000</v>
          </cell>
          <cell r="H12">
            <v>57531.869466931501</v>
          </cell>
        </row>
        <row r="13">
          <cell r="E13">
            <v>34.933333333333323</v>
          </cell>
          <cell r="F13">
            <v>35.81913385826774</v>
          </cell>
          <cell r="G13">
            <v>41500</v>
          </cell>
          <cell r="H13">
            <v>42310.378802019703</v>
          </cell>
        </row>
        <row r="14">
          <cell r="E14">
            <v>0</v>
          </cell>
          <cell r="F14">
            <v>0</v>
          </cell>
        </row>
        <row r="15">
          <cell r="E15">
            <v>364.6</v>
          </cell>
          <cell r="F15">
            <v>365.45992758204477</v>
          </cell>
        </row>
        <row r="16">
          <cell r="E16">
            <v>821.4</v>
          </cell>
          <cell r="F16">
            <v>855.21150640841404</v>
          </cell>
          <cell r="G16">
            <v>14911.543976408842</v>
          </cell>
          <cell r="H16">
            <v>15026.283306423298</v>
          </cell>
        </row>
        <row r="17">
          <cell r="E17">
            <v>929.86666666666667</v>
          </cell>
          <cell r="F17">
            <v>894.62365653198412</v>
          </cell>
          <cell r="G17">
            <v>14155.902361640074</v>
          </cell>
          <cell r="H17">
            <v>13979.103671009016</v>
          </cell>
        </row>
        <row r="19">
          <cell r="E19">
            <v>3.3239999999999998</v>
          </cell>
          <cell r="F19">
            <v>3.0999971262716239</v>
          </cell>
        </row>
        <row r="20">
          <cell r="Q20">
            <v>59110.827298232602</v>
          </cell>
          <cell r="R20">
            <v>60245.537961951835</v>
          </cell>
        </row>
        <row r="21">
          <cell r="Q21">
            <v>18815.63430993877</v>
          </cell>
          <cell r="R21">
            <v>20544.213632967414</v>
          </cell>
        </row>
        <row r="22">
          <cell r="Q22">
            <v>60</v>
          </cell>
          <cell r="R22">
            <v>90.90418989597103</v>
          </cell>
        </row>
        <row r="50">
          <cell r="Q50">
            <v>86766.623030393603</v>
          </cell>
          <cell r="R50">
            <v>89192.479740214956</v>
          </cell>
        </row>
        <row r="56">
          <cell r="L56">
            <v>-42165.545530546573</v>
          </cell>
        </row>
        <row r="80">
          <cell r="H80">
            <v>39472.125</v>
          </cell>
          <cell r="I80">
            <v>40125.006999999998</v>
          </cell>
          <cell r="L80">
            <v>-652.88199999999642</v>
          </cell>
        </row>
        <row r="85">
          <cell r="H85">
            <v>18678.445555555558</v>
          </cell>
          <cell r="I85">
            <v>17935.06984</v>
          </cell>
          <cell r="L85">
            <v>743.37571555555724</v>
          </cell>
          <cell r="Q85">
            <v>96778.619213333324</v>
          </cell>
          <cell r="R85">
            <v>98832.579283372645</v>
          </cell>
        </row>
        <row r="86">
          <cell r="H86">
            <v>92029.372188540248</v>
          </cell>
          <cell r="I86">
            <v>110177.15899999999</v>
          </cell>
          <cell r="K86">
            <v>35712.203737773663</v>
          </cell>
          <cell r="M86">
            <v>24510.63488867713</v>
          </cell>
        </row>
        <row r="89">
          <cell r="Q89">
            <v>77986.461608171376</v>
          </cell>
          <cell r="R89">
            <v>80880.655784815215</v>
          </cell>
        </row>
        <row r="92">
          <cell r="H92">
            <v>7673.3731057457189</v>
          </cell>
          <cell r="I92">
            <v>8306.4531058093417</v>
          </cell>
        </row>
      </sheetData>
      <sheetData sheetId="11">
        <row r="2">
          <cell r="N2">
            <v>20000</v>
          </cell>
        </row>
        <row r="5">
          <cell r="T5">
            <v>20000</v>
          </cell>
          <cell r="U5">
            <v>20768</v>
          </cell>
        </row>
        <row r="9">
          <cell r="E9">
            <v>189.2956628720012</v>
          </cell>
          <cell r="F9">
            <v>202.75794199692194</v>
          </cell>
          <cell r="G9">
            <v>97000.000000000015</v>
          </cell>
          <cell r="H9">
            <v>99999.999999999985</v>
          </cell>
        </row>
        <row r="10">
          <cell r="E10">
            <v>152.14659106805604</v>
          </cell>
          <cell r="F10">
            <v>187.48836956521725</v>
          </cell>
          <cell r="G10">
            <v>89600.000000000015</v>
          </cell>
          <cell r="H10">
            <v>94185.788638555561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5.1332738553289721</v>
          </cell>
          <cell r="G12">
            <v>0</v>
          </cell>
          <cell r="H12">
            <v>57700.005331158151</v>
          </cell>
        </row>
        <row r="13">
          <cell r="E13">
            <v>29.689246059942661</v>
          </cell>
          <cell r="F13">
            <v>30.451187475952274</v>
          </cell>
          <cell r="G13">
            <v>34500</v>
          </cell>
          <cell r="H13">
            <v>34956.131183967242</v>
          </cell>
        </row>
        <row r="14">
          <cell r="E14">
            <v>0</v>
          </cell>
          <cell r="F14">
            <v>0</v>
          </cell>
        </row>
        <row r="15">
          <cell r="E15">
            <v>371.1314999999999</v>
          </cell>
          <cell r="F15">
            <v>425.83077289342049</v>
          </cell>
        </row>
        <row r="16">
          <cell r="E16">
            <v>850.40000000000009</v>
          </cell>
          <cell r="F16">
            <v>889.9771546748749</v>
          </cell>
          <cell r="G16">
            <v>11714.415686274509</v>
          </cell>
          <cell r="H16">
            <v>11902.557526167418</v>
          </cell>
        </row>
        <row r="17">
          <cell r="E17">
            <v>870.19999999999993</v>
          </cell>
          <cell r="F17">
            <v>824.4709503655248</v>
          </cell>
          <cell r="G17">
            <v>18149.720279720277</v>
          </cell>
          <cell r="H17">
            <v>17819.995741553117</v>
          </cell>
        </row>
        <row r="19">
          <cell r="E19">
            <v>3.2772117265</v>
          </cell>
          <cell r="F19">
            <v>3.1533532127741428</v>
          </cell>
        </row>
        <row r="20">
          <cell r="Q20">
            <v>61703.209584775395</v>
          </cell>
          <cell r="R20">
            <v>68252.133031935358</v>
          </cell>
        </row>
        <row r="21">
          <cell r="Q21">
            <v>21478.999652777777</v>
          </cell>
          <cell r="R21">
            <v>23436.506252404772</v>
          </cell>
        </row>
        <row r="22">
          <cell r="Q22">
            <v>200</v>
          </cell>
          <cell r="R22">
            <v>295.72912658714887</v>
          </cell>
        </row>
        <row r="50">
          <cell r="Q50">
            <v>91402.631175053175</v>
          </cell>
          <cell r="R50">
            <v>100770.86980569448</v>
          </cell>
        </row>
        <row r="56">
          <cell r="L56">
            <v>-121518.6552164954</v>
          </cell>
        </row>
        <row r="80">
          <cell r="H80">
            <v>60768.852000000006</v>
          </cell>
          <cell r="I80">
            <v>52081.217000000004</v>
          </cell>
          <cell r="L80">
            <v>8687.6350000000039</v>
          </cell>
        </row>
        <row r="85">
          <cell r="H85">
            <v>48073.718333333338</v>
          </cell>
          <cell r="I85">
            <v>122739.02254000001</v>
          </cell>
          <cell r="L85">
            <v>-74665.304206666668</v>
          </cell>
          <cell r="Q85">
            <v>108302.89035</v>
          </cell>
          <cell r="R85">
            <v>115306.91448382125</v>
          </cell>
        </row>
        <row r="86">
          <cell r="H86">
            <v>229162.61316560337</v>
          </cell>
          <cell r="I86">
            <v>200105.26100000014</v>
          </cell>
          <cell r="K86">
            <v>145459.57321119972</v>
          </cell>
          <cell r="M86">
            <v>12979.399046359162</v>
          </cell>
        </row>
        <row r="89">
          <cell r="Q89">
            <v>83382.209237553179</v>
          </cell>
          <cell r="R89">
            <v>91984.368410927273</v>
          </cell>
        </row>
        <row r="92">
          <cell r="H92">
            <v>96313.094976188004</v>
          </cell>
          <cell r="I92">
            <v>52004.169712788833</v>
          </cell>
        </row>
      </sheetData>
      <sheetData sheetId="12">
        <row r="2">
          <cell r="N2">
            <v>21000</v>
          </cell>
        </row>
        <row r="5">
          <cell r="T5">
            <v>21000</v>
          </cell>
          <cell r="U5">
            <v>22096</v>
          </cell>
        </row>
        <row r="9">
          <cell r="E9">
            <v>246.63216838095241</v>
          </cell>
          <cell r="F9">
            <v>260.72086033671246</v>
          </cell>
          <cell r="G9">
            <v>96999.999999999985</v>
          </cell>
          <cell r="H9">
            <v>100000.00017358438</v>
          </cell>
        </row>
        <row r="10">
          <cell r="E10">
            <v>50.299288228571434</v>
          </cell>
          <cell r="F10">
            <v>59.001226013758156</v>
          </cell>
          <cell r="G10">
            <v>89100</v>
          </cell>
          <cell r="H10">
            <v>95871.057920630541</v>
          </cell>
        </row>
        <row r="11">
          <cell r="E11">
            <v>0</v>
          </cell>
          <cell r="F11">
            <v>0</v>
          </cell>
        </row>
        <row r="12">
          <cell r="E12">
            <v>38.493564495238097</v>
          </cell>
          <cell r="F12">
            <v>35.580653059377283</v>
          </cell>
          <cell r="G12">
            <v>61000</v>
          </cell>
          <cell r="H12">
            <v>60427.281386177659</v>
          </cell>
        </row>
        <row r="13">
          <cell r="E13">
            <v>31.073276038095241</v>
          </cell>
          <cell r="F13">
            <v>21.25706145908762</v>
          </cell>
          <cell r="G13">
            <v>32500</v>
          </cell>
          <cell r="H13">
            <v>33768.341622985405</v>
          </cell>
        </row>
        <row r="14">
          <cell r="E14">
            <v>0</v>
          </cell>
          <cell r="F14">
            <v>0</v>
          </cell>
        </row>
        <row r="15">
          <cell r="E15">
            <v>366.49829714285715</v>
          </cell>
          <cell r="F15">
            <v>376.55980086893544</v>
          </cell>
        </row>
        <row r="16">
          <cell r="E16">
            <v>824.47619047619048</v>
          </cell>
          <cell r="F16">
            <v>828.20419985517776</v>
          </cell>
          <cell r="G16">
            <v>10666.666666666666</v>
          </cell>
          <cell r="H16">
            <v>10666.666448087426</v>
          </cell>
        </row>
        <row r="17">
          <cell r="E17">
            <v>907.28571428571422</v>
          </cell>
          <cell r="F17">
            <v>912.81906227371485</v>
          </cell>
          <cell r="G17">
            <v>17845.664409188568</v>
          </cell>
          <cell r="H17">
            <v>16623.986534223448</v>
          </cell>
        </row>
        <row r="19">
          <cell r="E19">
            <v>3.3404761904761906</v>
          </cell>
          <cell r="F19">
            <v>3.3344143736422889</v>
          </cell>
        </row>
        <row r="20">
          <cell r="Q20">
            <v>59698.866803134115</v>
          </cell>
          <cell r="R20">
            <v>62315.169985517743</v>
          </cell>
        </row>
        <row r="21">
          <cell r="Q21">
            <v>16820.633693766144</v>
          </cell>
          <cell r="R21">
            <v>18831.338477552501</v>
          </cell>
        </row>
        <row r="22">
          <cell r="Q22">
            <v>171.42857142857142</v>
          </cell>
          <cell r="R22">
            <v>288.51593048515565</v>
          </cell>
        </row>
        <row r="50">
          <cell r="Q50">
            <v>83305.125258805012</v>
          </cell>
          <cell r="R50">
            <v>89643.189400796531</v>
          </cell>
        </row>
        <row r="56">
          <cell r="L56">
            <v>-99871.191721444033</v>
          </cell>
        </row>
        <row r="80">
          <cell r="H80">
            <v>55490.36</v>
          </cell>
          <cell r="I80">
            <v>54250.740000000005</v>
          </cell>
          <cell r="L80">
            <v>1239.6199999999949</v>
          </cell>
        </row>
        <row r="85">
          <cell r="H85">
            <v>28828.647222222218</v>
          </cell>
          <cell r="I85">
            <v>69874.328560000009</v>
          </cell>
          <cell r="L85">
            <v>-41045.681337777787</v>
          </cell>
          <cell r="Q85">
            <v>104005.5389104762</v>
          </cell>
          <cell r="R85">
            <v>100945.8046705286</v>
          </cell>
        </row>
        <row r="86">
          <cell r="H86">
            <v>350389.67946287262</v>
          </cell>
          <cell r="I86">
            <v>165792.19199999986</v>
          </cell>
          <cell r="K86">
            <v>-67607.88776588226</v>
          </cell>
          <cell r="M86">
            <v>22687.653362231606</v>
          </cell>
        </row>
        <row r="89">
          <cell r="Q89">
            <v>76690.929068328827</v>
          </cell>
          <cell r="R89">
            <v>81435.024393555403</v>
          </cell>
        </row>
        <row r="92">
          <cell r="H92">
            <v>216432.58955449957</v>
          </cell>
          <cell r="I92">
            <v>27845.856491376268</v>
          </cell>
        </row>
      </sheetData>
      <sheetData sheetId="13">
        <row r="2">
          <cell r="N2">
            <v>10000</v>
          </cell>
        </row>
        <row r="5">
          <cell r="T5">
            <v>10000</v>
          </cell>
          <cell r="U5">
            <v>6351</v>
          </cell>
        </row>
        <row r="9">
          <cell r="E9">
            <v>135.36909620991253</v>
          </cell>
          <cell r="F9">
            <v>97.164233978900967</v>
          </cell>
          <cell r="G9">
            <v>96999.999999999985</v>
          </cell>
          <cell r="H9">
            <v>99999.999999999985</v>
          </cell>
        </row>
        <row r="10">
          <cell r="E10">
            <v>189.61854227405252</v>
          </cell>
          <cell r="F10">
            <v>222.72745079515039</v>
          </cell>
          <cell r="G10">
            <v>89100</v>
          </cell>
          <cell r="H10">
            <v>94271.299989076331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35.012361516034986</v>
          </cell>
          <cell r="F13">
            <v>33.726983152259507</v>
          </cell>
          <cell r="G13">
            <v>32500</v>
          </cell>
          <cell r="H13">
            <v>33112.510187321583</v>
          </cell>
        </row>
        <row r="14">
          <cell r="E14">
            <v>0</v>
          </cell>
          <cell r="F14">
            <v>0</v>
          </cell>
        </row>
        <row r="15">
          <cell r="E15">
            <v>360</v>
          </cell>
          <cell r="F15">
            <v>353.61866792631082</v>
          </cell>
        </row>
        <row r="16">
          <cell r="E16">
            <v>796</v>
          </cell>
          <cell r="F16">
            <v>772.79168634860639</v>
          </cell>
          <cell r="G16">
            <v>9000</v>
          </cell>
          <cell r="H16">
            <v>9029.1848003260002</v>
          </cell>
        </row>
        <row r="17">
          <cell r="E17">
            <v>914</v>
          </cell>
          <cell r="F17">
            <v>914.27176822547619</v>
          </cell>
          <cell r="G17">
            <v>16710.977594439159</v>
          </cell>
          <cell r="H17">
            <v>16513.782045762197</v>
          </cell>
        </row>
        <row r="19">
          <cell r="E19">
            <v>3.4062000000000001</v>
          </cell>
          <cell r="F19">
            <v>2.9701936702881451</v>
          </cell>
        </row>
        <row r="20">
          <cell r="Q20">
            <v>56667.129719568125</v>
          </cell>
          <cell r="R20">
            <v>56678.561328924581</v>
          </cell>
        </row>
        <row r="21">
          <cell r="Q21">
            <v>20736.066956521743</v>
          </cell>
          <cell r="R21">
            <v>19989.346717052431</v>
          </cell>
        </row>
        <row r="22">
          <cell r="Q22">
            <v>490</v>
          </cell>
          <cell r="R22">
            <v>561.87781451739886</v>
          </cell>
        </row>
        <row r="50">
          <cell r="Q50">
            <v>88724.756376089863</v>
          </cell>
          <cell r="R50">
            <v>92269.603999370185</v>
          </cell>
        </row>
        <row r="56">
          <cell r="L56">
            <v>-19604.195515453386</v>
          </cell>
        </row>
        <row r="80">
          <cell r="H80">
            <v>32392.596999999998</v>
          </cell>
          <cell r="I80">
            <v>33414.483999999997</v>
          </cell>
          <cell r="L80">
            <v>-1021.8870000000022</v>
          </cell>
        </row>
        <row r="85">
          <cell r="H85">
            <v>13584.039666666667</v>
          </cell>
          <cell r="I85">
            <v>15924.13774</v>
          </cell>
          <cell r="L85">
            <v>-2340.0980733333326</v>
          </cell>
          <cell r="Q85">
            <v>101293.38088</v>
          </cell>
          <cell r="R85">
            <v>98414.61187214611</v>
          </cell>
        </row>
        <row r="86">
          <cell r="H86">
            <v>79709.608372434799</v>
          </cell>
          <cell r="I86">
            <v>-7402.5450000000656</v>
          </cell>
          <cell r="K86">
            <v>-18283.06196888004</v>
          </cell>
          <cell r="M86">
            <v>-45862.910814768111</v>
          </cell>
        </row>
        <row r="89">
          <cell r="Q89">
            <v>77893.196676089865</v>
          </cell>
          <cell r="R89">
            <v>77229.785860494405</v>
          </cell>
        </row>
        <row r="92">
          <cell r="H92">
            <v>17583.949480982417</v>
          </cell>
          <cell r="I92">
            <v>-46057.923436057121</v>
          </cell>
        </row>
      </sheetData>
      <sheetData sheetId="14">
        <row r="2">
          <cell r="N2">
            <v>22000</v>
          </cell>
        </row>
        <row r="5">
          <cell r="T5">
            <v>22000</v>
          </cell>
          <cell r="U5">
            <v>18285</v>
          </cell>
        </row>
        <row r="9">
          <cell r="E9">
            <v>220.75597729779338</v>
          </cell>
          <cell r="F9">
            <v>220.2006251022747</v>
          </cell>
          <cell r="G9">
            <v>97000</v>
          </cell>
          <cell r="H9">
            <v>100000.00049542495</v>
          </cell>
        </row>
        <row r="10">
          <cell r="E10">
            <v>33.865012625828321</v>
          </cell>
          <cell r="F10">
            <v>63.737907052855469</v>
          </cell>
          <cell r="G10">
            <v>89100</v>
          </cell>
          <cell r="H10">
            <v>92214.890787351324</v>
          </cell>
        </row>
        <row r="11">
          <cell r="E11">
            <v>0</v>
          </cell>
          <cell r="F11">
            <v>11.454426444117168</v>
          </cell>
        </row>
        <row r="12">
          <cell r="E12">
            <v>69.432485715348406</v>
          </cell>
          <cell r="F12">
            <v>51.729564719358549</v>
          </cell>
          <cell r="G12">
            <v>59000</v>
          </cell>
          <cell r="H12">
            <v>56702.160748116527</v>
          </cell>
        </row>
        <row r="13">
          <cell r="E13">
            <v>47.123452733742582</v>
          </cell>
          <cell r="F13">
            <v>28.9474221349479</v>
          </cell>
          <cell r="G13">
            <v>32500.000000000015</v>
          </cell>
          <cell r="H13">
            <v>34237.658907524128</v>
          </cell>
        </row>
        <row r="14">
          <cell r="E14">
            <v>0.86833365707252097</v>
          </cell>
          <cell r="F14">
            <v>0</v>
          </cell>
        </row>
        <row r="15">
          <cell r="E15">
            <v>372.04526202978519</v>
          </cell>
          <cell r="F15">
            <v>376.06994545355383</v>
          </cell>
        </row>
        <row r="16">
          <cell r="E16">
            <v>824.21823294279602</v>
          </cell>
          <cell r="F16">
            <v>704.81263295696272</v>
          </cell>
          <cell r="G16">
            <v>11335.55153836004</v>
          </cell>
          <cell r="H16">
            <v>10988.220020694465</v>
          </cell>
        </row>
        <row r="17">
          <cell r="E17">
            <v>903.21084840790047</v>
          </cell>
          <cell r="F17">
            <v>940.62073855888343</v>
          </cell>
          <cell r="G17">
            <v>18860.223886297572</v>
          </cell>
          <cell r="H17">
            <v>18734.858910718835</v>
          </cell>
        </row>
        <row r="19">
          <cell r="E19">
            <v>3.348407358268068</v>
          </cell>
          <cell r="F19">
            <v>3.170621284023345</v>
          </cell>
        </row>
        <row r="20">
          <cell r="Q20">
            <v>60273.805306548136</v>
          </cell>
          <cell r="R20">
            <v>61085.135929744174</v>
          </cell>
        </row>
        <row r="21">
          <cell r="Q21">
            <v>20364.150233100238</v>
          </cell>
          <cell r="R21">
            <v>20211.434026073199</v>
          </cell>
        </row>
        <row r="22">
          <cell r="Q22">
            <v>286.36363636363637</v>
          </cell>
          <cell r="R22">
            <v>329.77035946108111</v>
          </cell>
        </row>
        <row r="50">
          <cell r="Q50">
            <v>88249.011676012015</v>
          </cell>
          <cell r="R50">
            <v>89849.6415207549</v>
          </cell>
        </row>
        <row r="56">
          <cell r="L56">
            <v>-19854.302014120352</v>
          </cell>
        </row>
        <row r="80">
          <cell r="H80">
            <v>50412.209000000003</v>
          </cell>
          <cell r="I80">
            <v>56387.695999999996</v>
          </cell>
          <cell r="L80">
            <v>-5975.4869999999919</v>
          </cell>
        </row>
        <row r="85">
          <cell r="H85">
            <v>19631.002</v>
          </cell>
          <cell r="I85">
            <v>29055.43449</v>
          </cell>
          <cell r="L85">
            <v>-9424.4324900000011</v>
          </cell>
          <cell r="Q85">
            <v>106108.08428545456</v>
          </cell>
          <cell r="R85">
            <v>102762.76729559748</v>
          </cell>
        </row>
        <row r="86">
          <cell r="H86">
            <v>322856.38640773634</v>
          </cell>
          <cell r="I86">
            <v>160086.58900000004</v>
          </cell>
          <cell r="K86">
            <v>-61169.121159536669</v>
          </cell>
          <cell r="M86">
            <v>-66346.45474407915</v>
          </cell>
        </row>
        <row r="89">
          <cell r="Q89">
            <v>80924.31917601201</v>
          </cell>
          <cell r="R89">
            <v>81626.340315278445</v>
          </cell>
        </row>
        <row r="92">
          <cell r="H92">
            <v>179683.39618977983</v>
          </cell>
          <cell r="I92">
            <v>43877.796616739302</v>
          </cell>
        </row>
      </sheetData>
      <sheetData sheetId="15">
        <row r="2">
          <cell r="N2">
            <v>10000</v>
          </cell>
        </row>
        <row r="5">
          <cell r="T5">
            <v>10000</v>
          </cell>
          <cell r="U5">
            <v>7209</v>
          </cell>
        </row>
        <row r="9">
          <cell r="E9">
            <v>233.03</v>
          </cell>
          <cell r="F9">
            <v>216.19754473574707</v>
          </cell>
          <cell r="G9">
            <v>96999.999999999985</v>
          </cell>
          <cell r="H9">
            <v>99999.999999999956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10.869804411152728</v>
          </cell>
        </row>
        <row r="12">
          <cell r="E12">
            <v>77.179999999999978</v>
          </cell>
          <cell r="F12">
            <v>79.977264530448068</v>
          </cell>
          <cell r="G12">
            <v>59000</v>
          </cell>
          <cell r="H12">
            <v>57000.701232716114</v>
          </cell>
        </row>
        <row r="13">
          <cell r="E13">
            <v>44.94</v>
          </cell>
          <cell r="F13">
            <v>40.482947704258564</v>
          </cell>
          <cell r="G13">
            <v>32000</v>
          </cell>
          <cell r="H13">
            <v>34320.491080143249</v>
          </cell>
        </row>
        <row r="14">
          <cell r="E14">
            <v>0</v>
          </cell>
          <cell r="F14">
            <v>0</v>
          </cell>
        </row>
        <row r="15">
          <cell r="E15">
            <v>355.15</v>
          </cell>
          <cell r="F15">
            <v>347.5275613816064</v>
          </cell>
        </row>
        <row r="16">
          <cell r="E16">
            <v>784.38999999999987</v>
          </cell>
          <cell r="F16">
            <v>649.95977250658871</v>
          </cell>
          <cell r="G16">
            <v>9400</v>
          </cell>
          <cell r="H16">
            <v>9130.9809286403361</v>
          </cell>
        </row>
        <row r="17">
          <cell r="E17">
            <v>891.9</v>
          </cell>
          <cell r="F17">
            <v>908.48730753225141</v>
          </cell>
          <cell r="G17">
            <v>17570.738425585554</v>
          </cell>
          <cell r="H17">
            <v>16895.063964997702</v>
          </cell>
        </row>
        <row r="19">
          <cell r="E19">
            <v>3.0833000000000004</v>
          </cell>
          <cell r="F19">
            <v>2.8866000832292973</v>
          </cell>
        </row>
        <row r="20">
          <cell r="Q20">
            <v>54121.81760177976</v>
          </cell>
          <cell r="R20">
            <v>52373.3012900541</v>
          </cell>
        </row>
        <row r="21">
          <cell r="Q21">
            <v>20713.920440559206</v>
          </cell>
          <cell r="R21">
            <v>24252.518795949505</v>
          </cell>
        </row>
        <row r="22">
          <cell r="Q22">
            <v>80</v>
          </cell>
          <cell r="R22">
            <v>47.7793036482175</v>
          </cell>
        </row>
        <row r="50">
          <cell r="Q50">
            <v>84977.062942338962</v>
          </cell>
          <cell r="R50">
            <v>89839.474129560273</v>
          </cell>
        </row>
        <row r="56">
          <cell r="L56">
            <v>-34705.44035867849</v>
          </cell>
        </row>
        <row r="80">
          <cell r="H80">
            <v>28828.060000000005</v>
          </cell>
          <cell r="I80">
            <v>30032.261000000006</v>
          </cell>
          <cell r="L80">
            <v>-1204.2009999999991</v>
          </cell>
        </row>
        <row r="85">
          <cell r="H85">
            <v>12513.293444444444</v>
          </cell>
          <cell r="I85">
            <v>13587.953890000001</v>
          </cell>
          <cell r="L85">
            <v>-1074.6604455555569</v>
          </cell>
          <cell r="Q85">
            <v>100810.10890000002</v>
          </cell>
          <cell r="R85">
            <v>98465.654043556671</v>
          </cell>
        </row>
        <row r="86">
          <cell r="H86">
            <v>116989.10613216604</v>
          </cell>
          <cell r="I86">
            <v>18913.597999999936</v>
          </cell>
          <cell r="K86">
            <v>-16901.175060100108</v>
          </cell>
          <cell r="M86">
            <v>-44190.031267832004</v>
          </cell>
        </row>
        <row r="89">
          <cell r="Q89">
            <v>74915.73804233897</v>
          </cell>
          <cell r="R89">
            <v>76673.599389651819</v>
          </cell>
        </row>
        <row r="92">
          <cell r="H92">
            <v>55159.849531963511</v>
          </cell>
          <cell r="I92">
            <v>-24986.756587314212</v>
          </cell>
        </row>
      </sheetData>
      <sheetData sheetId="16">
        <row r="2">
          <cell r="N2">
            <v>13000</v>
          </cell>
        </row>
        <row r="5">
          <cell r="T5">
            <v>13000</v>
          </cell>
          <cell r="U5">
            <v>11571</v>
          </cell>
        </row>
        <row r="9">
          <cell r="E9">
            <v>223.26923076923077</v>
          </cell>
          <cell r="F9">
            <v>224.32271108806481</v>
          </cell>
          <cell r="G9">
            <v>97000</v>
          </cell>
          <cell r="H9">
            <v>100000.00000000007</v>
          </cell>
        </row>
        <row r="10">
          <cell r="E10">
            <v>42.519230769230766</v>
          </cell>
          <cell r="F10">
            <v>3.447240515080805</v>
          </cell>
          <cell r="G10">
            <v>100500</v>
          </cell>
          <cell r="H10">
            <v>100499.9746791142</v>
          </cell>
        </row>
        <row r="11">
          <cell r="E11">
            <v>0</v>
          </cell>
          <cell r="F11">
            <v>0</v>
          </cell>
        </row>
        <row r="12">
          <cell r="E12">
            <v>58.846153846153847</v>
          </cell>
          <cell r="F12">
            <v>80.499010457177519</v>
          </cell>
          <cell r="G12">
            <v>61000</v>
          </cell>
          <cell r="H12">
            <v>60101.347994568205</v>
          </cell>
        </row>
        <row r="13">
          <cell r="E13">
            <v>35.96153846153846</v>
          </cell>
          <cell r="F13">
            <v>35.918765015988249</v>
          </cell>
          <cell r="G13">
            <v>29500</v>
          </cell>
          <cell r="H13">
            <v>31407.402645177088</v>
          </cell>
        </row>
        <row r="14">
          <cell r="E14">
            <v>0</v>
          </cell>
          <cell r="F14">
            <v>0</v>
          </cell>
        </row>
        <row r="15">
          <cell r="E15">
            <v>360.59615384615387</v>
          </cell>
          <cell r="F15">
            <v>344.18772707631138</v>
          </cell>
        </row>
        <row r="16">
          <cell r="E16">
            <v>829.57692307692309</v>
          </cell>
          <cell r="F16">
            <v>788.14493129375194</v>
          </cell>
          <cell r="G16">
            <v>11466.666666666666</v>
          </cell>
          <cell r="H16">
            <v>11207.080663952735</v>
          </cell>
        </row>
        <row r="17">
          <cell r="E17">
            <v>868.92307692307691</v>
          </cell>
          <cell r="F17">
            <v>909.38207587935312</v>
          </cell>
          <cell r="G17">
            <v>17046.851514273018</v>
          </cell>
          <cell r="H17">
            <v>16485.742972650889</v>
          </cell>
        </row>
        <row r="19">
          <cell r="E19">
            <v>3.0750000000000002</v>
          </cell>
          <cell r="F19">
            <v>2.7861204735977876</v>
          </cell>
        </row>
        <row r="20">
          <cell r="Q20">
            <v>57908.836643991905</v>
          </cell>
          <cell r="R20">
            <v>54371.828277590532</v>
          </cell>
        </row>
        <row r="21">
          <cell r="Q21">
            <v>18866.12167134284</v>
          </cell>
          <cell r="R21">
            <v>17846.656209489243</v>
          </cell>
        </row>
        <row r="22">
          <cell r="Q22">
            <v>115.38461538461539</v>
          </cell>
          <cell r="R22">
            <v>82.353124189784808</v>
          </cell>
        </row>
        <row r="50">
          <cell r="Q50">
            <v>85238.677930719365</v>
          </cell>
          <cell r="R50">
            <v>81324.16014173365</v>
          </cell>
        </row>
        <row r="56">
          <cell r="L56">
            <v>49905.058596353658</v>
          </cell>
        </row>
        <row r="80">
          <cell r="H80">
            <v>27326.347000000002</v>
          </cell>
          <cell r="I80">
            <v>37404.167000000001</v>
          </cell>
          <cell r="L80">
            <v>-10077.82</v>
          </cell>
        </row>
        <row r="85">
          <cell r="H85">
            <v>31647.162333333334</v>
          </cell>
          <cell r="I85">
            <v>35948.951260000002</v>
          </cell>
          <cell r="L85">
            <v>-4301.7889266666671</v>
          </cell>
          <cell r="Q85">
            <v>97381.761444799282</v>
          </cell>
          <cell r="R85">
            <v>93656.434188920583</v>
          </cell>
        </row>
        <row r="86">
          <cell r="H86">
            <v>98886.576349705574</v>
          </cell>
          <cell r="I86">
            <v>73953.798000000083</v>
          </cell>
          <cell r="K86">
            <v>-43105.761677772432</v>
          </cell>
          <cell r="M86">
            <v>-17352.46634162018</v>
          </cell>
        </row>
        <row r="89">
          <cell r="Q89">
            <v>76890.342930719358</v>
          </cell>
          <cell r="R89">
            <v>72300.83761126957</v>
          </cell>
        </row>
        <row r="92">
          <cell r="H92">
            <v>21242.03676013209</v>
          </cell>
          <cell r="I92">
            <v>6931.8965435204154</v>
          </cell>
        </row>
      </sheetData>
      <sheetData sheetId="17">
        <row r="2">
          <cell r="N2">
            <v>8500</v>
          </cell>
        </row>
        <row r="5">
          <cell r="T5">
            <v>8500</v>
          </cell>
          <cell r="U5">
            <v>5713.5</v>
          </cell>
        </row>
        <row r="9">
          <cell r="E9">
            <v>252.74599999999998</v>
          </cell>
          <cell r="F9">
            <v>207.73975146582666</v>
          </cell>
          <cell r="G9">
            <v>97000</v>
          </cell>
          <cell r="H9">
            <v>99999.999999999956</v>
          </cell>
        </row>
        <row r="10">
          <cell r="E10">
            <v>0</v>
          </cell>
          <cell r="F10">
            <v>9.5360094512995524</v>
          </cell>
          <cell r="G10">
            <v>0</v>
          </cell>
          <cell r="H10">
            <v>98970.890347788401</v>
          </cell>
        </row>
        <row r="11">
          <cell r="E11">
            <v>0</v>
          </cell>
          <cell r="F11">
            <v>0</v>
          </cell>
        </row>
        <row r="12">
          <cell r="E12">
            <v>54.820000000000007</v>
          </cell>
          <cell r="F12">
            <v>80.672627986348161</v>
          </cell>
          <cell r="G12">
            <v>57199.999999999985</v>
          </cell>
          <cell r="H12">
            <v>58554.49714318911</v>
          </cell>
        </row>
        <row r="13">
          <cell r="E13">
            <v>34.173999999999999</v>
          </cell>
          <cell r="F13">
            <v>37.309188763454976</v>
          </cell>
          <cell r="G13">
            <v>31000.000000000004</v>
          </cell>
          <cell r="H13">
            <v>32110.380616425551</v>
          </cell>
        </row>
        <row r="14">
          <cell r="E14">
            <v>0</v>
          </cell>
          <cell r="F14">
            <v>0</v>
          </cell>
        </row>
        <row r="15">
          <cell r="E15">
            <v>341.73999999999995</v>
          </cell>
          <cell r="F15">
            <v>335.25757766692936</v>
          </cell>
        </row>
        <row r="16">
          <cell r="E16">
            <v>711.25568351011373</v>
          </cell>
          <cell r="F16">
            <v>600.946880196027</v>
          </cell>
          <cell r="G16">
            <v>10933.333333333334</v>
          </cell>
          <cell r="H16">
            <v>10673.022067796512</v>
          </cell>
        </row>
        <row r="17">
          <cell r="E17">
            <v>982.21022960920448</v>
          </cell>
          <cell r="F17">
            <v>1043.406843440973</v>
          </cell>
          <cell r="G17">
            <v>14319.24360400445</v>
          </cell>
          <cell r="H17">
            <v>13807.318453980999</v>
          </cell>
        </row>
        <row r="19">
          <cell r="E19">
            <v>3.0756599999999996</v>
          </cell>
          <cell r="F19">
            <v>2.7480703596744545</v>
          </cell>
        </row>
        <row r="20">
          <cell r="Q20">
            <v>52705.325021163255</v>
          </cell>
          <cell r="R20">
            <v>50472.331145532509</v>
          </cell>
        </row>
        <row r="21">
          <cell r="Q21">
            <v>17924.245895487384</v>
          </cell>
          <cell r="R21">
            <v>17175.292027653803</v>
          </cell>
        </row>
        <row r="22">
          <cell r="Q22">
            <v>352.94117647058823</v>
          </cell>
          <cell r="R22">
            <v>398.19357661678487</v>
          </cell>
        </row>
        <row r="50">
          <cell r="Q50">
            <v>82666.606916650635</v>
          </cell>
          <cell r="R50">
            <v>83871.355736413752</v>
          </cell>
        </row>
        <row r="56">
          <cell r="L56">
            <v>-6883.3288217166964</v>
          </cell>
        </row>
        <row r="80">
          <cell r="H80">
            <v>29280.285000000003</v>
          </cell>
          <cell r="I80">
            <v>28054.07</v>
          </cell>
          <cell r="L80">
            <v>1226.2150000000022</v>
          </cell>
        </row>
        <row r="85">
          <cell r="H85">
            <v>15870.410436470889</v>
          </cell>
          <cell r="I85">
            <v>15923.957560000001</v>
          </cell>
          <cell r="L85">
            <v>-53.547123529112014</v>
          </cell>
          <cell r="Q85">
            <v>90281.701571764701</v>
          </cell>
          <cell r="R85">
            <v>77590.486916951078</v>
          </cell>
        </row>
        <row r="86">
          <cell r="H86">
            <v>19577.609131998746</v>
          </cell>
          <cell r="I86">
            <v>-79863.768000000025</v>
          </cell>
          <cell r="K86">
            <v>-72511.254930277632</v>
          </cell>
          <cell r="M86">
            <v>-21219.461256475392</v>
          </cell>
        </row>
        <row r="89">
          <cell r="Q89">
            <v>70982.51209312123</v>
          </cell>
          <cell r="R89">
            <v>68045.816749803096</v>
          </cell>
        </row>
        <row r="92">
          <cell r="H92">
            <v>-27488.5330499587</v>
          </cell>
          <cell r="I92">
            <v>-107280.705472085</v>
          </cell>
        </row>
      </sheetData>
      <sheetData sheetId="18">
        <row r="2">
          <cell r="N2">
            <v>11500</v>
          </cell>
        </row>
        <row r="5">
          <cell r="T5">
            <v>11500</v>
          </cell>
          <cell r="U5">
            <v>14457</v>
          </cell>
        </row>
        <row r="9">
          <cell r="E9">
            <v>260.57478260869567</v>
          </cell>
          <cell r="F9">
            <v>260.1859303049161</v>
          </cell>
          <cell r="G9">
            <v>96999.999999999971</v>
          </cell>
          <cell r="H9">
            <v>99999.999999999971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70.784347826086957</v>
          </cell>
          <cell r="F12">
            <v>75.620764709949469</v>
          </cell>
          <cell r="G12">
            <v>57200</v>
          </cell>
          <cell r="H12">
            <v>55014.345209146006</v>
          </cell>
        </row>
        <row r="13">
          <cell r="E13">
            <v>42.301739130434783</v>
          </cell>
          <cell r="F13">
            <v>45.88522782272009</v>
          </cell>
          <cell r="G13">
            <v>33500</v>
          </cell>
          <cell r="H13">
            <v>35467.735763493336</v>
          </cell>
        </row>
        <row r="14">
          <cell r="E14">
            <v>0</v>
          </cell>
          <cell r="F14">
            <v>0</v>
          </cell>
        </row>
        <row r="15">
          <cell r="E15">
            <v>373.66086956521741</v>
          </cell>
          <cell r="F15">
            <v>381.69192283758565</v>
          </cell>
        </row>
        <row r="16">
          <cell r="E16">
            <v>773.22695652173934</v>
          </cell>
          <cell r="F16">
            <v>741.53771693286296</v>
          </cell>
          <cell r="G16">
            <v>12533.333333333332</v>
          </cell>
          <cell r="H16">
            <v>12209.931504933402</v>
          </cell>
        </row>
        <row r="17">
          <cell r="E17">
            <v>871.90956521739122</v>
          </cell>
          <cell r="F17">
            <v>823.02565166286377</v>
          </cell>
          <cell r="G17">
            <v>19929.331789570959</v>
          </cell>
          <cell r="H17">
            <v>19565.335424609064</v>
          </cell>
        </row>
        <row r="19">
          <cell r="E19">
            <v>3.3963478260869566</v>
          </cell>
          <cell r="F19">
            <v>2.9862303809721351</v>
          </cell>
        </row>
        <row r="20">
          <cell r="Q20">
            <v>60798.199160645476</v>
          </cell>
          <cell r="R20">
            <v>59304.378137315907</v>
          </cell>
        </row>
        <row r="21">
          <cell r="Q21">
            <v>21414.620610766044</v>
          </cell>
          <cell r="R21">
            <v>22323.944686441264</v>
          </cell>
        </row>
        <row r="22">
          <cell r="Q22">
            <v>278.26086956521738</v>
          </cell>
          <cell r="R22">
            <v>288.83399018184332</v>
          </cell>
        </row>
        <row r="50">
          <cell r="Q50">
            <v>91807.407438078197</v>
          </cell>
          <cell r="R50">
            <v>90440.533015280365</v>
          </cell>
        </row>
        <row r="56">
          <cell r="L56">
            <v>20998.092252296352</v>
          </cell>
        </row>
        <row r="80">
          <cell r="H80">
            <v>29011.119999999999</v>
          </cell>
          <cell r="I80">
            <v>30731.106999999996</v>
          </cell>
          <cell r="L80">
            <v>-1719.986999999998</v>
          </cell>
        </row>
        <row r="85">
          <cell r="H85">
            <v>15821.835721949396</v>
          </cell>
          <cell r="I85">
            <v>16913.303919999998</v>
          </cell>
          <cell r="L85">
            <v>-1091.4681980506043</v>
          </cell>
          <cell r="Q85">
            <v>103952.5552173913</v>
          </cell>
          <cell r="R85">
            <v>101562.25357958082</v>
          </cell>
        </row>
        <row r="86">
          <cell r="H86">
            <v>94836.243740151476</v>
          </cell>
          <cell r="I86">
            <v>114379.49200000003</v>
          </cell>
          <cell r="K86">
            <v>-34556.590777826117</v>
          </cell>
          <cell r="M86">
            <v>35913.201983428909</v>
          </cell>
        </row>
        <row r="89">
          <cell r="Q89">
            <v>82491.080640976739</v>
          </cell>
          <cell r="R89">
            <v>81917.156813939015</v>
          </cell>
        </row>
        <row r="92">
          <cell r="H92">
            <v>21516.160337283247</v>
          </cell>
          <cell r="I92">
            <v>23572.614431847818</v>
          </cell>
        </row>
      </sheetData>
      <sheetData sheetId="19">
        <row r="2">
          <cell r="N2">
            <v>23000</v>
          </cell>
        </row>
        <row r="5">
          <cell r="T5">
            <v>23000</v>
          </cell>
          <cell r="U5">
            <v>24258</v>
          </cell>
        </row>
        <row r="9">
          <cell r="E9">
            <v>298.42744236469338</v>
          </cell>
          <cell r="F9">
            <v>312.77120965085658</v>
          </cell>
          <cell r="G9">
            <v>96999.999999999985</v>
          </cell>
          <cell r="H9">
            <v>99716.885890944919</v>
          </cell>
        </row>
        <row r="10">
          <cell r="E10">
            <v>3.0984215023313721</v>
          </cell>
          <cell r="F10">
            <v>6.6049897068511187</v>
          </cell>
          <cell r="G10">
            <v>83600.000000000029</v>
          </cell>
          <cell r="H10">
            <v>86600.004151550558</v>
          </cell>
        </row>
        <row r="11">
          <cell r="E11">
            <v>0</v>
          </cell>
          <cell r="F11">
            <v>3.7211816534914357</v>
          </cell>
        </row>
        <row r="12">
          <cell r="E12">
            <v>35.050220395669172</v>
          </cell>
          <cell r="F12">
            <v>39.528494729907777</v>
          </cell>
          <cell r="G12">
            <v>59999.999999999993</v>
          </cell>
          <cell r="H12">
            <v>57740.042768633655</v>
          </cell>
        </row>
        <row r="13">
          <cell r="E13">
            <v>42.797375452386795</v>
          </cell>
          <cell r="F13">
            <v>41.098322628458504</v>
          </cell>
          <cell r="G13">
            <v>37500</v>
          </cell>
          <cell r="H13">
            <v>38647.233290021199</v>
          </cell>
        </row>
        <row r="14">
          <cell r="E14">
            <v>0</v>
          </cell>
          <cell r="F14">
            <v>0</v>
          </cell>
        </row>
        <row r="15">
          <cell r="E15">
            <v>379.37345971508068</v>
          </cell>
          <cell r="F15">
            <v>403.72419836956544</v>
          </cell>
        </row>
        <row r="16">
          <cell r="E16">
            <v>858</v>
          </cell>
          <cell r="F16">
            <v>818.93959980237128</v>
          </cell>
          <cell r="G16">
            <v>10853.333333333334</v>
          </cell>
          <cell r="H16">
            <v>10864.208848437225</v>
          </cell>
        </row>
        <row r="17">
          <cell r="E17">
            <v>884.46563478260873</v>
          </cell>
          <cell r="F17">
            <v>938.77593873517719</v>
          </cell>
          <cell r="G17">
            <v>12554.838709677419</v>
          </cell>
          <cell r="H17">
            <v>12453.39276934906</v>
          </cell>
        </row>
        <row r="19">
          <cell r="E19">
            <v>3.0624782608695651</v>
          </cell>
          <cell r="F19">
            <v>3.788313158761532</v>
          </cell>
        </row>
        <row r="20">
          <cell r="Q20">
            <v>56381.116486949002</v>
          </cell>
          <cell r="R20">
            <v>60668.358242753631</v>
          </cell>
        </row>
        <row r="21">
          <cell r="Q21">
            <v>21914.311141304348</v>
          </cell>
          <cell r="R21">
            <v>23198.312911725952</v>
          </cell>
        </row>
        <row r="22">
          <cell r="Q22">
            <v>130.43478260869566</v>
          </cell>
          <cell r="R22">
            <v>233.0382493412385</v>
          </cell>
        </row>
        <row r="50">
          <cell r="Q50">
            <v>85409.610066659137</v>
          </cell>
          <cell r="R50">
            <v>90768.069705204223</v>
          </cell>
        </row>
        <row r="56">
          <cell r="L56">
            <v>-129865.56970298213</v>
          </cell>
        </row>
        <row r="80">
          <cell r="H80">
            <v>50483.353000000003</v>
          </cell>
          <cell r="I80">
            <v>51664.169000000002</v>
          </cell>
          <cell r="L80">
            <v>-1180.8160000000023</v>
          </cell>
        </row>
        <row r="85">
          <cell r="H85">
            <v>36520.554333333333</v>
          </cell>
          <cell r="I85">
            <v>36369.566299999999</v>
          </cell>
          <cell r="L85">
            <v>150.98803333333422</v>
          </cell>
          <cell r="Q85">
            <v>99199.106086956526</v>
          </cell>
          <cell r="R85">
            <v>99909.184681342231</v>
          </cell>
        </row>
        <row r="86">
          <cell r="H86">
            <v>230154.50113350659</v>
          </cell>
          <cell r="I86">
            <v>133831.37599999999</v>
          </cell>
          <cell r="K86">
            <v>17225.08654260842</v>
          </cell>
          <cell r="M86">
            <v>17347.185993534091</v>
          </cell>
        </row>
        <row r="89">
          <cell r="Q89">
            <v>78425.862410862042</v>
          </cell>
          <cell r="R89">
            <v>84099.709403820816</v>
          </cell>
        </row>
        <row r="92">
          <cell r="H92">
            <v>97573.624136488565</v>
          </cell>
          <cell r="I92">
            <v>-7851.164306876628</v>
          </cell>
        </row>
      </sheetData>
      <sheetData sheetId="20">
        <row r="2">
          <cell r="N2">
            <v>11000</v>
          </cell>
        </row>
        <row r="5">
          <cell r="T5">
            <v>11000</v>
          </cell>
          <cell r="U5">
            <v>13510</v>
          </cell>
        </row>
        <row r="9">
          <cell r="E9">
            <v>246.08818181818177</v>
          </cell>
          <cell r="F9">
            <v>253.28676903722354</v>
          </cell>
          <cell r="G9">
            <v>97000.000000000015</v>
          </cell>
          <cell r="H9">
            <v>99999.999999999956</v>
          </cell>
        </row>
        <row r="10">
          <cell r="E10">
            <v>14.451818181818181</v>
          </cell>
          <cell r="F10">
            <v>48.158814474950049</v>
          </cell>
          <cell r="G10">
            <v>94500</v>
          </cell>
          <cell r="H10">
            <v>97499.691365641498</v>
          </cell>
        </row>
        <row r="11">
          <cell r="E11">
            <v>0</v>
          </cell>
          <cell r="F11">
            <v>0</v>
          </cell>
        </row>
        <row r="12">
          <cell r="E12">
            <v>70.048181818181817</v>
          </cell>
          <cell r="F12">
            <v>37.724349145267503</v>
          </cell>
          <cell r="G12">
            <v>60000.000000000015</v>
          </cell>
          <cell r="H12">
            <v>57660.498194545478</v>
          </cell>
        </row>
        <row r="13">
          <cell r="E13">
            <v>21.273636363636363</v>
          </cell>
          <cell r="F13">
            <v>14.049446458965441</v>
          </cell>
          <cell r="G13">
            <v>32500</v>
          </cell>
          <cell r="H13">
            <v>34308.902646755596</v>
          </cell>
        </row>
        <row r="14">
          <cell r="E14">
            <v>0</v>
          </cell>
          <cell r="F14">
            <v>0</v>
          </cell>
        </row>
        <row r="15">
          <cell r="E15">
            <v>351.86181818181814</v>
          </cell>
          <cell r="F15">
            <v>353.21937911640657</v>
          </cell>
        </row>
        <row r="16">
          <cell r="E16">
            <v>738.45636363636368</v>
          </cell>
          <cell r="F16">
            <v>634.00022200843671</v>
          </cell>
          <cell r="G16">
            <v>14733.33333333333</v>
          </cell>
          <cell r="H16">
            <v>13690.098275466609</v>
          </cell>
        </row>
        <row r="17">
          <cell r="E17">
            <v>999.36181818181808</v>
          </cell>
          <cell r="F17">
            <v>1102.2992673721601</v>
          </cell>
          <cell r="G17">
            <v>16000</v>
          </cell>
          <cell r="H17">
            <v>15879.116195166684</v>
          </cell>
        </row>
        <row r="19">
          <cell r="E19">
            <v>2.6790909090909092</v>
          </cell>
          <cell r="F19">
            <v>2.4098719751350561</v>
          </cell>
        </row>
        <row r="20">
          <cell r="Q20">
            <v>59250.683757575753</v>
          </cell>
          <cell r="R20">
            <v>61189.607341078961</v>
          </cell>
        </row>
        <row r="21">
          <cell r="Q21">
            <v>15997.267765151515</v>
          </cell>
          <cell r="R21">
            <v>19161.879745430328</v>
          </cell>
        </row>
        <row r="22">
          <cell r="Q22">
            <v>318.18181818181819</v>
          </cell>
          <cell r="R22">
            <v>318.0522459853475</v>
          </cell>
        </row>
        <row r="50">
          <cell r="Q50">
            <v>85241.614977272722</v>
          </cell>
          <cell r="R50">
            <v>88902.927995263817</v>
          </cell>
        </row>
        <row r="56">
          <cell r="L56">
            <v>-49470.501381840681</v>
          </cell>
        </row>
        <row r="80">
          <cell r="H80">
            <v>31727.421999999999</v>
          </cell>
          <cell r="I80">
            <v>29412.641999999996</v>
          </cell>
          <cell r="L80">
            <v>2314.7800000000007</v>
          </cell>
        </row>
        <row r="85">
          <cell r="H85">
            <v>21862.992111111111</v>
          </cell>
          <cell r="I85">
            <v>21708.319809999997</v>
          </cell>
          <cell r="L85">
            <v>154.67230111111303</v>
          </cell>
          <cell r="Q85">
            <v>101861</v>
          </cell>
          <cell r="R85">
            <v>97239.589660025173</v>
          </cell>
        </row>
        <row r="86">
          <cell r="H86">
            <v>129222.8211388888</v>
          </cell>
          <cell r="I86">
            <v>61431.892999999938</v>
          </cell>
          <cell r="K86">
            <v>-62393.661000000138</v>
          </cell>
          <cell r="M86">
            <v>41603.781941840862</v>
          </cell>
        </row>
        <row r="89">
          <cell r="Q89">
            <v>75566.133340909088</v>
          </cell>
          <cell r="R89">
            <v>80669.539332494649</v>
          </cell>
        </row>
        <row r="92">
          <cell r="H92">
            <v>64113.088282194673</v>
          </cell>
          <cell r="I92">
            <v>-15366.353095038387</v>
          </cell>
        </row>
      </sheetData>
      <sheetData sheetId="21">
        <row r="2">
          <cell r="N2">
            <v>5000</v>
          </cell>
        </row>
        <row r="5">
          <cell r="T5">
            <v>5000</v>
          </cell>
          <cell r="U5">
            <v>5101</v>
          </cell>
        </row>
        <row r="9">
          <cell r="E9">
            <v>270.23999999999995</v>
          </cell>
          <cell r="F9">
            <v>251.31935698882569</v>
          </cell>
          <cell r="G9">
            <v>97000.000000000015</v>
          </cell>
          <cell r="H9">
            <v>100000</v>
          </cell>
        </row>
        <row r="10">
          <cell r="E10">
            <v>0</v>
          </cell>
          <cell r="F10">
            <v>20.041170358753185</v>
          </cell>
          <cell r="G10">
            <v>0</v>
          </cell>
          <cell r="H10">
            <v>93100.17674849098</v>
          </cell>
        </row>
        <row r="11">
          <cell r="E11">
            <v>0</v>
          </cell>
          <cell r="F11">
            <v>0</v>
          </cell>
        </row>
        <row r="12">
          <cell r="E12">
            <v>72.2</v>
          </cell>
          <cell r="F12">
            <v>73.291523230739045</v>
          </cell>
          <cell r="G12">
            <v>61000</v>
          </cell>
          <cell r="H12">
            <v>61887.34629743547</v>
          </cell>
        </row>
        <row r="13">
          <cell r="E13">
            <v>12.88</v>
          </cell>
          <cell r="F13">
            <v>17.804354048225843</v>
          </cell>
          <cell r="G13">
            <v>32500.000000000015</v>
          </cell>
          <cell r="H13">
            <v>30093.203028715805</v>
          </cell>
        </row>
        <row r="14">
          <cell r="E14">
            <v>0</v>
          </cell>
          <cell r="F14">
            <v>0</v>
          </cell>
        </row>
        <row r="15">
          <cell r="E15">
            <v>355.31999999999994</v>
          </cell>
          <cell r="F15">
            <v>362.45640462654376</v>
          </cell>
        </row>
        <row r="16">
          <cell r="E16">
            <v>856</v>
          </cell>
          <cell r="F16">
            <v>848.20917467163281</v>
          </cell>
          <cell r="G16">
            <v>15133.333333333332</v>
          </cell>
          <cell r="H16">
            <v>15138.338208086276</v>
          </cell>
        </row>
        <row r="17">
          <cell r="E17">
            <v>818</v>
          </cell>
          <cell r="F17">
            <v>821.88394432464202</v>
          </cell>
          <cell r="G17">
            <v>15328.767905659912</v>
          </cell>
          <cell r="H17">
            <v>15509.459430449646</v>
          </cell>
        </row>
        <row r="19">
          <cell r="E19">
            <v>2.76</v>
          </cell>
          <cell r="F19">
            <v>2.8628798274848068</v>
          </cell>
        </row>
        <row r="20">
          <cell r="Q20">
            <v>58572.097480163138</v>
          </cell>
          <cell r="R20">
            <v>59807.511468339544</v>
          </cell>
        </row>
        <row r="21">
          <cell r="Q21">
            <v>14284.299645527439</v>
          </cell>
          <cell r="R21">
            <v>14729.950009802002</v>
          </cell>
        </row>
        <row r="22">
          <cell r="Q22">
            <v>68</v>
          </cell>
          <cell r="R22">
            <v>65.956087041756518</v>
          </cell>
        </row>
        <row r="50">
          <cell r="Q50">
            <v>86417.232725690585</v>
          </cell>
          <cell r="R50">
            <v>87713.038031758479</v>
          </cell>
        </row>
        <row r="56">
          <cell r="L56">
            <v>-6609.9078962523745</v>
          </cell>
        </row>
        <row r="80">
          <cell r="H80">
            <v>12173.483</v>
          </cell>
          <cell r="I80">
            <v>13615.064999999999</v>
          </cell>
          <cell r="L80">
            <v>-1441.5820000000003</v>
          </cell>
        </row>
        <row r="85">
          <cell r="H85">
            <v>10370.319666666666</v>
          </cell>
          <cell r="I85">
            <v>10525.859970000001</v>
          </cell>
          <cell r="L85">
            <v>-155.5403033333352</v>
          </cell>
          <cell r="Q85">
            <v>112084.76</v>
          </cell>
          <cell r="R85">
            <v>111336.29680454811</v>
          </cell>
        </row>
        <row r="86">
          <cell r="H86">
            <v>105793.8337048804</v>
          </cell>
          <cell r="I86">
            <v>96361.312999999951</v>
          </cell>
          <cell r="K86">
            <v>-3817.910760000063</v>
          </cell>
          <cell r="M86">
            <v>2592.4202547052519</v>
          </cell>
        </row>
        <row r="89">
          <cell r="Q89">
            <v>72924.397125690579</v>
          </cell>
          <cell r="R89">
            <v>74603.417565183307</v>
          </cell>
        </row>
        <row r="92">
          <cell r="H92">
            <v>73228.025304186958</v>
          </cell>
          <cell r="I92">
            <v>63160.553105898405</v>
          </cell>
        </row>
      </sheetData>
      <sheetData sheetId="22">
        <row r="2">
          <cell r="N2">
            <v>4000</v>
          </cell>
        </row>
        <row r="5">
          <cell r="T5">
            <v>4000</v>
          </cell>
          <cell r="U5">
            <v>4844</v>
          </cell>
        </row>
        <row r="9">
          <cell r="E9">
            <v>272.3</v>
          </cell>
          <cell r="F9">
            <v>266.43621180842274</v>
          </cell>
          <cell r="G9">
            <v>96999.999999999971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48.8</v>
          </cell>
          <cell r="F12">
            <v>55.332369942196536</v>
          </cell>
          <cell r="G12">
            <v>60000</v>
          </cell>
          <cell r="H12">
            <v>57974.905794127517</v>
          </cell>
        </row>
        <row r="13">
          <cell r="E13">
            <v>42.3</v>
          </cell>
          <cell r="F13">
            <v>36.904213459950448</v>
          </cell>
          <cell r="G13">
            <v>45000</v>
          </cell>
          <cell r="H13">
            <v>47882.026141615424</v>
          </cell>
        </row>
        <row r="14">
          <cell r="E14">
            <v>0</v>
          </cell>
          <cell r="F14">
            <v>0</v>
          </cell>
        </row>
        <row r="15">
          <cell r="E15">
            <v>363.40000000000003</v>
          </cell>
          <cell r="F15">
            <v>358.67279521056969</v>
          </cell>
        </row>
        <row r="16">
          <cell r="E16">
            <v>866.4</v>
          </cell>
          <cell r="F16">
            <v>861.13852188274143</v>
          </cell>
          <cell r="G16">
            <v>12466.666666666668</v>
          </cell>
          <cell r="H16">
            <v>12564.685575790121</v>
          </cell>
        </row>
        <row r="17">
          <cell r="E17">
            <v>880.5</v>
          </cell>
          <cell r="F17">
            <v>882.83856317093307</v>
          </cell>
          <cell r="G17">
            <v>12387.096774193547</v>
          </cell>
          <cell r="H17">
            <v>12386.605307648597</v>
          </cell>
        </row>
        <row r="19">
          <cell r="E19">
            <v>2.9860000000000002</v>
          </cell>
          <cell r="F19">
            <v>2.9709744013212216</v>
          </cell>
        </row>
        <row r="20">
          <cell r="Q20">
            <v>55644.158709677409</v>
          </cell>
          <cell r="R20">
            <v>55933.709744013213</v>
          </cell>
        </row>
        <row r="21">
          <cell r="Q21">
            <v>14791.004200021</v>
          </cell>
          <cell r="R21">
            <v>13655.180635838151</v>
          </cell>
        </row>
        <row r="22">
          <cell r="Q22">
            <v>375</v>
          </cell>
          <cell r="R22">
            <v>323.56998348472337</v>
          </cell>
        </row>
        <row r="50">
          <cell r="Q50">
            <v>90052.334680531741</v>
          </cell>
          <cell r="R50">
            <v>83894.228117258463</v>
          </cell>
        </row>
        <row r="56">
          <cell r="L56">
            <v>29829.87552249576</v>
          </cell>
        </row>
        <row r="80">
          <cell r="H80">
            <v>11981.141</v>
          </cell>
          <cell r="I80">
            <v>11782.956999999999</v>
          </cell>
          <cell r="L80">
            <v>198.18400000000042</v>
          </cell>
        </row>
        <row r="85">
          <cell r="H85">
            <v>6031.4589999999989</v>
          </cell>
          <cell r="I85">
            <v>6157.2273300000006</v>
          </cell>
          <cell r="L85">
            <v>-125.76833000000101</v>
          </cell>
          <cell r="Q85">
            <v>111639.88393600003</v>
          </cell>
          <cell r="R85">
            <v>108954.28571428572</v>
          </cell>
        </row>
        <row r="86">
          <cell r="H86">
            <v>68337.597021873138</v>
          </cell>
          <cell r="I86">
            <v>103450.74200000006</v>
          </cell>
          <cell r="K86">
            <v>-13009.037785984083</v>
          </cell>
          <cell r="M86">
            <v>18219.891571615241</v>
          </cell>
        </row>
        <row r="89">
          <cell r="Q89">
            <v>70810.162909698411</v>
          </cell>
          <cell r="R89">
            <v>69912.460363336082</v>
          </cell>
        </row>
        <row r="92">
          <cell r="H92">
            <v>42388.355964406059</v>
          </cell>
          <cell r="I92">
            <v>72597.246015132478</v>
          </cell>
        </row>
      </sheetData>
      <sheetData sheetId="23">
        <row r="2">
          <cell r="N2">
            <v>6000</v>
          </cell>
        </row>
        <row r="5">
          <cell r="T5">
            <v>6000</v>
          </cell>
          <cell r="U5">
            <v>4089</v>
          </cell>
        </row>
        <row r="9">
          <cell r="E9">
            <v>355.52</v>
          </cell>
          <cell r="F9">
            <v>371.7089801907556</v>
          </cell>
          <cell r="G9">
            <v>114000</v>
          </cell>
          <cell r="H9">
            <v>116999.99977630375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355.52</v>
          </cell>
          <cell r="F15">
            <v>371.7089801907556</v>
          </cell>
        </row>
        <row r="16">
          <cell r="E16">
            <v>749.80000000000007</v>
          </cell>
          <cell r="F16">
            <v>818.98752751283928</v>
          </cell>
          <cell r="G16">
            <v>17999.999999999996</v>
          </cell>
          <cell r="H16">
            <v>18331.529126503505</v>
          </cell>
        </row>
        <row r="17">
          <cell r="E17">
            <v>992.36</v>
          </cell>
          <cell r="F17">
            <v>974.91929567131353</v>
          </cell>
          <cell r="G17">
            <v>19015.750186822203</v>
          </cell>
          <cell r="H17">
            <v>20219.965909475733</v>
          </cell>
        </row>
        <row r="19">
          <cell r="E19">
            <v>3.1419999999999999</v>
          </cell>
          <cell r="F19">
            <v>3.7827977500611389</v>
          </cell>
        </row>
        <row r="20">
          <cell r="Q20">
            <v>75863.909855394872</v>
          </cell>
          <cell r="R20">
            <v>82253.100513572994</v>
          </cell>
        </row>
        <row r="21">
          <cell r="Q21">
            <v>17312.239445262639</v>
          </cell>
          <cell r="R21">
            <v>17488.395206651989</v>
          </cell>
        </row>
        <row r="22">
          <cell r="Q22">
            <v>416.66666666666669</v>
          </cell>
          <cell r="R22">
            <v>472.37123991195892</v>
          </cell>
        </row>
        <row r="50">
          <cell r="Q50">
            <v>106982.96696732417</v>
          </cell>
          <cell r="R50">
            <v>116678.25165077035</v>
          </cell>
        </row>
        <row r="56">
          <cell r="L56">
            <v>-39644.030370611377</v>
          </cell>
        </row>
        <row r="80">
          <cell r="H80">
            <v>15781.02</v>
          </cell>
          <cell r="I80">
            <v>17489.73</v>
          </cell>
          <cell r="L80">
            <v>-1708.7099999999991</v>
          </cell>
        </row>
        <row r="85">
          <cell r="H85">
            <v>12808.388620014095</v>
          </cell>
          <cell r="I85">
            <v>12590.662699999999</v>
          </cell>
          <cell r="L85">
            <v>217.72592001409566</v>
          </cell>
          <cell r="Q85">
            <v>122673.33333333333</v>
          </cell>
          <cell r="R85">
            <v>131207.51014918071</v>
          </cell>
        </row>
        <row r="86">
          <cell r="H86">
            <v>65552.789576040799</v>
          </cell>
          <cell r="I86">
            <v>29329.733999999968</v>
          </cell>
          <cell r="K86">
            <v>34896.24899999996</v>
          </cell>
          <cell r="M86">
            <v>-29984.290125443484</v>
          </cell>
        </row>
        <row r="89">
          <cell r="Q89">
            <v>93592.815967324175</v>
          </cell>
          <cell r="R89">
            <v>100213.86696013693</v>
          </cell>
        </row>
        <row r="92">
          <cell r="H92">
            <v>22782.054972609614</v>
          </cell>
          <cell r="I92">
            <v>-2034.2867947552804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98470.346196543367</v>
          </cell>
        </row>
        <row r="89">
          <cell r="Q89">
            <v>79109.224643891648</v>
          </cell>
        </row>
        <row r="90">
          <cell r="Q90">
            <v>19361.121552651719</v>
          </cell>
        </row>
      </sheetData>
      <sheetData sheetId="1">
        <row r="5">
          <cell r="T5">
            <v>99752</v>
          </cell>
        </row>
        <row r="85">
          <cell r="Q85">
            <v>96454.113487158218</v>
          </cell>
        </row>
        <row r="89">
          <cell r="Q89">
            <v>80081.525033377824</v>
          </cell>
        </row>
        <row r="90">
          <cell r="Q90">
            <v>16372.588453780394</v>
          </cell>
        </row>
      </sheetData>
      <sheetData sheetId="2">
        <row r="5">
          <cell r="T5">
            <v>119871</v>
          </cell>
        </row>
        <row r="85">
          <cell r="Q85">
            <v>98385.128898458555</v>
          </cell>
        </row>
        <row r="89">
          <cell r="Q89">
            <v>79072.35792125568</v>
          </cell>
        </row>
        <row r="90">
          <cell r="Q90">
            <v>19312.770977202876</v>
          </cell>
        </row>
      </sheetData>
      <sheetData sheetId="3"/>
      <sheetData sheetId="4"/>
      <sheetData sheetId="5">
        <row r="5">
          <cell r="T5">
            <v>57230</v>
          </cell>
        </row>
        <row r="85">
          <cell r="Q85">
            <v>102148.62913419002</v>
          </cell>
        </row>
        <row r="89">
          <cell r="Q89">
            <v>77500.621556655082</v>
          </cell>
        </row>
        <row r="90">
          <cell r="Q90">
            <v>24648.00757753494</v>
          </cell>
        </row>
      </sheetData>
      <sheetData sheetId="6">
        <row r="85">
          <cell r="Q85">
            <v>95439.899645248312</v>
          </cell>
        </row>
        <row r="86">
          <cell r="H86">
            <v>321016.58199999947</v>
          </cell>
        </row>
        <row r="89">
          <cell r="Q89">
            <v>79659.205830918363</v>
          </cell>
        </row>
        <row r="92">
          <cell r="H92">
            <v>93125.329864520318</v>
          </cell>
        </row>
      </sheetData>
      <sheetData sheetId="7">
        <row r="85">
          <cell r="Q85">
            <v>98978.103153922173</v>
          </cell>
        </row>
        <row r="86">
          <cell r="H86">
            <v>222536.56899999946</v>
          </cell>
        </row>
        <row r="89">
          <cell r="Q89">
            <v>82750.979782550101</v>
          </cell>
        </row>
        <row r="92">
          <cell r="H92">
            <v>25466.827558647201</v>
          </cell>
        </row>
      </sheetData>
      <sheetData sheetId="8">
        <row r="85">
          <cell r="Q85">
            <v>93525.184798028815</v>
          </cell>
        </row>
        <row r="86">
          <cell r="H86">
            <v>-15154.132000000169</v>
          </cell>
        </row>
        <row r="89">
          <cell r="Q89">
            <v>78035.925632793238</v>
          </cell>
        </row>
        <row r="92">
          <cell r="H92">
            <v>-90483.072987357358</v>
          </cell>
        </row>
      </sheetData>
      <sheetData sheetId="9">
        <row r="85">
          <cell r="Q85">
            <v>96085.257199767613</v>
          </cell>
        </row>
        <row r="86">
          <cell r="H86">
            <v>64832.589999999953</v>
          </cell>
        </row>
        <row r="89">
          <cell r="Q89">
            <v>76364.793698175796</v>
          </cell>
        </row>
        <row r="92">
          <cell r="H92">
            <v>-5310.7250189830811</v>
          </cell>
        </row>
      </sheetData>
      <sheetData sheetId="10">
        <row r="85">
          <cell r="Q85">
            <v>104240.42636226157</v>
          </cell>
        </row>
        <row r="86">
          <cell r="H86">
            <v>112511.79200000007</v>
          </cell>
        </row>
        <row r="89">
          <cell r="Q89">
            <v>86169.896254444495</v>
          </cell>
        </row>
        <row r="92">
          <cell r="H92">
            <v>-21087.947861636494</v>
          </cell>
        </row>
      </sheetData>
      <sheetData sheetId="11">
        <row r="85">
          <cell r="Q85">
            <v>97731.982260726072</v>
          </cell>
        </row>
        <row r="86">
          <cell r="H86">
            <v>155866.166</v>
          </cell>
        </row>
        <row r="89">
          <cell r="Q89">
            <v>77327.457906768715</v>
          </cell>
        </row>
        <row r="92">
          <cell r="H92">
            <v>37372.245726746376</v>
          </cell>
        </row>
      </sheetData>
      <sheetData sheetId="12">
        <row r="85">
          <cell r="Q85">
            <v>86017.766412341749</v>
          </cell>
        </row>
        <row r="86">
          <cell r="H86">
            <v>-22904.841000000088</v>
          </cell>
        </row>
        <row r="89">
          <cell r="Q89">
            <v>75417.830720214639</v>
          </cell>
        </row>
        <row r="92">
          <cell r="H92">
            <v>-87332.45804353671</v>
          </cell>
        </row>
      </sheetData>
      <sheetData sheetId="13">
        <row r="85">
          <cell r="Q85">
            <v>103723.92238186936</v>
          </cell>
        </row>
        <row r="86">
          <cell r="H86">
            <v>280091.21400000009</v>
          </cell>
        </row>
        <row r="89">
          <cell r="Q89">
            <v>83859.793337693292</v>
          </cell>
        </row>
        <row r="92">
          <cell r="H92">
            <v>126858.37716089084</v>
          </cell>
        </row>
      </sheetData>
      <sheetData sheetId="14">
        <row r="85">
          <cell r="Q85">
            <v>92330.9941054644</v>
          </cell>
        </row>
        <row r="86">
          <cell r="H86">
            <v>-26417.205999999922</v>
          </cell>
        </row>
        <row r="89">
          <cell r="Q89">
            <v>72880.115501035529</v>
          </cell>
        </row>
        <row r="92">
          <cell r="H92">
            <v>-62652.88453784</v>
          </cell>
        </row>
      </sheetData>
      <sheetData sheetId="15">
        <row r="85">
          <cell r="Q85">
            <v>96479.754453538757</v>
          </cell>
        </row>
        <row r="86">
          <cell r="H86">
            <v>126420.43699999992</v>
          </cell>
        </row>
        <row r="89">
          <cell r="Q89">
            <v>72322.006900978973</v>
          </cell>
        </row>
        <row r="92">
          <cell r="H92">
            <v>51247.642627949535</v>
          </cell>
        </row>
      </sheetData>
      <sheetData sheetId="16">
        <row r="85">
          <cell r="Q85">
            <v>90203.678131526234</v>
          </cell>
        </row>
        <row r="86">
          <cell r="H86">
            <v>50698.715999999986</v>
          </cell>
        </row>
        <row r="89">
          <cell r="Q89">
            <v>72248.873375101219</v>
          </cell>
        </row>
        <row r="92">
          <cell r="H92">
            <v>-15464.186585225616</v>
          </cell>
        </row>
      </sheetData>
      <sheetData sheetId="17">
        <row r="85">
          <cell r="Q85">
            <v>103542.84481518769</v>
          </cell>
        </row>
        <row r="86">
          <cell r="H86">
            <v>174900.95600000021</v>
          </cell>
        </row>
        <row r="89">
          <cell r="Q89">
            <v>80692.96005173157</v>
          </cell>
        </row>
        <row r="92">
          <cell r="H92">
            <v>84876.796357780142</v>
          </cell>
        </row>
      </sheetData>
      <sheetData sheetId="18">
        <row r="85">
          <cell r="Q85">
            <v>95394.729642256061</v>
          </cell>
        </row>
        <row r="86">
          <cell r="H86">
            <v>177273.60899999982</v>
          </cell>
        </row>
        <row r="89">
          <cell r="Q89">
            <v>77222.152605940428</v>
          </cell>
        </row>
        <row r="92">
          <cell r="H92">
            <v>46164.839084828098</v>
          </cell>
        </row>
      </sheetData>
      <sheetData sheetId="19">
        <row r="85">
          <cell r="Q85">
            <v>112985.73097138407</v>
          </cell>
        </row>
        <row r="86">
          <cell r="H86">
            <v>14251.572999999975</v>
          </cell>
        </row>
        <row r="89">
          <cell r="Q89">
            <v>73010.817597819725</v>
          </cell>
        </row>
        <row r="92">
          <cell r="H92">
            <v>-2960.3054072771702</v>
          </cell>
        </row>
      </sheetData>
      <sheetData sheetId="20">
        <row r="85">
          <cell r="Q85">
            <v>106616.03720005679</v>
          </cell>
        </row>
        <row r="86">
          <cell r="H86">
            <v>173951.66999999998</v>
          </cell>
        </row>
        <row r="89">
          <cell r="Q89">
            <v>69387.861848644054</v>
          </cell>
        </row>
        <row r="92">
          <cell r="H92">
            <v>129416.27339027346</v>
          </cell>
        </row>
      </sheetData>
      <sheetData sheetId="21">
        <row r="85">
          <cell r="Q85">
            <v>98858.360001174355</v>
          </cell>
        </row>
        <row r="86">
          <cell r="H86">
            <v>227348.31699999998</v>
          </cell>
        </row>
        <row r="89">
          <cell r="Q89">
            <v>76136.611745370232</v>
          </cell>
        </row>
        <row r="92">
          <cell r="H92">
            <v>127065.63133078931</v>
          </cell>
        </row>
      </sheetData>
      <sheetData sheetId="22">
        <row r="85">
          <cell r="Q85">
            <v>123584.35305637153</v>
          </cell>
        </row>
        <row r="86">
          <cell r="H86">
            <v>128444.87099999998</v>
          </cell>
        </row>
        <row r="89">
          <cell r="Q89">
            <v>91260.283815918316</v>
          </cell>
        </row>
        <row r="92">
          <cell r="H92">
            <v>74468.016570510576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16896.95104895105</v>
          </cell>
          <cell r="X10">
            <v>16302</v>
          </cell>
        </row>
        <row r="14">
          <cell r="W14">
            <v>5000</v>
          </cell>
          <cell r="X14">
            <v>7310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U27">
            <v>1</v>
          </cell>
          <cell r="V27">
            <v>12585</v>
          </cell>
        </row>
        <row r="29">
          <cell r="U29">
            <v>0</v>
          </cell>
          <cell r="V29">
            <v>2112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물량"/>
      <sheetName val="제조원가금액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>
        <row r="13">
          <cell r="T13">
            <v>453939.91500000004</v>
          </cell>
        </row>
      </sheetData>
      <sheetData sheetId="1">
        <row r="10">
          <cell r="F10">
            <v>28910.333333333332</v>
          </cell>
          <cell r="G10">
            <v>21888</v>
          </cell>
        </row>
        <row r="12">
          <cell r="F12">
            <v>20160</v>
          </cell>
          <cell r="G12">
            <v>11296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X10">
            <v>13747</v>
          </cell>
        </row>
        <row r="14">
          <cell r="X14">
            <v>11662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V27">
            <v>14616</v>
          </cell>
        </row>
        <row r="29">
          <cell r="V29">
            <v>944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25">
          <cell r="Y25">
            <v>15392</v>
          </cell>
        </row>
        <row r="27">
          <cell r="Y27">
            <v>11664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매출이익,매출이익률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7000</v>
          </cell>
          <cell r="I6">
            <v>8500</v>
          </cell>
          <cell r="J6">
            <v>9400</v>
          </cell>
          <cell r="K6">
            <v>8100</v>
          </cell>
          <cell r="L6">
            <v>8500</v>
          </cell>
          <cell r="M6">
            <v>9500</v>
          </cell>
          <cell r="N6">
            <v>10000</v>
          </cell>
          <cell r="O6">
            <v>11000</v>
          </cell>
          <cell r="P6">
            <v>11600</v>
          </cell>
          <cell r="Q6">
            <v>11600</v>
          </cell>
          <cell r="R6">
            <v>10800</v>
          </cell>
          <cell r="S6">
            <v>114000</v>
          </cell>
          <cell r="T6"/>
          <cell r="U6"/>
          <cell r="V6">
            <v>15000</v>
          </cell>
          <cell r="W6">
            <v>23500</v>
          </cell>
          <cell r="X6">
            <v>32900</v>
          </cell>
          <cell r="Y6">
            <v>41000</v>
          </cell>
          <cell r="Z6">
            <v>49500</v>
          </cell>
          <cell r="AA6">
            <v>59000</v>
          </cell>
          <cell r="AB6">
            <v>69000</v>
          </cell>
          <cell r="AC6">
            <v>80000</v>
          </cell>
          <cell r="AD6">
            <v>91600</v>
          </cell>
          <cell r="AE6">
            <v>103200</v>
          </cell>
          <cell r="AF6">
            <v>114000</v>
          </cell>
        </row>
        <row r="7">
          <cell r="G7">
            <v>7664843.438000001</v>
          </cell>
          <cell r="H7">
            <v>6724612.3420000011</v>
          </cell>
          <cell r="I7">
            <v>8197613.5220000008</v>
          </cell>
          <cell r="J7">
            <v>9270292.1250000019</v>
          </cell>
          <cell r="K7">
            <v>8182096.0099999998</v>
          </cell>
          <cell r="L7">
            <v>8768426.0300000012</v>
          </cell>
          <cell r="M7">
            <v>9997633.0600000005</v>
          </cell>
          <cell r="N7">
            <v>10755852.659999998</v>
          </cell>
          <cell r="O7">
            <v>12095400.806</v>
          </cell>
          <cell r="P7">
            <v>13010178.374</v>
          </cell>
          <cell r="Q7">
            <v>13245843.674000001</v>
          </cell>
          <cell r="R7">
            <v>12087608.564999999</v>
          </cell>
          <cell r="S7">
            <v>120000400.60599999</v>
          </cell>
          <cell r="T7">
            <v>1052635.0930350877</v>
          </cell>
          <cell r="U7"/>
          <cell r="V7">
            <v>14389455.780000001</v>
          </cell>
          <cell r="W7">
            <v>22587069.302000001</v>
          </cell>
          <cell r="X7">
            <v>31857361.427000001</v>
          </cell>
          <cell r="Y7">
            <v>40039457.436999999</v>
          </cell>
          <cell r="Z7">
            <v>48807883.467</v>
          </cell>
          <cell r="AA7">
            <v>58805516.527000003</v>
          </cell>
          <cell r="AB7">
            <v>69561369.187000006</v>
          </cell>
          <cell r="AC7">
            <v>81656769.993000001</v>
          </cell>
          <cell r="AD7">
            <v>94666948.366999999</v>
          </cell>
          <cell r="AE7">
            <v>107912792.04099999</v>
          </cell>
          <cell r="AF7">
            <v>120000400.60599999</v>
          </cell>
        </row>
        <row r="8">
          <cell r="G8">
            <v>958105.42975000013</v>
          </cell>
          <cell r="H8">
            <v>960658.90600000008</v>
          </cell>
          <cell r="I8">
            <v>964425.12023529422</v>
          </cell>
          <cell r="J8">
            <v>986201.28989361716</v>
          </cell>
          <cell r="K8">
            <v>1010135.3098765431</v>
          </cell>
          <cell r="L8">
            <v>1031579.5329411767</v>
          </cell>
          <cell r="M8">
            <v>1052382.4273684211</v>
          </cell>
          <cell r="N8">
            <v>1075585.2659999998</v>
          </cell>
          <cell r="O8">
            <v>1099581.8914545455</v>
          </cell>
          <cell r="P8">
            <v>1121567.1012068966</v>
          </cell>
          <cell r="Q8">
            <v>1141883.0753448275</v>
          </cell>
          <cell r="R8">
            <v>1119223.0152777776</v>
          </cell>
          <cell r="S8">
            <v>12521328.365349099</v>
          </cell>
          <cell r="T8">
            <v>109836.21373113245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7497045.0560000008</v>
          </cell>
          <cell r="H9">
            <v>6587018.6040000003</v>
          </cell>
          <cell r="I9">
            <v>8020259.3359999992</v>
          </cell>
          <cell r="J9">
            <v>9047355.0950000007</v>
          </cell>
          <cell r="K9">
            <v>7960224.5199999986</v>
          </cell>
          <cell r="L9">
            <v>8509567.8339999989</v>
          </cell>
          <cell r="M9">
            <v>9686395.1279999986</v>
          </cell>
          <cell r="N9">
            <v>10399756.106000002</v>
          </cell>
          <cell r="O9">
            <v>11655315.384</v>
          </cell>
          <cell r="P9">
            <v>12510523.375999996</v>
          </cell>
          <cell r="Q9">
            <v>12713703.596000001</v>
          </cell>
          <cell r="R9">
            <v>11610766.225000001</v>
          </cell>
          <cell r="S9">
            <v>116197930.25999999</v>
          </cell>
          <cell r="T9">
            <v>1019280.09</v>
          </cell>
          <cell r="U9"/>
          <cell r="V9">
            <v>14084063.66</v>
          </cell>
          <cell r="W9">
            <v>22104322.995999999</v>
          </cell>
          <cell r="X9">
            <v>31151678.090999998</v>
          </cell>
          <cell r="Y9">
            <v>39111902.610999994</v>
          </cell>
          <cell r="Z9">
            <v>47621470.444999993</v>
          </cell>
          <cell r="AA9">
            <v>57307865.572999991</v>
          </cell>
          <cell r="AB9">
            <v>67707621.67899999</v>
          </cell>
          <cell r="AC9">
            <v>79362937.062999994</v>
          </cell>
          <cell r="AD9">
            <v>91873460.438999996</v>
          </cell>
          <cell r="AE9">
            <v>104587164.035</v>
          </cell>
          <cell r="AF9">
            <v>116197930.25999999</v>
          </cell>
        </row>
        <row r="10">
          <cell r="G10">
            <v>937130.6320000001</v>
          </cell>
          <cell r="H10">
            <v>941002.65771428577</v>
          </cell>
          <cell r="I10">
            <v>943559.92188235279</v>
          </cell>
          <cell r="J10">
            <v>962484.5845744682</v>
          </cell>
          <cell r="K10">
            <v>982743.76790123433</v>
          </cell>
          <cell r="L10">
            <v>1001125.6275294117</v>
          </cell>
          <cell r="M10">
            <v>1019620.5397894736</v>
          </cell>
          <cell r="N10">
            <v>1039975.6106000002</v>
          </cell>
          <cell r="O10">
            <v>1059574.1258181818</v>
          </cell>
          <cell r="P10">
            <v>1078493.3944827584</v>
          </cell>
          <cell r="Q10">
            <v>1096008.9306896552</v>
          </cell>
          <cell r="R10">
            <v>1075070.9467592593</v>
          </cell>
          <cell r="S10">
            <v>12136790.739741081</v>
          </cell>
          <cell r="T10">
            <v>106463.07666439544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167798.38200000022</v>
          </cell>
          <cell r="H11">
            <v>137593.73800000083</v>
          </cell>
          <cell r="I11">
            <v>177354.18600000162</v>
          </cell>
          <cell r="J11">
            <v>222937.03000000119</v>
          </cell>
          <cell r="K11">
            <v>221871.49000000115</v>
          </cell>
          <cell r="L11">
            <v>258858.19600000232</v>
          </cell>
          <cell r="M11">
            <v>311237.93200000189</v>
          </cell>
          <cell r="N11">
            <v>356096.55399999581</v>
          </cell>
          <cell r="O11">
            <v>440085.42200000025</v>
          </cell>
          <cell r="P11">
            <v>499654.9980000034</v>
          </cell>
          <cell r="Q11">
            <v>532140.07799999975</v>
          </cell>
          <cell r="R11">
            <v>476842.33999999799</v>
          </cell>
          <cell r="S11">
            <v>3802470.3460000064</v>
          </cell>
          <cell r="T11">
            <v>33355.003035087779</v>
          </cell>
          <cell r="U11"/>
          <cell r="V11">
            <v>305392.12000000104</v>
          </cell>
          <cell r="W11">
            <v>482746.30600000173</v>
          </cell>
          <cell r="X11">
            <v>705683.33600000292</v>
          </cell>
          <cell r="Y11">
            <v>927554.82600000501</v>
          </cell>
          <cell r="Z11">
            <v>1186413.0220000073</v>
          </cell>
          <cell r="AA11">
            <v>1497650.9540000111</v>
          </cell>
          <cell r="AB11">
            <v>1853747.5080000162</v>
          </cell>
          <cell r="AC11">
            <v>2293832.9300000072</v>
          </cell>
          <cell r="AD11">
            <v>2793487.9280000031</v>
          </cell>
          <cell r="AE11">
            <v>3325628.0059999973</v>
          </cell>
          <cell r="AF11">
            <v>3802470.3460000008</v>
          </cell>
        </row>
        <row r="12">
          <cell r="G12">
            <v>20974.797750000027</v>
          </cell>
          <cell r="H12">
            <v>19656.248285714406</v>
          </cell>
          <cell r="I12">
            <v>20865.198352941366</v>
          </cell>
          <cell r="J12">
            <v>23716.705319149063</v>
          </cell>
          <cell r="K12">
            <v>27391.541975308784</v>
          </cell>
          <cell r="L12">
            <v>30453.905411764979</v>
          </cell>
          <cell r="M12">
            <v>32761.887578947564</v>
          </cell>
          <cell r="N12">
            <v>35609.655399999581</v>
          </cell>
          <cell r="O12">
            <v>40007.765636363656</v>
          </cell>
          <cell r="P12">
            <v>43073.706724138225</v>
          </cell>
          <cell r="Q12">
            <v>45874.144655172393</v>
          </cell>
          <cell r="R12">
            <v>44152.068518518332</v>
          </cell>
          <cell r="S12">
            <v>384537.62560801837</v>
          </cell>
          <cell r="T12">
            <v>3373.1370667370034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2.189195165658649E-2</v>
          </cell>
          <cell r="H13">
            <v>2.046121486299363E-2</v>
          </cell>
          <cell r="I13">
            <v>2.1634855744788989E-2</v>
          </cell>
          <cell r="J13">
            <v>2.4048544209171956E-2</v>
          </cell>
          <cell r="K13">
            <v>2.7116705759604152E-2</v>
          </cell>
          <cell r="L13">
            <v>2.9521626243336433E-2</v>
          </cell>
          <cell r="M13">
            <v>3.1131161759201619E-2</v>
          </cell>
          <cell r="N13">
            <v>3.3107236149141885E-2</v>
          </cell>
          <cell r="O13">
            <v>3.6384525743181087E-2</v>
          </cell>
          <cell r="P13">
            <v>3.8404930634812172E-2</v>
          </cell>
          <cell r="Q13">
            <v>4.0174117337993864E-2</v>
          </cell>
          <cell r="R13">
            <v>3.9448856855003399E-2</v>
          </cell>
          <cell r="S13">
            <v>3.1687147099489631E-2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162117.92599999998</v>
          </cell>
          <cell r="H14">
            <v>137838.93599999999</v>
          </cell>
          <cell r="I14">
            <v>142380.815</v>
          </cell>
          <cell r="J14">
            <v>162462.32500000001</v>
          </cell>
          <cell r="K14">
            <v>132151.32500000001</v>
          </cell>
          <cell r="L14">
            <v>133701.32500000001</v>
          </cell>
          <cell r="M14">
            <v>160201.32500000001</v>
          </cell>
          <cell r="N14">
            <v>130201.32500000001</v>
          </cell>
          <cell r="O14">
            <v>151849.35500000001</v>
          </cell>
          <cell r="P14">
            <v>161241.32500000001</v>
          </cell>
          <cell r="Q14">
            <v>145201.32500000001</v>
          </cell>
          <cell r="R14">
            <v>150901.32500000001</v>
          </cell>
          <cell r="S14">
            <v>1770248.6319999998</v>
          </cell>
          <cell r="T14">
            <v>15528.496771929822</v>
          </cell>
          <cell r="U14"/>
          <cell r="V14">
            <v>299956.86199999996</v>
          </cell>
          <cell r="W14">
            <v>442337.67699999997</v>
          </cell>
          <cell r="X14">
            <v>604800.00199999998</v>
          </cell>
          <cell r="Y14">
            <v>736951.32700000005</v>
          </cell>
          <cell r="Z14">
            <v>870652.652</v>
          </cell>
          <cell r="AA14">
            <v>1030853.9770000001</v>
          </cell>
          <cell r="AB14">
            <v>1161055.3020000001</v>
          </cell>
          <cell r="AC14">
            <v>1312904.6570000001</v>
          </cell>
          <cell r="AD14">
            <v>1474145.9820000003</v>
          </cell>
          <cell r="AE14">
            <v>1619347.3070000003</v>
          </cell>
          <cell r="AF14">
            <v>1770248.6320000002</v>
          </cell>
        </row>
        <row r="15">
          <cell r="D15">
            <v>11</v>
          </cell>
          <cell r="G15">
            <v>93613.635999999984</v>
          </cell>
          <cell r="H15">
            <v>93613.635999999984</v>
          </cell>
          <cell r="I15">
            <v>95152.545000000013</v>
          </cell>
          <cell r="J15">
            <v>95152.545000000013</v>
          </cell>
          <cell r="K15">
            <v>95152.545000000013</v>
          </cell>
          <cell r="L15">
            <v>95152.545000000013</v>
          </cell>
          <cell r="M15">
            <v>95152.545000000013</v>
          </cell>
          <cell r="N15">
            <v>95152.545000000013</v>
          </cell>
          <cell r="O15">
            <v>95152.545000000013</v>
          </cell>
          <cell r="P15">
            <v>95152.545000000013</v>
          </cell>
          <cell r="Q15">
            <v>95152.545000000013</v>
          </cell>
          <cell r="R15">
            <v>95152.545000000013</v>
          </cell>
          <cell r="S15">
            <v>1138752.7220000003</v>
          </cell>
          <cell r="T15">
            <v>9989.058964912283</v>
          </cell>
          <cell r="U15"/>
          <cell r="V15">
            <v>187227.27199999997</v>
          </cell>
          <cell r="W15">
            <v>282379.81699999998</v>
          </cell>
          <cell r="X15">
            <v>377532.36199999996</v>
          </cell>
          <cell r="Y15">
            <v>472684.90700000001</v>
          </cell>
          <cell r="Z15">
            <v>567837.45200000005</v>
          </cell>
          <cell r="AA15">
            <v>662989.99700000009</v>
          </cell>
          <cell r="AB15">
            <v>758142.54200000013</v>
          </cell>
          <cell r="AC15">
            <v>853295.08700000017</v>
          </cell>
          <cell r="AD15">
            <v>948447.63200000022</v>
          </cell>
          <cell r="AE15">
            <v>1043600.1770000003</v>
          </cell>
          <cell r="AF15">
            <v>1138752.7220000003</v>
          </cell>
        </row>
        <row r="16">
          <cell r="D16">
            <v>12</v>
          </cell>
          <cell r="G16">
            <v>68504.289999999994</v>
          </cell>
          <cell r="H16">
            <v>44225.3</v>
          </cell>
          <cell r="I16">
            <v>47228.27</v>
          </cell>
          <cell r="J16">
            <v>67309.78</v>
          </cell>
          <cell r="K16">
            <v>36998.78</v>
          </cell>
          <cell r="L16">
            <v>38548.78</v>
          </cell>
          <cell r="M16">
            <v>65048.78</v>
          </cell>
          <cell r="N16">
            <v>35048.78</v>
          </cell>
          <cell r="O16">
            <v>56696.81</v>
          </cell>
          <cell r="P16">
            <v>66088.78</v>
          </cell>
          <cell r="Q16">
            <v>50048.78</v>
          </cell>
          <cell r="R16">
            <v>55748.78</v>
          </cell>
          <cell r="S16">
            <v>631495.91</v>
          </cell>
          <cell r="T16">
            <v>5539.4378070175435</v>
          </cell>
          <cell r="U16"/>
          <cell r="V16">
            <v>112729.59</v>
          </cell>
          <cell r="W16">
            <v>159957.85999999999</v>
          </cell>
          <cell r="X16">
            <v>227267.63999999998</v>
          </cell>
          <cell r="Y16">
            <v>264266.42</v>
          </cell>
          <cell r="Z16">
            <v>302815.19999999995</v>
          </cell>
          <cell r="AA16">
            <v>367863.98</v>
          </cell>
          <cell r="AB16">
            <v>402912.76</v>
          </cell>
          <cell r="AC16">
            <v>459609.57</v>
          </cell>
          <cell r="AD16">
            <v>525698.35</v>
          </cell>
          <cell r="AE16">
            <v>575747.13</v>
          </cell>
          <cell r="AF16">
            <v>631495.91</v>
          </cell>
        </row>
        <row r="17">
          <cell r="G17">
            <v>5680.4560000002384</v>
          </cell>
          <cell r="H17">
            <v>-245.19799999915995</v>
          </cell>
          <cell r="I17">
            <v>34973.371000001614</v>
          </cell>
          <cell r="J17">
            <v>60474.70500000118</v>
          </cell>
          <cell r="K17">
            <v>89720.165000001143</v>
          </cell>
          <cell r="L17">
            <v>125156.87100000231</v>
          </cell>
          <cell r="M17">
            <v>151036.60700000188</v>
          </cell>
          <cell r="N17">
            <v>225895.2289999958</v>
          </cell>
          <cell r="O17">
            <v>288236.06700000027</v>
          </cell>
          <cell r="P17">
            <v>338413.67300000339</v>
          </cell>
          <cell r="Q17">
            <v>386938.75299999974</v>
          </cell>
          <cell r="R17">
            <v>325941.01499999798</v>
          </cell>
          <cell r="S17">
            <v>2032221.7140000064</v>
          </cell>
          <cell r="T17">
            <v>17826.506263157953</v>
          </cell>
          <cell r="U17"/>
          <cell r="V17">
            <v>5435.2580000010785</v>
          </cell>
          <cell r="W17">
            <v>40408.629000001762</v>
          </cell>
          <cell r="X17">
            <v>100883.33400000294</v>
          </cell>
          <cell r="Y17">
            <v>190603.49900000496</v>
          </cell>
          <cell r="Z17">
            <v>315760.37000000733</v>
          </cell>
          <cell r="AA17">
            <v>466796.97700001101</v>
          </cell>
          <cell r="AB17">
            <v>692692.20600001607</v>
          </cell>
          <cell r="AC17">
            <v>980928.27300000703</v>
          </cell>
          <cell r="AD17">
            <v>1319341.9460000028</v>
          </cell>
          <cell r="AE17">
            <v>1706280.698999997</v>
          </cell>
          <cell r="AF17">
            <v>2032221.7140000006</v>
          </cell>
        </row>
        <row r="18">
          <cell r="G18">
            <v>7.4110528753114997E-4</v>
          </cell>
          <cell r="H18">
            <v>-3.6462771016215097E-5</v>
          </cell>
          <cell r="I18">
            <v>4.2662868780216703E-3</v>
          </cell>
          <cell r="J18">
            <v>6.5234950727079887E-3</v>
          </cell>
          <cell r="K18">
            <v>1.0965425593924452E-2</v>
          </cell>
          <cell r="L18">
            <v>1.4273584628734366E-2</v>
          </cell>
          <cell r="M18">
            <v>1.510723649223448E-2</v>
          </cell>
          <cell r="N18">
            <v>2.1002075441222699E-2</v>
          </cell>
          <cell r="O18">
            <v>2.3830220397245451E-2</v>
          </cell>
          <cell r="P18">
            <v>2.6011455283065237E-2</v>
          </cell>
          <cell r="Q18">
            <v>2.9212088148036504E-2</v>
          </cell>
          <cell r="R18">
            <v>2.69648883190815E-2</v>
          </cell>
          <cell r="S18">
            <v>1.6935124414062964E-2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D19">
            <v>15</v>
          </cell>
          <cell r="G19">
            <v>5186.2629999999999</v>
          </cell>
          <cell r="H19">
            <v>5186.2629999999999</v>
          </cell>
          <cell r="I19">
            <v>5186.2629999999999</v>
          </cell>
          <cell r="J19">
            <v>5186.2629999999999</v>
          </cell>
          <cell r="K19">
            <v>5186.2629999999999</v>
          </cell>
          <cell r="L19">
            <v>5186.2629999999999</v>
          </cell>
          <cell r="M19">
            <v>5186.2629999999999</v>
          </cell>
          <cell r="N19">
            <v>5186.2629999999999</v>
          </cell>
          <cell r="O19">
            <v>5186.2629999999999</v>
          </cell>
          <cell r="P19">
            <v>5186.2629999999999</v>
          </cell>
          <cell r="Q19">
            <v>5186.2629999999999</v>
          </cell>
          <cell r="R19">
            <v>5186.2629999999999</v>
          </cell>
          <cell r="S19">
            <v>62235.155999999995</v>
          </cell>
          <cell r="T19">
            <v>545.92242105263153</v>
          </cell>
          <cell r="U19"/>
          <cell r="V19">
            <v>10372.526</v>
          </cell>
          <cell r="W19">
            <v>15558.789000000001</v>
          </cell>
          <cell r="X19">
            <v>20745.052</v>
          </cell>
          <cell r="Y19">
            <v>25931.314999999999</v>
          </cell>
          <cell r="Z19">
            <v>31117.577999999998</v>
          </cell>
          <cell r="AA19">
            <v>36303.841</v>
          </cell>
          <cell r="AB19">
            <v>41490.103999999999</v>
          </cell>
          <cell r="AC19">
            <v>46676.366999999998</v>
          </cell>
          <cell r="AD19">
            <v>51862.63</v>
          </cell>
          <cell r="AE19">
            <v>57048.892999999996</v>
          </cell>
          <cell r="AF19">
            <v>62235.155999999995</v>
          </cell>
        </row>
        <row r="20">
          <cell r="G20">
            <v>5186.2629999999999</v>
          </cell>
          <cell r="H20">
            <v>5186.2629999999999</v>
          </cell>
          <cell r="I20">
            <v>5186.2629999999999</v>
          </cell>
          <cell r="J20">
            <v>5186.2629999999999</v>
          </cell>
          <cell r="K20">
            <v>5186.2629999999999</v>
          </cell>
          <cell r="L20">
            <v>5186.2629999999999</v>
          </cell>
          <cell r="M20">
            <v>5186.2629999999999</v>
          </cell>
          <cell r="N20">
            <v>5186.2629999999999</v>
          </cell>
          <cell r="O20">
            <v>5186.2629999999999</v>
          </cell>
          <cell r="P20">
            <v>5186.2629999999999</v>
          </cell>
          <cell r="Q20">
            <v>5186.2629999999999</v>
          </cell>
          <cell r="R20">
            <v>5186.2629999999999</v>
          </cell>
          <cell r="S20">
            <v>62235.155999999995</v>
          </cell>
          <cell r="T20">
            <v>545.92242105263153</v>
          </cell>
          <cell r="U20"/>
          <cell r="V20">
            <v>10372.526</v>
          </cell>
          <cell r="W20">
            <v>15558.789000000001</v>
          </cell>
          <cell r="X20">
            <v>20745.052</v>
          </cell>
          <cell r="Y20">
            <v>25931.314999999999</v>
          </cell>
          <cell r="Z20">
            <v>31117.577999999998</v>
          </cell>
          <cell r="AA20">
            <v>36303.841</v>
          </cell>
          <cell r="AB20">
            <v>41490.103999999999</v>
          </cell>
          <cell r="AC20">
            <v>46676.366999999998</v>
          </cell>
          <cell r="AD20">
            <v>51862.63</v>
          </cell>
          <cell r="AE20">
            <v>57048.892999999996</v>
          </cell>
          <cell r="AF20">
            <v>62235.155999999995</v>
          </cell>
        </row>
        <row r="21">
          <cell r="G21">
            <v>494.1930000002385</v>
          </cell>
          <cell r="H21">
            <v>-5431.4609999991599</v>
          </cell>
          <cell r="I21">
            <v>29787.108000001615</v>
          </cell>
          <cell r="J21">
            <v>55288.442000001181</v>
          </cell>
          <cell r="K21">
            <v>84533.902000001137</v>
          </cell>
          <cell r="L21">
            <v>119970.60800000231</v>
          </cell>
          <cell r="M21">
            <v>145850.34400000187</v>
          </cell>
          <cell r="N21">
            <v>220708.96599999579</v>
          </cell>
          <cell r="O21">
            <v>283049.80400000029</v>
          </cell>
          <cell r="P21">
            <v>333227.41000000341</v>
          </cell>
          <cell r="Q21">
            <v>381752.48999999976</v>
          </cell>
          <cell r="R21">
            <v>320754.751999998</v>
          </cell>
          <cell r="S21">
            <v>1969986.5580000065</v>
          </cell>
          <cell r="T21">
            <v>17280.583842105319</v>
          </cell>
          <cell r="U21"/>
          <cell r="V21">
            <v>-4937.2679999989214</v>
          </cell>
          <cell r="W21">
            <v>24849.840000001761</v>
          </cell>
          <cell r="X21">
            <v>80138.282000002946</v>
          </cell>
          <cell r="Y21">
            <v>164672.18400000496</v>
          </cell>
          <cell r="Z21">
            <v>284642.79200000735</v>
          </cell>
          <cell r="AA21">
            <v>430493.136000011</v>
          </cell>
          <cell r="AB21">
            <v>651202.10200001602</v>
          </cell>
          <cell r="AC21">
            <v>934251.90600000706</v>
          </cell>
          <cell r="AD21">
            <v>1267479.3160000029</v>
          </cell>
          <cell r="AE21">
            <v>1649231.8059999971</v>
          </cell>
          <cell r="AF21">
            <v>1969986.5580000007</v>
          </cell>
        </row>
        <row r="22">
          <cell r="G22">
            <v>6.4475289547360801E-5</v>
          </cell>
          <cell r="H22">
            <v>-8.0769875254753517E-4</v>
          </cell>
          <cell r="I22">
            <v>3.6336316563426313E-3</v>
          </cell>
          <cell r="J22">
            <v>5.9640452808277788E-3</v>
          </cell>
          <cell r="K22">
            <v>1.0331570528711156E-2</v>
          </cell>
          <cell r="L22">
            <v>1.3682114394252612E-2</v>
          </cell>
          <cell r="M22">
            <v>1.4588487407438603E-2</v>
          </cell>
          <cell r="N22">
            <v>2.0519894886696581E-2</v>
          </cell>
          <cell r="O22">
            <v>2.3401440641767874E-2</v>
          </cell>
          <cell r="P22">
            <v>2.5612824084405857E-2</v>
          </cell>
          <cell r="Q22">
            <v>2.8820549252693811E-2</v>
          </cell>
          <cell r="R22">
            <v>2.6535832152006653E-2</v>
          </cell>
          <cell r="S22">
            <v>1.6416499845430581E-2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D23">
            <v>19</v>
          </cell>
          <cell r="G23">
            <v>46711.785891015665</v>
          </cell>
          <cell r="H23">
            <v>31064.681835606094</v>
          </cell>
          <cell r="I23">
            <v>32500.88350237425</v>
          </cell>
          <cell r="J23">
            <v>53262.669134276592</v>
          </cell>
          <cell r="K23">
            <v>40928.836279637973</v>
          </cell>
          <cell r="L23">
            <v>36973.36228764063</v>
          </cell>
          <cell r="M23">
            <v>39636.337685581108</v>
          </cell>
          <cell r="N23">
            <v>38609.148357060745</v>
          </cell>
          <cell r="O23">
            <v>34777.95497231694</v>
          </cell>
          <cell r="P23">
            <v>35414.757381865682</v>
          </cell>
          <cell r="Q23">
            <v>35208.407481104048</v>
          </cell>
          <cell r="R23">
            <v>44414.015062429309</v>
          </cell>
          <cell r="S23">
            <v>469502.83987090905</v>
          </cell>
          <cell r="T23">
            <v>4118.4459637799046</v>
          </cell>
          <cell r="U23"/>
          <cell r="V23">
            <v>77776.467726621762</v>
          </cell>
          <cell r="W23">
            <v>110277.35122899601</v>
          </cell>
          <cell r="X23">
            <v>163540.0203632726</v>
          </cell>
          <cell r="Y23">
            <v>204468.85664291057</v>
          </cell>
          <cell r="Z23">
            <v>241442.2189305512</v>
          </cell>
          <cell r="AA23">
            <v>281078.55661613232</v>
          </cell>
          <cell r="AB23">
            <v>319687.70497319306</v>
          </cell>
          <cell r="AC23">
            <v>354465.65994550998</v>
          </cell>
          <cell r="AD23">
            <v>389880.41732737568</v>
          </cell>
          <cell r="AE23">
            <v>425088.82480847975</v>
          </cell>
          <cell r="AF23">
            <v>469502.83987090905</v>
          </cell>
        </row>
        <row r="24">
          <cell r="G24">
            <v>-46217.592891015425</v>
          </cell>
          <cell r="H24">
            <v>-36496.142835605257</v>
          </cell>
          <cell r="I24">
            <v>-2713.7755023726349</v>
          </cell>
          <cell r="J24">
            <v>2025.7728657245898</v>
          </cell>
          <cell r="K24">
            <v>43605.065720363164</v>
          </cell>
          <cell r="L24">
            <v>82997.245712361677</v>
          </cell>
          <cell r="M24">
            <v>106214.00631442077</v>
          </cell>
          <cell r="N24">
            <v>182099.81764293506</v>
          </cell>
          <cell r="O24">
            <v>248271.84902768335</v>
          </cell>
          <cell r="P24">
            <v>297812.65261813771</v>
          </cell>
          <cell r="Q24">
            <v>346544.08251889574</v>
          </cell>
          <cell r="R24">
            <v>276340.7369375687</v>
          </cell>
          <cell r="S24">
            <v>1500483.7181290977</v>
          </cell>
          <cell r="T24">
            <v>13162.137878325419</v>
          </cell>
          <cell r="U24"/>
          <cell r="V24">
            <v>-82713.735726620682</v>
          </cell>
          <cell r="W24">
            <v>-85427.511228994248</v>
          </cell>
          <cell r="X24">
            <v>-83401.738363269658</v>
          </cell>
          <cell r="Y24">
            <v>-39796.672642905614</v>
          </cell>
          <cell r="Z24">
            <v>43200.57306945615</v>
          </cell>
          <cell r="AA24">
            <v>149414.57938387868</v>
          </cell>
          <cell r="AB24">
            <v>331514.39702682296</v>
          </cell>
          <cell r="AC24">
            <v>579786.24605449708</v>
          </cell>
          <cell r="AD24">
            <v>877598.89867262729</v>
          </cell>
          <cell r="AE24">
            <v>1224142.9811915173</v>
          </cell>
          <cell r="AF24">
            <v>1500483.7181290917</v>
          </cell>
          <cell r="AG24"/>
        </row>
        <row r="25">
          <cell r="G25">
            <v>-6.0298156465769968E-3</v>
          </cell>
          <cell r="H25">
            <v>-5.4272485876488089E-3</v>
          </cell>
          <cell r="I25">
            <v>-3.3104457719184419E-4</v>
          </cell>
          <cell r="J25">
            <v>2.1852308842150854E-4</v>
          </cell>
          <cell r="K25">
            <v>5.329327065713956E-3</v>
          </cell>
          <cell r="L25">
            <v>9.4654668270448602E-3</v>
          </cell>
          <cell r="M25">
            <v>1.0623915248437889E-2</v>
          </cell>
          <cell r="N25">
            <v>1.6930300497713872E-2</v>
          </cell>
          <cell r="O25">
            <v>2.0526136587762062E-2</v>
          </cell>
          <cell r="P25">
            <v>2.2890743236333871E-2</v>
          </cell>
          <cell r="Q25">
            <v>2.6162477154937299E-2</v>
          </cell>
          <cell r="R25">
            <v>2.2861489553667451E-2</v>
          </cell>
          <cell r="S25">
            <v>1.2503989241299866E-2</v>
          </cell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</row>
        <row r="26">
          <cell r="G26">
            <v>214015.97489101565</v>
          </cell>
          <cell r="H26">
            <v>174089.88083560608</v>
          </cell>
          <cell r="I26">
            <v>180067.96150237427</v>
          </cell>
          <cell r="J26">
            <v>220911.25713427662</v>
          </cell>
          <cell r="K26">
            <v>178266.42427963798</v>
          </cell>
          <cell r="L26">
            <v>175860.95028764065</v>
          </cell>
          <cell r="M26">
            <v>205023.92568558111</v>
          </cell>
          <cell r="N26">
            <v>173996.73635706076</v>
          </cell>
          <cell r="O26">
            <v>191813.57297231696</v>
          </cell>
          <cell r="P26">
            <v>201842.34538186569</v>
          </cell>
          <cell r="Q26">
            <v>185595.99548110407</v>
          </cell>
          <cell r="R26">
            <v>200501.60306242932</v>
          </cell>
          <cell r="S26">
            <v>2301986.6278709089</v>
          </cell>
          <cell r="T26">
            <v>20192.86515676236</v>
          </cell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</row>
        <row r="27"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</row>
        <row r="28">
          <cell r="S28"/>
        </row>
        <row r="29">
          <cell r="D29">
            <v>25</v>
          </cell>
          <cell r="G29">
            <v>8000</v>
          </cell>
          <cell r="H29">
            <v>7000</v>
          </cell>
          <cell r="I29">
            <v>8500</v>
          </cell>
          <cell r="J29">
            <v>9400</v>
          </cell>
          <cell r="K29">
            <v>8100</v>
          </cell>
          <cell r="L29">
            <v>8500</v>
          </cell>
          <cell r="M29">
            <v>9500</v>
          </cell>
          <cell r="N29">
            <v>10000</v>
          </cell>
          <cell r="O29">
            <v>11000</v>
          </cell>
          <cell r="P29">
            <v>11600</v>
          </cell>
          <cell r="Q29">
            <v>11600</v>
          </cell>
          <cell r="R29">
            <v>10800</v>
          </cell>
          <cell r="S29">
            <v>114000</v>
          </cell>
          <cell r="T29"/>
          <cell r="U29"/>
          <cell r="V29">
            <v>15000</v>
          </cell>
          <cell r="W29">
            <v>23500</v>
          </cell>
          <cell r="X29">
            <v>32900</v>
          </cell>
          <cell r="Y29">
            <v>41000</v>
          </cell>
          <cell r="Z29">
            <v>49500</v>
          </cell>
          <cell r="AA29">
            <v>59000</v>
          </cell>
          <cell r="AB29">
            <v>69000</v>
          </cell>
          <cell r="AC29">
            <v>80000</v>
          </cell>
          <cell r="AD29">
            <v>91600</v>
          </cell>
          <cell r="AE29">
            <v>103200</v>
          </cell>
          <cell r="AF29">
            <v>114000</v>
          </cell>
        </row>
        <row r="30">
          <cell r="D30">
            <v>26</v>
          </cell>
          <cell r="G30">
            <v>743250</v>
          </cell>
          <cell r="H30">
            <v>742142.85714285716</v>
          </cell>
          <cell r="I30">
            <v>745617.6470588235</v>
          </cell>
          <cell r="J30">
            <v>766053.19148936169</v>
          </cell>
          <cell r="K30">
            <v>784722.22222222213</v>
          </cell>
          <cell r="L30">
            <v>802811.76470588229</v>
          </cell>
          <cell r="M30">
            <v>822568.42105263157</v>
          </cell>
          <cell r="N30">
            <v>844000</v>
          </cell>
          <cell r="O30">
            <v>861454.54545454553</v>
          </cell>
          <cell r="P30">
            <v>880801.72413793101</v>
          </cell>
          <cell r="Q30">
            <v>899637.93103448278</v>
          </cell>
          <cell r="R30">
            <v>880185.18518518517</v>
          </cell>
          <cell r="S30">
            <v>822362.28070175438</v>
          </cell>
          <cell r="T30"/>
          <cell r="U30"/>
          <cell r="V30">
            <v>742733.33333333337</v>
          </cell>
          <cell r="W30">
            <v>743776.59574468085</v>
          </cell>
          <cell r="X30">
            <v>750141.33738601825</v>
          </cell>
          <cell r="Y30">
            <v>756973.17073170736</v>
          </cell>
          <cell r="Z30">
            <v>764844.44444444438</v>
          </cell>
          <cell r="AA30">
            <v>774138.98305084754</v>
          </cell>
          <cell r="AB30">
            <v>784263.76811594202</v>
          </cell>
          <cell r="AC30">
            <v>794877.5</v>
          </cell>
          <cell r="AD30">
            <v>805758.73362445412</v>
          </cell>
          <cell r="AE30">
            <v>816311.04651162785</v>
          </cell>
          <cell r="AF30">
            <v>822362.28070175438</v>
          </cell>
        </row>
        <row r="31">
          <cell r="D31">
            <v>27</v>
          </cell>
          <cell r="G31">
            <v>5946000</v>
          </cell>
          <cell r="H31">
            <v>5195000</v>
          </cell>
          <cell r="I31">
            <v>6337750</v>
          </cell>
          <cell r="J31">
            <v>7200900</v>
          </cell>
          <cell r="K31">
            <v>6356250</v>
          </cell>
          <cell r="L31">
            <v>6823900</v>
          </cell>
          <cell r="M31">
            <v>7814400</v>
          </cell>
          <cell r="N31">
            <v>8440000</v>
          </cell>
          <cell r="O31">
            <v>9476000</v>
          </cell>
          <cell r="P31">
            <v>10217300</v>
          </cell>
          <cell r="Q31">
            <v>10435800</v>
          </cell>
          <cell r="R31">
            <v>9506000</v>
          </cell>
          <cell r="S31">
            <v>93749300</v>
          </cell>
          <cell r="T31"/>
          <cell r="U31"/>
          <cell r="V31">
            <v>11141000</v>
          </cell>
          <cell r="W31">
            <v>17478750</v>
          </cell>
          <cell r="X31">
            <v>24679650</v>
          </cell>
          <cell r="Y31">
            <v>31035900</v>
          </cell>
          <cell r="Z31">
            <v>37859800</v>
          </cell>
          <cell r="AA31">
            <v>45674200</v>
          </cell>
          <cell r="AB31">
            <v>54114200</v>
          </cell>
          <cell r="AC31">
            <v>63590200</v>
          </cell>
          <cell r="AD31">
            <v>73807500</v>
          </cell>
          <cell r="AE31">
            <v>84243300</v>
          </cell>
          <cell r="AF31">
            <v>93749300</v>
          </cell>
        </row>
        <row r="32">
          <cell r="D32">
            <v>28</v>
          </cell>
          <cell r="G32">
            <v>1718843.438000001</v>
          </cell>
          <cell r="H32">
            <v>1529612.3420000011</v>
          </cell>
          <cell r="I32">
            <v>1859863.5220000008</v>
          </cell>
          <cell r="J32">
            <v>2069392.1250000019</v>
          </cell>
          <cell r="K32">
            <v>1825846.0099999998</v>
          </cell>
          <cell r="L32">
            <v>1944526.0300000012</v>
          </cell>
          <cell r="M32">
            <v>2183233.0600000005</v>
          </cell>
          <cell r="N32">
            <v>2315852.6599999983</v>
          </cell>
          <cell r="O32">
            <v>2619400.8059999999</v>
          </cell>
          <cell r="P32">
            <v>2792878.3739999998</v>
          </cell>
          <cell r="Q32">
            <v>2810043.6740000006</v>
          </cell>
          <cell r="R32">
            <v>2581608.5649999995</v>
          </cell>
          <cell r="S32">
            <v>26251100.606000006</v>
          </cell>
          <cell r="T32"/>
          <cell r="U32"/>
          <cell r="V32">
            <v>3248455.7800000021</v>
          </cell>
          <cell r="W32">
            <v>5108319.3020000029</v>
          </cell>
          <cell r="X32">
            <v>7177711.4270000048</v>
          </cell>
          <cell r="Y32">
            <v>9003557.4370000046</v>
          </cell>
          <cell r="Z32">
            <v>10948083.467000006</v>
          </cell>
          <cell r="AA32">
            <v>13131316.527000006</v>
          </cell>
          <cell r="AB32">
            <v>15447169.187000005</v>
          </cell>
          <cell r="AC32">
            <v>18066569.993000004</v>
          </cell>
          <cell r="AD32">
            <v>20859448.367000006</v>
          </cell>
          <cell r="AE32">
            <v>23669492.041000009</v>
          </cell>
          <cell r="AF32">
            <v>26251100.606000006</v>
          </cell>
        </row>
        <row r="33">
          <cell r="G33">
            <v>7664843.438000001</v>
          </cell>
          <cell r="H33">
            <v>6724612.3420000011</v>
          </cell>
          <cell r="I33">
            <v>8197613.5220000008</v>
          </cell>
          <cell r="J33">
            <v>9270292.1250000019</v>
          </cell>
          <cell r="K33">
            <v>8182096.0099999998</v>
          </cell>
          <cell r="L33">
            <v>8768426.0300000012</v>
          </cell>
          <cell r="M33">
            <v>9997633.0600000005</v>
          </cell>
          <cell r="N33">
            <v>10755852.659999998</v>
          </cell>
          <cell r="O33">
            <v>12095400.806</v>
          </cell>
          <cell r="P33">
            <v>13010178.374</v>
          </cell>
          <cell r="Q33">
            <v>13245843.674000001</v>
          </cell>
          <cell r="R33">
            <v>12087608.564999999</v>
          </cell>
          <cell r="S33">
            <v>120000400.60599999</v>
          </cell>
          <cell r="T33"/>
          <cell r="U33"/>
          <cell r="V33">
            <v>14389455.780000001</v>
          </cell>
          <cell r="W33">
            <v>22587069.302000001</v>
          </cell>
          <cell r="X33">
            <v>31857361.427000005</v>
          </cell>
          <cell r="Y33">
            <v>40039457.437000006</v>
          </cell>
          <cell r="Z33">
            <v>48807883.467000008</v>
          </cell>
          <cell r="AA33">
            <v>58805516.52700001</v>
          </cell>
          <cell r="AB33">
            <v>69561369.187000006</v>
          </cell>
          <cell r="AC33">
            <v>81656769.993000001</v>
          </cell>
          <cell r="AD33">
            <v>94666948.367000014</v>
          </cell>
          <cell r="AE33">
            <v>107912792.04100001</v>
          </cell>
          <cell r="AF33">
            <v>120000400.60600001</v>
          </cell>
        </row>
        <row r="34">
          <cell r="D34">
            <v>30</v>
          </cell>
          <cell r="G34">
            <v>5848200</v>
          </cell>
          <cell r="H34">
            <v>5121500</v>
          </cell>
          <cell r="I34">
            <v>6228300</v>
          </cell>
          <cell r="J34">
            <v>7056700</v>
          </cell>
          <cell r="K34">
            <v>6207750</v>
          </cell>
          <cell r="L34">
            <v>6644300</v>
          </cell>
          <cell r="M34">
            <v>7589800</v>
          </cell>
          <cell r="N34">
            <v>8177200</v>
          </cell>
          <cell r="O34">
            <v>9145000</v>
          </cell>
          <cell r="P34">
            <v>9834400</v>
          </cell>
          <cell r="Q34">
            <v>10031500</v>
          </cell>
          <cell r="R34">
            <v>9149200</v>
          </cell>
          <cell r="S34">
            <v>91033850</v>
          </cell>
          <cell r="T34"/>
          <cell r="U34"/>
          <cell r="V34">
            <v>10969700</v>
          </cell>
          <cell r="W34">
            <v>17198000</v>
          </cell>
          <cell r="X34">
            <v>24254700</v>
          </cell>
          <cell r="Y34">
            <v>30462450</v>
          </cell>
          <cell r="Z34">
            <v>37106750</v>
          </cell>
          <cell r="AA34">
            <v>44696550</v>
          </cell>
          <cell r="AB34">
            <v>52873750</v>
          </cell>
          <cell r="AC34">
            <v>62018750</v>
          </cell>
          <cell r="AD34">
            <v>71853150</v>
          </cell>
          <cell r="AE34">
            <v>81884650</v>
          </cell>
          <cell r="AF34">
            <v>91033850</v>
          </cell>
        </row>
        <row r="35">
          <cell r="D35">
            <v>31</v>
          </cell>
          <cell r="G35">
            <v>1648845.0560000008</v>
          </cell>
          <cell r="H35">
            <v>1465518.6040000003</v>
          </cell>
          <cell r="I35">
            <v>1791959.3359999992</v>
          </cell>
          <cell r="J35">
            <v>1990655.0950000007</v>
          </cell>
          <cell r="K35">
            <v>1752474.5199999986</v>
          </cell>
          <cell r="L35">
            <v>1865267.8339999989</v>
          </cell>
          <cell r="M35">
            <v>2096595.1279999986</v>
          </cell>
          <cell r="N35">
            <v>2222556.1060000025</v>
          </cell>
          <cell r="O35">
            <v>2510315.3839999996</v>
          </cell>
          <cell r="P35">
            <v>2676123.3759999964</v>
          </cell>
          <cell r="Q35">
            <v>2682203.5960000008</v>
          </cell>
          <cell r="R35">
            <v>2461566.2250000015</v>
          </cell>
          <cell r="S35">
            <v>25164080.259999998</v>
          </cell>
          <cell r="T35"/>
          <cell r="U35"/>
          <cell r="V35">
            <v>3114363.6600000011</v>
          </cell>
          <cell r="W35">
            <v>4906322.9960000003</v>
          </cell>
          <cell r="X35">
            <v>6896978.0910000009</v>
          </cell>
          <cell r="Y35">
            <v>8649452.6109999996</v>
          </cell>
          <cell r="Z35">
            <v>10514720.444999998</v>
          </cell>
          <cell r="AA35">
            <v>12611315.572999997</v>
          </cell>
          <cell r="AB35">
            <v>14833871.679</v>
          </cell>
          <cell r="AC35">
            <v>17344187.063000001</v>
          </cell>
          <cell r="AD35">
            <v>20020310.438999996</v>
          </cell>
          <cell r="AE35">
            <v>22702514.034999996</v>
          </cell>
          <cell r="AF35">
            <v>25164080.259999998</v>
          </cell>
        </row>
        <row r="36">
          <cell r="G36">
            <v>7497045.0560000008</v>
          </cell>
          <cell r="H36">
            <v>6587018.6040000003</v>
          </cell>
          <cell r="I36">
            <v>8020259.3359999992</v>
          </cell>
          <cell r="J36">
            <v>9047355.0950000007</v>
          </cell>
          <cell r="K36">
            <v>7960224.5199999986</v>
          </cell>
          <cell r="L36">
            <v>8509567.8339999989</v>
          </cell>
          <cell r="M36">
            <v>9686395.1279999986</v>
          </cell>
          <cell r="N36">
            <v>10399756.106000002</v>
          </cell>
          <cell r="O36">
            <v>11655315.384</v>
          </cell>
          <cell r="P36">
            <v>12510523.375999996</v>
          </cell>
          <cell r="Q36">
            <v>12713703.596000001</v>
          </cell>
          <cell r="R36">
            <v>11610766.225000001</v>
          </cell>
          <cell r="S36">
            <v>116197930.25999999</v>
          </cell>
          <cell r="T36"/>
          <cell r="U36"/>
          <cell r="V36">
            <v>14084063.66</v>
          </cell>
          <cell r="W36">
            <v>22104322.995999999</v>
          </cell>
          <cell r="X36">
            <v>31151678.091000002</v>
          </cell>
          <cell r="Y36">
            <v>39111902.611000001</v>
          </cell>
          <cell r="Z36">
            <v>47621470.445</v>
          </cell>
          <cell r="AA36">
            <v>57307865.572999999</v>
          </cell>
          <cell r="AB36">
            <v>67707621.679000005</v>
          </cell>
          <cell r="AC36">
            <v>79362937.062999994</v>
          </cell>
          <cell r="AD36">
            <v>91873460.438999996</v>
          </cell>
          <cell r="AE36">
            <v>104587164.035</v>
          </cell>
          <cell r="AF36">
            <v>116197930.25999999</v>
          </cell>
        </row>
        <row r="37">
          <cell r="G37">
            <v>97800</v>
          </cell>
          <cell r="H37">
            <v>73500</v>
          </cell>
          <cell r="I37">
            <v>109450</v>
          </cell>
          <cell r="J37">
            <v>144200</v>
          </cell>
          <cell r="K37">
            <v>148500</v>
          </cell>
          <cell r="L37">
            <v>179600</v>
          </cell>
          <cell r="M37">
            <v>224600</v>
          </cell>
          <cell r="N37">
            <v>262800</v>
          </cell>
          <cell r="O37">
            <v>331000</v>
          </cell>
          <cell r="P37">
            <v>382900</v>
          </cell>
          <cell r="Q37">
            <v>404300</v>
          </cell>
          <cell r="R37">
            <v>356800</v>
          </cell>
          <cell r="S37">
            <v>2715450</v>
          </cell>
          <cell r="T37"/>
          <cell r="U37"/>
          <cell r="V37">
            <v>171300</v>
          </cell>
          <cell r="W37">
            <v>280750</v>
          </cell>
          <cell r="X37">
            <v>424950</v>
          </cell>
          <cell r="Y37">
            <v>573450</v>
          </cell>
          <cell r="Z37">
            <v>753050</v>
          </cell>
          <cell r="AA37">
            <v>977650</v>
          </cell>
          <cell r="AB37">
            <v>1240450</v>
          </cell>
          <cell r="AC37">
            <v>1571450</v>
          </cell>
          <cell r="AD37">
            <v>1954350</v>
          </cell>
          <cell r="AE37">
            <v>2358650</v>
          </cell>
          <cell r="AF37">
            <v>2715450</v>
          </cell>
        </row>
        <row r="38">
          <cell r="G38">
            <v>1.644803229061554E-2</v>
          </cell>
          <cell r="H38">
            <v>1.4148219441770934E-2</v>
          </cell>
          <cell r="I38">
            <v>1.7269535718512089E-2</v>
          </cell>
          <cell r="J38">
            <v>2.0025274618450471E-2</v>
          </cell>
          <cell r="K38">
            <v>2.3362831858407079E-2</v>
          </cell>
          <cell r="L38">
            <v>2.631926024707279E-2</v>
          </cell>
          <cell r="M38">
            <v>2.8741809991809992E-2</v>
          </cell>
          <cell r="N38">
            <v>3.113744075829384E-2</v>
          </cell>
          <cell r="O38">
            <v>3.4930350358801182E-2</v>
          </cell>
          <cell r="P38">
            <v>3.7475654037759487E-2</v>
          </cell>
          <cell r="Q38">
            <v>3.8741639356829373E-2</v>
          </cell>
          <cell r="R38">
            <v>3.7534188933305283E-2</v>
          </cell>
          <cell r="S38">
            <v>2.8965016272121499E-2</v>
          </cell>
          <cell r="T38"/>
          <cell r="U38"/>
          <cell r="V38">
            <v>1.5375639529665201E-2</v>
          </cell>
          <cell r="W38">
            <v>1.6062361438890081E-2</v>
          </cell>
          <cell r="X38">
            <v>1.7218639648455308E-2</v>
          </cell>
          <cell r="Y38">
            <v>1.8476989550810514E-2</v>
          </cell>
          <cell r="Z38">
            <v>1.9890490705180692E-2</v>
          </cell>
          <cell r="AA38">
            <v>2.1404863139365331E-2</v>
          </cell>
          <cell r="AB38">
            <v>2.2922818779544E-2</v>
          </cell>
          <cell r="AC38">
            <v>2.47121411789867E-2</v>
          </cell>
          <cell r="AD38">
            <v>2.6479016360126003E-2</v>
          </cell>
          <cell r="AE38">
            <v>2.7998072250256103E-2</v>
          </cell>
          <cell r="AF38">
            <v>2.8965016272121499E-2</v>
          </cell>
        </row>
        <row r="39">
          <cell r="G39">
            <v>69998.382000000216</v>
          </cell>
          <cell r="H39">
            <v>64093.738000000827</v>
          </cell>
          <cell r="I39">
            <v>67904.186000001617</v>
          </cell>
          <cell r="J39">
            <v>78737.030000001192</v>
          </cell>
          <cell r="K39">
            <v>73371.490000001155</v>
          </cell>
          <cell r="L39">
            <v>79258.196000002325</v>
          </cell>
          <cell r="M39">
            <v>86637.932000001892</v>
          </cell>
          <cell r="N39">
            <v>93296.553999995813</v>
          </cell>
          <cell r="O39">
            <v>109085.42200000025</v>
          </cell>
          <cell r="P39">
            <v>116754.9980000034</v>
          </cell>
          <cell r="Q39">
            <v>127840.07799999975</v>
          </cell>
          <cell r="R39">
            <v>120042.33999999799</v>
          </cell>
          <cell r="S39">
            <v>1087020.3460000083</v>
          </cell>
          <cell r="T39"/>
          <cell r="U39"/>
          <cell r="V39">
            <v>134092.12000000104</v>
          </cell>
          <cell r="W39">
            <v>201996.30600000266</v>
          </cell>
          <cell r="X39">
            <v>280733.33600000385</v>
          </cell>
          <cell r="Y39">
            <v>354104.82600000501</v>
          </cell>
          <cell r="Z39">
            <v>433363.02200000733</v>
          </cell>
          <cell r="AA39">
            <v>520000.95400000922</v>
          </cell>
          <cell r="AB39">
            <v>613297.50800000504</v>
          </cell>
          <cell r="AC39">
            <v>722382.93000000343</v>
          </cell>
          <cell r="AD39">
            <v>839137.92800001055</v>
          </cell>
          <cell r="AE39">
            <v>966978.00600001216</v>
          </cell>
          <cell r="AF39">
            <v>1087020.3460000083</v>
          </cell>
        </row>
        <row r="40">
          <cell r="G40">
            <v>4.0724117422496847E-2</v>
          </cell>
          <cell r="H40">
            <v>4.1901948774940509E-2</v>
          </cell>
          <cell r="I40">
            <v>3.6510305835226541E-2</v>
          </cell>
          <cell r="J40">
            <v>3.8048385827312028E-2</v>
          </cell>
          <cell r="K40">
            <v>4.0184927753026206E-2</v>
          </cell>
          <cell r="L40">
            <v>4.0759647737912914E-2</v>
          </cell>
          <cell r="M40">
            <v>3.9683318097061916E-2</v>
          </cell>
          <cell r="N40">
            <v>4.0286049113329982E-2</v>
          </cell>
          <cell r="O40">
            <v>4.1645181504918673E-2</v>
          </cell>
          <cell r="P40">
            <v>4.1804540823159889E-2</v>
          </cell>
          <cell r="Q40">
            <v>4.5493982596371461E-2</v>
          </cell>
          <cell r="R40">
            <v>4.6499047774889148E-2</v>
          </cell>
          <cell r="S40">
            <v>4.1408562723330412E-2</v>
          </cell>
          <cell r="T40"/>
          <cell r="U40"/>
          <cell r="V40">
            <v>4.1278727211118436E-2</v>
          </cell>
          <cell r="W40">
            <v>3.9542615498000942E-2</v>
          </cell>
          <cell r="X40">
            <v>3.9111817026243854E-2</v>
          </cell>
          <cell r="Y40">
            <v>3.9329434890348534E-2</v>
          </cell>
          <cell r="Z40">
            <v>3.9583459817991093E-2</v>
          </cell>
          <cell r="AA40">
            <v>3.9600062410407005E-2</v>
          </cell>
          <cell r="AB40">
            <v>3.9702906116684644E-2</v>
          </cell>
          <cell r="AC40">
            <v>3.9984508973197171E-2</v>
          </cell>
          <cell r="AD40">
            <v>4.0228193633708005E-2</v>
          </cell>
          <cell r="AE40">
            <v>4.0853348450614169E-2</v>
          </cell>
          <cell r="AF40">
            <v>4.1408562723330412E-2</v>
          </cell>
        </row>
        <row r="41">
          <cell r="G41">
            <v>167798.38200000022</v>
          </cell>
          <cell r="H41">
            <v>137593.73800000083</v>
          </cell>
          <cell r="I41">
            <v>177354.18600000162</v>
          </cell>
          <cell r="J41">
            <v>222937.03000000119</v>
          </cell>
          <cell r="K41">
            <v>221871.49000000115</v>
          </cell>
          <cell r="L41">
            <v>258858.19600000232</v>
          </cell>
          <cell r="M41">
            <v>311237.93200000189</v>
          </cell>
          <cell r="N41">
            <v>356096.55399999581</v>
          </cell>
          <cell r="O41">
            <v>440085.42200000025</v>
          </cell>
          <cell r="P41">
            <v>499654.9980000034</v>
          </cell>
          <cell r="Q41">
            <v>532140.07799999975</v>
          </cell>
          <cell r="R41">
            <v>476842.33999999799</v>
          </cell>
          <cell r="S41">
            <v>3802470.3460000083</v>
          </cell>
          <cell r="T41"/>
          <cell r="U41"/>
          <cell r="V41">
            <v>305392.12000000104</v>
          </cell>
          <cell r="W41">
            <v>482746.30600000266</v>
          </cell>
          <cell r="X41">
            <v>705683.33600000385</v>
          </cell>
          <cell r="Y41">
            <v>927554.82600000501</v>
          </cell>
          <cell r="Z41">
            <v>1186413.0220000073</v>
          </cell>
          <cell r="AA41">
            <v>1497650.9540000092</v>
          </cell>
          <cell r="AB41">
            <v>1853747.508000005</v>
          </cell>
          <cell r="AC41">
            <v>2293832.9300000034</v>
          </cell>
          <cell r="AD41">
            <v>2793487.9280000106</v>
          </cell>
          <cell r="AE41">
            <v>3325628.0060000122</v>
          </cell>
          <cell r="AF41">
            <v>3802470.3460000083</v>
          </cell>
        </row>
        <row r="42">
          <cell r="G42">
            <v>2.189195165658649E-2</v>
          </cell>
          <cell r="H42">
            <v>2.046121486299363E-2</v>
          </cell>
          <cell r="I42">
            <v>2.1634855744788989E-2</v>
          </cell>
          <cell r="J42">
            <v>2.4048544209171956E-2</v>
          </cell>
          <cell r="K42">
            <v>2.7116705759604152E-2</v>
          </cell>
          <cell r="L42">
            <v>2.9521626243336433E-2</v>
          </cell>
          <cell r="M42">
            <v>3.1131161759201619E-2</v>
          </cell>
          <cell r="N42">
            <v>3.3107236149141885E-2</v>
          </cell>
          <cell r="O42">
            <v>3.6384525743181087E-2</v>
          </cell>
          <cell r="P42">
            <v>3.8404930634812172E-2</v>
          </cell>
          <cell r="Q42">
            <v>4.0174117337993864E-2</v>
          </cell>
          <cell r="R42">
            <v>3.9448856855003399E-2</v>
          </cell>
          <cell r="S42">
            <v>3.1687147099489645E-2</v>
          </cell>
          <cell r="T42"/>
          <cell r="U42"/>
          <cell r="V42">
            <v>2.122332662674203E-2</v>
          </cell>
          <cell r="W42">
            <v>2.1372684501271586E-2</v>
          </cell>
          <cell r="X42">
            <v>2.2151342873045269E-2</v>
          </cell>
          <cell r="Y42">
            <v>2.3166018856760586E-2</v>
          </cell>
          <cell r="Z42">
            <v>2.4307815412691784E-2</v>
          </cell>
          <cell r="AA42">
            <v>2.5467864963185496E-2</v>
          </cell>
          <cell r="AB42">
            <v>2.6649094600432952E-2</v>
          </cell>
          <cell r="AC42">
            <v>2.8091154354949889E-2</v>
          </cell>
          <cell r="AD42">
            <v>2.9508587486842382E-2</v>
          </cell>
          <cell r="AE42">
            <v>3.0817736647352101E-2</v>
          </cell>
          <cell r="AF42">
            <v>3.1687147099489645E-2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/>
      <sheetData sheetId="5">
        <row r="4">
          <cell r="E4" t="str">
            <v>계정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품목별"/>
    </sheetNames>
    <sheetDataSet>
      <sheetData sheetId="0" refreshError="1"/>
      <sheetData sheetId="1" refreshError="1"/>
      <sheetData sheetId="2" refreshError="1"/>
      <sheetData sheetId="3"/>
      <sheetData sheetId="4">
        <row r="8">
          <cell r="G8">
            <v>3426.7159999999999</v>
          </cell>
          <cell r="Q8">
            <v>17304.953999999998</v>
          </cell>
        </row>
        <row r="9">
          <cell r="G9">
            <v>2893073.3829999999</v>
          </cell>
          <cell r="J9">
            <v>1119626.7590000001</v>
          </cell>
          <cell r="Q9">
            <v>13963021.597999999</v>
          </cell>
          <cell r="T9">
            <v>4044060.2910000002</v>
          </cell>
        </row>
        <row r="10">
          <cell r="F10">
            <v>766053.19148936169</v>
          </cell>
          <cell r="G10">
            <v>844269.96080212074</v>
          </cell>
        </row>
        <row r="11">
          <cell r="G11">
            <v>2808177.4939999999</v>
          </cell>
          <cell r="J11">
            <v>1091233.9330000002</v>
          </cell>
          <cell r="Q11">
            <v>13655080.445</v>
          </cell>
          <cell r="T11">
            <v>3906817.7800000012</v>
          </cell>
        </row>
        <row r="15">
          <cell r="F15">
            <v>2.0025274618450471E-2</v>
          </cell>
          <cell r="G15">
            <v>2.9344533567263464E-2</v>
          </cell>
        </row>
        <row r="19">
          <cell r="M19">
            <v>92733.645999999993</v>
          </cell>
          <cell r="W19">
            <v>394291.158</v>
          </cell>
        </row>
        <row r="37">
          <cell r="M37">
            <v>37794.762000000002</v>
          </cell>
          <cell r="W37">
            <v>19168.394</v>
          </cell>
        </row>
        <row r="40">
          <cell r="M40">
            <v>4725.1719999999996</v>
          </cell>
          <cell r="W40">
            <v>18914.054</v>
          </cell>
        </row>
        <row r="43">
          <cell r="M43">
            <v>53853.146000000001</v>
          </cell>
          <cell r="W43">
            <v>186124.334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/>
      <sheetData sheetId="1"/>
      <sheetData sheetId="2"/>
      <sheetData sheetId="3">
        <row r="8">
          <cell r="G8">
            <v>15762.77</v>
          </cell>
        </row>
      </sheetData>
      <sheetData sheetId="4">
        <row r="8">
          <cell r="G8">
            <v>11123.664999999999</v>
          </cell>
          <cell r="Q8">
            <v>45346.46</v>
          </cell>
        </row>
        <row r="9">
          <cell r="G9">
            <v>8901278.341</v>
          </cell>
          <cell r="J9">
            <v>1246225.8760000002</v>
          </cell>
          <cell r="Q9">
            <v>34354309.391999997</v>
          </cell>
          <cell r="T9">
            <v>4085538.3170000007</v>
          </cell>
        </row>
        <row r="10">
          <cell r="G10">
            <v>800210.93236806407</v>
          </cell>
        </row>
        <row r="11">
          <cell r="G11">
            <v>8774441.2469999995</v>
          </cell>
          <cell r="J11">
            <v>1205319.1109999996</v>
          </cell>
          <cell r="Q11">
            <v>33980247.560999997</v>
          </cell>
          <cell r="T11">
            <v>3959440.1900000013</v>
          </cell>
        </row>
        <row r="15">
          <cell r="G15">
            <v>1.4249312193258659E-2</v>
          </cell>
        </row>
        <row r="19">
          <cell r="M19">
            <v>94794.214999999997</v>
          </cell>
          <cell r="W19">
            <v>378709.89199999999</v>
          </cell>
        </row>
        <row r="37">
          <cell r="M37">
            <v>67504.77</v>
          </cell>
          <cell r="W37">
            <v>204992.93500000003</v>
          </cell>
        </row>
        <row r="40">
          <cell r="M40">
            <v>5716.42</v>
          </cell>
          <cell r="W40">
            <v>23040.063000000002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854847.5</v>
          </cell>
        </row>
        <row r="85">
          <cell r="Q85">
            <v>101421.47175258963</v>
          </cell>
          <cell r="R85">
            <v>103305.12874498099</v>
          </cell>
        </row>
        <row r="89">
          <cell r="Q89">
            <v>81149.98270452513</v>
          </cell>
          <cell r="R89">
            <v>84474.277698653837</v>
          </cell>
        </row>
      </sheetData>
      <sheetData sheetId="1">
        <row r="85">
          <cell r="Q85">
            <v>99045.957457417637</v>
          </cell>
          <cell r="R85">
            <v>100591.00693052493</v>
          </cell>
        </row>
        <row r="89">
          <cell r="Q89">
            <v>82089.853526363877</v>
          </cell>
          <cell r="R89">
            <v>85731.4489734628</v>
          </cell>
        </row>
      </sheetData>
      <sheetData sheetId="2">
        <row r="85">
          <cell r="Q85">
            <v>102013.66754673226</v>
          </cell>
          <cell r="R85">
            <v>105256.6280627559</v>
          </cell>
        </row>
        <row r="89">
          <cell r="Q89">
            <v>80620.509755895735</v>
          </cell>
          <cell r="R89">
            <v>83747.633048547024</v>
          </cell>
        </row>
      </sheetData>
      <sheetData sheetId="3"/>
      <sheetData sheetId="4"/>
      <sheetData sheetId="5"/>
      <sheetData sheetId="6">
        <row r="85">
          <cell r="Q85">
            <v>105393.19869809925</v>
          </cell>
          <cell r="R85">
            <v>104884.70632824452</v>
          </cell>
        </row>
        <row r="89">
          <cell r="Q89">
            <v>80373.6458572829</v>
          </cell>
          <cell r="R89">
            <v>83357.543139383968</v>
          </cell>
        </row>
      </sheetData>
      <sheetData sheetId="7">
        <row r="2">
          <cell r="N2">
            <v>136000</v>
          </cell>
        </row>
        <row r="85">
          <cell r="Q85">
            <v>98203.270323529403</v>
          </cell>
          <cell r="R85">
            <v>101697.73050822734</v>
          </cell>
        </row>
        <row r="86">
          <cell r="H86">
            <v>1177987.2762179868</v>
          </cell>
          <cell r="I86">
            <v>1130221.3350000002</v>
          </cell>
        </row>
        <row r="89">
          <cell r="Q89">
            <v>80019.217938756643</v>
          </cell>
          <cell r="R89">
            <v>84645.180530481884</v>
          </cell>
        </row>
        <row r="92">
          <cell r="H92">
            <v>314753.72477279103</v>
          </cell>
          <cell r="I92">
            <v>129539.38158350834</v>
          </cell>
        </row>
      </sheetData>
      <sheetData sheetId="8">
        <row r="2">
          <cell r="N2">
            <v>117000</v>
          </cell>
        </row>
        <row r="85">
          <cell r="Q85">
            <v>100939.81122206274</v>
          </cell>
          <cell r="R85">
            <v>100917.75787850587</v>
          </cell>
        </row>
        <row r="86">
          <cell r="H86">
            <v>458580.90527055477</v>
          </cell>
          <cell r="I86">
            <v>47265.003999999521</v>
          </cell>
        </row>
        <row r="89">
          <cell r="Q89">
            <v>85610.21283703424</v>
          </cell>
          <cell r="R89">
            <v>88499.219256947865</v>
          </cell>
        </row>
        <row r="92">
          <cell r="H92">
            <v>-298435.58936708252</v>
          </cell>
          <cell r="I92">
            <v>-705611.62108132814</v>
          </cell>
        </row>
      </sheetData>
      <sheetData sheetId="9">
        <row r="2">
          <cell r="N2">
            <v>51000</v>
          </cell>
        </row>
        <row r="85">
          <cell r="Q85">
            <v>96928.867733333333</v>
          </cell>
          <cell r="R85">
            <v>99506.674942916041</v>
          </cell>
        </row>
        <row r="86">
          <cell r="H86">
            <v>-113850.17168523419</v>
          </cell>
          <cell r="I86">
            <v>-215008.12200000085</v>
          </cell>
        </row>
        <row r="89">
          <cell r="Q89">
            <v>80719.375376398937</v>
          </cell>
          <cell r="R89">
            <v>85550.926609775022</v>
          </cell>
        </row>
        <row r="92">
          <cell r="H92">
            <v>-426824.98919924209</v>
          </cell>
          <cell r="I92">
            <v>-523852.04409313231</v>
          </cell>
        </row>
      </sheetData>
      <sheetData sheetId="10">
        <row r="2">
          <cell r="N2">
            <v>44000</v>
          </cell>
        </row>
        <row r="85">
          <cell r="Q85">
            <v>99068.59690454544</v>
          </cell>
          <cell r="R85">
            <v>97398.683977864377</v>
          </cell>
        </row>
        <row r="86">
          <cell r="H86">
            <v>35074.517314517303</v>
          </cell>
          <cell r="I86">
            <v>-93164.256999998732</v>
          </cell>
        </row>
        <row r="89">
          <cell r="Q89">
            <v>80717.553213053892</v>
          </cell>
          <cell r="R89">
            <v>82707.762946015151</v>
          </cell>
        </row>
        <row r="92">
          <cell r="H92">
            <v>-240661.60460223339</v>
          </cell>
          <cell r="I92">
            <v>-387762.16026021948</v>
          </cell>
        </row>
      </sheetData>
      <sheetData sheetId="11">
        <row r="2">
          <cell r="N2">
            <v>74000</v>
          </cell>
        </row>
        <row r="85">
          <cell r="Q85">
            <v>108873.80797567568</v>
          </cell>
          <cell r="R85">
            <v>117532.55331859729</v>
          </cell>
        </row>
        <row r="86">
          <cell r="H86">
            <v>642362.79331850214</v>
          </cell>
          <cell r="I86">
            <v>1003603.9910000009</v>
          </cell>
        </row>
        <row r="89">
          <cell r="Q89">
            <v>85639.145493894117</v>
          </cell>
          <cell r="R89">
            <v>92871.972369819341</v>
          </cell>
        </row>
        <row r="92">
          <cell r="H92">
            <v>82293.803366491687</v>
          </cell>
          <cell r="I92">
            <v>276717.33084934903</v>
          </cell>
        </row>
      </sheetData>
      <sheetData sheetId="12">
        <row r="2">
          <cell r="N2">
            <v>75000</v>
          </cell>
        </row>
        <row r="85">
          <cell r="Q85">
            <v>102235.3004332</v>
          </cell>
          <cell r="R85">
            <v>103146.41765825122</v>
          </cell>
        </row>
        <row r="86">
          <cell r="H86">
            <v>910428.28423283342</v>
          </cell>
          <cell r="I86">
            <v>554001.82499999972</v>
          </cell>
        </row>
        <row r="89">
          <cell r="Q89">
            <v>78004.022507132584</v>
          </cell>
          <cell r="R89">
            <v>81626.51237193527</v>
          </cell>
        </row>
        <row r="92">
          <cell r="H92">
            <v>379125.48258534819</v>
          </cell>
          <cell r="I92">
            <v>43590.912271636014</v>
          </cell>
        </row>
      </sheetData>
      <sheetData sheetId="13">
        <row r="2">
          <cell r="N2">
            <v>33000</v>
          </cell>
        </row>
        <row r="85">
          <cell r="Q85">
            <v>99093.510677575745</v>
          </cell>
          <cell r="R85">
            <v>98105.014403072651</v>
          </cell>
        </row>
        <row r="86">
          <cell r="H86">
            <v>74222.074035697209</v>
          </cell>
          <cell r="I86">
            <v>-125699.32399999988</v>
          </cell>
        </row>
        <row r="89">
          <cell r="Q89">
            <v>78945.669743834093</v>
          </cell>
          <cell r="R89">
            <v>79340.862221273885</v>
          </cell>
        </row>
        <row r="92">
          <cell r="H92">
            <v>-148454.47120049986</v>
          </cell>
          <cell r="I92">
            <v>-293762.37660053128</v>
          </cell>
        </row>
      </sheetData>
      <sheetData sheetId="14">
        <row r="2">
          <cell r="N2">
            <v>80000</v>
          </cell>
        </row>
        <row r="85">
          <cell r="Q85">
            <v>103207.991046625</v>
          </cell>
          <cell r="R85">
            <v>104897.38076395993</v>
          </cell>
        </row>
        <row r="86">
          <cell r="H86">
            <v>699579.32265085028</v>
          </cell>
          <cell r="I86">
            <v>116174.25200000017</v>
          </cell>
        </row>
        <row r="89">
          <cell r="Q89">
            <v>83127.015874600474</v>
          </cell>
          <cell r="R89">
            <v>84616.840213639778</v>
          </cell>
        </row>
        <row r="92">
          <cell r="H92">
            <v>127730.51014232985</v>
          </cell>
          <cell r="I92">
            <v>-276725.98781974119</v>
          </cell>
        </row>
      </sheetData>
      <sheetData sheetId="15">
        <row r="2">
          <cell r="N2">
            <v>31000</v>
          </cell>
        </row>
        <row r="85">
          <cell r="Q85">
            <v>98923.463870967738</v>
          </cell>
          <cell r="R85">
            <v>101270.59596205303</v>
          </cell>
        </row>
        <row r="86">
          <cell r="H86">
            <v>103390.75043606761</v>
          </cell>
          <cell r="I86">
            <v>-65455.742000000224</v>
          </cell>
        </row>
        <row r="89">
          <cell r="Q89">
            <v>76420.558681273789</v>
          </cell>
          <cell r="R89">
            <v>78769.749939187546</v>
          </cell>
        </row>
        <row r="92">
          <cell r="H92">
            <v>-102464.32995891027</v>
          </cell>
          <cell r="I92">
            <v>-213023.97688341423</v>
          </cell>
        </row>
      </sheetData>
      <sheetData sheetId="16">
        <row r="2">
          <cell r="N2">
            <v>41999.999999999993</v>
          </cell>
        </row>
        <row r="85">
          <cell r="Q85">
            <v>97638.550237997842</v>
          </cell>
          <cell r="R85">
            <v>96493.411030064875</v>
          </cell>
        </row>
        <row r="86">
          <cell r="H86">
            <v>110519.12068725823</v>
          </cell>
          <cell r="I86">
            <v>82022.062999999878</v>
          </cell>
        </row>
        <row r="89">
          <cell r="Q89">
            <v>77956.032036449353</v>
          </cell>
          <cell r="R89">
            <v>74419.601082012217</v>
          </cell>
        </row>
        <row r="92">
          <cell r="H92">
            <v>-168508.53634285959</v>
          </cell>
          <cell r="I92">
            <v>-185185.99837900864</v>
          </cell>
        </row>
      </sheetData>
      <sheetData sheetId="17">
        <row r="2">
          <cell r="N2">
            <v>29000</v>
          </cell>
        </row>
        <row r="85">
          <cell r="Q85">
            <v>90644.108210931023</v>
          </cell>
          <cell r="R85">
            <v>84063.677300190961</v>
          </cell>
        </row>
        <row r="86">
          <cell r="H86">
            <v>-85566.446582109071</v>
          </cell>
          <cell r="I86">
            <v>-368222.57300000021</v>
          </cell>
        </row>
        <row r="89">
          <cell r="Q89">
            <v>72016.141722525004</v>
          </cell>
          <cell r="R89">
            <v>70883.216291519275</v>
          </cell>
        </row>
        <row r="92">
          <cell r="H92">
            <v>-267681.18493534008</v>
          </cell>
          <cell r="I92">
            <v>-470772.3280475866</v>
          </cell>
        </row>
      </sheetData>
      <sheetData sheetId="18">
        <row r="2">
          <cell r="N2">
            <v>36000</v>
          </cell>
        </row>
        <row r="85">
          <cell r="Q85">
            <v>104397.41477222221</v>
          </cell>
          <cell r="R85">
            <v>106405.84422575853</v>
          </cell>
        </row>
        <row r="86">
          <cell r="H86">
            <v>49217.037921835028</v>
          </cell>
          <cell r="I86">
            <v>305015.29800000018</v>
          </cell>
        </row>
        <row r="89">
          <cell r="Q89">
            <v>85377.1750460287</v>
          </cell>
          <cell r="R89">
            <v>85866.295905853985</v>
          </cell>
        </row>
        <row r="92">
          <cell r="H92">
            <v>-203195.08438406567</v>
          </cell>
          <cell r="I92">
            <v>-54403.004717080854</v>
          </cell>
        </row>
      </sheetData>
      <sheetData sheetId="19">
        <row r="2">
          <cell r="N2">
            <v>65000</v>
          </cell>
        </row>
        <row r="85">
          <cell r="Q85">
            <v>98148.975384615391</v>
          </cell>
          <cell r="R85">
            <v>100272.60382293239</v>
          </cell>
        </row>
        <row r="86">
          <cell r="H86">
            <v>189965.02210952019</v>
          </cell>
          <cell r="I86">
            <v>197607.90200000128</v>
          </cell>
        </row>
        <row r="89">
          <cell r="Q89">
            <v>79629.586080366367</v>
          </cell>
          <cell r="R89">
            <v>84385.062023769278</v>
          </cell>
        </row>
        <row r="92">
          <cell r="H92">
            <v>-202530.93043530147</v>
          </cell>
          <cell r="I92">
            <v>-327996.11148577405</v>
          </cell>
        </row>
      </sheetData>
      <sheetData sheetId="20">
        <row r="2">
          <cell r="N2">
            <v>32000</v>
          </cell>
        </row>
        <row r="85">
          <cell r="Q85">
            <v>101910.25156249999</v>
          </cell>
          <cell r="R85">
            <v>98832.978688426942</v>
          </cell>
        </row>
        <row r="86">
          <cell r="H86">
            <v>121856.28641287822</v>
          </cell>
          <cell r="I86">
            <v>108549.04199999958</v>
          </cell>
        </row>
        <row r="89">
          <cell r="Q89">
            <v>77825.030987097532</v>
          </cell>
          <cell r="R89">
            <v>80717.133894651604</v>
          </cell>
        </row>
        <row r="92">
          <cell r="H92">
            <v>-80949.469161178946</v>
          </cell>
          <cell r="I92">
            <v>-161657.45411713791</v>
          </cell>
        </row>
      </sheetData>
      <sheetData sheetId="21">
        <row r="2">
          <cell r="N2">
            <v>14500</v>
          </cell>
        </row>
        <row r="85">
          <cell r="Q85">
            <v>112412.61172413791</v>
          </cell>
          <cell r="R85">
            <v>110872.79757626999</v>
          </cell>
        </row>
        <row r="86">
          <cell r="H86">
            <v>198739.1389602173</v>
          </cell>
          <cell r="I86">
            <v>168495.39500000002</v>
          </cell>
        </row>
        <row r="89">
          <cell r="Q89">
            <v>74333.175979755106</v>
          </cell>
          <cell r="R89">
            <v>74513.569740451567</v>
          </cell>
        </row>
        <row r="92">
          <cell r="H92">
            <v>96204.017570054944</v>
          </cell>
          <cell r="I92">
            <v>67980.951212457876</v>
          </cell>
        </row>
      </sheetData>
      <sheetData sheetId="22">
        <row r="2">
          <cell r="N2">
            <v>13999.8</v>
          </cell>
        </row>
        <row r="85">
          <cell r="Q85">
            <v>112792.19474763927</v>
          </cell>
          <cell r="R85">
            <v>119902.70643149242</v>
          </cell>
        </row>
        <row r="86">
          <cell r="H86">
            <v>177068.89138587104</v>
          </cell>
          <cell r="I86">
            <v>179338.253</v>
          </cell>
        </row>
        <row r="89">
          <cell r="Q89">
            <v>72749.566230145865</v>
          </cell>
          <cell r="R89">
            <v>77051.673427237794</v>
          </cell>
        </row>
        <row r="92">
          <cell r="H92">
            <v>74493.354447634614</v>
          </cell>
          <cell r="I92">
            <v>86653.014177134828</v>
          </cell>
        </row>
      </sheetData>
      <sheetData sheetId="23">
        <row r="2">
          <cell r="N2">
            <v>23000</v>
          </cell>
        </row>
        <row r="85">
          <cell r="Q85">
            <v>121782.88869565219</v>
          </cell>
          <cell r="R85">
            <v>127613.44169493781</v>
          </cell>
        </row>
        <row r="86">
          <cell r="H86">
            <v>207575.28204656416</v>
          </cell>
          <cell r="I86">
            <v>46803.204999999914</v>
          </cell>
        </row>
        <row r="89">
          <cell r="Q89">
            <v>94471.122576137277</v>
          </cell>
          <cell r="R89">
            <v>98913.413341314183</v>
          </cell>
        </row>
        <row r="92">
          <cell r="H92">
            <v>21294.572698694188</v>
          </cell>
          <cell r="I92">
            <v>-86463.755381076553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98896.819799018063</v>
          </cell>
        </row>
        <row r="89">
          <cell r="Q89">
            <v>80327.119045338084</v>
          </cell>
        </row>
      </sheetData>
      <sheetData sheetId="1">
        <row r="85">
          <cell r="Q85">
            <v>96029.099317575528</v>
          </cell>
        </row>
        <row r="89">
          <cell r="Q89">
            <v>81690.858551438243</v>
          </cell>
        </row>
      </sheetData>
      <sheetData sheetId="2">
        <row r="85">
          <cell r="Q85">
            <v>99408.906498250755</v>
          </cell>
        </row>
        <row r="89">
          <cell r="Q89">
            <v>79437.509436927983</v>
          </cell>
        </row>
      </sheetData>
      <sheetData sheetId="3"/>
      <sheetData sheetId="4"/>
      <sheetData sheetId="5"/>
      <sheetData sheetId="6">
        <row r="85">
          <cell r="Q85">
            <v>102615.38085832004</v>
          </cell>
        </row>
        <row r="89">
          <cell r="Q89">
            <v>79981.590716804669</v>
          </cell>
        </row>
      </sheetData>
      <sheetData sheetId="7">
        <row r="85">
          <cell r="Q85">
            <v>95926.12387224377</v>
          </cell>
        </row>
        <row r="86">
          <cell r="H86">
            <v>865273.62800000003</v>
          </cell>
        </row>
        <row r="89">
          <cell r="Q89">
            <v>81028.977996633592</v>
          </cell>
        </row>
        <row r="92">
          <cell r="H92">
            <v>18075.36361617106</v>
          </cell>
        </row>
      </sheetData>
      <sheetData sheetId="8">
        <row r="85">
          <cell r="Q85">
            <v>97920.695560008113</v>
          </cell>
        </row>
        <row r="86">
          <cell r="H86">
            <v>143883.24799999979</v>
          </cell>
        </row>
        <row r="89">
          <cell r="Q89">
            <v>84814.026522298664</v>
          </cell>
        </row>
        <row r="92">
          <cell r="H92">
            <v>-477462.26655456179</v>
          </cell>
        </row>
      </sheetData>
      <sheetData sheetId="9">
        <row r="85">
          <cell r="Q85">
            <v>92404.743899324341</v>
          </cell>
        </row>
        <row r="86">
          <cell r="H86">
            <v>-312750.34800000011</v>
          </cell>
        </row>
        <row r="89">
          <cell r="Q89">
            <v>79057.740104468947</v>
          </cell>
        </row>
        <row r="92">
          <cell r="H92">
            <v>-565266.98797078768</v>
          </cell>
        </row>
      </sheetData>
      <sheetData sheetId="10">
        <row r="85">
          <cell r="Q85">
            <v>95344.507612542177</v>
          </cell>
        </row>
        <row r="86">
          <cell r="H86">
            <v>-50511.174000000639</v>
          </cell>
        </row>
        <row r="89">
          <cell r="Q89">
            <v>78484.914656212306</v>
          </cell>
        </row>
        <row r="92">
          <cell r="H92">
            <v>-264770.52700380166</v>
          </cell>
        </row>
      </sheetData>
      <sheetData sheetId="11">
        <row r="85">
          <cell r="Q85">
            <v>105892.36736275334</v>
          </cell>
        </row>
        <row r="86">
          <cell r="H86">
            <v>676078.38300000015</v>
          </cell>
        </row>
        <row r="89">
          <cell r="Q89">
            <v>83622.63086218854</v>
          </cell>
        </row>
        <row r="92">
          <cell r="H92">
            <v>158472.76574652735</v>
          </cell>
        </row>
      </sheetData>
      <sheetData sheetId="12">
        <row r="85">
          <cell r="Q85">
            <v>96774.616098656697</v>
          </cell>
        </row>
        <row r="86">
          <cell r="H86">
            <v>414885.34899999888</v>
          </cell>
        </row>
        <row r="89">
          <cell r="Q89">
            <v>77141.00579904858</v>
          </cell>
        </row>
        <row r="92">
          <cell r="H92">
            <v>-14663.704229924828</v>
          </cell>
        </row>
      </sheetData>
      <sheetData sheetId="13">
        <row r="85">
          <cell r="Q85">
            <v>90917.487111503899</v>
          </cell>
        </row>
        <row r="86">
          <cell r="H86">
            <v>-105524.43200000004</v>
          </cell>
        </row>
        <row r="89">
          <cell r="Q89">
            <v>76591.029400500818</v>
          </cell>
        </row>
        <row r="92">
          <cell r="H92">
            <v>-305454.61896555743</v>
          </cell>
        </row>
      </sheetData>
      <sheetData sheetId="14">
        <row r="85">
          <cell r="Q85">
            <v>102120.207896475</v>
          </cell>
        </row>
        <row r="86">
          <cell r="H86">
            <v>647161.90400000045</v>
          </cell>
        </row>
        <row r="89">
          <cell r="Q89">
            <v>84055.177710746924</v>
          </cell>
        </row>
        <row r="92">
          <cell r="H92">
            <v>114931.9932426106</v>
          </cell>
        </row>
      </sheetData>
      <sheetData sheetId="15">
        <row r="85">
          <cell r="Q85">
            <v>94383.608336676014</v>
          </cell>
        </row>
        <row r="86">
          <cell r="H86">
            <v>20936.166999999943</v>
          </cell>
        </row>
        <row r="89">
          <cell r="Q89">
            <v>73513.548666354705</v>
          </cell>
        </row>
        <row r="92">
          <cell r="H92">
            <v>-164195.28149152431</v>
          </cell>
        </row>
      </sheetData>
      <sheetData sheetId="16">
        <row r="85">
          <cell r="Q85">
            <v>98626.375488315112</v>
          </cell>
        </row>
        <row r="86">
          <cell r="H86">
            <v>332128.8810000004</v>
          </cell>
        </row>
        <row r="89">
          <cell r="Q89">
            <v>74300.810730218902</v>
          </cell>
        </row>
        <row r="92">
          <cell r="H92">
            <v>46431.075944969431</v>
          </cell>
        </row>
      </sheetData>
      <sheetData sheetId="17">
        <row r="85">
          <cell r="Q85">
            <v>91878.85879560608</v>
          </cell>
        </row>
        <row r="86">
          <cell r="H86">
            <v>61169.039999999681</v>
          </cell>
        </row>
        <row r="89">
          <cell r="Q89">
            <v>74846.670992211642</v>
          </cell>
        </row>
        <row r="92">
          <cell r="H92">
            <v>-199821.76662868631</v>
          </cell>
        </row>
      </sheetData>
      <sheetData sheetId="18">
        <row r="85">
          <cell r="Q85">
            <v>105401.07562875186</v>
          </cell>
        </row>
        <row r="86">
          <cell r="H86">
            <v>419256.22299999965</v>
          </cell>
        </row>
        <row r="89">
          <cell r="Q89">
            <v>83489.311687732654</v>
          </cell>
        </row>
        <row r="92">
          <cell r="H92">
            <v>104820.35971007787</v>
          </cell>
        </row>
      </sheetData>
      <sheetData sheetId="19">
        <row r="85">
          <cell r="Q85">
            <v>99154.798016997171</v>
          </cell>
        </row>
        <row r="86">
          <cell r="H86">
            <v>357759.60800000065</v>
          </cell>
        </row>
        <row r="89">
          <cell r="Q89">
            <v>82952.716250430152</v>
          </cell>
        </row>
        <row r="92">
          <cell r="H92">
            <v>-150250.34754676482</v>
          </cell>
        </row>
      </sheetData>
      <sheetData sheetId="20">
        <row r="85">
          <cell r="Q85">
            <v>97128.152836716821</v>
          </cell>
        </row>
        <row r="86">
          <cell r="H86">
            <v>686340.31599999964</v>
          </cell>
        </row>
        <row r="89">
          <cell r="Q89">
            <v>75272.977245648683</v>
          </cell>
        </row>
        <row r="92">
          <cell r="H92">
            <v>321637.208728372</v>
          </cell>
        </row>
      </sheetData>
      <sheetData sheetId="21">
        <row r="85">
          <cell r="Q85">
            <v>109537.85269971582</v>
          </cell>
        </row>
        <row r="86">
          <cell r="H86">
            <v>373774.20199999982</v>
          </cell>
        </row>
        <row r="89">
          <cell r="Q89">
            <v>72378.669350594675</v>
          </cell>
        </row>
        <row r="92">
          <cell r="H92">
            <v>247286.31664570316</v>
          </cell>
        </row>
      </sheetData>
      <sheetData sheetId="22">
        <row r="85">
          <cell r="Q85">
            <v>107461.6620052145</v>
          </cell>
        </row>
        <row r="86">
          <cell r="H86">
            <v>-61959.749000000156</v>
          </cell>
        </row>
        <row r="89">
          <cell r="Q89">
            <v>73849.071225408872</v>
          </cell>
        </row>
        <row r="92">
          <cell r="H92">
            <v>-121031.89967734324</v>
          </cell>
        </row>
      </sheetData>
      <sheetData sheetId="23">
        <row r="85">
          <cell r="Q85">
            <v>121628.83989398679</v>
          </cell>
        </row>
        <row r="86">
          <cell r="H86">
            <v>355765.26199999993</v>
          </cell>
        </row>
        <row r="89">
          <cell r="Q89">
            <v>90280.53501911716</v>
          </cell>
        </row>
        <row r="92">
          <cell r="H92">
            <v>167197.77256247809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238277</v>
          </cell>
        </row>
      </sheetData>
      <sheetData sheetId="1">
        <row r="5">
          <cell r="T5">
            <v>99251</v>
          </cell>
        </row>
        <row r="85">
          <cell r="Q85">
            <v>98854.893882140779</v>
          </cell>
        </row>
      </sheetData>
      <sheetData sheetId="2">
        <row r="5">
          <cell r="T5">
            <v>90495</v>
          </cell>
        </row>
        <row r="85">
          <cell r="Q85">
            <v>106535.27852367536</v>
          </cell>
        </row>
      </sheetData>
      <sheetData sheetId="3"/>
      <sheetData sheetId="4"/>
      <sheetData sheetId="5">
        <row r="5">
          <cell r="T5">
            <v>48531</v>
          </cell>
        </row>
        <row r="85">
          <cell r="Q85">
            <v>103857.20377525681</v>
          </cell>
        </row>
      </sheetData>
      <sheetData sheetId="6">
        <row r="2">
          <cell r="N2">
            <v>42206</v>
          </cell>
        </row>
        <row r="5">
          <cell r="T5">
            <v>42206</v>
          </cell>
        </row>
        <row r="85">
          <cell r="Q85">
            <v>99500.254087096633</v>
          </cell>
        </row>
      </sheetData>
      <sheetData sheetId="7">
        <row r="2">
          <cell r="N2">
            <v>31198.5</v>
          </cell>
        </row>
        <row r="5">
          <cell r="T5">
            <v>31686.5</v>
          </cell>
        </row>
        <row r="85">
          <cell r="Q85">
            <v>100098.24132570476</v>
          </cell>
        </row>
      </sheetData>
      <sheetData sheetId="8">
        <row r="2">
          <cell r="N2">
            <v>11210</v>
          </cell>
        </row>
        <row r="5">
          <cell r="T5">
            <v>11210</v>
          </cell>
        </row>
        <row r="85">
          <cell r="Q85">
            <v>97858.465655664579</v>
          </cell>
        </row>
      </sheetData>
      <sheetData sheetId="9">
        <row r="2">
          <cell r="N2">
            <v>14096.5</v>
          </cell>
        </row>
        <row r="5">
          <cell r="T5">
            <v>14148.5</v>
          </cell>
        </row>
        <row r="85">
          <cell r="Q85">
            <v>94963.24080445501</v>
          </cell>
        </row>
      </sheetData>
      <sheetData sheetId="10">
        <row r="2">
          <cell r="N2">
            <v>21737</v>
          </cell>
        </row>
        <row r="5">
          <cell r="T5">
            <v>21737</v>
          </cell>
        </row>
        <row r="85">
          <cell r="Q85">
            <v>119206.57404425633</v>
          </cell>
        </row>
      </sheetData>
      <sheetData sheetId="11">
        <row r="2">
          <cell r="N2">
            <v>20056</v>
          </cell>
        </row>
        <row r="5">
          <cell r="T5">
            <v>20056</v>
          </cell>
        </row>
        <row r="85">
          <cell r="Q85">
            <v>102473.05544475469</v>
          </cell>
        </row>
      </sheetData>
      <sheetData sheetId="12">
        <row r="2">
          <cell r="N2">
            <v>7251.5</v>
          </cell>
        </row>
        <row r="5">
          <cell r="T5">
            <v>7251.5</v>
          </cell>
        </row>
        <row r="85">
          <cell r="Q85">
            <v>99988.395504378408</v>
          </cell>
        </row>
      </sheetData>
      <sheetData sheetId="13">
        <row r="2">
          <cell r="N2">
            <v>12903</v>
          </cell>
        </row>
        <row r="5">
          <cell r="T5">
            <v>12903</v>
          </cell>
        </row>
        <row r="85">
          <cell r="Q85">
            <v>107919.72409517167</v>
          </cell>
        </row>
      </sheetData>
      <sheetData sheetId="14">
        <row r="2">
          <cell r="N2">
            <v>4772</v>
          </cell>
        </row>
        <row r="5">
          <cell r="T5">
            <v>4772</v>
          </cell>
        </row>
        <row r="85">
          <cell r="Q85">
            <v>105686.46269907795</v>
          </cell>
        </row>
      </sheetData>
      <sheetData sheetId="15">
        <row r="2">
          <cell r="N2">
            <v>8648</v>
          </cell>
        </row>
        <row r="5">
          <cell r="T5">
            <v>8648</v>
          </cell>
        </row>
        <row r="85">
          <cell r="Q85">
            <v>98451.086956521729</v>
          </cell>
        </row>
      </sheetData>
      <sheetData sheetId="16">
        <row r="2">
          <cell r="N2">
            <v>3166.5</v>
          </cell>
        </row>
        <row r="5">
          <cell r="T5">
            <v>3166.5</v>
          </cell>
        </row>
        <row r="85">
          <cell r="Q85">
            <v>85015.152376440848</v>
          </cell>
        </row>
      </sheetData>
      <sheetData sheetId="17">
        <row r="2">
          <cell r="N2">
            <v>11961</v>
          </cell>
        </row>
        <row r="5">
          <cell r="T5">
            <v>11961</v>
          </cell>
        </row>
        <row r="85">
          <cell r="Q85">
            <v>104675.3448708302</v>
          </cell>
        </row>
      </sheetData>
      <sheetData sheetId="18">
        <row r="2">
          <cell r="N2">
            <v>22192</v>
          </cell>
        </row>
        <row r="5">
          <cell r="T5">
            <v>22192</v>
          </cell>
        </row>
        <row r="85">
          <cell r="Q85">
            <v>96951.990447007949</v>
          </cell>
        </row>
      </sheetData>
      <sheetData sheetId="19">
        <row r="2">
          <cell r="N2">
            <v>13624</v>
          </cell>
        </row>
        <row r="5">
          <cell r="T5">
            <v>13624</v>
          </cell>
        </row>
        <row r="85">
          <cell r="Q85">
            <v>100264.54051673519</v>
          </cell>
        </row>
      </sheetData>
      <sheetData sheetId="20">
        <row r="2">
          <cell r="N2">
            <v>5036</v>
          </cell>
        </row>
        <row r="5">
          <cell r="T5">
            <v>5036</v>
          </cell>
        </row>
        <row r="85">
          <cell r="Q85">
            <v>107776.79308975379</v>
          </cell>
        </row>
      </sheetData>
      <sheetData sheetId="21">
        <row r="2">
          <cell r="N2">
            <v>3640</v>
          </cell>
        </row>
        <row r="5">
          <cell r="T5">
            <v>3644.5</v>
          </cell>
        </row>
        <row r="85">
          <cell r="Q85">
            <v>128270.06868131869</v>
          </cell>
        </row>
      </sheetData>
      <sheetData sheetId="22">
        <row r="2">
          <cell r="N2">
            <v>4034.5</v>
          </cell>
        </row>
        <row r="5">
          <cell r="T5">
            <v>4034.5</v>
          </cell>
        </row>
        <row r="85">
          <cell r="Q85">
            <v>127053.40116495227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영업계획"/>
      <sheetName val="재료비"/>
      <sheetName val="월별원가"/>
      <sheetName val="제조운반비"/>
      <sheetName val="인별예산"/>
      <sheetName val="제조4"/>
      <sheetName val="판매4"/>
      <sheetName val="제조6"/>
      <sheetName val="판매6"/>
      <sheetName val="계정통제"/>
      <sheetName val="본사산출"/>
    </sheetNames>
    <sheetDataSet>
      <sheetData sheetId="0" refreshError="1"/>
      <sheetData sheetId="1">
        <row r="6">
          <cell r="J6">
            <v>170430</v>
          </cell>
        </row>
        <row r="7">
          <cell r="J7">
            <v>103682.02805547882</v>
          </cell>
        </row>
        <row r="10">
          <cell r="J10">
            <v>98212.976167073983</v>
          </cell>
        </row>
        <row r="21">
          <cell r="J21">
            <v>272000</v>
          </cell>
        </row>
        <row r="22">
          <cell r="J22">
            <v>101549.81890102025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본사"/>
      <sheetName val="2019공장"/>
      <sheetName val="2019raw"/>
      <sheetName val="2020본사"/>
      <sheetName val="2020공장"/>
      <sheetName val="2020raw"/>
      <sheetName val="2021본사"/>
      <sheetName val="2021공장"/>
      <sheetName val="2021raw"/>
      <sheetName val="2022본사"/>
      <sheetName val="2022공장"/>
      <sheetName val="2022raw"/>
      <sheetName val="계획대비"/>
      <sheetName val="1군판가 차이분석(계획대비)"/>
      <sheetName val="1군판가 차이분석 (2)"/>
      <sheetName val="합계(내한영향차이)"/>
      <sheetName val="Sheet2"/>
      <sheetName val="합계"/>
      <sheetName val="수도권"/>
      <sheetName val="영남권"/>
      <sheetName val="중부권"/>
      <sheetName val="부산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2026raw"/>
      <sheetName val="Sheet1"/>
      <sheetName val="19년 정리"/>
      <sheetName val="20년 정리"/>
      <sheetName val="21년 정리"/>
      <sheetName val="22년 정리"/>
      <sheetName val="23년 정리"/>
      <sheetName val="한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4">
          <cell r="E44">
            <v>0.74893315968458996</v>
          </cell>
          <cell r="F44">
            <v>0.68940313960327948</v>
          </cell>
        </row>
        <row r="93">
          <cell r="E93">
            <v>98748.172215922968</v>
          </cell>
          <cell r="F93">
            <v>96612.458168280311</v>
          </cell>
        </row>
        <row r="94">
          <cell r="E94">
            <v>104196.98594207945</v>
          </cell>
          <cell r="F94">
            <v>102936.251839191</v>
          </cell>
        </row>
        <row r="95">
          <cell r="E95">
            <v>102799.58381374026</v>
          </cell>
          <cell r="F95">
            <v>100907.33058181038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예산대비 차이"/>
      <sheetName val="Sheet1"/>
      <sheetName val="MS"/>
      <sheetName val="규격물량"/>
      <sheetName val="규격단가(실단가)"/>
      <sheetName val="규격단가(예산안)"/>
      <sheetName val="재료비(합계)"/>
      <sheetName val="재료비(1군)"/>
      <sheetName val="재료비(중소개인)"/>
      <sheetName val="재료비(관수)"/>
      <sheetName val="26년계획(강도)"/>
      <sheetName val="지역수요"/>
    </sheetNames>
    <sheetDataSet>
      <sheetData sheetId="0" refreshError="1"/>
      <sheetData sheetId="1">
        <row r="15">
          <cell r="N15">
            <v>28.04042608191628</v>
          </cell>
        </row>
        <row r="16">
          <cell r="N16">
            <v>26.049403165874452</v>
          </cell>
        </row>
        <row r="18">
          <cell r="N18">
            <v>27.29896980006728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구분"/>
      <sheetName val="규격"/>
      <sheetName val="평균강도집계"/>
      <sheetName val="생산량"/>
      <sheetName val="규격조정"/>
      <sheetName val="물차제외raw"/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합계RAW"/>
      <sheetName val="수도권RAW"/>
      <sheetName val="영남권RAW"/>
      <sheetName val="중부권RAW"/>
      <sheetName val="안양RAW"/>
      <sheetName val="인천RAW"/>
      <sheetName val="파주RAW"/>
      <sheetName val="김포RAW"/>
      <sheetName val="부산RAW"/>
      <sheetName val="서부산RAW"/>
      <sheetName val="김해RAW"/>
      <sheetName val="정관RAW"/>
      <sheetName val="양산RAW"/>
      <sheetName val="창원RAW"/>
      <sheetName val="대구RAW"/>
      <sheetName val="울산RAW"/>
      <sheetName val="아산RAW"/>
      <sheetName val="전주RAW"/>
      <sheetName val="군산RAW"/>
      <sheetName val="원주RAW"/>
      <sheetName val="제주RAW"/>
    </sheetNames>
    <sheetDataSet>
      <sheetData sheetId="0"/>
      <sheetData sheetId="1"/>
      <sheetData sheetId="2">
        <row r="27">
          <cell r="S27">
            <v>30.285880576743338</v>
          </cell>
          <cell r="T27">
            <v>29.492905002738137</v>
          </cell>
        </row>
        <row r="49">
          <cell r="S49">
            <v>26.594936708860761</v>
          </cell>
          <cell r="T49">
            <v>26.183269124931204</v>
          </cell>
        </row>
        <row r="71">
          <cell r="T71">
            <v>28.460091191640952</v>
          </cell>
        </row>
      </sheetData>
      <sheetData sheetId="3"/>
      <sheetData sheetId="4"/>
      <sheetData sheetId="5"/>
      <sheetData sheetId="6">
        <row r="82">
          <cell r="S82">
            <v>29.307163258411386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년10월~12월"/>
      <sheetName val="25년1월"/>
      <sheetName val="25년2월"/>
      <sheetName val="25년3월"/>
      <sheetName val="25년4월"/>
      <sheetName val="25년5월"/>
      <sheetName val="25년6월"/>
      <sheetName val="25년7월"/>
      <sheetName val="25년8월"/>
      <sheetName val="25년9월"/>
      <sheetName val="25년10월"/>
      <sheetName val="25년11월"/>
      <sheetName val="25년12월"/>
      <sheetName val="갑지"/>
      <sheetName val="25년 정산액"/>
      <sheetName val="2025년 소급분"/>
      <sheetName val="2025년 소급분(공장별)"/>
      <sheetName val="26년1월"/>
      <sheetName val="26년2월"/>
      <sheetName val="26년3월"/>
      <sheetName val="26년4월"/>
      <sheetName val="2026년 소급분"/>
      <sheetName val="2026년 소급분(공장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">
          <cell r="D7">
            <v>611.21033519141929</v>
          </cell>
        </row>
        <row r="8">
          <cell r="D8">
            <v>2176.0817004084465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</sheetPr>
  <dimension ref="A6:M25"/>
  <sheetViews>
    <sheetView showGridLines="0" view="pageBreakPreview" zoomScale="85" zoomScaleNormal="100" zoomScaleSheetLayoutView="85" workbookViewId="0">
      <selection activeCell="M26" sqref="M26"/>
    </sheetView>
  </sheetViews>
  <sheetFormatPr defaultRowHeight="16.5" x14ac:dyDescent="0.3"/>
  <cols>
    <col min="13" max="13" width="15.75" customWidth="1"/>
  </cols>
  <sheetData>
    <row r="6" spans="1:13" x14ac:dyDescent="0.3">
      <c r="A6" s="667" t="s">
        <v>205</v>
      </c>
      <c r="B6" s="668"/>
      <c r="C6" s="668"/>
      <c r="D6" s="668"/>
      <c r="E6" s="668"/>
      <c r="F6" s="668"/>
      <c r="G6" s="668"/>
      <c r="H6" s="668"/>
      <c r="I6" s="668"/>
      <c r="J6" s="668"/>
      <c r="K6" s="668"/>
      <c r="L6" s="668"/>
      <c r="M6" s="669"/>
    </row>
    <row r="7" spans="1:13" x14ac:dyDescent="0.3">
      <c r="A7" s="670"/>
      <c r="B7" s="671"/>
      <c r="C7" s="671"/>
      <c r="D7" s="671"/>
      <c r="E7" s="671"/>
      <c r="F7" s="671"/>
      <c r="G7" s="671"/>
      <c r="H7" s="671"/>
      <c r="I7" s="671"/>
      <c r="J7" s="671"/>
      <c r="K7" s="671"/>
      <c r="L7" s="671"/>
      <c r="M7" s="672"/>
    </row>
    <row r="8" spans="1:13" x14ac:dyDescent="0.3">
      <c r="A8" s="670"/>
      <c r="B8" s="671"/>
      <c r="C8" s="671"/>
      <c r="D8" s="671"/>
      <c r="E8" s="671"/>
      <c r="F8" s="671"/>
      <c r="G8" s="671"/>
      <c r="H8" s="671"/>
      <c r="I8" s="671"/>
      <c r="J8" s="671"/>
      <c r="K8" s="671"/>
      <c r="L8" s="671"/>
      <c r="M8" s="672"/>
    </row>
    <row r="9" spans="1:13" x14ac:dyDescent="0.3">
      <c r="A9" s="670"/>
      <c r="B9" s="671"/>
      <c r="C9" s="671"/>
      <c r="D9" s="671"/>
      <c r="E9" s="671"/>
      <c r="F9" s="671"/>
      <c r="G9" s="671"/>
      <c r="H9" s="671"/>
      <c r="I9" s="671"/>
      <c r="J9" s="671"/>
      <c r="K9" s="671"/>
      <c r="L9" s="671"/>
      <c r="M9" s="672"/>
    </row>
    <row r="10" spans="1:13" x14ac:dyDescent="0.3">
      <c r="A10" s="670"/>
      <c r="B10" s="671"/>
      <c r="C10" s="671"/>
      <c r="D10" s="671"/>
      <c r="E10" s="671"/>
      <c r="F10" s="671"/>
      <c r="G10" s="671"/>
      <c r="H10" s="671"/>
      <c r="I10" s="671"/>
      <c r="J10" s="671"/>
      <c r="K10" s="671"/>
      <c r="L10" s="671"/>
      <c r="M10" s="672"/>
    </row>
    <row r="11" spans="1:13" x14ac:dyDescent="0.3">
      <c r="A11" s="670"/>
      <c r="B11" s="671"/>
      <c r="C11" s="671"/>
      <c r="D11" s="671"/>
      <c r="E11" s="671"/>
      <c r="F11" s="671"/>
      <c r="G11" s="671"/>
      <c r="H11" s="671"/>
      <c r="I11" s="671"/>
      <c r="J11" s="671"/>
      <c r="K11" s="671"/>
      <c r="L11" s="671"/>
      <c r="M11" s="672"/>
    </row>
    <row r="12" spans="1:13" x14ac:dyDescent="0.3">
      <c r="A12" s="670"/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</row>
    <row r="13" spans="1:13" x14ac:dyDescent="0.3">
      <c r="A13" s="670"/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</row>
    <row r="14" spans="1:13" x14ac:dyDescent="0.3">
      <c r="A14" s="673"/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</row>
    <row r="24" spans="1:13" x14ac:dyDescent="0.3">
      <c r="A24" s="676" t="s">
        <v>167</v>
      </c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</row>
    <row r="25" spans="1:13" x14ac:dyDescent="0.3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zoomScale="70" zoomScaleNormal="70" zoomScaleSheetLayoutView="70" workbookViewId="0">
      <selection activeCell="C4" sqref="C4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27" width="9.125" customWidth="1"/>
    <col min="28" max="28" width="11.375" bestFit="1" customWidth="1"/>
    <col min="29" max="37" width="9.125" customWidth="1"/>
  </cols>
  <sheetData>
    <row r="1" spans="1:29" ht="20.100000000000001" customHeight="1" x14ac:dyDescent="0.3"/>
    <row r="2" spans="1:29" ht="20.100000000000001" customHeight="1" x14ac:dyDescent="0.3"/>
    <row r="3" spans="1:29" ht="20.100000000000001" customHeight="1" x14ac:dyDescent="0.3">
      <c r="C3" s="2" t="s">
        <v>222</v>
      </c>
    </row>
    <row r="4" spans="1:29" ht="20.100000000000001" customHeight="1" x14ac:dyDescent="0.3">
      <c r="H4" s="211"/>
      <c r="X4" s="3" t="s">
        <v>99</v>
      </c>
    </row>
    <row r="5" spans="1:29" ht="27" customHeight="1" thickBot="1" x14ac:dyDescent="0.35">
      <c r="C5" s="679" t="s">
        <v>61</v>
      </c>
      <c r="D5" s="680"/>
      <c r="E5" s="526" t="s">
        <v>211</v>
      </c>
      <c r="F5" s="527"/>
      <c r="G5" s="527"/>
      <c r="H5" s="527"/>
      <c r="I5" s="528"/>
      <c r="J5" s="527" t="s">
        <v>212</v>
      </c>
      <c r="K5" s="527"/>
      <c r="L5" s="527"/>
      <c r="M5" s="527"/>
      <c r="N5" s="528"/>
      <c r="O5" s="114"/>
      <c r="P5" s="679" t="s">
        <v>213</v>
      </c>
      <c r="Q5" s="680"/>
      <c r="R5" s="680"/>
      <c r="S5" s="680"/>
      <c r="T5" s="680"/>
      <c r="U5" s="680"/>
      <c r="V5" s="680"/>
      <c r="W5" s="680"/>
      <c r="X5" s="683"/>
    </row>
    <row r="6" spans="1:29" ht="27" customHeight="1" thickTop="1" x14ac:dyDescent="0.3">
      <c r="C6" s="681"/>
      <c r="D6" s="682"/>
      <c r="E6" s="529" t="s">
        <v>62</v>
      </c>
      <c r="F6" s="530" t="s">
        <v>63</v>
      </c>
      <c r="G6" s="531" t="s">
        <v>64</v>
      </c>
      <c r="H6" s="532" t="s">
        <v>65</v>
      </c>
      <c r="I6" s="533" t="s">
        <v>66</v>
      </c>
      <c r="J6" s="529" t="s">
        <v>62</v>
      </c>
      <c r="K6" s="530" t="s">
        <v>63</v>
      </c>
      <c r="L6" s="531" t="s">
        <v>64</v>
      </c>
      <c r="M6" s="532" t="s">
        <v>65</v>
      </c>
      <c r="N6" s="533" t="s">
        <v>66</v>
      </c>
      <c r="O6" s="114"/>
      <c r="P6" s="681"/>
      <c r="Q6" s="682"/>
      <c r="R6" s="682"/>
      <c r="S6" s="682"/>
      <c r="T6" s="682"/>
      <c r="U6" s="682"/>
      <c r="V6" s="682"/>
      <c r="W6" s="682"/>
      <c r="X6" s="684"/>
    </row>
    <row r="7" spans="1:29" ht="21.75" customHeight="1" x14ac:dyDescent="0.3">
      <c r="A7" s="211"/>
      <c r="B7" s="211"/>
      <c r="C7" s="83" t="s">
        <v>0</v>
      </c>
      <c r="D7" s="84" t="s">
        <v>40</v>
      </c>
      <c r="E7" s="291">
        <f>+'[1]4월'!$Z$7/1000</f>
        <v>272</v>
      </c>
      <c r="F7" s="292">
        <f>+'[2]4월'!$Z$7/1000</f>
        <v>272.94799999999998</v>
      </c>
      <c r="G7" s="267">
        <f t="shared" ref="G7:G30" si="0">+F7-E7</f>
        <v>0.94799999999997908</v>
      </c>
      <c r="H7" s="268">
        <f>+'[3]4월'!$Z$7/1000</f>
        <v>276.85300000000001</v>
      </c>
      <c r="I7" s="269">
        <f t="shared" ref="I7:I30" si="1">+F7-H7</f>
        <v>-3.9050000000000296</v>
      </c>
      <c r="J7" s="291">
        <f>+'[1]4월누계'!$Z$7/1000</f>
        <v>896.49980000000005</v>
      </c>
      <c r="K7" s="292">
        <f>+'[2]4월누계'!$Z$7/1000</f>
        <v>857.35450000000003</v>
      </c>
      <c r="L7" s="267">
        <f t="shared" ref="L7" si="2">+K7-J7</f>
        <v>-39.14530000000002</v>
      </c>
      <c r="M7" s="268">
        <f>+'[3]4월누계'!$Z$7/1000</f>
        <v>931.43849999999998</v>
      </c>
      <c r="N7" s="269">
        <f t="shared" ref="N7" si="3">+K7-M7</f>
        <v>-74.083999999999946</v>
      </c>
      <c r="O7" s="82"/>
      <c r="P7" s="519"/>
      <c r="Q7" s="520" t="s">
        <v>83</v>
      </c>
      <c r="R7" s="520"/>
      <c r="S7" s="521"/>
      <c r="T7" s="521"/>
      <c r="U7" s="521"/>
      <c r="V7" s="521"/>
      <c r="W7" s="521"/>
      <c r="X7" s="522"/>
      <c r="Y7" s="211"/>
    </row>
    <row r="8" spans="1:29" ht="21.75" customHeight="1" x14ac:dyDescent="0.3">
      <c r="B8" s="211"/>
      <c r="C8" s="83"/>
      <c r="D8" s="87" t="s">
        <v>1</v>
      </c>
      <c r="E8" s="293">
        <f>+'[1]4월'!$AE$7/1000</f>
        <v>70.968284382284381</v>
      </c>
      <c r="F8" s="294">
        <f>+'[2]4월'!$AN$7/1000</f>
        <v>71.492999999999995</v>
      </c>
      <c r="G8" s="270">
        <f t="shared" si="0"/>
        <v>0.52471561771561426</v>
      </c>
      <c r="H8" s="271">
        <f>+'[3]4월'!$AN$7/1000</f>
        <v>68.025000000000006</v>
      </c>
      <c r="I8" s="272">
        <f t="shared" si="1"/>
        <v>3.4679999999999893</v>
      </c>
      <c r="J8" s="293">
        <f>+'[1]4월누계'!$AE$7/1000</f>
        <v>273.38091552447548</v>
      </c>
      <c r="K8" s="294">
        <f>+'[2]4월누계'!$AN$7/1000</f>
        <v>248.72300000000001</v>
      </c>
      <c r="L8" s="270">
        <f t="shared" ref="L8:L30" si="4">+K8-J8</f>
        <v>-24.65791552447547</v>
      </c>
      <c r="M8" s="271">
        <f>+'[3]4월누계'!$AN$7/1000</f>
        <v>235.42500000000001</v>
      </c>
      <c r="N8" s="272">
        <f t="shared" ref="N8:N30" si="5">+K8-M8</f>
        <v>13.298000000000002</v>
      </c>
      <c r="O8" s="82"/>
      <c r="P8" s="85"/>
      <c r="Q8" s="197" t="s">
        <v>55</v>
      </c>
      <c r="R8" s="198"/>
      <c r="S8" s="199" t="s">
        <v>12</v>
      </c>
      <c r="T8" s="200" t="s">
        <v>67</v>
      </c>
      <c r="U8" s="201" t="s">
        <v>56</v>
      </c>
      <c r="V8" s="200" t="s">
        <v>39</v>
      </c>
      <c r="W8" s="202" t="s">
        <v>57</v>
      </c>
      <c r="X8" s="86"/>
      <c r="Y8" s="211"/>
    </row>
    <row r="9" spans="1:29" ht="21.75" customHeight="1" x14ac:dyDescent="0.3">
      <c r="B9" s="211"/>
      <c r="C9" s="90" t="s">
        <v>2</v>
      </c>
      <c r="D9" s="91" t="s">
        <v>40</v>
      </c>
      <c r="E9" s="295">
        <f>+'[1]4월'!$Z$8/1000</f>
        <v>27621.550741077514</v>
      </c>
      <c r="F9" s="296">
        <f>+'[2]4월'!$Z$8/1000</f>
        <v>27522.434733999999</v>
      </c>
      <c r="G9" s="297">
        <f t="shared" si="0"/>
        <v>-99.116007077514951</v>
      </c>
      <c r="H9" s="298">
        <f>+'[3]4월'!$Z$8/1000</f>
        <v>27262.254197999999</v>
      </c>
      <c r="I9" s="299">
        <f t="shared" si="1"/>
        <v>260.18053599999985</v>
      </c>
      <c r="J9" s="295">
        <f>+'[1]4월누계'!$Z$8/1000</f>
        <v>90924.329141902257</v>
      </c>
      <c r="K9" s="296">
        <f>+'[2]4월누계'!$Z$8/1000</f>
        <v>88535.434546999983</v>
      </c>
      <c r="L9" s="297">
        <f t="shared" si="4"/>
        <v>-2388.8945949022745</v>
      </c>
      <c r="M9" s="298">
        <f>+'[3]4월누계'!$Z$8/1000</f>
        <v>92138.561625999981</v>
      </c>
      <c r="N9" s="299">
        <f t="shared" si="5"/>
        <v>-3603.127078999998</v>
      </c>
      <c r="O9" s="82"/>
      <c r="P9" s="85"/>
      <c r="Q9" s="88" t="s">
        <v>51</v>
      </c>
      <c r="R9" s="162" t="s">
        <v>16</v>
      </c>
      <c r="S9" s="175">
        <f>+[4]수도권!$T$5/1000</f>
        <v>107</v>
      </c>
      <c r="T9" s="89">
        <f>+[4]수도권!$U$5/1000</f>
        <v>114.6955</v>
      </c>
      <c r="U9" s="267">
        <f>+T9-S9</f>
        <v>7.6954999999999956</v>
      </c>
      <c r="V9" s="268">
        <f>+[5]수도권!$T$5/1000</f>
        <v>99.751999999999995</v>
      </c>
      <c r="W9" s="269">
        <f>+T9-V9</f>
        <v>14.9435</v>
      </c>
      <c r="X9" s="86"/>
      <c r="Y9" s="211"/>
    </row>
    <row r="10" spans="1:29" ht="21.75" customHeight="1" x14ac:dyDescent="0.3">
      <c r="B10" s="211"/>
      <c r="C10" s="83"/>
      <c r="D10" s="87" t="s">
        <v>1</v>
      </c>
      <c r="E10" s="293">
        <f>+'[1]4월'!$AE$8/1000</f>
        <v>1263.7213544055944</v>
      </c>
      <c r="F10" s="294">
        <f>+'[2]4월'!$AN$8/1000</f>
        <v>1401.1751000000002</v>
      </c>
      <c r="G10" s="270">
        <f t="shared" si="0"/>
        <v>137.45374559440575</v>
      </c>
      <c r="H10" s="271">
        <f>+'[3]4월'!$AN$8/1000</f>
        <v>1449.066</v>
      </c>
      <c r="I10" s="272">
        <f t="shared" si="1"/>
        <v>-47.890899999999874</v>
      </c>
      <c r="J10" s="293">
        <f>+'[1]4월누계'!$AE$8/1000</f>
        <v>4932.0096679487169</v>
      </c>
      <c r="K10" s="294">
        <f>+'[2]4월누계'!$AN$8/1000</f>
        <v>4940.8780999999999</v>
      </c>
      <c r="L10" s="270">
        <f t="shared" si="4"/>
        <v>8.86843205128298</v>
      </c>
      <c r="M10" s="271">
        <f>+'[3]4월누계'!$AN$8/1000</f>
        <v>5026.8145000000004</v>
      </c>
      <c r="N10" s="272">
        <f t="shared" si="5"/>
        <v>-85.936400000000503</v>
      </c>
      <c r="O10" s="82"/>
      <c r="P10" s="85"/>
      <c r="Q10" s="92"/>
      <c r="R10" s="163" t="s">
        <v>17</v>
      </c>
      <c r="S10" s="176">
        <f>+[4]영남권!$T$5/1000</f>
        <v>116</v>
      </c>
      <c r="T10" s="93">
        <f>+[4]영남권!$U$5/1000</f>
        <v>106.45050000000001</v>
      </c>
      <c r="U10" s="270">
        <f t="shared" ref="U10:U20" si="6">+T10-S10</f>
        <v>-9.5494999999999948</v>
      </c>
      <c r="V10" s="271">
        <f>+[5]영남권!$T$5/1000</f>
        <v>119.871</v>
      </c>
      <c r="W10" s="272">
        <f t="shared" ref="W10:W20" si="7">+T10-V10</f>
        <v>-13.42049999999999</v>
      </c>
      <c r="X10" s="86"/>
      <c r="Y10" s="211"/>
    </row>
    <row r="11" spans="1:29" ht="21.75" customHeight="1" x14ac:dyDescent="0.3">
      <c r="B11" s="211"/>
      <c r="C11" s="83"/>
      <c r="D11" s="97" t="s">
        <v>4</v>
      </c>
      <c r="E11" s="300">
        <f>+'[1]4월'!$E$8/1000-E9-E33-E10</f>
        <v>119.36666666666088</v>
      </c>
      <c r="F11" s="301">
        <f>+('[2]4월'!$BJ$8+'[2]4월'!$BA$8+'[2]4월'!$AP$8+'[2]4월'!$AH$8)/1000</f>
        <v>56.508378</v>
      </c>
      <c r="G11" s="273">
        <f t="shared" si="0"/>
        <v>-62.858288666660876</v>
      </c>
      <c r="H11" s="274">
        <f>+'[3]4월'!$F$8/1000-H9-H33-H10</f>
        <v>118.48886400000333</v>
      </c>
      <c r="I11" s="275">
        <f t="shared" si="1"/>
        <v>-61.980486000003332</v>
      </c>
      <c r="J11" s="300">
        <f>+'[1]4월누계'!$E$8/1000-J9-J33-J10</f>
        <v>485.26666666667461</v>
      </c>
      <c r="K11" s="301">
        <f>+('[2]4월누계'!$BJ$8+'[2]4월누계'!$BA$8+'[2]4월누계'!$AP$8+'[2]4월누계'!$AH$8)/1000</f>
        <v>406.98072100000002</v>
      </c>
      <c r="L11" s="273">
        <f t="shared" si="4"/>
        <v>-78.285945666674593</v>
      </c>
      <c r="M11" s="274">
        <f>+'[3]4월누계'!$F$8/1000-M9-M33-M10</f>
        <v>591.32315799998469</v>
      </c>
      <c r="N11" s="275">
        <f t="shared" si="5"/>
        <v>-184.34243699998467</v>
      </c>
      <c r="O11" s="82"/>
      <c r="P11" s="85"/>
      <c r="Q11" s="92"/>
      <c r="R11" s="164" t="s">
        <v>104</v>
      </c>
      <c r="S11" s="177">
        <f>+[4]중부권!$T$5/1000</f>
        <v>49</v>
      </c>
      <c r="T11" s="94">
        <f>+[4]중부권!$U$5/1000</f>
        <v>51.802</v>
      </c>
      <c r="U11" s="273">
        <f t="shared" si="6"/>
        <v>2.8019999999999996</v>
      </c>
      <c r="V11" s="274">
        <f>+[5]중부권!$T$5/1000</f>
        <v>57.23</v>
      </c>
      <c r="W11" s="275">
        <f t="shared" si="7"/>
        <v>-5.4279999999999973</v>
      </c>
      <c r="X11" s="86"/>
      <c r="Y11" s="211"/>
    </row>
    <row r="12" spans="1:29" ht="21.75" customHeight="1" x14ac:dyDescent="0.3">
      <c r="B12" s="211"/>
      <c r="C12" s="98" t="s">
        <v>8</v>
      </c>
      <c r="D12" s="99"/>
      <c r="E12" s="300">
        <f>SUM(E9:E11)</f>
        <v>29004.638762149771</v>
      </c>
      <c r="F12" s="301">
        <f>SUM(F9:F11)</f>
        <v>28980.118211999998</v>
      </c>
      <c r="G12" s="273">
        <f t="shared" si="0"/>
        <v>-24.520550149773044</v>
      </c>
      <c r="H12" s="274">
        <f>SUM(H9:H11)</f>
        <v>28829.809062</v>
      </c>
      <c r="I12" s="275">
        <f t="shared" si="1"/>
        <v>150.30914999999732</v>
      </c>
      <c r="J12" s="300">
        <f>SUM(J9:J11)</f>
        <v>96341.605476517652</v>
      </c>
      <c r="K12" s="301">
        <f>SUM(K9:K11)</f>
        <v>93883.293367999984</v>
      </c>
      <c r="L12" s="273">
        <f t="shared" si="4"/>
        <v>-2458.3121085176681</v>
      </c>
      <c r="M12" s="274">
        <f>SUM(M9:M11)</f>
        <v>97756.699283999973</v>
      </c>
      <c r="N12" s="275">
        <f t="shared" si="5"/>
        <v>-3873.4059159999888</v>
      </c>
      <c r="O12" s="82"/>
      <c r="P12" s="85"/>
      <c r="Q12" s="95" t="s">
        <v>58</v>
      </c>
      <c r="R12" s="165"/>
      <c r="S12" s="178">
        <f>SUM(S9:S11)</f>
        <v>272</v>
      </c>
      <c r="T12" s="96">
        <f>SUM(T9:T11)</f>
        <v>272.94800000000004</v>
      </c>
      <c r="U12" s="276">
        <f t="shared" si="6"/>
        <v>0.94800000000003593</v>
      </c>
      <c r="V12" s="277">
        <f>SUM(V9:V11)</f>
        <v>276.85300000000001</v>
      </c>
      <c r="W12" s="278">
        <f t="shared" si="7"/>
        <v>-3.9049999999999727</v>
      </c>
      <c r="X12" s="86"/>
      <c r="AA12" s="460"/>
      <c r="AB12" s="460"/>
      <c r="AC12" s="211"/>
    </row>
    <row r="13" spans="1:29" ht="21.75" customHeight="1" x14ac:dyDescent="0.3">
      <c r="B13" s="211"/>
      <c r="C13" s="83" t="s">
        <v>5</v>
      </c>
      <c r="D13" s="91" t="s">
        <v>40</v>
      </c>
      <c r="E13" s="295">
        <f>+('[1]4월'!$Z$10+'[1]4월'!$Z$19)/1000</f>
        <v>24076.066789677127</v>
      </c>
      <c r="F13" s="296">
        <f>+('[2]4월'!$Z$10+'[2]4월'!$Z$19)/1000</f>
        <v>25038.535344000007</v>
      </c>
      <c r="G13" s="297">
        <f t="shared" si="0"/>
        <v>962.46855432288066</v>
      </c>
      <c r="H13" s="298">
        <f>+('[3]4월'!$Z$10+'[3]4월'!$Z$19)/1000</f>
        <v>24425.137669999993</v>
      </c>
      <c r="I13" s="299">
        <f t="shared" si="1"/>
        <v>613.39767400001438</v>
      </c>
      <c r="J13" s="295">
        <f>+('[1]4월누계'!$Z$10+'[1]4월누계'!$Z$19)/1000</f>
        <v>83193.524021168443</v>
      </c>
      <c r="K13" s="296">
        <f>+('[2]4월누계'!$Z$10+'[2]4월누계'!$Z$19)/1000</f>
        <v>82573.486042999968</v>
      </c>
      <c r="L13" s="297">
        <f t="shared" si="4"/>
        <v>-620.03797816847509</v>
      </c>
      <c r="M13" s="298">
        <f>+('[3]4월누계'!$Z$10+'[3]4월누계'!$Z$19)/1000</f>
        <v>84643.213508000001</v>
      </c>
      <c r="N13" s="299">
        <f t="shared" si="5"/>
        <v>-2069.7274650000327</v>
      </c>
      <c r="O13" s="82"/>
      <c r="P13" s="85"/>
      <c r="Q13" s="88" t="s">
        <v>59</v>
      </c>
      <c r="R13" s="162" t="s">
        <v>16</v>
      </c>
      <c r="S13" s="175">
        <f>+[4]수도권!$T$61</f>
        <v>98524.096654122564</v>
      </c>
      <c r="T13" s="89">
        <f>+[4]수도권!$U$61</f>
        <v>98815.722886796051</v>
      </c>
      <c r="U13" s="267">
        <f t="shared" si="6"/>
        <v>291.62623267348681</v>
      </c>
      <c r="V13" s="268">
        <f>+[5]수도권!$Q$85</f>
        <v>96454.113487158218</v>
      </c>
      <c r="W13" s="269">
        <f t="shared" si="7"/>
        <v>2361.6093996378331</v>
      </c>
      <c r="X13" s="86"/>
      <c r="AA13" s="460"/>
      <c r="AB13" s="460"/>
      <c r="AC13" s="211"/>
    </row>
    <row r="14" spans="1:29" ht="21.75" customHeight="1" x14ac:dyDescent="0.3">
      <c r="A14" s="211"/>
      <c r="B14" s="211"/>
      <c r="C14" s="83"/>
      <c r="D14" s="87" t="s">
        <v>1</v>
      </c>
      <c r="E14" s="293">
        <f>+('[1]4월'!$AE$10+'[1]4월'!$AE$19)/1000</f>
        <v>1241.2550895310412</v>
      </c>
      <c r="F14" s="294">
        <f>+('[2]4월'!$AN$10+'[2]4월'!$AN$19)/1000</f>
        <v>1462.1500679999999</v>
      </c>
      <c r="G14" s="270">
        <f t="shared" si="0"/>
        <v>220.8949784689587</v>
      </c>
      <c r="H14" s="271">
        <f>+('[3]4월'!$AN$10+'[3]4월'!$AN$19)/1000</f>
        <v>1346.1014279899998</v>
      </c>
      <c r="I14" s="272">
        <f t="shared" si="1"/>
        <v>116.0486400100001</v>
      </c>
      <c r="J14" s="293">
        <f>+('[1]4월누계'!$AE$10+'[1]4월누계'!$AE$19)/1000</f>
        <v>5011.8903818734771</v>
      </c>
      <c r="K14" s="294">
        <f>+('[2]4월누계'!$AN$10+'[2]4월누계'!$AN$19)/1000</f>
        <v>5278.0793670000003</v>
      </c>
      <c r="L14" s="270">
        <f t="shared" si="4"/>
        <v>266.18898512652322</v>
      </c>
      <c r="M14" s="271">
        <f>+('[3]4월누계'!$AN$10+'[3]4월누계'!$AN$19)/1000</f>
        <v>5287.1679159999994</v>
      </c>
      <c r="N14" s="272">
        <f t="shared" si="5"/>
        <v>-9.0885489999991478</v>
      </c>
      <c r="O14" s="82"/>
      <c r="P14" s="85"/>
      <c r="Q14" s="92"/>
      <c r="R14" s="163" t="s">
        <v>17</v>
      </c>
      <c r="S14" s="176">
        <f>+[4]영남권!$T$61</f>
        <v>102882.74675295166</v>
      </c>
      <c r="T14" s="93">
        <f>+[4]영남권!$U$61</f>
        <v>101778.54633843899</v>
      </c>
      <c r="U14" s="270">
        <f t="shared" si="6"/>
        <v>-1104.2004145126702</v>
      </c>
      <c r="V14" s="271">
        <f>+[5]영남권!$Q$85</f>
        <v>98385.128898458555</v>
      </c>
      <c r="W14" s="272">
        <f t="shared" si="7"/>
        <v>3393.4174399804324</v>
      </c>
      <c r="X14" s="86"/>
      <c r="Y14" s="211"/>
      <c r="AB14" s="460"/>
      <c r="AC14" s="211"/>
    </row>
    <row r="15" spans="1:29" ht="21.75" customHeight="1" x14ac:dyDescent="0.3">
      <c r="C15" s="83"/>
      <c r="D15" s="97" t="s">
        <v>4</v>
      </c>
      <c r="E15" s="300">
        <f>+('[1]4월'!$AL$10+'[1]4월'!$AL$19+'[1]4월'!$AV$10+'[1]4월'!$AV$19)/1000</f>
        <v>54.346293000000003</v>
      </c>
      <c r="F15" s="301">
        <f>+('[2]4월'!$AH$10+'[2]4월'!$AH$19+'[2]4월'!$AP$10+'[2]4월'!$AP$19+'[2]4월'!$BA$10+'[2]4월'!$BA$19+'[2]4월'!$BJ$10+'[2]4월'!$BJ$19)/1000</f>
        <v>19.270152000000003</v>
      </c>
      <c r="G15" s="273">
        <f t="shared" si="0"/>
        <v>-35.076141</v>
      </c>
      <c r="H15" s="274">
        <f>+('[3]4월'!$F$10+'[3]4월'!$F$19)/1000-H13-H14-('[3]4월'!$AO$10+'[3]4월'!$AO$19)/1000</f>
        <v>22.623854999999821</v>
      </c>
      <c r="I15" s="275">
        <f t="shared" si="1"/>
        <v>-3.3537029999998182</v>
      </c>
      <c r="J15" s="300">
        <f>+('[1]4월누계'!$AL$10+'[1]4월누계'!$AL$19+'[1]4월누계'!$AV$10+'[1]4월누계'!$AV$19)/1000</f>
        <v>-219.24913999999995</v>
      </c>
      <c r="K15" s="301">
        <f>+('[2]4월누계'!$AH$10+'[2]4월누계'!$AH$19+'[2]4월누계'!$AP$10+'[2]4월누계'!$AP$19+'[2]4월누계'!$BA$10+'[2]4월누계'!$BA$19+'[2]4월누계'!$BJ$10+'[2]4월누계'!$BJ$19)/1000</f>
        <v>-430.54186099999998</v>
      </c>
      <c r="L15" s="273">
        <f t="shared" si="4"/>
        <v>-211.29272100000003</v>
      </c>
      <c r="M15" s="274">
        <f>+('[3]4월누계'!$F$10+'[3]4월누계'!$F$19)/1000-M13-M14-('[3]4월누계'!$AO$10+'[3]4월누계'!$AO$19)/1000</f>
        <v>404.22394300001179</v>
      </c>
      <c r="N15" s="275">
        <f t="shared" si="5"/>
        <v>-834.76580400001171</v>
      </c>
      <c r="O15" s="82"/>
      <c r="P15" s="85"/>
      <c r="Q15" s="92"/>
      <c r="R15" s="164" t="s">
        <v>103</v>
      </c>
      <c r="S15" s="177">
        <f>+[4]중부권!$T$61</f>
        <v>105001.50562742859</v>
      </c>
      <c r="T15" s="94">
        <f>+[4]중부권!$U$61</f>
        <v>103655.65271368716</v>
      </c>
      <c r="U15" s="273">
        <f t="shared" si="6"/>
        <v>-1345.8529137414298</v>
      </c>
      <c r="V15" s="274">
        <f>+[5]중부권!$Q$85</f>
        <v>102148.62913419002</v>
      </c>
      <c r="W15" s="275">
        <f t="shared" si="7"/>
        <v>1507.0235794971377</v>
      </c>
      <c r="X15" s="86"/>
      <c r="AB15" s="460"/>
    </row>
    <row r="16" spans="1:29" ht="21.75" customHeight="1" x14ac:dyDescent="0.3">
      <c r="C16" s="83" t="s">
        <v>8</v>
      </c>
      <c r="D16" s="102"/>
      <c r="E16" s="293">
        <f>SUM(E13:E15)</f>
        <v>25371.668172208167</v>
      </c>
      <c r="F16" s="294">
        <f>SUM(F13:F15)</f>
        <v>26519.955564000007</v>
      </c>
      <c r="G16" s="270">
        <f t="shared" si="0"/>
        <v>1148.2873917918405</v>
      </c>
      <c r="H16" s="271">
        <f>SUM(H13:H15)</f>
        <v>25793.862952989992</v>
      </c>
      <c r="I16" s="272">
        <f t="shared" si="1"/>
        <v>726.09261101001539</v>
      </c>
      <c r="J16" s="293">
        <f>SUM(J13:J15)</f>
        <v>87986.165263041927</v>
      </c>
      <c r="K16" s="294">
        <f>SUM(K13:K15)</f>
        <v>87421.023548999961</v>
      </c>
      <c r="L16" s="270">
        <f t="shared" si="4"/>
        <v>-565.14171404196532</v>
      </c>
      <c r="M16" s="271">
        <f>SUM(M13:M15)</f>
        <v>90334.605367000011</v>
      </c>
      <c r="N16" s="272">
        <f t="shared" si="5"/>
        <v>-2913.5818180000497</v>
      </c>
      <c r="O16" s="82"/>
      <c r="P16" s="85"/>
      <c r="Q16" s="95" t="s">
        <v>58</v>
      </c>
      <c r="R16" s="165"/>
      <c r="S16" s="178">
        <f>+[4]합계!$T$61</f>
        <v>101549.81890102028</v>
      </c>
      <c r="T16" s="96">
        <f>+[4]합계!$U$61</f>
        <v>100907.33058181037</v>
      </c>
      <c r="U16" s="276">
        <f>+T16-S16</f>
        <v>-642.48831920990779</v>
      </c>
      <c r="V16" s="277">
        <f>+[5]합계!$Q$85</f>
        <v>98470.346196543367</v>
      </c>
      <c r="W16" s="278">
        <f>+T16-V16</f>
        <v>2436.9843852670019</v>
      </c>
      <c r="X16" s="86"/>
    </row>
    <row r="17" spans="2:27" ht="21.75" customHeight="1" x14ac:dyDescent="0.3">
      <c r="C17" s="90" t="s">
        <v>15</v>
      </c>
      <c r="D17" s="91" t="s">
        <v>40</v>
      </c>
      <c r="E17" s="295">
        <f t="shared" ref="E17:F19" si="8">+E9-E13</f>
        <v>3545.483951400387</v>
      </c>
      <c r="F17" s="296">
        <f t="shared" si="8"/>
        <v>2483.8993899999914</v>
      </c>
      <c r="G17" s="297">
        <f t="shared" si="0"/>
        <v>-1061.5845614003956</v>
      </c>
      <c r="H17" s="298">
        <f>+H9-H13</f>
        <v>2837.1165280000059</v>
      </c>
      <c r="I17" s="299">
        <f t="shared" si="1"/>
        <v>-353.21713800001453</v>
      </c>
      <c r="J17" s="295">
        <f t="shared" ref="J17:K17" si="9">+J9-J13</f>
        <v>7730.805120733814</v>
      </c>
      <c r="K17" s="296">
        <f t="shared" si="9"/>
        <v>5961.9485040000145</v>
      </c>
      <c r="L17" s="297">
        <f t="shared" si="4"/>
        <v>-1768.8566167337995</v>
      </c>
      <c r="M17" s="298">
        <f>+M9-M13</f>
        <v>7495.3481179999799</v>
      </c>
      <c r="N17" s="299">
        <f t="shared" si="5"/>
        <v>-1533.3996139999654</v>
      </c>
      <c r="O17" s="82"/>
      <c r="P17" s="85"/>
      <c r="Q17" s="159" t="s">
        <v>60</v>
      </c>
      <c r="R17" s="166" t="s">
        <v>16</v>
      </c>
      <c r="S17" s="179">
        <f>+[4]수도권!$Q$90</f>
        <v>18719.086432827316</v>
      </c>
      <c r="T17" s="100">
        <f>+[4]수도권!$R$90</f>
        <v>15872.127855729108</v>
      </c>
      <c r="U17" s="279">
        <f t="shared" si="6"/>
        <v>-2846.9585770982085</v>
      </c>
      <c r="V17" s="280">
        <f>+[5]수도권!$Q$90</f>
        <v>16372.588453780394</v>
      </c>
      <c r="W17" s="281">
        <f t="shared" si="7"/>
        <v>-500.46059805128607</v>
      </c>
      <c r="X17" s="86"/>
    </row>
    <row r="18" spans="2:27" ht="21.75" customHeight="1" x14ac:dyDescent="0.3">
      <c r="C18" s="83"/>
      <c r="D18" s="87" t="s">
        <v>1</v>
      </c>
      <c r="E18" s="293">
        <f t="shared" si="8"/>
        <v>22.46626487455319</v>
      </c>
      <c r="F18" s="294">
        <f t="shared" si="8"/>
        <v>-60.974967999999762</v>
      </c>
      <c r="G18" s="270">
        <f t="shared" si="0"/>
        <v>-83.441232874552952</v>
      </c>
      <c r="H18" s="271">
        <f>+H10-H14</f>
        <v>102.96457201000021</v>
      </c>
      <c r="I18" s="272">
        <f t="shared" si="1"/>
        <v>-163.93954000999997</v>
      </c>
      <c r="J18" s="293">
        <f t="shared" ref="J18:K18" si="10">+J10-J14</f>
        <v>-79.88071392476013</v>
      </c>
      <c r="K18" s="294">
        <f t="shared" si="10"/>
        <v>-337.20126700000037</v>
      </c>
      <c r="L18" s="270">
        <f t="shared" si="4"/>
        <v>-257.32055307524024</v>
      </c>
      <c r="M18" s="271">
        <f>+M10-M14</f>
        <v>-260.35341599999902</v>
      </c>
      <c r="N18" s="272">
        <f t="shared" si="5"/>
        <v>-76.847851000001356</v>
      </c>
      <c r="O18" s="82"/>
      <c r="P18" s="85"/>
      <c r="Q18" s="160"/>
      <c r="R18" s="167" t="s">
        <v>17</v>
      </c>
      <c r="S18" s="180">
        <f>+[4]영남권!$Q$90</f>
        <v>24105.580352049627</v>
      </c>
      <c r="T18" s="101">
        <f>+[4]영남권!$R$90</f>
        <v>20469.319821591373</v>
      </c>
      <c r="U18" s="282">
        <f t="shared" si="6"/>
        <v>-3636.2605304582539</v>
      </c>
      <c r="V18" s="283">
        <f>+[5]영남권!$Q$90</f>
        <v>19312.770977202876</v>
      </c>
      <c r="W18" s="284">
        <f t="shared" si="7"/>
        <v>1156.5488443884969</v>
      </c>
      <c r="X18" s="86"/>
    </row>
    <row r="19" spans="2:27" ht="21.75" customHeight="1" x14ac:dyDescent="0.3">
      <c r="C19" s="83"/>
      <c r="D19" s="97" t="s">
        <v>4</v>
      </c>
      <c r="E19" s="300">
        <f t="shared" si="8"/>
        <v>65.020373666660873</v>
      </c>
      <c r="F19" s="301">
        <f t="shared" si="8"/>
        <v>37.238225999999997</v>
      </c>
      <c r="G19" s="273">
        <f t="shared" si="0"/>
        <v>-27.782147666660876</v>
      </c>
      <c r="H19" s="274">
        <f>+H11-H15</f>
        <v>95.865009000003511</v>
      </c>
      <c r="I19" s="275">
        <f t="shared" si="1"/>
        <v>-58.626783000003513</v>
      </c>
      <c r="J19" s="300">
        <f t="shared" ref="J19:K19" si="11">+J11-J15</f>
        <v>704.51580666667451</v>
      </c>
      <c r="K19" s="301">
        <f t="shared" si="11"/>
        <v>837.52258200000006</v>
      </c>
      <c r="L19" s="273">
        <f t="shared" si="4"/>
        <v>133.00677533332555</v>
      </c>
      <c r="M19" s="274">
        <f>+M11-M15</f>
        <v>187.0992149999729</v>
      </c>
      <c r="N19" s="275">
        <f t="shared" si="5"/>
        <v>650.42336700002716</v>
      </c>
      <c r="O19" s="82"/>
      <c r="P19" s="85"/>
      <c r="Q19" s="160"/>
      <c r="R19" s="168" t="s">
        <v>103</v>
      </c>
      <c r="S19" s="181">
        <f>+[4]중부권!$Q$90</f>
        <v>26543.508989244539</v>
      </c>
      <c r="T19" s="103">
        <f>+[4]중부권!$R$90</f>
        <v>21439.31780484179</v>
      </c>
      <c r="U19" s="285">
        <f t="shared" si="6"/>
        <v>-5104.1911844027491</v>
      </c>
      <c r="V19" s="286">
        <f>+[5]중부권!$Q$90</f>
        <v>24648.00757753494</v>
      </c>
      <c r="W19" s="287">
        <f t="shared" si="7"/>
        <v>-3208.6897726931493</v>
      </c>
      <c r="X19" s="86"/>
    </row>
    <row r="20" spans="2:27" ht="21.75" customHeight="1" x14ac:dyDescent="0.3">
      <c r="C20" s="98" t="s">
        <v>8</v>
      </c>
      <c r="D20" s="99"/>
      <c r="E20" s="300">
        <f>SUM(E17:E19)</f>
        <v>3632.9705899416012</v>
      </c>
      <c r="F20" s="301">
        <f>SUM(F17:F19)</f>
        <v>2460.1626479999918</v>
      </c>
      <c r="G20" s="273">
        <f t="shared" si="0"/>
        <v>-1172.8079419416094</v>
      </c>
      <c r="H20" s="274">
        <f>SUM(H17:H19)</f>
        <v>3035.9461090100094</v>
      </c>
      <c r="I20" s="275">
        <f t="shared" si="1"/>
        <v>-575.78346101001762</v>
      </c>
      <c r="J20" s="300">
        <f>SUM(J17:J19)</f>
        <v>8355.4402134757293</v>
      </c>
      <c r="K20" s="301">
        <f>SUM(K17:K19)</f>
        <v>6462.2698190000137</v>
      </c>
      <c r="L20" s="273">
        <f t="shared" si="4"/>
        <v>-1893.1703944757155</v>
      </c>
      <c r="M20" s="274">
        <f>SUM(M17:M19)</f>
        <v>7422.0939169999538</v>
      </c>
      <c r="N20" s="275">
        <f t="shared" si="5"/>
        <v>-959.82409799994002</v>
      </c>
      <c r="O20" s="82"/>
      <c r="P20" s="85"/>
      <c r="Q20" s="161" t="s">
        <v>58</v>
      </c>
      <c r="R20" s="169"/>
      <c r="S20" s="182">
        <f>+[4]합계!$Q$90</f>
        <v>22425.814373614965</v>
      </c>
      <c r="T20" s="104">
        <f>+[4]합계!$R$90</f>
        <v>18745.93065493193</v>
      </c>
      <c r="U20" s="288">
        <f t="shared" si="6"/>
        <v>-3679.8837186830351</v>
      </c>
      <c r="V20" s="289">
        <f>+[5]합계!$Q$90</f>
        <v>19361.121552651719</v>
      </c>
      <c r="W20" s="290">
        <f t="shared" si="7"/>
        <v>-615.19089771978906</v>
      </c>
      <c r="X20" s="86"/>
    </row>
    <row r="21" spans="2:27" ht="21.75" customHeight="1" x14ac:dyDescent="0.3">
      <c r="C21" s="90" t="s">
        <v>6</v>
      </c>
      <c r="D21" s="91" t="s">
        <v>40</v>
      </c>
      <c r="E21" s="295">
        <f>+('[1]4월'!$Z$13+'[1]4월'!$Z$20+'[1]4월'!$Z$22)/1000</f>
        <v>2328.7164887802091</v>
      </c>
      <c r="F21" s="296">
        <f>+('[2]4월'!$Z$13+'[2]4월'!$Z$20+'[2]4월'!$Z$22)/1000</f>
        <v>2339.6023527565217</v>
      </c>
      <c r="G21" s="297">
        <f t="shared" si="0"/>
        <v>10.885863976312521</v>
      </c>
      <c r="H21" s="298">
        <f>+('[3]4월'!$Z$13+'[3]4월'!$Z$20+'[3]4월'!$Z$22)/1000</f>
        <v>2326.3461287689197</v>
      </c>
      <c r="I21" s="299">
        <f t="shared" si="1"/>
        <v>13.25622398760197</v>
      </c>
      <c r="J21" s="295">
        <f>+('[1]4월누계'!$Z$13+'[1]4월누계'!$Z$20+'[1]4월누계'!$Z$22)/1000</f>
        <v>8774.6158447371799</v>
      </c>
      <c r="K21" s="296">
        <f>+('[2]4월누계'!$Z$13+'[2]4월누계'!$Z$20+'[2]4월누계'!$Z$22)/1000</f>
        <v>9044.6837327719477</v>
      </c>
      <c r="L21" s="297">
        <f t="shared" si="4"/>
        <v>270.06788803476775</v>
      </c>
      <c r="M21" s="298">
        <f>+('[3]4월누계'!$Z$13+'[3]4월누계'!$Z$20+'[3]4월누계'!$Z$22)/1000</f>
        <v>8579.4126618720402</v>
      </c>
      <c r="N21" s="299">
        <f t="shared" si="5"/>
        <v>465.2710708999075</v>
      </c>
      <c r="O21" s="82"/>
      <c r="P21" s="85"/>
      <c r="Q21" s="133" t="s">
        <v>87</v>
      </c>
      <c r="R21" s="138"/>
      <c r="S21" s="66"/>
      <c r="T21" s="139"/>
      <c r="U21" s="66"/>
      <c r="V21" s="523"/>
      <c r="W21" s="523"/>
      <c r="X21" s="86"/>
    </row>
    <row r="22" spans="2:27" ht="21.75" customHeight="1" x14ac:dyDescent="0.3">
      <c r="C22" s="83"/>
      <c r="D22" s="87" t="s">
        <v>1</v>
      </c>
      <c r="E22" s="293">
        <f>+('[1]4월'!$AE$13+'[1]4월'!$AE$20+'[1]4월'!$AE$22)/1000</f>
        <v>49.48731543525976</v>
      </c>
      <c r="F22" s="294">
        <f>+('[2]4월'!$AN$13+'[2]4월'!$AN$20+'[2]4월'!$AN$22)/1000</f>
        <v>49.154012247695618</v>
      </c>
      <c r="G22" s="270">
        <f t="shared" si="0"/>
        <v>-0.33330318756414101</v>
      </c>
      <c r="H22" s="271">
        <f>+('[3]4월'!$AN$13+'[3]4월'!$AN$20+'[3]4월'!$AN$22)/1000</f>
        <v>45.658013234615105</v>
      </c>
      <c r="I22" s="272">
        <f t="shared" si="1"/>
        <v>3.4959990130805139</v>
      </c>
      <c r="J22" s="293">
        <f>+('[1]4월누계'!$AE$13+'[1]4월누계'!$AE$20+'[1]4월누계'!$AE$22)/1000</f>
        <v>202.39496818378782</v>
      </c>
      <c r="K22" s="294">
        <f>+('[2]4월누계'!$AN$13+'[2]4월누계'!$AN$20+'[2]4월누계'!$AN$22)/1000</f>
        <v>204.99205122815607</v>
      </c>
      <c r="L22" s="270">
        <f t="shared" si="4"/>
        <v>2.5970830443682473</v>
      </c>
      <c r="M22" s="271">
        <f>+('[3]4월누계'!$AN$13+'[3]4월누계'!$AN$20+'[3]4월누계'!$AN$22)/1000</f>
        <v>187.38508721705841</v>
      </c>
      <c r="N22" s="272">
        <f t="shared" si="5"/>
        <v>17.606964011097659</v>
      </c>
      <c r="O22" s="82"/>
      <c r="P22" s="85"/>
      <c r="Q22" s="513" t="s">
        <v>11</v>
      </c>
      <c r="R22" s="514"/>
      <c r="S22" s="515" t="s">
        <v>12</v>
      </c>
      <c r="T22" s="516" t="s">
        <v>13</v>
      </c>
      <c r="U22" s="517" t="s">
        <v>91</v>
      </c>
      <c r="V22" s="516" t="s">
        <v>14</v>
      </c>
      <c r="W22" s="518" t="s">
        <v>92</v>
      </c>
      <c r="X22" s="86"/>
    </row>
    <row r="23" spans="2:27" ht="21.75" customHeight="1" x14ac:dyDescent="0.3">
      <c r="C23" s="83"/>
      <c r="D23" s="97" t="s">
        <v>4</v>
      </c>
      <c r="E23" s="300">
        <f>+('[1]4월'!$AL$13+'[1]4월'!$AV$13+'[1]4월'!$AL$20+'[1]4월'!$AV$20+'[1]4월'!$AL$22+'[1]4월'!$AV$22)/1000</f>
        <v>81.055168999999992</v>
      </c>
      <c r="F23" s="301">
        <f>+('[2]4월'!$F$13+'[2]4월'!$F$20+'[2]4월'!$F$22)/1000-F21-F22-('[2]4월'!$AO$13+'[2]4월'!$AO$20+'[2]4월'!$AO$22)/1000</f>
        <v>58.292378000000298</v>
      </c>
      <c r="G23" s="273">
        <f t="shared" si="0"/>
        <v>-22.762790999999694</v>
      </c>
      <c r="H23" s="274">
        <f>+('[3]4월'!$F$13+'[3]4월'!$F$20+'[3]4월'!$F$22)/1000-H21-H22-('[3]4월'!$AO$13+'[3]4월'!$AO$20+'[3]4월'!$AO$22)/1000</f>
        <v>56.121235999999328</v>
      </c>
      <c r="I23" s="275">
        <f t="shared" si="1"/>
        <v>2.1711420000009696</v>
      </c>
      <c r="J23" s="300">
        <f>+('[1]4월누계'!$AL$13+'[1]4월누계'!$AV$13+'[1]4월누계'!$AL$20+'[1]4월누계'!$AV$20+'[1]4월누계'!$AL$22+'[1]4월누계'!$AV$22)/1000</f>
        <v>238.20217099999999</v>
      </c>
      <c r="K23" s="301">
        <f>+('[2]4월누계'!$F$13+'[2]4월누계'!$F$20+'[2]4월누계'!$F$22)/1000-K21-K22-('[2]4월누계'!$AO$13+'[2]4월누계'!$AO$20+'[2]4월누계'!$AO$22)/1000</f>
        <v>10.092243999999596</v>
      </c>
      <c r="L23" s="273">
        <f t="shared" si="4"/>
        <v>-228.1099270000004</v>
      </c>
      <c r="M23" s="274">
        <f>+('[3]4월누계'!$F$13+'[3]4월누계'!$F$20+'[3]4월누계'!$F$22)/1000-M21-M22-('[3]4월누계'!$AO$13+'[3]4월누계'!$AO$20+'[3]4월누계'!$AO$22)/1000</f>
        <v>1150.5075119100002</v>
      </c>
      <c r="N23" s="275">
        <f t="shared" si="5"/>
        <v>-1140.4152679100007</v>
      </c>
      <c r="O23" s="82"/>
      <c r="P23" s="85"/>
      <c r="Q23" s="543" t="s">
        <v>88</v>
      </c>
      <c r="R23" s="544" t="s">
        <v>89</v>
      </c>
      <c r="S23" s="189">
        <f>+[6]원가손익!$W$10+[7]원가손익!$U$27+[8]손익!$F$10</f>
        <v>45808.284382284386</v>
      </c>
      <c r="T23" s="195">
        <f>+[6]원가손익!$X$10+[7]원가손익!$V$27+[8]손익!$G$10</f>
        <v>50775</v>
      </c>
      <c r="U23" s="192">
        <f>+T23-S23</f>
        <v>4966.7156177156139</v>
      </c>
      <c r="V23" s="173">
        <f>+[9]원가손익!$X$10+[10]원가손익!$V$27+[11]손익!$Y$25</f>
        <v>43755</v>
      </c>
      <c r="W23" s="170">
        <f>+T23-V23</f>
        <v>7020</v>
      </c>
      <c r="X23" s="86"/>
    </row>
    <row r="24" spans="2:27" ht="21.75" customHeight="1" x14ac:dyDescent="0.3">
      <c r="C24" s="98" t="s">
        <v>8</v>
      </c>
      <c r="D24" s="99"/>
      <c r="E24" s="300">
        <f>SUM(E21:E23)</f>
        <v>2459.2589732154693</v>
      </c>
      <c r="F24" s="301">
        <f>SUM(F21:F23)</f>
        <v>2447.0487430042176</v>
      </c>
      <c r="G24" s="273">
        <f t="shared" si="0"/>
        <v>-12.210230211251655</v>
      </c>
      <c r="H24" s="274">
        <f>SUM(H21:H23)</f>
        <v>2428.1253780035345</v>
      </c>
      <c r="I24" s="275">
        <f t="shared" si="1"/>
        <v>18.923365000683134</v>
      </c>
      <c r="J24" s="300">
        <f>SUM(J21:J23)</f>
        <v>9215.2129839209683</v>
      </c>
      <c r="K24" s="301">
        <f>SUM(K21:K23)</f>
        <v>9259.7680280001041</v>
      </c>
      <c r="L24" s="273">
        <f t="shared" si="4"/>
        <v>44.555044079135769</v>
      </c>
      <c r="M24" s="274">
        <f>SUM(M21:M23)</f>
        <v>9917.3052609990991</v>
      </c>
      <c r="N24" s="275">
        <f t="shared" si="5"/>
        <v>-657.53723299899502</v>
      </c>
      <c r="O24" s="82"/>
      <c r="P24" s="85"/>
      <c r="Q24" s="545"/>
      <c r="R24" s="546" t="s">
        <v>90</v>
      </c>
      <c r="S24" s="191">
        <f>+[6]원가손익!$W$14+[7]원가손익!$U$29+[8]손익!$F$12</f>
        <v>25160</v>
      </c>
      <c r="T24" s="130">
        <f>+[6]원가손익!$X$14+[7]원가손익!$V$29+[8]손익!$G$12</f>
        <v>20718</v>
      </c>
      <c r="U24" s="194">
        <f>+T24-S24</f>
        <v>-4442</v>
      </c>
      <c r="V24" s="65">
        <f>+[9]원가손익!$X$14+[10]원가손익!$V$29+[11]손익!$Y$27</f>
        <v>24270</v>
      </c>
      <c r="W24" s="172">
        <f>+T24-V24</f>
        <v>-3552</v>
      </c>
      <c r="X24" s="86"/>
    </row>
    <row r="25" spans="2:27" ht="21.75" customHeight="1" x14ac:dyDescent="0.3">
      <c r="C25" s="83" t="s">
        <v>7</v>
      </c>
      <c r="D25" s="91" t="s">
        <v>40</v>
      </c>
      <c r="E25" s="295">
        <f>+E17-E21</f>
        <v>1216.7674626201779</v>
      </c>
      <c r="F25" s="302">
        <f>+F17-F21</f>
        <v>144.29703724346973</v>
      </c>
      <c r="G25" s="297">
        <f t="shared" si="0"/>
        <v>-1072.4704253767081</v>
      </c>
      <c r="H25" s="298">
        <f>+H17-H21</f>
        <v>510.77039923108623</v>
      </c>
      <c r="I25" s="299">
        <f t="shared" si="1"/>
        <v>-366.4733619876165</v>
      </c>
      <c r="J25" s="295">
        <f>+J17-J21</f>
        <v>-1043.810724003366</v>
      </c>
      <c r="K25" s="302">
        <f>+K17-K21</f>
        <v>-3082.7352287719332</v>
      </c>
      <c r="L25" s="297">
        <f t="shared" si="4"/>
        <v>-2038.9245047685672</v>
      </c>
      <c r="M25" s="298">
        <f>+M17-M21</f>
        <v>-1084.0645438720603</v>
      </c>
      <c r="N25" s="299">
        <f t="shared" si="5"/>
        <v>-1998.6706848998729</v>
      </c>
      <c r="O25" s="82"/>
      <c r="P25" s="85"/>
      <c r="Q25" s="511" t="s">
        <v>98</v>
      </c>
      <c r="R25" s="512"/>
      <c r="S25" s="191">
        <f>SUM(S23:S24)</f>
        <v>70968.284382284386</v>
      </c>
      <c r="T25" s="130">
        <f>SUM(T23:T24)</f>
        <v>71493</v>
      </c>
      <c r="U25" s="194">
        <f>+T25-S25</f>
        <v>524.71561771561392</v>
      </c>
      <c r="V25" s="65">
        <f>SUM(V23:V24)</f>
        <v>68025</v>
      </c>
      <c r="W25" s="172">
        <f>+T25-V25</f>
        <v>3468</v>
      </c>
      <c r="X25" s="86"/>
    </row>
    <row r="26" spans="2:27" ht="21.75" customHeight="1" x14ac:dyDescent="0.3">
      <c r="C26" s="83"/>
      <c r="D26" s="105" t="s">
        <v>10</v>
      </c>
      <c r="E26" s="183">
        <f>+E25/E9</f>
        <v>4.4051381257557587E-2</v>
      </c>
      <c r="F26" s="187">
        <f>+F25/F9</f>
        <v>5.2428877981936517E-3</v>
      </c>
      <c r="G26" s="185">
        <f t="shared" si="0"/>
        <v>-3.8808493459363935E-2</v>
      </c>
      <c r="H26" s="106">
        <f>+H25/H9</f>
        <v>1.8735442620462294E-2</v>
      </c>
      <c r="I26" s="107">
        <f t="shared" si="1"/>
        <v>-1.3492554822268642E-2</v>
      </c>
      <c r="J26" s="183">
        <f>+J25/J9</f>
        <v>-1.1479993681056793E-2</v>
      </c>
      <c r="K26" s="187">
        <f>+K25/K9</f>
        <v>-3.4819225144655838E-2</v>
      </c>
      <c r="L26" s="185">
        <f t="shared" si="4"/>
        <v>-2.3339231463599043E-2</v>
      </c>
      <c r="M26" s="106">
        <f>+M25/M9</f>
        <v>-1.1765590049825079E-2</v>
      </c>
      <c r="N26" s="107">
        <f t="shared" si="5"/>
        <v>-2.3053635094830757E-2</v>
      </c>
      <c r="O26" s="82"/>
      <c r="P26" s="85"/>
      <c r="Q26" s="133" t="s">
        <v>110</v>
      </c>
      <c r="R26" s="523"/>
      <c r="S26" s="523"/>
      <c r="T26" s="523"/>
      <c r="U26" s="523"/>
      <c r="V26" s="523"/>
      <c r="W26" s="523"/>
      <c r="X26" s="86"/>
    </row>
    <row r="27" spans="2:27" ht="21.75" customHeight="1" x14ac:dyDescent="0.3">
      <c r="C27" s="83"/>
      <c r="D27" s="87" t="s">
        <v>1</v>
      </c>
      <c r="E27" s="293">
        <f>+E18-E22</f>
        <v>-27.02105056070657</v>
      </c>
      <c r="F27" s="294">
        <f>+F18-F22</f>
        <v>-110.12898024769538</v>
      </c>
      <c r="G27" s="270">
        <f t="shared" si="0"/>
        <v>-83.107929686988811</v>
      </c>
      <c r="H27" s="271">
        <f>+H18-H22</f>
        <v>57.306558775385106</v>
      </c>
      <c r="I27" s="272">
        <f t="shared" si="1"/>
        <v>-167.43553902308048</v>
      </c>
      <c r="J27" s="293">
        <f>+J18-J22</f>
        <v>-282.27568210854793</v>
      </c>
      <c r="K27" s="294">
        <f>+K18-K22</f>
        <v>-542.19331822815639</v>
      </c>
      <c r="L27" s="270">
        <f t="shared" si="4"/>
        <v>-259.91763611960846</v>
      </c>
      <c r="M27" s="271">
        <f>+M18-M22</f>
        <v>-447.73850321705743</v>
      </c>
      <c r="N27" s="272">
        <f t="shared" si="5"/>
        <v>-94.454815011098958</v>
      </c>
      <c r="O27" s="82"/>
      <c r="P27" s="85"/>
      <c r="Q27" s="513" t="s">
        <v>11</v>
      </c>
      <c r="R27" s="514"/>
      <c r="S27" s="515" t="s">
        <v>12</v>
      </c>
      <c r="T27" s="516" t="s">
        <v>13</v>
      </c>
      <c r="U27" s="517" t="s">
        <v>91</v>
      </c>
      <c r="V27" s="516" t="s">
        <v>14</v>
      </c>
      <c r="W27" s="518" t="s">
        <v>92</v>
      </c>
      <c r="X27" s="86"/>
    </row>
    <row r="28" spans="2:27" ht="21.75" customHeight="1" x14ac:dyDescent="0.3">
      <c r="B28" s="80"/>
      <c r="C28" s="83"/>
      <c r="D28" s="97" t="s">
        <v>4</v>
      </c>
      <c r="E28" s="300">
        <f>+E19-E23</f>
        <v>-16.034795333339119</v>
      </c>
      <c r="F28" s="301">
        <f>+F19-F23</f>
        <v>-21.0541520000003</v>
      </c>
      <c r="G28" s="273">
        <f t="shared" si="0"/>
        <v>-5.0193566666611815</v>
      </c>
      <c r="H28" s="274">
        <f>+H19-H23</f>
        <v>39.743773000004182</v>
      </c>
      <c r="I28" s="275">
        <f t="shared" si="1"/>
        <v>-60.797925000004483</v>
      </c>
      <c r="J28" s="300">
        <f>+J19-J23</f>
        <v>466.31363566667449</v>
      </c>
      <c r="K28" s="301">
        <f>+K19-K23</f>
        <v>827.43033800000046</v>
      </c>
      <c r="L28" s="273">
        <f t="shared" si="4"/>
        <v>361.11670233332597</v>
      </c>
      <c r="M28" s="274">
        <f>+M19-M23</f>
        <v>-963.40829691002727</v>
      </c>
      <c r="N28" s="275">
        <f t="shared" si="5"/>
        <v>1790.8386349100278</v>
      </c>
      <c r="O28" s="82"/>
      <c r="P28" s="85"/>
      <c r="Q28" s="590" t="s">
        <v>102</v>
      </c>
      <c r="R28" s="591"/>
      <c r="S28" s="215">
        <f>+'사업장별(당월)'!T32</f>
        <v>25.462031000000003</v>
      </c>
      <c r="T28" s="216">
        <f>+'사업장별(당월)'!U32</f>
        <v>22.270322</v>
      </c>
      <c r="U28" s="217">
        <f>+T28-S28</f>
        <v>-3.191709000000003</v>
      </c>
      <c r="V28" s="218">
        <f>+'사업장별(당월)'!W32</f>
        <v>23.021931000000002</v>
      </c>
      <c r="W28" s="219">
        <f>+T28-V28</f>
        <v>-0.75160900000000197</v>
      </c>
      <c r="X28" s="86"/>
    </row>
    <row r="29" spans="2:27" ht="21.75" customHeight="1" x14ac:dyDescent="0.3">
      <c r="C29" s="83" t="s">
        <v>8</v>
      </c>
      <c r="D29" s="102"/>
      <c r="E29" s="293">
        <f>+E25+E27+E28</f>
        <v>1173.7116167261322</v>
      </c>
      <c r="F29" s="303">
        <f>+F25+F27+F28</f>
        <v>13.11390499577405</v>
      </c>
      <c r="G29" s="270">
        <f t="shared" si="0"/>
        <v>-1160.5977117303582</v>
      </c>
      <c r="H29" s="271">
        <f>+H25+H27+H28</f>
        <v>607.82073100647563</v>
      </c>
      <c r="I29" s="272">
        <f t="shared" si="1"/>
        <v>-594.70682601070155</v>
      </c>
      <c r="J29" s="293">
        <f>+J25+J27+J28</f>
        <v>-859.77277044523942</v>
      </c>
      <c r="K29" s="303">
        <f>+K25+K27+K28</f>
        <v>-2797.498209000089</v>
      </c>
      <c r="L29" s="270">
        <f t="shared" si="4"/>
        <v>-1937.7254385548495</v>
      </c>
      <c r="M29" s="271">
        <f>+M25+M27+M28</f>
        <v>-2495.2113439991449</v>
      </c>
      <c r="N29" s="272">
        <f t="shared" si="5"/>
        <v>-302.28686500094409</v>
      </c>
      <c r="O29" s="82"/>
      <c r="P29" s="85"/>
      <c r="Q29" s="592" t="s">
        <v>44</v>
      </c>
      <c r="R29" s="593"/>
      <c r="S29" s="156">
        <f>+'사업장별(당월)'!T33</f>
        <v>72.847672666666682</v>
      </c>
      <c r="T29" s="225">
        <f>+'사업장별(당월)'!U33</f>
        <v>4.3341139999999996</v>
      </c>
      <c r="U29" s="157">
        <f>+T29-S29</f>
        <v>-68.513558666666682</v>
      </c>
      <c r="V29" s="226">
        <f>+'사업장별(당월)'!W33</f>
        <v>63.367074000000002</v>
      </c>
      <c r="W29" s="158">
        <f>+T29-V29</f>
        <v>-59.032960000000003</v>
      </c>
      <c r="X29" s="86"/>
    </row>
    <row r="30" spans="2:27" ht="21.75" customHeight="1" thickBot="1" x14ac:dyDescent="0.35">
      <c r="B30" s="211"/>
      <c r="C30" s="108"/>
      <c r="D30" s="109" t="s">
        <v>9</v>
      </c>
      <c r="E30" s="184">
        <f>+E29/E12</f>
        <v>4.0466341482514601E-2</v>
      </c>
      <c r="F30" s="188">
        <f>+F29/F12</f>
        <v>4.5251385449297045E-4</v>
      </c>
      <c r="G30" s="186">
        <f t="shared" si="0"/>
        <v>-4.001382762802163E-2</v>
      </c>
      <c r="H30" s="110">
        <f>+H29/H12</f>
        <v>2.1083064743832525E-2</v>
      </c>
      <c r="I30" s="111">
        <f t="shared" si="1"/>
        <v>-2.0630550889339554E-2</v>
      </c>
      <c r="J30" s="184">
        <f>+J29/J12</f>
        <v>-8.9242105338881942E-3</v>
      </c>
      <c r="K30" s="188">
        <f>+K29/K12</f>
        <v>-2.9797614768738111E-2</v>
      </c>
      <c r="L30" s="186">
        <f t="shared" si="4"/>
        <v>-2.0873404234849915E-2</v>
      </c>
      <c r="M30" s="110">
        <f>+M29/M12</f>
        <v>-2.5524709429377603E-2</v>
      </c>
      <c r="N30" s="111">
        <f t="shared" si="5"/>
        <v>-4.2729053393605089E-3</v>
      </c>
      <c r="O30" s="82"/>
      <c r="P30" s="85"/>
      <c r="Q30" s="594" t="s">
        <v>29</v>
      </c>
      <c r="R30" s="595"/>
      <c r="S30" s="232">
        <f>+'사업장별(당월)'!T34</f>
        <v>-1643.5339707802093</v>
      </c>
      <c r="T30" s="233">
        <f>+'사업장별(당월)'!U34</f>
        <v>-1645.6350397565216</v>
      </c>
      <c r="U30" s="234">
        <f>+T30-S30</f>
        <v>-2.1010689763122627</v>
      </c>
      <c r="V30" s="235">
        <f>+'사업장별(당월)'!W34</f>
        <v>-1654.8984837689195</v>
      </c>
      <c r="W30" s="236">
        <f>+T30-V30</f>
        <v>9.2634440123979402</v>
      </c>
      <c r="X30" s="86"/>
      <c r="Z30" s="211"/>
      <c r="AA30" s="211"/>
    </row>
    <row r="31" spans="2:27" ht="21.75" customHeight="1" thickTop="1" thickBot="1" x14ac:dyDescent="0.35">
      <c r="B31" s="211"/>
      <c r="C31" s="542" t="s">
        <v>173</v>
      </c>
      <c r="O31" s="82"/>
      <c r="P31" s="85"/>
      <c r="Q31" s="596" t="s">
        <v>101</v>
      </c>
      <c r="R31" s="597"/>
      <c r="S31" s="227">
        <f>+S32-S28-S29-S30</f>
        <v>-114.34449900000482</v>
      </c>
      <c r="T31" s="228">
        <f>+T32-T28-T29-T30</f>
        <v>-47.658588000007967</v>
      </c>
      <c r="U31" s="229">
        <f>+T31-S31</f>
        <v>66.68591099999685</v>
      </c>
      <c r="V31" s="230">
        <f>+V32-V28-V29-V30</f>
        <v>-46.645231999992347</v>
      </c>
      <c r="W31" s="231">
        <f>+T31-V31</f>
        <v>-1.0133560000156194</v>
      </c>
      <c r="X31" s="86"/>
    </row>
    <row r="32" spans="2:27" ht="21.75" customHeight="1" thickTop="1" x14ac:dyDescent="0.3">
      <c r="B32" s="211"/>
      <c r="C32" s="534" t="s">
        <v>169</v>
      </c>
      <c r="D32" s="536"/>
      <c r="E32" s="537">
        <f>+IFERROR(HLOOKUP($E$5,[12]손익!$G$5:$AI$54,2,),)</f>
        <v>9400</v>
      </c>
      <c r="F32" s="541">
        <f>+'[2]4월'!$AO$7</f>
        <v>3426.7159999999999</v>
      </c>
      <c r="G32" s="538">
        <f t="shared" ref="G32:G33" si="12">+F32-E32</f>
        <v>-5973.2839999999997</v>
      </c>
      <c r="H32" s="539">
        <f>+'[3]4월'!$AO$7</f>
        <v>11123.664999999999</v>
      </c>
      <c r="I32" s="540">
        <f t="shared" ref="I32:I33" si="13">+F32-H32</f>
        <v>-7696.9489999999987</v>
      </c>
      <c r="J32" s="537">
        <f>+'[1]4월누계'!$AA$7</f>
        <v>32900</v>
      </c>
      <c r="K32" s="541">
        <f>+'[2]4월누계'!$AO$7</f>
        <v>17304.953999999998</v>
      </c>
      <c r="L32" s="538">
        <f t="shared" ref="L32:L33" si="14">+K32-J32</f>
        <v>-15595.046000000002</v>
      </c>
      <c r="M32" s="539">
        <f>+'[3]4월누계'!$AO$7</f>
        <v>45346.46</v>
      </c>
      <c r="N32" s="540">
        <f t="shared" ref="N32:N33" si="15">+K32-M32</f>
        <v>-28041.506000000001</v>
      </c>
      <c r="O32" s="82"/>
      <c r="P32" s="85"/>
      <c r="Q32" s="677" t="s">
        <v>100</v>
      </c>
      <c r="R32" s="678"/>
      <c r="S32" s="220">
        <f>+'사업장별(당월)'!T40</f>
        <v>-1659.5687661135473</v>
      </c>
      <c r="T32" s="221">
        <f>+'사업장별(당월)'!U40</f>
        <v>-1666.6891917565295</v>
      </c>
      <c r="U32" s="222">
        <f>+T32-S32</f>
        <v>-7.1204256429821271</v>
      </c>
      <c r="V32" s="223">
        <f>+'사업장별(당월)'!W40</f>
        <v>-1615.1547107689119</v>
      </c>
      <c r="W32" s="224">
        <f>+T32-V32</f>
        <v>-51.534480987617599</v>
      </c>
      <c r="X32" s="86"/>
      <c r="Z32" s="211"/>
      <c r="AA32" s="211"/>
    </row>
    <row r="33" spans="2:31" ht="21.75" customHeight="1" x14ac:dyDescent="0.3">
      <c r="B33" s="211"/>
      <c r="C33" s="534" t="s">
        <v>170</v>
      </c>
      <c r="D33" s="535"/>
      <c r="E33" s="293">
        <f>+IFERROR(HLOOKUP($E$5,[12]손익!$G$5:$AI$54,3,),)/1000</f>
        <v>9270.2921250000018</v>
      </c>
      <c r="F33" s="294">
        <f>+'[2]4월'!$AO$8/1000</f>
        <v>4012.7001420000001</v>
      </c>
      <c r="G33" s="270">
        <f t="shared" si="12"/>
        <v>-5257.5919830000021</v>
      </c>
      <c r="H33" s="271">
        <f>+'[3]4월'!$AO$8/1000</f>
        <v>10147.504217</v>
      </c>
      <c r="I33" s="272">
        <f t="shared" si="13"/>
        <v>-6134.804075</v>
      </c>
      <c r="J33" s="293">
        <f>+'[1]4월누계'!$AA$8/1000</f>
        <v>31857.361427</v>
      </c>
      <c r="K33" s="294">
        <f>+'[2]4월누계'!$AO$8/1000</f>
        <v>18007.081888999997</v>
      </c>
      <c r="L33" s="270">
        <f t="shared" si="14"/>
        <v>-13850.279538000003</v>
      </c>
      <c r="M33" s="271">
        <f>+'[3]4월누계'!$AO$8/1000</f>
        <v>38439.847709000001</v>
      </c>
      <c r="N33" s="272">
        <f t="shared" si="15"/>
        <v>-20432.765820000004</v>
      </c>
      <c r="O33" s="82"/>
      <c r="P33" s="85"/>
      <c r="X33" s="86"/>
      <c r="Z33" s="211"/>
      <c r="AA33" s="211"/>
    </row>
    <row r="34" spans="2:31" ht="21.75" customHeight="1" x14ac:dyDescent="0.3">
      <c r="B34" s="211"/>
      <c r="C34" s="534" t="s">
        <v>171</v>
      </c>
      <c r="D34" s="598"/>
      <c r="E34" s="291">
        <f>+IFERROR(HLOOKUP($E$5,[12]손익!$G$5:$AI$54,7,),)/1000</f>
        <v>222.93703000000119</v>
      </c>
      <c r="F34" s="292">
        <f>+'[2]4월'!$AO$12/1000</f>
        <v>113.28871499999985</v>
      </c>
      <c r="G34" s="267">
        <f>+F34-E34</f>
        <v>-109.64831500000133</v>
      </c>
      <c r="H34" s="268">
        <f>+'[3]4월'!$AO$12/1000</f>
        <v>167.74385900000109</v>
      </c>
      <c r="I34" s="269">
        <f>+F34-H34</f>
        <v>-54.455144000001241</v>
      </c>
      <c r="J34" s="291">
        <f>+'[1]4월누계'!$AA$12/1000</f>
        <v>705.6833360000029</v>
      </c>
      <c r="K34" s="292">
        <f>+'[2]4월누계'!$AO$12/1000</f>
        <v>445.18366399999707</v>
      </c>
      <c r="L34" s="267">
        <f>+K34-J34</f>
        <v>-260.49967200000583</v>
      </c>
      <c r="M34" s="268">
        <f>+'[3]4월누계'!$AO$12/1000</f>
        <v>500.15995799999683</v>
      </c>
      <c r="N34" s="269">
        <f>+K34-M34</f>
        <v>-54.976293999999768</v>
      </c>
      <c r="O34" s="82"/>
      <c r="P34" s="85"/>
      <c r="Q34" s="133" t="s">
        <v>84</v>
      </c>
      <c r="R34" s="138"/>
      <c r="S34" s="66"/>
      <c r="T34" s="139"/>
      <c r="U34" s="66"/>
      <c r="V34" s="523"/>
      <c r="W34" s="523"/>
      <c r="X34" s="86"/>
      <c r="Z34" s="211"/>
      <c r="AA34" s="211"/>
    </row>
    <row r="35" spans="2:31" ht="21.75" customHeight="1" x14ac:dyDescent="0.3">
      <c r="B35" s="211"/>
      <c r="C35" s="599" t="s">
        <v>180</v>
      </c>
      <c r="D35" s="600"/>
      <c r="E35" s="601">
        <f>+E34/E33</f>
        <v>2.4048544209171956E-2</v>
      </c>
      <c r="F35" s="602">
        <f t="shared" ref="F35" si="16">+F34/F33</f>
        <v>2.8232539435038565E-2</v>
      </c>
      <c r="G35" s="603">
        <f t="shared" ref="G35:G37" si="17">+F35-E35</f>
        <v>4.1839952258666095E-3</v>
      </c>
      <c r="H35" s="604">
        <f>+H34/H33</f>
        <v>1.6530553268357524E-2</v>
      </c>
      <c r="I35" s="605">
        <f>+I34/I33</f>
        <v>8.8764275654559088E-3</v>
      </c>
      <c r="J35" s="601">
        <f>+J34/J33</f>
        <v>2.2151342873045245E-2</v>
      </c>
      <c r="K35" s="602">
        <f t="shared" ref="K35" si="18">+K34/K33</f>
        <v>2.4722698921691849E-2</v>
      </c>
      <c r="L35" s="603">
        <f>+K35-J35</f>
        <v>2.5713560486466044E-3</v>
      </c>
      <c r="M35" s="604">
        <f>+M34/M33</f>
        <v>1.3011496866125547E-2</v>
      </c>
      <c r="N35" s="605">
        <f>+K35-M35</f>
        <v>1.1711202055566302E-2</v>
      </c>
      <c r="O35" s="82"/>
      <c r="P35" s="85"/>
      <c r="Q35" s="203" t="s">
        <v>11</v>
      </c>
      <c r="R35" s="204"/>
      <c r="S35" s="205" t="s">
        <v>12</v>
      </c>
      <c r="T35" s="206" t="s">
        <v>13</v>
      </c>
      <c r="U35" s="207" t="s">
        <v>91</v>
      </c>
      <c r="V35" s="206" t="s">
        <v>14</v>
      </c>
      <c r="W35" s="208" t="s">
        <v>92</v>
      </c>
      <c r="X35" s="86"/>
      <c r="Z35" s="211"/>
      <c r="AA35" s="211"/>
      <c r="AD35" s="81"/>
      <c r="AE35" s="211"/>
    </row>
    <row r="36" spans="2:31" ht="21.75" customHeight="1" x14ac:dyDescent="0.3">
      <c r="B36" s="211"/>
      <c r="C36" s="534" t="s">
        <v>172</v>
      </c>
      <c r="D36" s="598"/>
      <c r="E36" s="291">
        <f>+IFERROR(HLOOKUP($E$5,[12]손익!$G$5:$AI$54,20,),)/1000</f>
        <v>2.0257728657245897</v>
      </c>
      <c r="F36" s="292">
        <f>+'[2]4월'!$AO$26/1000</f>
        <v>-75.818011000000141</v>
      </c>
      <c r="G36" s="267">
        <f t="shared" si="17"/>
        <v>-77.843783865724731</v>
      </c>
      <c r="H36" s="268">
        <f>+'[3]4월'!$AO$26/1000</f>
        <v>-0.2715459999988834</v>
      </c>
      <c r="I36" s="269">
        <f>+F36-H36</f>
        <v>-75.546465000001263</v>
      </c>
      <c r="J36" s="291">
        <f>+'[1]4월누계'!$AA$26/1000</f>
        <v>-83.401738363269658</v>
      </c>
      <c r="K36" s="292">
        <f>+'[2]4월누계'!$AO$26/1000</f>
        <v>-173.31427600000296</v>
      </c>
      <c r="L36" s="267">
        <f>+K36-J36</f>
        <v>-89.912537636733305</v>
      </c>
      <c r="M36" s="268">
        <f>+'[3]4월누계'!$AO$26/1000</f>
        <v>-106.5829320000032</v>
      </c>
      <c r="N36" s="269">
        <f>+K36-M36</f>
        <v>-66.731343999999766</v>
      </c>
      <c r="O36" s="82"/>
      <c r="P36" s="85"/>
      <c r="Q36" s="134" t="s">
        <v>85</v>
      </c>
      <c r="R36" s="135"/>
      <c r="S36" s="189">
        <f>+'[13]4월'!$F$10</f>
        <v>766053.19148936169</v>
      </c>
      <c r="T36" s="195">
        <f>+'[13]4월'!$G$10</f>
        <v>844269.96080212074</v>
      </c>
      <c r="U36" s="192">
        <f>+T36-S36</f>
        <v>78216.769312759046</v>
      </c>
      <c r="V36" s="173">
        <f>+'[14]4월'!$G$10</f>
        <v>800210.93236806407</v>
      </c>
      <c r="W36" s="170">
        <f>+T36-V36</f>
        <v>44059.028434056672</v>
      </c>
      <c r="X36" s="86"/>
      <c r="AA36" s="211"/>
    </row>
    <row r="37" spans="2:31" ht="20.100000000000001" customHeight="1" thickBot="1" x14ac:dyDescent="0.35">
      <c r="C37" s="599" t="s">
        <v>180</v>
      </c>
      <c r="D37" s="600"/>
      <c r="E37" s="601">
        <f>+E36/E33</f>
        <v>2.1852308842150854E-4</v>
      </c>
      <c r="F37" s="607">
        <f t="shared" ref="F37" si="19">+F36/F33</f>
        <v>-1.8894512003633322E-2</v>
      </c>
      <c r="G37" s="603">
        <f t="shared" si="17"/>
        <v>-1.9113035092054829E-2</v>
      </c>
      <c r="H37" s="604">
        <f>+H36/H33</f>
        <v>-2.6759880478193392E-5</v>
      </c>
      <c r="I37" s="605">
        <f>+F37-H37</f>
        <v>-1.8867752123155127E-2</v>
      </c>
      <c r="J37" s="601">
        <f>+J36/J33</f>
        <v>-2.6179738254337778E-3</v>
      </c>
      <c r="K37" s="607">
        <f t="shared" ref="K37" si="20">+K36/K33</f>
        <v>-9.6247841303968087E-3</v>
      </c>
      <c r="L37" s="603">
        <f>+K37-J37</f>
        <v>-7.006810304963031E-3</v>
      </c>
      <c r="M37" s="604">
        <f>+M36/M33</f>
        <v>-2.7727199339306623E-3</v>
      </c>
      <c r="N37" s="605">
        <f>+K37-M37</f>
        <v>-6.8520641964661469E-3</v>
      </c>
      <c r="P37" s="524"/>
      <c r="Q37" s="136" t="s">
        <v>86</v>
      </c>
      <c r="R37" s="137"/>
      <c r="S37" s="190">
        <f>+'[13]4월'!$F$15</f>
        <v>2.0025274618450471E-2</v>
      </c>
      <c r="T37" s="196">
        <f>+'[13]4월'!$G$15</f>
        <v>2.9344533567263464E-2</v>
      </c>
      <c r="U37" s="193">
        <f>+T37-S37</f>
        <v>9.3192589488129939E-3</v>
      </c>
      <c r="V37" s="174">
        <f>+'[14]4월'!$G$15</f>
        <v>1.4249312193258659E-2</v>
      </c>
      <c r="W37" s="171">
        <f>+T37-V37</f>
        <v>1.5095221374004805E-2</v>
      </c>
      <c r="X37" s="525"/>
    </row>
    <row r="38" spans="2:31" ht="17.25" thickTop="1" x14ac:dyDescent="0.3">
      <c r="N38" s="213"/>
      <c r="O38" s="213"/>
      <c r="P38" s="523"/>
      <c r="Q38" s="523"/>
      <c r="R38" s="523"/>
      <c r="S38" s="523"/>
      <c r="T38" s="523"/>
      <c r="U38" s="523"/>
      <c r="V38" s="523"/>
      <c r="W38" s="523"/>
      <c r="X38" s="523"/>
    </row>
    <row r="39" spans="2:31" x14ac:dyDescent="0.3">
      <c r="E39" s="454">
        <f>+'[1]4월'!$E$26/1000</f>
        <v>1175.7373895918533</v>
      </c>
      <c r="F39" s="460">
        <f>+'[2]4월'!$F$26/1000</f>
        <v>-62.704106004226254</v>
      </c>
      <c r="G39" s="460"/>
      <c r="H39" s="460">
        <f>+'[3]4월'!$F$26/1000</f>
        <v>607.54918500647273</v>
      </c>
      <c r="I39" s="460"/>
      <c r="J39" s="606">
        <f>+'[1]4월누계'!$E$26/1000</f>
        <v>-943.17450880849367</v>
      </c>
      <c r="K39" s="606">
        <f>+'[2]4월누계'!$F$26/1000</f>
        <v>-2970.8124850001041</v>
      </c>
      <c r="L39" s="606"/>
      <c r="M39" s="606">
        <f>+'[3]4월누계'!$F$26/1000</f>
        <v>-2601.7942759991429</v>
      </c>
      <c r="P39" s="523"/>
      <c r="Q39" s="523"/>
      <c r="R39" s="523"/>
      <c r="S39" s="523"/>
      <c r="T39" s="523"/>
      <c r="U39" s="523"/>
      <c r="V39" s="523"/>
      <c r="W39" s="523"/>
      <c r="X39" s="523"/>
    </row>
    <row r="40" spans="2:31" x14ac:dyDescent="0.3">
      <c r="E40" s="214">
        <f>+(E29+E36)-E39</f>
        <v>3.4106051316484809E-12</v>
      </c>
      <c r="F40" s="214">
        <f>+(F29+F36)-F39</f>
        <v>1.6342482922482304E-13</v>
      </c>
      <c r="G40" s="212"/>
      <c r="H40" s="214">
        <f>+(H29+H36)-H39</f>
        <v>3.979039320256561E-12</v>
      </c>
      <c r="I40" s="212"/>
      <c r="J40" s="214">
        <f>+(J29+J36)-J39</f>
        <v>-1.5347723092418164E-11</v>
      </c>
      <c r="K40" s="214">
        <f>+(K29+K36)-K39</f>
        <v>1.2278178473934531E-11</v>
      </c>
      <c r="L40" s="212"/>
      <c r="M40" s="214">
        <f>+(M29+M36)-M39</f>
        <v>-5.0022208597511053E-12</v>
      </c>
      <c r="N40" s="212"/>
      <c r="O40" s="81"/>
      <c r="P40" s="81"/>
    </row>
    <row r="42" spans="2:31" x14ac:dyDescent="0.3">
      <c r="E42" s="80"/>
      <c r="F42" s="80"/>
      <c r="G42" s="80"/>
    </row>
  </sheetData>
  <mergeCells count="3">
    <mergeCell ref="Q32:R32"/>
    <mergeCell ref="C5:D6"/>
    <mergeCell ref="P5:X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1" tint="0.34998626667073579"/>
    <pageSetUpPr fitToPage="1"/>
  </sheetPr>
  <dimension ref="A1:AF28"/>
  <sheetViews>
    <sheetView showGridLines="0" showZeros="0" topLeftCell="E1" zoomScale="85" zoomScaleNormal="85" zoomScaleSheetLayoutView="85" workbookViewId="0">
      <selection activeCell="E1" sqref="E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2"/>
      <c r="K1" s="4"/>
      <c r="L1" s="4"/>
      <c r="P1" s="4"/>
      <c r="Q1" s="4"/>
    </row>
    <row r="2" spans="1:32" ht="18" customHeight="1" x14ac:dyDescent="0.3">
      <c r="H2" s="5"/>
    </row>
    <row r="3" spans="1:32" ht="26.25" x14ac:dyDescent="0.3">
      <c r="H3" s="2" t="s">
        <v>210</v>
      </c>
    </row>
    <row r="4" spans="1:32" ht="18" customHeight="1" x14ac:dyDescent="0.3">
      <c r="H4" s="5"/>
    </row>
    <row r="5" spans="1:32" ht="18" customHeight="1" x14ac:dyDescent="0.3">
      <c r="H5" s="685" t="s">
        <v>11</v>
      </c>
      <c r="I5" s="686"/>
      <c r="J5" s="508" t="s">
        <v>211</v>
      </c>
      <c r="K5" s="509"/>
      <c r="L5" s="509"/>
      <c r="M5" s="509"/>
      <c r="N5" s="509"/>
      <c r="O5" s="509"/>
      <c r="P5" s="509"/>
      <c r="Q5" s="509"/>
      <c r="R5" s="509"/>
      <c r="S5" s="510"/>
      <c r="T5" s="508" t="s">
        <v>212</v>
      </c>
      <c r="U5" s="509"/>
      <c r="V5" s="509"/>
      <c r="W5" s="509"/>
      <c r="X5" s="509"/>
      <c r="Y5" s="509"/>
      <c r="Z5" s="509"/>
      <c r="AA5" s="509"/>
      <c r="AB5" s="509"/>
      <c r="AC5" s="510"/>
    </row>
    <row r="6" spans="1:32" s="6" customFormat="1" ht="19.5" customHeight="1" x14ac:dyDescent="0.3">
      <c r="G6" s="304"/>
      <c r="H6" s="685"/>
      <c r="I6" s="686"/>
      <c r="J6" s="145" t="s">
        <v>97</v>
      </c>
      <c r="K6" s="146"/>
      <c r="L6" s="146"/>
      <c r="M6" s="146"/>
      <c r="N6" s="147"/>
      <c r="O6" s="145" t="s">
        <v>166</v>
      </c>
      <c r="P6" s="146"/>
      <c r="Q6" s="146"/>
      <c r="R6" s="146"/>
      <c r="S6" s="147"/>
      <c r="T6" s="145" t="s">
        <v>97</v>
      </c>
      <c r="U6" s="146"/>
      <c r="V6" s="146"/>
      <c r="W6" s="146"/>
      <c r="X6" s="147"/>
      <c r="Y6" s="145" t="s">
        <v>97</v>
      </c>
      <c r="Z6" s="146"/>
      <c r="AA6" s="146"/>
      <c r="AB6" s="146"/>
      <c r="AC6" s="147"/>
    </row>
    <row r="7" spans="1:32" s="6" customFormat="1" ht="19.5" customHeight="1" x14ac:dyDescent="0.3">
      <c r="A7" s="6" t="s">
        <v>168</v>
      </c>
      <c r="G7" s="304"/>
      <c r="H7" s="687"/>
      <c r="I7" s="688"/>
      <c r="J7" s="148" t="s">
        <v>12</v>
      </c>
      <c r="K7" s="149" t="s">
        <v>13</v>
      </c>
      <c r="L7" s="150" t="s">
        <v>28</v>
      </c>
      <c r="M7" s="149" t="s">
        <v>14</v>
      </c>
      <c r="N7" s="151" t="s">
        <v>28</v>
      </c>
      <c r="O7" s="148" t="s">
        <v>12</v>
      </c>
      <c r="P7" s="149" t="s">
        <v>13</v>
      </c>
      <c r="Q7" s="150" t="s">
        <v>28</v>
      </c>
      <c r="R7" s="149" t="s">
        <v>14</v>
      </c>
      <c r="S7" s="151" t="s">
        <v>28</v>
      </c>
      <c r="T7" s="148" t="s">
        <v>12</v>
      </c>
      <c r="U7" s="149" t="s">
        <v>13</v>
      </c>
      <c r="V7" s="150" t="s">
        <v>28</v>
      </c>
      <c r="W7" s="149" t="s">
        <v>14</v>
      </c>
      <c r="X7" s="151" t="s">
        <v>28</v>
      </c>
      <c r="Y7" s="148" t="s">
        <v>12</v>
      </c>
      <c r="Z7" s="149" t="s">
        <v>13</v>
      </c>
      <c r="AA7" s="150" t="s">
        <v>28</v>
      </c>
      <c r="AB7" s="149" t="s">
        <v>14</v>
      </c>
      <c r="AC7" s="151" t="s">
        <v>28</v>
      </c>
    </row>
    <row r="8" spans="1:32" s="6" customFormat="1" ht="22.5" customHeight="1" x14ac:dyDescent="0.3">
      <c r="B8" s="6" t="s">
        <v>18</v>
      </c>
      <c r="G8" s="305"/>
      <c r="H8" s="67" t="s">
        <v>40</v>
      </c>
      <c r="I8" s="68" t="s">
        <v>18</v>
      </c>
      <c r="J8" s="30">
        <f>+[4]안양!$H$86/1000</f>
        <v>492.29041057681684</v>
      </c>
      <c r="K8" s="31">
        <f>+[4]안양!$I$86/1000</f>
        <v>358.71954199999999</v>
      </c>
      <c r="L8" s="35">
        <f>+K8-J8</f>
        <v>-133.57086857681685</v>
      </c>
      <c r="M8" s="36">
        <f>+[5]안양!$H$86/1000</f>
        <v>321.01658199999946</v>
      </c>
      <c r="N8" s="34">
        <f>+K8-M8</f>
        <v>37.70296000000053</v>
      </c>
      <c r="O8" s="30">
        <f>+[4]안양!$H$92/1000</f>
        <v>264.60241328745428</v>
      </c>
      <c r="P8" s="31">
        <f>+[4]안양!$I$92/1000</f>
        <v>119.45106973283735</v>
      </c>
      <c r="Q8" s="35">
        <f>+P8-O8</f>
        <v>-145.15134355461691</v>
      </c>
      <c r="R8" s="36">
        <f>+[5]안양!$H$92/1000</f>
        <v>93.125329864520324</v>
      </c>
      <c r="S8" s="34">
        <f>+P8-R8</f>
        <v>26.325739868317029</v>
      </c>
      <c r="T8" s="30">
        <f>+[15]안양!$H$86/1000</f>
        <v>1177.9872762179868</v>
      </c>
      <c r="U8" s="31">
        <f>+[15]안양!$I$86/1000</f>
        <v>1130.2213350000002</v>
      </c>
      <c r="V8" s="35">
        <f>+U8-T8</f>
        <v>-47.765941217986665</v>
      </c>
      <c r="W8" s="36">
        <f>+[16]안양!$H$86/1000</f>
        <v>865.27362800000003</v>
      </c>
      <c r="X8" s="34">
        <f>+U8-W8</f>
        <v>264.94770700000015</v>
      </c>
      <c r="Y8" s="30">
        <f>+[15]안양!$H$92/1000</f>
        <v>314.75372477279103</v>
      </c>
      <c r="Z8" s="31">
        <f>+[15]안양!$I$92/1000</f>
        <v>129.53938158350834</v>
      </c>
      <c r="AA8" s="35">
        <f>+Z8-Y8</f>
        <v>-185.21434318928269</v>
      </c>
      <c r="AB8" s="36">
        <f>+[16]안양!$H$92/1000</f>
        <v>18.07536361617106</v>
      </c>
      <c r="AC8" s="34">
        <f>+Z8-AB8</f>
        <v>111.46401796733728</v>
      </c>
    </row>
    <row r="9" spans="1:32" s="6" customFormat="1" ht="22.5" customHeight="1" x14ac:dyDescent="0.3">
      <c r="B9" s="6" t="s">
        <v>19</v>
      </c>
      <c r="G9" s="306"/>
      <c r="H9" s="69" t="s">
        <v>41</v>
      </c>
      <c r="I9" s="70" t="s">
        <v>19</v>
      </c>
      <c r="J9" s="40">
        <f>+[4]인천!$H$86/1000</f>
        <v>290.24791259163709</v>
      </c>
      <c r="K9" s="41">
        <f>+[4]인천!$I$86/1000</f>
        <v>121.5899079999995</v>
      </c>
      <c r="L9" s="42">
        <f t="shared" ref="L9:L28" si="0">+K9-J9</f>
        <v>-168.65800459163759</v>
      </c>
      <c r="M9" s="43">
        <f>+[5]인천!$H$86/1000</f>
        <v>222.53656899999947</v>
      </c>
      <c r="N9" s="44">
        <f t="shared" ref="N9:N28" si="1">+K9-M9</f>
        <v>-100.94666099999998</v>
      </c>
      <c r="O9" s="40">
        <f>+[4]인천!$H$92/1000</f>
        <v>87.210875817822355</v>
      </c>
      <c r="P9" s="41">
        <f>+[4]인천!$I$92/1000</f>
        <v>-84.650800745943329</v>
      </c>
      <c r="Q9" s="42">
        <f t="shared" ref="Q9:Q28" si="2">+P9-O9</f>
        <v>-171.86167656376568</v>
      </c>
      <c r="R9" s="43">
        <f>+[5]인천!$H$92/1000</f>
        <v>25.4668275586472</v>
      </c>
      <c r="S9" s="44">
        <f t="shared" ref="S9:S28" si="3">+P9-R9</f>
        <v>-110.11762830459053</v>
      </c>
      <c r="T9" s="40">
        <f>+[15]인천!$H$86/1000</f>
        <v>458.58090527055475</v>
      </c>
      <c r="U9" s="41">
        <f>+[15]인천!$I$86/1000</f>
        <v>47.265003999999522</v>
      </c>
      <c r="V9" s="42">
        <f t="shared" ref="V9:V24" si="4">+U9-T9</f>
        <v>-411.31590127055523</v>
      </c>
      <c r="W9" s="43">
        <f>+[16]인천!$H$86/1000</f>
        <v>143.88324799999978</v>
      </c>
      <c r="X9" s="44">
        <f t="shared" ref="X9:X24" si="5">+U9-W9</f>
        <v>-96.61824400000026</v>
      </c>
      <c r="Y9" s="40">
        <f>+[15]인천!$H$92/1000</f>
        <v>-298.43558936708251</v>
      </c>
      <c r="Z9" s="41">
        <f>+[15]인천!$I$92/1000</f>
        <v>-705.61162108132817</v>
      </c>
      <c r="AA9" s="42">
        <f t="shared" ref="AA9:AA24" si="6">+Z9-Y9</f>
        <v>-407.17603171424565</v>
      </c>
      <c r="AB9" s="43">
        <f>+[16]인천!$H$92/1000</f>
        <v>-477.46226655456178</v>
      </c>
      <c r="AC9" s="44">
        <f t="shared" ref="AC9:AC24" si="7">+Z9-AB9</f>
        <v>-228.14935452676639</v>
      </c>
    </row>
    <row r="10" spans="1:32" s="6" customFormat="1" ht="22.5" customHeight="1" x14ac:dyDescent="0.3">
      <c r="B10" s="6" t="s">
        <v>20</v>
      </c>
      <c r="G10" s="306"/>
      <c r="H10" s="69"/>
      <c r="I10" s="70" t="s">
        <v>20</v>
      </c>
      <c r="J10" s="40">
        <f>+[4]파주!$H$86/1000</f>
        <v>74.264372705527109</v>
      </c>
      <c r="K10" s="41">
        <f>+[4]파주!$I$86/1000</f>
        <v>129.07579299999983</v>
      </c>
      <c r="L10" s="42">
        <f t="shared" si="0"/>
        <v>54.811420294472725</v>
      </c>
      <c r="M10" s="43">
        <f>+[5]파주!$H$86/1000</f>
        <v>-15.154132000000169</v>
      </c>
      <c r="N10" s="44">
        <f t="shared" si="1"/>
        <v>144.22992500000001</v>
      </c>
      <c r="O10" s="40">
        <f>+[4]파주!$H$92/1000</f>
        <v>-23.246892031607597</v>
      </c>
      <c r="P10" s="41">
        <f>+[4]파주!$I$92/1000</f>
        <v>14.777371925597238</v>
      </c>
      <c r="Q10" s="42">
        <f t="shared" si="2"/>
        <v>38.024263957204838</v>
      </c>
      <c r="R10" s="43">
        <f>+[5]파주!$H$92/1000</f>
        <v>-90.48307298735736</v>
      </c>
      <c r="S10" s="44">
        <f t="shared" si="3"/>
        <v>105.2604449129546</v>
      </c>
      <c r="T10" s="40">
        <f>+[15]파주!$H$86/1000</f>
        <v>-113.85017168523419</v>
      </c>
      <c r="U10" s="41">
        <f>+[15]파주!$I$86/1000</f>
        <v>-215.00812200000084</v>
      </c>
      <c r="V10" s="42">
        <f t="shared" si="4"/>
        <v>-101.15795031476665</v>
      </c>
      <c r="W10" s="43">
        <f>+[16]파주!$H$86/1000</f>
        <v>-312.75034800000009</v>
      </c>
      <c r="X10" s="44">
        <f t="shared" si="5"/>
        <v>97.742225999999249</v>
      </c>
      <c r="Y10" s="40">
        <f>+[15]파주!$H$92/1000</f>
        <v>-426.82498919924211</v>
      </c>
      <c r="Z10" s="41">
        <f>+[15]파주!$I$92/1000</f>
        <v>-523.85204409313235</v>
      </c>
      <c r="AA10" s="42">
        <f t="shared" si="6"/>
        <v>-97.027054893890238</v>
      </c>
      <c r="AB10" s="43">
        <f>+[16]파주!$H$92/1000</f>
        <v>-565.26698797078768</v>
      </c>
      <c r="AC10" s="44">
        <f t="shared" si="7"/>
        <v>41.414943877655332</v>
      </c>
    </row>
    <row r="11" spans="1:32" s="6" customFormat="1" ht="22.5" customHeight="1" x14ac:dyDescent="0.3">
      <c r="B11" s="6" t="s">
        <v>107</v>
      </c>
      <c r="G11" s="306"/>
      <c r="H11" s="69"/>
      <c r="I11" s="70" t="s">
        <v>106</v>
      </c>
      <c r="J11" s="40">
        <f>+[4]김포!$H$86/1000</f>
        <v>92.02937218854025</v>
      </c>
      <c r="K11" s="41">
        <f>+[4]김포!$I$86/1000</f>
        <v>110.17715899999999</v>
      </c>
      <c r="L11" s="42">
        <f t="shared" si="0"/>
        <v>18.147786811459738</v>
      </c>
      <c r="M11" s="43">
        <f>+[5]김포!$H$86/1000</f>
        <v>64.832589999999954</v>
      </c>
      <c r="N11" s="44">
        <f t="shared" si="1"/>
        <v>45.344569000000035</v>
      </c>
      <c r="O11" s="40">
        <f>+[4]김포!$H$92/1000</f>
        <v>7.6733731057457186</v>
      </c>
      <c r="P11" s="41">
        <f>+[4]김포!$I$92/1000</f>
        <v>8.3064531058093412</v>
      </c>
      <c r="Q11" s="42">
        <f t="shared" si="2"/>
        <v>0.63308000006362253</v>
      </c>
      <c r="R11" s="43">
        <f>+[5]김포!$H$92/1000</f>
        <v>-5.3107250189830815</v>
      </c>
      <c r="S11" s="44">
        <f t="shared" si="3"/>
        <v>13.617178124792423</v>
      </c>
      <c r="T11" s="40">
        <f>+[15]김포!$H$86/1000</f>
        <v>35.074517314517301</v>
      </c>
      <c r="U11" s="41">
        <f>+[15]김포!$I$86/1000</f>
        <v>-93.164256999998727</v>
      </c>
      <c r="V11" s="42">
        <f t="shared" si="4"/>
        <v>-128.23877431451604</v>
      </c>
      <c r="W11" s="43">
        <f>+[16]김포!$H$86/1000</f>
        <v>-50.511174000000636</v>
      </c>
      <c r="X11" s="44">
        <f t="shared" si="5"/>
        <v>-42.653082999998091</v>
      </c>
      <c r="Y11" s="40">
        <f>+[15]김포!$H$92/1000</f>
        <v>-240.66160460223338</v>
      </c>
      <c r="Z11" s="41">
        <f>+[15]김포!$I$92/1000</f>
        <v>-387.7621602602195</v>
      </c>
      <c r="AA11" s="42">
        <f t="shared" si="6"/>
        <v>-147.10055565798612</v>
      </c>
      <c r="AB11" s="43">
        <f>+[16]김포!$H$92/1000</f>
        <v>-264.77052700380165</v>
      </c>
      <c r="AC11" s="44">
        <f t="shared" si="7"/>
        <v>-122.99163325641786</v>
      </c>
    </row>
    <row r="12" spans="1:32" s="6" customFormat="1" ht="22.5" customHeight="1" x14ac:dyDescent="0.3">
      <c r="B12" s="6" t="s">
        <v>21</v>
      </c>
      <c r="G12" s="304"/>
      <c r="H12" s="69"/>
      <c r="I12" s="71" t="s">
        <v>21</v>
      </c>
      <c r="J12" s="57">
        <f>+[4]부산!$H$86/1000</f>
        <v>229.16261316560337</v>
      </c>
      <c r="K12" s="58">
        <f>+[4]부산!$I$86/1000</f>
        <v>200.10526100000016</v>
      </c>
      <c r="L12" s="59">
        <f t="shared" si="0"/>
        <v>-29.05735216560322</v>
      </c>
      <c r="M12" s="60">
        <f>+[5]부산!$H$86/1000</f>
        <v>112.51179200000007</v>
      </c>
      <c r="N12" s="61">
        <f t="shared" si="1"/>
        <v>87.593469000000084</v>
      </c>
      <c r="O12" s="57">
        <f>+[4]부산!$H$92/1000</f>
        <v>96.313094976187998</v>
      </c>
      <c r="P12" s="58">
        <f>+[4]부산!$I$92/1000</f>
        <v>52.00416971278883</v>
      </c>
      <c r="Q12" s="59">
        <f t="shared" si="2"/>
        <v>-44.308925263399168</v>
      </c>
      <c r="R12" s="60">
        <f>+[5]부산!$H$92/1000</f>
        <v>-21.087947861636493</v>
      </c>
      <c r="S12" s="61">
        <f t="shared" si="3"/>
        <v>73.092117574425316</v>
      </c>
      <c r="T12" s="57">
        <f>+[15]부산!$H$86/1000</f>
        <v>642.3627933185021</v>
      </c>
      <c r="U12" s="58">
        <f>+[15]부산!$I$86/1000</f>
        <v>1003.6039910000009</v>
      </c>
      <c r="V12" s="59">
        <f t="shared" si="4"/>
        <v>361.24119768149876</v>
      </c>
      <c r="W12" s="60">
        <f>+[16]부산!$H$86/1000</f>
        <v>676.07838300000014</v>
      </c>
      <c r="X12" s="61">
        <f t="shared" si="5"/>
        <v>327.52560800000072</v>
      </c>
      <c r="Y12" s="57">
        <f>+[15]부산!$H$92/1000</f>
        <v>82.293803366491687</v>
      </c>
      <c r="Z12" s="58">
        <f>+[15]부산!$I$92/1000</f>
        <v>276.71733084934903</v>
      </c>
      <c r="AA12" s="59">
        <f t="shared" si="6"/>
        <v>194.42352748285734</v>
      </c>
      <c r="AB12" s="60">
        <f>+[16]부산!$H$92/1000</f>
        <v>158.47276574652736</v>
      </c>
      <c r="AC12" s="61">
        <f t="shared" si="7"/>
        <v>118.24456510282167</v>
      </c>
      <c r="AD12" s="457"/>
      <c r="AE12" s="81"/>
    </row>
    <row r="13" spans="1:32" s="6" customFormat="1" ht="22.5" customHeight="1" x14ac:dyDescent="0.3">
      <c r="B13" s="6" t="s">
        <v>22</v>
      </c>
      <c r="G13" s="304"/>
      <c r="H13" s="69"/>
      <c r="I13" s="70" t="s">
        <v>22</v>
      </c>
      <c r="J13" s="40">
        <f>+[4]서부산!$H$86/1000</f>
        <v>350.38967946287261</v>
      </c>
      <c r="K13" s="41">
        <f>+[4]서부산!$I$86/1000</f>
        <v>165.79219199999986</v>
      </c>
      <c r="L13" s="42">
        <f t="shared" si="0"/>
        <v>-184.59748746287275</v>
      </c>
      <c r="M13" s="43">
        <f>+[5]서부산!$H$86/1000</f>
        <v>155.86616599999999</v>
      </c>
      <c r="N13" s="44">
        <f t="shared" si="1"/>
        <v>9.9260259999998652</v>
      </c>
      <c r="O13" s="40">
        <f>+[4]서부산!$H$92/1000</f>
        <v>216.43258955449957</v>
      </c>
      <c r="P13" s="41">
        <f>+[4]서부산!$I$92/1000</f>
        <v>27.845856491376267</v>
      </c>
      <c r="Q13" s="42">
        <f t="shared" si="2"/>
        <v>-188.58673306312329</v>
      </c>
      <c r="R13" s="43">
        <f>+[5]서부산!$H$92/1000</f>
        <v>37.372245726746378</v>
      </c>
      <c r="S13" s="44">
        <f t="shared" si="3"/>
        <v>-9.526389235370111</v>
      </c>
      <c r="T13" s="40">
        <f>+[15]서부산!$H$86/1000</f>
        <v>910.42828423283345</v>
      </c>
      <c r="U13" s="41">
        <f>+[15]서부산!$I$86/1000</f>
        <v>554.00182499999971</v>
      </c>
      <c r="V13" s="42">
        <f t="shared" si="4"/>
        <v>-356.42645923283374</v>
      </c>
      <c r="W13" s="43">
        <f>+[16]서부산!$H$86/1000</f>
        <v>414.88534899999888</v>
      </c>
      <c r="X13" s="44">
        <f t="shared" si="5"/>
        <v>139.11647600000083</v>
      </c>
      <c r="Y13" s="40">
        <f>+[15]서부산!$H$92/1000</f>
        <v>379.12548258534821</v>
      </c>
      <c r="Z13" s="41">
        <f>+[15]서부산!$I$92/1000</f>
        <v>43.590912271636014</v>
      </c>
      <c r="AA13" s="42">
        <f t="shared" si="6"/>
        <v>-335.53457031371221</v>
      </c>
      <c r="AB13" s="43">
        <f>+[16]서부산!$H$92/1000</f>
        <v>-14.663704229924829</v>
      </c>
      <c r="AC13" s="44">
        <f t="shared" si="7"/>
        <v>58.254616501560847</v>
      </c>
    </row>
    <row r="14" spans="1:32" s="6" customFormat="1" ht="22.5" customHeight="1" x14ac:dyDescent="0.3">
      <c r="B14" s="6" t="s">
        <v>23</v>
      </c>
      <c r="G14" s="304"/>
      <c r="H14" s="69"/>
      <c r="I14" s="70" t="s">
        <v>23</v>
      </c>
      <c r="J14" s="40">
        <f>+[4]김해!$H$86/1000</f>
        <v>79.709608372434801</v>
      </c>
      <c r="K14" s="41">
        <f>+[4]김해!$I$86/1000</f>
        <v>-7.4025450000000657</v>
      </c>
      <c r="L14" s="42">
        <f t="shared" si="0"/>
        <v>-87.112153372434861</v>
      </c>
      <c r="M14" s="43">
        <f>+[5]김해!$H$86/1000</f>
        <v>-22.904841000000086</v>
      </c>
      <c r="N14" s="44">
        <f t="shared" si="1"/>
        <v>15.502296000000021</v>
      </c>
      <c r="O14" s="40">
        <f>+[4]김해!$H$92/1000</f>
        <v>17.583949480982419</v>
      </c>
      <c r="P14" s="41">
        <f>+[4]김해!$I$92/1000</f>
        <v>-46.057923436057123</v>
      </c>
      <c r="Q14" s="42">
        <f t="shared" si="2"/>
        <v>-63.641872917039542</v>
      </c>
      <c r="R14" s="43">
        <f>+[5]김해!$H$92/1000</f>
        <v>-87.332458043536704</v>
      </c>
      <c r="S14" s="44">
        <f t="shared" si="3"/>
        <v>41.27453460747958</v>
      </c>
      <c r="T14" s="40">
        <f>+[15]김해!$H$86/1000</f>
        <v>74.222074035697204</v>
      </c>
      <c r="U14" s="41">
        <f>+[15]김해!$I$86/1000</f>
        <v>-125.69932399999988</v>
      </c>
      <c r="V14" s="42">
        <f t="shared" si="4"/>
        <v>-199.92139803569708</v>
      </c>
      <c r="W14" s="43">
        <f>+[16]김해!$H$86/1000</f>
        <v>-105.52443200000005</v>
      </c>
      <c r="X14" s="44">
        <f t="shared" si="5"/>
        <v>-20.174891999999829</v>
      </c>
      <c r="Y14" s="40">
        <f>+[15]김해!$H$92/1000</f>
        <v>-148.45447120049985</v>
      </c>
      <c r="Z14" s="41">
        <f>+[15]김해!$I$92/1000</f>
        <v>-293.7623766005313</v>
      </c>
      <c r="AA14" s="42">
        <f t="shared" si="6"/>
        <v>-145.30790540003144</v>
      </c>
      <c r="AB14" s="43">
        <f>+[16]김해!$H$92/1000</f>
        <v>-305.45461896555742</v>
      </c>
      <c r="AC14" s="44">
        <f t="shared" si="7"/>
        <v>11.692242365026118</v>
      </c>
      <c r="AF14" s="453"/>
    </row>
    <row r="15" spans="1:32" s="6" customFormat="1" ht="22.5" customHeight="1" x14ac:dyDescent="0.3">
      <c r="B15" s="6" t="s">
        <v>24</v>
      </c>
      <c r="G15" s="304"/>
      <c r="H15" s="69"/>
      <c r="I15" s="70" t="s">
        <v>24</v>
      </c>
      <c r="J15" s="40">
        <f>+[4]정관!$H$86/1000</f>
        <v>322.85638640773635</v>
      </c>
      <c r="K15" s="41">
        <f>+[4]정관!$I$86/1000</f>
        <v>160.08658900000003</v>
      </c>
      <c r="L15" s="42">
        <f t="shared" si="0"/>
        <v>-162.76979740773632</v>
      </c>
      <c r="M15" s="43">
        <f>+[5]정관!$H$86/1000</f>
        <v>280.09121400000009</v>
      </c>
      <c r="N15" s="44">
        <f t="shared" si="1"/>
        <v>-120.00462500000006</v>
      </c>
      <c r="O15" s="40">
        <f>+[4]정관!$H$92/1000</f>
        <v>179.68339618977984</v>
      </c>
      <c r="P15" s="41">
        <f>+[4]정관!$I$92/1000</f>
        <v>43.877796616739303</v>
      </c>
      <c r="Q15" s="42">
        <f t="shared" si="2"/>
        <v>-135.80559957304052</v>
      </c>
      <c r="R15" s="43">
        <f>+[5]정관!$H$92/1000</f>
        <v>126.85837716089084</v>
      </c>
      <c r="S15" s="44">
        <f t="shared" si="3"/>
        <v>-82.980580544151536</v>
      </c>
      <c r="T15" s="40">
        <f>+[15]정관!$H$86/1000</f>
        <v>699.57932265085026</v>
      </c>
      <c r="U15" s="41">
        <f>+[15]정관!$I$86/1000</f>
        <v>116.17425200000017</v>
      </c>
      <c r="V15" s="42">
        <f t="shared" si="4"/>
        <v>-583.40507065085012</v>
      </c>
      <c r="W15" s="43">
        <f>+[16]정관!$H$86/1000</f>
        <v>647.16190400000039</v>
      </c>
      <c r="X15" s="44">
        <f t="shared" si="5"/>
        <v>-530.98765200000025</v>
      </c>
      <c r="Y15" s="40">
        <f>+[15]정관!$H$92/1000</f>
        <v>127.73051014232985</v>
      </c>
      <c r="Z15" s="41">
        <f>+[15]정관!$I$92/1000</f>
        <v>-276.72598781974119</v>
      </c>
      <c r="AA15" s="42">
        <f t="shared" si="6"/>
        <v>-404.45649796207101</v>
      </c>
      <c r="AB15" s="43">
        <f>+[16]정관!$H$92/1000</f>
        <v>114.9319932426106</v>
      </c>
      <c r="AC15" s="44">
        <f t="shared" si="7"/>
        <v>-391.65798106235178</v>
      </c>
      <c r="AF15" s="453"/>
    </row>
    <row r="16" spans="1:32" s="6" customFormat="1" ht="22.5" customHeight="1" x14ac:dyDescent="0.3">
      <c r="B16" s="6" t="s">
        <v>25</v>
      </c>
      <c r="G16" s="304"/>
      <c r="H16" s="69"/>
      <c r="I16" s="70" t="s">
        <v>25</v>
      </c>
      <c r="J16" s="40">
        <f>+[4]양산!$H$86/1000</f>
        <v>116.98910613216604</v>
      </c>
      <c r="K16" s="41">
        <f>+[4]양산!$I$86/1000</f>
        <v>18.913597999999936</v>
      </c>
      <c r="L16" s="42">
        <f t="shared" si="0"/>
        <v>-98.075508132166107</v>
      </c>
      <c r="M16" s="43">
        <f>+[5]양산!$H$86/1000</f>
        <v>-26.417205999999922</v>
      </c>
      <c r="N16" s="44">
        <f t="shared" si="1"/>
        <v>45.330803999999858</v>
      </c>
      <c r="O16" s="40">
        <f>+[4]양산!$H$92/1000</f>
        <v>55.159849531963509</v>
      </c>
      <c r="P16" s="41">
        <f>+[4]양산!$I$92/1000</f>
        <v>-24.986756587314211</v>
      </c>
      <c r="Q16" s="42">
        <f t="shared" si="2"/>
        <v>-80.14660611927772</v>
      </c>
      <c r="R16" s="43">
        <f>+[5]양산!$H$92/1000</f>
        <v>-62.652884537840002</v>
      </c>
      <c r="S16" s="44">
        <f t="shared" si="3"/>
        <v>37.666127950525791</v>
      </c>
      <c r="T16" s="40">
        <f>+[15]양산!$H$86/1000</f>
        <v>103.39075043606761</v>
      </c>
      <c r="U16" s="41">
        <f>+[15]양산!$I$86/1000</f>
        <v>-65.455742000000228</v>
      </c>
      <c r="V16" s="42">
        <f t="shared" si="4"/>
        <v>-168.84649243606782</v>
      </c>
      <c r="W16" s="43">
        <f>+[16]양산!$H$86/1000</f>
        <v>20.936166999999944</v>
      </c>
      <c r="X16" s="44">
        <f t="shared" si="5"/>
        <v>-86.391909000000169</v>
      </c>
      <c r="Y16" s="40">
        <f>+[15]양산!$H$92/1000</f>
        <v>-102.46432995891027</v>
      </c>
      <c r="Z16" s="41">
        <f>+[15]양산!$I$92/1000</f>
        <v>-213.02397688341424</v>
      </c>
      <c r="AA16" s="42">
        <f t="shared" si="6"/>
        <v>-110.55964692450397</v>
      </c>
      <c r="AB16" s="43">
        <f>+[16]양산!$H$92/1000</f>
        <v>-164.1952814915243</v>
      </c>
      <c r="AC16" s="44">
        <f t="shared" si="7"/>
        <v>-48.828695391889937</v>
      </c>
      <c r="AF16" s="453"/>
    </row>
    <row r="17" spans="2:30" s="6" customFormat="1" ht="22.5" customHeight="1" x14ac:dyDescent="0.3">
      <c r="B17" s="6" t="s">
        <v>26</v>
      </c>
      <c r="G17" s="304"/>
      <c r="H17" s="69"/>
      <c r="I17" s="70" t="s">
        <v>26</v>
      </c>
      <c r="J17" s="40">
        <f>+[4]창원!$H$86/1000</f>
        <v>98.886576349705578</v>
      </c>
      <c r="K17" s="41">
        <f>+[4]창원!$I$86/1000</f>
        <v>73.953798000000077</v>
      </c>
      <c r="L17" s="42">
        <f t="shared" si="0"/>
        <v>-24.932778349705501</v>
      </c>
      <c r="M17" s="43">
        <f>+[5]창원!$H$86/1000</f>
        <v>126.42043699999992</v>
      </c>
      <c r="N17" s="44">
        <f t="shared" si="1"/>
        <v>-52.466638999999844</v>
      </c>
      <c r="O17" s="40">
        <f>+[4]창원!$H$92/1000</f>
        <v>21.242036760132091</v>
      </c>
      <c r="P17" s="41">
        <f>+[4]창원!$I$92/1000</f>
        <v>6.9318965435204154</v>
      </c>
      <c r="Q17" s="42">
        <f t="shared" si="2"/>
        <v>-14.310140216611675</v>
      </c>
      <c r="R17" s="43">
        <f>+[5]창원!$H$92/1000</f>
        <v>51.247642627949539</v>
      </c>
      <c r="S17" s="44">
        <f t="shared" si="3"/>
        <v>-44.315746084429122</v>
      </c>
      <c r="T17" s="40">
        <f>+[15]창원!$H$86/1000</f>
        <v>110.51912068725822</v>
      </c>
      <c r="U17" s="41">
        <f>+[15]창원!$I$86/1000</f>
        <v>82.022062999999875</v>
      </c>
      <c r="V17" s="42">
        <f t="shared" si="4"/>
        <v>-28.497057687258348</v>
      </c>
      <c r="W17" s="43">
        <f>+[16]창원!$H$86/1000</f>
        <v>332.12888100000038</v>
      </c>
      <c r="X17" s="44">
        <f t="shared" si="5"/>
        <v>-250.10681800000049</v>
      </c>
      <c r="Y17" s="40">
        <f>+[15]창원!$H$92/1000</f>
        <v>-168.5085363428596</v>
      </c>
      <c r="Z17" s="41">
        <f>+[15]창원!$I$92/1000</f>
        <v>-185.18599837900865</v>
      </c>
      <c r="AA17" s="42">
        <f t="shared" si="6"/>
        <v>-16.677462036149052</v>
      </c>
      <c r="AB17" s="43">
        <f>+[16]창원!$H$92/1000</f>
        <v>46.431075944969429</v>
      </c>
      <c r="AC17" s="44">
        <f t="shared" si="7"/>
        <v>-231.61707432397807</v>
      </c>
    </row>
    <row r="18" spans="2:30" s="6" customFormat="1" ht="22.5" customHeight="1" x14ac:dyDescent="0.3">
      <c r="B18" s="6" t="s">
        <v>69</v>
      </c>
      <c r="G18" s="304"/>
      <c r="H18" s="69"/>
      <c r="I18" s="70" t="s">
        <v>69</v>
      </c>
      <c r="J18" s="40">
        <f>+[4]대구!$H$86/1000</f>
        <v>19.577609131998745</v>
      </c>
      <c r="K18" s="41">
        <f>+[4]대구!$I$86/1000</f>
        <v>-79.863768000000022</v>
      </c>
      <c r="L18" s="42">
        <f t="shared" si="0"/>
        <v>-99.441377131998763</v>
      </c>
      <c r="M18" s="43">
        <f>+[5]대구!$H$86/1000</f>
        <v>50.698715999999983</v>
      </c>
      <c r="N18" s="44">
        <f t="shared" si="1"/>
        <v>-130.56248400000001</v>
      </c>
      <c r="O18" s="40">
        <f>+[4]대구!$H$92/1000</f>
        <v>-27.488533049958701</v>
      </c>
      <c r="P18" s="41">
        <f>+[4]대구!$I$92/1000</f>
        <v>-107.280705472085</v>
      </c>
      <c r="Q18" s="42">
        <f t="shared" si="2"/>
        <v>-79.792172422126299</v>
      </c>
      <c r="R18" s="43">
        <f>+[5]대구!$H$92/1000</f>
        <v>-15.464186585225615</v>
      </c>
      <c r="S18" s="44">
        <f t="shared" si="3"/>
        <v>-91.816518886859384</v>
      </c>
      <c r="T18" s="40">
        <f>+[15]대구!$H$86/1000</f>
        <v>-85.566446582109066</v>
      </c>
      <c r="U18" s="41">
        <f>+[15]대구!$I$86/1000</f>
        <v>-368.22257300000018</v>
      </c>
      <c r="V18" s="42">
        <f t="shared" si="4"/>
        <v>-282.65612641789113</v>
      </c>
      <c r="W18" s="43">
        <f>+[16]대구!$H$86/1000</f>
        <v>61.169039999999683</v>
      </c>
      <c r="X18" s="44">
        <f t="shared" si="5"/>
        <v>-429.39161299999989</v>
      </c>
      <c r="Y18" s="40">
        <f>+[15]대구!$H$92/1000</f>
        <v>-267.68118493534007</v>
      </c>
      <c r="Z18" s="41">
        <f>+[15]대구!$I$92/1000</f>
        <v>-470.7723280475866</v>
      </c>
      <c r="AA18" s="42">
        <f t="shared" si="6"/>
        <v>-203.09114311224653</v>
      </c>
      <c r="AB18" s="43">
        <f>+[16]대구!$H$92/1000</f>
        <v>-199.82176662868631</v>
      </c>
      <c r="AC18" s="44">
        <f t="shared" si="7"/>
        <v>-270.95056141890029</v>
      </c>
    </row>
    <row r="19" spans="2:30" s="6" customFormat="1" ht="22.5" customHeight="1" x14ac:dyDescent="0.3">
      <c r="B19" s="6" t="s">
        <v>70</v>
      </c>
      <c r="G19" s="306"/>
      <c r="H19" s="69"/>
      <c r="I19" s="72" t="s">
        <v>70</v>
      </c>
      <c r="J19" s="7">
        <f>+[4]울산!$H$86/1000</f>
        <v>94.836243740151474</v>
      </c>
      <c r="K19" s="8">
        <f>+[4]울산!$I$86/1000</f>
        <v>114.37949200000003</v>
      </c>
      <c r="L19" s="9">
        <f t="shared" si="0"/>
        <v>19.543248259848554</v>
      </c>
      <c r="M19" s="10">
        <f>+[5]울산!$H$86/1000</f>
        <v>174.90095600000021</v>
      </c>
      <c r="N19" s="11">
        <f t="shared" si="1"/>
        <v>-60.521464000000179</v>
      </c>
      <c r="O19" s="7">
        <f>+[4]울산!$H$92/1000</f>
        <v>21.516160337283246</v>
      </c>
      <c r="P19" s="8">
        <f>+[4]울산!$I$92/1000</f>
        <v>23.572614431847818</v>
      </c>
      <c r="Q19" s="9">
        <f t="shared" si="2"/>
        <v>2.0564540945645717</v>
      </c>
      <c r="R19" s="10">
        <f>+[5]울산!$H$92/1000</f>
        <v>84.876796357780137</v>
      </c>
      <c r="S19" s="11">
        <f t="shared" si="3"/>
        <v>-61.304181925932319</v>
      </c>
      <c r="T19" s="7">
        <f>+[15]울산!$H$86/1000</f>
        <v>49.217037921835029</v>
      </c>
      <c r="U19" s="8">
        <f>+[15]울산!$I$86/1000</f>
        <v>305.0152980000002</v>
      </c>
      <c r="V19" s="9">
        <f t="shared" si="4"/>
        <v>255.79826007816519</v>
      </c>
      <c r="W19" s="10">
        <f>+[16]울산!$H$86/1000</f>
        <v>419.25622299999964</v>
      </c>
      <c r="X19" s="11">
        <f t="shared" si="5"/>
        <v>-114.24092499999944</v>
      </c>
      <c r="Y19" s="7">
        <f>+[15]울산!$H$92/1000</f>
        <v>-203.19508438406567</v>
      </c>
      <c r="Z19" s="8">
        <f>+[15]울산!$I$92/1000</f>
        <v>-54.403004717080854</v>
      </c>
      <c r="AA19" s="9">
        <f t="shared" si="6"/>
        <v>148.79207966698482</v>
      </c>
      <c r="AB19" s="10">
        <f>+[16]울산!$H$92/1000</f>
        <v>104.82035971007787</v>
      </c>
      <c r="AC19" s="11">
        <f t="shared" si="7"/>
        <v>-159.22336442715871</v>
      </c>
    </row>
    <row r="20" spans="2:30" s="6" customFormat="1" ht="22.5" customHeight="1" x14ac:dyDescent="0.3">
      <c r="B20" s="6" t="s">
        <v>75</v>
      </c>
      <c r="G20" s="306"/>
      <c r="H20" s="69"/>
      <c r="I20" s="70" t="s">
        <v>27</v>
      </c>
      <c r="J20" s="40">
        <f>+[4]아산!$H$86/1000</f>
        <v>230.15450113350659</v>
      </c>
      <c r="K20" s="41">
        <f>+[4]아산!$I$86/1000</f>
        <v>133.83137599999998</v>
      </c>
      <c r="L20" s="42">
        <f t="shared" si="0"/>
        <v>-96.323125133506608</v>
      </c>
      <c r="M20" s="43">
        <f>+[5]아산!$H$86/1000</f>
        <v>177.27360899999982</v>
      </c>
      <c r="N20" s="44">
        <f t="shared" si="1"/>
        <v>-43.442232999999845</v>
      </c>
      <c r="O20" s="40">
        <f>+[4]아산!$H$92/1000</f>
        <v>97.573624136488561</v>
      </c>
      <c r="P20" s="41">
        <f>+[4]아산!$I$92/1000</f>
        <v>-7.8511643068766279</v>
      </c>
      <c r="Q20" s="42">
        <f t="shared" si="2"/>
        <v>-105.42478844336519</v>
      </c>
      <c r="R20" s="43">
        <f>+[5]아산!$H$92/1000</f>
        <v>46.164839084828095</v>
      </c>
      <c r="S20" s="44">
        <f t="shared" si="3"/>
        <v>-54.016003391704722</v>
      </c>
      <c r="T20" s="40">
        <f>+[15]아산!$H$86/1000</f>
        <v>189.96502210952019</v>
      </c>
      <c r="U20" s="41">
        <f>+[15]아산!$I$86/1000</f>
        <v>197.60790200000127</v>
      </c>
      <c r="V20" s="42">
        <f t="shared" si="4"/>
        <v>7.6428798904810833</v>
      </c>
      <c r="W20" s="43">
        <f>+[16]아산!$H$86/1000</f>
        <v>357.75960800000064</v>
      </c>
      <c r="X20" s="44">
        <f t="shared" si="5"/>
        <v>-160.15170599999936</v>
      </c>
      <c r="Y20" s="40">
        <f>+[15]아산!$H$92/1000</f>
        <v>-202.53093043530149</v>
      </c>
      <c r="Z20" s="41">
        <f>+[15]아산!$I$92/1000</f>
        <v>-327.99611148577407</v>
      </c>
      <c r="AA20" s="42">
        <f t="shared" si="6"/>
        <v>-125.46518105047258</v>
      </c>
      <c r="AB20" s="43">
        <f>+[16]아산!$H$92/1000</f>
        <v>-150.25034754676483</v>
      </c>
      <c r="AC20" s="44">
        <f t="shared" si="7"/>
        <v>-177.74576393900924</v>
      </c>
    </row>
    <row r="21" spans="2:30" s="6" customFormat="1" ht="22.5" customHeight="1" x14ac:dyDescent="0.3">
      <c r="B21" s="6" t="s">
        <v>71</v>
      </c>
      <c r="G21" s="306"/>
      <c r="H21" s="69"/>
      <c r="I21" s="70" t="s">
        <v>71</v>
      </c>
      <c r="J21" s="40">
        <f>+[4]전주!$H$86/1000</f>
        <v>129.2228211388888</v>
      </c>
      <c r="K21" s="41">
        <f>+[4]전주!$I$86/1000</f>
        <v>61.431892999999938</v>
      </c>
      <c r="L21" s="42">
        <f t="shared" si="0"/>
        <v>-67.790928138888859</v>
      </c>
      <c r="M21" s="43">
        <f>+[5]전주!$H$86/1000</f>
        <v>227.34831699999998</v>
      </c>
      <c r="N21" s="44">
        <f t="shared" si="1"/>
        <v>-165.91642400000003</v>
      </c>
      <c r="O21" s="40">
        <f>+[4]전주!$H$92/1000</f>
        <v>64.113088282194667</v>
      </c>
      <c r="P21" s="41">
        <f>+[4]전주!$I$92/1000</f>
        <v>-15.366353095038386</v>
      </c>
      <c r="Q21" s="42">
        <f t="shared" si="2"/>
        <v>-79.479441377233059</v>
      </c>
      <c r="R21" s="43">
        <f>+[5]전주!$H$92/1000</f>
        <v>127.06563133078932</v>
      </c>
      <c r="S21" s="44">
        <f t="shared" si="3"/>
        <v>-142.43198442582769</v>
      </c>
      <c r="T21" s="40">
        <f>+[15]전주!$H$86/1000</f>
        <v>121.85628641287822</v>
      </c>
      <c r="U21" s="41">
        <f>+[15]전주!$I$86/1000</f>
        <v>108.54904199999957</v>
      </c>
      <c r="V21" s="42">
        <f t="shared" si="4"/>
        <v>-13.307244412878646</v>
      </c>
      <c r="W21" s="43">
        <f>+[16]전주!$H$86/1000</f>
        <v>686.34031599999969</v>
      </c>
      <c r="X21" s="44">
        <f t="shared" si="5"/>
        <v>-577.79127400000016</v>
      </c>
      <c r="Y21" s="40">
        <f>+[15]전주!$H$92/1000</f>
        <v>-80.949469161178939</v>
      </c>
      <c r="Z21" s="41">
        <f>+[15]전주!$I$92/1000</f>
        <v>-161.65745411713792</v>
      </c>
      <c r="AA21" s="42">
        <f t="shared" si="6"/>
        <v>-80.707984955958977</v>
      </c>
      <c r="AB21" s="43">
        <f>+[16]전주!$H$92/1000</f>
        <v>321.637208728372</v>
      </c>
      <c r="AC21" s="44">
        <f t="shared" si="7"/>
        <v>-483.29466284550995</v>
      </c>
    </row>
    <row r="22" spans="2:30" s="6" customFormat="1" ht="22.5" customHeight="1" x14ac:dyDescent="0.3">
      <c r="B22" s="6" t="s">
        <v>72</v>
      </c>
      <c r="G22" s="306"/>
      <c r="H22" s="69"/>
      <c r="I22" s="70" t="s">
        <v>72</v>
      </c>
      <c r="J22" s="40">
        <f>+[4]군산!$H$86/1000</f>
        <v>105.7938337048804</v>
      </c>
      <c r="K22" s="41">
        <f>+[4]군산!$I$86/1000</f>
        <v>96.361312999999953</v>
      </c>
      <c r="L22" s="42">
        <f t="shared" si="0"/>
        <v>-9.4325207048804458</v>
      </c>
      <c r="M22" s="43">
        <f>+[5]군산!$H$86/1000</f>
        <v>173.95166999999998</v>
      </c>
      <c r="N22" s="44">
        <f t="shared" si="1"/>
        <v>-77.590357000000026</v>
      </c>
      <c r="O22" s="40">
        <f>+[4]군산!$H$92/1000</f>
        <v>73.228025304186957</v>
      </c>
      <c r="P22" s="41">
        <f>+[4]군산!$I$92/1000</f>
        <v>63.160553105898408</v>
      </c>
      <c r="Q22" s="42">
        <f t="shared" si="2"/>
        <v>-10.067472198288549</v>
      </c>
      <c r="R22" s="43">
        <f>+[5]군산!$H$92/1000</f>
        <v>129.41627339027346</v>
      </c>
      <c r="S22" s="44">
        <f t="shared" si="3"/>
        <v>-66.255720284375059</v>
      </c>
      <c r="T22" s="40">
        <f>+[15]군산!$H$86/1000</f>
        <v>198.7391389602173</v>
      </c>
      <c r="U22" s="41">
        <f>+[15]군산!$I$86/1000</f>
        <v>168.49539500000003</v>
      </c>
      <c r="V22" s="42">
        <f t="shared" si="4"/>
        <v>-30.243743960217273</v>
      </c>
      <c r="W22" s="43">
        <f>+[16]군산!$H$86/1000</f>
        <v>373.77420199999983</v>
      </c>
      <c r="X22" s="44">
        <f t="shared" si="5"/>
        <v>-205.2788069999998</v>
      </c>
      <c r="Y22" s="40">
        <f>+[15]군산!$H$92/1000</f>
        <v>96.204017570054944</v>
      </c>
      <c r="Z22" s="41">
        <f>+[15]군산!$I$92/1000</f>
        <v>67.980951212457882</v>
      </c>
      <c r="AA22" s="42">
        <f t="shared" si="6"/>
        <v>-28.223066357597062</v>
      </c>
      <c r="AB22" s="43">
        <f>+[16]군산!$H$92/1000</f>
        <v>247.28631664570315</v>
      </c>
      <c r="AC22" s="44">
        <f t="shared" si="7"/>
        <v>-179.30536543324527</v>
      </c>
    </row>
    <row r="23" spans="2:30" s="6" customFormat="1" ht="22.5" customHeight="1" x14ac:dyDescent="0.3">
      <c r="B23" s="6" t="s">
        <v>73</v>
      </c>
      <c r="G23" s="306"/>
      <c r="H23" s="69"/>
      <c r="I23" s="70" t="s">
        <v>73</v>
      </c>
      <c r="J23" s="40">
        <f>+[4]원주!$H$86/1000</f>
        <v>68.337597021873137</v>
      </c>
      <c r="K23" s="41">
        <f>+[4]원주!$I$86/1000</f>
        <v>103.45074200000006</v>
      </c>
      <c r="L23" s="42">
        <f t="shared" si="0"/>
        <v>35.113144978126925</v>
      </c>
      <c r="M23" s="43">
        <f>+[5]원주!$H$86/1000</f>
        <v>14.251572999999976</v>
      </c>
      <c r="N23" s="44">
        <f t="shared" si="1"/>
        <v>89.199169000000083</v>
      </c>
      <c r="O23" s="40">
        <f>+[4]원주!$H$92/1000</f>
        <v>42.38835596440606</v>
      </c>
      <c r="P23" s="41">
        <f>+[4]원주!$I$92/1000</f>
        <v>72.597246015132484</v>
      </c>
      <c r="Q23" s="42">
        <f t="shared" si="2"/>
        <v>30.208890050726424</v>
      </c>
      <c r="R23" s="43">
        <f>+[5]원주!$H$92/1000</f>
        <v>-2.9603054072771702</v>
      </c>
      <c r="S23" s="44">
        <f t="shared" si="3"/>
        <v>75.557551422409659</v>
      </c>
      <c r="T23" s="40">
        <f>+[15]원주!$H$86/1000</f>
        <v>177.06889138587104</v>
      </c>
      <c r="U23" s="41">
        <f>+[15]원주!$I$86/1000</f>
        <v>179.33825300000001</v>
      </c>
      <c r="V23" s="42">
        <f t="shared" si="4"/>
        <v>2.2693616141289681</v>
      </c>
      <c r="W23" s="43">
        <f>+[16]원주!$H$86/1000</f>
        <v>-61.959749000000159</v>
      </c>
      <c r="X23" s="44">
        <f t="shared" si="5"/>
        <v>241.29800200000017</v>
      </c>
      <c r="Y23" s="40">
        <f>+[15]원주!$H$92/1000</f>
        <v>74.493354447634616</v>
      </c>
      <c r="Z23" s="41">
        <f>+[15]원주!$I$92/1000</f>
        <v>86.653014177134821</v>
      </c>
      <c r="AA23" s="42">
        <f t="shared" si="6"/>
        <v>12.159659729500206</v>
      </c>
      <c r="AB23" s="43">
        <f>+[16]원주!$H$92/1000</f>
        <v>-121.03189967734325</v>
      </c>
      <c r="AC23" s="44">
        <f t="shared" si="7"/>
        <v>207.68491385447805</v>
      </c>
    </row>
    <row r="24" spans="2:30" s="6" customFormat="1" ht="22.5" customHeight="1" x14ac:dyDescent="0.3">
      <c r="B24" s="6" t="s">
        <v>74</v>
      </c>
      <c r="F24" s="79"/>
      <c r="G24" s="304"/>
      <c r="H24" s="69"/>
      <c r="I24" s="70" t="s">
        <v>74</v>
      </c>
      <c r="J24" s="40">
        <f>+[4]제주!$H$86/1000</f>
        <v>65.552789576040794</v>
      </c>
      <c r="K24" s="41">
        <f>+[4]제주!$I$86/1000</f>
        <v>29.329733999999966</v>
      </c>
      <c r="L24" s="42">
        <f t="shared" si="0"/>
        <v>-36.223055576040828</v>
      </c>
      <c r="M24" s="43">
        <f>+[5]제주!$H$86/1000</f>
        <v>128.44487099999998</v>
      </c>
      <c r="N24" s="44">
        <f t="shared" si="1"/>
        <v>-99.115137000000004</v>
      </c>
      <c r="O24" s="40">
        <f>+[4]제주!$H$92/1000</f>
        <v>22.782054972609615</v>
      </c>
      <c r="P24" s="41">
        <f>+[4]제주!$I$92/1000</f>
        <v>-2.0342867947552805</v>
      </c>
      <c r="Q24" s="42">
        <f t="shared" si="2"/>
        <v>-24.816341767364896</v>
      </c>
      <c r="R24" s="43">
        <f>+[5]제주!$H$92/1000</f>
        <v>74.468016570510571</v>
      </c>
      <c r="S24" s="44">
        <f t="shared" si="3"/>
        <v>-76.502303365265846</v>
      </c>
      <c r="T24" s="40">
        <f>+[15]제주!$H$86/1000</f>
        <v>207.57528204656415</v>
      </c>
      <c r="U24" s="41">
        <f>+[15]제주!$I$86/1000</f>
        <v>46.803204999999913</v>
      </c>
      <c r="V24" s="42">
        <f t="shared" si="4"/>
        <v>-160.77207704656425</v>
      </c>
      <c r="W24" s="43">
        <f>+[16]제주!$H$86/1000</f>
        <v>355.76526199999995</v>
      </c>
      <c r="X24" s="44">
        <f t="shared" si="5"/>
        <v>-308.96205700000002</v>
      </c>
      <c r="Y24" s="40">
        <f>+[15]제주!$H$92/1000</f>
        <v>21.294572698694189</v>
      </c>
      <c r="Z24" s="41">
        <f>+[15]제주!$I$92/1000</f>
        <v>-86.463755381076552</v>
      </c>
      <c r="AA24" s="42">
        <f t="shared" si="6"/>
        <v>-107.75832807977073</v>
      </c>
      <c r="AB24" s="43">
        <f>+[16]제주!$H$92/1000</f>
        <v>167.19777256247809</v>
      </c>
      <c r="AC24" s="44">
        <f t="shared" si="7"/>
        <v>-253.66152794355463</v>
      </c>
    </row>
    <row r="25" spans="2:30" s="6" customFormat="1" ht="22.5" customHeight="1" x14ac:dyDescent="0.3">
      <c r="F25" s="463"/>
      <c r="G25" s="307"/>
      <c r="H25" s="69"/>
      <c r="I25" s="73" t="s">
        <v>42</v>
      </c>
      <c r="J25" s="20">
        <f>SUM(J8:J11)</f>
        <v>948.83206806252122</v>
      </c>
      <c r="K25" s="17">
        <f>SUM(K8:K11)</f>
        <v>719.56240199999934</v>
      </c>
      <c r="L25" s="18">
        <f t="shared" si="0"/>
        <v>-229.26966606252188</v>
      </c>
      <c r="M25" s="22">
        <f>SUM(M8:M11)</f>
        <v>593.2316089999988</v>
      </c>
      <c r="N25" s="19">
        <f t="shared" si="1"/>
        <v>126.33079300000054</v>
      </c>
      <c r="O25" s="20">
        <f>SUM(O8:O11)</f>
        <v>336.23977017941473</v>
      </c>
      <c r="P25" s="17">
        <f>SUM(P8:P11)</f>
        <v>57.884094018300601</v>
      </c>
      <c r="Q25" s="18">
        <f t="shared" si="2"/>
        <v>-278.35567616111416</v>
      </c>
      <c r="R25" s="22">
        <f>SUM(R8:R11)</f>
        <v>22.798359416827079</v>
      </c>
      <c r="S25" s="19">
        <f t="shared" si="3"/>
        <v>35.085734601473519</v>
      </c>
      <c r="T25" s="20">
        <f>SUM(T8:T11)</f>
        <v>1557.7925271178246</v>
      </c>
      <c r="U25" s="17">
        <f>SUM(U8:U11)</f>
        <v>869.31395999999995</v>
      </c>
      <c r="V25" s="18">
        <f>+U25-T25</f>
        <v>-688.4785671178247</v>
      </c>
      <c r="W25" s="22">
        <f>SUM(W8:W11)</f>
        <v>645.89535399999909</v>
      </c>
      <c r="X25" s="19">
        <f>+U25-W25</f>
        <v>223.41860600000086</v>
      </c>
      <c r="Y25" s="20">
        <f>SUM(Y8:Y11)</f>
        <v>-651.16845839576695</v>
      </c>
      <c r="Z25" s="17">
        <f>SUM(Z8:Z11)</f>
        <v>-1487.6864438511716</v>
      </c>
      <c r="AA25" s="18">
        <f>+Z25-Y25</f>
        <v>-836.51798545540464</v>
      </c>
      <c r="AB25" s="22">
        <f>SUM(AB8:AB11)</f>
        <v>-1289.4244179129801</v>
      </c>
      <c r="AC25" s="19">
        <f>+Z25-AB25</f>
        <v>-198.26202593819153</v>
      </c>
    </row>
    <row r="26" spans="2:30" s="6" customFormat="1" ht="22.5" customHeight="1" x14ac:dyDescent="0.3">
      <c r="F26" s="463"/>
      <c r="G26" s="304"/>
      <c r="H26" s="69"/>
      <c r="I26" s="73" t="s">
        <v>43</v>
      </c>
      <c r="J26" s="20">
        <f>SUM(J12:J19)</f>
        <v>1312.407822762669</v>
      </c>
      <c r="K26" s="17">
        <f>SUM(K12:K19)</f>
        <v>645.96461700000009</v>
      </c>
      <c r="L26" s="18">
        <f t="shared" si="0"/>
        <v>-666.44320576266887</v>
      </c>
      <c r="M26" s="22">
        <f>SUM(M12:M19)</f>
        <v>851.16723400000024</v>
      </c>
      <c r="N26" s="19">
        <f t="shared" si="1"/>
        <v>-205.20261700000015</v>
      </c>
      <c r="O26" s="20">
        <f>SUM(O12:O19)</f>
        <v>580.44254378086998</v>
      </c>
      <c r="P26" s="17">
        <f>SUM(P12:P19)</f>
        <v>-24.093051699183711</v>
      </c>
      <c r="Q26" s="18">
        <f t="shared" si="2"/>
        <v>-604.53559548005364</v>
      </c>
      <c r="R26" s="22">
        <f>SUM(R12:R19)</f>
        <v>113.81758484512807</v>
      </c>
      <c r="S26" s="19">
        <f t="shared" si="3"/>
        <v>-137.91063654431179</v>
      </c>
      <c r="T26" s="20">
        <f>SUM(T12:T19)</f>
        <v>2504.1529367009348</v>
      </c>
      <c r="U26" s="17">
        <f>SUM(U12:U19)</f>
        <v>1501.4397900000006</v>
      </c>
      <c r="V26" s="18">
        <f>+U26-T26</f>
        <v>-1002.7131467009342</v>
      </c>
      <c r="W26" s="22">
        <f>SUM(W12:W19)</f>
        <v>2466.0915149999992</v>
      </c>
      <c r="X26" s="19">
        <f>+U26-W26</f>
        <v>-964.65172499999858</v>
      </c>
      <c r="Y26" s="20">
        <f>SUM(Y12:Y19)</f>
        <v>-301.15381072750563</v>
      </c>
      <c r="Z26" s="17">
        <f>SUM(Z12:Z19)</f>
        <v>-1173.5654293263779</v>
      </c>
      <c r="AA26" s="18">
        <f>+Z26-Y26</f>
        <v>-872.41161859887222</v>
      </c>
      <c r="AB26" s="22">
        <f>SUM(AB12:AB19)</f>
        <v>-259.47917667150756</v>
      </c>
      <c r="AC26" s="19">
        <f>+Z26-AB26</f>
        <v>-914.08625265487035</v>
      </c>
    </row>
    <row r="27" spans="2:30" s="6" customFormat="1" ht="22.5" customHeight="1" x14ac:dyDescent="0.3">
      <c r="F27" s="463"/>
      <c r="G27" s="304"/>
      <c r="H27" s="69"/>
      <c r="I27" s="73" t="s">
        <v>104</v>
      </c>
      <c r="J27" s="20">
        <f>SUM(J20:J24)</f>
        <v>599.06154257518983</v>
      </c>
      <c r="K27" s="17">
        <f>SUM(K20:K24)</f>
        <v>424.40505799999988</v>
      </c>
      <c r="L27" s="18">
        <f t="shared" si="0"/>
        <v>-174.65648457518995</v>
      </c>
      <c r="M27" s="22">
        <f>SUM(M20:M24)</f>
        <v>721.27003999999965</v>
      </c>
      <c r="N27" s="19">
        <f t="shared" si="1"/>
        <v>-296.86498199999977</v>
      </c>
      <c r="O27" s="20">
        <f>SUM(O20:O24)</f>
        <v>300.08514865988587</v>
      </c>
      <c r="P27" s="17">
        <f>SUM(P20:P24)</f>
        <v>110.50599492436061</v>
      </c>
      <c r="Q27" s="18">
        <f t="shared" si="2"/>
        <v>-189.57915373552527</v>
      </c>
      <c r="R27" s="22">
        <f>SUM(R20:R24)</f>
        <v>374.15445496912423</v>
      </c>
      <c r="S27" s="19">
        <f t="shared" si="3"/>
        <v>-263.64846004476362</v>
      </c>
      <c r="T27" s="20">
        <f>SUM(T20:T24)</f>
        <v>895.20462091505078</v>
      </c>
      <c r="U27" s="17">
        <f>SUM(U20:U24)</f>
        <v>700.79379700000084</v>
      </c>
      <c r="V27" s="18">
        <f>+U27-T27</f>
        <v>-194.41082391504995</v>
      </c>
      <c r="W27" s="22">
        <f>SUM(W20:W24)</f>
        <v>1711.679639</v>
      </c>
      <c r="X27" s="19">
        <f>+U27-W27</f>
        <v>-1010.8858419999991</v>
      </c>
      <c r="Y27" s="20">
        <f>SUM(Y20:Y24)</f>
        <v>-91.488454880096697</v>
      </c>
      <c r="Z27" s="17">
        <f>SUM(Z20:Z24)</f>
        <v>-421.48335559439585</v>
      </c>
      <c r="AA27" s="18">
        <f>+Z27-Y27</f>
        <v>-329.99490071429915</v>
      </c>
      <c r="AB27" s="22">
        <f>SUM(AB20:AB24)</f>
        <v>464.83905071244521</v>
      </c>
      <c r="AC27" s="19">
        <f>+Z27-AB27</f>
        <v>-886.322406306841</v>
      </c>
    </row>
    <row r="28" spans="2:30" s="1" customFormat="1" ht="22.5" customHeight="1" x14ac:dyDescent="0.3">
      <c r="B28" s="23"/>
      <c r="F28" s="452"/>
      <c r="G28" s="306"/>
      <c r="H28" s="501" t="s">
        <v>93</v>
      </c>
      <c r="I28" s="502"/>
      <c r="J28" s="503">
        <f>SUM(J25:J27)</f>
        <v>2860.3014334003801</v>
      </c>
      <c r="K28" s="504">
        <f>SUM(K25:K27)</f>
        <v>1789.9320769999993</v>
      </c>
      <c r="L28" s="505">
        <f t="shared" si="0"/>
        <v>-1070.3693564003809</v>
      </c>
      <c r="M28" s="506">
        <f>SUM(M25:M27)</f>
        <v>2165.6688829999985</v>
      </c>
      <c r="N28" s="507">
        <f t="shared" si="1"/>
        <v>-375.73680599999921</v>
      </c>
      <c r="O28" s="503">
        <f>SUM(O25:O27)</f>
        <v>1216.7674626201706</v>
      </c>
      <c r="P28" s="504">
        <f>SUM(P25:P27)</f>
        <v>144.29703724347749</v>
      </c>
      <c r="Q28" s="505">
        <f t="shared" si="2"/>
        <v>-1072.4704253766931</v>
      </c>
      <c r="R28" s="506">
        <f>SUM(R25:R27)</f>
        <v>510.77039923107941</v>
      </c>
      <c r="S28" s="507">
        <f t="shared" si="3"/>
        <v>-366.47336198760195</v>
      </c>
      <c r="T28" s="503">
        <f>SUM(T25:T27)</f>
        <v>4957.1500847338102</v>
      </c>
      <c r="U28" s="504">
        <f>SUM(U25:U27)</f>
        <v>3071.5475470000015</v>
      </c>
      <c r="V28" s="505">
        <f>+U28-T28</f>
        <v>-1885.6025377338087</v>
      </c>
      <c r="W28" s="506">
        <f>SUM(W25:W27)</f>
        <v>4823.6665079999984</v>
      </c>
      <c r="X28" s="507">
        <f>+U28-W28</f>
        <v>-1752.1189609999969</v>
      </c>
      <c r="Y28" s="503">
        <f>SUM(Y25:Y27)</f>
        <v>-1043.8107240033692</v>
      </c>
      <c r="Z28" s="504">
        <f>SUM(Z25:Z27)</f>
        <v>-3082.7352287719455</v>
      </c>
      <c r="AA28" s="505">
        <f>+Z28-Y28</f>
        <v>-2038.9245047685763</v>
      </c>
      <c r="AB28" s="506">
        <f>SUM(AB25:AB27)</f>
        <v>-1084.0645438720423</v>
      </c>
      <c r="AC28" s="507">
        <f>+Z28-AB28</f>
        <v>-1998.6706848999031</v>
      </c>
      <c r="AD28" s="23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  <pageSetUpPr fitToPage="1"/>
  </sheetPr>
  <dimension ref="A1:AR80"/>
  <sheetViews>
    <sheetView showGridLines="0" showZeros="0" tabSelected="1" topLeftCell="F19" zoomScale="85" zoomScaleNormal="85" zoomScaleSheetLayoutView="85" workbookViewId="0">
      <selection activeCell="X29" sqref="X2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43" ht="18" customHeight="1" x14ac:dyDescent="0.3">
      <c r="H1" s="2"/>
      <c r="K1" s="4"/>
      <c r="L1" s="4"/>
      <c r="P1" s="4"/>
      <c r="Q1" s="4"/>
    </row>
    <row r="2" spans="1:43" ht="18" customHeight="1" x14ac:dyDescent="0.3">
      <c r="H2" s="5"/>
      <c r="AD2" s="3"/>
      <c r="AG2" s="3"/>
    </row>
    <row r="3" spans="1:43" ht="26.25" x14ac:dyDescent="0.3">
      <c r="H3" s="2" t="s">
        <v>214</v>
      </c>
      <c r="AD3" s="3"/>
      <c r="AG3" s="3"/>
    </row>
    <row r="4" spans="1:43" ht="18" customHeight="1" x14ac:dyDescent="0.3">
      <c r="H4" s="5"/>
      <c r="AD4" s="3"/>
      <c r="AG4" s="3" t="s">
        <v>76</v>
      </c>
    </row>
    <row r="5" spans="1:43" s="6" customFormat="1" ht="19.5" customHeight="1" x14ac:dyDescent="0.3">
      <c r="G5" s="304"/>
      <c r="H5" s="689" t="s">
        <v>35</v>
      </c>
      <c r="I5" s="690"/>
      <c r="J5" s="145" t="s">
        <v>51</v>
      </c>
      <c r="K5" s="146"/>
      <c r="L5" s="146"/>
      <c r="M5" s="146"/>
      <c r="N5" s="147"/>
      <c r="O5" s="145" t="s">
        <v>52</v>
      </c>
      <c r="P5" s="146"/>
      <c r="Q5" s="146"/>
      <c r="R5" s="146"/>
      <c r="S5" s="147"/>
      <c r="T5" s="145" t="s">
        <v>97</v>
      </c>
      <c r="U5" s="146"/>
      <c r="V5" s="146"/>
      <c r="W5" s="146"/>
      <c r="X5" s="147"/>
      <c r="Y5" s="145" t="s">
        <v>53</v>
      </c>
      <c r="Z5" s="146"/>
      <c r="AA5" s="147"/>
      <c r="AB5" s="145" t="s">
        <v>34</v>
      </c>
      <c r="AC5" s="146"/>
      <c r="AD5" s="147"/>
      <c r="AE5" s="145" t="s">
        <v>54</v>
      </c>
      <c r="AF5" s="146"/>
      <c r="AG5" s="147"/>
      <c r="AI5" s="635" t="s">
        <v>191</v>
      </c>
      <c r="AJ5" s="635"/>
      <c r="AK5" s="635"/>
      <c r="AL5" s="635"/>
    </row>
    <row r="6" spans="1:43" s="6" customFormat="1" ht="19.5" customHeight="1" x14ac:dyDescent="0.3">
      <c r="A6" s="6" t="s">
        <v>215</v>
      </c>
      <c r="G6" s="304"/>
      <c r="H6" s="691"/>
      <c r="I6" s="688"/>
      <c r="J6" s="148" t="s">
        <v>36</v>
      </c>
      <c r="K6" s="149" t="s">
        <v>37</v>
      </c>
      <c r="L6" s="150" t="s">
        <v>38</v>
      </c>
      <c r="M6" s="149" t="s">
        <v>39</v>
      </c>
      <c r="N6" s="151" t="s">
        <v>38</v>
      </c>
      <c r="O6" s="148" t="s">
        <v>12</v>
      </c>
      <c r="P6" s="149" t="s">
        <v>13</v>
      </c>
      <c r="Q6" s="150" t="s">
        <v>28</v>
      </c>
      <c r="R6" s="149" t="s">
        <v>14</v>
      </c>
      <c r="S6" s="151" t="s">
        <v>28</v>
      </c>
      <c r="T6" s="148" t="s">
        <v>12</v>
      </c>
      <c r="U6" s="149" t="s">
        <v>13</v>
      </c>
      <c r="V6" s="150" t="s">
        <v>28</v>
      </c>
      <c r="W6" s="149" t="s">
        <v>14</v>
      </c>
      <c r="X6" s="151" t="s">
        <v>28</v>
      </c>
      <c r="Y6" s="152" t="s">
        <v>12</v>
      </c>
      <c r="Z6" s="153" t="s">
        <v>13</v>
      </c>
      <c r="AA6" s="154" t="s">
        <v>14</v>
      </c>
      <c r="AB6" s="155" t="s">
        <v>12</v>
      </c>
      <c r="AC6" s="153" t="s">
        <v>13</v>
      </c>
      <c r="AD6" s="151" t="s">
        <v>14</v>
      </c>
      <c r="AE6" s="155" t="s">
        <v>12</v>
      </c>
      <c r="AF6" s="153" t="s">
        <v>13</v>
      </c>
      <c r="AG6" s="151" t="s">
        <v>14</v>
      </c>
      <c r="AI6" s="608" t="s">
        <v>192</v>
      </c>
      <c r="AJ6" s="608" t="s">
        <v>36</v>
      </c>
      <c r="AK6" s="608" t="s">
        <v>193</v>
      </c>
      <c r="AL6" s="608" t="s">
        <v>38</v>
      </c>
      <c r="AO6" s="660" t="s">
        <v>181</v>
      </c>
      <c r="AP6" s="660" t="s">
        <v>38</v>
      </c>
    </row>
    <row r="7" spans="1:43" s="6" customFormat="1" ht="22.5" customHeight="1" x14ac:dyDescent="0.3">
      <c r="B7" s="6" t="s">
        <v>18</v>
      </c>
      <c r="G7" s="305" t="str">
        <f>+I7</f>
        <v>안양</v>
      </c>
      <c r="H7" s="67" t="s">
        <v>40</v>
      </c>
      <c r="I7" s="68" t="s">
        <v>18</v>
      </c>
      <c r="J7" s="30">
        <f>+IFERROR(HLOOKUP($B7,'[1]4월'!$D$6:$BN$259,2,),)/1000</f>
        <v>40</v>
      </c>
      <c r="K7" s="31">
        <f>+IFERROR(HLOOKUP($B7,'[2]4월'!$F$6:$CP$99,2,),)/1000</f>
        <v>42.103999999999999</v>
      </c>
      <c r="L7" s="32">
        <f t="shared" ref="L7:L26" si="0">+K7-J7</f>
        <v>2.1039999999999992</v>
      </c>
      <c r="M7" s="33">
        <f>+IFERROR(HLOOKUP($B7,'[3]4월'!$F$6:$CC$57,2,),)/1000</f>
        <v>40.25</v>
      </c>
      <c r="N7" s="34">
        <f>+K7-M7</f>
        <v>1.8539999999999992</v>
      </c>
      <c r="O7" s="30">
        <f>+IFERROR(HLOOKUP($B7,'[1]4월'!$D$6:$BN$259,3,),)/1000</f>
        <v>3918.2743780000001</v>
      </c>
      <c r="P7" s="31">
        <f>+IFERROR(HLOOKUP($B7,'[2]4월'!$F$6:$CP$99,3,),)/1000</f>
        <v>4092.885057</v>
      </c>
      <c r="Q7" s="32">
        <f>+P7-O7</f>
        <v>174.61067899999989</v>
      </c>
      <c r="R7" s="33">
        <f>+IFERROR(HLOOKUP($B7,'[3]4월'!$F$6:$CC$57,3,),)/1000</f>
        <v>3841.7711029999996</v>
      </c>
      <c r="S7" s="34">
        <f>+P7-R7</f>
        <v>251.11395400000038</v>
      </c>
      <c r="T7" s="30">
        <f>+IFERROR(HLOOKUP($B7,'[1]4월'!$D$6:$BN$259,16,),)/1000</f>
        <v>492.29041057681684</v>
      </c>
      <c r="U7" s="31">
        <f>+IFERROR(HLOOKUP($B7,'[2]4월'!$F$6:$CP$99,16,),)/1000</f>
        <v>358.71954199999999</v>
      </c>
      <c r="V7" s="35">
        <f>+U7-T7</f>
        <v>-133.57086857681685</v>
      </c>
      <c r="W7" s="36">
        <f>+IFERROR(HLOOKUP($B7,'[3]4월'!$F$6:$CC$57,16,),)/1000</f>
        <v>321.01658199999946</v>
      </c>
      <c r="X7" s="34">
        <f>+U7-W7</f>
        <v>37.70296000000053</v>
      </c>
      <c r="Y7" s="30">
        <f>+[4]안양!$Q$85</f>
        <v>97956.859449999989</v>
      </c>
      <c r="Z7" s="31">
        <f>+[4]안양!$R$85</f>
        <v>97182.938119404411</v>
      </c>
      <c r="AA7" s="37">
        <f>+[5]안양!$Q$85</f>
        <v>95439.899645248312</v>
      </c>
      <c r="AB7" s="38">
        <f>+[4]안양!$Q$89</f>
        <v>77811.024944607372</v>
      </c>
      <c r="AC7" s="31">
        <f>+[4]안양!$R$89</f>
        <v>80916.611018044307</v>
      </c>
      <c r="AD7" s="39">
        <f>+[5]안양!$Q$89</f>
        <v>79659.205830918363</v>
      </c>
      <c r="AE7" s="38">
        <f>+Y7-AB7</f>
        <v>20145.834505392617</v>
      </c>
      <c r="AF7" s="31">
        <f>+Z7-AC7</f>
        <v>16266.327101360104</v>
      </c>
      <c r="AG7" s="39">
        <f>+AA7-AD7</f>
        <v>15780.693814329949</v>
      </c>
      <c r="AH7" s="15"/>
      <c r="AI7" s="636" t="str">
        <f t="shared" ref="AI7:AI26" si="1">+I7</f>
        <v>안양</v>
      </c>
      <c r="AJ7" s="463">
        <f t="shared" ref="AJ7:AJ27" si="2">+J7/$J$27</f>
        <v>0.14705882352941177</v>
      </c>
      <c r="AK7" s="463">
        <f t="shared" ref="AK7:AK27" si="3">+K7/$K$27</f>
        <v>0.15425648841537579</v>
      </c>
      <c r="AL7" s="463">
        <f>+AK7-AJ7</f>
        <v>7.1976648859640169E-3</v>
      </c>
      <c r="AM7" s="453">
        <f t="shared" ref="AM7:AM26" si="4">+Y7*AL7</f>
        <v>705.06064760257743</v>
      </c>
      <c r="AO7" s="463">
        <f>+[17]안양!$T$5/[17]합계!$T$5</f>
        <v>0.17712997897405122</v>
      </c>
      <c r="AP7" s="463">
        <f>+AK7-AO7</f>
        <v>-2.2873490558675436E-2</v>
      </c>
      <c r="AQ7" s="453">
        <f>+[17]안양!$Q$85*AP7</f>
        <v>-2275.9181224470117</v>
      </c>
    </row>
    <row r="8" spans="1:43" s="6" customFormat="1" ht="22.5" customHeight="1" x14ac:dyDescent="0.3">
      <c r="B8" s="6" t="s">
        <v>19</v>
      </c>
      <c r="G8" s="306" t="str">
        <f t="shared" ref="G8:G26" si="5">+I8</f>
        <v>인천</v>
      </c>
      <c r="H8" s="69" t="s">
        <v>41</v>
      </c>
      <c r="I8" s="70" t="s">
        <v>19</v>
      </c>
      <c r="J8" s="40">
        <f>+IFERROR(HLOOKUP($B8,'[1]4월'!$D$6:$BN$259,2,),)/1000</f>
        <v>35</v>
      </c>
      <c r="K8" s="41">
        <f>+IFERROR(HLOOKUP($B8,'[2]4월'!$F$6:$CP$99,2,),)/1000</f>
        <v>35.418500000000002</v>
      </c>
      <c r="L8" s="42">
        <f t="shared" si="0"/>
        <v>0.41850000000000165</v>
      </c>
      <c r="M8" s="43">
        <f>+IFERROR(HLOOKUP($B8,'[3]4월'!$F$6:$CC$57,2,),)/1000</f>
        <v>33.57</v>
      </c>
      <c r="N8" s="44">
        <f t="shared" ref="N8:N26" si="6">+K8-M8</f>
        <v>1.8485000000000014</v>
      </c>
      <c r="O8" s="40">
        <f>+IFERROR(HLOOKUP($B8,'[1]4월'!$D$6:$BN$259,3,),)/1000</f>
        <v>3494.0569043911132</v>
      </c>
      <c r="P8" s="41">
        <f>+IFERROR(HLOOKUP($B8,'[2]4월'!$F$6:$CP$99,3,),)/1000</f>
        <v>3527.9178529999995</v>
      </c>
      <c r="Q8" s="42">
        <f t="shared" ref="Q8:Q26" si="7">+P8-O8</f>
        <v>33.860948608886247</v>
      </c>
      <c r="R8" s="43">
        <f>+IFERROR(HLOOKUP($B8,'[3]4월'!$F$6:$CC$57,3,),)/1000</f>
        <v>3322.1847299999995</v>
      </c>
      <c r="S8" s="44">
        <f t="shared" ref="S8:S26" si="8">+P8-R8</f>
        <v>205.73312299999998</v>
      </c>
      <c r="T8" s="40">
        <f>+IFERROR(HLOOKUP($B8,'[1]4월'!$D$6:$BN$259,16,),)/1000</f>
        <v>290.24791259163709</v>
      </c>
      <c r="U8" s="41">
        <f>+IFERROR(HLOOKUP($B8,'[2]4월'!$F$6:$CP$99,16,),)/1000</f>
        <v>121.5899079999995</v>
      </c>
      <c r="V8" s="42">
        <f t="shared" ref="V8:V26" si="9">+U8-T8</f>
        <v>-168.65800459163759</v>
      </c>
      <c r="W8" s="43">
        <f>+IFERROR(HLOOKUP($B8,'[3]4월'!$F$6:$CC$57,16,),)/1000</f>
        <v>222.53656899999947</v>
      </c>
      <c r="X8" s="44">
        <f t="shared" ref="X8:X26" si="10">+U8-W8</f>
        <v>-100.94666099999998</v>
      </c>
      <c r="Y8" s="40">
        <f>+[4]인천!$Q$85</f>
        <v>99830.197268317526</v>
      </c>
      <c r="Z8" s="41">
        <f>+[4]인천!$R$85</f>
        <v>99671.435961535724</v>
      </c>
      <c r="AA8" s="45">
        <f>+[5]인천!$Q$85</f>
        <v>98978.103153922173</v>
      </c>
      <c r="AB8" s="46">
        <f>+[4]인천!$Q$89</f>
        <v>82171.289746651702</v>
      </c>
      <c r="AC8" s="41">
        <f>+[4]인천!$R$89</f>
        <v>86956.35950172579</v>
      </c>
      <c r="AD8" s="47">
        <f>+[5]인천!$Q$89</f>
        <v>82750.979782550101</v>
      </c>
      <c r="AE8" s="46">
        <f t="shared" ref="AE8:AE27" si="11">+Y8-AB8</f>
        <v>17658.907521665824</v>
      </c>
      <c r="AF8" s="41">
        <f t="shared" ref="AF8:AF27" si="12">+Z8-AC8</f>
        <v>12715.076459809934</v>
      </c>
      <c r="AG8" s="47">
        <f t="shared" ref="AG8:AG27" si="13">+AA8-AD8</f>
        <v>16227.123371372072</v>
      </c>
      <c r="AH8" s="15"/>
      <c r="AI8" s="637" t="str">
        <f t="shared" si="1"/>
        <v>인천</v>
      </c>
      <c r="AJ8" s="463">
        <f t="shared" si="2"/>
        <v>0.12867647058823528</v>
      </c>
      <c r="AK8" s="463">
        <f t="shared" si="3"/>
        <v>0.12976281196418366</v>
      </c>
      <c r="AL8" s="463">
        <f t="shared" ref="AL8:AL27" si="14">+AK8-AJ8</f>
        <v>1.0863413759483742E-3</v>
      </c>
      <c r="AM8" s="453">
        <f t="shared" si="4"/>
        <v>108.44967386166169</v>
      </c>
      <c r="AO8" s="463">
        <f>+[17]인천!$T$5/[17]합계!$T$5</f>
        <v>0.13298178170784422</v>
      </c>
      <c r="AP8" s="463">
        <f t="shared" ref="AP8:AP27" si="15">+AK8-AO8</f>
        <v>-3.2189697436605658E-3</v>
      </c>
      <c r="AQ8" s="453">
        <f>+[17]인천!$Q$85*AP8</f>
        <v>-322.2132102210773</v>
      </c>
    </row>
    <row r="9" spans="1:43" s="6" customFormat="1" ht="22.5" customHeight="1" x14ac:dyDescent="0.3">
      <c r="B9" s="6" t="s">
        <v>20</v>
      </c>
      <c r="G9" s="306" t="str">
        <f t="shared" si="5"/>
        <v>파주</v>
      </c>
      <c r="H9" s="69"/>
      <c r="I9" s="70" t="s">
        <v>20</v>
      </c>
      <c r="J9" s="40">
        <f>+IFERROR(HLOOKUP($B9,'[1]4월'!$D$6:$BN$259,2,),)/1000</f>
        <v>17</v>
      </c>
      <c r="K9" s="41">
        <f>+IFERROR(HLOOKUP($B9,'[2]4월'!$F$6:$CP$99,2,),)/1000</f>
        <v>19.506</v>
      </c>
      <c r="L9" s="42">
        <f t="shared" si="0"/>
        <v>2.5060000000000002</v>
      </c>
      <c r="M9" s="43">
        <f>+IFERROR(HLOOKUP($B9,'[3]4월'!$F$6:$CC$57,2,),)/1000</f>
        <v>13.605</v>
      </c>
      <c r="N9" s="44">
        <f t="shared" si="6"/>
        <v>5.9009999999999998</v>
      </c>
      <c r="O9" s="40">
        <f>+IFERROR(HLOOKUP($B9,'[1]4월'!$D$6:$BN$259,3,),)/1000</f>
        <v>1678.0677713999999</v>
      </c>
      <c r="P9" s="41">
        <f>+IFERROR(HLOOKUP($B9,'[2]4월'!$F$6:$CP$99,3,),)/1000</f>
        <v>1955.1690000000001</v>
      </c>
      <c r="Q9" s="42">
        <f t="shared" si="7"/>
        <v>277.10122860000024</v>
      </c>
      <c r="R9" s="43">
        <f>+IFERROR(HLOOKUP($B9,'[3]4월'!$F$6:$CC$57,3,),)/1000</f>
        <v>1269.8887999999999</v>
      </c>
      <c r="S9" s="44">
        <f t="shared" si="8"/>
        <v>685.28020000000015</v>
      </c>
      <c r="T9" s="40">
        <f>+IFERROR(HLOOKUP($B9,'[1]4월'!$D$6:$BN$259,16,),)/1000</f>
        <v>74.264372705527109</v>
      </c>
      <c r="U9" s="41">
        <f>+IFERROR(HLOOKUP($B9,'[2]4월'!$F$6:$CP$99,16,),)/1000</f>
        <v>129.07579299999983</v>
      </c>
      <c r="V9" s="42">
        <f t="shared" si="9"/>
        <v>54.811420294472725</v>
      </c>
      <c r="W9" s="43">
        <f>+IFERROR(HLOOKUP($B9,'[3]4월'!$F$6:$CC$57,16,),)/1000</f>
        <v>-15.154132000000169</v>
      </c>
      <c r="X9" s="44">
        <f t="shared" si="10"/>
        <v>144.22992500000001</v>
      </c>
      <c r="Y9" s="40">
        <f>+[4]파주!$Q$85</f>
        <v>98709.868905882351</v>
      </c>
      <c r="Z9" s="41">
        <f>+[4]파주!$R$85</f>
        <v>100911.57941437444</v>
      </c>
      <c r="AA9" s="45">
        <f>+[5]파주!$Q$85</f>
        <v>93525.184798028815</v>
      </c>
      <c r="AB9" s="46">
        <f>+[4]파주!$Q$89</f>
        <v>81229.590037583359</v>
      </c>
      <c r="AC9" s="41">
        <f>+[4]파주!$R$89</f>
        <v>81797.704691659266</v>
      </c>
      <c r="AD9" s="47">
        <f>+[5]파주!$Q$89</f>
        <v>78035.925632793238</v>
      </c>
      <c r="AE9" s="46">
        <f t="shared" si="11"/>
        <v>17480.278868298992</v>
      </c>
      <c r="AF9" s="41">
        <f t="shared" si="12"/>
        <v>19113.874722715176</v>
      </c>
      <c r="AG9" s="47">
        <f t="shared" si="13"/>
        <v>15489.259165235577</v>
      </c>
      <c r="AH9" s="15"/>
      <c r="AI9" s="637" t="str">
        <f t="shared" si="1"/>
        <v>파주</v>
      </c>
      <c r="AJ9" s="463">
        <f t="shared" si="2"/>
        <v>6.25E-2</v>
      </c>
      <c r="AK9" s="463">
        <f t="shared" si="3"/>
        <v>7.1464161671820264E-2</v>
      </c>
      <c r="AL9" s="463">
        <f t="shared" si="14"/>
        <v>8.9641616718202644E-3</v>
      </c>
      <c r="AM9" s="453">
        <f t="shared" si="4"/>
        <v>884.8512234765135</v>
      </c>
      <c r="AO9" s="463">
        <f>+[17]파주!$T$5/[17]합계!$T$5</f>
        <v>4.7046085018696726E-2</v>
      </c>
      <c r="AP9" s="463">
        <f t="shared" si="15"/>
        <v>2.4418076653123538E-2</v>
      </c>
      <c r="AQ9" s="453">
        <f>+[17]파주!$Q$85*AP9</f>
        <v>2389.5155155370749</v>
      </c>
    </row>
    <row r="10" spans="1:43" s="6" customFormat="1" ht="22.5" customHeight="1" x14ac:dyDescent="0.3">
      <c r="B10" s="6" t="s">
        <v>107</v>
      </c>
      <c r="G10" s="306" t="str">
        <f t="shared" si="5"/>
        <v>김포</v>
      </c>
      <c r="H10" s="69"/>
      <c r="I10" s="70" t="s">
        <v>106</v>
      </c>
      <c r="J10" s="40">
        <f>+IFERROR(HLOOKUP($B10,'[1]4월'!$D$6:$BN$259,2,),)/1000</f>
        <v>15</v>
      </c>
      <c r="K10" s="41">
        <f>+IFERROR(HLOOKUP($B10,'[2]4월'!$F$6:$CP$99,2,),)/1000</f>
        <v>17.667000000000002</v>
      </c>
      <c r="L10" s="42">
        <f t="shared" si="0"/>
        <v>2.6670000000000016</v>
      </c>
      <c r="M10" s="43">
        <f>+IFERROR(HLOOKUP($B10,'[3]4월'!$F$6:$CC$57,2,),)/1000</f>
        <v>12.327</v>
      </c>
      <c r="N10" s="44">
        <f t="shared" si="6"/>
        <v>5.3400000000000016</v>
      </c>
      <c r="O10" s="40">
        <f>+IFERROR(HLOOKUP($B10,'[1]4월'!$D$6:$BN$259,3,),)/1000</f>
        <v>1451.6792881999997</v>
      </c>
      <c r="P10" s="41">
        <f>+IFERROR(HLOOKUP($B10,'[2]4월'!$F$6:$CP$99,3,),)/1000</f>
        <v>1742.5826560000003</v>
      </c>
      <c r="Q10" s="42">
        <f t="shared" si="7"/>
        <v>290.90336780000052</v>
      </c>
      <c r="R10" s="43">
        <f>+IFERROR(HLOOKUP($B10,'[3]4월'!$F$6:$CC$57,3,),)/1000</f>
        <v>1182.4699639999999</v>
      </c>
      <c r="S10" s="44">
        <f t="shared" si="8"/>
        <v>560.11269200000038</v>
      </c>
      <c r="T10" s="40">
        <f>+IFERROR(HLOOKUP($B10,'[1]4월'!$D$6:$BN$259,16,),)/1000</f>
        <v>92.02937218854025</v>
      </c>
      <c r="U10" s="41">
        <f>+IFERROR(HLOOKUP($B10,'[2]4월'!$F$6:$CP$99,16,),)/1000</f>
        <v>110.17715899999999</v>
      </c>
      <c r="V10" s="42">
        <f t="shared" si="9"/>
        <v>18.147786811459738</v>
      </c>
      <c r="W10" s="43">
        <f>+IFERROR(HLOOKUP($B10,'[3]4월'!$F$6:$CC$57,16,),)/1000</f>
        <v>64.832589999999954</v>
      </c>
      <c r="X10" s="44">
        <f t="shared" si="10"/>
        <v>45.344569000000035</v>
      </c>
      <c r="Y10" s="40">
        <f>+[4]김포!$Q$85</f>
        <v>96778.619213333324</v>
      </c>
      <c r="Z10" s="41">
        <f>+[4]김포!$R$85</f>
        <v>98832.579283372645</v>
      </c>
      <c r="AA10" s="45">
        <f>+[5]김포!$Q$85</f>
        <v>96085.257199767613</v>
      </c>
      <c r="AB10" s="46">
        <f>+[4]김포!$Q$89</f>
        <v>77986.461608171376</v>
      </c>
      <c r="AC10" s="41">
        <f>+[4]김포!$R$89</f>
        <v>80880.655784815215</v>
      </c>
      <c r="AD10" s="47">
        <f>+[5]김포!$Q$89</f>
        <v>76364.793698175796</v>
      </c>
      <c r="AE10" s="46">
        <f t="shared" si="11"/>
        <v>18792.157605161949</v>
      </c>
      <c r="AF10" s="41">
        <f t="shared" si="12"/>
        <v>17951.923498557429</v>
      </c>
      <c r="AG10" s="47">
        <f t="shared" si="13"/>
        <v>19720.463501591817</v>
      </c>
      <c r="AH10" s="15"/>
      <c r="AI10" s="637" t="str">
        <f t="shared" si="1"/>
        <v>김포</v>
      </c>
      <c r="AJ10" s="463">
        <f t="shared" si="2"/>
        <v>5.514705882352941E-2</v>
      </c>
      <c r="AK10" s="463">
        <f t="shared" si="3"/>
        <v>6.4726614593255849E-2</v>
      </c>
      <c r="AL10" s="463">
        <f t="shared" si="14"/>
        <v>9.5795557697264389E-3</v>
      </c>
      <c r="AM10" s="453">
        <f t="shared" si="4"/>
        <v>927.09618007124527</v>
      </c>
      <c r="AO10" s="463">
        <f>+[17]김포!$T$5/[17]합계!$T$5</f>
        <v>5.9378370551920662E-2</v>
      </c>
      <c r="AP10" s="463">
        <f t="shared" si="15"/>
        <v>5.3482440413351873E-3</v>
      </c>
      <c r="AQ10" s="453">
        <f>+[17]김포!$Q$85*AP10</f>
        <v>507.886586778305</v>
      </c>
    </row>
    <row r="11" spans="1:43" s="6" customFormat="1" ht="22.5" customHeight="1" x14ac:dyDescent="0.3">
      <c r="B11" s="6" t="s">
        <v>21</v>
      </c>
      <c r="G11" s="304" t="str">
        <f t="shared" si="5"/>
        <v>부산</v>
      </c>
      <c r="H11" s="69"/>
      <c r="I11" s="71" t="s">
        <v>21</v>
      </c>
      <c r="J11" s="57">
        <f>+IFERROR(HLOOKUP($B11,'[1]4월'!$D$6:$BN$259,2,),)/1000</f>
        <v>20</v>
      </c>
      <c r="K11" s="58">
        <f>+IFERROR(HLOOKUP($B11,'[2]4월'!$F$6:$CP$99,2,),)/1000</f>
        <v>20.768000000000001</v>
      </c>
      <c r="L11" s="59">
        <f t="shared" si="0"/>
        <v>0.76800000000000068</v>
      </c>
      <c r="M11" s="60">
        <f>+IFERROR(HLOOKUP($B11,'[3]4월'!$F$6:$CC$57,2,),)/1000</f>
        <v>20.498999999999999</v>
      </c>
      <c r="N11" s="61">
        <f t="shared" si="6"/>
        <v>0.2690000000000019</v>
      </c>
      <c r="O11" s="57">
        <f>+IFERROR(HLOOKUP($B11,'[1]4월'!$D$6:$BN$259,3,),)/1000</f>
        <v>2166.0578070000001</v>
      </c>
      <c r="P11" s="58">
        <f>+IFERROR(HLOOKUP($B11,'[2]4월'!$F$6:$CP$99,3,),)/1000</f>
        <v>2394.694</v>
      </c>
      <c r="Q11" s="59">
        <f t="shared" si="7"/>
        <v>228.63619299999982</v>
      </c>
      <c r="R11" s="60">
        <f>+IFERROR(HLOOKUP($B11,'[3]4월'!$F$6:$CC$57,3,),)/1000</f>
        <v>2136.8245000000002</v>
      </c>
      <c r="S11" s="61">
        <f t="shared" si="8"/>
        <v>257.86949999999979</v>
      </c>
      <c r="T11" s="57">
        <f>+IFERROR(HLOOKUP($B11,'[1]4월'!$D$6:$BN$259,16,),)/1000</f>
        <v>229.16261316560337</v>
      </c>
      <c r="U11" s="58">
        <f>+IFERROR(HLOOKUP($B11,'[2]4월'!$F$6:$CP$99,16,),)/1000</f>
        <v>200.10526100000016</v>
      </c>
      <c r="V11" s="59">
        <f t="shared" si="9"/>
        <v>-29.05735216560322</v>
      </c>
      <c r="W11" s="60">
        <f>+IFERROR(HLOOKUP($B11,'[3]4월'!$F$6:$CC$57,16,),)/1000</f>
        <v>112.51179200000007</v>
      </c>
      <c r="X11" s="61">
        <f t="shared" si="10"/>
        <v>87.593469000000084</v>
      </c>
      <c r="Y11" s="57">
        <f>+[4]부산!$Q$85</f>
        <v>108302.89035</v>
      </c>
      <c r="Z11" s="58">
        <f>+[4]부산!$R$85</f>
        <v>115306.91448382125</v>
      </c>
      <c r="AA11" s="62">
        <f>+[5]부산!$Q$85</f>
        <v>104240.42636226157</v>
      </c>
      <c r="AB11" s="63">
        <f>+[4]부산!$Q$89</f>
        <v>83382.209237553179</v>
      </c>
      <c r="AC11" s="58">
        <f>+[4]부산!$R$89</f>
        <v>91984.368410927273</v>
      </c>
      <c r="AD11" s="64">
        <f>+[5]부산!$Q$89</f>
        <v>86169.896254444495</v>
      </c>
      <c r="AE11" s="63">
        <f t="shared" si="11"/>
        <v>24920.681112446822</v>
      </c>
      <c r="AF11" s="58">
        <f t="shared" si="12"/>
        <v>23322.54607289398</v>
      </c>
      <c r="AG11" s="64">
        <f t="shared" si="13"/>
        <v>18070.530107817074</v>
      </c>
      <c r="AH11" s="15"/>
      <c r="AI11" s="637" t="str">
        <f t="shared" si="1"/>
        <v>부산</v>
      </c>
      <c r="AJ11" s="463">
        <f t="shared" si="2"/>
        <v>7.3529411764705885E-2</v>
      </c>
      <c r="AK11" s="463">
        <f t="shared" si="3"/>
        <v>7.6087752978589315E-2</v>
      </c>
      <c r="AL11" s="463">
        <f t="shared" si="14"/>
        <v>2.5583412138834305E-3</v>
      </c>
      <c r="AM11" s="453">
        <f t="shared" si="4"/>
        <v>277.07574796510306</v>
      </c>
      <c r="AO11" s="463">
        <f>+[17]부산!$T$5/[17]합계!$T$5</f>
        <v>9.122575825614726E-2</v>
      </c>
      <c r="AP11" s="463">
        <f t="shared" si="15"/>
        <v>-1.5138005277557945E-2</v>
      </c>
      <c r="AQ11" s="453">
        <f>+[17]부산!$Q$85*AP11</f>
        <v>-1804.5497470015541</v>
      </c>
    </row>
    <row r="12" spans="1:43" s="6" customFormat="1" ht="22.5" customHeight="1" x14ac:dyDescent="0.3">
      <c r="B12" s="6" t="s">
        <v>22</v>
      </c>
      <c r="G12" s="304" t="str">
        <f t="shared" si="5"/>
        <v>서부산</v>
      </c>
      <c r="H12" s="69"/>
      <c r="I12" s="70" t="s">
        <v>22</v>
      </c>
      <c r="J12" s="40">
        <f>+IFERROR(HLOOKUP($B12,'[1]4월'!$D$6:$BN$259,2,),)/1000</f>
        <v>21</v>
      </c>
      <c r="K12" s="41">
        <f>+IFERROR(HLOOKUP($B12,'[2]4월'!$F$6:$CP$99,2,),)/1000</f>
        <v>22.096</v>
      </c>
      <c r="L12" s="42">
        <f t="shared" si="0"/>
        <v>1.0960000000000001</v>
      </c>
      <c r="M12" s="43">
        <f>+IFERROR(HLOOKUP($B12,'[3]4월'!$F$6:$CC$57,2,),)/1000</f>
        <v>19.391999999999999</v>
      </c>
      <c r="N12" s="44">
        <f t="shared" si="6"/>
        <v>2.7040000000000006</v>
      </c>
      <c r="O12" s="40">
        <f>+IFERROR(HLOOKUP($B12,'[1]4월'!$D$6:$BN$259,3,),)/1000</f>
        <v>2184.1163171200001</v>
      </c>
      <c r="P12" s="41">
        <f>+IFERROR(HLOOKUP($B12,'[2]4월'!$F$6:$CP$99,3,),)/1000</f>
        <v>2230.4985000000001</v>
      </c>
      <c r="Q12" s="42">
        <f t="shared" si="7"/>
        <v>46.382182880000073</v>
      </c>
      <c r="R12" s="43">
        <f>+IFERROR(HLOOKUP($B12,'[3]4월'!$F$6:$CC$57,3,),)/1000</f>
        <v>1895.2186000000002</v>
      </c>
      <c r="S12" s="44">
        <f t="shared" si="8"/>
        <v>335.2799</v>
      </c>
      <c r="T12" s="40">
        <f>+IFERROR(HLOOKUP($B12,'[1]4월'!$D$6:$BN$259,16,),)/1000</f>
        <v>350.38967946287261</v>
      </c>
      <c r="U12" s="41">
        <f>+IFERROR(HLOOKUP($B12,'[2]4월'!$F$6:$CP$99,16,),)/1000</f>
        <v>165.79219199999986</v>
      </c>
      <c r="V12" s="42">
        <f t="shared" si="9"/>
        <v>-184.59748746287275</v>
      </c>
      <c r="W12" s="43">
        <f>+IFERROR(HLOOKUP($B12,'[3]4월'!$F$6:$CC$57,16,),)/1000</f>
        <v>155.86616599999999</v>
      </c>
      <c r="X12" s="44">
        <f t="shared" si="10"/>
        <v>9.9260259999998652</v>
      </c>
      <c r="Y12" s="40">
        <f>+[4]서부산!$Q$85</f>
        <v>104005.5389104762</v>
      </c>
      <c r="Z12" s="41">
        <f>+[4]서부산!$R$85</f>
        <v>100945.8046705286</v>
      </c>
      <c r="AA12" s="45">
        <f>+[5]서부산!$Q$85</f>
        <v>97731.982260726072</v>
      </c>
      <c r="AB12" s="46">
        <f>+[4]서부산!$Q$89</f>
        <v>76690.929068328827</v>
      </c>
      <c r="AC12" s="41">
        <f>+[4]서부산!$R$89</f>
        <v>81435.024393555403</v>
      </c>
      <c r="AD12" s="47">
        <f>+[5]서부산!$Q$89</f>
        <v>77327.457906768715</v>
      </c>
      <c r="AE12" s="46">
        <f t="shared" si="11"/>
        <v>27314.609842147373</v>
      </c>
      <c r="AF12" s="41">
        <f t="shared" si="12"/>
        <v>19510.780276973193</v>
      </c>
      <c r="AG12" s="47">
        <f t="shared" si="13"/>
        <v>20404.524353957357</v>
      </c>
      <c r="AH12" s="15"/>
      <c r="AI12" s="637" t="str">
        <f t="shared" si="1"/>
        <v>서부산</v>
      </c>
      <c r="AJ12" s="463">
        <f t="shared" si="2"/>
        <v>7.720588235294118E-2</v>
      </c>
      <c r="AK12" s="463">
        <f t="shared" si="3"/>
        <v>8.095314858507846E-2</v>
      </c>
      <c r="AL12" s="463">
        <f t="shared" si="14"/>
        <v>3.7472662321372807E-3</v>
      </c>
      <c r="AM12" s="453">
        <f t="shared" si="4"/>
        <v>389.73644391446749</v>
      </c>
      <c r="AO12" s="463">
        <f>+[17]서부산!$T$5/[17]합계!$T$5</f>
        <v>8.4170943901425654E-2</v>
      </c>
      <c r="AP12" s="463">
        <f t="shared" si="15"/>
        <v>-3.217795316347194E-3</v>
      </c>
      <c r="AQ12" s="453">
        <f>+[17]서부산!$Q$85*AP12</f>
        <v>-329.73731786191797</v>
      </c>
    </row>
    <row r="13" spans="1:43" s="6" customFormat="1" ht="22.5" customHeight="1" x14ac:dyDescent="0.3">
      <c r="B13" s="6" t="s">
        <v>23</v>
      </c>
      <c r="G13" s="304" t="str">
        <f t="shared" si="5"/>
        <v>김해</v>
      </c>
      <c r="H13" s="69"/>
      <c r="I13" s="70" t="s">
        <v>23</v>
      </c>
      <c r="J13" s="40">
        <f>+IFERROR(HLOOKUP($B13,'[1]4월'!$D$6:$BN$259,2,),)/1000</f>
        <v>10</v>
      </c>
      <c r="K13" s="41">
        <f>+IFERROR(HLOOKUP($B13,'[2]4월'!$F$6:$CP$99,2,),)/1000</f>
        <v>6.351</v>
      </c>
      <c r="L13" s="42">
        <f t="shared" si="0"/>
        <v>-3.649</v>
      </c>
      <c r="M13" s="43">
        <f>+IFERROR(HLOOKUP($B13,'[3]4월'!$F$6:$CC$57,2,),)/1000</f>
        <v>11.975</v>
      </c>
      <c r="N13" s="44">
        <f t="shared" si="6"/>
        <v>-5.6239999999999997</v>
      </c>
      <c r="O13" s="40">
        <f>+IFERROR(HLOOKUP($B13,'[1]4월'!$D$6:$BN$259,3,),)/1000</f>
        <v>1012.9338088</v>
      </c>
      <c r="P13" s="41">
        <f>+IFERROR(HLOOKUP($B13,'[2]4월'!$F$6:$CP$99,3,),)/1000</f>
        <v>625.0311999999999</v>
      </c>
      <c r="Q13" s="42">
        <f t="shared" si="7"/>
        <v>-387.90260880000005</v>
      </c>
      <c r="R13" s="43">
        <f>+IFERROR(HLOOKUP($B13,'[3]4월'!$F$6:$CC$57,3,),)/1000</f>
        <v>1030.4699000000001</v>
      </c>
      <c r="S13" s="44">
        <f t="shared" si="8"/>
        <v>-405.43870000000015</v>
      </c>
      <c r="T13" s="40">
        <f>+IFERROR(HLOOKUP($B13,'[1]4월'!$D$6:$BN$259,16,),)/1000</f>
        <v>79.709608372434801</v>
      </c>
      <c r="U13" s="41">
        <f>+IFERROR(HLOOKUP($B13,'[2]4월'!$F$6:$CP$99,16,),)/1000</f>
        <v>-7.4025450000000657</v>
      </c>
      <c r="V13" s="42">
        <f t="shared" si="9"/>
        <v>-87.112153372434861</v>
      </c>
      <c r="W13" s="43">
        <f>+IFERROR(HLOOKUP($B13,'[3]4월'!$F$6:$CC$57,16,),)/1000</f>
        <v>-22.904841000000086</v>
      </c>
      <c r="X13" s="44">
        <f t="shared" si="10"/>
        <v>15.502296000000021</v>
      </c>
      <c r="Y13" s="40">
        <f>+[4]김해!$Q$85</f>
        <v>101293.38088</v>
      </c>
      <c r="Z13" s="41">
        <f>+[4]김해!$R$85</f>
        <v>98414.61187214611</v>
      </c>
      <c r="AA13" s="45">
        <f>+[5]김해!$Q$85</f>
        <v>86017.766412341749</v>
      </c>
      <c r="AB13" s="46">
        <f>+[4]김해!$Q$89</f>
        <v>77893.196676089865</v>
      </c>
      <c r="AC13" s="41">
        <f>+[4]김해!$R$89</f>
        <v>77229.785860494405</v>
      </c>
      <c r="AD13" s="47">
        <f>+[5]김해!$Q$89</f>
        <v>75417.830720214639</v>
      </c>
      <c r="AE13" s="46">
        <f t="shared" si="11"/>
        <v>23400.184203910132</v>
      </c>
      <c r="AF13" s="41">
        <f t="shared" si="12"/>
        <v>21184.826011651705</v>
      </c>
      <c r="AG13" s="47">
        <f t="shared" si="13"/>
        <v>10599.93569212711</v>
      </c>
      <c r="AH13" s="15"/>
      <c r="AI13" s="637" t="str">
        <f t="shared" si="1"/>
        <v>김해</v>
      </c>
      <c r="AJ13" s="463">
        <f t="shared" si="2"/>
        <v>3.6764705882352942E-2</v>
      </c>
      <c r="AK13" s="463">
        <f t="shared" si="3"/>
        <v>2.3268168295792601E-2</v>
      </c>
      <c r="AL13" s="463">
        <f t="shared" si="14"/>
        <v>-1.3496537586560341E-2</v>
      </c>
      <c r="AM13" s="453">
        <f t="shared" si="4"/>
        <v>-1367.1099223166925</v>
      </c>
      <c r="AO13" s="463">
        <f>+[17]김해!$T$5/[17]합계!$T$5</f>
        <v>3.0433067396349628E-2</v>
      </c>
      <c r="AP13" s="463">
        <f t="shared" si="15"/>
        <v>-7.1648991005570269E-3</v>
      </c>
      <c r="AQ13" s="453">
        <f>+[17]김해!$Q$85*AP13</f>
        <v>-716.40676501546113</v>
      </c>
    </row>
    <row r="14" spans="1:43" s="6" customFormat="1" ht="22.5" customHeight="1" x14ac:dyDescent="0.3">
      <c r="B14" s="6" t="s">
        <v>24</v>
      </c>
      <c r="G14" s="304" t="str">
        <f t="shared" si="5"/>
        <v>정관</v>
      </c>
      <c r="H14" s="69"/>
      <c r="I14" s="70" t="s">
        <v>24</v>
      </c>
      <c r="J14" s="40">
        <f>+IFERROR(HLOOKUP($B14,'[1]4월'!$D$6:$BN$259,2,),)/1000</f>
        <v>22</v>
      </c>
      <c r="K14" s="41">
        <f>+IFERROR(HLOOKUP($B14,'[2]4월'!$F$6:$CP$99,2,),)/1000</f>
        <v>18.285</v>
      </c>
      <c r="L14" s="42">
        <f t="shared" si="0"/>
        <v>-3.7149999999999999</v>
      </c>
      <c r="M14" s="43">
        <f>+IFERROR(HLOOKUP($B14,'[3]4월'!$F$6:$CC$57,2,),)/1000</f>
        <v>23.628499999999999</v>
      </c>
      <c r="N14" s="44">
        <f t="shared" si="6"/>
        <v>-5.3434999999999988</v>
      </c>
      <c r="O14" s="40">
        <f>+IFERROR(HLOOKUP($B14,'[1]4월'!$D$6:$BN$259,3,),)/1000</f>
        <v>2334.3778542800005</v>
      </c>
      <c r="P14" s="41">
        <f>+IFERROR(HLOOKUP($B14,'[2]4월'!$F$6:$CP$99,3,),)/1000</f>
        <v>1879.0172</v>
      </c>
      <c r="Q14" s="42">
        <f t="shared" si="7"/>
        <v>-455.36065428000052</v>
      </c>
      <c r="R14" s="43">
        <f>+IFERROR(HLOOKUP($B14,'[3]4월'!$F$6:$CC$57,3,),)/1000</f>
        <v>2450.8407000000002</v>
      </c>
      <c r="S14" s="44">
        <f t="shared" si="8"/>
        <v>-571.82350000000019</v>
      </c>
      <c r="T14" s="40">
        <f>+IFERROR(HLOOKUP($B14,'[1]4월'!$D$6:$BN$259,16,),)/1000</f>
        <v>322.85638640773635</v>
      </c>
      <c r="U14" s="41">
        <f>+IFERROR(HLOOKUP($B14,'[2]4월'!$F$6:$CP$99,16,),)/1000</f>
        <v>160.08658900000003</v>
      </c>
      <c r="V14" s="42">
        <f t="shared" si="9"/>
        <v>-162.76979740773632</v>
      </c>
      <c r="W14" s="43">
        <f>+IFERROR(HLOOKUP($B14,'[3]4월'!$F$6:$CC$57,16,),)/1000</f>
        <v>280.09121400000009</v>
      </c>
      <c r="X14" s="44">
        <f t="shared" si="10"/>
        <v>-120.00462500000006</v>
      </c>
      <c r="Y14" s="40">
        <f>+[4]정관!$Q$85</f>
        <v>106108.08428545456</v>
      </c>
      <c r="Z14" s="41">
        <f>+[4]정관!$R$85</f>
        <v>102762.76729559748</v>
      </c>
      <c r="AA14" s="45">
        <f>+[5]정관!$Q$85</f>
        <v>103723.92238186936</v>
      </c>
      <c r="AB14" s="46">
        <f>+[4]정관!$Q$89</f>
        <v>80924.31917601201</v>
      </c>
      <c r="AC14" s="41">
        <f>+[4]정관!$R$89</f>
        <v>81626.340315278445</v>
      </c>
      <c r="AD14" s="47">
        <f>+[5]정관!$Q$89</f>
        <v>83859.793337693292</v>
      </c>
      <c r="AE14" s="46">
        <f t="shared" si="11"/>
        <v>25183.765109442553</v>
      </c>
      <c r="AF14" s="41">
        <f t="shared" si="12"/>
        <v>21136.42698031904</v>
      </c>
      <c r="AG14" s="47">
        <f t="shared" si="13"/>
        <v>19864.129044176065</v>
      </c>
      <c r="AH14" s="15"/>
      <c r="AI14" s="637" t="str">
        <f t="shared" si="1"/>
        <v>정관</v>
      </c>
      <c r="AJ14" s="463">
        <f t="shared" si="2"/>
        <v>8.0882352941176475E-2</v>
      </c>
      <c r="AK14" s="463">
        <f t="shared" si="3"/>
        <v>6.6990782126998535E-2</v>
      </c>
      <c r="AL14" s="463">
        <f t="shared" si="14"/>
        <v>-1.3891570814177939E-2</v>
      </c>
      <c r="AM14" s="453">
        <f t="shared" si="4"/>
        <v>-1474.0079668081535</v>
      </c>
      <c r="AO14" s="463">
        <f>+[17]정관!$T$5/[17]합계!$T$5</f>
        <v>5.4151260927408018E-2</v>
      </c>
      <c r="AP14" s="463">
        <f t="shared" si="15"/>
        <v>1.2839521199590517E-2</v>
      </c>
      <c r="AQ14" s="453">
        <f>+[17]정관!$Q$85*AP14</f>
        <v>1385.6375853739162</v>
      </c>
    </row>
    <row r="15" spans="1:43" s="6" customFormat="1" ht="22.5" customHeight="1" x14ac:dyDescent="0.3">
      <c r="B15" s="6" t="s">
        <v>25</v>
      </c>
      <c r="G15" s="304" t="str">
        <f t="shared" si="5"/>
        <v>양산</v>
      </c>
      <c r="H15" s="69"/>
      <c r="I15" s="70" t="s">
        <v>25</v>
      </c>
      <c r="J15" s="40">
        <f>+IFERROR(HLOOKUP($B15,'[1]4월'!$D$6:$BN$259,2,),)/1000</f>
        <v>10</v>
      </c>
      <c r="K15" s="41">
        <f>+IFERROR(HLOOKUP($B15,'[2]4월'!$F$6:$CP$99,2,),)/1000</f>
        <v>7.2089999999999996</v>
      </c>
      <c r="L15" s="42">
        <f t="shared" si="0"/>
        <v>-2.7910000000000004</v>
      </c>
      <c r="M15" s="43">
        <f>+IFERROR(HLOOKUP($B15,'[3]4월'!$F$6:$CC$57,2,),)/1000</f>
        <v>6.2770000000000001</v>
      </c>
      <c r="N15" s="44">
        <f t="shared" si="6"/>
        <v>0.9319999999999995</v>
      </c>
      <c r="O15" s="40">
        <f>+IFERROR(HLOOKUP($B15,'[1]4월'!$D$6:$BN$259,3,),)/1000</f>
        <v>1008.1010890000001</v>
      </c>
      <c r="P15" s="41">
        <f>+IFERROR(HLOOKUP($B15,'[2]4월'!$F$6:$CP$99,3,),)/1000</f>
        <v>709.83889999999997</v>
      </c>
      <c r="Q15" s="42">
        <f t="shared" si="7"/>
        <v>-298.26218900000015</v>
      </c>
      <c r="R15" s="43">
        <f>+IFERROR(HLOOKUP($B15,'[3]4월'!$F$6:$CC$57,3,),)/1000</f>
        <v>579.56164999999999</v>
      </c>
      <c r="S15" s="44">
        <f t="shared" si="8"/>
        <v>130.27724999999998</v>
      </c>
      <c r="T15" s="40">
        <f>+IFERROR(HLOOKUP($B15,'[1]4월'!$D$6:$BN$259,16,),)/1000</f>
        <v>116.98910613216604</v>
      </c>
      <c r="U15" s="41">
        <f>+IFERROR(HLOOKUP($B15,'[2]4월'!$F$6:$CP$99,16,),)/1000</f>
        <v>18.913597999999936</v>
      </c>
      <c r="V15" s="42">
        <f t="shared" si="9"/>
        <v>-98.075508132166107</v>
      </c>
      <c r="W15" s="43">
        <f>+IFERROR(HLOOKUP($B15,'[3]4월'!$F$6:$CC$57,16,),)/1000</f>
        <v>-26.417205999999922</v>
      </c>
      <c r="X15" s="44">
        <f t="shared" si="10"/>
        <v>45.330803999999858</v>
      </c>
      <c r="Y15" s="40">
        <f>+[4]양산!$Q$85</f>
        <v>100810.10890000002</v>
      </c>
      <c r="Z15" s="41">
        <f>+[4]양산!$R$85</f>
        <v>98465.654043556671</v>
      </c>
      <c r="AA15" s="45">
        <f>+[5]양산!$Q$85</f>
        <v>92330.9941054644</v>
      </c>
      <c r="AB15" s="46">
        <f>+[4]양산!$Q$89</f>
        <v>74915.73804233897</v>
      </c>
      <c r="AC15" s="41">
        <f>+[4]양산!$R$89</f>
        <v>76673.599389651819</v>
      </c>
      <c r="AD15" s="47">
        <f>+[5]양산!$Q$89</f>
        <v>72880.115501035529</v>
      </c>
      <c r="AE15" s="46">
        <f t="shared" si="11"/>
        <v>25894.370857661052</v>
      </c>
      <c r="AF15" s="41">
        <f t="shared" si="12"/>
        <v>21792.054653904852</v>
      </c>
      <c r="AG15" s="47">
        <f t="shared" si="13"/>
        <v>19450.878604428872</v>
      </c>
      <c r="AH15" s="15"/>
      <c r="AI15" s="637" t="str">
        <f t="shared" si="1"/>
        <v>양산</v>
      </c>
      <c r="AJ15" s="463">
        <f t="shared" si="2"/>
        <v>3.6764705882352942E-2</v>
      </c>
      <c r="AK15" s="463">
        <f t="shared" si="3"/>
        <v>2.6411624192153812E-2</v>
      </c>
      <c r="AL15" s="463">
        <f t="shared" si="14"/>
        <v>-1.0353081690199131E-2</v>
      </c>
      <c r="AM15" s="453">
        <f t="shared" si="4"/>
        <v>-1043.6952926395707</v>
      </c>
      <c r="AO15" s="463">
        <f>+[17]양산!$T$5/[17]합계!$T$5</f>
        <v>2.0027111303231114E-2</v>
      </c>
      <c r="AP15" s="463">
        <f t="shared" si="15"/>
        <v>6.3845128889226978E-3</v>
      </c>
      <c r="AQ15" s="453">
        <f>+[17]양산!$Q$85*AP15</f>
        <v>674.75658328691111</v>
      </c>
    </row>
    <row r="16" spans="1:43" s="6" customFormat="1" ht="22.5" customHeight="1" x14ac:dyDescent="0.3">
      <c r="B16" s="6" t="s">
        <v>26</v>
      </c>
      <c r="G16" s="304" t="str">
        <f t="shared" si="5"/>
        <v>창원</v>
      </c>
      <c r="H16" s="69"/>
      <c r="I16" s="70" t="s">
        <v>26</v>
      </c>
      <c r="J16" s="40">
        <f>+IFERROR(HLOOKUP($B16,'[1]4월'!$D$6:$BN$259,2,),)/1000</f>
        <v>13</v>
      </c>
      <c r="K16" s="41">
        <f>+IFERROR(HLOOKUP($B16,'[2]4월'!$F$6:$CP$99,2,),)/1000</f>
        <v>11.571</v>
      </c>
      <c r="L16" s="42">
        <f t="shared" si="0"/>
        <v>-1.4290000000000003</v>
      </c>
      <c r="M16" s="43">
        <f>+IFERROR(HLOOKUP($B16,'[3]4월'!$F$6:$CC$57,2,),)/1000</f>
        <v>12.462</v>
      </c>
      <c r="N16" s="44">
        <f t="shared" si="6"/>
        <v>-0.89100000000000001</v>
      </c>
      <c r="O16" s="40">
        <f>+IFERROR(HLOOKUP($B16,'[1]4월'!$D$6:$BN$259,3,),)/1000</f>
        <v>1265.9628987823905</v>
      </c>
      <c r="P16" s="41">
        <f>+IFERROR(HLOOKUP($B16,'[2]4월'!$F$6:$CP$99,3,),)/1000</f>
        <v>1083.6986000000002</v>
      </c>
      <c r="Q16" s="42">
        <f t="shared" si="7"/>
        <v>-182.26429878239037</v>
      </c>
      <c r="R16" s="43">
        <f>+IFERROR(HLOOKUP($B16,'[3]4월'!$F$6:$CC$57,3,),)/1000</f>
        <v>1202.3307</v>
      </c>
      <c r="S16" s="44">
        <f t="shared" si="8"/>
        <v>-118.63209999999981</v>
      </c>
      <c r="T16" s="40">
        <f>+IFERROR(HLOOKUP($B16,'[1]4월'!$D$6:$BN$259,16,),)/1000</f>
        <v>98.886576349705578</v>
      </c>
      <c r="U16" s="41">
        <f>+IFERROR(HLOOKUP($B16,'[2]4월'!$F$6:$CP$99,16,),)/1000</f>
        <v>73.953798000000077</v>
      </c>
      <c r="V16" s="42">
        <f t="shared" si="9"/>
        <v>-24.932778349705501</v>
      </c>
      <c r="W16" s="43">
        <f>+IFERROR(HLOOKUP($B16,'[3]4월'!$F$6:$CC$57,16,),)/1000</f>
        <v>126.42043699999992</v>
      </c>
      <c r="X16" s="44">
        <f t="shared" si="10"/>
        <v>-52.466638999999844</v>
      </c>
      <c r="Y16" s="40">
        <f>+[4]창원!$Q$85</f>
        <v>97381.761444799282</v>
      </c>
      <c r="Z16" s="41">
        <f>+[4]창원!$R$85</f>
        <v>93656.434188920583</v>
      </c>
      <c r="AA16" s="45">
        <f>+[5]창원!$Q$85</f>
        <v>96479.754453538757</v>
      </c>
      <c r="AB16" s="46">
        <f>+[4]창원!$Q$89</f>
        <v>76890.342930719358</v>
      </c>
      <c r="AC16" s="41">
        <f>+[4]창원!$R$89</f>
        <v>72300.83761126957</v>
      </c>
      <c r="AD16" s="47">
        <f>+[5]창원!$Q$89</f>
        <v>72322.006900978973</v>
      </c>
      <c r="AE16" s="46">
        <f t="shared" si="11"/>
        <v>20491.418514079924</v>
      </c>
      <c r="AF16" s="41">
        <f t="shared" si="12"/>
        <v>21355.596577651013</v>
      </c>
      <c r="AG16" s="47">
        <f t="shared" si="13"/>
        <v>24157.747552559784</v>
      </c>
      <c r="AH16" s="15"/>
      <c r="AI16" s="637" t="str">
        <f t="shared" si="1"/>
        <v>창원</v>
      </c>
      <c r="AJ16" s="463">
        <f t="shared" si="2"/>
        <v>4.779411764705882E-2</v>
      </c>
      <c r="AK16" s="463">
        <f t="shared" si="3"/>
        <v>4.2392690182745427E-2</v>
      </c>
      <c r="AL16" s="463">
        <f t="shared" si="14"/>
        <v>-5.4014274643133936E-3</v>
      </c>
      <c r="AM16" s="453">
        <f t="shared" si="4"/>
        <v>-526.00052079115403</v>
      </c>
      <c r="AO16" s="463">
        <f>+[17]창원!$T$5/[17]합계!$T$5</f>
        <v>3.6293893241899133E-2</v>
      </c>
      <c r="AP16" s="463">
        <f t="shared" si="15"/>
        <v>6.0987969408462933E-3</v>
      </c>
      <c r="AQ16" s="453">
        <f>+[17]창원!$Q$85*AP16</f>
        <v>600.43318795342714</v>
      </c>
    </row>
    <row r="17" spans="2:43" s="6" customFormat="1" ht="22.5" customHeight="1" x14ac:dyDescent="0.3">
      <c r="B17" s="6" t="s">
        <v>77</v>
      </c>
      <c r="G17" s="304" t="str">
        <f t="shared" si="5"/>
        <v>대구</v>
      </c>
      <c r="H17" s="69"/>
      <c r="I17" s="70" t="s">
        <v>69</v>
      </c>
      <c r="J17" s="40">
        <f>+IFERROR(HLOOKUP($B17,'[1]4월'!$D$6:$BN$259,2,),)/1000</f>
        <v>8.5</v>
      </c>
      <c r="K17" s="41">
        <f>+IFERROR(HLOOKUP($B17,'[2]4월'!$F$6:$CP$99,2,),)/1000</f>
        <v>5.7134999999999998</v>
      </c>
      <c r="L17" s="42">
        <f t="shared" si="0"/>
        <v>-2.7865000000000002</v>
      </c>
      <c r="M17" s="43">
        <f>+IFERROR(HLOOKUP($B17,'[3]4월'!$F$6:$CC$57,2,),)/1000</f>
        <v>11.7315</v>
      </c>
      <c r="N17" s="44">
        <f t="shared" si="6"/>
        <v>-6.0180000000000007</v>
      </c>
      <c r="O17" s="40">
        <f>+IFERROR(HLOOKUP($B17,'[1]4월'!$D$6:$BN$259,3,),)/1000</f>
        <v>767.39446335999992</v>
      </c>
      <c r="P17" s="41">
        <f>+IFERROR(HLOOKUP($B17,'[2]4월'!$F$6:$CP$99,3,),)/1000</f>
        <v>443.31324699999999</v>
      </c>
      <c r="Q17" s="42">
        <f t="shared" si="7"/>
        <v>-324.08121635999993</v>
      </c>
      <c r="R17" s="43">
        <f>+IFERROR(HLOOKUP($B17,'[3]4월'!$F$6:$CC$57,3,),)/1000</f>
        <v>1058.2244499999999</v>
      </c>
      <c r="S17" s="44">
        <f t="shared" si="8"/>
        <v>-614.91120299999989</v>
      </c>
      <c r="T17" s="40">
        <f>+IFERROR(HLOOKUP($B17,'[1]4월'!$D$6:$BN$259,16,),)/1000</f>
        <v>19.577609131998745</v>
      </c>
      <c r="U17" s="41">
        <f>+IFERROR(HLOOKUP($B17,'[2]4월'!$F$6:$CP$99,16,),)/1000</f>
        <v>-79.863768000000022</v>
      </c>
      <c r="V17" s="42">
        <f t="shared" si="9"/>
        <v>-99.441377131998763</v>
      </c>
      <c r="W17" s="43">
        <f>+IFERROR(HLOOKUP($B17,'[3]4월'!$F$6:$CC$57,16,),)/1000</f>
        <v>50.698715999999983</v>
      </c>
      <c r="X17" s="44">
        <f t="shared" si="10"/>
        <v>-130.56248400000001</v>
      </c>
      <c r="Y17" s="40">
        <f>+[4]대구!$Q$85</f>
        <v>90281.701571764701</v>
      </c>
      <c r="Z17" s="41">
        <f>+[4]대구!$R$85</f>
        <v>77590.486916951078</v>
      </c>
      <c r="AA17" s="45">
        <f>+[5]대구!$Q$85</f>
        <v>90203.678131526234</v>
      </c>
      <c r="AB17" s="46">
        <f>+[4]대구!$Q$89</f>
        <v>70982.51209312123</v>
      </c>
      <c r="AC17" s="41">
        <f>+[4]대구!$R$89</f>
        <v>68045.816749803096</v>
      </c>
      <c r="AD17" s="47">
        <f>+[5]대구!$Q$89</f>
        <v>72248.873375101219</v>
      </c>
      <c r="AE17" s="46">
        <f t="shared" si="11"/>
        <v>19299.189478643471</v>
      </c>
      <c r="AF17" s="41">
        <f t="shared" si="12"/>
        <v>9544.6701671479823</v>
      </c>
      <c r="AG17" s="47">
        <f t="shared" si="13"/>
        <v>17954.804756425016</v>
      </c>
      <c r="AH17" s="15"/>
      <c r="AI17" s="637" t="str">
        <f t="shared" si="1"/>
        <v>대구</v>
      </c>
      <c r="AJ17" s="463">
        <f t="shared" si="2"/>
        <v>3.125E-2</v>
      </c>
      <c r="AK17" s="463">
        <f t="shared" si="3"/>
        <v>2.0932558582587156E-2</v>
      </c>
      <c r="AL17" s="463">
        <f t="shared" si="14"/>
        <v>-1.0317441417412844E-2</v>
      </c>
      <c r="AM17" s="453">
        <f t="shared" si="4"/>
        <v>-931.47616703103142</v>
      </c>
      <c r="AO17" s="463">
        <f>+[17]대구!$T$5/[17]합계!$T$5</f>
        <v>1.3289155059027937E-2</v>
      </c>
      <c r="AP17" s="463">
        <f t="shared" si="15"/>
        <v>7.6434035235592186E-3</v>
      </c>
      <c r="AQ17" s="453">
        <f>+[17]대구!$Q$85*AP17</f>
        <v>649.80511523001189</v>
      </c>
    </row>
    <row r="18" spans="2:43" s="6" customFormat="1" ht="22.5" customHeight="1" x14ac:dyDescent="0.3">
      <c r="B18" s="6" t="s">
        <v>78</v>
      </c>
      <c r="G18" s="306" t="str">
        <f t="shared" si="5"/>
        <v>울산</v>
      </c>
      <c r="H18" s="69"/>
      <c r="I18" s="72" t="s">
        <v>70</v>
      </c>
      <c r="J18" s="7">
        <f>+IFERROR(HLOOKUP($B18,'[1]4월'!$D$6:$BN$259,2,),)/1000</f>
        <v>11.5</v>
      </c>
      <c r="K18" s="8">
        <f>+IFERROR(HLOOKUP($B18,'[2]4월'!$F$6:$CP$99,2,),)/1000</f>
        <v>14.457000000000001</v>
      </c>
      <c r="L18" s="9">
        <f t="shared" si="0"/>
        <v>2.9570000000000007</v>
      </c>
      <c r="M18" s="10">
        <f>+IFERROR(HLOOKUP($B18,'[3]4월'!$F$6:$CC$57,2,),)/1000</f>
        <v>13.906000000000001</v>
      </c>
      <c r="N18" s="11">
        <f t="shared" si="6"/>
        <v>0.55100000000000016</v>
      </c>
      <c r="O18" s="7">
        <f>+IFERROR(HLOOKUP($B18,'[1]4월'!$D$6:$BN$259,3,),)/1000</f>
        <v>1195.454385</v>
      </c>
      <c r="P18" s="8">
        <f>+IFERROR(HLOOKUP($B18,'[2]4월'!$F$6:$CP$99,3,),)/1000</f>
        <v>1468.2855</v>
      </c>
      <c r="Q18" s="9">
        <f t="shared" si="7"/>
        <v>272.83111499999995</v>
      </c>
      <c r="R18" s="10">
        <f>+IFERROR(HLOOKUP($B18,'[3]4월'!$F$6:$CC$57,3,),)/1000</f>
        <v>1439.8668</v>
      </c>
      <c r="S18" s="11">
        <f t="shared" si="8"/>
        <v>28.418699999999944</v>
      </c>
      <c r="T18" s="7">
        <f>+IFERROR(HLOOKUP($B18,'[1]4월'!$D$6:$BN$259,16,),)/1000</f>
        <v>94.836243740151474</v>
      </c>
      <c r="U18" s="8">
        <f>+IFERROR(HLOOKUP($B18,'[2]4월'!$F$6:$CP$99,16,),)/1000</f>
        <v>114.37949200000003</v>
      </c>
      <c r="V18" s="9">
        <f t="shared" si="9"/>
        <v>19.543248259848554</v>
      </c>
      <c r="W18" s="10">
        <f>+IFERROR(HLOOKUP($B18,'[3]4월'!$F$6:$CC$57,16,),)/1000</f>
        <v>174.90095600000021</v>
      </c>
      <c r="X18" s="11">
        <f t="shared" si="10"/>
        <v>-60.521464000000179</v>
      </c>
      <c r="Y18" s="7">
        <f>+[4]울산!$Q$85</f>
        <v>103952.5552173913</v>
      </c>
      <c r="Z18" s="8">
        <f>+[4]울산!$R$85</f>
        <v>101562.25357958082</v>
      </c>
      <c r="AA18" s="12">
        <f>+[5]울산!$Q$85</f>
        <v>103542.84481518769</v>
      </c>
      <c r="AB18" s="13">
        <f>+[4]울산!$Q$89</f>
        <v>82491.080640976739</v>
      </c>
      <c r="AC18" s="8">
        <f>+[4]울산!$R$89</f>
        <v>81917.156813939015</v>
      </c>
      <c r="AD18" s="14">
        <f>+[5]울산!$Q$89</f>
        <v>80692.96005173157</v>
      </c>
      <c r="AE18" s="13">
        <f t="shared" si="11"/>
        <v>21461.474576414563</v>
      </c>
      <c r="AF18" s="8">
        <f t="shared" si="12"/>
        <v>19645.096765641807</v>
      </c>
      <c r="AG18" s="14">
        <f t="shared" si="13"/>
        <v>22849.884763456124</v>
      </c>
      <c r="AH18" s="15"/>
      <c r="AI18" s="637" t="str">
        <f t="shared" si="1"/>
        <v>울산</v>
      </c>
      <c r="AJ18" s="463">
        <f t="shared" si="2"/>
        <v>4.2279411764705885E-2</v>
      </c>
      <c r="AK18" s="463">
        <f t="shared" si="3"/>
        <v>5.2966132743233141E-2</v>
      </c>
      <c r="AL18" s="463">
        <f t="shared" si="14"/>
        <v>1.0686720978527256E-2</v>
      </c>
      <c r="AM18" s="453">
        <f t="shared" si="4"/>
        <v>1110.9119526132085</v>
      </c>
      <c r="AO18" s="463">
        <f>+[17]울산!$T$5/[17]합계!$T$5</f>
        <v>5.0197878939217802E-2</v>
      </c>
      <c r="AP18" s="463">
        <f t="shared" si="15"/>
        <v>2.7682538040153387E-3</v>
      </c>
      <c r="AQ18" s="453">
        <f>+[17]울산!$Q$85*AP18</f>
        <v>289.76792162529318</v>
      </c>
    </row>
    <row r="19" spans="2:43" s="6" customFormat="1" ht="22.5" customHeight="1" x14ac:dyDescent="0.3">
      <c r="B19" s="6" t="s">
        <v>75</v>
      </c>
      <c r="G19" s="306" t="str">
        <f t="shared" si="5"/>
        <v>아산</v>
      </c>
      <c r="H19" s="69"/>
      <c r="I19" s="70" t="s">
        <v>27</v>
      </c>
      <c r="J19" s="40">
        <f>+IFERROR(HLOOKUP($B19,'[1]4월'!$D$6:$BN$259,2,),)/1000</f>
        <v>23</v>
      </c>
      <c r="K19" s="41">
        <f>+IFERROR(HLOOKUP($B19,'[2]4월'!$F$6:$CP$99,2,),)/1000</f>
        <v>24.257999999999999</v>
      </c>
      <c r="L19" s="42">
        <f t="shared" si="0"/>
        <v>1.2579999999999991</v>
      </c>
      <c r="M19" s="43">
        <f>+IFERROR(HLOOKUP($B19,'[3]4월'!$F$6:$CC$57,2,),)/1000</f>
        <v>23.172999999999998</v>
      </c>
      <c r="N19" s="44">
        <f t="shared" si="6"/>
        <v>1.0850000000000009</v>
      </c>
      <c r="O19" s="40">
        <f>+IFERROR(HLOOKUP($B19,'[1]4월'!$D$6:$BN$259,3,),)/1000</f>
        <v>2281.5794400000004</v>
      </c>
      <c r="P19" s="41">
        <f>+IFERROR(HLOOKUP($B19,'[2]4월'!$F$6:$CP$99,3,),)/1000</f>
        <v>2423.597002</v>
      </c>
      <c r="Q19" s="42">
        <f t="shared" si="7"/>
        <v>142.01756199999954</v>
      </c>
      <c r="R19" s="43">
        <f>+IFERROR(HLOOKUP($B19,'[3]4월'!$F$6:$CC$57,3,),)/1000</f>
        <v>2210.5820699999999</v>
      </c>
      <c r="S19" s="44">
        <f t="shared" si="8"/>
        <v>213.01493200000004</v>
      </c>
      <c r="T19" s="40">
        <f>+IFERROR(HLOOKUP($B19,'[1]4월'!$D$6:$BN$259,16,),)/1000</f>
        <v>230.15450113350659</v>
      </c>
      <c r="U19" s="41">
        <f>+IFERROR(HLOOKUP($B19,'[2]4월'!$F$6:$CP$99,16,),)/1000</f>
        <v>133.83137599999998</v>
      </c>
      <c r="V19" s="42">
        <f t="shared" si="9"/>
        <v>-96.323125133506608</v>
      </c>
      <c r="W19" s="43">
        <f>+IFERROR(HLOOKUP($B19,'[3]4월'!$F$6:$CC$57,16,),)/1000</f>
        <v>177.27360899999982</v>
      </c>
      <c r="X19" s="44">
        <f t="shared" si="10"/>
        <v>-43.442232999999845</v>
      </c>
      <c r="Y19" s="40">
        <f>+[4]아산!$Q$85</f>
        <v>99199.106086956526</v>
      </c>
      <c r="Z19" s="41">
        <f>+[4]아산!$R$85</f>
        <v>99909.184681342231</v>
      </c>
      <c r="AA19" s="45">
        <f>+[5]아산!$Q$85</f>
        <v>95394.729642256061</v>
      </c>
      <c r="AB19" s="46">
        <f>+[4]아산!$Q$89</f>
        <v>78425.862410862042</v>
      </c>
      <c r="AC19" s="41">
        <f>+[4]아산!$R$89</f>
        <v>84099.709403820816</v>
      </c>
      <c r="AD19" s="47">
        <f>+[5]아산!$Q$89</f>
        <v>77222.152605940428</v>
      </c>
      <c r="AE19" s="46">
        <f t="shared" si="11"/>
        <v>20773.243676094484</v>
      </c>
      <c r="AF19" s="41">
        <f t="shared" si="12"/>
        <v>15809.475277521415</v>
      </c>
      <c r="AG19" s="47">
        <f t="shared" si="13"/>
        <v>18172.577036315633</v>
      </c>
      <c r="AH19" s="15"/>
      <c r="AI19" s="637" t="str">
        <f t="shared" si="1"/>
        <v>아산</v>
      </c>
      <c r="AJ19" s="463">
        <f t="shared" si="2"/>
        <v>8.455882352941177E-2</v>
      </c>
      <c r="AK19" s="463">
        <f t="shared" si="3"/>
        <v>8.8874071251666964E-2</v>
      </c>
      <c r="AL19" s="463">
        <f t="shared" si="14"/>
        <v>4.3152477222551944E-3</v>
      </c>
      <c r="AM19" s="453">
        <f t="shared" si="4"/>
        <v>428.06871659149056</v>
      </c>
      <c r="AO19" s="463">
        <f>+[17]아산!$T$5/[17]합계!$T$5</f>
        <v>9.3135300511589456E-2</v>
      </c>
      <c r="AP19" s="463">
        <f t="shared" si="15"/>
        <v>-4.2612292599224916E-3</v>
      </c>
      <c r="AQ19" s="453">
        <f>+[17]아산!$Q$85*AP19</f>
        <v>-413.13465850051614</v>
      </c>
    </row>
    <row r="20" spans="2:43" s="6" customFormat="1" ht="22.5" customHeight="1" x14ac:dyDescent="0.3">
      <c r="B20" s="6" t="s">
        <v>71</v>
      </c>
      <c r="G20" s="306" t="str">
        <f t="shared" si="5"/>
        <v>전주</v>
      </c>
      <c r="H20" s="69"/>
      <c r="I20" s="70" t="s">
        <v>71</v>
      </c>
      <c r="J20" s="40">
        <f>+IFERROR(HLOOKUP($B20,'[1]4월'!$D$6:$BN$259,2,),)/1000</f>
        <v>11</v>
      </c>
      <c r="K20" s="41">
        <f>+IFERROR(HLOOKUP($B20,'[2]4월'!$F$6:$CP$99,2,),)/1000</f>
        <v>13.51</v>
      </c>
      <c r="L20" s="42">
        <f t="shared" si="0"/>
        <v>2.5099999999999998</v>
      </c>
      <c r="M20" s="43">
        <f>+IFERROR(HLOOKUP($B20,'[3]4월'!$F$6:$CC$57,2,),)/1000</f>
        <v>17.106000000000002</v>
      </c>
      <c r="N20" s="44">
        <f t="shared" si="6"/>
        <v>-3.5960000000000019</v>
      </c>
      <c r="O20" s="40">
        <f>+IFERROR(HLOOKUP($B20,'[1]4월'!$D$6:$BN$259,3,),)/1000</f>
        <v>1120.471</v>
      </c>
      <c r="P20" s="41">
        <f>+IFERROR(HLOOKUP($B20,'[2]4월'!$F$6:$CP$99,3,),)/1000</f>
        <v>1313.6975</v>
      </c>
      <c r="Q20" s="42">
        <f t="shared" si="7"/>
        <v>193.22649999999999</v>
      </c>
      <c r="R20" s="43">
        <f>+IFERROR(HLOOKUP($B20,'[3]4월'!$F$6:$CC$57,3,),)/1000</f>
        <v>1690.8335500000001</v>
      </c>
      <c r="S20" s="44">
        <f t="shared" si="8"/>
        <v>-377.13605000000007</v>
      </c>
      <c r="T20" s="40">
        <f>+IFERROR(HLOOKUP($B20,'[1]4월'!$D$6:$BN$259,16,),)/1000</f>
        <v>129.2228211388888</v>
      </c>
      <c r="U20" s="41">
        <f>+IFERROR(HLOOKUP($B20,'[2]4월'!$F$6:$CP$99,16,),)/1000</f>
        <v>61.431892999999938</v>
      </c>
      <c r="V20" s="42">
        <f t="shared" si="9"/>
        <v>-67.790928138888859</v>
      </c>
      <c r="W20" s="43">
        <f>+IFERROR(HLOOKUP($B20,'[3]4월'!$F$6:$CC$57,16,),)/1000</f>
        <v>227.34831699999998</v>
      </c>
      <c r="X20" s="44">
        <f t="shared" si="10"/>
        <v>-165.91642400000003</v>
      </c>
      <c r="Y20" s="40">
        <f>+[4]전주!$Q$85</f>
        <v>101861</v>
      </c>
      <c r="Z20" s="41">
        <f>+[4]전주!$R$85</f>
        <v>97239.589660025173</v>
      </c>
      <c r="AA20" s="45">
        <f>+[5]전주!$Q$85</f>
        <v>98858.360001174355</v>
      </c>
      <c r="AB20" s="46">
        <f>+[4]전주!$Q$89</f>
        <v>75566.133340909088</v>
      </c>
      <c r="AC20" s="41">
        <f>+[4]전주!$R$89</f>
        <v>80669.539332494649</v>
      </c>
      <c r="AD20" s="47">
        <f>+[5]전주!$Q$89</f>
        <v>76136.611745370232</v>
      </c>
      <c r="AE20" s="46">
        <f t="shared" si="11"/>
        <v>26294.866659090912</v>
      </c>
      <c r="AF20" s="41">
        <f t="shared" si="12"/>
        <v>16570.050327530524</v>
      </c>
      <c r="AG20" s="47">
        <f t="shared" si="13"/>
        <v>22721.748255804123</v>
      </c>
      <c r="AH20" s="15"/>
      <c r="AI20" s="637" t="str">
        <f t="shared" si="1"/>
        <v>전주</v>
      </c>
      <c r="AJ20" s="463">
        <f t="shared" si="2"/>
        <v>4.0441176470588237E-2</v>
      </c>
      <c r="AK20" s="463">
        <f t="shared" si="3"/>
        <v>4.9496607412400889E-2</v>
      </c>
      <c r="AL20" s="463">
        <f t="shared" si="14"/>
        <v>9.0554309418126519E-3</v>
      </c>
      <c r="AM20" s="453">
        <f t="shared" si="4"/>
        <v>922.39525116397851</v>
      </c>
      <c r="AO20" s="463">
        <f>+[17]전주!$T$5/[17]합계!$T$5</f>
        <v>5.7177150962954879E-2</v>
      </c>
      <c r="AP20" s="463">
        <f t="shared" si="15"/>
        <v>-7.6805435505539893E-3</v>
      </c>
      <c r="AQ20" s="453">
        <f>+[17]전주!$Q$85*AP20</f>
        <v>-770.08617001506957</v>
      </c>
    </row>
    <row r="21" spans="2:43" s="6" customFormat="1" ht="22.5" customHeight="1" x14ac:dyDescent="0.3">
      <c r="B21" s="6" t="s">
        <v>72</v>
      </c>
      <c r="G21" s="306" t="str">
        <f t="shared" si="5"/>
        <v>군산</v>
      </c>
      <c r="H21" s="69"/>
      <c r="I21" s="70" t="s">
        <v>72</v>
      </c>
      <c r="J21" s="40">
        <f>+IFERROR(HLOOKUP($B21,'[1]4월'!$D$6:$BN$259,2,),)/1000</f>
        <v>5</v>
      </c>
      <c r="K21" s="41">
        <f>+IFERROR(HLOOKUP($B21,'[2]4월'!$F$6:$CP$99,2,),)/1000</f>
        <v>5.101</v>
      </c>
      <c r="L21" s="42">
        <f t="shared" si="0"/>
        <v>0.10099999999999998</v>
      </c>
      <c r="M21" s="43">
        <f>+IFERROR(HLOOKUP($B21,'[3]4월'!$F$6:$CC$57,2,),)/1000</f>
        <v>7.0430000000000001</v>
      </c>
      <c r="N21" s="44">
        <f t="shared" si="6"/>
        <v>-1.9420000000000002</v>
      </c>
      <c r="O21" s="40">
        <f>+IFERROR(HLOOKUP($B21,'[1]4월'!$D$6:$BN$259,3,),)/1000</f>
        <v>560.42379999999991</v>
      </c>
      <c r="P21" s="41">
        <f>+IFERROR(HLOOKUP($B21,'[2]4월'!$F$6:$CP$99,3,),)/1000</f>
        <v>567.92644999999993</v>
      </c>
      <c r="Q21" s="42">
        <f t="shared" si="7"/>
        <v>7.5026500000000169</v>
      </c>
      <c r="R21" s="43">
        <f>+IFERROR(HLOOKUP($B21,'[3]4월'!$F$6:$CC$57,3,),)/1000</f>
        <v>750.89675</v>
      </c>
      <c r="S21" s="44">
        <f t="shared" si="8"/>
        <v>-182.97030000000007</v>
      </c>
      <c r="T21" s="40">
        <f>+IFERROR(HLOOKUP($B21,'[1]4월'!$D$6:$BN$259,16,),)/1000</f>
        <v>105.7938337048804</v>
      </c>
      <c r="U21" s="41">
        <f>+IFERROR(HLOOKUP($B21,'[2]4월'!$F$6:$CP$99,16,),)/1000</f>
        <v>96.361312999999953</v>
      </c>
      <c r="V21" s="42">
        <f t="shared" si="9"/>
        <v>-9.4325207048804458</v>
      </c>
      <c r="W21" s="43">
        <f>+IFERROR(HLOOKUP($B21,'[3]4월'!$F$6:$CC$57,16,),)/1000</f>
        <v>173.95166999999998</v>
      </c>
      <c r="X21" s="44">
        <f t="shared" si="10"/>
        <v>-77.590357000000026</v>
      </c>
      <c r="Y21" s="40">
        <f>+[4]군산!$Q$85</f>
        <v>112084.76</v>
      </c>
      <c r="Z21" s="41">
        <f>+[4]군산!$R$85</f>
        <v>111336.29680454811</v>
      </c>
      <c r="AA21" s="45">
        <f>+[5]군산!$Q$85</f>
        <v>106616.03720005679</v>
      </c>
      <c r="AB21" s="46">
        <f>+[4]군산!$Q$89</f>
        <v>72924.397125690579</v>
      </c>
      <c r="AC21" s="41">
        <f>+[4]군산!$R$89</f>
        <v>74603.417565183307</v>
      </c>
      <c r="AD21" s="47">
        <f>+[5]군산!$Q$89</f>
        <v>69387.861848644054</v>
      </c>
      <c r="AE21" s="46">
        <f t="shared" si="11"/>
        <v>39160.362874309416</v>
      </c>
      <c r="AF21" s="41">
        <f t="shared" si="12"/>
        <v>36732.879239364804</v>
      </c>
      <c r="AG21" s="47">
        <f t="shared" si="13"/>
        <v>37228.175351412734</v>
      </c>
      <c r="AH21" s="15"/>
      <c r="AI21" s="637" t="str">
        <f t="shared" si="1"/>
        <v>군산</v>
      </c>
      <c r="AJ21" s="463">
        <f t="shared" si="2"/>
        <v>1.8382352941176471E-2</v>
      </c>
      <c r="AK21" s="463">
        <f t="shared" si="3"/>
        <v>1.8688541407154473E-2</v>
      </c>
      <c r="AL21" s="463">
        <f t="shared" si="14"/>
        <v>3.0618846597800162E-4</v>
      </c>
      <c r="AM21" s="453">
        <f t="shared" si="4"/>
        <v>34.319060723912472</v>
      </c>
      <c r="AO21" s="463">
        <f>+[17]군산!$T$5/[17]합계!$T$5</f>
        <v>2.1135065491004166E-2</v>
      </c>
      <c r="AP21" s="463">
        <f t="shared" si="15"/>
        <v>-2.4465240838496931E-3</v>
      </c>
      <c r="AQ21" s="453">
        <f>+[17]군산!$Q$85*AP21</f>
        <v>-263.67851997416784</v>
      </c>
    </row>
    <row r="22" spans="2:43" s="6" customFormat="1" ht="22.5" customHeight="1" x14ac:dyDescent="0.3">
      <c r="B22" s="6" t="s">
        <v>73</v>
      </c>
      <c r="G22" s="306" t="str">
        <f t="shared" si="5"/>
        <v>원주</v>
      </c>
      <c r="H22" s="69"/>
      <c r="I22" s="70" t="s">
        <v>73</v>
      </c>
      <c r="J22" s="40">
        <f>+IFERROR(HLOOKUP($B22,'[1]4월'!$D$6:$BN$259,2,),)/1000</f>
        <v>4</v>
      </c>
      <c r="K22" s="41">
        <f>+IFERROR(HLOOKUP($B22,'[2]4월'!$F$6:$CP$99,2,),)/1000</f>
        <v>4.8440000000000003</v>
      </c>
      <c r="L22" s="42">
        <f t="shared" si="0"/>
        <v>0.84400000000000031</v>
      </c>
      <c r="M22" s="43">
        <f>+IFERROR(HLOOKUP($B22,'[3]4월'!$F$6:$CC$57,2,),)/1000</f>
        <v>2.5684999999999998</v>
      </c>
      <c r="N22" s="44">
        <f t="shared" si="6"/>
        <v>2.2755000000000005</v>
      </c>
      <c r="O22" s="40">
        <f>+IFERROR(HLOOKUP($B22,'[1]4월'!$D$6:$BN$259,3,),)/1000</f>
        <v>446.55953574400013</v>
      </c>
      <c r="P22" s="41">
        <f>+IFERROR(HLOOKUP($B22,'[2]4월'!$F$6:$CP$99,3,),)/1000</f>
        <v>527.77456000000006</v>
      </c>
      <c r="Q22" s="42">
        <f t="shared" si="7"/>
        <v>81.215024255999936</v>
      </c>
      <c r="R22" s="43">
        <f>+IFERROR(HLOOKUP($B22,'[3]4월'!$F$6:$CC$57,3,),)/1000</f>
        <v>290.20384999999999</v>
      </c>
      <c r="S22" s="44">
        <f t="shared" si="8"/>
        <v>237.57071000000008</v>
      </c>
      <c r="T22" s="40">
        <f>+IFERROR(HLOOKUP($B22,'[1]4월'!$D$6:$BN$259,16,),)/1000</f>
        <v>68.337597021873137</v>
      </c>
      <c r="U22" s="41">
        <f>+IFERROR(HLOOKUP($B22,'[2]4월'!$F$6:$CP$99,16,),)/1000</f>
        <v>103.45074200000006</v>
      </c>
      <c r="V22" s="42">
        <f t="shared" si="9"/>
        <v>35.113144978126925</v>
      </c>
      <c r="W22" s="43">
        <f>+IFERROR(HLOOKUP($B22,'[3]4월'!$F$6:$CC$57,16,),)/1000</f>
        <v>14.251572999999976</v>
      </c>
      <c r="X22" s="44">
        <f t="shared" si="10"/>
        <v>89.199169000000083</v>
      </c>
      <c r="Y22" s="40">
        <f>+[4]원주!$Q$85</f>
        <v>111639.88393600003</v>
      </c>
      <c r="Z22" s="41">
        <f>+[4]원주!$R$85</f>
        <v>108954.28571428572</v>
      </c>
      <c r="AA22" s="45">
        <f>+[5]원주!$Q$85</f>
        <v>112985.73097138407</v>
      </c>
      <c r="AB22" s="46">
        <f>+[4]원주!$Q$89</f>
        <v>70810.162909698411</v>
      </c>
      <c r="AC22" s="41">
        <f>+[4]원주!$R$89</f>
        <v>69912.460363336082</v>
      </c>
      <c r="AD22" s="47">
        <f>+[5]원주!$Q$89</f>
        <v>73010.817597819725</v>
      </c>
      <c r="AE22" s="46">
        <f t="shared" si="11"/>
        <v>40829.721026301617</v>
      </c>
      <c r="AF22" s="41">
        <f t="shared" si="12"/>
        <v>39041.825350949643</v>
      </c>
      <c r="AG22" s="47">
        <f t="shared" si="13"/>
        <v>39974.913373564341</v>
      </c>
      <c r="AH22" s="15"/>
      <c r="AI22" s="637" t="str">
        <f t="shared" si="1"/>
        <v>원주</v>
      </c>
      <c r="AJ22" s="463">
        <f t="shared" si="2"/>
        <v>1.4705882352941176E-2</v>
      </c>
      <c r="AK22" s="463">
        <f t="shared" si="3"/>
        <v>1.7746970118850475E-2</v>
      </c>
      <c r="AL22" s="463">
        <f t="shared" si="14"/>
        <v>3.0410877659092991E-3</v>
      </c>
      <c r="AM22" s="453">
        <f t="shared" si="4"/>
        <v>339.50668522530378</v>
      </c>
      <c r="AO22" s="463">
        <f>+[17]원주!$T$5/[17]합계!$T$5</f>
        <v>1.5295223626283695E-2</v>
      </c>
      <c r="AP22" s="463">
        <f t="shared" si="15"/>
        <v>2.4517464925667802E-3</v>
      </c>
      <c r="AQ22" s="453">
        <f>+[17]원주!$Q$85*AP22</f>
        <v>314.48569099072313</v>
      </c>
    </row>
    <row r="23" spans="2:43" s="6" customFormat="1" ht="22.5" customHeight="1" x14ac:dyDescent="0.3">
      <c r="B23" s="6" t="s">
        <v>74</v>
      </c>
      <c r="F23" s="79">
        <f>+K27-J27</f>
        <v>0.94800000000003593</v>
      </c>
      <c r="G23" s="304" t="str">
        <f t="shared" si="5"/>
        <v>제주</v>
      </c>
      <c r="H23" s="69"/>
      <c r="I23" s="70" t="s">
        <v>74</v>
      </c>
      <c r="J23" s="40">
        <f>+IFERROR(HLOOKUP($B23,'[1]4월'!$D$6:$BN$259,2,),)/1000</f>
        <v>6</v>
      </c>
      <c r="K23" s="41">
        <f>+IFERROR(HLOOKUP($B23,'[2]4월'!$F$6:$CP$99,2,),)/1000</f>
        <v>4.0890000000000004</v>
      </c>
      <c r="L23" s="42">
        <f t="shared" si="0"/>
        <v>-1.9109999999999996</v>
      </c>
      <c r="M23" s="43">
        <f>+IFERROR(HLOOKUP($B23,'[3]4월'!$F$6:$CC$57,2,),)/1000</f>
        <v>7.3395000000000001</v>
      </c>
      <c r="N23" s="44">
        <f t="shared" si="6"/>
        <v>-3.2504999999999997</v>
      </c>
      <c r="O23" s="40">
        <f>+IFERROR(HLOOKUP($B23,'[1]4월'!$D$6:$BN$259,3,),)/1000</f>
        <v>736.04</v>
      </c>
      <c r="P23" s="41">
        <f>+IFERROR(HLOOKUP($B23,'[2]4월'!$F$6:$CP$99,3,),)/1000</f>
        <v>536.50750899999991</v>
      </c>
      <c r="Q23" s="42">
        <f t="shared" si="7"/>
        <v>-199.53249100000005</v>
      </c>
      <c r="R23" s="43">
        <f>+IFERROR(HLOOKUP($B23,'[3]4월'!$F$6:$CC$57,3,),)/1000</f>
        <v>910.08608100000004</v>
      </c>
      <c r="S23" s="44">
        <f t="shared" si="8"/>
        <v>-373.57857200000012</v>
      </c>
      <c r="T23" s="40">
        <f>+IFERROR(HLOOKUP($B23,'[1]4월'!$D$6:$BN$259,16,),)/1000</f>
        <v>65.552789576040794</v>
      </c>
      <c r="U23" s="41">
        <f>+IFERROR(HLOOKUP($B23,'[2]4월'!$F$6:$CP$99,16,),)/1000</f>
        <v>29.329733999999966</v>
      </c>
      <c r="V23" s="42">
        <f t="shared" si="9"/>
        <v>-36.223055576040828</v>
      </c>
      <c r="W23" s="43">
        <f>+IFERROR(HLOOKUP($B23,'[3]4월'!$F$6:$CC$57,16,),)/1000</f>
        <v>128.44487099999998</v>
      </c>
      <c r="X23" s="44">
        <f t="shared" si="10"/>
        <v>-99.115137000000004</v>
      </c>
      <c r="Y23" s="40">
        <f>+[4]제주!$Q$85</f>
        <v>122673.33333333333</v>
      </c>
      <c r="Z23" s="41">
        <f>+[4]제주!$R$85</f>
        <v>131207.51014918071</v>
      </c>
      <c r="AA23" s="45">
        <f>+[5]제주!$Q$85</f>
        <v>123584.35305637153</v>
      </c>
      <c r="AB23" s="46">
        <f>+[4]제주!$Q$89</f>
        <v>93592.815967324175</v>
      </c>
      <c r="AC23" s="41">
        <f>+[4]제주!$R$89</f>
        <v>100213.86696013693</v>
      </c>
      <c r="AD23" s="47">
        <f>+[5]제주!$Q$89</f>
        <v>91260.283815918316</v>
      </c>
      <c r="AE23" s="46">
        <f t="shared" si="11"/>
        <v>29080.517366009153</v>
      </c>
      <c r="AF23" s="41">
        <f t="shared" si="12"/>
        <v>30993.643189043782</v>
      </c>
      <c r="AG23" s="47">
        <f t="shared" si="13"/>
        <v>32324.069240453216</v>
      </c>
      <c r="AH23" s="15"/>
      <c r="AI23" s="637" t="str">
        <f t="shared" si="1"/>
        <v>제주</v>
      </c>
      <c r="AJ23" s="463">
        <f t="shared" si="2"/>
        <v>2.2058823529411766E-2</v>
      </c>
      <c r="AK23" s="463">
        <f t="shared" si="3"/>
        <v>1.4980875478113047E-2</v>
      </c>
      <c r="AL23" s="463">
        <f t="shared" si="14"/>
        <v>-7.0779480512987193E-3</v>
      </c>
      <c r="AM23" s="453">
        <f t="shared" si="4"/>
        <v>-868.27548061298489</v>
      </c>
      <c r="AO23" s="463">
        <f>+[17]제주!$T$5/[17]합계!$T$5</f>
        <v>1.6931974130948435E-2</v>
      </c>
      <c r="AP23" s="463">
        <f t="shared" si="15"/>
        <v>-1.9510986528353882E-3</v>
      </c>
      <c r="AQ23" s="453">
        <f>+[17]제주!$Q$85*AP23</f>
        <v>-247.89371985109253</v>
      </c>
    </row>
    <row r="24" spans="2:43" s="6" customFormat="1" ht="22.5" customHeight="1" x14ac:dyDescent="0.3">
      <c r="F24" s="463">
        <f>+K24/J24</f>
        <v>1.0719205607476636</v>
      </c>
      <c r="G24" s="307" t="str">
        <f t="shared" si="5"/>
        <v>수도권</v>
      </c>
      <c r="H24" s="69"/>
      <c r="I24" s="73" t="s">
        <v>42</v>
      </c>
      <c r="J24" s="20">
        <f>SUM(J7:J10)</f>
        <v>107</v>
      </c>
      <c r="K24" s="17">
        <f>SUM(K7:K10)</f>
        <v>114.69550000000001</v>
      </c>
      <c r="L24" s="18">
        <f t="shared" si="0"/>
        <v>7.6955000000000098</v>
      </c>
      <c r="M24" s="22">
        <f>SUM(M7:M10)</f>
        <v>99.751999999999995</v>
      </c>
      <c r="N24" s="19">
        <f t="shared" si="6"/>
        <v>14.943500000000014</v>
      </c>
      <c r="O24" s="20">
        <f>SUM(O7:O10)</f>
        <v>10542.078341991111</v>
      </c>
      <c r="P24" s="17">
        <f>SUM(P7:P10)</f>
        <v>11318.554566000001</v>
      </c>
      <c r="Q24" s="18">
        <f t="shared" si="7"/>
        <v>776.4762240088894</v>
      </c>
      <c r="R24" s="22">
        <f>SUM(R7:R10)</f>
        <v>9616.3145969999987</v>
      </c>
      <c r="S24" s="19">
        <f t="shared" si="8"/>
        <v>1702.239969000002</v>
      </c>
      <c r="T24" s="20">
        <f>SUM(T7:T10)</f>
        <v>948.83206806252122</v>
      </c>
      <c r="U24" s="17">
        <f>SUM(U7:U10)</f>
        <v>719.56240199999934</v>
      </c>
      <c r="V24" s="18">
        <f t="shared" si="9"/>
        <v>-229.26966606252188</v>
      </c>
      <c r="W24" s="22">
        <f>SUM(W7:W10)</f>
        <v>593.2316089999988</v>
      </c>
      <c r="X24" s="19">
        <f t="shared" si="10"/>
        <v>126.33079300000054</v>
      </c>
      <c r="Y24" s="20">
        <f>+[4]수도권!$Q$85</f>
        <v>98524.096654122564</v>
      </c>
      <c r="Z24" s="17">
        <f>+[4]수도권!$R$85</f>
        <v>98815.722886796051</v>
      </c>
      <c r="AA24" s="21">
        <f>+[5]수도권!$Q$85</f>
        <v>96454.113487158218</v>
      </c>
      <c r="AB24" s="25">
        <f>+[4]수도권!$Q$89</f>
        <v>79805.010221295248</v>
      </c>
      <c r="AC24" s="17">
        <f>+[4]수도권!$R$89</f>
        <v>82943.595031066943</v>
      </c>
      <c r="AD24" s="26">
        <f>+[5]수도권!$Q$89</f>
        <v>80081.525033377824</v>
      </c>
      <c r="AE24" s="25">
        <f t="shared" si="11"/>
        <v>18719.086432827316</v>
      </c>
      <c r="AF24" s="17">
        <f t="shared" si="12"/>
        <v>15872.127855729108</v>
      </c>
      <c r="AG24" s="26">
        <f t="shared" si="13"/>
        <v>16372.588453780394</v>
      </c>
      <c r="AH24" s="15"/>
      <c r="AI24" s="637" t="str">
        <f t="shared" si="1"/>
        <v>수도권</v>
      </c>
      <c r="AJ24" s="463">
        <f t="shared" si="2"/>
        <v>0.39338235294117646</v>
      </c>
      <c r="AK24" s="463">
        <f t="shared" si="3"/>
        <v>0.42021007664463561</v>
      </c>
      <c r="AL24" s="463">
        <f t="shared" si="14"/>
        <v>2.682772370345915E-2</v>
      </c>
      <c r="AM24" s="453">
        <f t="shared" si="4"/>
        <v>2643.1772431697041</v>
      </c>
      <c r="AO24" s="463">
        <f>+[17]수도권!$T$5/[17]합계!$T$5</f>
        <v>0.41653621625251286</v>
      </c>
      <c r="AP24" s="463">
        <f t="shared" si="15"/>
        <v>3.6738603921227519E-3</v>
      </c>
      <c r="AQ24" s="453">
        <f>+[17]수도권!$Q$85*AP24</f>
        <v>363.17907920109474</v>
      </c>
    </row>
    <row r="25" spans="2:43" s="6" customFormat="1" ht="22.5" customHeight="1" x14ac:dyDescent="0.3">
      <c r="F25" s="463">
        <f>+K25/J25</f>
        <v>0.91767672413793111</v>
      </c>
      <c r="G25" s="304" t="str">
        <f t="shared" si="5"/>
        <v>영남권</v>
      </c>
      <c r="H25" s="69"/>
      <c r="I25" s="73" t="s">
        <v>43</v>
      </c>
      <c r="J25" s="20">
        <f>SUM(J11:J18)</f>
        <v>116</v>
      </c>
      <c r="K25" s="17">
        <f>SUM(K11:K18)</f>
        <v>106.45050000000001</v>
      </c>
      <c r="L25" s="18">
        <f t="shared" si="0"/>
        <v>-9.5494999999999948</v>
      </c>
      <c r="M25" s="22">
        <f>SUM(M11:M18)</f>
        <v>119.87100000000001</v>
      </c>
      <c r="N25" s="19">
        <f t="shared" si="6"/>
        <v>-13.420500000000004</v>
      </c>
      <c r="O25" s="20">
        <f>SUM(O11:O18)</f>
        <v>11934.398623342393</v>
      </c>
      <c r="P25" s="17">
        <f>SUM(P11:P18)</f>
        <v>10834.377147000001</v>
      </c>
      <c r="Q25" s="18">
        <f t="shared" si="7"/>
        <v>-1100.0214763423919</v>
      </c>
      <c r="R25" s="22">
        <f>SUM(R11:R18)</f>
        <v>11793.337300000001</v>
      </c>
      <c r="S25" s="19">
        <f t="shared" si="8"/>
        <v>-958.96015299999999</v>
      </c>
      <c r="T25" s="20">
        <f>SUM(T11:T18)</f>
        <v>1312.407822762669</v>
      </c>
      <c r="U25" s="17">
        <f>SUM(U11:U18)</f>
        <v>645.96461700000009</v>
      </c>
      <c r="V25" s="18">
        <f t="shared" si="9"/>
        <v>-666.44320576266887</v>
      </c>
      <c r="W25" s="22">
        <f>SUM(W11:W18)</f>
        <v>851.16723400000024</v>
      </c>
      <c r="X25" s="19">
        <f t="shared" si="10"/>
        <v>-205.20261700000015</v>
      </c>
      <c r="Y25" s="20">
        <f>+[4]영남권!$Q$85</f>
        <v>102882.74675295166</v>
      </c>
      <c r="Z25" s="17">
        <f>+[4]영남권!$R$85</f>
        <v>101778.54633843899</v>
      </c>
      <c r="AA25" s="21">
        <f>+[5]영남권!$Q$85</f>
        <v>98385.128898458555</v>
      </c>
      <c r="AB25" s="25">
        <f>+[4]영남권!$Q$89</f>
        <v>78777.166400902031</v>
      </c>
      <c r="AC25" s="17">
        <f>+[4]영남권!$R$89</f>
        <v>81309.226516847615</v>
      </c>
      <c r="AD25" s="26">
        <f>+[5]영남권!$Q$89</f>
        <v>79072.35792125568</v>
      </c>
      <c r="AE25" s="25">
        <f t="shared" si="11"/>
        <v>24105.580352049627</v>
      </c>
      <c r="AF25" s="17">
        <f t="shared" si="12"/>
        <v>20469.319821591373</v>
      </c>
      <c r="AG25" s="26">
        <f t="shared" si="13"/>
        <v>19312.770977202876</v>
      </c>
      <c r="AH25" s="15"/>
      <c r="AI25" s="638" t="str">
        <f t="shared" si="1"/>
        <v>영남권</v>
      </c>
      <c r="AJ25" s="463">
        <f t="shared" si="2"/>
        <v>0.4264705882352941</v>
      </c>
      <c r="AK25" s="463">
        <f t="shared" si="3"/>
        <v>0.39000285768717846</v>
      </c>
      <c r="AL25" s="463">
        <f t="shared" si="14"/>
        <v>-3.646773054811564E-2</v>
      </c>
      <c r="AM25" s="453">
        <f t="shared" si="4"/>
        <v>-3751.9002866366604</v>
      </c>
      <c r="AO25" s="463">
        <f>+[17]영남권!$T$5/[17]합계!$T$5</f>
        <v>0.37978906902470655</v>
      </c>
      <c r="AP25" s="463">
        <f t="shared" si="15"/>
        <v>1.0213788662471912E-2</v>
      </c>
      <c r="AQ25" s="453">
        <f>+[17]영남권!$Q$85*AP25</f>
        <v>1088.1288199384028</v>
      </c>
    </row>
    <row r="26" spans="2:43" s="6" customFormat="1" ht="22.5" customHeight="1" x14ac:dyDescent="0.3">
      <c r="F26" s="463">
        <f>+K26/J26</f>
        <v>1.0571836734693878</v>
      </c>
      <c r="G26" s="304" t="str">
        <f t="shared" si="5"/>
        <v>중부권</v>
      </c>
      <c r="H26" s="69"/>
      <c r="I26" s="73" t="s">
        <v>105</v>
      </c>
      <c r="J26" s="20">
        <f>SUM(J19:J23)</f>
        <v>49</v>
      </c>
      <c r="K26" s="17">
        <f>SUM(K19:K23)</f>
        <v>51.802</v>
      </c>
      <c r="L26" s="18">
        <f t="shared" si="0"/>
        <v>2.8019999999999996</v>
      </c>
      <c r="M26" s="22">
        <f>SUM(M19:M23)</f>
        <v>57.23</v>
      </c>
      <c r="N26" s="19">
        <f t="shared" si="6"/>
        <v>-5.4279999999999973</v>
      </c>
      <c r="O26" s="20">
        <f>SUM(O19:O23)</f>
        <v>5145.0737757440002</v>
      </c>
      <c r="P26" s="17">
        <f>SUM(P19:P23)</f>
        <v>5369.5030209999995</v>
      </c>
      <c r="Q26" s="18">
        <f t="shared" si="7"/>
        <v>224.42924525599938</v>
      </c>
      <c r="R26" s="22">
        <f>SUM(R19:R23)</f>
        <v>5852.6023009999999</v>
      </c>
      <c r="S26" s="19">
        <f t="shared" si="8"/>
        <v>-483.09928000000036</v>
      </c>
      <c r="T26" s="20">
        <f>SUM(T19:T23)</f>
        <v>599.06154257518983</v>
      </c>
      <c r="U26" s="17">
        <f>SUM(U19:U23)</f>
        <v>424.40505799999988</v>
      </c>
      <c r="V26" s="18">
        <f t="shared" si="9"/>
        <v>-174.65648457518995</v>
      </c>
      <c r="W26" s="22">
        <f>SUM(W19:W23)</f>
        <v>721.27003999999965</v>
      </c>
      <c r="X26" s="19">
        <f t="shared" si="10"/>
        <v>-296.86498199999977</v>
      </c>
      <c r="Y26" s="20">
        <f>+[4]중부권!$Q$85</f>
        <v>105001.50562742859</v>
      </c>
      <c r="Z26" s="17">
        <f>+[4]중부권!$R$85</f>
        <v>103655.65271368716</v>
      </c>
      <c r="AA26" s="21">
        <f>+[5]중부권!$Q$85</f>
        <v>102148.62913419002</v>
      </c>
      <c r="AB26" s="25">
        <f>+[4]중부권!$Q$89</f>
        <v>78457.99663818405</v>
      </c>
      <c r="AC26" s="17">
        <f>+[4]중부권!$R$89</f>
        <v>82216.334908845369</v>
      </c>
      <c r="AD26" s="26">
        <f>+[5]중부권!$Q$89</f>
        <v>77500.621556655082</v>
      </c>
      <c r="AE26" s="25">
        <f t="shared" si="11"/>
        <v>26543.508989244539</v>
      </c>
      <c r="AF26" s="17">
        <f t="shared" si="12"/>
        <v>21439.31780484179</v>
      </c>
      <c r="AG26" s="26">
        <f t="shared" si="13"/>
        <v>24648.00757753494</v>
      </c>
      <c r="AH26" s="15"/>
      <c r="AI26" s="638" t="str">
        <f t="shared" si="1"/>
        <v>중부권</v>
      </c>
      <c r="AJ26" s="463">
        <f t="shared" si="2"/>
        <v>0.18014705882352941</v>
      </c>
      <c r="AK26" s="463">
        <f t="shared" si="3"/>
        <v>0.18978706566818584</v>
      </c>
      <c r="AL26" s="463">
        <f t="shared" si="14"/>
        <v>9.6400068446564346E-3</v>
      </c>
      <c r="AM26" s="453">
        <f t="shared" si="4"/>
        <v>1012.2152329476428</v>
      </c>
      <c r="AO26" s="463">
        <f>+[17]중부권!$T$5/[17]합계!$T$5</f>
        <v>0.20367471472278062</v>
      </c>
      <c r="AP26" s="463">
        <f t="shared" si="15"/>
        <v>-1.3887649054594775E-2</v>
      </c>
      <c r="AQ26" s="453">
        <f>+[17]중부권!$Q$85*AP26</f>
        <v>-1442.3323978223023</v>
      </c>
    </row>
    <row r="27" spans="2:43" s="1" customFormat="1" ht="22.5" customHeight="1" x14ac:dyDescent="0.3">
      <c r="B27" s="23"/>
      <c r="F27" s="452">
        <f>+K27/M27</f>
        <v>0.98589504177307097</v>
      </c>
      <c r="G27" s="306">
        <f>+K27/J27</f>
        <v>1.0034852941176471</v>
      </c>
      <c r="H27" s="238" t="s">
        <v>93</v>
      </c>
      <c r="I27" s="239"/>
      <c r="J27" s="240">
        <f>SUM(J24:J26)</f>
        <v>272</v>
      </c>
      <c r="K27" s="241">
        <f>SUM(K24:K26)</f>
        <v>272.94800000000004</v>
      </c>
      <c r="L27" s="242">
        <f t="shared" ref="L27" si="16">+K27-J27</f>
        <v>0.94800000000003593</v>
      </c>
      <c r="M27" s="243">
        <f>SUM(M24:M26)</f>
        <v>276.85300000000001</v>
      </c>
      <c r="N27" s="244">
        <f t="shared" ref="N27" si="17">+K27-M27</f>
        <v>-3.9049999999999727</v>
      </c>
      <c r="O27" s="240">
        <f>SUM(O24:O26)</f>
        <v>27621.550741077503</v>
      </c>
      <c r="P27" s="241">
        <f>SUM(P24:P26)</f>
        <v>27522.434734000002</v>
      </c>
      <c r="Q27" s="242">
        <f t="shared" ref="Q27" si="18">+P27-O27</f>
        <v>-99.116007077500399</v>
      </c>
      <c r="R27" s="243">
        <f>SUM(R24:R26)</f>
        <v>27262.254197999999</v>
      </c>
      <c r="S27" s="244">
        <f t="shared" ref="S27" si="19">+P27-R27</f>
        <v>260.18053600000349</v>
      </c>
      <c r="T27" s="240">
        <f>SUM(T24:T26)</f>
        <v>2860.3014334003801</v>
      </c>
      <c r="U27" s="241">
        <f>SUM(U24:U26)</f>
        <v>1789.9320769999993</v>
      </c>
      <c r="V27" s="242">
        <f t="shared" ref="V27" si="20">+U27-T27</f>
        <v>-1070.3693564003809</v>
      </c>
      <c r="W27" s="243">
        <f>SUM(W24:W26)</f>
        <v>2165.6688829999985</v>
      </c>
      <c r="X27" s="244">
        <f t="shared" ref="X27" si="21">+U27-W27</f>
        <v>-375.73680599999921</v>
      </c>
      <c r="Y27" s="640">
        <f>+[4]합계!$Q$85</f>
        <v>101549.81890102028</v>
      </c>
      <c r="Z27" s="641">
        <f>+[4]합계!$R$85</f>
        <v>100907.33058181037</v>
      </c>
      <c r="AA27" s="642">
        <f>+[5]합계!$Q$85</f>
        <v>98470.346196543367</v>
      </c>
      <c r="AB27" s="643">
        <f>+[4]합계!$Q$89</f>
        <v>79124.004527405312</v>
      </c>
      <c r="AC27" s="641">
        <f>+[4]합계!$R$89</f>
        <v>82161.399926878439</v>
      </c>
      <c r="AD27" s="644">
        <f>+[5]합계!$Q$89</f>
        <v>79109.224643891648</v>
      </c>
      <c r="AE27" s="643">
        <f t="shared" si="11"/>
        <v>22425.814373614965</v>
      </c>
      <c r="AF27" s="641">
        <f t="shared" si="12"/>
        <v>18745.93065493193</v>
      </c>
      <c r="AG27" s="644">
        <f t="shared" si="13"/>
        <v>19361.121552651719</v>
      </c>
      <c r="AH27" s="24"/>
      <c r="AI27" s="638" t="s">
        <v>8</v>
      </c>
      <c r="AJ27" s="463">
        <f t="shared" si="2"/>
        <v>1</v>
      </c>
      <c r="AK27" s="463">
        <f t="shared" si="3"/>
        <v>1</v>
      </c>
      <c r="AL27" s="463">
        <f t="shared" si="14"/>
        <v>0</v>
      </c>
      <c r="AM27" s="639">
        <f>SUM(AM7:AM23)</f>
        <v>-83.093766990124777</v>
      </c>
      <c r="AO27" s="463">
        <f>+[17]합계!$T$5/[17]합계!$T$5</f>
        <v>1</v>
      </c>
      <c r="AP27" s="463">
        <f t="shared" si="15"/>
        <v>0</v>
      </c>
      <c r="AQ27" s="639">
        <f>SUM(AQ7:AQ23)</f>
        <v>-331.33004411220543</v>
      </c>
    </row>
    <row r="28" spans="2:43" s="6" customFormat="1" ht="22.5" customHeight="1" thickBot="1" x14ac:dyDescent="0.35">
      <c r="B28" s="6" t="s">
        <v>111</v>
      </c>
      <c r="E28" s="6" t="s">
        <v>179</v>
      </c>
      <c r="G28" s="304" t="s">
        <v>3</v>
      </c>
      <c r="H28" s="75" t="s">
        <v>45</v>
      </c>
      <c r="I28" s="68" t="s">
        <v>112</v>
      </c>
      <c r="J28" s="50">
        <f>+IFERROR(HLOOKUP($B29,'[1]4월'!$D$6:$BN$259,2,),)/1000</f>
        <v>21.896951048951049</v>
      </c>
      <c r="K28" s="51">
        <f>+IFERROR(HLOOKUP($C29,'[2]4월'!$F$6:$CP$99,2,),)/1000</f>
        <v>23.611999999999998</v>
      </c>
      <c r="L28" s="32">
        <f t="shared" ref="L28:L34" si="22">+K28-J28</f>
        <v>1.7150489510489493</v>
      </c>
      <c r="M28" s="32">
        <f>+IFERROR(HLOOKUP($C29,'[3]4월'!$F$6:$CC$57,2,),)/1000</f>
        <v>25.408999999999999</v>
      </c>
      <c r="N28" s="52">
        <f>+K28-M28</f>
        <v>-1.7970000000000006</v>
      </c>
      <c r="O28" s="50">
        <f>+IFERROR(HLOOKUP($B29,'[1]4월'!$D$6:$BN$259,3,),)/1000</f>
        <v>622.42559440559444</v>
      </c>
      <c r="P28" s="51">
        <f>+IFERROR(HLOOKUP($C29,'[2]4월'!$F$6:$CP$99,3,),)/1000</f>
        <v>657.78599999999994</v>
      </c>
      <c r="Q28" s="32">
        <f t="shared" ref="Q28:Q37" si="23">+P28-O28</f>
        <v>35.360405594405506</v>
      </c>
      <c r="R28" s="32">
        <f>+IFERROR(HLOOKUP($C29,'[3]4월'!$F$6:$CC$57,3,),)/1000</f>
        <v>749.49400000000003</v>
      </c>
      <c r="S28" s="52">
        <f t="shared" ref="S28:S37" si="24">+P28-R28</f>
        <v>-91.708000000000084</v>
      </c>
      <c r="T28" s="50">
        <f>+IFERROR(HLOOKUP($B29,'[1]4월'!$D$6:$BN$259,21,),)/1000</f>
        <v>24.996233142560023</v>
      </c>
      <c r="U28" s="51">
        <f>+IFERROR(HLOOKUP($C29,'[2]4월'!$F$6:$CP$99,21,),)/1000</f>
        <v>-7.4984396237716355</v>
      </c>
      <c r="V28" s="32">
        <f>+U28-T28</f>
        <v>-32.494672766331661</v>
      </c>
      <c r="W28" s="32">
        <f>+IFERROR(HLOOKUP($C29,'[3]4월'!$F$6:$CC$57,21,),)/1000</f>
        <v>-18.692086302362814</v>
      </c>
      <c r="X28" s="52">
        <f>+U28-W28</f>
        <v>11.193646678591179</v>
      </c>
      <c r="Y28" s="449" t="s">
        <v>194</v>
      </c>
      <c r="Z28" s="210"/>
      <c r="AA28" s="210"/>
      <c r="AB28" s="210"/>
      <c r="AC28" s="210"/>
      <c r="AD28" s="210"/>
      <c r="AE28" s="609"/>
      <c r="AF28" s="609"/>
      <c r="AG28" s="260"/>
      <c r="AH28" s="15"/>
      <c r="AI28" s="16"/>
      <c r="AJ28" s="453"/>
      <c r="AK28" s="457"/>
    </row>
    <row r="29" spans="2:43" s="6" customFormat="1" ht="22.5" customHeight="1" thickTop="1" x14ac:dyDescent="0.3">
      <c r="B29" s="6" t="s">
        <v>112</v>
      </c>
      <c r="C29" s="68" t="s">
        <v>46</v>
      </c>
      <c r="G29" s="305" t="str">
        <f>+I28</f>
        <v>부산모래장</v>
      </c>
      <c r="H29" s="74"/>
      <c r="I29" s="70" t="s">
        <v>120</v>
      </c>
      <c r="J29" s="48">
        <f>+IFERROR(HLOOKUP($B30,'[1]4월'!$D$6:$BN$259,2,),)/1000</f>
        <v>49.07033333333333</v>
      </c>
      <c r="K29" s="53">
        <f>+IFERROR(HLOOKUP($C30,'[2]4월'!$F$6:$CP$99,2,),)/1000</f>
        <v>33.183999999999997</v>
      </c>
      <c r="L29" s="42">
        <f t="shared" si="22"/>
        <v>-15.886333333333333</v>
      </c>
      <c r="M29" s="42">
        <f>+IFERROR(HLOOKUP($C30,'[3]4월'!$F$6:$CC$57,2,),)/1000</f>
        <v>27.056000000000001</v>
      </c>
      <c r="N29" s="54">
        <f>+K29-M29</f>
        <v>6.1279999999999966</v>
      </c>
      <c r="O29" s="48">
        <f>+IFERROR(HLOOKUP($B30,'[1]4월'!$D$6:$BN$259,3,),)/1000</f>
        <v>641.29575999999997</v>
      </c>
      <c r="P29" s="53">
        <f>+IFERROR(HLOOKUP($C30,'[2]4월'!$F$6:$CP$99,3,),)/1000</f>
        <v>450.68</v>
      </c>
      <c r="Q29" s="42">
        <f t="shared" si="23"/>
        <v>-190.61575999999997</v>
      </c>
      <c r="R29" s="42">
        <f>+IFERROR(HLOOKUP($C30,'[3]4월'!$F$6:$CC$57,3,),)/1000</f>
        <v>390.31200000000001</v>
      </c>
      <c r="S29" s="54">
        <f t="shared" si="24"/>
        <v>60.367999999999995</v>
      </c>
      <c r="T29" s="48">
        <f>+IFERROR(HLOOKUP($B30,'[1]4월'!$D$6:$BN$259,21,),)/1000</f>
        <v>96.66768413006676</v>
      </c>
      <c r="U29" s="53">
        <f>+IFERROR(HLOOKUP($C30,'[2]4월'!$F$6:$CP$99,21,),)/1000</f>
        <v>21.793816586076019</v>
      </c>
      <c r="V29" s="42">
        <f>+U29-T29</f>
        <v>-74.873867543990741</v>
      </c>
      <c r="W29" s="42">
        <f>+IFERROR(HLOOKUP($C30,'[3]4월'!$F$6:$CC$57,21,),)/1000</f>
        <v>105.2219447877477</v>
      </c>
      <c r="X29" s="54">
        <f>+U29-W29</f>
        <v>-83.428128201671683</v>
      </c>
      <c r="Y29" s="610" t="s">
        <v>11</v>
      </c>
      <c r="Z29" s="611" t="s">
        <v>36</v>
      </c>
      <c r="AA29" s="612" t="s">
        <v>37</v>
      </c>
      <c r="AB29" s="613" t="s">
        <v>38</v>
      </c>
      <c r="AC29" s="610" t="s">
        <v>181</v>
      </c>
      <c r="AD29" s="610" t="s">
        <v>38</v>
      </c>
      <c r="AE29" s="210" t="s">
        <v>197</v>
      </c>
      <c r="AF29" s="210"/>
      <c r="AG29" s="45"/>
      <c r="AH29" s="15"/>
      <c r="AI29" s="210" t="s">
        <v>198</v>
      </c>
      <c r="AJ29" s="453"/>
      <c r="AK29" s="457"/>
    </row>
    <row r="30" spans="2:43" s="6" customFormat="1" ht="22.5" customHeight="1" x14ac:dyDescent="0.3">
      <c r="B30" s="6" t="s">
        <v>113</v>
      </c>
      <c r="C30" s="70" t="s">
        <v>47</v>
      </c>
      <c r="G30" s="305" t="str">
        <f>+I29</f>
        <v>서부산CR</v>
      </c>
      <c r="H30" s="74"/>
      <c r="I30" s="72" t="s">
        <v>121</v>
      </c>
      <c r="J30" s="48">
        <f>+IFERROR(HLOOKUP($B31,'[1]4월'!$D$6:$BN$259,2,),)/1000</f>
        <v>1E-3</v>
      </c>
      <c r="K30" s="53">
        <f>+IFERROR(HLOOKUP($C31,'[2]4월'!$F$6:$CP$99,2,),)/1000</f>
        <v>14.696999999999999</v>
      </c>
      <c r="L30" s="42">
        <f t="shared" si="22"/>
        <v>14.696</v>
      </c>
      <c r="M30" s="42">
        <f>+IFERROR(HLOOKUP($C31,'[3]4월'!$F$6:$CC$57,2,),)/1000</f>
        <v>15.56</v>
      </c>
      <c r="N30" s="54">
        <f>+K30-M30</f>
        <v>-0.86300000000000132</v>
      </c>
      <c r="O30" s="48">
        <f>+IFERROR(HLOOKUP($B31,'[1]4월'!$D$6:$BN$259,3,),)/1000</f>
        <v>0</v>
      </c>
      <c r="P30" s="53">
        <f>+IFERROR(HLOOKUP($C31,'[2]4월'!$F$6:$CP$99,3,),)/1000</f>
        <v>292.70909999999998</v>
      </c>
      <c r="Q30" s="42">
        <f t="shared" si="23"/>
        <v>292.70909999999998</v>
      </c>
      <c r="R30" s="42">
        <f>+IFERROR(HLOOKUP($C31,'[3]4월'!$F$6:$CC$57,3,),)/1000</f>
        <v>309.26</v>
      </c>
      <c r="S30" s="54">
        <f t="shared" si="24"/>
        <v>-16.550900000000013</v>
      </c>
      <c r="T30" s="48">
        <f>+IFERROR(HLOOKUP($B31,'[1]4월'!$D$6:$BN$259,21,),)/1000</f>
        <v>-148.6849678333333</v>
      </c>
      <c r="U30" s="53">
        <f>+IFERROR(HLOOKUP($C31,'[2]4월'!$F$6:$CP$99,21,),)/1000</f>
        <v>-124.42435721000005</v>
      </c>
      <c r="V30" s="42">
        <f>+U30-T30</f>
        <v>24.26061062333325</v>
      </c>
      <c r="W30" s="42">
        <f>+IFERROR(HLOOKUP($C31,'[3]4월'!$F$6:$CC$57,21,),)/1000</f>
        <v>-29.223299709999939</v>
      </c>
      <c r="X30" s="54">
        <f>+U30-W30</f>
        <v>-95.201057500000118</v>
      </c>
      <c r="Y30" s="614" t="s">
        <v>182</v>
      </c>
      <c r="Z30" s="615">
        <f>+[18]영업계획!$J$7</f>
        <v>103682.02805547882</v>
      </c>
      <c r="AA30" s="616">
        <f>+[19]합계!$F$94</f>
        <v>102936.251839191</v>
      </c>
      <c r="AB30" s="37">
        <f>+AA30-Z30</f>
        <v>-745.77621628782072</v>
      </c>
      <c r="AC30" s="617">
        <f>+[19]합계!$E$94</f>
        <v>104196.98594207945</v>
      </c>
      <c r="AD30" s="617">
        <f>+AA30-AC30</f>
        <v>-1260.7341028884548</v>
      </c>
      <c r="AE30" s="210" t="s">
        <v>183</v>
      </c>
      <c r="AF30" s="210">
        <f>+(Z30-Z31)*AB36</f>
        <v>343.57818464881706</v>
      </c>
      <c r="AG30" s="45" t="s">
        <v>196</v>
      </c>
      <c r="AH30" s="15"/>
      <c r="AI30" s="210" t="s">
        <v>183</v>
      </c>
      <c r="AJ30" s="210">
        <f>+(AC30-AC31)*AD36</f>
        <v>-324.36799053741566</v>
      </c>
      <c r="AK30" s="210" t="s">
        <v>196</v>
      </c>
      <c r="AL30" s="81"/>
      <c r="AN30" s="453"/>
    </row>
    <row r="31" spans="2:43" s="6" customFormat="1" ht="22.5" customHeight="1" x14ac:dyDescent="0.3">
      <c r="B31" s="6" t="s">
        <v>108</v>
      </c>
      <c r="C31" s="72" t="s">
        <v>108</v>
      </c>
      <c r="G31" s="305" t="str">
        <f>+I30</f>
        <v>부산CR</v>
      </c>
      <c r="H31" s="123" t="s">
        <v>33</v>
      </c>
      <c r="I31" s="124"/>
      <c r="J31" s="125">
        <f>SUM(J28:J30)</f>
        <v>70.968284382284381</v>
      </c>
      <c r="K31" s="129">
        <f>SUM(K28:K30)</f>
        <v>71.492999999999995</v>
      </c>
      <c r="L31" s="127">
        <f t="shared" si="22"/>
        <v>0.52471561771561426</v>
      </c>
      <c r="M31" s="127">
        <f>SUM(M28:M30)</f>
        <v>68.025000000000006</v>
      </c>
      <c r="N31" s="128">
        <f>+K31-M31</f>
        <v>3.4679999999999893</v>
      </c>
      <c r="O31" s="125">
        <f>SUM(O28:O30)</f>
        <v>1263.7213544055944</v>
      </c>
      <c r="P31" s="129">
        <f>SUM(P28:P30)</f>
        <v>1401.1750999999999</v>
      </c>
      <c r="Q31" s="127">
        <f t="shared" si="23"/>
        <v>137.45374559440552</v>
      </c>
      <c r="R31" s="127">
        <f>SUM(R28:R30)</f>
        <v>1449.066</v>
      </c>
      <c r="S31" s="128">
        <f t="shared" si="24"/>
        <v>-47.890900000000101</v>
      </c>
      <c r="T31" s="125">
        <f>SUM(T28:T30)</f>
        <v>-27.021050560706527</v>
      </c>
      <c r="U31" s="129">
        <f>SUM(U28:U30)</f>
        <v>-110.12898024769567</v>
      </c>
      <c r="V31" s="127">
        <f>+U31-T31</f>
        <v>-83.107929686989138</v>
      </c>
      <c r="W31" s="127">
        <f>SUM(W28:W30)</f>
        <v>57.306558775384957</v>
      </c>
      <c r="X31" s="128">
        <f>+U31-W31</f>
        <v>-167.43553902308062</v>
      </c>
      <c r="Y31" s="618" t="s">
        <v>184</v>
      </c>
      <c r="Z31" s="619">
        <f>+[18]영업계획!$J$10</f>
        <v>98212.976167073983</v>
      </c>
      <c r="AA31" s="620">
        <f>+[19]합계!$F$93</f>
        <v>96612.458168280311</v>
      </c>
      <c r="AB31" s="621">
        <f t="shared" ref="AB31:AB32" si="25">+AA31-Z31</f>
        <v>-1600.5179987936717</v>
      </c>
      <c r="AC31" s="622">
        <f>+[19]합계!$E$93</f>
        <v>98748.172215922968</v>
      </c>
      <c r="AD31" s="622">
        <f t="shared" ref="AD31:AD32" si="26">+AA31-AC31</f>
        <v>-2135.7140476426575</v>
      </c>
      <c r="AE31" s="210" t="s">
        <v>185</v>
      </c>
      <c r="AF31" s="210">
        <f>+AB35*120*10</f>
        <v>1393.3456698884072</v>
      </c>
      <c r="AG31" s="45" t="s">
        <v>196</v>
      </c>
      <c r="AH31" s="15"/>
      <c r="AI31" s="210" t="s">
        <v>185</v>
      </c>
      <c r="AJ31" s="210">
        <f>+AD35*120*10</f>
        <v>-1016.4864801245201</v>
      </c>
      <c r="AK31" s="210" t="s">
        <v>196</v>
      </c>
      <c r="AL31" s="81"/>
      <c r="AM31" s="453"/>
      <c r="AN31" s="453"/>
    </row>
    <row r="32" spans="2:43" s="1" customFormat="1" ht="22.5" customHeight="1" x14ac:dyDescent="0.3">
      <c r="G32" s="308"/>
      <c r="H32" s="78" t="s">
        <v>49</v>
      </c>
      <c r="I32" s="77" t="s">
        <v>79</v>
      </c>
      <c r="J32" s="40"/>
      <c r="K32" s="41"/>
      <c r="L32" s="43">
        <f t="shared" si="22"/>
        <v>0</v>
      </c>
      <c r="M32" s="42"/>
      <c r="N32" s="54">
        <f>+K32-M32</f>
        <v>0</v>
      </c>
      <c r="O32" s="40">
        <f>(IFERROR(HLOOKUP($B33,'[1]4월'!$D$6:$BN$259,3,),)++IFERROR(HLOOKUP($C33,'[1]4월'!$D$6:$BN$259,3,),)+IFERROR(HLOOKUP($D33,'[1]4월'!$D$6:$BN$259,3,),))/1000</f>
        <v>37.5</v>
      </c>
      <c r="P32" s="41">
        <f>+IFERROR(HLOOKUP($E33,'[2]4월'!$F$6:$CP$99,3,),)/1000</f>
        <v>43.34</v>
      </c>
      <c r="Q32" s="43">
        <f t="shared" si="23"/>
        <v>5.8400000000000034</v>
      </c>
      <c r="R32" s="42">
        <f>+IFERROR(HLOOKUP($E33,'[3]4월'!$F$6:$CC$57,3,),)/1000</f>
        <v>43.34</v>
      </c>
      <c r="S32" s="54">
        <f t="shared" si="24"/>
        <v>0</v>
      </c>
      <c r="T32" s="40">
        <f>(IFERROR(HLOOKUP($B33,'[1]4월'!$D$6:$BN$259,21,),)++IFERROR(HLOOKUP($C33,'[1]4월'!$D$6:$BN$259,21,),)+IFERROR(HLOOKUP($D33,'[1]4월'!$D$6:$BN$259,21,),))/1000</f>
        <v>25.462031000000003</v>
      </c>
      <c r="U32" s="41">
        <f>+IFERROR(HLOOKUP($E33,'[2]4월'!$F$6:$CP$99,16,),)/1000</f>
        <v>22.270322</v>
      </c>
      <c r="V32" s="43">
        <f t="shared" ref="V32:V38" si="27">+U32-T32</f>
        <v>-3.191709000000003</v>
      </c>
      <c r="W32" s="42">
        <f>+IFERROR(HLOOKUP($E33,'[3]4월'!$F$6:$CC$57,16,),)/1000</f>
        <v>23.021931000000002</v>
      </c>
      <c r="X32" s="54">
        <f t="shared" ref="X32:X40" si="28">+U32-W32</f>
        <v>-0.75160900000000197</v>
      </c>
      <c r="Y32" s="610" t="s">
        <v>136</v>
      </c>
      <c r="Z32" s="623">
        <f>+[18]영업계획!$J$22</f>
        <v>101549.81890102025</v>
      </c>
      <c r="AA32" s="624">
        <f>+[19]합계!$F$95</f>
        <v>100907.33058181038</v>
      </c>
      <c r="AB32" s="625">
        <f t="shared" si="25"/>
        <v>-642.48831920986413</v>
      </c>
      <c r="AC32" s="626">
        <f>+[19]합계!$E$95</f>
        <v>102799.58381374026</v>
      </c>
      <c r="AD32" s="626">
        <f t="shared" si="26"/>
        <v>-1892.2532319298771</v>
      </c>
      <c r="AE32" s="210" t="s">
        <v>204</v>
      </c>
      <c r="AF32" s="210">
        <f>+AB32-AF30-AF31-AF34-AF33</f>
        <v>-120.23670634851715</v>
      </c>
      <c r="AG32" s="45" t="s">
        <v>196</v>
      </c>
      <c r="AH32" s="24"/>
      <c r="AI32" s="210" t="s">
        <v>204</v>
      </c>
      <c r="AJ32" s="210">
        <f>+AD32-AJ30-AJ31-AJ34-AJ33</f>
        <v>1344.8026480612912</v>
      </c>
      <c r="AK32" s="210" t="s">
        <v>196</v>
      </c>
      <c r="AL32" s="458"/>
      <c r="AM32" s="455"/>
      <c r="AN32" s="455"/>
    </row>
    <row r="33" spans="2:44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4" t="str">
        <f t="shared" ref="G33:G40" si="29">+I32</f>
        <v>레미콘임대</v>
      </c>
      <c r="H33" s="78"/>
      <c r="I33" s="77" t="s">
        <v>44</v>
      </c>
      <c r="J33" s="40"/>
      <c r="K33" s="41"/>
      <c r="L33" s="43">
        <f t="shared" si="22"/>
        <v>0</v>
      </c>
      <c r="M33" s="42">
        <v>0</v>
      </c>
      <c r="N33" s="54">
        <f t="shared" ref="N33:N40" si="30">+K33-M33</f>
        <v>0</v>
      </c>
      <c r="O33" s="40">
        <f>(+IFERROR(HLOOKUP($B34,'[1]4월'!$D$6:$BN$259,3,),)+IFERROR(HLOOKUP($C34,'[1]4월'!$D$6:$BN$259,3,),))/1000</f>
        <v>80.096666666666678</v>
      </c>
      <c r="P33" s="41">
        <f>+IFERROR(HLOOKUP($E34,'[2]4월'!$F$6:$CP$99,3,),)/1000</f>
        <v>11.570278</v>
      </c>
      <c r="Q33" s="43">
        <f t="shared" si="23"/>
        <v>-68.526388666666676</v>
      </c>
      <c r="R33" s="42">
        <f>+IFERROR(HLOOKUP($E34,'[3]4월'!$F$6:$CC$57,3,),)/1000</f>
        <v>73.488214000000013</v>
      </c>
      <c r="S33" s="54">
        <f t="shared" si="24"/>
        <v>-61.917936000000012</v>
      </c>
      <c r="T33" s="40">
        <f>(+IFERROR(HLOOKUP($B34,'[1]4월'!$D$6:$BN$259,21,),)+IFERROR(HLOOKUP($C34,'[1]4월'!$D$6:$BN$259,21,),))/1000</f>
        <v>72.847672666666682</v>
      </c>
      <c r="U33" s="41">
        <f>+IFERROR(HLOOKUP($E34,'[2]4월'!$F$6:$CP$99,16,),)/1000</f>
        <v>4.3341139999999996</v>
      </c>
      <c r="V33" s="43">
        <f t="shared" si="27"/>
        <v>-68.513558666666682</v>
      </c>
      <c r="W33" s="42">
        <f>+IFERROR(HLOOKUP($E34,'[3]4월'!$F$6:$CC$57,16,),)/1000</f>
        <v>63.367074000000002</v>
      </c>
      <c r="X33" s="54">
        <f t="shared" si="28"/>
        <v>-59.032960000000003</v>
      </c>
      <c r="Y33" s="649" t="s">
        <v>182</v>
      </c>
      <c r="Z33" s="627">
        <f>+'[20]예산대비 차이'!$N$15</f>
        <v>28.04042608191628</v>
      </c>
      <c r="AA33" s="628">
        <f>+[21]평균강도집계!$T$27</f>
        <v>29.492905002738137</v>
      </c>
      <c r="AB33" s="629">
        <f>+AA33-Z33</f>
        <v>1.4524789208218571</v>
      </c>
      <c r="AC33" s="630">
        <f>+[21]평균강도집계!$S$27</f>
        <v>30.285880576743338</v>
      </c>
      <c r="AD33" s="630">
        <f>+AA33-AC33</f>
        <v>-0.79297557400520091</v>
      </c>
      <c r="AE33" s="210" t="s">
        <v>195</v>
      </c>
      <c r="AF33" s="79">
        <f>-'[22]2026년 소급분(공장별)'!$D$8</f>
        <v>-2176.0817004084465</v>
      </c>
      <c r="AG33" s="45" t="s">
        <v>196</v>
      </c>
      <c r="AI33" s="210" t="s">
        <v>195</v>
      </c>
      <c r="AJ33" s="79">
        <f>-'[22]2026년 소급분(공장별)'!$D$8-(-'[22]2026년 소급분(공장별)'!$D$7)</f>
        <v>-1564.8713652170272</v>
      </c>
      <c r="AK33" s="210" t="s">
        <v>196</v>
      </c>
      <c r="AL33" s="453"/>
      <c r="AM33" s="453"/>
      <c r="AN33" s="453"/>
    </row>
    <row r="34" spans="2:44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4" t="str">
        <f t="shared" si="29"/>
        <v>임대</v>
      </c>
      <c r="H34" s="76"/>
      <c r="I34" s="77" t="s">
        <v>50</v>
      </c>
      <c r="J34" s="40"/>
      <c r="K34" s="41"/>
      <c r="L34" s="43">
        <f t="shared" si="22"/>
        <v>0</v>
      </c>
      <c r="M34" s="42"/>
      <c r="N34" s="54">
        <f t="shared" si="30"/>
        <v>0</v>
      </c>
      <c r="O34" s="40"/>
      <c r="P34" s="41"/>
      <c r="Q34" s="43">
        <f t="shared" si="23"/>
        <v>0</v>
      </c>
      <c r="R34" s="42"/>
      <c r="S34" s="54">
        <f t="shared" si="24"/>
        <v>0</v>
      </c>
      <c r="T34" s="40">
        <f>-'[1]4월'!$Z$22/1000</f>
        <v>-1643.5339707802093</v>
      </c>
      <c r="U34" s="41">
        <f>+-'[2]4월'!$Z$22/1000</f>
        <v>-1645.6350397565216</v>
      </c>
      <c r="V34" s="43">
        <f t="shared" si="27"/>
        <v>-2.1010689763122627</v>
      </c>
      <c r="W34" s="42">
        <f>+-'[3]4월'!$Z$22/1000</f>
        <v>-1654.8984837689195</v>
      </c>
      <c r="X34" s="54">
        <f t="shared" si="28"/>
        <v>9.2634440123979402</v>
      </c>
      <c r="Y34" s="650" t="s">
        <v>184</v>
      </c>
      <c r="Z34" s="645">
        <f>+'[20]예산대비 차이'!$N$16</f>
        <v>26.049403165874452</v>
      </c>
      <c r="AA34" s="646">
        <f>+[21]평균강도집계!$T$49</f>
        <v>26.183269124931204</v>
      </c>
      <c r="AB34" s="647">
        <f t="shared" ref="AB34" si="31">+AA34-Z34</f>
        <v>0.13386595905675236</v>
      </c>
      <c r="AC34" s="648">
        <f>+[21]평균강도집계!$S$49</f>
        <v>26.594936708860761</v>
      </c>
      <c r="AD34" s="648">
        <f t="shared" ref="AD34" si="32">+AA34-AC34</f>
        <v>-0.41166758392955671</v>
      </c>
      <c r="AE34" s="210" t="s">
        <v>187</v>
      </c>
      <c r="AF34" s="210">
        <f>+AM27</f>
        <v>-83.093766990124777</v>
      </c>
      <c r="AG34" s="45" t="s">
        <v>196</v>
      </c>
      <c r="AH34" s="15"/>
      <c r="AI34" s="210" t="s">
        <v>187</v>
      </c>
      <c r="AJ34" s="210">
        <f>+AQ27</f>
        <v>-331.33004411220543</v>
      </c>
      <c r="AK34" s="210" t="s">
        <v>196</v>
      </c>
      <c r="AM34" s="453"/>
      <c r="AN34" s="453"/>
    </row>
    <row r="35" spans="2:44" s="6" customFormat="1" ht="22.5" customHeight="1" x14ac:dyDescent="0.3">
      <c r="B35" s="6" t="s">
        <v>119</v>
      </c>
      <c r="D35"/>
      <c r="E35"/>
      <c r="F35"/>
      <c r="G35" s="304" t="str">
        <f t="shared" si="29"/>
        <v>공통비</v>
      </c>
      <c r="H35" s="76"/>
      <c r="I35" s="77" t="s">
        <v>94</v>
      </c>
      <c r="J35" s="40"/>
      <c r="K35" s="41"/>
      <c r="L35" s="43"/>
      <c r="M35" s="42"/>
      <c r="N35" s="54">
        <f t="shared" si="30"/>
        <v>0</v>
      </c>
      <c r="O35" s="40"/>
      <c r="P35" s="41"/>
      <c r="Q35" s="43">
        <f t="shared" si="23"/>
        <v>0</v>
      </c>
      <c r="R35" s="42"/>
      <c r="S35" s="54">
        <f t="shared" si="24"/>
        <v>0</v>
      </c>
      <c r="T35" s="40">
        <f>+'[1]4월'!$AT$26/1000</f>
        <v>0</v>
      </c>
      <c r="U35" s="41">
        <f>'[2]4월'!$BD$26/1000</f>
        <v>0</v>
      </c>
      <c r="V35" s="43">
        <f t="shared" si="27"/>
        <v>0</v>
      </c>
      <c r="W35" s="42">
        <f>'[3]4월'!$BD$26/1000</f>
        <v>0</v>
      </c>
      <c r="X35" s="54">
        <f t="shared" si="28"/>
        <v>0</v>
      </c>
      <c r="Y35" s="610" t="s">
        <v>186</v>
      </c>
      <c r="Z35" s="651">
        <f>+'[20]예산대비 차이'!$N$18</f>
        <v>27.29896980006728</v>
      </c>
      <c r="AA35" s="652">
        <f>+[21]평균강도집계!$T$71</f>
        <v>28.460091191640952</v>
      </c>
      <c r="AB35" s="653">
        <f>+AA35-Z35</f>
        <v>1.1611213915736727</v>
      </c>
      <c r="AC35" s="654">
        <f>+[21]합계!$S$82</f>
        <v>29.307163258411386</v>
      </c>
      <c r="AD35" s="654">
        <f>+AA35-AC35</f>
        <v>-0.84707206677043345</v>
      </c>
      <c r="AE35" s="657" t="s">
        <v>189</v>
      </c>
      <c r="AF35" s="657">
        <f>+SUM(AF30:AF34)</f>
        <v>-642.48831920986413</v>
      </c>
      <c r="AG35" s="245" t="s">
        <v>190</v>
      </c>
      <c r="AH35" s="15"/>
      <c r="AI35" s="657" t="s">
        <v>189</v>
      </c>
      <c r="AJ35" s="657">
        <f>+SUM(AJ30:AJ34)</f>
        <v>-1892.2532319298771</v>
      </c>
      <c r="AK35" s="657" t="s">
        <v>190</v>
      </c>
      <c r="AL35" s="81"/>
      <c r="AN35" s="453"/>
    </row>
    <row r="36" spans="2:44" s="6" customFormat="1" ht="22.5" customHeight="1" thickBot="1" x14ac:dyDescent="0.35">
      <c r="D36"/>
      <c r="E36"/>
      <c r="F36"/>
      <c r="G36" s="304" t="str">
        <f t="shared" si="29"/>
        <v>OPC 소급분</v>
      </c>
      <c r="H36" s="76"/>
      <c r="I36" s="77" t="s">
        <v>95</v>
      </c>
      <c r="J36" s="40"/>
      <c r="K36" s="41"/>
      <c r="L36" s="43"/>
      <c r="M36" s="42"/>
      <c r="N36" s="54">
        <f t="shared" si="30"/>
        <v>0</v>
      </c>
      <c r="O36" s="40"/>
      <c r="P36" s="41"/>
      <c r="Q36" s="43">
        <f t="shared" si="23"/>
        <v>0</v>
      </c>
      <c r="R36" s="42"/>
      <c r="S36" s="54">
        <f t="shared" si="24"/>
        <v>0</v>
      </c>
      <c r="T36" s="40"/>
      <c r="U36" s="41">
        <f>'[2]4월'!$BE$26/1000</f>
        <v>0</v>
      </c>
      <c r="V36" s="43">
        <f t="shared" si="27"/>
        <v>0</v>
      </c>
      <c r="W36" s="42">
        <f>'[3]4월'!$BE$26/1000</f>
        <v>0</v>
      </c>
      <c r="X36" s="54">
        <f t="shared" si="28"/>
        <v>0</v>
      </c>
      <c r="Y36" s="618" t="s">
        <v>188</v>
      </c>
      <c r="Z36" s="631">
        <f>+[18]영업계획!$J$6/[18]영업계획!$J$21</f>
        <v>0.62658088235294118</v>
      </c>
      <c r="AA36" s="632">
        <f>+[19]합계!$F$44</f>
        <v>0.68940313960327948</v>
      </c>
      <c r="AB36" s="633">
        <f>+AA36-Z36</f>
        <v>6.2822257250338298E-2</v>
      </c>
      <c r="AC36" s="634">
        <f>+[19]합계!$E$44</f>
        <v>0.74893315968458996</v>
      </c>
      <c r="AD36" s="634">
        <f>+AA36-AC36</f>
        <v>-5.9530020081310475E-2</v>
      </c>
      <c r="AE36" s="210"/>
      <c r="AF36" s="210"/>
      <c r="AG36" s="45"/>
      <c r="AH36" s="15"/>
      <c r="AI36" s="16"/>
      <c r="AJ36" s="453"/>
      <c r="AK36" s="457"/>
      <c r="AL36" s="81"/>
    </row>
    <row r="37" spans="2:44" s="6" customFormat="1" ht="22.5" customHeight="1" thickTop="1" x14ac:dyDescent="0.3">
      <c r="D37"/>
      <c r="E37"/>
      <c r="F37"/>
      <c r="G37" s="304" t="str">
        <f t="shared" si="29"/>
        <v>대손</v>
      </c>
      <c r="H37" s="76"/>
      <c r="I37" s="77" t="s">
        <v>109</v>
      </c>
      <c r="J37" s="40"/>
      <c r="K37" s="41"/>
      <c r="L37" s="43"/>
      <c r="M37" s="42">
        <f>SUM(M56:M61)</f>
        <v>0</v>
      </c>
      <c r="N37" s="54">
        <f t="shared" si="30"/>
        <v>0</v>
      </c>
      <c r="O37" s="40"/>
      <c r="P37" s="41"/>
      <c r="Q37" s="43">
        <f t="shared" si="23"/>
        <v>0</v>
      </c>
      <c r="R37" s="42">
        <f>+IFERROR(HLOOKUP($I$37,'[3]4월'!$F$6:$BJ$50,3,),)/1000</f>
        <v>0</v>
      </c>
      <c r="S37" s="54">
        <f t="shared" si="24"/>
        <v>0</v>
      </c>
      <c r="T37" s="40">
        <f>SUM('[1]4월'!$AM$26:$AQ$26)/1000</f>
        <v>-12.762081</v>
      </c>
      <c r="U37" s="41">
        <f>+'[2]4월'!$BF$26/1000</f>
        <v>-31.525195</v>
      </c>
      <c r="V37" s="43">
        <f t="shared" si="27"/>
        <v>-18.763114000000002</v>
      </c>
      <c r="W37" s="42">
        <f>+'[3]4월'!$BF$26/1000</f>
        <v>-31.152419999999999</v>
      </c>
      <c r="X37" s="54">
        <f t="shared" si="28"/>
        <v>-0.37277500000000074</v>
      </c>
      <c r="Y37" s="237" t="s">
        <v>219</v>
      </c>
      <c r="AE37" s="210"/>
      <c r="AF37" s="210"/>
      <c r="AG37" s="45"/>
      <c r="AH37" s="15"/>
      <c r="AI37" s="16"/>
      <c r="AJ37" s="453"/>
      <c r="AK37" s="457"/>
      <c r="AL37" s="656"/>
      <c r="AM37" s="656"/>
      <c r="AO37" s="453"/>
      <c r="AP37" s="453"/>
      <c r="AQ37" s="453"/>
    </row>
    <row r="38" spans="2:44" s="6" customFormat="1" ht="22.5" customHeight="1" x14ac:dyDescent="0.3">
      <c r="D38"/>
      <c r="E38"/>
      <c r="F38"/>
      <c r="G38" s="304" t="str">
        <f t="shared" si="29"/>
        <v>미운영 공장</v>
      </c>
      <c r="H38" s="76"/>
      <c r="I38" s="77" t="s">
        <v>156</v>
      </c>
      <c r="J38" s="40"/>
      <c r="K38" s="41"/>
      <c r="L38" s="43"/>
      <c r="M38" s="42"/>
      <c r="N38" s="54"/>
      <c r="O38" s="40"/>
      <c r="P38" s="41"/>
      <c r="Q38" s="43"/>
      <c r="R38" s="42"/>
      <c r="S38" s="54"/>
      <c r="T38" s="40"/>
      <c r="U38" s="41">
        <f>+'[2]4월'!$BG$26/1000</f>
        <v>0</v>
      </c>
      <c r="V38" s="43">
        <f t="shared" si="27"/>
        <v>0</v>
      </c>
      <c r="W38" s="42"/>
      <c r="X38" s="54">
        <f t="shared" si="28"/>
        <v>0</v>
      </c>
      <c r="Y38" s="1" t="s">
        <v>203</v>
      </c>
      <c r="Z38" s="210">
        <f>+[4]합계!$S$15</f>
        <v>2269.962422230994</v>
      </c>
      <c r="AA38" s="210" t="s">
        <v>199</v>
      </c>
      <c r="AB38" s="210"/>
      <c r="AC38" s="210"/>
      <c r="AD38" s="210"/>
      <c r="AG38" s="665"/>
      <c r="AH38" s="662"/>
      <c r="AI38" s="210" t="s">
        <v>197</v>
      </c>
      <c r="AJ38" s="210"/>
      <c r="AK38" s="210"/>
      <c r="AL38" s="664"/>
      <c r="AM38" s="656"/>
      <c r="AQ38" s="453"/>
    </row>
    <row r="39" spans="2:44" s="6" customFormat="1" ht="22.5" customHeight="1" x14ac:dyDescent="0.3">
      <c r="B39" t="s">
        <v>30</v>
      </c>
      <c r="D39"/>
      <c r="G39" s="304" t="str">
        <f t="shared" si="29"/>
        <v>퇴직위로금</v>
      </c>
      <c r="H39" s="76"/>
      <c r="I39" s="77" t="s">
        <v>4</v>
      </c>
      <c r="J39" s="40"/>
      <c r="K39" s="41"/>
      <c r="L39" s="49">
        <f>+K39-J39</f>
        <v>0</v>
      </c>
      <c r="M39" s="55"/>
      <c r="N39" s="56">
        <f>+K39-M39</f>
        <v>0</v>
      </c>
      <c r="O39" s="40">
        <f>IFERROR(HLOOKUP($B39,'[1]4월'!$D$6:$BN$259,3,),)/1000</f>
        <v>1.77</v>
      </c>
      <c r="P39" s="41">
        <f>+('[2]4월'!$F$8-SUM('[2]4월'!$Z$8,'[2]4월'!$AH$8,'[2]4월'!$AN$8,'[2]4월'!$AO$8,'[2]4월'!$BA$8,'[2]4월'!$BD$8,'[2]4월'!$BE$8,'[2]4월'!$BF$8))/1000</f>
        <v>1.5981000000014902</v>
      </c>
      <c r="Q39" s="49">
        <f>+P39-O39</f>
        <v>-0.1718999999985098</v>
      </c>
      <c r="R39" s="55">
        <f>+('[3]4월'!$F$8-SUM('[3]4월'!$Z$8,'[3]4월'!$AH$8,'[3]4월'!$AN$8,'[3]4월'!$AO$8,'[3]4월'!$BA$8,'[3]4월'!$BD$8,'[3]4월'!$BE$8,'[3]4월'!$BF$8))/1000</f>
        <v>1.6606499999985098</v>
      </c>
      <c r="S39" s="56">
        <f>+P39-R39</f>
        <v>-6.2549999997019601E-2</v>
      </c>
      <c r="T39" s="40">
        <f>+('[1]4월'!$E$26-'[1]4월'!$Z$26-'[1]4월'!$AA$26-'[1]4월'!$AE$26-'[1]4월'!$AL$26-'[1]4월'!$AM$26-'[1]4월'!$AN$26-'[1]4월'!$AO$26-'[1]4월'!$AP$26-'[1]4월'!$AQ$26-'[1]4월'!$AS$26+'[1]4월'!$AS$26)/1000-T35</f>
        <v>-101.58241800000444</v>
      </c>
      <c r="U39" s="41">
        <f>+('[2]4월'!$F$26-SUM('[2]4월'!$Z$26,'[2]4월'!$AH$26,'[2]4월'!$AN$26,'[2]4월'!$AO$26,'[2]4월'!$BA$26,'[2]4월'!$BD$26,'[2]4월'!$BE$26,'[2]4월'!$BF$26))/1000-U38</f>
        <v>-16.13339300000802</v>
      </c>
      <c r="V39" s="43">
        <f>+U39-T39</f>
        <v>85.449024999996425</v>
      </c>
      <c r="W39" s="55">
        <f>+('[3]4월'!$F$26-SUM('[3]4월'!$Z$26,'[3]4월'!$AH$26,'[3]4월'!$AN$26,'[3]4월'!$AO$26,'[3]4월'!$BA$26,'[3]4월'!$BD$26,'[3]4월'!$BE$26,'[3]4월'!$BF$26))/1000</f>
        <v>-15.492811999992352</v>
      </c>
      <c r="X39" s="54">
        <f t="shared" si="28"/>
        <v>-0.64058100001566842</v>
      </c>
      <c r="Y39" s="209" t="s">
        <v>220</v>
      </c>
      <c r="Z39" s="210"/>
      <c r="AA39" s="210"/>
      <c r="AC39" s="210"/>
      <c r="AD39" s="210"/>
      <c r="AG39" s="665"/>
      <c r="AH39" s="662"/>
      <c r="AI39" s="210" t="s">
        <v>200</v>
      </c>
      <c r="AJ39" s="210">
        <f>-[4]합계!$H$6</f>
        <v>223.59104837408742</v>
      </c>
      <c r="AK39" s="210" t="s">
        <v>196</v>
      </c>
      <c r="AL39" s="664"/>
      <c r="AM39" s="656"/>
    </row>
    <row r="40" spans="2:44" s="6" customFormat="1" ht="22.5" customHeight="1" x14ac:dyDescent="0.3">
      <c r="G40" s="304" t="str">
        <f t="shared" si="29"/>
        <v>기타</v>
      </c>
      <c r="H40" s="123" t="s">
        <v>96</v>
      </c>
      <c r="I40" s="124"/>
      <c r="J40" s="255">
        <f>SUM(J32:J39)</f>
        <v>0</v>
      </c>
      <c r="K40" s="256">
        <f>SUM(K32:K39)</f>
        <v>0</v>
      </c>
      <c r="L40" s="256">
        <f>+K40-J40</f>
        <v>0</v>
      </c>
      <c r="M40" s="256">
        <f>SUM(M32:M39)</f>
        <v>0</v>
      </c>
      <c r="N40" s="257">
        <f t="shared" si="30"/>
        <v>0</v>
      </c>
      <c r="O40" s="125">
        <f>SUM(O32:O39)</f>
        <v>119.36666666666667</v>
      </c>
      <c r="P40" s="126">
        <f>SUM(P32:P39)</f>
        <v>56.508378000001493</v>
      </c>
      <c r="Q40" s="130">
        <f>+P40-O40</f>
        <v>-62.858288666665182</v>
      </c>
      <c r="R40" s="131">
        <f>SUM(R32:R39)</f>
        <v>118.48886399999853</v>
      </c>
      <c r="S40" s="132">
        <f>+P40-R40</f>
        <v>-61.980485999997036</v>
      </c>
      <c r="T40" s="125">
        <f>SUM(T32:T39)</f>
        <v>-1659.5687661135473</v>
      </c>
      <c r="U40" s="126">
        <f>SUM(U32:U39)</f>
        <v>-1666.6891917565295</v>
      </c>
      <c r="V40" s="130">
        <f>+U40-T40</f>
        <v>-7.1204256429821271</v>
      </c>
      <c r="W40" s="131">
        <f>SUM(W32:W39)</f>
        <v>-1615.1547107689119</v>
      </c>
      <c r="X40" s="132">
        <f t="shared" si="28"/>
        <v>-51.534480987617599</v>
      </c>
      <c r="Y40" s="210" t="s">
        <v>221</v>
      </c>
      <c r="Z40" s="210"/>
      <c r="AA40" s="210"/>
      <c r="AB40" s="210"/>
      <c r="AC40" s="210"/>
      <c r="AD40" s="210"/>
      <c r="AG40" s="665"/>
      <c r="AH40" s="563"/>
      <c r="AI40" s="210" t="s">
        <v>201</v>
      </c>
      <c r="AJ40" s="210">
        <f>([4]합계!$F$15-[4]합계!$E$15-AB35*10)*[4]합계!$G$15/1000</f>
        <v>71.488583797610033</v>
      </c>
      <c r="AK40" s="210" t="s">
        <v>196</v>
      </c>
      <c r="AL40" s="664"/>
      <c r="AM40" s="453"/>
    </row>
    <row r="41" spans="2:44" s="1" customFormat="1" ht="22.5" customHeight="1" x14ac:dyDescent="0.3">
      <c r="D41" s="264"/>
      <c r="G41" s="308"/>
      <c r="H41" s="248" t="s">
        <v>32</v>
      </c>
      <c r="I41" s="249"/>
      <c r="J41" s="261"/>
      <c r="K41" s="262"/>
      <c r="L41" s="262"/>
      <c r="M41" s="262"/>
      <c r="N41" s="263"/>
      <c r="O41" s="250">
        <f>+O27+O31+O40</f>
        <v>29004.638762149763</v>
      </c>
      <c r="P41" s="251">
        <f>+P27+P31+P40</f>
        <v>28980.118212000005</v>
      </c>
      <c r="Q41" s="252">
        <f>+P41-O41</f>
        <v>-24.520550149758492</v>
      </c>
      <c r="R41" s="253">
        <f>+R27+R31+R40</f>
        <v>28829.809061999997</v>
      </c>
      <c r="S41" s="254">
        <f>+P41-R41</f>
        <v>150.30915000000823</v>
      </c>
      <c r="T41" s="250">
        <f>+T27+T31+T40</f>
        <v>1173.7116167261263</v>
      </c>
      <c r="U41" s="251">
        <f>+U27+U31+U40</f>
        <v>13.113904995774192</v>
      </c>
      <c r="V41" s="252">
        <f>+U41-T41</f>
        <v>-1160.5977117303521</v>
      </c>
      <c r="W41" s="253">
        <f>+W27+W31+W40</f>
        <v>607.82073100647153</v>
      </c>
      <c r="X41" s="254">
        <f>+U41-W41</f>
        <v>-594.70682601069734</v>
      </c>
      <c r="Y41" s="209"/>
      <c r="Z41" s="210"/>
      <c r="AA41" s="210"/>
      <c r="AB41" s="210"/>
      <c r="AC41" s="210"/>
      <c r="AD41" s="210"/>
      <c r="AG41" s="666"/>
      <c r="AH41" s="663"/>
      <c r="AI41" s="210" t="s">
        <v>202</v>
      </c>
      <c r="AJ41" s="210">
        <f>[4]합계!$U$15-AJ39-AJ40</f>
        <v>1109.0701852335126</v>
      </c>
      <c r="AK41" s="210" t="s">
        <v>196</v>
      </c>
      <c r="AL41" s="664"/>
      <c r="AM41" s="453"/>
    </row>
    <row r="42" spans="2:44" s="6" customFormat="1" ht="19.5" customHeight="1" x14ac:dyDescent="0.3">
      <c r="G42" s="309">
        <f>+P41/O41</f>
        <v>0.99915459901601134</v>
      </c>
      <c r="Y42" s="209"/>
      <c r="Z42" s="210"/>
      <c r="AA42" s="210"/>
      <c r="AB42" s="210"/>
      <c r="AC42" s="210"/>
      <c r="AD42" s="210"/>
      <c r="AE42" s="210"/>
      <c r="AF42" s="210"/>
      <c r="AG42" s="45"/>
      <c r="AH42" s="27"/>
      <c r="AJ42" s="453"/>
      <c r="AK42" s="457"/>
      <c r="AL42" s="664"/>
      <c r="AM42" s="453"/>
      <c r="AO42" s="453"/>
    </row>
    <row r="43" spans="2:44" s="1" customFormat="1" ht="22.5" customHeight="1" x14ac:dyDescent="0.3">
      <c r="H43" s="547" t="s">
        <v>48</v>
      </c>
      <c r="I43" s="548"/>
      <c r="J43" s="140">
        <f>+IFERROR(HLOOKUP($B28,'[1]4월'!$D$6:$BN$259,2,),)</f>
        <v>9400</v>
      </c>
      <c r="K43" s="141">
        <f>+IFERROR(HLOOKUP($E28,'[2]4월'!$F$6:$CP$99,2,),)</f>
        <v>3426.7159999999999</v>
      </c>
      <c r="L43" s="142">
        <f>+K43-J43</f>
        <v>-5973.2839999999997</v>
      </c>
      <c r="M43" s="143">
        <f>+IFERROR(HLOOKUP($E28,'[3]4월'!$F$6:$CC$57,2,),)</f>
        <v>11123.664999999999</v>
      </c>
      <c r="N43" s="144">
        <f>+K43-M43</f>
        <v>-7696.9489999999987</v>
      </c>
      <c r="O43" s="140">
        <f>+IFERROR(HLOOKUP($B28,'[1]4월'!$D$6:$BN$259,3,),)/1000</f>
        <v>9270.2921250000018</v>
      </c>
      <c r="P43" s="141">
        <f>+IFERROR(HLOOKUP($E28,'[2]4월'!$F$6:$CP$99,3,),)/1000</f>
        <v>4012.7001420000001</v>
      </c>
      <c r="Q43" s="142">
        <f>+P43-O43</f>
        <v>-5257.5919830000021</v>
      </c>
      <c r="R43" s="143">
        <f>+IFERROR(HLOOKUP($E28,'[3]4월'!$F$6:$CC$57,3,),)/1000</f>
        <v>10147.504217</v>
      </c>
      <c r="S43" s="144">
        <f>+P43-R43</f>
        <v>-6134.804075</v>
      </c>
      <c r="T43" s="140">
        <f>+IFERROR(HLOOKUP($B28,'[1]4월'!$D$6:$BN$259,21,),)/1000</f>
        <v>2.0257728657245897</v>
      </c>
      <c r="U43" s="141">
        <f>+IFERROR(HLOOKUP($E28,'[2]4월'!$F$6:$CP$99,21,),)/1000</f>
        <v>-75.818011000000141</v>
      </c>
      <c r="V43" s="142">
        <f>+U43-T43</f>
        <v>-77.843783865724731</v>
      </c>
      <c r="W43" s="143">
        <f>+IFERROR(HLOOKUP($E28,'[3]4월'!$F$6:$CC$57,16,),)/1000</f>
        <v>-0.2715459999988834</v>
      </c>
      <c r="X43" s="144">
        <f>+U43-W43</f>
        <v>-75.546465000001263</v>
      </c>
      <c r="Y43" s="209"/>
      <c r="Z43" s="210"/>
      <c r="AA43" s="210"/>
      <c r="AB43" s="210"/>
      <c r="AC43" s="210"/>
      <c r="AD43" s="210"/>
      <c r="AE43" s="210"/>
      <c r="AF43" s="210"/>
      <c r="AG43" s="45"/>
      <c r="AH43" s="23"/>
      <c r="AJ43" s="455"/>
      <c r="AK43" s="457"/>
      <c r="AL43" s="656"/>
      <c r="AM43" s="656"/>
      <c r="AO43" s="455"/>
      <c r="AR43" s="264"/>
    </row>
    <row r="44" spans="2:44" s="1" customFormat="1" ht="22.5" customHeight="1" x14ac:dyDescent="0.3">
      <c r="H44" s="248" t="s">
        <v>32</v>
      </c>
      <c r="I44" s="249"/>
      <c r="J44" s="261"/>
      <c r="K44" s="262"/>
      <c r="L44" s="262"/>
      <c r="M44" s="262"/>
      <c r="N44" s="263"/>
      <c r="O44" s="250">
        <f>+O41+O43</f>
        <v>38274.930887149763</v>
      </c>
      <c r="P44" s="251">
        <f>+P41+P43</f>
        <v>32992.818354000003</v>
      </c>
      <c r="Q44" s="252">
        <f>+P44-O44</f>
        <v>-5282.1125331497606</v>
      </c>
      <c r="R44" s="253">
        <f>+R41+R43</f>
        <v>38977.313278999995</v>
      </c>
      <c r="S44" s="254">
        <f>+P44-R44</f>
        <v>-5984.4949249999918</v>
      </c>
      <c r="T44" s="250">
        <f>+T41+T43</f>
        <v>1175.7373895918508</v>
      </c>
      <c r="U44" s="251">
        <f>+U41+U43</f>
        <v>-62.704106004225949</v>
      </c>
      <c r="V44" s="252">
        <f>+U44-T44</f>
        <v>-1238.4414955960767</v>
      </c>
      <c r="W44" s="253">
        <f>+W41+W43</f>
        <v>607.54918500647261</v>
      </c>
      <c r="X44" s="254">
        <f>+U44-W44</f>
        <v>-670.2532910106986</v>
      </c>
      <c r="Y44" s="619"/>
      <c r="Z44" s="661"/>
      <c r="AA44" s="661"/>
      <c r="AB44" s="661"/>
      <c r="AC44" s="661"/>
      <c r="AD44" s="661"/>
      <c r="AE44" s="661"/>
      <c r="AF44" s="661"/>
      <c r="AG44" s="621"/>
      <c r="AH44" s="23"/>
      <c r="AJ44" s="455"/>
      <c r="AK44" s="457"/>
      <c r="AO44" s="455"/>
    </row>
    <row r="45" spans="2:44" s="1" customFormat="1" ht="22.5" customHeight="1" x14ac:dyDescent="0.3">
      <c r="K45" s="452"/>
      <c r="L45" s="452"/>
      <c r="M45" s="452"/>
      <c r="AH45" s="23"/>
      <c r="AJ45" s="455"/>
      <c r="AK45" s="457"/>
      <c r="AO45" s="455"/>
    </row>
    <row r="46" spans="2:44" s="28" customFormat="1" x14ac:dyDescent="0.3">
      <c r="G46" s="306"/>
      <c r="P46" s="266"/>
      <c r="R46" s="266"/>
      <c r="T46" s="266"/>
      <c r="U46" s="266"/>
      <c r="AC46" s="29"/>
      <c r="AF46" s="29"/>
      <c r="AJ46" s="456"/>
      <c r="AK46" s="457"/>
    </row>
    <row r="47" spans="2:44" s="28" customFormat="1" ht="17.25" thickBot="1" x14ac:dyDescent="0.35">
      <c r="G47" s="310"/>
      <c r="AC47" s="29"/>
      <c r="AF47" s="29"/>
      <c r="AJ47" s="456"/>
    </row>
    <row r="48" spans="2:44" s="28" customFormat="1" x14ac:dyDescent="0.3">
      <c r="F48" s="266">
        <f>+K43/M43</f>
        <v>0.30805638249623662</v>
      </c>
      <c r="G48" s="306">
        <f>+K43/J43</f>
        <v>0.36454425531914891</v>
      </c>
      <c r="I48" s="692" t="s">
        <v>81</v>
      </c>
      <c r="J48" s="115">
        <f>+'[1]4월'!$Z$7/1000</f>
        <v>272</v>
      </c>
      <c r="K48" s="116">
        <f>+'[2]4월'!$AI$7/1000</f>
        <v>272.94799999999998</v>
      </c>
      <c r="L48" s="116"/>
      <c r="M48" s="116">
        <f>+'[3]4월'!$Z$7/1000</f>
        <v>276.85300000000001</v>
      </c>
      <c r="N48" s="116"/>
      <c r="O48" s="116">
        <f>+'[1]4월'!$E$8/1000</f>
        <v>38274.930887149771</v>
      </c>
      <c r="P48" s="116">
        <f>+'[2]4월'!$F$8/1000</f>
        <v>32992.818354000003</v>
      </c>
      <c r="Q48" s="116"/>
      <c r="R48" s="116">
        <f>+'[3]4월'!$F$8/1000</f>
        <v>38977.313279000002</v>
      </c>
      <c r="S48" s="116"/>
      <c r="T48" s="121">
        <f>+'[1]4월'!$E$26/1000</f>
        <v>1175.7373895918533</v>
      </c>
      <c r="U48" s="116">
        <f>+'[2]4월'!$F$26/1000</f>
        <v>-62.704106004226254</v>
      </c>
      <c r="V48" s="116"/>
      <c r="W48" s="116">
        <f>+'[3]4월'!$F$26/1000</f>
        <v>607.54918500647273</v>
      </c>
      <c r="X48" s="117"/>
      <c r="AC48" s="29"/>
      <c r="AF48" s="29"/>
      <c r="AJ48" s="456"/>
    </row>
    <row r="49" spans="6:36" s="28" customFormat="1" ht="17.25" thickBot="1" x14ac:dyDescent="0.35">
      <c r="F49" s="266">
        <f>+K31/M31</f>
        <v>1.0509812568908488</v>
      </c>
      <c r="G49" s="306">
        <f>+K31/J31</f>
        <v>1.0073936635538367</v>
      </c>
      <c r="I49" s="692"/>
      <c r="J49" s="120">
        <f>+J48-J27</f>
        <v>0</v>
      </c>
      <c r="K49" s="118">
        <f>+K48-K27</f>
        <v>0</v>
      </c>
      <c r="L49" s="118"/>
      <c r="M49" s="118">
        <f>+M48-M27</f>
        <v>0</v>
      </c>
      <c r="N49" s="118"/>
      <c r="O49" s="122">
        <f>+O48-O44</f>
        <v>0</v>
      </c>
      <c r="P49" s="122">
        <f>+P48-P44</f>
        <v>0</v>
      </c>
      <c r="Q49" s="118"/>
      <c r="R49" s="122">
        <f>+R48-R44</f>
        <v>0</v>
      </c>
      <c r="S49" s="118"/>
      <c r="T49" s="122">
        <f>+T48-T44</f>
        <v>2.5011104298755527E-12</v>
      </c>
      <c r="U49" s="122">
        <f>+U48-U44</f>
        <v>-3.0553337637684308E-13</v>
      </c>
      <c r="V49" s="118"/>
      <c r="W49" s="118">
        <f>+W48-W44</f>
        <v>0</v>
      </c>
      <c r="X49" s="119"/>
      <c r="AC49" s="29"/>
      <c r="AF49" s="29"/>
      <c r="AG49" s="28" t="s">
        <v>82</v>
      </c>
      <c r="AJ49" s="456"/>
    </row>
    <row r="50" spans="6:36" x14ac:dyDescent="0.3">
      <c r="T50" s="265"/>
      <c r="U50" s="265"/>
      <c r="V50" s="265"/>
    </row>
    <row r="51" spans="6:36" x14ac:dyDescent="0.3">
      <c r="O51" s="460">
        <f>+O41-O43</f>
        <v>19734.346637149763</v>
      </c>
      <c r="P51" s="460">
        <f>+P41-P43</f>
        <v>24967.418070000003</v>
      </c>
      <c r="Q51" s="460">
        <f>+P51-O51</f>
        <v>5233.0714328502399</v>
      </c>
      <c r="T51" s="265"/>
      <c r="U51" s="265"/>
      <c r="V51" s="265"/>
      <c r="AC51" s="29"/>
      <c r="AD51" s="28"/>
      <c r="AE51" s="28"/>
      <c r="AF51" s="29"/>
    </row>
    <row r="52" spans="6:36" x14ac:dyDescent="0.3">
      <c r="O52" s="460">
        <f>+O51/100</f>
        <v>197.34346637149764</v>
      </c>
      <c r="P52" s="460">
        <f>+P51/100</f>
        <v>249.67418070000002</v>
      </c>
      <c r="Q52" s="460">
        <f>+P52-O52</f>
        <v>52.330714328502381</v>
      </c>
      <c r="S52" t="s">
        <v>40</v>
      </c>
      <c r="T52" s="212">
        <f>(+T27+T34)/100</f>
        <v>12.167674626201709</v>
      </c>
      <c r="U52" s="212">
        <f>(+U27+U34)/100</f>
        <v>1.4429703724347769</v>
      </c>
      <c r="V52" s="212">
        <f>+U52-T52</f>
        <v>-10.724704253766932</v>
      </c>
      <c r="W52" s="211">
        <f>+U52/T52-1</f>
        <v>-0.88140952016192942</v>
      </c>
      <c r="AC52" s="29"/>
      <c r="AD52" s="28"/>
      <c r="AE52" s="28"/>
      <c r="AF52" s="29"/>
      <c r="AJ52" s="460"/>
    </row>
    <row r="53" spans="6:36" x14ac:dyDescent="0.3">
      <c r="Q53" s="211">
        <f>+P52/O52</f>
        <v>1.2651758139790157</v>
      </c>
      <c r="S53" t="s">
        <v>1</v>
      </c>
      <c r="T53" s="4">
        <f>+T31/100</f>
        <v>-0.27021050560706528</v>
      </c>
      <c r="U53" s="4">
        <f>+U31/100</f>
        <v>-1.1012898024769566</v>
      </c>
      <c r="V53" s="212">
        <f>+U53-T53</f>
        <v>-0.83107929686989135</v>
      </c>
      <c r="AC53" s="29"/>
      <c r="AD53" s="28"/>
      <c r="AE53" s="28"/>
      <c r="AF53" s="29"/>
    </row>
    <row r="54" spans="6:36" x14ac:dyDescent="0.3">
      <c r="S54" t="s">
        <v>44</v>
      </c>
      <c r="T54" s="4">
        <f>(T32+T33)/100</f>
        <v>0.98309703666666681</v>
      </c>
      <c r="U54" s="4">
        <f>(U32+U33)/100</f>
        <v>0.26604435999999998</v>
      </c>
      <c r="V54" s="265">
        <f>+U54-T54</f>
        <v>-0.71705267666666683</v>
      </c>
      <c r="AC54" s="29"/>
      <c r="AD54" s="28"/>
      <c r="AE54" s="28"/>
      <c r="AF54" s="29"/>
      <c r="AJ54" s="460"/>
    </row>
    <row r="55" spans="6:36" x14ac:dyDescent="0.3">
      <c r="S55" s="212" t="s">
        <v>4</v>
      </c>
      <c r="T55" s="212">
        <f>((T48-T43)/100)-T52-T53-T54</f>
        <v>-1.1434449900000228</v>
      </c>
      <c r="U55" s="212">
        <f>((U48-U43)/100)-U52-U53-U54</f>
        <v>-0.47658588000008129</v>
      </c>
      <c r="V55" s="212">
        <f>+U55-T55</f>
        <v>0.66685910999994147</v>
      </c>
      <c r="AC55" s="29"/>
      <c r="AD55" s="28"/>
      <c r="AE55" s="28"/>
      <c r="AF55" s="29"/>
      <c r="AJ55" s="460"/>
    </row>
    <row r="56" spans="6:36" x14ac:dyDescent="0.3"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>
        <f>SUM(T54:T55)</f>
        <v>-0.16034795333335594</v>
      </c>
      <c r="U56" s="212">
        <f>SUM(U54:U55)</f>
        <v>-0.21054152000008131</v>
      </c>
      <c r="V56" s="212">
        <f>SUM(V54:V55)</f>
        <v>-5.0193566666725364E-2</v>
      </c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J56" s="460"/>
    </row>
    <row r="57" spans="6:36" x14ac:dyDescent="0.3"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>
        <f>SUM(T52:T55)</f>
        <v>11.737116167261288</v>
      </c>
      <c r="U57" s="212">
        <f>SUM(U52:U55)</f>
        <v>0.13113904995773895</v>
      </c>
      <c r="V57" s="212">
        <f>+U57-T57</f>
        <v>-11.605977117303549</v>
      </c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J57" s="460"/>
    </row>
    <row r="58" spans="6:36" x14ac:dyDescent="0.3">
      <c r="J58" s="212"/>
      <c r="K58" s="212"/>
      <c r="L58" s="212"/>
      <c r="M58" s="212"/>
      <c r="N58" s="212"/>
      <c r="O58" s="212"/>
      <c r="P58" s="212"/>
      <c r="Q58" s="212"/>
      <c r="R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J58" s="460"/>
    </row>
    <row r="59" spans="6:36" x14ac:dyDescent="0.3"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6:36" x14ac:dyDescent="0.3">
      <c r="J60" s="212"/>
      <c r="K60" s="212"/>
      <c r="L60" s="212"/>
      <c r="M60" s="212"/>
      <c r="N60" s="212"/>
      <c r="O60" s="212"/>
      <c r="P60" s="212"/>
      <c r="Q60" s="212"/>
      <c r="R60" s="212"/>
      <c r="S60" s="212" t="s">
        <v>44</v>
      </c>
      <c r="T60" s="265">
        <f>+(T32+T33)/100</f>
        <v>0.98309703666666681</v>
      </c>
      <c r="U60" s="265">
        <f>+(U32+U33)/100</f>
        <v>0.26604435999999998</v>
      </c>
      <c r="V60" s="212">
        <f>+U60-T60</f>
        <v>-0.71705267666666683</v>
      </c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J60" s="460"/>
    </row>
    <row r="61" spans="6:36" x14ac:dyDescent="0.3">
      <c r="J61" s="212"/>
      <c r="K61" s="212"/>
      <c r="L61" s="212"/>
      <c r="M61" s="212"/>
      <c r="N61" s="212"/>
      <c r="O61" s="212"/>
      <c r="P61" s="212"/>
      <c r="Q61" s="212"/>
      <c r="R61" s="212"/>
      <c r="S61" s="212" t="str">
        <f>+I35</f>
        <v>OPC 소급분</v>
      </c>
      <c r="T61" s="212">
        <f t="shared" ref="T61:U63" si="33">+T35/100</f>
        <v>0</v>
      </c>
      <c r="U61" s="212">
        <f t="shared" si="33"/>
        <v>0</v>
      </c>
      <c r="V61" s="212">
        <f>+U61-T61</f>
        <v>0</v>
      </c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J61" s="460"/>
    </row>
    <row r="62" spans="6:36" x14ac:dyDescent="0.3">
      <c r="S62" s="212" t="str">
        <f>+I36</f>
        <v>대손</v>
      </c>
      <c r="T62" s="212">
        <f t="shared" si="33"/>
        <v>0</v>
      </c>
      <c r="U62" s="212">
        <f t="shared" si="33"/>
        <v>0</v>
      </c>
      <c r="V62" s="212">
        <f>+U62-T62</f>
        <v>0</v>
      </c>
      <c r="AC62" s="212"/>
      <c r="AD62" s="212"/>
      <c r="AE62" s="212"/>
      <c r="AF62" s="212"/>
      <c r="AJ62" s="460"/>
    </row>
    <row r="63" spans="6:36" x14ac:dyDescent="0.3">
      <c r="S63" s="212" t="str">
        <f>+I37</f>
        <v>미운영 공장</v>
      </c>
      <c r="T63" s="212">
        <f t="shared" si="33"/>
        <v>-0.12762081</v>
      </c>
      <c r="U63" s="212">
        <f t="shared" si="33"/>
        <v>-0.31525195</v>
      </c>
      <c r="V63" s="212">
        <f>+U63-T63</f>
        <v>-0.18763114</v>
      </c>
      <c r="AC63" s="212"/>
      <c r="AD63" s="212"/>
      <c r="AE63" s="212"/>
      <c r="AJ63" s="460"/>
    </row>
    <row r="64" spans="6:36" x14ac:dyDescent="0.3">
      <c r="S64" s="212" t="str">
        <f>+I39</f>
        <v>기타</v>
      </c>
      <c r="T64" s="212">
        <f>+T39/100</f>
        <v>-1.0158241800000445</v>
      </c>
      <c r="U64" s="212">
        <f>+U39/100</f>
        <v>-0.1613339300000802</v>
      </c>
      <c r="V64" s="212">
        <f>+U64-T64</f>
        <v>0.85449024999996426</v>
      </c>
      <c r="AC64" s="212"/>
      <c r="AD64" s="212"/>
      <c r="AE64" s="212"/>
    </row>
    <row r="65" spans="20:31" x14ac:dyDescent="0.3">
      <c r="T65" s="4">
        <f>SUM(T60:T64)</f>
        <v>-0.1603479533333777</v>
      </c>
      <c r="U65" s="4">
        <f>SUM(U60:U64)</f>
        <v>-0.21054152000008022</v>
      </c>
      <c r="V65" s="4">
        <f>SUM(V60:V64)</f>
        <v>-5.0193566666702605E-2</v>
      </c>
      <c r="AC65" s="212"/>
      <c r="AE65" s="212"/>
    </row>
    <row r="66" spans="20:31" x14ac:dyDescent="0.3">
      <c r="AC66" s="212"/>
      <c r="AE66" s="212"/>
    </row>
    <row r="67" spans="20:31" x14ac:dyDescent="0.3">
      <c r="AC67" s="212"/>
      <c r="AE67" s="212"/>
    </row>
    <row r="68" spans="20:31" x14ac:dyDescent="0.3">
      <c r="T68" s="4">
        <f>SUM(T32:T33,T35,T37:T39)</f>
        <v>-16.034795333337755</v>
      </c>
      <c r="U68" s="4">
        <f>SUM(U32:U33,U35,U37:U39)</f>
        <v>-21.05415200000802</v>
      </c>
      <c r="V68" s="4">
        <f>+U68-T68</f>
        <v>-5.0193566666702658</v>
      </c>
      <c r="AC68" s="212"/>
      <c r="AE68" s="212"/>
    </row>
    <row r="69" spans="20:31" x14ac:dyDescent="0.3">
      <c r="AC69" s="212"/>
      <c r="AE69" s="212"/>
    </row>
    <row r="70" spans="20:31" x14ac:dyDescent="0.3">
      <c r="T70" s="460">
        <f>+T41-T43</f>
        <v>1171.6858438604017</v>
      </c>
      <c r="U70" s="460">
        <f>+U41-U43</f>
        <v>88.931915995774332</v>
      </c>
      <c r="V70" s="460"/>
      <c r="AC70" s="212"/>
      <c r="AE70" s="212"/>
    </row>
    <row r="71" spans="20:31" x14ac:dyDescent="0.3">
      <c r="T71" s="460">
        <f>+T70/100</f>
        <v>11.716858438604017</v>
      </c>
      <c r="U71" s="460">
        <f>+U70/100</f>
        <v>0.88931915995774335</v>
      </c>
      <c r="V71" s="460">
        <f>+U71-T71</f>
        <v>-10.827539278646274</v>
      </c>
      <c r="AC71" s="212"/>
      <c r="AE71" s="212"/>
    </row>
    <row r="72" spans="20:31" x14ac:dyDescent="0.3">
      <c r="AC72" s="212"/>
      <c r="AE72" s="212"/>
    </row>
    <row r="73" spans="20:31" x14ac:dyDescent="0.3">
      <c r="AC73" s="212"/>
      <c r="AE73" s="212"/>
    </row>
    <row r="74" spans="20:31" x14ac:dyDescent="0.3">
      <c r="AC74" s="212"/>
      <c r="AE74" s="212"/>
    </row>
    <row r="75" spans="20:31" x14ac:dyDescent="0.3">
      <c r="AC75" s="212"/>
      <c r="AE75" s="212"/>
    </row>
    <row r="76" spans="20:31" x14ac:dyDescent="0.3">
      <c r="AC76" s="212"/>
      <c r="AE76" s="212"/>
    </row>
    <row r="77" spans="20:31" x14ac:dyDescent="0.3">
      <c r="AC77" s="212"/>
      <c r="AE77" s="212"/>
    </row>
    <row r="78" spans="20:31" x14ac:dyDescent="0.3">
      <c r="AC78" s="212"/>
      <c r="AE78" s="212"/>
    </row>
    <row r="79" spans="20:31" x14ac:dyDescent="0.3">
      <c r="AC79" s="212"/>
      <c r="AE79" s="212"/>
    </row>
    <row r="80" spans="20:31" x14ac:dyDescent="0.3">
      <c r="AC80" s="212"/>
    </row>
  </sheetData>
  <mergeCells count="2">
    <mergeCell ref="H5:I6"/>
    <mergeCell ref="I48:I49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5561-3E2E-4676-938F-53896FB4585D}">
  <sheetPr>
    <tabColor theme="0"/>
    <pageSetUpPr fitToPage="1"/>
  </sheetPr>
  <dimension ref="A1:AS80"/>
  <sheetViews>
    <sheetView showGridLines="0" showZeros="0" topLeftCell="F1" zoomScale="85" zoomScaleNormal="85" zoomScaleSheetLayoutView="85" workbookViewId="0">
      <selection activeCell="C4" sqref="C4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45" ht="18" customHeight="1" x14ac:dyDescent="0.3">
      <c r="H1" s="2"/>
      <c r="K1" s="4"/>
      <c r="L1" s="4"/>
      <c r="P1" s="4"/>
      <c r="Q1" s="4"/>
    </row>
    <row r="2" spans="1:45" ht="18" customHeight="1" x14ac:dyDescent="0.3">
      <c r="H2" s="5"/>
      <c r="AD2" s="3"/>
      <c r="AG2" s="3"/>
    </row>
    <row r="3" spans="1:45" ht="26.25" x14ac:dyDescent="0.3">
      <c r="H3" s="2" t="s">
        <v>217</v>
      </c>
      <c r="AD3" s="3"/>
      <c r="AG3" s="3"/>
    </row>
    <row r="4" spans="1:45" ht="18" customHeight="1" x14ac:dyDescent="0.3">
      <c r="H4" s="5"/>
      <c r="AD4" s="3"/>
      <c r="AG4" s="3" t="s">
        <v>76</v>
      </c>
    </row>
    <row r="5" spans="1:45" s="6" customFormat="1" ht="19.5" customHeight="1" x14ac:dyDescent="0.3">
      <c r="G5" s="304"/>
      <c r="H5" s="689" t="s">
        <v>11</v>
      </c>
      <c r="I5" s="690"/>
      <c r="J5" s="145" t="s">
        <v>0</v>
      </c>
      <c r="K5" s="146"/>
      <c r="L5" s="146"/>
      <c r="M5" s="146"/>
      <c r="N5" s="147"/>
      <c r="O5" s="145" t="s">
        <v>2</v>
      </c>
      <c r="P5" s="146"/>
      <c r="Q5" s="146"/>
      <c r="R5" s="146"/>
      <c r="S5" s="147"/>
      <c r="T5" s="145" t="s">
        <v>97</v>
      </c>
      <c r="U5" s="146"/>
      <c r="V5" s="146"/>
      <c r="W5" s="146"/>
      <c r="X5" s="147"/>
      <c r="Y5" s="145" t="s">
        <v>53</v>
      </c>
      <c r="Z5" s="146"/>
      <c r="AA5" s="147"/>
      <c r="AB5" s="145" t="s">
        <v>34</v>
      </c>
      <c r="AC5" s="146"/>
      <c r="AD5" s="147"/>
      <c r="AE5" s="145" t="s">
        <v>54</v>
      </c>
      <c r="AF5" s="146"/>
      <c r="AG5" s="147"/>
      <c r="AO5"/>
      <c r="AP5"/>
      <c r="AQ5"/>
      <c r="AR5"/>
      <c r="AS5"/>
    </row>
    <row r="6" spans="1:45" s="6" customFormat="1" ht="19.5" customHeight="1" x14ac:dyDescent="0.3">
      <c r="A6" s="6" t="s">
        <v>216</v>
      </c>
      <c r="G6" s="304"/>
      <c r="H6" s="691"/>
      <c r="I6" s="688"/>
      <c r="J6" s="148" t="s">
        <v>36</v>
      </c>
      <c r="K6" s="149" t="s">
        <v>37</v>
      </c>
      <c r="L6" s="150" t="s">
        <v>38</v>
      </c>
      <c r="M6" s="149" t="s">
        <v>39</v>
      </c>
      <c r="N6" s="151" t="s">
        <v>38</v>
      </c>
      <c r="O6" s="148" t="s">
        <v>12</v>
      </c>
      <c r="P6" s="149" t="s">
        <v>13</v>
      </c>
      <c r="Q6" s="150" t="s">
        <v>28</v>
      </c>
      <c r="R6" s="149" t="s">
        <v>14</v>
      </c>
      <c r="S6" s="151" t="s">
        <v>28</v>
      </c>
      <c r="T6" s="148" t="s">
        <v>12</v>
      </c>
      <c r="U6" s="149" t="s">
        <v>13</v>
      </c>
      <c r="V6" s="150" t="s">
        <v>28</v>
      </c>
      <c r="W6" s="149" t="s">
        <v>14</v>
      </c>
      <c r="X6" s="151" t="s">
        <v>28</v>
      </c>
      <c r="Y6" s="152" t="s">
        <v>12</v>
      </c>
      <c r="Z6" s="153" t="s">
        <v>13</v>
      </c>
      <c r="AA6" s="154" t="s">
        <v>14</v>
      </c>
      <c r="AB6" s="155" t="s">
        <v>12</v>
      </c>
      <c r="AC6" s="153" t="s">
        <v>13</v>
      </c>
      <c r="AD6" s="151" t="s">
        <v>14</v>
      </c>
      <c r="AE6" s="155" t="s">
        <v>12</v>
      </c>
      <c r="AF6" s="153" t="s">
        <v>13</v>
      </c>
      <c r="AG6" s="151" t="s">
        <v>14</v>
      </c>
      <c r="AO6"/>
      <c r="AP6"/>
      <c r="AQ6"/>
      <c r="AR6"/>
      <c r="AS6"/>
    </row>
    <row r="7" spans="1:45" s="6" customFormat="1" ht="22.5" customHeight="1" x14ac:dyDescent="0.3">
      <c r="B7" s="6" t="s">
        <v>18</v>
      </c>
      <c r="G7" s="305" t="str">
        <f>+I7</f>
        <v>안양</v>
      </c>
      <c r="H7" s="67" t="s">
        <v>40</v>
      </c>
      <c r="I7" s="68" t="s">
        <v>18</v>
      </c>
      <c r="J7" s="30">
        <f>+IFERROR(HLOOKUP($B7,'[1]4월누계'!$D$6:$BN$259,2,),)/1000</f>
        <v>136</v>
      </c>
      <c r="K7" s="31">
        <f>+IFERROR(HLOOKUP($B7,'[2]4월누계'!$F$6:$CP$99,2,),)/1000</f>
        <v>144.30099999999999</v>
      </c>
      <c r="L7" s="32">
        <f t="shared" ref="L7:L34" si="0">+K7-J7</f>
        <v>8.3009999999999877</v>
      </c>
      <c r="M7" s="33">
        <f>+IFERROR(HLOOKUP($B7,'[3]4월누계'!$F$6:$CC$57,2,),)/1000</f>
        <v>140.46</v>
      </c>
      <c r="N7" s="34">
        <f>+K7-M7</f>
        <v>3.8409999999999798</v>
      </c>
      <c r="O7" s="30">
        <f>+IFERROR(HLOOKUP($B7,'[1]4월누계'!$D$6:$BN$259,3,),)/1000</f>
        <v>13355.644764000001</v>
      </c>
      <c r="P7" s="31">
        <f>+IFERROR(HLOOKUP($B7,'[2]4월누계'!$F$6:$CP$99,3,),)/1000</f>
        <v>14674.688958999999</v>
      </c>
      <c r="Q7" s="32">
        <f>+P7-O7</f>
        <v>1319.0441949999986</v>
      </c>
      <c r="R7" s="33">
        <f>+IFERROR(HLOOKUP($B7,'[3]4월누계'!$F$6:$CC$57,3,),)/1000</f>
        <v>13476.409308</v>
      </c>
      <c r="S7" s="34">
        <f>+P7-R7</f>
        <v>1198.2796509999989</v>
      </c>
      <c r="T7" s="30">
        <f>+IFERROR(HLOOKUP($B7,'[1]4월누계'!$D$6:$BN$259,16,),)/1000</f>
        <v>1177.9872762179868</v>
      </c>
      <c r="U7" s="31">
        <f>+IFERROR(HLOOKUP($B7,'[2]4월누계'!$F$6:$CP$99,16,),)/1000</f>
        <v>1130.2213350000002</v>
      </c>
      <c r="V7" s="35">
        <f>+U7-T7</f>
        <v>-47.765941217986665</v>
      </c>
      <c r="W7" s="36">
        <f>+IFERROR(HLOOKUP($B7,'[3]4월누계'!$F$6:$CC$57,16,),)/1000</f>
        <v>865.27362800000014</v>
      </c>
      <c r="X7" s="34">
        <f>+U7-W7</f>
        <v>264.94770700000004</v>
      </c>
      <c r="Y7" s="30">
        <f>+[15]안양!$Q$85</f>
        <v>98203.270323529403</v>
      </c>
      <c r="Z7" s="31">
        <f>+[15]안양!$R$85</f>
        <v>101697.73050822734</v>
      </c>
      <c r="AA7" s="37">
        <f>+[16]안양!$Q$85</f>
        <v>95926.12387224377</v>
      </c>
      <c r="AB7" s="38">
        <f>+[15]안양!$Q$89</f>
        <v>80019.217938756643</v>
      </c>
      <c r="AC7" s="31">
        <f>+[15]안양!$R$89</f>
        <v>84645.180530481884</v>
      </c>
      <c r="AD7" s="39">
        <f>+[16]안양!$Q$89</f>
        <v>81028.977996633592</v>
      </c>
      <c r="AE7" s="38">
        <f>+Y7-AB7</f>
        <v>18184.05238477276</v>
      </c>
      <c r="AF7" s="31">
        <f>+Z7-AC7</f>
        <v>17052.549977745453</v>
      </c>
      <c r="AG7" s="39">
        <f>+AA7-AD7</f>
        <v>14897.145875610178</v>
      </c>
      <c r="AH7" s="15"/>
      <c r="AI7" s="16"/>
      <c r="AJ7" s="453"/>
      <c r="AK7" s="453"/>
      <c r="AO7"/>
      <c r="AP7"/>
      <c r="AQ7"/>
      <c r="AR7"/>
      <c r="AS7"/>
    </row>
    <row r="8" spans="1:45" s="6" customFormat="1" ht="22.5" customHeight="1" x14ac:dyDescent="0.3">
      <c r="B8" s="6" t="s">
        <v>19</v>
      </c>
      <c r="G8" s="306" t="str">
        <f t="shared" ref="G8:G26" si="1">+I8</f>
        <v>인천</v>
      </c>
      <c r="H8" s="69" t="s">
        <v>41</v>
      </c>
      <c r="I8" s="70" t="s">
        <v>19</v>
      </c>
      <c r="J8" s="40">
        <f>+IFERROR(HLOOKUP($B8,'[1]4월누계'!$D$6:$BN$259,2,),)/1000</f>
        <v>117</v>
      </c>
      <c r="K8" s="41">
        <f>+IFERROR(HLOOKUP($B8,'[2]4월누계'!$F$6:$CP$99,2,),)/1000</f>
        <v>110.44499999999999</v>
      </c>
      <c r="L8" s="42">
        <f t="shared" si="0"/>
        <v>-6.5550000000000068</v>
      </c>
      <c r="M8" s="43">
        <f>+IFERROR(HLOOKUP($B8,'[3]4월누계'!$F$6:$CC$57,2,),)/1000</f>
        <v>103.72199999999999</v>
      </c>
      <c r="N8" s="44">
        <f t="shared" ref="N8:N27" si="2">+K8-M8</f>
        <v>6.722999999999999</v>
      </c>
      <c r="O8" s="40">
        <f>+IFERROR(HLOOKUP($B8,'[1]4월누계'!$D$6:$BN$259,3,),)/1000</f>
        <v>11809.957912981341</v>
      </c>
      <c r="P8" s="41">
        <f>+IFERROR(HLOOKUP($B8,'[2]4월누계'!$F$6:$CP$99,3,),)/1000</f>
        <v>11133.833698999999</v>
      </c>
      <c r="Q8" s="42">
        <f t="shared" ref="Q8:Q37" si="3">+P8-O8</f>
        <v>-676.12421398134211</v>
      </c>
      <c r="R8" s="43">
        <f>+IFERROR(HLOOKUP($B8,'[3]4월누계'!$F$6:$CC$57,3,),)/1000</f>
        <v>10154.913379000001</v>
      </c>
      <c r="S8" s="44">
        <f t="shared" ref="S8:S37" si="4">+P8-R8</f>
        <v>978.92031999999745</v>
      </c>
      <c r="T8" s="40">
        <f>+IFERROR(HLOOKUP($B8,'[1]4월누계'!$D$6:$BN$259,16,),)/1000</f>
        <v>458.58090527055475</v>
      </c>
      <c r="U8" s="41">
        <f>+IFERROR(HLOOKUP($B8,'[2]4월누계'!$F$6:$CP$99,16,),)/1000</f>
        <v>47.265003999999522</v>
      </c>
      <c r="V8" s="42">
        <f t="shared" ref="V8:V27" si="5">+U8-T8</f>
        <v>-411.31590127055523</v>
      </c>
      <c r="W8" s="43">
        <f>+IFERROR(HLOOKUP($B8,'[3]4월누계'!$F$6:$CC$57,16,),)/1000</f>
        <v>143.88324800000166</v>
      </c>
      <c r="X8" s="44">
        <f t="shared" ref="X8:X27" si="6">+U8-W8</f>
        <v>-96.618244000002136</v>
      </c>
      <c r="Y8" s="40">
        <f>+[15]인천!$Q$85</f>
        <v>100939.81122206274</v>
      </c>
      <c r="Z8" s="41">
        <f>+[15]인천!$R$85</f>
        <v>100917.75787850587</v>
      </c>
      <c r="AA8" s="45">
        <f>+[16]인천!$Q$85</f>
        <v>97920.695560008113</v>
      </c>
      <c r="AB8" s="46">
        <f>+[15]인천!$Q$89</f>
        <v>85610.21283703424</v>
      </c>
      <c r="AC8" s="41">
        <f>+[15]인천!$R$89</f>
        <v>88499.219256947865</v>
      </c>
      <c r="AD8" s="47">
        <f>+[16]인천!$Q$89</f>
        <v>84814.026522298664</v>
      </c>
      <c r="AE8" s="46">
        <f t="shared" ref="AE8:AG27" si="7">+Y8-AB8</f>
        <v>15329.598385028497</v>
      </c>
      <c r="AF8" s="41">
        <f t="shared" si="7"/>
        <v>12418.538621558007</v>
      </c>
      <c r="AG8" s="47">
        <f t="shared" si="7"/>
        <v>13106.669037709449</v>
      </c>
      <c r="AH8" s="15"/>
      <c r="AI8" s="16"/>
      <c r="AJ8" s="453"/>
      <c r="AK8" s="453"/>
      <c r="AO8"/>
      <c r="AP8"/>
      <c r="AQ8"/>
      <c r="AR8"/>
      <c r="AS8"/>
    </row>
    <row r="9" spans="1:45" s="6" customFormat="1" ht="22.5" customHeight="1" x14ac:dyDescent="0.3">
      <c r="B9" s="6" t="s">
        <v>20</v>
      </c>
      <c r="G9" s="306" t="str">
        <f t="shared" si="1"/>
        <v>파주</v>
      </c>
      <c r="H9" s="69"/>
      <c r="I9" s="70" t="s">
        <v>20</v>
      </c>
      <c r="J9" s="40">
        <f>+IFERROR(HLOOKUP($B9,'[1]4월누계'!$D$6:$BN$259,2,),)/1000</f>
        <v>51</v>
      </c>
      <c r="K9" s="41">
        <f>+IFERROR(HLOOKUP($B9,'[2]4월누계'!$F$6:$CP$99,2,),)/1000</f>
        <v>46.640999999999998</v>
      </c>
      <c r="L9" s="42">
        <f t="shared" si="0"/>
        <v>-4.3590000000000018</v>
      </c>
      <c r="M9" s="43">
        <f>+IFERROR(HLOOKUP($B9,'[3]4월누계'!$F$6:$CC$57,2,),)/1000</f>
        <v>43.280999999999999</v>
      </c>
      <c r="N9" s="44">
        <f t="shared" si="2"/>
        <v>3.3599999999999994</v>
      </c>
      <c r="O9" s="40">
        <f>+IFERROR(HLOOKUP($B9,'[1]4월누계'!$D$6:$BN$259,3,),)/1000</f>
        <v>4943.3722544000002</v>
      </c>
      <c r="P9" s="41">
        <f>+IFERROR(HLOOKUP($B9,'[2]4월누계'!$F$6:$CP$99,3,),)/1000</f>
        <v>4630.2795999999998</v>
      </c>
      <c r="Q9" s="42">
        <f t="shared" si="3"/>
        <v>-313.09265440000036</v>
      </c>
      <c r="R9" s="43">
        <f>+IFERROR(HLOOKUP($B9,'[3]4월누계'!$F$6:$CC$57,3,),)/1000</f>
        <v>3997.0859150000001</v>
      </c>
      <c r="S9" s="44">
        <f t="shared" si="4"/>
        <v>633.19368499999973</v>
      </c>
      <c r="T9" s="40">
        <f>+IFERROR(HLOOKUP($B9,'[1]4월누계'!$D$6:$BN$259,16,),)/1000</f>
        <v>-113.85017168523419</v>
      </c>
      <c r="U9" s="41">
        <f>+IFERROR(HLOOKUP($B9,'[2]4월누계'!$F$6:$CP$99,16,),)/1000</f>
        <v>-215.00812200000084</v>
      </c>
      <c r="V9" s="42">
        <f t="shared" si="5"/>
        <v>-101.15795031476665</v>
      </c>
      <c r="W9" s="43">
        <f>+IFERROR(HLOOKUP($B9,'[3]4월누계'!$F$6:$CC$57,16,),)/1000</f>
        <v>-312.75034799999963</v>
      </c>
      <c r="X9" s="44">
        <f t="shared" si="6"/>
        <v>97.742225999998794</v>
      </c>
      <c r="Y9" s="40">
        <f>+[15]파주!$Q$85</f>
        <v>96928.867733333333</v>
      </c>
      <c r="Z9" s="41">
        <f>+[15]파주!$R$85</f>
        <v>99506.674942916041</v>
      </c>
      <c r="AA9" s="45">
        <f>+[16]파주!$Q$85</f>
        <v>92404.743899324341</v>
      </c>
      <c r="AB9" s="46">
        <f>+[15]파주!$Q$89</f>
        <v>80719.375376398937</v>
      </c>
      <c r="AC9" s="41">
        <f>+[15]파주!$R$89</f>
        <v>85550.926609775022</v>
      </c>
      <c r="AD9" s="47">
        <f>+[16]파주!$Q$89</f>
        <v>79057.740104468947</v>
      </c>
      <c r="AE9" s="46">
        <f t="shared" si="7"/>
        <v>16209.492356934396</v>
      </c>
      <c r="AF9" s="41">
        <f t="shared" si="7"/>
        <v>13955.748333141019</v>
      </c>
      <c r="AG9" s="47">
        <f t="shared" si="7"/>
        <v>13347.003794855395</v>
      </c>
      <c r="AH9" s="15"/>
      <c r="AI9" s="16"/>
      <c r="AJ9" s="453"/>
      <c r="AK9" s="457"/>
      <c r="AO9"/>
      <c r="AP9"/>
      <c r="AQ9"/>
      <c r="AR9"/>
      <c r="AS9"/>
    </row>
    <row r="10" spans="1:45" s="6" customFormat="1" ht="22.5" customHeight="1" x14ac:dyDescent="0.3">
      <c r="B10" s="6" t="s">
        <v>107</v>
      </c>
      <c r="G10" s="306" t="str">
        <f t="shared" si="1"/>
        <v>김포</v>
      </c>
      <c r="H10" s="69"/>
      <c r="I10" s="70" t="s">
        <v>106</v>
      </c>
      <c r="J10" s="40">
        <f>+IFERROR(HLOOKUP($B10,'[1]4월누계'!$D$6:$BN$259,2,),)/1000</f>
        <v>44</v>
      </c>
      <c r="K10" s="41">
        <f>+IFERROR(HLOOKUP($B10,'[2]4월누계'!$F$6:$CP$99,2,),)/1000</f>
        <v>46.143500000000003</v>
      </c>
      <c r="L10" s="42">
        <f t="shared" si="0"/>
        <v>2.1435000000000031</v>
      </c>
      <c r="M10" s="43">
        <f>+IFERROR(HLOOKUP($B10,'[3]4월누계'!$F$6:$CC$57,2,),)/1000</f>
        <v>36.927</v>
      </c>
      <c r="N10" s="44">
        <f t="shared" si="2"/>
        <v>9.2165000000000035</v>
      </c>
      <c r="O10" s="40">
        <f>+IFERROR(HLOOKUP($B10,'[1]4월누계'!$D$6:$BN$259,3,),)/1000</f>
        <v>4359.0182637999997</v>
      </c>
      <c r="P10" s="41">
        <f>+IFERROR(HLOOKUP($B10,'[2]4월누계'!$F$6:$CP$99,3,),)/1000</f>
        <v>4490.610815</v>
      </c>
      <c r="Q10" s="42">
        <f t="shared" si="3"/>
        <v>131.59255120000034</v>
      </c>
      <c r="R10" s="43">
        <f>+IFERROR(HLOOKUP($B10,'[3]4월누계'!$F$6:$CC$57,3,),)/1000</f>
        <v>3518.4271359999998</v>
      </c>
      <c r="S10" s="44">
        <f t="shared" si="4"/>
        <v>972.18367900000021</v>
      </c>
      <c r="T10" s="40">
        <f>+IFERROR(HLOOKUP($B10,'[1]4월누계'!$D$6:$BN$259,16,),)/1000</f>
        <v>35.074517314517301</v>
      </c>
      <c r="U10" s="41">
        <f>+IFERROR(HLOOKUP($B10,'[2]4월누계'!$F$6:$CP$99,16,),)/1000</f>
        <v>-93.164256999999665</v>
      </c>
      <c r="V10" s="42">
        <f t="shared" si="5"/>
        <v>-128.23877431451697</v>
      </c>
      <c r="W10" s="43">
        <f>+IFERROR(HLOOKUP($B10,'[3]4월누계'!$F$6:$CC$57,16,),)/1000</f>
        <v>-50.511174000000175</v>
      </c>
      <c r="X10" s="44">
        <f t="shared" si="6"/>
        <v>-42.653082999999491</v>
      </c>
      <c r="Y10" s="40">
        <f>+[15]김포!$Q$85</f>
        <v>99068.59690454544</v>
      </c>
      <c r="Z10" s="41">
        <f>+[15]김포!$R$85</f>
        <v>97398.683977864377</v>
      </c>
      <c r="AA10" s="45">
        <f>+[16]김포!$Q$85</f>
        <v>95344.507612542177</v>
      </c>
      <c r="AB10" s="46">
        <f>+[15]김포!$Q$89</f>
        <v>80717.553213053892</v>
      </c>
      <c r="AC10" s="41">
        <f>+[15]김포!$R$89</f>
        <v>82707.762946015151</v>
      </c>
      <c r="AD10" s="47">
        <f>+[16]김포!$Q$89</f>
        <v>78484.914656212306</v>
      </c>
      <c r="AE10" s="46">
        <f t="shared" si="7"/>
        <v>18351.043691491548</v>
      </c>
      <c r="AF10" s="41">
        <f t="shared" si="7"/>
        <v>14690.921031849226</v>
      </c>
      <c r="AG10" s="47">
        <f t="shared" si="7"/>
        <v>16859.592956329871</v>
      </c>
      <c r="AH10" s="15"/>
      <c r="AI10" s="16"/>
      <c r="AJ10" s="453"/>
      <c r="AK10" s="457"/>
      <c r="AO10"/>
      <c r="AP10"/>
      <c r="AQ10"/>
      <c r="AR10"/>
      <c r="AS10"/>
    </row>
    <row r="11" spans="1:45" s="6" customFormat="1" ht="22.5" customHeight="1" x14ac:dyDescent="0.3">
      <c r="B11" s="6" t="s">
        <v>21</v>
      </c>
      <c r="G11" s="304" t="str">
        <f t="shared" si="1"/>
        <v>부산</v>
      </c>
      <c r="H11" s="69"/>
      <c r="I11" s="71" t="s">
        <v>21</v>
      </c>
      <c r="J11" s="57">
        <f>+IFERROR(HLOOKUP($B11,'[1]4월누계'!$D$6:$BN$259,2,),)/1000</f>
        <v>74</v>
      </c>
      <c r="K11" s="58">
        <f>+IFERROR(HLOOKUP($B11,'[2]4월누계'!$F$6:$CP$99,2,),)/1000</f>
        <v>83.694999999999993</v>
      </c>
      <c r="L11" s="59">
        <f t="shared" si="0"/>
        <v>9.6949999999999932</v>
      </c>
      <c r="M11" s="60">
        <f>+IFERROR(HLOOKUP($B11,'[3]4월누계'!$F$6:$CC$57,2,),)/1000</f>
        <v>74.846999999999994</v>
      </c>
      <c r="N11" s="61">
        <f t="shared" si="2"/>
        <v>8.847999999999999</v>
      </c>
      <c r="O11" s="57">
        <f>+IFERROR(HLOOKUP($B11,'[1]4월누계'!$D$6:$BN$259,3,),)/1000</f>
        <v>8056.6617901999998</v>
      </c>
      <c r="P11" s="58">
        <f>+IFERROR(HLOOKUP($B11,'[2]4월누계'!$F$6:$CP$99,3,),)/1000</f>
        <v>9836.8870500000012</v>
      </c>
      <c r="Q11" s="59">
        <f t="shared" si="3"/>
        <v>1780.2252598000014</v>
      </c>
      <c r="R11" s="60">
        <f>+IFERROR(HLOOKUP($B11,'[3]4월누계'!$F$6:$CC$57,3,),)/1000</f>
        <v>7925.7260199999992</v>
      </c>
      <c r="S11" s="61">
        <f t="shared" si="4"/>
        <v>1911.161030000002</v>
      </c>
      <c r="T11" s="57">
        <f>+IFERROR(HLOOKUP($B11,'[1]4월누계'!$D$6:$BN$259,16,),)/1000</f>
        <v>642.3627933185021</v>
      </c>
      <c r="U11" s="58">
        <f>+IFERROR(HLOOKUP($B11,'[2]4월누계'!$F$6:$CP$99,16,),)/1000</f>
        <v>1003.6039910000009</v>
      </c>
      <c r="V11" s="59">
        <f t="shared" si="5"/>
        <v>361.24119768149876</v>
      </c>
      <c r="W11" s="60">
        <f>+IFERROR(HLOOKUP($B11,'[3]4월누계'!$F$6:$CC$57,16,),)/1000</f>
        <v>676.07838300000014</v>
      </c>
      <c r="X11" s="61">
        <f t="shared" si="6"/>
        <v>327.52560800000072</v>
      </c>
      <c r="Y11" s="57">
        <f>+[15]부산!$Q$85</f>
        <v>108873.80797567568</v>
      </c>
      <c r="Z11" s="58">
        <f>+[15]부산!$R$85</f>
        <v>117532.55331859729</v>
      </c>
      <c r="AA11" s="62">
        <f>+[16]부산!$Q$85</f>
        <v>105892.36736275334</v>
      </c>
      <c r="AB11" s="63">
        <f>+[15]부산!$Q$89</f>
        <v>85639.145493894117</v>
      </c>
      <c r="AC11" s="58">
        <f>+[15]부산!$R$89</f>
        <v>92871.972369819341</v>
      </c>
      <c r="AD11" s="64">
        <f>+[16]부산!$Q$89</f>
        <v>83622.63086218854</v>
      </c>
      <c r="AE11" s="63">
        <f t="shared" si="7"/>
        <v>23234.662481781561</v>
      </c>
      <c r="AF11" s="58">
        <f t="shared" si="7"/>
        <v>24660.580948777948</v>
      </c>
      <c r="AG11" s="64">
        <f t="shared" si="7"/>
        <v>22269.736500564803</v>
      </c>
      <c r="AH11" s="15"/>
      <c r="AI11" s="16"/>
      <c r="AJ11" s="459"/>
      <c r="AK11" s="453"/>
      <c r="AL11" s="457"/>
      <c r="AM11" s="81"/>
      <c r="AO11"/>
      <c r="AP11"/>
      <c r="AQ11"/>
      <c r="AR11"/>
      <c r="AS11"/>
    </row>
    <row r="12" spans="1:45" s="6" customFormat="1" ht="22.5" customHeight="1" x14ac:dyDescent="0.3">
      <c r="B12" s="6" t="s">
        <v>22</v>
      </c>
      <c r="G12" s="304" t="str">
        <f t="shared" si="1"/>
        <v>서부산</v>
      </c>
      <c r="H12" s="69"/>
      <c r="I12" s="70" t="s">
        <v>22</v>
      </c>
      <c r="J12" s="40">
        <f>+IFERROR(HLOOKUP($B12,'[1]4월누계'!$D$6:$BN$259,2,),)/1000</f>
        <v>75</v>
      </c>
      <c r="K12" s="41">
        <f>+IFERROR(HLOOKUP($B12,'[2]4월누계'!$F$6:$CP$99,2,),)/1000</f>
        <v>70.426000000000002</v>
      </c>
      <c r="L12" s="42">
        <f t="shared" si="0"/>
        <v>-4.5739999999999981</v>
      </c>
      <c r="M12" s="43">
        <f>+IFERROR(HLOOKUP($B12,'[3]4월누계'!$F$6:$CC$57,2,),)/1000</f>
        <v>67.222999999999999</v>
      </c>
      <c r="N12" s="44">
        <f t="shared" si="2"/>
        <v>3.203000000000003</v>
      </c>
      <c r="O12" s="40">
        <f>+IFERROR(HLOOKUP($B12,'[1]4월누계'!$D$6:$BN$259,3,),)/1000</f>
        <v>7667.6475324900002</v>
      </c>
      <c r="P12" s="41">
        <f>+IFERROR(HLOOKUP($B12,'[2]4월누계'!$F$6:$CP$99,3,),)/1000</f>
        <v>7264.38501</v>
      </c>
      <c r="Q12" s="42">
        <f t="shared" si="3"/>
        <v>-403.26252249000026</v>
      </c>
      <c r="R12" s="43">
        <f>+IFERROR(HLOOKUP($B12,'[3]4월누계'!$F$6:$CC$57,3,),)/1000</f>
        <v>6505.4800179999993</v>
      </c>
      <c r="S12" s="44">
        <f t="shared" si="4"/>
        <v>758.90499200000068</v>
      </c>
      <c r="T12" s="40">
        <f>+IFERROR(HLOOKUP($B12,'[1]4월누계'!$D$6:$BN$259,16,),)/1000</f>
        <v>910.42828423283345</v>
      </c>
      <c r="U12" s="41">
        <f>+IFERROR(HLOOKUP($B12,'[2]4월누계'!$F$6:$CP$99,16,),)/1000</f>
        <v>554.00182499999971</v>
      </c>
      <c r="V12" s="42">
        <f t="shared" si="5"/>
        <v>-356.42645923283374</v>
      </c>
      <c r="W12" s="43">
        <f>+IFERROR(HLOOKUP($B12,'[3]4월누계'!$F$6:$CC$57,16,),)/1000</f>
        <v>414.885348999999</v>
      </c>
      <c r="X12" s="44">
        <f t="shared" si="6"/>
        <v>139.11647600000072</v>
      </c>
      <c r="Y12" s="40">
        <f>+[15]서부산!$Q$85</f>
        <v>102235.3004332</v>
      </c>
      <c r="Z12" s="41">
        <f>+[15]서부산!$R$85</f>
        <v>103146.41765825122</v>
      </c>
      <c r="AA12" s="45">
        <f>+[16]서부산!$Q$85</f>
        <v>96774.616098656697</v>
      </c>
      <c r="AB12" s="46">
        <f>+[15]서부산!$Q$89</f>
        <v>78004.022507132584</v>
      </c>
      <c r="AC12" s="41">
        <f>+[15]서부산!$R$89</f>
        <v>81626.51237193527</v>
      </c>
      <c r="AD12" s="47">
        <f>+[16]서부산!$Q$89</f>
        <v>77141.00579904858</v>
      </c>
      <c r="AE12" s="46">
        <f t="shared" si="7"/>
        <v>24231.277926067414</v>
      </c>
      <c r="AF12" s="41">
        <f t="shared" si="7"/>
        <v>21519.905286315945</v>
      </c>
      <c r="AG12" s="47">
        <f t="shared" si="7"/>
        <v>19633.610299608117</v>
      </c>
      <c r="AH12" s="15"/>
      <c r="AI12" s="16"/>
      <c r="AJ12" s="453"/>
      <c r="AK12" s="457"/>
      <c r="AO12"/>
      <c r="AP12"/>
      <c r="AQ12"/>
      <c r="AR12"/>
      <c r="AS12"/>
    </row>
    <row r="13" spans="1:45" s="6" customFormat="1" ht="22.5" customHeight="1" x14ac:dyDescent="0.3">
      <c r="B13" s="6" t="s">
        <v>23</v>
      </c>
      <c r="G13" s="304" t="str">
        <f t="shared" si="1"/>
        <v>김해</v>
      </c>
      <c r="H13" s="69"/>
      <c r="I13" s="70" t="s">
        <v>23</v>
      </c>
      <c r="J13" s="40">
        <f>+IFERROR(HLOOKUP($B13,'[1]4월누계'!$D$6:$BN$259,2,),)/1000</f>
        <v>33</v>
      </c>
      <c r="K13" s="41">
        <f>+IFERROR(HLOOKUP($B13,'[2]4월누계'!$F$6:$CP$99,2,),)/1000</f>
        <v>23.432500000000001</v>
      </c>
      <c r="L13" s="42">
        <f t="shared" si="0"/>
        <v>-9.567499999999999</v>
      </c>
      <c r="M13" s="43">
        <f>+IFERROR(HLOOKUP($B13,'[3]4월누계'!$F$6:$CC$57,2,),)/1000</f>
        <v>34.274999999999999</v>
      </c>
      <c r="N13" s="44">
        <f t="shared" si="2"/>
        <v>-10.842499999999998</v>
      </c>
      <c r="O13" s="40">
        <f>+IFERROR(HLOOKUP($B13,'[1]4월누계'!$D$6:$BN$259,3,),)/1000</f>
        <v>3270.08585236</v>
      </c>
      <c r="P13" s="41">
        <f>+IFERROR(HLOOKUP($B13,'[2]4월누계'!$F$6:$CP$99,3,),)/1000</f>
        <v>2298.84575</v>
      </c>
      <c r="Q13" s="42">
        <f t="shared" si="3"/>
        <v>-971.24010236000004</v>
      </c>
      <c r="R13" s="43">
        <f>+IFERROR(HLOOKUP($B13,'[3]4월누계'!$F$6:$CC$57,3,),)/1000</f>
        <v>3117.4157</v>
      </c>
      <c r="S13" s="44">
        <f t="shared" si="4"/>
        <v>-818.56995000000006</v>
      </c>
      <c r="T13" s="40">
        <f>+IFERROR(HLOOKUP($B13,'[1]4월누계'!$D$6:$BN$259,16,),)/1000</f>
        <v>74.222074035697204</v>
      </c>
      <c r="U13" s="41">
        <f>+IFERROR(HLOOKUP($B13,'[2]4월누계'!$F$6:$CP$99,16,),)/1000</f>
        <v>-125.6993239999999</v>
      </c>
      <c r="V13" s="42">
        <f t="shared" si="5"/>
        <v>-199.92139803569711</v>
      </c>
      <c r="W13" s="43">
        <f>+IFERROR(HLOOKUP($B13,'[3]4월누계'!$F$6:$CC$57,16,),)/1000</f>
        <v>-105.52443200000005</v>
      </c>
      <c r="X13" s="44">
        <f t="shared" si="6"/>
        <v>-20.174891999999858</v>
      </c>
      <c r="Y13" s="40">
        <f>+[15]김해!$Q$85</f>
        <v>99093.510677575745</v>
      </c>
      <c r="Z13" s="41">
        <f>+[15]김해!$R$85</f>
        <v>98105.014403072651</v>
      </c>
      <c r="AA13" s="45">
        <f>+[16]김해!$Q$85</f>
        <v>90917.487111503899</v>
      </c>
      <c r="AB13" s="46">
        <f>+[15]김해!$Q$89</f>
        <v>78945.669743834093</v>
      </c>
      <c r="AC13" s="41">
        <f>+[15]김해!$R$89</f>
        <v>79340.862221273885</v>
      </c>
      <c r="AD13" s="47">
        <f>+[16]김해!$Q$89</f>
        <v>76591.029400500818</v>
      </c>
      <c r="AE13" s="46">
        <f t="shared" si="7"/>
        <v>20147.840933741652</v>
      </c>
      <c r="AF13" s="41">
        <f t="shared" si="7"/>
        <v>18764.152181798767</v>
      </c>
      <c r="AG13" s="47">
        <f t="shared" si="7"/>
        <v>14326.45771100308</v>
      </c>
      <c r="AH13" s="15"/>
      <c r="AI13" s="16"/>
      <c r="AJ13" s="453"/>
      <c r="AK13" s="457"/>
      <c r="AO13"/>
      <c r="AP13"/>
      <c r="AQ13"/>
      <c r="AR13"/>
      <c r="AS13"/>
    </row>
    <row r="14" spans="1:45" s="6" customFormat="1" ht="22.5" customHeight="1" x14ac:dyDescent="0.3">
      <c r="B14" s="6" t="s">
        <v>24</v>
      </c>
      <c r="G14" s="304" t="str">
        <f t="shared" si="1"/>
        <v>정관</v>
      </c>
      <c r="H14" s="69"/>
      <c r="I14" s="70" t="s">
        <v>24</v>
      </c>
      <c r="J14" s="40">
        <f>+IFERROR(HLOOKUP($B14,'[1]4월누계'!$D$6:$BN$259,2,),)/1000</f>
        <v>80</v>
      </c>
      <c r="K14" s="41">
        <f>+IFERROR(HLOOKUP($B14,'[2]4월누계'!$F$6:$CP$99,2,),)/1000</f>
        <v>51.808999999999997</v>
      </c>
      <c r="L14" s="42">
        <f t="shared" si="0"/>
        <v>-28.191000000000003</v>
      </c>
      <c r="M14" s="43">
        <f>+IFERROR(HLOOKUP($B14,'[3]4월누계'!$F$6:$CC$57,2,),)/1000</f>
        <v>77.971500000000006</v>
      </c>
      <c r="N14" s="44">
        <f t="shared" si="2"/>
        <v>-26.162500000000009</v>
      </c>
      <c r="O14" s="40">
        <f>+IFERROR(HLOOKUP($B14,'[1]4월누계'!$D$6:$BN$259,3,),)/1000</f>
        <v>8256.6392837300009</v>
      </c>
      <c r="P14" s="41">
        <f>+IFERROR(HLOOKUP($B14,'[2]4월누계'!$F$6:$CP$99,3,),)/1000</f>
        <v>5434.6284000000005</v>
      </c>
      <c r="Q14" s="42">
        <f t="shared" si="3"/>
        <v>-2822.0108837300004</v>
      </c>
      <c r="R14" s="43">
        <f>+IFERROR(HLOOKUP($B14,'[3]4월누계'!$F$6:$CC$57,3,),)/1000</f>
        <v>7962.4657900000002</v>
      </c>
      <c r="S14" s="44">
        <f t="shared" si="4"/>
        <v>-2527.8373899999997</v>
      </c>
      <c r="T14" s="40">
        <f>+IFERROR(HLOOKUP($B14,'[1]4월누계'!$D$6:$BN$259,16,),)/1000</f>
        <v>699.57932265085026</v>
      </c>
      <c r="U14" s="41">
        <f>+IFERROR(HLOOKUP($B14,'[2]4월누계'!$F$6:$CP$99,16,),)/1000</f>
        <v>116.17425200000019</v>
      </c>
      <c r="V14" s="42">
        <f t="shared" si="5"/>
        <v>-583.40507065085012</v>
      </c>
      <c r="W14" s="43">
        <f>+IFERROR(HLOOKUP($B14,'[3]4월누계'!$F$6:$CC$57,16,),)/1000</f>
        <v>647.16190400000039</v>
      </c>
      <c r="X14" s="44">
        <f t="shared" si="6"/>
        <v>-530.98765200000025</v>
      </c>
      <c r="Y14" s="40">
        <f>+[15]정관!$Q$85</f>
        <v>103207.991046625</v>
      </c>
      <c r="Z14" s="41">
        <f>+[15]정관!$R$85</f>
        <v>104897.38076395993</v>
      </c>
      <c r="AA14" s="45">
        <f>+[16]정관!$Q$85</f>
        <v>102120.207896475</v>
      </c>
      <c r="AB14" s="46">
        <f>+[15]정관!$Q$89</f>
        <v>83127.015874600474</v>
      </c>
      <c r="AC14" s="41">
        <f>+[15]정관!$R$89</f>
        <v>84616.840213639778</v>
      </c>
      <c r="AD14" s="47">
        <f>+[16]정관!$Q$89</f>
        <v>84055.177710746924</v>
      </c>
      <c r="AE14" s="46">
        <f t="shared" si="7"/>
        <v>20080.975172024526</v>
      </c>
      <c r="AF14" s="41">
        <f t="shared" si="7"/>
        <v>20280.540550320147</v>
      </c>
      <c r="AG14" s="47">
        <f t="shared" si="7"/>
        <v>18065.030185728072</v>
      </c>
      <c r="AH14" s="15"/>
      <c r="AI14" s="16"/>
      <c r="AJ14" s="453"/>
      <c r="AK14" s="457"/>
      <c r="AO14"/>
      <c r="AP14"/>
      <c r="AQ14"/>
      <c r="AR14"/>
      <c r="AS14"/>
    </row>
    <row r="15" spans="1:45" s="6" customFormat="1" ht="22.5" customHeight="1" x14ac:dyDescent="0.3">
      <c r="B15" s="6" t="s">
        <v>25</v>
      </c>
      <c r="G15" s="304" t="str">
        <f t="shared" si="1"/>
        <v>양산</v>
      </c>
      <c r="H15" s="69"/>
      <c r="I15" s="70" t="s">
        <v>25</v>
      </c>
      <c r="J15" s="40">
        <f>+IFERROR(HLOOKUP($B15,'[1]4월누계'!$D$6:$BN$259,2,),)/1000</f>
        <v>31</v>
      </c>
      <c r="K15" s="41">
        <f>+IFERROR(HLOOKUP($B15,'[2]4월누계'!$F$6:$CP$99,2,),)/1000</f>
        <v>20.555</v>
      </c>
      <c r="L15" s="42">
        <f t="shared" si="0"/>
        <v>-10.445</v>
      </c>
      <c r="M15" s="43">
        <f>+IFERROR(HLOOKUP($B15,'[3]4월누계'!$F$6:$CC$57,2,),)/1000</f>
        <v>29.916</v>
      </c>
      <c r="N15" s="44">
        <f t="shared" si="2"/>
        <v>-9.3610000000000007</v>
      </c>
      <c r="O15" s="40">
        <f>+IFERROR(HLOOKUP($B15,'[1]4월누계'!$D$6:$BN$259,3,),)/1000</f>
        <v>3066.6273799999999</v>
      </c>
      <c r="P15" s="41">
        <f>+IFERROR(HLOOKUP($B15,'[2]4월누계'!$F$6:$CP$99,3,),)/1000</f>
        <v>2081.6170999999999</v>
      </c>
      <c r="Q15" s="42">
        <f t="shared" si="3"/>
        <v>-985.01027999999997</v>
      </c>
      <c r="R15" s="43">
        <f>+IFERROR(HLOOKUP($B15,'[3]4월누계'!$F$6:$CC$57,3,),)/1000</f>
        <v>2823.580027</v>
      </c>
      <c r="S15" s="44">
        <f t="shared" si="4"/>
        <v>-741.96292700000004</v>
      </c>
      <c r="T15" s="40">
        <f>+IFERROR(HLOOKUP($B15,'[1]4월누계'!$D$6:$BN$259,16,),)/1000</f>
        <v>103.39075043606761</v>
      </c>
      <c r="U15" s="41">
        <f>+IFERROR(HLOOKUP($B15,'[2]4월누계'!$F$6:$CP$99,16,),)/1000</f>
        <v>-65.455742000000242</v>
      </c>
      <c r="V15" s="42">
        <f t="shared" si="5"/>
        <v>-168.84649243606785</v>
      </c>
      <c r="W15" s="43">
        <f>+IFERROR(HLOOKUP($B15,'[3]4월누계'!$F$6:$CC$57,16,),)/1000</f>
        <v>20.936166999999912</v>
      </c>
      <c r="X15" s="44">
        <f t="shared" si="6"/>
        <v>-86.391909000000155</v>
      </c>
      <c r="Y15" s="40">
        <f>+[15]양산!$Q$85</f>
        <v>98923.463870967738</v>
      </c>
      <c r="Z15" s="41">
        <f>+[15]양산!$R$85</f>
        <v>101270.59596205303</v>
      </c>
      <c r="AA15" s="45">
        <f>+[16]양산!$Q$85</f>
        <v>94383.608336676014</v>
      </c>
      <c r="AB15" s="46">
        <f>+[15]양산!$Q$89</f>
        <v>76420.558681273789</v>
      </c>
      <c r="AC15" s="41">
        <f>+[15]양산!$R$89</f>
        <v>78769.749939187546</v>
      </c>
      <c r="AD15" s="47">
        <f>+[16]양산!$Q$89</f>
        <v>73513.548666354705</v>
      </c>
      <c r="AE15" s="46">
        <f t="shared" si="7"/>
        <v>22502.905189693949</v>
      </c>
      <c r="AF15" s="41">
        <f t="shared" si="7"/>
        <v>22500.846022865488</v>
      </c>
      <c r="AG15" s="47">
        <f t="shared" si="7"/>
        <v>20870.059670321309</v>
      </c>
      <c r="AH15" s="15"/>
      <c r="AI15" s="16"/>
      <c r="AJ15" s="453"/>
      <c r="AK15" s="457"/>
      <c r="AO15"/>
      <c r="AP15"/>
      <c r="AQ15"/>
      <c r="AR15"/>
      <c r="AS15"/>
    </row>
    <row r="16" spans="1:45" s="6" customFormat="1" ht="22.5" customHeight="1" x14ac:dyDescent="0.3">
      <c r="B16" s="6" t="s">
        <v>26</v>
      </c>
      <c r="G16" s="304" t="str">
        <f t="shared" si="1"/>
        <v>창원</v>
      </c>
      <c r="H16" s="69"/>
      <c r="I16" s="70" t="s">
        <v>26</v>
      </c>
      <c r="J16" s="40">
        <f>+IFERROR(HLOOKUP($B16,'[1]4월누계'!$D$6:$BN$259,2,),)/1000</f>
        <v>41.999999999999993</v>
      </c>
      <c r="K16" s="41">
        <f>+IFERROR(HLOOKUP($B16,'[2]4월누계'!$F$6:$CP$99,2,),)/1000</f>
        <v>37.152999999999999</v>
      </c>
      <c r="L16" s="42">
        <f t="shared" si="0"/>
        <v>-4.8469999999999942</v>
      </c>
      <c r="M16" s="43">
        <f>+IFERROR(HLOOKUP($B16,'[3]4월누계'!$F$6:$CC$57,2,),)/1000</f>
        <v>43.261000000000003</v>
      </c>
      <c r="N16" s="44">
        <f t="shared" si="2"/>
        <v>-6.1080000000000041</v>
      </c>
      <c r="O16" s="40">
        <f>+IFERROR(HLOOKUP($B16,'[1]4월누계'!$D$6:$BN$259,3,),)/1000</f>
        <v>4100.8191099959095</v>
      </c>
      <c r="P16" s="41">
        <f>+IFERROR(HLOOKUP($B16,'[2]4월누계'!$F$6:$CP$99,3,),)/1000</f>
        <v>3585.0197000000003</v>
      </c>
      <c r="Q16" s="42">
        <f t="shared" si="3"/>
        <v>-515.79940999590917</v>
      </c>
      <c r="R16" s="43">
        <f>+IFERROR(HLOOKUP($B16,'[3]4월누계'!$F$6:$CC$57,3,),)/1000</f>
        <v>4266.6756299999997</v>
      </c>
      <c r="S16" s="44">
        <f t="shared" si="4"/>
        <v>-681.65592999999944</v>
      </c>
      <c r="T16" s="40">
        <f>+IFERROR(HLOOKUP($B16,'[1]4월누계'!$D$6:$BN$259,16,),)/1000</f>
        <v>110.51912068725822</v>
      </c>
      <c r="U16" s="41">
        <f>+IFERROR(HLOOKUP($B16,'[2]4월누계'!$F$6:$CP$99,16,),)/1000</f>
        <v>82.022062999999875</v>
      </c>
      <c r="V16" s="42">
        <f t="shared" si="5"/>
        <v>-28.497057687258348</v>
      </c>
      <c r="W16" s="43">
        <f>+IFERROR(HLOOKUP($B16,'[3]4월누계'!$F$6:$CC$57,16,),)/1000</f>
        <v>332.12888100000038</v>
      </c>
      <c r="X16" s="44">
        <f t="shared" si="6"/>
        <v>-250.10681800000049</v>
      </c>
      <c r="Y16" s="40">
        <f>+[15]창원!$Q$85</f>
        <v>97638.550237997842</v>
      </c>
      <c r="Z16" s="41">
        <f>+[15]창원!$R$85</f>
        <v>96493.411030064875</v>
      </c>
      <c r="AA16" s="45">
        <f>+[16]창원!$Q$85</f>
        <v>98626.375488315112</v>
      </c>
      <c r="AB16" s="46">
        <f>+[15]창원!$Q$89</f>
        <v>77956.032036449353</v>
      </c>
      <c r="AC16" s="41">
        <f>+[15]창원!$R$89</f>
        <v>74419.601082012217</v>
      </c>
      <c r="AD16" s="47">
        <f>+[16]창원!$Q$89</f>
        <v>74300.810730218902</v>
      </c>
      <c r="AE16" s="46">
        <f t="shared" si="7"/>
        <v>19682.51820154849</v>
      </c>
      <c r="AF16" s="41">
        <f t="shared" si="7"/>
        <v>22073.809948052658</v>
      </c>
      <c r="AG16" s="47">
        <f t="shared" si="7"/>
        <v>24325.56475809621</v>
      </c>
      <c r="AH16" s="15"/>
      <c r="AI16" s="16"/>
      <c r="AJ16" s="453"/>
      <c r="AK16" s="457"/>
      <c r="AO16"/>
      <c r="AP16"/>
      <c r="AQ16"/>
      <c r="AR16"/>
      <c r="AS16"/>
    </row>
    <row r="17" spans="2:45" s="6" customFormat="1" ht="22.5" customHeight="1" x14ac:dyDescent="0.3">
      <c r="B17" s="6" t="s">
        <v>69</v>
      </c>
      <c r="G17" s="304" t="str">
        <f t="shared" si="1"/>
        <v>대구</v>
      </c>
      <c r="H17" s="69"/>
      <c r="I17" s="70" t="s">
        <v>69</v>
      </c>
      <c r="J17" s="40">
        <f>+IFERROR(HLOOKUP($B17,'[1]4월누계'!$D$6:$BN$259,2,),)/1000</f>
        <v>29</v>
      </c>
      <c r="K17" s="41">
        <f>+IFERROR(HLOOKUP($B17,'[2]4월누계'!$F$6:$CP$99,2,),)/1000</f>
        <v>15.971500000000001</v>
      </c>
      <c r="L17" s="42">
        <f t="shared" si="0"/>
        <v>-13.028499999999999</v>
      </c>
      <c r="M17" s="43">
        <f>+IFERROR(HLOOKUP($B17,'[3]4월누계'!$F$6:$CC$57,2,),)/1000</f>
        <v>41.921500000000002</v>
      </c>
      <c r="N17" s="44">
        <f t="shared" si="2"/>
        <v>-25.950000000000003</v>
      </c>
      <c r="O17" s="40">
        <f>+IFERROR(HLOOKUP($B17,'[1]4월누계'!$D$6:$BN$259,3,),)/1000</f>
        <v>2628.6791381169996</v>
      </c>
      <c r="P17" s="41">
        <f>+IFERROR(HLOOKUP($B17,'[2]4월누계'!$F$6:$CP$99,3,),)/1000</f>
        <v>1342.623022</v>
      </c>
      <c r="Q17" s="42">
        <f t="shared" si="3"/>
        <v>-1286.0561161169996</v>
      </c>
      <c r="R17" s="43">
        <f>+IFERROR(HLOOKUP($B17,'[3]4월누계'!$F$6:$CC$57,3,),)/1000</f>
        <v>3851.6995790000001</v>
      </c>
      <c r="S17" s="44">
        <f t="shared" si="4"/>
        <v>-2509.0765570000003</v>
      </c>
      <c r="T17" s="40">
        <f>+IFERROR(HLOOKUP($B17,'[1]4월누계'!$D$6:$BN$259,16,),)/1000</f>
        <v>-85.566446582109066</v>
      </c>
      <c r="U17" s="41">
        <f>+IFERROR(HLOOKUP($B17,'[2]4월누계'!$F$6:$CP$99,16,),)/1000</f>
        <v>-368.22257300000018</v>
      </c>
      <c r="V17" s="42">
        <f t="shared" si="5"/>
        <v>-282.65612641789113</v>
      </c>
      <c r="W17" s="43">
        <f>+IFERROR(HLOOKUP($B17,'[3]4월누계'!$F$6:$CC$57,16,),)/1000</f>
        <v>61.169039999999683</v>
      </c>
      <c r="X17" s="44">
        <f t="shared" si="6"/>
        <v>-429.39161299999989</v>
      </c>
      <c r="Y17" s="40">
        <f>+[15]대구!$Q$85</f>
        <v>90644.108210931023</v>
      </c>
      <c r="Z17" s="41">
        <f>+[15]대구!$R$85</f>
        <v>84063.677300190961</v>
      </c>
      <c r="AA17" s="45">
        <f>+[16]대구!$Q$85</f>
        <v>91878.85879560608</v>
      </c>
      <c r="AB17" s="46">
        <f>+[15]대구!$Q$89</f>
        <v>72016.141722525004</v>
      </c>
      <c r="AC17" s="41">
        <f>+[15]대구!$R$89</f>
        <v>70883.216291519275</v>
      </c>
      <c r="AD17" s="47">
        <f>+[16]대구!$Q$89</f>
        <v>74846.670992211642</v>
      </c>
      <c r="AE17" s="46">
        <f t="shared" si="7"/>
        <v>18627.966488406018</v>
      </c>
      <c r="AF17" s="41">
        <f t="shared" si="7"/>
        <v>13180.461008671686</v>
      </c>
      <c r="AG17" s="47">
        <f t="shared" si="7"/>
        <v>17032.187803394438</v>
      </c>
      <c r="AH17" s="15"/>
      <c r="AI17" s="16"/>
      <c r="AJ17" s="453"/>
      <c r="AK17" s="457"/>
      <c r="AO17"/>
      <c r="AP17"/>
      <c r="AQ17"/>
      <c r="AR17"/>
      <c r="AS17"/>
    </row>
    <row r="18" spans="2:45" s="6" customFormat="1" ht="22.5" customHeight="1" x14ac:dyDescent="0.3">
      <c r="B18" s="6" t="s">
        <v>70</v>
      </c>
      <c r="G18" s="306" t="str">
        <f t="shared" si="1"/>
        <v>울산</v>
      </c>
      <c r="H18" s="69"/>
      <c r="I18" s="72" t="s">
        <v>70</v>
      </c>
      <c r="J18" s="7">
        <f>+IFERROR(HLOOKUP($B18,'[1]4월누계'!$D$6:$BN$259,2,),)/1000</f>
        <v>36</v>
      </c>
      <c r="K18" s="8">
        <f>+IFERROR(HLOOKUP($B18,'[2]4월누계'!$F$6:$CP$99,2,),)/1000</f>
        <v>46.439</v>
      </c>
      <c r="L18" s="9">
        <f t="shared" si="0"/>
        <v>10.439</v>
      </c>
      <c r="M18" s="10">
        <f>+IFERROR(HLOOKUP($B18,'[3]4월누계'!$F$6:$CC$57,2,),)/1000</f>
        <v>44.811</v>
      </c>
      <c r="N18" s="11">
        <f t="shared" si="2"/>
        <v>1.6280000000000001</v>
      </c>
      <c r="O18" s="7">
        <f>+IFERROR(HLOOKUP($B18,'[1]4월누계'!$D$6:$BN$259,3,),)/1000</f>
        <v>3758.3069317999993</v>
      </c>
      <c r="P18" s="8">
        <f>+IFERROR(HLOOKUP($B18,'[2]4월누계'!$F$6:$CP$99,3,),)/1000</f>
        <v>4941.3810000000003</v>
      </c>
      <c r="Q18" s="9">
        <f t="shared" si="3"/>
        <v>1183.074068200001</v>
      </c>
      <c r="R18" s="10">
        <f>+IFERROR(HLOOKUP($B18,'[3]4월누계'!$F$6:$CC$57,3,),)/1000</f>
        <v>4723.1275999999998</v>
      </c>
      <c r="S18" s="11">
        <f t="shared" si="4"/>
        <v>218.25340000000051</v>
      </c>
      <c r="T18" s="7">
        <f>+IFERROR(HLOOKUP($B18,'[1]4월누계'!$D$6:$BN$259,16,),)/1000</f>
        <v>49.217037921835029</v>
      </c>
      <c r="U18" s="8">
        <f>+IFERROR(HLOOKUP($B18,'[2]4월누계'!$F$6:$CP$99,16,),)/1000</f>
        <v>305.0152980000002</v>
      </c>
      <c r="V18" s="9">
        <f t="shared" si="5"/>
        <v>255.79826007816519</v>
      </c>
      <c r="W18" s="10">
        <f>+IFERROR(HLOOKUP($B18,'[3]4월누계'!$F$6:$CC$57,16,),)/1000</f>
        <v>419.25622299999964</v>
      </c>
      <c r="X18" s="11">
        <f t="shared" si="6"/>
        <v>-114.24092499999944</v>
      </c>
      <c r="Y18" s="7">
        <f>+[15]울산!$Q$85</f>
        <v>104397.41477222221</v>
      </c>
      <c r="Z18" s="8">
        <f>+[15]울산!$R$85</f>
        <v>106405.84422575853</v>
      </c>
      <c r="AA18" s="12">
        <f>+[16]울산!$Q$85</f>
        <v>105401.07562875186</v>
      </c>
      <c r="AB18" s="13">
        <f>+[15]울산!$Q$89</f>
        <v>85377.1750460287</v>
      </c>
      <c r="AC18" s="8">
        <f>+[15]울산!$R$89</f>
        <v>85866.295905853985</v>
      </c>
      <c r="AD18" s="14">
        <f>+[16]울산!$Q$89</f>
        <v>83489.311687732654</v>
      </c>
      <c r="AE18" s="13">
        <f t="shared" si="7"/>
        <v>19020.239726193511</v>
      </c>
      <c r="AF18" s="8">
        <f t="shared" si="7"/>
        <v>20539.548319904541</v>
      </c>
      <c r="AG18" s="14">
        <f t="shared" si="7"/>
        <v>21911.763941019206</v>
      </c>
      <c r="AH18" s="15"/>
      <c r="AI18" s="16"/>
      <c r="AJ18" s="453"/>
      <c r="AK18" s="457"/>
      <c r="AO18"/>
      <c r="AP18"/>
      <c r="AQ18"/>
      <c r="AR18"/>
      <c r="AS18"/>
    </row>
    <row r="19" spans="2:45" s="6" customFormat="1" ht="22.5" customHeight="1" x14ac:dyDescent="0.3">
      <c r="B19" s="6" t="s">
        <v>75</v>
      </c>
      <c r="G19" s="306" t="str">
        <f t="shared" si="1"/>
        <v>아산</v>
      </c>
      <c r="H19" s="69"/>
      <c r="I19" s="70" t="s">
        <v>27</v>
      </c>
      <c r="J19" s="40">
        <f>+IFERROR(HLOOKUP($B19,'[1]4월누계'!$D$6:$BN$259,2,),)/1000</f>
        <v>65</v>
      </c>
      <c r="K19" s="41">
        <f>+IFERROR(HLOOKUP($B19,'[2]4월누계'!$F$6:$CP$99,2,),)/1000</f>
        <v>76.852000000000004</v>
      </c>
      <c r="L19" s="42">
        <f t="shared" si="0"/>
        <v>11.852000000000004</v>
      </c>
      <c r="M19" s="43">
        <f>+IFERROR(HLOOKUP($B19,'[3]4월누계'!$F$6:$CC$57,2,),)/1000</f>
        <v>81.34</v>
      </c>
      <c r="N19" s="44">
        <f t="shared" si="2"/>
        <v>-4.4879999999999995</v>
      </c>
      <c r="O19" s="40">
        <f>+IFERROR(HLOOKUP($B19,'[1]4월누계'!$D$6:$BN$259,3,),)/1000</f>
        <v>6379.6834000000008</v>
      </c>
      <c r="P19" s="41">
        <f>+IFERROR(HLOOKUP($B19,'[2]4월누계'!$F$6:$CP$99,3,),)/1000</f>
        <v>7706.1501490000001</v>
      </c>
      <c r="Q19" s="42">
        <f t="shared" si="3"/>
        <v>1326.4667489999993</v>
      </c>
      <c r="R19" s="43">
        <f>+IFERROR(HLOOKUP($B19,'[3]4월누계'!$F$6:$CC$57,3,),)/1000</f>
        <v>8067.0730510000012</v>
      </c>
      <c r="S19" s="44">
        <f t="shared" si="4"/>
        <v>-360.92290200000116</v>
      </c>
      <c r="T19" s="40">
        <f>+IFERROR(HLOOKUP($B19,'[1]4월누계'!$D$6:$BN$259,16,),)/1000</f>
        <v>189.96502210952019</v>
      </c>
      <c r="U19" s="41">
        <f>+IFERROR(HLOOKUP($B19,'[2]4월누계'!$F$6:$CP$99,16,),)/1000</f>
        <v>197.60790200000133</v>
      </c>
      <c r="V19" s="42">
        <f t="shared" si="5"/>
        <v>7.6428798904811401</v>
      </c>
      <c r="W19" s="43">
        <f>+IFERROR(HLOOKUP($B19,'[3]4월누계'!$F$6:$CC$57,16,),)/1000</f>
        <v>357.75960800000058</v>
      </c>
      <c r="X19" s="44">
        <f t="shared" si="6"/>
        <v>-160.15170599999925</v>
      </c>
      <c r="Y19" s="40">
        <f>+[15]아산!$Q$85</f>
        <v>98148.975384615391</v>
      </c>
      <c r="Z19" s="41">
        <f>+[15]아산!$R$85</f>
        <v>100272.60382293239</v>
      </c>
      <c r="AA19" s="45">
        <f>+[16]아산!$Q$85</f>
        <v>99154.798016997171</v>
      </c>
      <c r="AB19" s="46">
        <f>+[15]아산!$Q$89</f>
        <v>79629.586080366367</v>
      </c>
      <c r="AC19" s="41">
        <f>+[15]아산!$R$89</f>
        <v>84385.062023769278</v>
      </c>
      <c r="AD19" s="47">
        <f>+[16]아산!$Q$89</f>
        <v>82952.716250430152</v>
      </c>
      <c r="AE19" s="46">
        <f t="shared" si="7"/>
        <v>18519.389304249024</v>
      </c>
      <c r="AF19" s="41">
        <f t="shared" si="7"/>
        <v>15887.541799163111</v>
      </c>
      <c r="AG19" s="47">
        <f t="shared" si="7"/>
        <v>16202.081766567018</v>
      </c>
      <c r="AH19" s="15"/>
      <c r="AI19" s="16"/>
      <c r="AJ19" s="453"/>
      <c r="AK19" s="457"/>
      <c r="AO19"/>
      <c r="AP19"/>
      <c r="AQ19"/>
      <c r="AR19"/>
      <c r="AS19"/>
    </row>
    <row r="20" spans="2:45" s="6" customFormat="1" ht="22.5" customHeight="1" x14ac:dyDescent="0.3">
      <c r="B20" s="6" t="s">
        <v>71</v>
      </c>
      <c r="G20" s="306" t="str">
        <f t="shared" si="1"/>
        <v>전주</v>
      </c>
      <c r="H20" s="69"/>
      <c r="I20" s="70" t="s">
        <v>71</v>
      </c>
      <c r="J20" s="40">
        <f>+IFERROR(HLOOKUP($B20,'[1]4월누계'!$D$6:$BN$259,2,),)/1000</f>
        <v>32</v>
      </c>
      <c r="K20" s="41">
        <f>+IFERROR(HLOOKUP($B20,'[2]4월누계'!$F$6:$CP$99,2,),)/1000</f>
        <v>42.017499999999998</v>
      </c>
      <c r="L20" s="42">
        <f t="shared" si="0"/>
        <v>10.017499999999998</v>
      </c>
      <c r="M20" s="43">
        <f>+IFERROR(HLOOKUP($B20,'[3]4월누계'!$F$6:$CC$57,2,),)/1000</f>
        <v>60.048000000000002</v>
      </c>
      <c r="N20" s="44">
        <f t="shared" si="2"/>
        <v>-18.030500000000004</v>
      </c>
      <c r="O20" s="40">
        <f>+IFERROR(HLOOKUP($B20,'[1]4월누계'!$D$6:$BN$259,3,),)/1000</f>
        <v>3261.1280499999998</v>
      </c>
      <c r="P20" s="41">
        <f>+IFERROR(HLOOKUP($B20,'[2]4월누계'!$F$6:$CP$99,3,),)/1000</f>
        <v>4152.2829980000006</v>
      </c>
      <c r="Q20" s="42">
        <f t="shared" si="3"/>
        <v>891.15494800000079</v>
      </c>
      <c r="R20" s="43">
        <f>+IFERROR(HLOOKUP($B20,'[3]4월누계'!$F$6:$CC$57,3,),)/1000</f>
        <v>5832.2443960000001</v>
      </c>
      <c r="S20" s="44">
        <f t="shared" si="4"/>
        <v>-1679.9613979999995</v>
      </c>
      <c r="T20" s="40">
        <f>+IFERROR(HLOOKUP($B20,'[1]4월누계'!$D$6:$BN$259,16,),)/1000</f>
        <v>121.85628641287822</v>
      </c>
      <c r="U20" s="41">
        <f>+IFERROR(HLOOKUP($B20,'[2]4월누계'!$F$6:$CP$99,16,),)/1000</f>
        <v>108.54904200000004</v>
      </c>
      <c r="V20" s="42">
        <f t="shared" si="5"/>
        <v>-13.307244412878177</v>
      </c>
      <c r="W20" s="43">
        <f>+IFERROR(HLOOKUP($B20,'[3]4월누계'!$F$6:$CC$57,16,),)/1000</f>
        <v>686.34031599999958</v>
      </c>
      <c r="X20" s="44">
        <f t="shared" si="6"/>
        <v>-577.79127399999948</v>
      </c>
      <c r="Y20" s="40">
        <f>+[15]전주!$Q$85</f>
        <v>101910.25156249999</v>
      </c>
      <c r="Z20" s="41">
        <f>+[15]전주!$R$85</f>
        <v>98832.978688426942</v>
      </c>
      <c r="AA20" s="45">
        <f>+[16]전주!$Q$85</f>
        <v>97128.152836716821</v>
      </c>
      <c r="AB20" s="46">
        <f>+[15]전주!$Q$89</f>
        <v>77825.030987097532</v>
      </c>
      <c r="AC20" s="41">
        <f>+[15]전주!$R$89</f>
        <v>80717.133894651604</v>
      </c>
      <c r="AD20" s="47">
        <f>+[16]전주!$Q$89</f>
        <v>75272.977245648683</v>
      </c>
      <c r="AE20" s="46">
        <f t="shared" si="7"/>
        <v>24085.220575402462</v>
      </c>
      <c r="AF20" s="41">
        <f t="shared" si="7"/>
        <v>18115.844793775337</v>
      </c>
      <c r="AG20" s="47">
        <f t="shared" si="7"/>
        <v>21855.175591068139</v>
      </c>
      <c r="AH20" s="15"/>
      <c r="AI20" s="16"/>
      <c r="AJ20" s="453"/>
      <c r="AK20" s="457"/>
      <c r="AO20"/>
      <c r="AP20"/>
      <c r="AQ20"/>
      <c r="AR20"/>
      <c r="AS20"/>
    </row>
    <row r="21" spans="2:45" s="6" customFormat="1" ht="22.5" customHeight="1" x14ac:dyDescent="0.3">
      <c r="B21" s="6" t="s">
        <v>72</v>
      </c>
      <c r="G21" s="306" t="str">
        <f t="shared" si="1"/>
        <v>군산</v>
      </c>
      <c r="H21" s="69"/>
      <c r="I21" s="70" t="s">
        <v>72</v>
      </c>
      <c r="J21" s="40">
        <f>+IFERROR(HLOOKUP($B21,'[1]4월누계'!$D$6:$BN$259,2,),)/1000</f>
        <v>14.5</v>
      </c>
      <c r="K21" s="41">
        <f>+IFERROR(HLOOKUP($B21,'[2]4월누계'!$F$6:$CP$99,2,),)/1000</f>
        <v>14.195499999999999</v>
      </c>
      <c r="L21" s="42">
        <f t="shared" si="0"/>
        <v>-0.30450000000000088</v>
      </c>
      <c r="M21" s="43">
        <f>+IFERROR(HLOOKUP($B21,'[3]4월누계'!$F$6:$CC$57,2,),)/1000</f>
        <v>19.001999999999999</v>
      </c>
      <c r="N21" s="44">
        <f t="shared" si="2"/>
        <v>-4.8064999999999998</v>
      </c>
      <c r="O21" s="40">
        <f>+IFERROR(HLOOKUP($B21,'[1]4월누계'!$D$6:$BN$259,3,),)/1000</f>
        <v>1629.9828699999996</v>
      </c>
      <c r="P21" s="41">
        <f>+IFERROR(HLOOKUP($B21,'[2]4월누계'!$F$6:$CP$99,3,),)/1000</f>
        <v>1573.8503659999999</v>
      </c>
      <c r="Q21" s="42">
        <f t="shared" si="3"/>
        <v>-56.132503999999699</v>
      </c>
      <c r="R21" s="43">
        <f>+IFERROR(HLOOKUP($B21,'[3]4월누계'!$F$6:$CC$57,3,),)/1000</f>
        <v>2081.4382770000002</v>
      </c>
      <c r="S21" s="44">
        <f t="shared" si="4"/>
        <v>-507.5879110000003</v>
      </c>
      <c r="T21" s="40">
        <f>+IFERROR(HLOOKUP($B21,'[1]4월누계'!$D$6:$BN$259,16,),)/1000</f>
        <v>198.7391389602173</v>
      </c>
      <c r="U21" s="41">
        <f>+IFERROR(HLOOKUP($B21,'[2]4월누계'!$F$6:$CP$99,16,),)/1000</f>
        <v>168.49539500000003</v>
      </c>
      <c r="V21" s="42">
        <f t="shared" si="5"/>
        <v>-30.243743960217273</v>
      </c>
      <c r="W21" s="43">
        <f>+IFERROR(HLOOKUP($B21,'[3]4월누계'!$F$6:$CC$57,16,),)/1000</f>
        <v>373.77420199999983</v>
      </c>
      <c r="X21" s="44">
        <f t="shared" si="6"/>
        <v>-205.2788069999998</v>
      </c>
      <c r="Y21" s="40">
        <f>+[15]군산!$Q$85</f>
        <v>112412.61172413791</v>
      </c>
      <c r="Z21" s="41">
        <f>+[15]군산!$R$85</f>
        <v>110872.79757626999</v>
      </c>
      <c r="AA21" s="45">
        <f>+[16]군산!$Q$85</f>
        <v>109537.85269971582</v>
      </c>
      <c r="AB21" s="46">
        <f>+[15]군산!$Q$89</f>
        <v>74333.175979755106</v>
      </c>
      <c r="AC21" s="41">
        <f>+[15]군산!$R$89</f>
        <v>74513.569740451567</v>
      </c>
      <c r="AD21" s="47">
        <f>+[16]군산!$Q$89</f>
        <v>72378.669350594675</v>
      </c>
      <c r="AE21" s="46">
        <f t="shared" si="7"/>
        <v>38079.435744382805</v>
      </c>
      <c r="AF21" s="41">
        <f t="shared" si="7"/>
        <v>36359.227835818427</v>
      </c>
      <c r="AG21" s="47">
        <f t="shared" si="7"/>
        <v>37159.183349121144</v>
      </c>
      <c r="AH21" s="15"/>
      <c r="AI21" s="16"/>
      <c r="AJ21" s="453"/>
      <c r="AK21" s="457"/>
      <c r="AO21"/>
      <c r="AP21"/>
      <c r="AQ21"/>
      <c r="AR21"/>
      <c r="AS21"/>
    </row>
    <row r="22" spans="2:45" s="6" customFormat="1" ht="22.5" customHeight="1" x14ac:dyDescent="0.3">
      <c r="B22" s="6" t="s">
        <v>73</v>
      </c>
      <c r="G22" s="306" t="str">
        <f t="shared" si="1"/>
        <v>원주</v>
      </c>
      <c r="H22" s="69"/>
      <c r="I22" s="70" t="s">
        <v>73</v>
      </c>
      <c r="J22" s="40">
        <f>+IFERROR(HLOOKUP($B22,'[1]4월누계'!$D$6:$BN$259,2,),)/1000</f>
        <v>13.999799999999999</v>
      </c>
      <c r="K22" s="41">
        <f>+IFERROR(HLOOKUP($B22,'[2]4월누계'!$F$6:$CP$99,2,),)/1000</f>
        <v>12.109</v>
      </c>
      <c r="L22" s="42">
        <f t="shared" si="0"/>
        <v>-1.8907999999999987</v>
      </c>
      <c r="M22" s="43">
        <f>+IFERROR(HLOOKUP($B22,'[3]4월누계'!$F$6:$CC$57,2,),)/1000</f>
        <v>8.4380000000000006</v>
      </c>
      <c r="N22" s="44">
        <f t="shared" si="2"/>
        <v>3.6709999999999994</v>
      </c>
      <c r="O22" s="40">
        <f>+IFERROR(HLOOKUP($B22,'[1]4월누계'!$D$6:$BN$259,3,),)/1000</f>
        <v>1579.0681680280002</v>
      </c>
      <c r="P22" s="41">
        <f>+IFERROR(HLOOKUP($B22,'[2]4월누계'!$F$6:$CP$99,3,),)/1000</f>
        <v>1451.93246</v>
      </c>
      <c r="Q22" s="42">
        <f t="shared" si="3"/>
        <v>-127.13570802800018</v>
      </c>
      <c r="R22" s="43">
        <f>+IFERROR(HLOOKUP($B22,'[3]4월누계'!$F$6:$CC$57,3,),)/1000</f>
        <v>906.76150399999995</v>
      </c>
      <c r="S22" s="44">
        <f t="shared" si="4"/>
        <v>545.17095600000005</v>
      </c>
      <c r="T22" s="40">
        <f>+IFERROR(HLOOKUP($B22,'[1]4월누계'!$D$6:$BN$259,16,),)/1000</f>
        <v>177.06889138587104</v>
      </c>
      <c r="U22" s="41">
        <f>+IFERROR(HLOOKUP($B22,'[2]4월누계'!$F$6:$CP$99,16,),)/1000</f>
        <v>179.33825300000001</v>
      </c>
      <c r="V22" s="42">
        <f t="shared" si="5"/>
        <v>2.2693616141289681</v>
      </c>
      <c r="W22" s="43">
        <f>+IFERROR(HLOOKUP($B22,'[3]4월누계'!$F$6:$CC$57,16,),)/1000</f>
        <v>-61.959749000000159</v>
      </c>
      <c r="X22" s="44">
        <f t="shared" si="6"/>
        <v>241.29800200000017</v>
      </c>
      <c r="Y22" s="40">
        <f>+[15]원주!$Q$85</f>
        <v>112792.19474763927</v>
      </c>
      <c r="Z22" s="41">
        <f>+[15]원주!$R$85</f>
        <v>119902.70643149242</v>
      </c>
      <c r="AA22" s="45">
        <f>+[16]원주!$Q$85</f>
        <v>107461.6620052145</v>
      </c>
      <c r="AB22" s="46">
        <f>+[15]원주!$Q$89</f>
        <v>72749.566230145865</v>
      </c>
      <c r="AC22" s="41">
        <f>+[15]원주!$R$89</f>
        <v>77051.673427237794</v>
      </c>
      <c r="AD22" s="47">
        <f>+[16]원주!$Q$89</f>
        <v>73849.071225408872</v>
      </c>
      <c r="AE22" s="46">
        <f t="shared" si="7"/>
        <v>40042.628517493402</v>
      </c>
      <c r="AF22" s="41">
        <f t="shared" si="7"/>
        <v>42851.033004254627</v>
      </c>
      <c r="AG22" s="47">
        <f t="shared" si="7"/>
        <v>33612.590779805629</v>
      </c>
      <c r="AH22" s="15"/>
      <c r="AI22" s="16"/>
      <c r="AJ22" s="453"/>
      <c r="AK22" s="457"/>
      <c r="AO22"/>
      <c r="AP22"/>
      <c r="AQ22"/>
      <c r="AR22"/>
      <c r="AS22"/>
    </row>
    <row r="23" spans="2:45" s="6" customFormat="1" ht="22.5" customHeight="1" x14ac:dyDescent="0.3">
      <c r="B23" s="6" t="s">
        <v>74</v>
      </c>
      <c r="F23" s="79">
        <f>+K27-J27</f>
        <v>-39.145299999999907</v>
      </c>
      <c r="G23" s="304" t="str">
        <f t="shared" si="1"/>
        <v>제주</v>
      </c>
      <c r="H23" s="69"/>
      <c r="I23" s="70" t="s">
        <v>74</v>
      </c>
      <c r="J23" s="40">
        <f>+IFERROR(HLOOKUP($B23,'[1]4월누계'!$D$6:$BN$259,2,),)/1000</f>
        <v>23</v>
      </c>
      <c r="K23" s="41">
        <f>+IFERROR(HLOOKUP($B23,'[2]4월누계'!$F$6:$CP$99,2,),)/1000</f>
        <v>15.169</v>
      </c>
      <c r="L23" s="42">
        <f t="shared" si="0"/>
        <v>-7.8309999999999995</v>
      </c>
      <c r="M23" s="43">
        <f>+IFERROR(HLOOKUP($B23,'[3]4월누계'!$F$6:$CC$57,2,),)/1000</f>
        <v>23.994499999999999</v>
      </c>
      <c r="N23" s="44">
        <f t="shared" si="2"/>
        <v>-8.8254999999999981</v>
      </c>
      <c r="O23" s="40">
        <f>+IFERROR(HLOOKUP($B23,'[1]4월누계'!$D$6:$BN$259,3,),)/1000</f>
        <v>2801.0064400000006</v>
      </c>
      <c r="P23" s="41">
        <f>+IFERROR(HLOOKUP($B23,'[2]4월누계'!$F$6:$CP$99,3,),)/1000</f>
        <v>1936.418469</v>
      </c>
      <c r="Q23" s="42">
        <f t="shared" si="3"/>
        <v>-864.58797100000061</v>
      </c>
      <c r="R23" s="43">
        <f>+IFERROR(HLOOKUP($B23,'[3]4월누계'!$F$6:$CC$57,3,),)/1000</f>
        <v>2928.0382960000002</v>
      </c>
      <c r="S23" s="44">
        <f t="shared" si="4"/>
        <v>-991.61982700000021</v>
      </c>
      <c r="T23" s="40">
        <f>+IFERROR(HLOOKUP($B23,'[1]4월누계'!$D$6:$BN$259,16,),)/1000</f>
        <v>207.57528204656415</v>
      </c>
      <c r="U23" s="41">
        <f>+IFERROR(HLOOKUP($B23,'[2]4월누계'!$F$6:$CP$99,16,),)/1000</f>
        <v>46.803205000000148</v>
      </c>
      <c r="V23" s="42">
        <f t="shared" si="5"/>
        <v>-160.77207704656399</v>
      </c>
      <c r="W23" s="43">
        <f>+IFERROR(HLOOKUP($B23,'[3]4월누계'!$F$6:$CC$57,16,),)/1000</f>
        <v>355.76526199999995</v>
      </c>
      <c r="X23" s="44">
        <f t="shared" si="6"/>
        <v>-308.96205699999979</v>
      </c>
      <c r="Y23" s="40">
        <f>+[15]제주!$Q$85</f>
        <v>121782.88869565219</v>
      </c>
      <c r="Z23" s="41">
        <f>+[15]제주!$R$85</f>
        <v>127613.44169493781</v>
      </c>
      <c r="AA23" s="45">
        <f>+[16]제주!$Q$85</f>
        <v>121628.83989398679</v>
      </c>
      <c r="AB23" s="46">
        <f>+[15]제주!$Q$89</f>
        <v>94471.122576137277</v>
      </c>
      <c r="AC23" s="41">
        <f>+[15]제주!$R$89</f>
        <v>98913.413341314183</v>
      </c>
      <c r="AD23" s="47">
        <f>+[16]제주!$Q$89</f>
        <v>90280.53501911716</v>
      </c>
      <c r="AE23" s="46">
        <f t="shared" si="7"/>
        <v>27311.766119514912</v>
      </c>
      <c r="AF23" s="41">
        <f t="shared" si="7"/>
        <v>28700.028353623624</v>
      </c>
      <c r="AG23" s="47">
        <f t="shared" si="7"/>
        <v>31348.304874869631</v>
      </c>
      <c r="AH23" s="15"/>
      <c r="AI23" s="16"/>
      <c r="AJ23" s="453"/>
      <c r="AK23" s="457"/>
      <c r="AO23"/>
      <c r="AP23"/>
      <c r="AQ23"/>
      <c r="AR23"/>
      <c r="AS23"/>
    </row>
    <row r="24" spans="2:45" s="6" customFormat="1" ht="22.5" customHeight="1" x14ac:dyDescent="0.3">
      <c r="F24" s="463">
        <f>+K24/J24</f>
        <v>0.99865086206896558</v>
      </c>
      <c r="G24" s="307" t="str">
        <f t="shared" si="1"/>
        <v>수도권</v>
      </c>
      <c r="H24" s="69"/>
      <c r="I24" s="73" t="s">
        <v>42</v>
      </c>
      <c r="J24" s="20">
        <f>SUM(J7:J10)</f>
        <v>348</v>
      </c>
      <c r="K24" s="17">
        <f>SUM(K7:K10)</f>
        <v>347.53050000000002</v>
      </c>
      <c r="L24" s="18">
        <f t="shared" si="0"/>
        <v>-0.46949999999998226</v>
      </c>
      <c r="M24" s="22">
        <f>SUM(M7:M10)</f>
        <v>324.39000000000004</v>
      </c>
      <c r="N24" s="19">
        <f t="shared" si="2"/>
        <v>23.140499999999975</v>
      </c>
      <c r="O24" s="20">
        <f>SUM(O7:O10)</f>
        <v>34467.993195181341</v>
      </c>
      <c r="P24" s="17">
        <f>SUM(P7:P10)</f>
        <v>34929.413072999996</v>
      </c>
      <c r="Q24" s="18">
        <f t="shared" si="3"/>
        <v>461.41987781865464</v>
      </c>
      <c r="R24" s="22">
        <f>SUM(R7:R10)</f>
        <v>31146.835737999998</v>
      </c>
      <c r="S24" s="19">
        <f t="shared" si="4"/>
        <v>3782.5773349999981</v>
      </c>
      <c r="T24" s="20">
        <f>SUM(T7:T10)</f>
        <v>1557.7925271178246</v>
      </c>
      <c r="U24" s="17">
        <f>SUM(U7:U10)</f>
        <v>869.31395999999904</v>
      </c>
      <c r="V24" s="18">
        <f t="shared" si="5"/>
        <v>-688.47856711782561</v>
      </c>
      <c r="W24" s="22">
        <f>SUM(W7:W10)</f>
        <v>645.89535400000204</v>
      </c>
      <c r="X24" s="19">
        <f t="shared" si="6"/>
        <v>223.418605999997</v>
      </c>
      <c r="Y24" s="20">
        <f>+[15]수도권!$Q$85</f>
        <v>99045.957457417637</v>
      </c>
      <c r="Z24" s="17">
        <f>+[15]수도권!$R$85</f>
        <v>100591.00693052493</v>
      </c>
      <c r="AA24" s="21">
        <f>+[16]수도권!$Q$85</f>
        <v>96029.099317575528</v>
      </c>
      <c r="AB24" s="25">
        <f>+[15]수도권!$Q$89</f>
        <v>82089.853526363877</v>
      </c>
      <c r="AC24" s="17">
        <f>+[15]수도권!$R$89</f>
        <v>85731.4489734628</v>
      </c>
      <c r="AD24" s="26">
        <f>+[16]수도권!$Q$89</f>
        <v>81690.858551438243</v>
      </c>
      <c r="AE24" s="25">
        <f t="shared" si="7"/>
        <v>16956.10393105376</v>
      </c>
      <c r="AF24" s="17">
        <f t="shared" si="7"/>
        <v>14859.557957062134</v>
      </c>
      <c r="AG24" s="26">
        <f t="shared" si="7"/>
        <v>14338.240766137285</v>
      </c>
      <c r="AH24" s="15"/>
      <c r="AI24" s="16"/>
      <c r="AJ24" s="453"/>
      <c r="AK24" s="457"/>
      <c r="AO24"/>
      <c r="AP24"/>
      <c r="AQ24"/>
      <c r="AR24"/>
      <c r="AS24"/>
    </row>
    <row r="25" spans="2:45" s="6" customFormat="1" ht="22.5" customHeight="1" x14ac:dyDescent="0.3">
      <c r="F25" s="463">
        <f>+K25/J25</f>
        <v>0.87370249999999994</v>
      </c>
      <c r="G25" s="304" t="str">
        <f t="shared" si="1"/>
        <v>영남권</v>
      </c>
      <c r="H25" s="69"/>
      <c r="I25" s="73" t="s">
        <v>43</v>
      </c>
      <c r="J25" s="20">
        <f>SUM(J11:J18)</f>
        <v>400</v>
      </c>
      <c r="K25" s="17">
        <f>SUM(K11:K18)</f>
        <v>349.48099999999999</v>
      </c>
      <c r="L25" s="18">
        <f t="shared" si="0"/>
        <v>-50.519000000000005</v>
      </c>
      <c r="M25" s="22">
        <f>SUM(M11:M18)</f>
        <v>414.226</v>
      </c>
      <c r="N25" s="19">
        <f t="shared" si="2"/>
        <v>-64.745000000000005</v>
      </c>
      <c r="O25" s="20">
        <f>SUM(O11:O18)</f>
        <v>40805.4670186929</v>
      </c>
      <c r="P25" s="17">
        <f>SUM(P11:P18)</f>
        <v>36785.387032000006</v>
      </c>
      <c r="Q25" s="18">
        <f t="shared" si="3"/>
        <v>-4020.0799866928937</v>
      </c>
      <c r="R25" s="22">
        <f>SUM(R11:R18)</f>
        <v>41176.170363999998</v>
      </c>
      <c r="S25" s="19">
        <f t="shared" si="4"/>
        <v>-4390.7833319999918</v>
      </c>
      <c r="T25" s="20">
        <f>SUM(T11:T18)</f>
        <v>2504.1529367009348</v>
      </c>
      <c r="U25" s="17">
        <f>SUM(U11:U18)</f>
        <v>1501.4397900000006</v>
      </c>
      <c r="V25" s="18">
        <f t="shared" si="5"/>
        <v>-1002.7131467009342</v>
      </c>
      <c r="W25" s="22">
        <f>SUM(W11:W18)</f>
        <v>2466.0915149999992</v>
      </c>
      <c r="X25" s="19">
        <f t="shared" si="6"/>
        <v>-964.65172499999858</v>
      </c>
      <c r="Y25" s="20">
        <f>+[15]영남권!$Q$85</f>
        <v>102013.66754673226</v>
      </c>
      <c r="Z25" s="17">
        <f>+[15]영남권!$R$85</f>
        <v>105256.6280627559</v>
      </c>
      <c r="AA25" s="21">
        <f>+[16]영남권!$Q$85</f>
        <v>99408.906498250755</v>
      </c>
      <c r="AB25" s="25">
        <f>+[15]영남권!$Q$89</f>
        <v>80620.509755895735</v>
      </c>
      <c r="AC25" s="17">
        <f>+[15]영남권!$R$89</f>
        <v>83747.633048547024</v>
      </c>
      <c r="AD25" s="26">
        <f>+[16]영남권!$Q$89</f>
        <v>79437.509436927983</v>
      </c>
      <c r="AE25" s="25">
        <f t="shared" si="7"/>
        <v>21393.157790836529</v>
      </c>
      <c r="AF25" s="17">
        <f t="shared" si="7"/>
        <v>21508.995014208878</v>
      </c>
      <c r="AG25" s="26">
        <f t="shared" si="7"/>
        <v>19971.397061322772</v>
      </c>
      <c r="AH25" s="15"/>
      <c r="AI25" s="16"/>
      <c r="AJ25" s="453"/>
      <c r="AK25" s="457"/>
      <c r="AO25"/>
      <c r="AP25"/>
      <c r="AQ25"/>
      <c r="AR25"/>
      <c r="AS25"/>
    </row>
    <row r="26" spans="2:45" s="6" customFormat="1" ht="22.5" customHeight="1" x14ac:dyDescent="0.3">
      <c r="F26" s="463">
        <f>+K26/J26</f>
        <v>1.0797522959626884</v>
      </c>
      <c r="G26" s="304" t="str">
        <f t="shared" si="1"/>
        <v>중부권</v>
      </c>
      <c r="H26" s="69"/>
      <c r="I26" s="73" t="s">
        <v>104</v>
      </c>
      <c r="J26" s="20">
        <f>SUM(J19:J23)</f>
        <v>148.49979999999999</v>
      </c>
      <c r="K26" s="17">
        <f>SUM(K19:K23)</f>
        <v>160.34300000000002</v>
      </c>
      <c r="L26" s="18">
        <f t="shared" si="0"/>
        <v>11.843200000000024</v>
      </c>
      <c r="M26" s="22">
        <f>SUM(M19:M23)</f>
        <v>192.82249999999999</v>
      </c>
      <c r="N26" s="19">
        <f t="shared" si="2"/>
        <v>-32.479499999999973</v>
      </c>
      <c r="O26" s="20">
        <f>SUM(O19:O23)</f>
        <v>15650.868928028001</v>
      </c>
      <c r="P26" s="17">
        <f>SUM(P19:P23)</f>
        <v>16820.634441999999</v>
      </c>
      <c r="Q26" s="18">
        <f t="shared" si="3"/>
        <v>1169.7655139719973</v>
      </c>
      <c r="R26" s="22">
        <f>SUM(R19:R23)</f>
        <v>19815.555523999999</v>
      </c>
      <c r="S26" s="19">
        <f t="shared" si="4"/>
        <v>-2994.9210820000008</v>
      </c>
      <c r="T26" s="20">
        <f>SUM(T19:T23)</f>
        <v>895.20462091505078</v>
      </c>
      <c r="U26" s="17">
        <f>SUM(U19:U23)</f>
        <v>700.79379700000163</v>
      </c>
      <c r="V26" s="18">
        <f t="shared" si="5"/>
        <v>-194.41082391504915</v>
      </c>
      <c r="W26" s="22">
        <f>SUM(W19:W23)</f>
        <v>1711.6796389999997</v>
      </c>
      <c r="X26" s="19">
        <f t="shared" si="6"/>
        <v>-1010.8858419999981</v>
      </c>
      <c r="Y26" s="20">
        <f>+[15]중부권!$Q$85</f>
        <v>105393.19869809925</v>
      </c>
      <c r="Z26" s="17">
        <f>+[15]중부권!$R$85</f>
        <v>104884.70632824452</v>
      </c>
      <c r="AA26" s="21">
        <f>+[16]중부권!$Q$85</f>
        <v>102615.38085832004</v>
      </c>
      <c r="AB26" s="25">
        <f>+[15]중부권!$Q$89</f>
        <v>80373.6458572829</v>
      </c>
      <c r="AC26" s="17">
        <f>+[15]중부권!$R$89</f>
        <v>83357.543139383968</v>
      </c>
      <c r="AD26" s="26">
        <f>+[16]중부권!$Q$89</f>
        <v>79981.590716804669</v>
      </c>
      <c r="AE26" s="25">
        <f t="shared" si="7"/>
        <v>25019.552840816352</v>
      </c>
      <c r="AF26" s="17">
        <f t="shared" si="7"/>
        <v>21527.163188860548</v>
      </c>
      <c r="AG26" s="26">
        <f t="shared" si="7"/>
        <v>22633.790141515376</v>
      </c>
      <c r="AH26" s="15"/>
      <c r="AI26" s="16"/>
      <c r="AJ26" s="453"/>
      <c r="AK26" s="457"/>
      <c r="AO26"/>
      <c r="AP26"/>
      <c r="AQ26"/>
      <c r="AR26"/>
      <c r="AS26"/>
    </row>
    <row r="27" spans="2:45" s="1" customFormat="1" ht="22.5" customHeight="1" x14ac:dyDescent="0.3">
      <c r="B27" s="23"/>
      <c r="F27" s="452">
        <f>+K27/M27</f>
        <v>0.92046281101758209</v>
      </c>
      <c r="G27" s="306">
        <f>+K27/J27</f>
        <v>0.95633540576361542</v>
      </c>
      <c r="H27" s="238" t="s">
        <v>93</v>
      </c>
      <c r="I27" s="239"/>
      <c r="J27" s="240">
        <f>SUM(J24:J26)</f>
        <v>896.49980000000005</v>
      </c>
      <c r="K27" s="241">
        <f>SUM(K24:K26)</f>
        <v>857.35450000000014</v>
      </c>
      <c r="L27" s="242">
        <f t="shared" si="0"/>
        <v>-39.145299999999907</v>
      </c>
      <c r="M27" s="243">
        <f>SUM(M24:M26)</f>
        <v>931.43849999999998</v>
      </c>
      <c r="N27" s="244">
        <f t="shared" si="2"/>
        <v>-74.083999999999833</v>
      </c>
      <c r="O27" s="240">
        <f>SUM(O24:O26)</f>
        <v>90924.329141902243</v>
      </c>
      <c r="P27" s="241">
        <f>SUM(P24:P26)</f>
        <v>88535.434546999997</v>
      </c>
      <c r="Q27" s="242">
        <f t="shared" si="3"/>
        <v>-2388.8945949022454</v>
      </c>
      <c r="R27" s="243">
        <f>SUM(R24:R26)</f>
        <v>92138.561625999995</v>
      </c>
      <c r="S27" s="244">
        <f t="shared" si="4"/>
        <v>-3603.127078999998</v>
      </c>
      <c r="T27" s="240">
        <f>SUM(T24:T26)</f>
        <v>4957.1500847338102</v>
      </c>
      <c r="U27" s="241">
        <f>SUM(U24:U26)</f>
        <v>3071.5475470000015</v>
      </c>
      <c r="V27" s="242">
        <f t="shared" si="5"/>
        <v>-1885.6025377338087</v>
      </c>
      <c r="W27" s="243">
        <f>SUM(W24:W26)</f>
        <v>4823.6665080000012</v>
      </c>
      <c r="X27" s="244">
        <f t="shared" si="6"/>
        <v>-1752.1189609999997</v>
      </c>
      <c r="Y27" s="240">
        <f>+[15]합계!$Q$85</f>
        <v>101421.47175258963</v>
      </c>
      <c r="Z27" s="241">
        <f>+[15]합계!$R$85</f>
        <v>103305.12874498099</v>
      </c>
      <c r="AA27" s="245">
        <f>+[16]합계!$Q$85</f>
        <v>98896.819799018063</v>
      </c>
      <c r="AB27" s="246">
        <f>+[15]합계!$Q$89</f>
        <v>81149.98270452513</v>
      </c>
      <c r="AC27" s="241">
        <f>+[15]합계!$R$89</f>
        <v>84474.277698653837</v>
      </c>
      <c r="AD27" s="247">
        <f>+[16]합계!$Q$89</f>
        <v>80327.119045338084</v>
      </c>
      <c r="AE27" s="246">
        <f t="shared" si="7"/>
        <v>20271.489048064497</v>
      </c>
      <c r="AF27" s="241">
        <f t="shared" si="7"/>
        <v>18830.851046327152</v>
      </c>
      <c r="AG27" s="247">
        <f t="shared" si="7"/>
        <v>18569.700753679979</v>
      </c>
      <c r="AH27" s="24"/>
      <c r="AI27" s="461">
        <f>+AF27-AE27</f>
        <v>-1440.6380017373449</v>
      </c>
      <c r="AJ27" s="462"/>
      <c r="AK27" s="457"/>
      <c r="AL27" s="23"/>
      <c r="AO27"/>
      <c r="AP27"/>
      <c r="AQ27"/>
      <c r="AR27"/>
      <c r="AS27"/>
    </row>
    <row r="28" spans="2:45" s="6" customFormat="1" ht="22.5" customHeight="1" x14ac:dyDescent="0.3">
      <c r="B28" s="6" t="s">
        <v>3</v>
      </c>
      <c r="E28" s="6" t="s">
        <v>179</v>
      </c>
      <c r="G28" s="304" t="s">
        <v>3</v>
      </c>
      <c r="H28" s="75" t="s">
        <v>1</v>
      </c>
      <c r="I28" s="68" t="s">
        <v>112</v>
      </c>
      <c r="J28" s="50">
        <f>+IFERROR(HLOOKUP($B29,'[1]4월누계'!$D$6:$BN$259,2,),)/1000</f>
        <v>81.115235524475537</v>
      </c>
      <c r="K28" s="51">
        <f>+IFERROR(HLOOKUP($C29,'[2]4월누계'!$F$6:$CP$99,2,),)/1000</f>
        <v>75.850999999999999</v>
      </c>
      <c r="L28" s="32">
        <f t="shared" si="0"/>
        <v>-5.2642355244755379</v>
      </c>
      <c r="M28" s="32">
        <f>+IFERROR(HLOOKUP($C29,'[3]4월누계'!$F$6:$CC$57,2,),)/1000</f>
        <v>94.411000000000001</v>
      </c>
      <c r="N28" s="52">
        <f>+K28-M28</f>
        <v>-18.560000000000002</v>
      </c>
      <c r="O28" s="50">
        <f>+IFERROR(HLOOKUP($B29,'[1]4월누계'!$D$6:$BN$259,3,),)/1000</f>
        <v>2309.5712846153842</v>
      </c>
      <c r="P28" s="51">
        <f>+IFERROR(HLOOKUP($C29,'[2]4월누계'!$F$6:$CP$99,3,),)/1000</f>
        <v>2148.6044999999999</v>
      </c>
      <c r="Q28" s="32">
        <f t="shared" si="3"/>
        <v>-160.96678461538431</v>
      </c>
      <c r="R28" s="32">
        <f>+IFERROR(HLOOKUP($C29,'[3]4월누계'!$F$6:$CC$57,3,),)/1000</f>
        <v>2729.2325000000001</v>
      </c>
      <c r="S28" s="52">
        <f t="shared" si="4"/>
        <v>-580.62800000000016</v>
      </c>
      <c r="T28" s="50">
        <f>+IFERROR(HLOOKUP($B29,'[1]4월누계'!$D$6:$BN$259,21,),)/1000</f>
        <v>56.526575015891943</v>
      </c>
      <c r="U28" s="51">
        <f>+IFERROR(HLOOKUP($C29,'[2]4월누계'!$F$6:$CP$99,21,),)/1000</f>
        <v>41.090265308714095</v>
      </c>
      <c r="V28" s="32">
        <f>+U28-T28</f>
        <v>-15.436309707177848</v>
      </c>
      <c r="W28" s="32">
        <f>+IFERROR(HLOOKUP($C29,'[3]4월누계'!$F$6:$CC$57,21,),)/1000</f>
        <v>3.7498764290714024</v>
      </c>
      <c r="X28" s="52">
        <f>+U28-W28</f>
        <v>37.340388879642695</v>
      </c>
      <c r="Y28" s="258"/>
      <c r="Z28" s="259"/>
      <c r="AA28" s="259"/>
      <c r="AB28" s="259"/>
      <c r="AC28" s="259"/>
      <c r="AD28" s="259"/>
      <c r="AE28" s="259"/>
      <c r="AF28" s="259"/>
      <c r="AG28" s="260"/>
      <c r="AH28" s="15"/>
      <c r="AI28" s="16"/>
      <c r="AJ28" s="453"/>
      <c r="AK28" s="457"/>
      <c r="AO28"/>
      <c r="AP28"/>
      <c r="AQ28"/>
      <c r="AR28"/>
      <c r="AS28"/>
    </row>
    <row r="29" spans="2:45" s="6" customFormat="1" ht="22.5" customHeight="1" x14ac:dyDescent="0.3">
      <c r="B29" s="6" t="s">
        <v>112</v>
      </c>
      <c r="C29" s="68" t="s">
        <v>46</v>
      </c>
      <c r="G29" s="305" t="str">
        <f>+I28</f>
        <v>부산모래장</v>
      </c>
      <c r="H29" s="74"/>
      <c r="I29" s="70" t="s">
        <v>120</v>
      </c>
      <c r="J29" s="48">
        <f>+IFERROR(HLOOKUP($B30,'[1]4월누계'!$D$6:$BN$259,2,),)/1000</f>
        <v>174.04544000000001</v>
      </c>
      <c r="K29" s="53">
        <f>+IFERROR(HLOOKUP($C30,'[2]4월누계'!$F$6:$CP$99,2,),)/1000</f>
        <v>109.404</v>
      </c>
      <c r="L29" s="42">
        <f t="shared" si="0"/>
        <v>-64.641440000000017</v>
      </c>
      <c r="M29" s="42">
        <f>+IFERROR(HLOOKUP($C30,'[3]4월누계'!$F$6:$CC$57,2,),)/1000</f>
        <v>73.477999999999994</v>
      </c>
      <c r="N29" s="54">
        <f>+K29-M29</f>
        <v>35.926000000000002</v>
      </c>
      <c r="O29" s="48">
        <f>+IFERROR(HLOOKUP($B30,'[1]4월누계'!$D$6:$BN$259,3,),)/1000</f>
        <v>2254.7300233333335</v>
      </c>
      <c r="P29" s="53">
        <f>+IFERROR(HLOOKUP($C30,'[2]4월누계'!$F$6:$CP$99,3,),)/1000</f>
        <v>1532.48</v>
      </c>
      <c r="Q29" s="42">
        <f t="shared" si="3"/>
        <v>-722.2500233333335</v>
      </c>
      <c r="R29" s="42">
        <f>+IFERROR(HLOOKUP($C30,'[3]4월누계'!$F$6:$CC$57,3,),)/1000</f>
        <v>1042.126</v>
      </c>
      <c r="S29" s="54">
        <f t="shared" si="4"/>
        <v>490.35400000000004</v>
      </c>
      <c r="T29" s="48">
        <f>+IFERROR(HLOOKUP($B30,'[1]4월누계'!$D$6:$BN$259,21,),)/1000</f>
        <v>217.60403690809065</v>
      </c>
      <c r="U29" s="53">
        <f>+IFERROR(HLOOKUP($C30,'[2]4월누계'!$F$6:$CP$99,21,),)/1000</f>
        <v>-104.22862413687012</v>
      </c>
      <c r="V29" s="42">
        <f>+U29-T29</f>
        <v>-321.83266104496079</v>
      </c>
      <c r="W29" s="42">
        <f>+IFERROR(HLOOKUP($C30,'[3]4월누계'!$F$6:$CC$57,21,),)/1000</f>
        <v>154.62181743387021</v>
      </c>
      <c r="X29" s="54">
        <f>+U29-W29</f>
        <v>-258.85044157074032</v>
      </c>
      <c r="Y29" s="464"/>
      <c r="Z29" s="210"/>
      <c r="AA29" s="210"/>
      <c r="AB29" s="311"/>
      <c r="AC29" s="210"/>
      <c r="AD29" s="210"/>
      <c r="AE29" s="210"/>
      <c r="AF29" s="210"/>
      <c r="AG29" s="45"/>
      <c r="AH29" s="15"/>
      <c r="AI29" s="210"/>
      <c r="AJ29" s="453"/>
      <c r="AK29" s="457"/>
    </row>
    <row r="30" spans="2:45" s="6" customFormat="1" ht="22.5" customHeight="1" x14ac:dyDescent="0.3">
      <c r="B30" s="6" t="s">
        <v>113</v>
      </c>
      <c r="C30" s="70" t="s">
        <v>47</v>
      </c>
      <c r="G30" s="305" t="str">
        <f>+I29</f>
        <v>서부산CR</v>
      </c>
      <c r="H30" s="74"/>
      <c r="I30" s="72" t="s">
        <v>121</v>
      </c>
      <c r="J30" s="48">
        <f>+IFERROR(HLOOKUP($B31,'[1]4월누계'!$D$6:$BN$259,2,),)/1000</f>
        <v>18.220239999999997</v>
      </c>
      <c r="K30" s="53">
        <f>+IFERROR(HLOOKUP($C31,'[2]4월누계'!$F$6:$CP$99,2,),)/1000</f>
        <v>63.468000000000004</v>
      </c>
      <c r="L30" s="42">
        <f t="shared" si="0"/>
        <v>45.247760000000007</v>
      </c>
      <c r="M30" s="42">
        <f>+IFERROR(HLOOKUP($C31,'[3]4월누계'!$F$6:$CC$57,2,),)/1000</f>
        <v>67.536000000000001</v>
      </c>
      <c r="N30" s="54">
        <f>+K30-M30</f>
        <v>-4.0679999999999978</v>
      </c>
      <c r="O30" s="48">
        <f>+IFERROR(HLOOKUP($B31,'[1]4월누계'!$D$6:$BN$259,3,),)/1000</f>
        <v>367.70835999999997</v>
      </c>
      <c r="P30" s="53">
        <f>+IFERROR(HLOOKUP($C31,'[2]4월누계'!$F$6:$CP$99,3,),)/1000</f>
        <v>1259.7936000000002</v>
      </c>
      <c r="Q30" s="42">
        <f t="shared" si="3"/>
        <v>892.08524000000023</v>
      </c>
      <c r="R30" s="42">
        <f>+IFERROR(HLOOKUP($C31,'[3]4월누계'!$F$6:$CC$57,3,),)/1000</f>
        <v>1255.4559999999999</v>
      </c>
      <c r="S30" s="54">
        <f t="shared" si="4"/>
        <v>4.3376000000002932</v>
      </c>
      <c r="T30" s="48">
        <f>+IFERROR(HLOOKUP($B31,'[1]4월누계'!$D$6:$BN$259,21,),)/1000</f>
        <v>-556.40629403253001</v>
      </c>
      <c r="U30" s="53">
        <f>+IFERROR(HLOOKUP($C31,'[2]4월누계'!$F$6:$CP$99,21,),)/1000</f>
        <v>-479.05495940000003</v>
      </c>
      <c r="V30" s="42">
        <f>+U30-T30</f>
        <v>77.351334632529984</v>
      </c>
      <c r="W30" s="42">
        <f>+IFERROR(HLOOKUP($C31,'[3]4월누계'!$F$6:$CC$57,21,),)/1000</f>
        <v>-606.11019707999992</v>
      </c>
      <c r="X30" s="54">
        <f>+U30-W30</f>
        <v>127.05523767999989</v>
      </c>
      <c r="Y30" s="464"/>
      <c r="Z30" s="210"/>
      <c r="AA30" s="210"/>
      <c r="AB30" s="210"/>
      <c r="AC30" s="210"/>
      <c r="AD30" s="210"/>
      <c r="AE30" s="210"/>
      <c r="AF30" s="210"/>
      <c r="AG30" s="45"/>
      <c r="AH30" s="15"/>
      <c r="AI30" s="210"/>
      <c r="AJ30" s="210">
        <f>+(AC30-AC31)*AD36</f>
        <v>0</v>
      </c>
      <c r="AK30" s="210"/>
      <c r="AL30" s="81"/>
    </row>
    <row r="31" spans="2:45" s="6" customFormat="1" ht="22.5" customHeight="1" x14ac:dyDescent="0.3">
      <c r="B31" s="6" t="s">
        <v>108</v>
      </c>
      <c r="C31" s="72" t="s">
        <v>108</v>
      </c>
      <c r="G31" s="305" t="str">
        <f>+I30</f>
        <v>부산CR</v>
      </c>
      <c r="H31" s="123" t="s">
        <v>33</v>
      </c>
      <c r="I31" s="124"/>
      <c r="J31" s="125">
        <f>SUM(J28:J30)</f>
        <v>273.38091552447554</v>
      </c>
      <c r="K31" s="129">
        <f>SUM(K28:K30)</f>
        <v>248.72300000000001</v>
      </c>
      <c r="L31" s="127">
        <f t="shared" si="0"/>
        <v>-24.657915524475527</v>
      </c>
      <c r="M31" s="127">
        <f>SUM(M28:M30)</f>
        <v>235.42500000000001</v>
      </c>
      <c r="N31" s="128">
        <f>+K31-M31</f>
        <v>13.298000000000002</v>
      </c>
      <c r="O31" s="125">
        <f>SUM(O28:O30)</f>
        <v>4932.0096679487169</v>
      </c>
      <c r="P31" s="129">
        <f>SUM(P28:P30)</f>
        <v>4940.8780999999999</v>
      </c>
      <c r="Q31" s="127">
        <f t="shared" si="3"/>
        <v>8.86843205128298</v>
      </c>
      <c r="R31" s="127">
        <f>SUM(R28:R30)</f>
        <v>5026.8145000000004</v>
      </c>
      <c r="S31" s="128">
        <f t="shared" si="4"/>
        <v>-85.936400000000503</v>
      </c>
      <c r="T31" s="125">
        <f>SUM(T28:T30)</f>
        <v>-282.27568210854741</v>
      </c>
      <c r="U31" s="129">
        <f>SUM(U28:U30)</f>
        <v>-542.19331822815604</v>
      </c>
      <c r="V31" s="127">
        <f>+U31-T31</f>
        <v>-259.91763611960863</v>
      </c>
      <c r="W31" s="127">
        <f>SUM(W28:W30)</f>
        <v>-447.73850321705834</v>
      </c>
      <c r="X31" s="128">
        <f>+U31-W31</f>
        <v>-94.454815011097708</v>
      </c>
      <c r="Y31" s="464"/>
      <c r="Z31" s="210"/>
      <c r="AA31" s="210"/>
      <c r="AB31" s="210"/>
      <c r="AC31" s="210"/>
      <c r="AD31" s="210"/>
      <c r="AE31" s="210"/>
      <c r="AF31" s="210"/>
      <c r="AG31" s="45"/>
      <c r="AH31" s="15"/>
      <c r="AI31" s="210"/>
      <c r="AJ31" s="210">
        <f>+AD35*120*10</f>
        <v>0</v>
      </c>
      <c r="AK31" s="210"/>
      <c r="AL31" s="81"/>
    </row>
    <row r="32" spans="2:45" s="1" customFormat="1" ht="22.5" customHeight="1" x14ac:dyDescent="0.3">
      <c r="G32" s="308"/>
      <c r="H32" s="78" t="s">
        <v>4</v>
      </c>
      <c r="I32" s="77" t="s">
        <v>79</v>
      </c>
      <c r="J32" s="40"/>
      <c r="K32" s="41"/>
      <c r="L32" s="43">
        <f t="shared" si="0"/>
        <v>0</v>
      </c>
      <c r="M32" s="42"/>
      <c r="N32" s="54">
        <f>+K32-M32</f>
        <v>0</v>
      </c>
      <c r="O32" s="40">
        <f>(IFERROR(HLOOKUP($B33,'[1]4월누계'!$D$6:$BN$259,3,),)++IFERROR(HLOOKUP($C33,'[1]4월누계'!$D$6:$BN$259,3,),)+IFERROR(HLOOKUP($D33,'[1]4월누계'!$D$6:$BN$259,3,),))/1000</f>
        <v>162.5</v>
      </c>
      <c r="P32" s="41">
        <f>+IFERROR(HLOOKUP($E33,'[2]4월누계'!$F$6:$CP$99,3,),)/1000</f>
        <v>173.36</v>
      </c>
      <c r="Q32" s="43">
        <f t="shared" si="3"/>
        <v>10.860000000000014</v>
      </c>
      <c r="R32" s="42">
        <f>+IFERROR(HLOOKUP($E33,'[3]4월누계'!$F$6:$CC$57,3,),)/1000</f>
        <v>290.86</v>
      </c>
      <c r="S32" s="54">
        <f t="shared" si="4"/>
        <v>-117.5</v>
      </c>
      <c r="T32" s="40">
        <f>(IFERROR(HLOOKUP($B33,'[1]4월누계'!$D$6:$BN$259,21,),)++IFERROR(HLOOKUP($C33,'[1]4월누계'!$D$6:$BN$259,21,),)+IFERROR(HLOOKUP($D33,'[1]4월누계'!$D$6:$BN$259,21,),))/1000</f>
        <v>117.16735</v>
      </c>
      <c r="U32" s="41">
        <f>+IFERROR(HLOOKUP($E33,'[2]4월누계'!$F$6:$CP$99,16,),)/1000</f>
        <v>96.21750999999999</v>
      </c>
      <c r="V32" s="43">
        <f t="shared" ref="V32:V38" si="8">+U32-T32</f>
        <v>-20.949840000000009</v>
      </c>
      <c r="W32" s="42">
        <f>+IFERROR(HLOOKUP($E33,'[3]4월누계'!$F$6:$CC$57,16,),)/1000</f>
        <v>214.42715200000001</v>
      </c>
      <c r="X32" s="54">
        <f t="shared" ref="X32:X40" si="9">+U32-W32</f>
        <v>-118.20964200000002</v>
      </c>
      <c r="Y32" s="464"/>
      <c r="Z32" s="210"/>
      <c r="AA32" s="210"/>
      <c r="AB32" s="210"/>
      <c r="AC32" s="210"/>
      <c r="AD32" s="210"/>
      <c r="AE32" s="210"/>
      <c r="AF32" s="210"/>
      <c r="AG32" s="45"/>
      <c r="AH32" s="24"/>
      <c r="AI32" s="210"/>
      <c r="AJ32" s="210"/>
      <c r="AK32" s="210"/>
      <c r="AL32" s="458"/>
      <c r="AM32" s="455"/>
    </row>
    <row r="33" spans="2:43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4" t="str">
        <f t="shared" ref="G33:G40" si="10">+I32</f>
        <v>레미콘임대</v>
      </c>
      <c r="H33" s="78"/>
      <c r="I33" s="77" t="s">
        <v>44</v>
      </c>
      <c r="J33" s="40"/>
      <c r="K33" s="41"/>
      <c r="L33" s="43">
        <f t="shared" si="0"/>
        <v>0</v>
      </c>
      <c r="M33" s="42">
        <v>0</v>
      </c>
      <c r="N33" s="54">
        <f t="shared" ref="N33:N40" si="11">+K33-M33</f>
        <v>0</v>
      </c>
      <c r="O33" s="40">
        <f>(+IFERROR(HLOOKUP($B34,'[1]4월누계'!$D$6:$BN$259,3,),)+IFERROR(HLOOKUP($C34,'[1]4월누계'!$D$6:$BN$259,3,),))/1000</f>
        <v>315.68666666666667</v>
      </c>
      <c r="P33" s="41">
        <f>+IFERROR(HLOOKUP($E34,'[2]4월누계'!$F$6:$CP$99,3,),)/1000</f>
        <v>227.09872099999998</v>
      </c>
      <c r="Q33" s="43">
        <f t="shared" si="3"/>
        <v>-88.587945666666684</v>
      </c>
      <c r="R33" s="42">
        <f>+IFERROR(HLOOKUP($E34,'[3]4월누계'!$F$6:$CC$57,3,),)/1000</f>
        <v>293.76295799999997</v>
      </c>
      <c r="S33" s="54">
        <f t="shared" si="4"/>
        <v>-66.664236999999986</v>
      </c>
      <c r="T33" s="40">
        <f>(+IFERROR(HLOOKUP($B34,'[1]4월누계'!$D$6:$BN$259,21,),)+IFERROR(HLOOKUP($C34,'[1]4월누계'!$D$6:$BN$259,21,),))/1000</f>
        <v>290.38711666666666</v>
      </c>
      <c r="U33" s="41">
        <f>+IFERROR(HLOOKUP($E34,'[2]4월누계'!$F$6:$CP$99,16,),)/1000</f>
        <v>201.85049199999997</v>
      </c>
      <c r="V33" s="43">
        <f t="shared" si="8"/>
        <v>-88.536624666666683</v>
      </c>
      <c r="W33" s="42">
        <f>+IFERROR(HLOOKUP($E34,'[3]4월누계'!$F$6:$CC$57,16,),)/1000</f>
        <v>265.87135700000005</v>
      </c>
      <c r="X33" s="54">
        <f t="shared" si="9"/>
        <v>-64.020865000000072</v>
      </c>
      <c r="Y33" s="464"/>
      <c r="Z33" s="210"/>
      <c r="AA33" s="210"/>
      <c r="AB33" s="210"/>
      <c r="AC33" s="210"/>
      <c r="AD33" s="210"/>
      <c r="AE33" s="210"/>
      <c r="AF33" s="210"/>
      <c r="AG33" s="45"/>
      <c r="AI33" s="210"/>
      <c r="AJ33" s="210"/>
      <c r="AK33" s="210"/>
    </row>
    <row r="34" spans="2:43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4" t="str">
        <f t="shared" si="10"/>
        <v>임대</v>
      </c>
      <c r="H34" s="76"/>
      <c r="I34" s="77" t="s">
        <v>29</v>
      </c>
      <c r="J34" s="40"/>
      <c r="K34" s="41"/>
      <c r="L34" s="43">
        <f t="shared" si="0"/>
        <v>0</v>
      </c>
      <c r="M34" s="42"/>
      <c r="N34" s="54">
        <f t="shared" si="11"/>
        <v>0</v>
      </c>
      <c r="O34" s="40"/>
      <c r="P34" s="41"/>
      <c r="Q34" s="43">
        <f t="shared" si="3"/>
        <v>0</v>
      </c>
      <c r="R34" s="42"/>
      <c r="S34" s="54">
        <f t="shared" si="4"/>
        <v>0</v>
      </c>
      <c r="T34" s="40">
        <f>-'[1]4월누계'!$Z$22/1000</f>
        <v>-6000.9608087371789</v>
      </c>
      <c r="U34" s="41">
        <f>+-'[2]4월누계'!$Z$22/1000</f>
        <v>-6154.2827757719479</v>
      </c>
      <c r="V34" s="43">
        <f t="shared" si="8"/>
        <v>-153.32196703476893</v>
      </c>
      <c r="W34" s="42">
        <f>+-'[3]4월누계'!$Z$22/1000</f>
        <v>-5907.7310518720415</v>
      </c>
      <c r="X34" s="54">
        <f t="shared" si="9"/>
        <v>-246.55172389990639</v>
      </c>
      <c r="Y34" s="464"/>
      <c r="Z34" s="210"/>
      <c r="AA34" s="210"/>
      <c r="AB34" s="210"/>
      <c r="AC34" s="210"/>
      <c r="AD34" s="210"/>
      <c r="AE34" s="210"/>
      <c r="AF34" s="210">
        <f>+AM27</f>
        <v>0</v>
      </c>
      <c r="AG34" s="45"/>
      <c r="AH34" s="15"/>
      <c r="AI34" s="210"/>
      <c r="AJ34" s="210">
        <f>+AQ27</f>
        <v>0</v>
      </c>
      <c r="AK34" s="210"/>
    </row>
    <row r="35" spans="2:43" s="6" customFormat="1" ht="22.5" customHeight="1" x14ac:dyDescent="0.3">
      <c r="B35" s="6" t="s">
        <v>119</v>
      </c>
      <c r="D35"/>
      <c r="E35"/>
      <c r="F35"/>
      <c r="G35" s="304" t="str">
        <f t="shared" si="10"/>
        <v>공통비</v>
      </c>
      <c r="H35" s="76"/>
      <c r="I35" s="77" t="s">
        <v>94</v>
      </c>
      <c r="J35" s="40"/>
      <c r="K35" s="41"/>
      <c r="L35" s="43"/>
      <c r="M35" s="42"/>
      <c r="N35" s="54">
        <f t="shared" si="11"/>
        <v>0</v>
      </c>
      <c r="O35" s="40"/>
      <c r="P35" s="41"/>
      <c r="Q35" s="43">
        <f t="shared" si="3"/>
        <v>0</v>
      </c>
      <c r="R35" s="42"/>
      <c r="S35" s="54">
        <f t="shared" si="4"/>
        <v>0</v>
      </c>
      <c r="T35" s="40">
        <f>+'[1]4월누계'!$AT$26/1000</f>
        <v>360</v>
      </c>
      <c r="U35" s="41">
        <f>'[2]4월누계'!$BD$26/1000</f>
        <v>533.64834999999994</v>
      </c>
      <c r="V35" s="43">
        <f t="shared" si="8"/>
        <v>173.64834999999994</v>
      </c>
      <c r="W35" s="42">
        <f>'[3]4월누계'!$BD$26/1000</f>
        <v>0</v>
      </c>
      <c r="X35" s="54">
        <f t="shared" si="9"/>
        <v>533.64834999999994</v>
      </c>
      <c r="Y35" s="464"/>
      <c r="Z35" s="210"/>
      <c r="AA35" s="210"/>
      <c r="AB35" s="210"/>
      <c r="AC35" s="210"/>
      <c r="AD35" s="210"/>
      <c r="AE35" s="658"/>
      <c r="AF35" s="658"/>
      <c r="AG35" s="659"/>
      <c r="AH35" s="15"/>
      <c r="AI35" s="658"/>
      <c r="AJ35" s="658"/>
      <c r="AK35" s="658"/>
      <c r="AL35" s="81"/>
    </row>
    <row r="36" spans="2:43" s="6" customFormat="1" ht="22.5" customHeight="1" x14ac:dyDescent="0.3">
      <c r="D36"/>
      <c r="E36"/>
      <c r="F36"/>
      <c r="G36" s="304" t="str">
        <f t="shared" si="10"/>
        <v>OPC 소급분</v>
      </c>
      <c r="H36" s="76"/>
      <c r="I36" s="77" t="s">
        <v>95</v>
      </c>
      <c r="J36" s="40"/>
      <c r="K36" s="41"/>
      <c r="L36" s="43"/>
      <c r="M36" s="42"/>
      <c r="N36" s="54">
        <f t="shared" si="11"/>
        <v>0</v>
      </c>
      <c r="O36" s="40"/>
      <c r="P36" s="41"/>
      <c r="Q36" s="43">
        <f t="shared" si="3"/>
        <v>0</v>
      </c>
      <c r="R36" s="42"/>
      <c r="S36" s="54">
        <f t="shared" si="4"/>
        <v>0</v>
      </c>
      <c r="T36" s="40"/>
      <c r="U36" s="41">
        <f>'[2]4월누계'!$BE$26/1000</f>
        <v>184.44025500000001</v>
      </c>
      <c r="V36" s="43">
        <f t="shared" si="8"/>
        <v>184.44025500000001</v>
      </c>
      <c r="W36" s="42">
        <f>'[3]4월누계'!$BE$26/1000</f>
        <v>-522.39605099999994</v>
      </c>
      <c r="X36" s="54">
        <f t="shared" si="9"/>
        <v>706.83630599999992</v>
      </c>
      <c r="Y36" s="464"/>
      <c r="Z36" s="210"/>
      <c r="AA36" s="210"/>
      <c r="AB36" s="210"/>
      <c r="AC36" s="210"/>
      <c r="AD36" s="210"/>
      <c r="AE36" s="210"/>
      <c r="AF36" s="210"/>
      <c r="AG36" s="45"/>
      <c r="AH36" s="15"/>
      <c r="AI36" s="16"/>
      <c r="AJ36" s="453"/>
      <c r="AK36" s="457"/>
      <c r="AL36" s="81"/>
    </row>
    <row r="37" spans="2:43" s="6" customFormat="1" ht="22.5" customHeight="1" x14ac:dyDescent="0.3">
      <c r="D37"/>
      <c r="E37"/>
      <c r="F37"/>
      <c r="G37" s="304" t="str">
        <f t="shared" si="10"/>
        <v>대손</v>
      </c>
      <c r="H37" s="76"/>
      <c r="I37" s="77" t="s">
        <v>109</v>
      </c>
      <c r="J37" s="40"/>
      <c r="K37" s="41"/>
      <c r="L37" s="43"/>
      <c r="M37" s="42">
        <f>SUM(M56:M61)</f>
        <v>0</v>
      </c>
      <c r="N37" s="54">
        <f t="shared" si="11"/>
        <v>0</v>
      </c>
      <c r="O37" s="40"/>
      <c r="P37" s="41"/>
      <c r="Q37" s="43">
        <f t="shared" si="3"/>
        <v>0</v>
      </c>
      <c r="R37" s="42">
        <f>+IFERROR(HLOOKUP($I$37,'[3]4월누계'!$F$6:$BJ$50,3,),)/1000</f>
        <v>0</v>
      </c>
      <c r="S37" s="54">
        <f t="shared" si="4"/>
        <v>0</v>
      </c>
      <c r="T37" s="40">
        <f>SUM('[1]4월누계'!$AM$26:$AQ$26)/1000</f>
        <v>-50.681547000000002</v>
      </c>
      <c r="U37" s="41">
        <f>+'[2]4월누계'!$BF$26/1000</f>
        <v>-101.114453</v>
      </c>
      <c r="V37" s="43">
        <f t="shared" si="8"/>
        <v>-50.432905999999996</v>
      </c>
      <c r="W37" s="42">
        <f>+'[3]4월누계'!$BF$26/1000</f>
        <v>-103.34340199999998</v>
      </c>
      <c r="X37" s="54">
        <f t="shared" si="9"/>
        <v>2.2289489999999859</v>
      </c>
      <c r="Y37" s="464"/>
      <c r="AE37" s="210"/>
      <c r="AF37" s="210"/>
      <c r="AG37" s="45"/>
      <c r="AH37" s="15"/>
      <c r="AI37" s="16"/>
      <c r="AJ37" s="453"/>
      <c r="AK37" s="457"/>
      <c r="AL37" s="81"/>
      <c r="AM37" s="457"/>
      <c r="AO37" s="453"/>
      <c r="AP37" s="453"/>
      <c r="AQ37" s="453"/>
    </row>
    <row r="38" spans="2:43" s="6" customFormat="1" ht="22.5" customHeight="1" x14ac:dyDescent="0.3">
      <c r="D38"/>
      <c r="E38"/>
      <c r="F38"/>
      <c r="G38" s="304" t="str">
        <f t="shared" si="10"/>
        <v>미운영 공장</v>
      </c>
      <c r="H38" s="76"/>
      <c r="I38" s="77" t="s">
        <v>156</v>
      </c>
      <c r="J38" s="40"/>
      <c r="K38" s="41"/>
      <c r="L38" s="43"/>
      <c r="M38" s="42"/>
      <c r="N38" s="54"/>
      <c r="O38" s="40"/>
      <c r="P38" s="41"/>
      <c r="Q38" s="43"/>
      <c r="R38" s="42"/>
      <c r="S38" s="54"/>
      <c r="T38" s="40"/>
      <c r="U38" s="41">
        <f>+'[2]4월누계'!$BG$26/1000</f>
        <v>0</v>
      </c>
      <c r="V38" s="43">
        <f t="shared" si="8"/>
        <v>0</v>
      </c>
      <c r="W38" s="42"/>
      <c r="X38" s="54">
        <f t="shared" si="9"/>
        <v>0</v>
      </c>
      <c r="Y38" s="209"/>
      <c r="Z38" s="210"/>
      <c r="AA38" s="210"/>
      <c r="AB38" s="210"/>
      <c r="AC38" s="210"/>
      <c r="AD38" s="210"/>
      <c r="AE38" s="210"/>
      <c r="AF38" s="210"/>
      <c r="AG38" s="45"/>
      <c r="AH38" s="15"/>
      <c r="AI38" s="16"/>
      <c r="AJ38" s="453"/>
      <c r="AK38" s="453"/>
      <c r="AL38" s="81"/>
      <c r="AM38" s="453"/>
      <c r="AQ38" s="453"/>
    </row>
    <row r="39" spans="2:43" s="6" customFormat="1" ht="22.5" customHeight="1" x14ac:dyDescent="0.3">
      <c r="B39" t="s">
        <v>30</v>
      </c>
      <c r="D39"/>
      <c r="G39" s="304" t="str">
        <f t="shared" si="10"/>
        <v>퇴직위로금</v>
      </c>
      <c r="H39" s="76"/>
      <c r="I39" s="77" t="s">
        <v>4</v>
      </c>
      <c r="J39" s="40"/>
      <c r="K39" s="41"/>
      <c r="L39" s="49">
        <f>+K39-J39</f>
        <v>0</v>
      </c>
      <c r="M39" s="55"/>
      <c r="N39" s="56">
        <f>+K39-M39</f>
        <v>0</v>
      </c>
      <c r="O39" s="40">
        <f>IFERROR(HLOOKUP($B39,'[1]4월누계'!$D$6:$BN$259,3,),)/1000</f>
        <v>7.08</v>
      </c>
      <c r="P39" s="41">
        <f>+('[2]4월누계'!$F$8-SUM('[2]4월누계'!$Z$8,'[2]4월누계'!$AH$8,'[2]4월누계'!$AN$8,'[2]4월누계'!$AO$8,'[2]4월누계'!$BA$8,'[2]4월누계'!$BD$8,'[2]4월누계'!$BE$8,'[2]4월누계'!$BF$8))/1000</f>
        <v>6.5220000000000002</v>
      </c>
      <c r="Q39" s="49">
        <f>+P39-O39</f>
        <v>-0.55799999999999983</v>
      </c>
      <c r="R39" s="55">
        <f>+('[3]4월누계'!$F$8-SUM('[3]4월누계'!$Z$8,'[3]4월누계'!$AH$8,'[3]4월누계'!$AN$8,'[3]4월누계'!$AO$8,'[3]4월누계'!$BA$8,'[3]4월누계'!$BD$8,'[3]4월누계'!$BE$8,'[3]4월누계'!$BF$8))/1000</f>
        <v>6.7001999999880795</v>
      </c>
      <c r="S39" s="56">
        <f>+P39-R39</f>
        <v>-0.17819999998807923</v>
      </c>
      <c r="T39" s="40">
        <f>+('[1]4월누계'!$E$26-'[1]4월누계'!$Z$26-'[1]4월누계'!$AA$26-'[1]4월누계'!$AE$26-'[1]4월누계'!$AL$26-'[1]4월누계'!$AM$26-'[1]4월누계'!$AN$26-'[1]4월누계'!$AO$26-'[1]4월누계'!$AP$26-'[1]4월누계'!$AQ$26-'[1]4월누계'!$AS$26+'[1]4월누계'!$AS$26)/1000-T35</f>
        <v>-250.55928399998032</v>
      </c>
      <c r="U39" s="41">
        <f>+('[2]4월누계'!$F$26-SUM('[2]4월누계'!$Z$26,'[2]4월누계'!$AH$26,'[2]4월누계'!$AN$26,'[2]4월누계'!$AO$26,'[2]4월누계'!$BA$26,'[2]4월누계'!$BD$26,'[2]4월누계'!$BE$26,'[2]4월누계'!$BF$26))/1000-U38</f>
        <v>-87.61181599999918</v>
      </c>
      <c r="V39" s="43">
        <f>+U39-T39</f>
        <v>162.94746799998114</v>
      </c>
      <c r="W39" s="55">
        <f>+('[3]4월누계'!$F$26-SUM('[3]4월누계'!$Z$26,'[3]4월누계'!$AH$26,'[3]4월누계'!$AN$26,'[3]4월누계'!$AO$26,'[3]4월누계'!$BA$26,'[3]4월누계'!$BD$26,'[3]4월누계'!$BE$26,'[3]4월누계'!$BF$26))/1000</f>
        <v>-817.96735291004177</v>
      </c>
      <c r="X39" s="54">
        <f t="shared" si="9"/>
        <v>730.35553691004259</v>
      </c>
      <c r="Y39" s="655"/>
      <c r="Z39" s="210"/>
      <c r="AA39" s="210"/>
      <c r="AB39" s="210"/>
      <c r="AC39" s="210"/>
      <c r="AD39" s="210"/>
      <c r="AE39" s="210"/>
      <c r="AF39" s="210"/>
      <c r="AG39" s="45"/>
      <c r="AH39" s="15"/>
      <c r="AI39" s="16"/>
      <c r="AJ39" s="453">
        <f>-[4]합계!$H$6</f>
        <v>223.59104837408742</v>
      </c>
      <c r="AK39" s="457"/>
    </row>
    <row r="40" spans="2:43" s="6" customFormat="1" ht="22.5" customHeight="1" x14ac:dyDescent="0.3">
      <c r="G40" s="304" t="str">
        <f t="shared" si="10"/>
        <v>기타</v>
      </c>
      <c r="H40" s="123" t="s">
        <v>96</v>
      </c>
      <c r="I40" s="124"/>
      <c r="J40" s="255">
        <f>SUM(J32:J39)</f>
        <v>0</v>
      </c>
      <c r="K40" s="256">
        <f>SUM(K32:K39)</f>
        <v>0</v>
      </c>
      <c r="L40" s="256">
        <f>+K40-J40</f>
        <v>0</v>
      </c>
      <c r="M40" s="256">
        <f>SUM(M32:M39)</f>
        <v>0</v>
      </c>
      <c r="N40" s="257">
        <f t="shared" si="11"/>
        <v>0</v>
      </c>
      <c r="O40" s="125">
        <f>SUM(O32:O39)</f>
        <v>485.26666666666665</v>
      </c>
      <c r="P40" s="126">
        <f>SUM(P32:P39)</f>
        <v>406.98072099999996</v>
      </c>
      <c r="Q40" s="130">
        <f>+P40-O40</f>
        <v>-78.285945666666692</v>
      </c>
      <c r="R40" s="131">
        <f>SUM(R32:R39)</f>
        <v>591.32315799998798</v>
      </c>
      <c r="S40" s="132">
        <f>+P40-R40</f>
        <v>-184.34243699998802</v>
      </c>
      <c r="T40" s="125">
        <f>SUM(T32:T39)</f>
        <v>-5534.6471730704925</v>
      </c>
      <c r="U40" s="126">
        <f>SUM(U32:U39)</f>
        <v>-5326.8524377719477</v>
      </c>
      <c r="V40" s="130">
        <f>+U40-T40</f>
        <v>207.79473529854477</v>
      </c>
      <c r="W40" s="131">
        <f>SUM(W32:W39)</f>
        <v>-6871.1393487820833</v>
      </c>
      <c r="X40" s="132">
        <f t="shared" si="9"/>
        <v>1544.2869110101356</v>
      </c>
      <c r="Y40" s="209"/>
      <c r="Z40" s="210"/>
      <c r="AA40" s="210"/>
      <c r="AB40" s="210"/>
      <c r="AC40" s="210"/>
      <c r="AD40" s="210"/>
      <c r="AE40" s="210"/>
      <c r="AF40" s="210"/>
      <c r="AG40" s="45"/>
      <c r="AH40" s="27"/>
      <c r="AJ40" s="453"/>
      <c r="AK40" s="457"/>
    </row>
    <row r="41" spans="2:43" s="1" customFormat="1" ht="22.5" customHeight="1" x14ac:dyDescent="0.3">
      <c r="D41" s="264"/>
      <c r="G41" s="308"/>
      <c r="H41" s="248" t="s">
        <v>32</v>
      </c>
      <c r="I41" s="249"/>
      <c r="J41" s="261"/>
      <c r="K41" s="262"/>
      <c r="L41" s="262"/>
      <c r="M41" s="262"/>
      <c r="N41" s="263"/>
      <c r="O41" s="250">
        <f>+O27+O31+O40</f>
        <v>96341.605476517623</v>
      </c>
      <c r="P41" s="251">
        <f>+P27+P31+P40</f>
        <v>93883.293367999999</v>
      </c>
      <c r="Q41" s="252">
        <f>+P41-O41</f>
        <v>-2458.3121085176244</v>
      </c>
      <c r="R41" s="253">
        <f>+R27+R31+R40</f>
        <v>97756.699283999973</v>
      </c>
      <c r="S41" s="254">
        <f>+P41-R41</f>
        <v>-3873.4059159999742</v>
      </c>
      <c r="T41" s="250">
        <f>+T27+T31+T40</f>
        <v>-859.77277044522998</v>
      </c>
      <c r="U41" s="251">
        <f>+U27+U31+U40</f>
        <v>-2797.4982090001022</v>
      </c>
      <c r="V41" s="252">
        <f>+U41-T41</f>
        <v>-1937.7254385548722</v>
      </c>
      <c r="W41" s="253">
        <f>+W27+W31+W40</f>
        <v>-2495.2113439991408</v>
      </c>
      <c r="X41" s="254">
        <f>+U41-W41</f>
        <v>-302.28686500096137</v>
      </c>
      <c r="Y41" s="209"/>
      <c r="Z41" s="210"/>
      <c r="AA41" s="210"/>
      <c r="AB41" s="210"/>
      <c r="AC41" s="210"/>
      <c r="AD41" s="210"/>
      <c r="AE41" s="210"/>
      <c r="AF41" s="210"/>
      <c r="AG41" s="45"/>
      <c r="AH41" s="23"/>
      <c r="AJ41" s="455">
        <f>[4]합계!$U$15-AJ39-AJ40</f>
        <v>1180.5587690311227</v>
      </c>
      <c r="AK41" s="457"/>
    </row>
    <row r="42" spans="2:43" s="6" customFormat="1" ht="19.5" customHeight="1" x14ac:dyDescent="0.3">
      <c r="G42" s="309">
        <f>+P41/O41</f>
        <v>0.97448338029703252</v>
      </c>
      <c r="Y42" s="209"/>
      <c r="Z42" s="210"/>
      <c r="AA42" s="210"/>
      <c r="AB42" s="210"/>
      <c r="AC42" s="210"/>
      <c r="AD42" s="210"/>
      <c r="AE42" s="210"/>
      <c r="AF42" s="210"/>
      <c r="AG42" s="45"/>
      <c r="AH42" s="27"/>
      <c r="AJ42" s="453"/>
      <c r="AK42" s="457"/>
      <c r="AO42" s="453"/>
    </row>
    <row r="43" spans="2:43" s="1" customFormat="1" ht="22.5" customHeight="1" x14ac:dyDescent="0.3">
      <c r="H43" s="547" t="s">
        <v>3</v>
      </c>
      <c r="I43" s="548"/>
      <c r="J43" s="140">
        <f>+IFERROR(HLOOKUP($B28,'[1]4월누계'!$D$6:$BN$259,2,),)</f>
        <v>32900</v>
      </c>
      <c r="K43" s="141">
        <f>+IFERROR(HLOOKUP($E28,'[2]4월누계'!$F$6:$CP$99,2,),)</f>
        <v>17304.953999999998</v>
      </c>
      <c r="L43" s="142">
        <f>+K43-J43</f>
        <v>-15595.046000000002</v>
      </c>
      <c r="M43" s="143">
        <f>+IFERROR(HLOOKUP($E28,'[3]4월누계'!$F$6:$CC$57,2,),)</f>
        <v>45346.46</v>
      </c>
      <c r="N43" s="144">
        <f>+K43-M43</f>
        <v>-28041.506000000001</v>
      </c>
      <c r="O43" s="140">
        <f>+IFERROR(HLOOKUP($B28,'[1]4월누계'!$D$6:$BN$259,3,),)/1000</f>
        <v>31857.361427</v>
      </c>
      <c r="P43" s="141">
        <f>+IFERROR(HLOOKUP($E28,'[2]4월누계'!$F$6:$CP$99,3,),)/1000</f>
        <v>18007.081888999997</v>
      </c>
      <c r="Q43" s="142">
        <f>+P43-O43</f>
        <v>-13850.279538000003</v>
      </c>
      <c r="R43" s="143">
        <f>+IFERROR(HLOOKUP($E28,'[3]4월누계'!$F$6:$CC$57,3,),)/1000</f>
        <v>38439.847709000001</v>
      </c>
      <c r="S43" s="144">
        <f>+P43-R43</f>
        <v>-20432.765820000004</v>
      </c>
      <c r="T43" s="140">
        <f>+IFERROR(HLOOKUP($B28,'[1]4월누계'!$D$6:$BN$259,21,),)/1000</f>
        <v>-83.401738363269658</v>
      </c>
      <c r="U43" s="141">
        <f>+IFERROR(HLOOKUP($E28,'[2]4월누계'!$F$6:$CP$99,21,),)/1000</f>
        <v>-173.31427600000296</v>
      </c>
      <c r="V43" s="142">
        <f>+U43-T43</f>
        <v>-89.912537636733305</v>
      </c>
      <c r="W43" s="143">
        <f>+IFERROR(HLOOKUP($E28,'[3]4월누계'!$F$6:$CC$57,16,),)/1000</f>
        <v>-106.5829320000032</v>
      </c>
      <c r="X43" s="144">
        <f>+U43-W43</f>
        <v>-66.731343999999766</v>
      </c>
      <c r="Y43" s="209"/>
      <c r="Z43" s="210"/>
      <c r="AA43" s="210"/>
      <c r="AB43" s="210"/>
      <c r="AC43" s="210"/>
      <c r="AD43" s="210"/>
      <c r="AE43" s="210"/>
      <c r="AF43" s="210"/>
      <c r="AG43" s="45"/>
      <c r="AH43" s="23"/>
      <c r="AJ43" s="455"/>
      <c r="AK43" s="457"/>
      <c r="AO43" s="455"/>
    </row>
    <row r="44" spans="2:43" s="1" customFormat="1" ht="22.5" customHeight="1" x14ac:dyDescent="0.3">
      <c r="H44" s="248" t="s">
        <v>32</v>
      </c>
      <c r="I44" s="249"/>
      <c r="J44" s="261"/>
      <c r="K44" s="262"/>
      <c r="L44" s="262"/>
      <c r="M44" s="262"/>
      <c r="N44" s="263"/>
      <c r="O44" s="250">
        <f>+O41+O43</f>
        <v>128198.96690351762</v>
      </c>
      <c r="P44" s="251">
        <f>+P41+P43</f>
        <v>111890.37525699999</v>
      </c>
      <c r="Q44" s="252">
        <f>+P44-O44</f>
        <v>-16308.591646517627</v>
      </c>
      <c r="R44" s="253">
        <f>+R41+R43</f>
        <v>136196.54699299997</v>
      </c>
      <c r="S44" s="254">
        <f>+P44-R44</f>
        <v>-24306.171735999975</v>
      </c>
      <c r="T44" s="250">
        <f>+T41+T43</f>
        <v>-943.1745088084997</v>
      </c>
      <c r="U44" s="251">
        <f>+U41+U43</f>
        <v>-2970.812485000105</v>
      </c>
      <c r="V44" s="252">
        <f>+U44-T44</f>
        <v>-2027.6379761916053</v>
      </c>
      <c r="W44" s="253">
        <f>+W41+W43</f>
        <v>-2601.7942759991438</v>
      </c>
      <c r="X44" s="254">
        <f>+U44-W44</f>
        <v>-369.01820900096118</v>
      </c>
      <c r="Y44" s="619"/>
      <c r="Z44" s="661"/>
      <c r="AA44" s="661"/>
      <c r="AB44" s="661"/>
      <c r="AC44" s="661"/>
      <c r="AD44" s="661"/>
      <c r="AE44" s="661"/>
      <c r="AF44" s="661"/>
      <c r="AG44" s="621"/>
      <c r="AH44" s="23"/>
      <c r="AJ44" s="455"/>
      <c r="AK44" s="457"/>
      <c r="AO44" s="455"/>
    </row>
    <row r="45" spans="2:43" s="1" customFormat="1" ht="22.5" customHeight="1" x14ac:dyDescent="0.3">
      <c r="K45" s="452"/>
      <c r="L45" s="452"/>
      <c r="M45" s="452"/>
      <c r="AH45" s="23"/>
      <c r="AJ45" s="455"/>
      <c r="AK45" s="457"/>
      <c r="AO45" s="455"/>
    </row>
    <row r="46" spans="2:43" s="28" customFormat="1" x14ac:dyDescent="0.3">
      <c r="G46" s="306"/>
      <c r="P46" s="266"/>
      <c r="R46" s="266"/>
      <c r="T46" s="266"/>
      <c r="U46" s="266"/>
      <c r="AC46" s="29"/>
      <c r="AF46" s="29"/>
      <c r="AJ46" s="456"/>
      <c r="AK46" s="457"/>
    </row>
    <row r="47" spans="2:43" s="28" customFormat="1" ht="17.25" thickBot="1" x14ac:dyDescent="0.35">
      <c r="G47" s="310"/>
      <c r="AC47" s="29"/>
      <c r="AF47" s="29"/>
      <c r="AJ47" s="456"/>
    </row>
    <row r="48" spans="2:43" s="28" customFormat="1" x14ac:dyDescent="0.3">
      <c r="F48" s="266">
        <f>+K43/M43</f>
        <v>0.38161642606721669</v>
      </c>
      <c r="G48" s="306">
        <f>+K43/J43</f>
        <v>0.52598644376899695</v>
      </c>
      <c r="I48" s="692" t="s">
        <v>81</v>
      </c>
      <c r="J48" s="115">
        <f>+'[1]4월누계'!$Z$7/1000</f>
        <v>896.49980000000005</v>
      </c>
      <c r="K48" s="116">
        <f>+'[2]4월누계'!$AI$7/1000</f>
        <v>857.35450000000003</v>
      </c>
      <c r="L48" s="116"/>
      <c r="M48" s="116">
        <f>+'[3]4월누계'!$Z$7/1000</f>
        <v>931.43849999999998</v>
      </c>
      <c r="N48" s="116"/>
      <c r="O48" s="116">
        <f>+'[1]4월누계'!$E$8/1000</f>
        <v>128198.96690351765</v>
      </c>
      <c r="P48" s="116">
        <f>+'[2]4월누계'!$F$8/1000</f>
        <v>111890.37525699996</v>
      </c>
      <c r="Q48" s="116"/>
      <c r="R48" s="116">
        <f>+'[3]4월누계'!$F$8/1000</f>
        <v>136196.54699299997</v>
      </c>
      <c r="S48" s="116"/>
      <c r="T48" s="121">
        <f>+'[1]4월누계'!$E$26/1000</f>
        <v>-943.17450880849367</v>
      </c>
      <c r="U48" s="116">
        <f>+'[2]4월누계'!$F$26/1000</f>
        <v>-2970.8124850001041</v>
      </c>
      <c r="V48" s="116"/>
      <c r="W48" s="116">
        <f>+'[3]4월누계'!$F$26/1000</f>
        <v>-2601.7942759991429</v>
      </c>
      <c r="X48" s="117"/>
      <c r="AC48" s="29"/>
      <c r="AF48" s="29"/>
      <c r="AJ48" s="456"/>
    </row>
    <row r="49" spans="6:36" s="28" customFormat="1" ht="17.25" thickBot="1" x14ac:dyDescent="0.35">
      <c r="F49" s="266">
        <f>+K31/M31</f>
        <v>1.0564850801741532</v>
      </c>
      <c r="G49" s="306">
        <f>+K31/J31</f>
        <v>0.90980381539373434</v>
      </c>
      <c r="I49" s="692"/>
      <c r="J49" s="120">
        <f>+J48-J27</f>
        <v>0</v>
      </c>
      <c r="K49" s="118">
        <f>+K48-K27</f>
        <v>0</v>
      </c>
      <c r="L49" s="118"/>
      <c r="M49" s="118">
        <f>+M48-M27</f>
        <v>0</v>
      </c>
      <c r="N49" s="118"/>
      <c r="O49" s="122">
        <f>+O48-O44</f>
        <v>0</v>
      </c>
      <c r="P49" s="122">
        <f>+P48-P44</f>
        <v>0</v>
      </c>
      <c r="Q49" s="118"/>
      <c r="R49" s="122">
        <f>+R48-R44</f>
        <v>0</v>
      </c>
      <c r="S49" s="118"/>
      <c r="T49" s="122">
        <f>+T48-T44</f>
        <v>6.0254023992456496E-12</v>
      </c>
      <c r="U49" s="122">
        <f>+U48-U44</f>
        <v>0</v>
      </c>
      <c r="V49" s="118"/>
      <c r="W49" s="118">
        <f>+W48-W44</f>
        <v>0</v>
      </c>
      <c r="X49" s="119"/>
      <c r="AC49" s="29"/>
      <c r="AF49" s="29"/>
      <c r="AG49" s="28" t="s">
        <v>82</v>
      </c>
      <c r="AJ49" s="456"/>
    </row>
    <row r="50" spans="6:36" x14ac:dyDescent="0.3">
      <c r="T50" s="265"/>
      <c r="U50" s="265"/>
      <c r="V50" s="265"/>
    </row>
    <row r="51" spans="6:36" x14ac:dyDescent="0.3">
      <c r="O51" s="460">
        <f>+O41-O43</f>
        <v>64484.244049517627</v>
      </c>
      <c r="P51" s="460">
        <f>+P41-P43</f>
        <v>75876.211479000005</v>
      </c>
      <c r="Q51" s="460">
        <f>+P51-O51</f>
        <v>11391.967429482378</v>
      </c>
      <c r="T51" s="265"/>
      <c r="U51" s="265"/>
      <c r="V51" s="265"/>
      <c r="AC51" s="29"/>
      <c r="AD51" s="28"/>
      <c r="AE51" s="28"/>
      <c r="AF51" s="29"/>
    </row>
    <row r="52" spans="6:36" x14ac:dyDescent="0.3">
      <c r="O52" s="460">
        <f>+O51/100</f>
        <v>644.84244049517622</v>
      </c>
      <c r="P52" s="460">
        <f>+P51/100</f>
        <v>758.76211479000006</v>
      </c>
      <c r="Q52" s="460">
        <f>+P52-O52</f>
        <v>113.91967429482384</v>
      </c>
      <c r="S52" t="s">
        <v>40</v>
      </c>
      <c r="T52" s="212">
        <f>(+T27+T34)/100</f>
        <v>-10.438107240033688</v>
      </c>
      <c r="U52" s="212">
        <f>(+U27+U34)/100</f>
        <v>-30.827352287719464</v>
      </c>
      <c r="V52" s="212">
        <f>+U52-T52</f>
        <v>-20.389245047685776</v>
      </c>
      <c r="W52" s="211">
        <f>+U52/T52-1</f>
        <v>1.9533469602119142</v>
      </c>
      <c r="AC52" s="29"/>
      <c r="AD52" s="28"/>
      <c r="AE52" s="28"/>
      <c r="AF52" s="29"/>
      <c r="AJ52" s="460"/>
    </row>
    <row r="53" spans="6:36" x14ac:dyDescent="0.3">
      <c r="Q53" s="211">
        <f>+P52/O52</f>
        <v>1.1766628049595256</v>
      </c>
      <c r="S53" t="s">
        <v>1</v>
      </c>
      <c r="T53" s="4">
        <f>+T31/100</f>
        <v>-2.8227568210854743</v>
      </c>
      <c r="U53" s="4">
        <f>+U31/100</f>
        <v>-5.4219331822815606</v>
      </c>
      <c r="V53" s="212">
        <f>+U53-T53</f>
        <v>-2.5991763611960863</v>
      </c>
      <c r="AC53" s="29"/>
      <c r="AD53" s="28"/>
      <c r="AE53" s="28"/>
      <c r="AF53" s="29"/>
    </row>
    <row r="54" spans="6:36" x14ac:dyDescent="0.3">
      <c r="S54" t="s">
        <v>44</v>
      </c>
      <c r="T54" s="4">
        <f>(T32+T33)/100</f>
        <v>4.0755446666666666</v>
      </c>
      <c r="U54" s="4">
        <f>(U32+U33)/100</f>
        <v>2.9806800199999999</v>
      </c>
      <c r="V54" s="265">
        <f>+U54-T54</f>
        <v>-1.0948646466666667</v>
      </c>
      <c r="AC54" s="29"/>
      <c r="AD54" s="28"/>
      <c r="AE54" s="28"/>
      <c r="AF54" s="29"/>
      <c r="AJ54" s="460"/>
    </row>
    <row r="55" spans="6:36" x14ac:dyDescent="0.3">
      <c r="S55" s="212" t="s">
        <v>4</v>
      </c>
      <c r="T55" s="212">
        <f>((T48-T43)/100)-T52-T53-T54</f>
        <v>0.58759169000025402</v>
      </c>
      <c r="U55" s="212">
        <f>((U48-U43)/100)-U52-U53-U54</f>
        <v>5.2936233600000104</v>
      </c>
      <c r="V55" s="212">
        <f>+U55-T55</f>
        <v>4.7060316699997564</v>
      </c>
      <c r="AC55" s="29"/>
      <c r="AD55" s="28"/>
      <c r="AE55" s="28"/>
      <c r="AF55" s="29"/>
      <c r="AJ55" s="460"/>
    </row>
    <row r="56" spans="6:36" x14ac:dyDescent="0.3"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>
        <f>SUM(T54:T55)</f>
        <v>4.6631363566669206</v>
      </c>
      <c r="U56" s="212">
        <f>SUM(U54:U55)</f>
        <v>8.2743033800000099</v>
      </c>
      <c r="V56" s="212">
        <f>SUM(V54:V55)</f>
        <v>3.6111670233330897</v>
      </c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J56" s="460"/>
    </row>
    <row r="57" spans="6:36" x14ac:dyDescent="0.3"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>
        <f>SUM(T52:T55)</f>
        <v>-8.5977277044522413</v>
      </c>
      <c r="U57" s="212">
        <f>SUM(U52:U55)</f>
        <v>-27.974982090001014</v>
      </c>
      <c r="V57" s="212">
        <f>+U57-T57</f>
        <v>-19.377254385548774</v>
      </c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J57" s="460"/>
    </row>
    <row r="58" spans="6:36" x14ac:dyDescent="0.3">
      <c r="J58" s="212"/>
      <c r="K58" s="212"/>
      <c r="L58" s="212"/>
      <c r="M58" s="212"/>
      <c r="N58" s="212"/>
      <c r="O58" s="212"/>
      <c r="P58" s="212"/>
      <c r="Q58" s="212"/>
      <c r="R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J58" s="460"/>
    </row>
    <row r="59" spans="6:36" x14ac:dyDescent="0.3"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6:36" x14ac:dyDescent="0.3">
      <c r="J60" s="212"/>
      <c r="K60" s="212"/>
      <c r="L60" s="212"/>
      <c r="M60" s="212"/>
      <c r="N60" s="212"/>
      <c r="O60" s="212"/>
      <c r="P60" s="212"/>
      <c r="Q60" s="212"/>
      <c r="R60" s="212"/>
      <c r="S60" s="212" t="s">
        <v>44</v>
      </c>
      <c r="T60" s="265">
        <f>+(T32+T33)/100</f>
        <v>4.0755446666666666</v>
      </c>
      <c r="U60" s="265">
        <f>+(U32+U33)/100</f>
        <v>2.9806800199999999</v>
      </c>
      <c r="V60" s="212">
        <f>+U60-T60</f>
        <v>-1.0948646466666667</v>
      </c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J60" s="460"/>
    </row>
    <row r="61" spans="6:36" x14ac:dyDescent="0.3">
      <c r="J61" s="212"/>
      <c r="K61" s="212"/>
      <c r="L61" s="212"/>
      <c r="M61" s="212"/>
      <c r="N61" s="212"/>
      <c r="O61" s="212"/>
      <c r="P61" s="212"/>
      <c r="Q61" s="212"/>
      <c r="R61" s="212"/>
      <c r="S61" s="212" t="str">
        <f>+I35</f>
        <v>OPC 소급분</v>
      </c>
      <c r="T61" s="212">
        <f t="shared" ref="T61:U63" si="12">+T35/100</f>
        <v>3.6</v>
      </c>
      <c r="U61" s="212">
        <f t="shared" si="12"/>
        <v>5.336483499999999</v>
      </c>
      <c r="V61" s="212">
        <f>+U61-T61</f>
        <v>1.736483499999999</v>
      </c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J61" s="460"/>
    </row>
    <row r="62" spans="6:36" x14ac:dyDescent="0.3">
      <c r="S62" s="212" t="str">
        <f>+I36</f>
        <v>대손</v>
      </c>
      <c r="T62" s="212">
        <f t="shared" si="12"/>
        <v>0</v>
      </c>
      <c r="U62" s="212">
        <f t="shared" si="12"/>
        <v>1.8444025500000001</v>
      </c>
      <c r="V62" s="212">
        <f>+U62-T62</f>
        <v>1.8444025500000001</v>
      </c>
      <c r="AC62" s="212"/>
      <c r="AD62" s="212"/>
      <c r="AE62" s="212"/>
      <c r="AF62" s="212"/>
      <c r="AJ62" s="460"/>
    </row>
    <row r="63" spans="6:36" x14ac:dyDescent="0.3">
      <c r="S63" s="212" t="str">
        <f>+I37</f>
        <v>미운영 공장</v>
      </c>
      <c r="T63" s="212">
        <f t="shared" si="12"/>
        <v>-0.50681547000000005</v>
      </c>
      <c r="U63" s="212">
        <f t="shared" si="12"/>
        <v>-1.0111445299999999</v>
      </c>
      <c r="V63" s="212">
        <f>+U63-T63</f>
        <v>-0.50432905999999988</v>
      </c>
      <c r="AC63" s="212"/>
      <c r="AD63" s="212"/>
      <c r="AE63" s="212"/>
      <c r="AJ63" s="460"/>
    </row>
    <row r="64" spans="6:36" x14ac:dyDescent="0.3">
      <c r="S64" s="212" t="str">
        <f>+I39</f>
        <v>기타</v>
      </c>
      <c r="T64" s="212">
        <f>+T39/100</f>
        <v>-2.5055928399998031</v>
      </c>
      <c r="U64" s="212">
        <f>+U39/100</f>
        <v>-0.87611815999999176</v>
      </c>
      <c r="V64" s="212">
        <f>+U64-T64</f>
        <v>1.6294746799998112</v>
      </c>
      <c r="AC64" s="212"/>
      <c r="AD64" s="212"/>
      <c r="AE64" s="212"/>
    </row>
    <row r="65" spans="20:31" x14ac:dyDescent="0.3">
      <c r="T65" s="4">
        <f>SUM(T60:T64)</f>
        <v>4.6631363566668638</v>
      </c>
      <c r="U65" s="4">
        <f>SUM(U60:U64)</f>
        <v>8.2743033800000081</v>
      </c>
      <c r="V65" s="4">
        <f>SUM(V60:V64)</f>
        <v>3.6111670233331434</v>
      </c>
      <c r="AC65" s="212"/>
      <c r="AE65" s="212"/>
    </row>
    <row r="66" spans="20:31" x14ac:dyDescent="0.3">
      <c r="AC66" s="212"/>
      <c r="AE66" s="212"/>
    </row>
    <row r="67" spans="20:31" x14ac:dyDescent="0.3">
      <c r="AC67" s="212"/>
      <c r="AE67" s="212"/>
    </row>
    <row r="68" spans="20:31" x14ac:dyDescent="0.3">
      <c r="T68" s="4">
        <f>SUM(T32:T33,T35,T37:T39)</f>
        <v>466.31363566668637</v>
      </c>
      <c r="U68" s="4">
        <f>SUM(U32:U33,U35,U37:U39)</f>
        <v>642.99008300000071</v>
      </c>
      <c r="V68" s="4">
        <f>+U68-T68</f>
        <v>176.67644733331434</v>
      </c>
      <c r="AC68" s="212"/>
      <c r="AE68" s="212"/>
    </row>
    <row r="69" spans="20:31" x14ac:dyDescent="0.3">
      <c r="AC69" s="212"/>
      <c r="AE69" s="212"/>
    </row>
    <row r="70" spans="20:31" x14ac:dyDescent="0.3">
      <c r="T70" s="460">
        <f>+T41-T43</f>
        <v>-776.37103208196027</v>
      </c>
      <c r="U70" s="460">
        <f>+U41-U43</f>
        <v>-2624.1839330000994</v>
      </c>
      <c r="V70" s="460"/>
      <c r="AC70" s="212"/>
      <c r="AE70" s="212"/>
    </row>
    <row r="71" spans="20:31" x14ac:dyDescent="0.3">
      <c r="T71" s="460">
        <f>+T70/100</f>
        <v>-7.7637103208196026</v>
      </c>
      <c r="U71" s="460">
        <f>+U70/100</f>
        <v>-26.241839330000992</v>
      </c>
      <c r="V71" s="460">
        <f>+U71-T71</f>
        <v>-18.478129009181391</v>
      </c>
      <c r="AC71" s="212"/>
      <c r="AE71" s="212"/>
    </row>
    <row r="72" spans="20:31" x14ac:dyDescent="0.3">
      <c r="AC72" s="212"/>
      <c r="AE72" s="212"/>
    </row>
    <row r="73" spans="20:31" x14ac:dyDescent="0.3">
      <c r="AC73" s="212"/>
      <c r="AE73" s="212"/>
    </row>
    <row r="74" spans="20:31" x14ac:dyDescent="0.3">
      <c r="AC74" s="212"/>
      <c r="AE74" s="212"/>
    </row>
    <row r="75" spans="20:31" x14ac:dyDescent="0.3">
      <c r="AC75" s="212"/>
      <c r="AE75" s="212"/>
    </row>
    <row r="76" spans="20:31" x14ac:dyDescent="0.3">
      <c r="AC76" s="212"/>
      <c r="AE76" s="212"/>
    </row>
    <row r="77" spans="20:31" x14ac:dyDescent="0.3">
      <c r="AC77" s="212"/>
      <c r="AE77" s="212"/>
    </row>
    <row r="78" spans="20:31" x14ac:dyDescent="0.3">
      <c r="AC78" s="212"/>
      <c r="AE78" s="212"/>
    </row>
    <row r="79" spans="20:31" x14ac:dyDescent="0.3">
      <c r="AC79" s="212"/>
      <c r="AE79" s="212"/>
    </row>
    <row r="80" spans="20:31" x14ac:dyDescent="0.3">
      <c r="AC80" s="212"/>
    </row>
  </sheetData>
  <mergeCells count="2">
    <mergeCell ref="H5:I6"/>
    <mergeCell ref="I48:I49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34998626667073579"/>
    <pageSetUpPr fitToPage="1"/>
  </sheetPr>
  <dimension ref="D1:Z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Q16" sqref="Q16"/>
      <selection pane="topRight" activeCell="Q16" sqref="Q16"/>
      <selection pane="bottomLeft" activeCell="Q16" sqref="Q16"/>
      <selection pane="bottomRight" activeCell="E8" sqref="E8"/>
    </sheetView>
  </sheetViews>
  <sheetFormatPr defaultRowHeight="16.5" x14ac:dyDescent="0.3"/>
  <cols>
    <col min="1" max="3" width="5.625" style="4" customWidth="1"/>
    <col min="4" max="4" width="9.875" style="4" customWidth="1"/>
    <col min="5" max="7" width="9.625" style="4" customWidth="1"/>
    <col min="8" max="10" width="8.625" style="4" customWidth="1"/>
    <col min="11" max="23" width="9.625" style="4" customWidth="1"/>
    <col min="24" max="16384" width="9" style="4"/>
  </cols>
  <sheetData>
    <row r="1" spans="4:26" ht="9.9499999999999993" customHeight="1" x14ac:dyDescent="0.3"/>
    <row r="2" spans="4:26" ht="9.9499999999999993" hidden="1" customHeight="1" x14ac:dyDescent="0.3"/>
    <row r="3" spans="4:26" ht="9.9499999999999993" customHeight="1" x14ac:dyDescent="0.3"/>
    <row r="4" spans="4:26" ht="31.5" x14ac:dyDescent="0.3">
      <c r="D4" s="368" t="s">
        <v>209</v>
      </c>
      <c r="F4" s="368"/>
      <c r="I4" s="368"/>
      <c r="J4" s="368"/>
    </row>
    <row r="5" spans="4:26" ht="21.95" customHeight="1" x14ac:dyDescent="0.3">
      <c r="W5" s="367" t="s">
        <v>135</v>
      </c>
    </row>
    <row r="6" spans="4:26" ht="24" customHeight="1" thickBot="1" x14ac:dyDescent="0.35">
      <c r="D6" s="693" t="s">
        <v>11</v>
      </c>
      <c r="E6" s="366" t="s">
        <v>134</v>
      </c>
      <c r="F6" s="365"/>
      <c r="G6" s="364"/>
      <c r="H6" s="366" t="s">
        <v>133</v>
      </c>
      <c r="I6" s="365"/>
      <c r="J6" s="365"/>
      <c r="K6" s="364"/>
      <c r="L6" s="366" t="s">
        <v>132</v>
      </c>
      <c r="M6" s="365"/>
      <c r="N6" s="365"/>
      <c r="O6" s="364"/>
      <c r="P6" s="366" t="s">
        <v>131</v>
      </c>
      <c r="Q6" s="365"/>
      <c r="R6" s="365"/>
      <c r="S6" s="364"/>
      <c r="T6" s="366" t="s">
        <v>130</v>
      </c>
      <c r="U6" s="365"/>
      <c r="V6" s="365"/>
      <c r="W6" s="364"/>
    </row>
    <row r="7" spans="4:26" ht="24" customHeight="1" x14ac:dyDescent="0.3">
      <c r="D7" s="694"/>
      <c r="E7" s="362" t="s">
        <v>36</v>
      </c>
      <c r="F7" s="361" t="s">
        <v>37</v>
      </c>
      <c r="G7" s="363" t="s">
        <v>38</v>
      </c>
      <c r="H7" s="362" t="s">
        <v>12</v>
      </c>
      <c r="I7" s="361" t="s">
        <v>13</v>
      </c>
      <c r="J7" s="360" t="s">
        <v>38</v>
      </c>
      <c r="K7" s="359" t="s">
        <v>129</v>
      </c>
      <c r="L7" s="362" t="s">
        <v>12</v>
      </c>
      <c r="M7" s="361" t="s">
        <v>13</v>
      </c>
      <c r="N7" s="360" t="s">
        <v>38</v>
      </c>
      <c r="O7" s="359" t="s">
        <v>129</v>
      </c>
      <c r="P7" s="362" t="s">
        <v>12</v>
      </c>
      <c r="Q7" s="361" t="s">
        <v>13</v>
      </c>
      <c r="R7" s="360" t="s">
        <v>38</v>
      </c>
      <c r="S7" s="359" t="s">
        <v>129</v>
      </c>
      <c r="T7" s="362" t="s">
        <v>12</v>
      </c>
      <c r="U7" s="361" t="s">
        <v>13</v>
      </c>
      <c r="V7" s="360" t="s">
        <v>38</v>
      </c>
      <c r="W7" s="359" t="s">
        <v>129</v>
      </c>
    </row>
    <row r="8" spans="4:26" ht="24" customHeight="1" x14ac:dyDescent="0.3">
      <c r="D8" s="358" t="s">
        <v>32</v>
      </c>
      <c r="E8" s="356">
        <f>+[4]합계!$H$86/1000</f>
        <v>2860.3014334003824</v>
      </c>
      <c r="F8" s="355">
        <f>+[4]합계!$I$86/1000</f>
        <v>1789.9320769999936</v>
      </c>
      <c r="G8" s="354">
        <f t="shared" ref="G8:G28" si="0">+F8-E8</f>
        <v>-1070.3693564003888</v>
      </c>
      <c r="H8" s="356">
        <f>+[4]합계!$T$5/1000</f>
        <v>272</v>
      </c>
      <c r="I8" s="355">
        <f>+[4]합계!$U$5/1000</f>
        <v>272.94799999999998</v>
      </c>
      <c r="J8" s="354">
        <f t="shared" ref="J8:J28" si="1">+I8-H8</f>
        <v>0.94799999999997908</v>
      </c>
      <c r="K8" s="357">
        <f>+[4]합계!$M$86/1000</f>
        <v>-13.403414697135654</v>
      </c>
      <c r="L8" s="356">
        <f>+[4]합계!$Q$85</f>
        <v>101549.81890102028</v>
      </c>
      <c r="M8" s="355">
        <f>+[4]합계!$R$85</f>
        <v>100907.33058181037</v>
      </c>
      <c r="N8" s="354">
        <f t="shared" ref="N8:N28" si="2">+M8-L8</f>
        <v>-642.48831920990779</v>
      </c>
      <c r="O8" s="357">
        <f>+[4]합계!$K$86/1000</f>
        <v>-173.88175373433103</v>
      </c>
      <c r="P8" s="356">
        <f>+[4]합계!$Q$50</f>
        <v>87178.736891375913</v>
      </c>
      <c r="Q8" s="355">
        <f>+[4]합계!$R$50</f>
        <v>90410.314880605074</v>
      </c>
      <c r="R8" s="354">
        <f t="shared" ref="R8:R28" si="3">+Q8-P8</f>
        <v>3231.5779892291612</v>
      </c>
      <c r="S8" s="357">
        <f>+[4]합계!$L$56/1000</f>
        <v>-742.66483035180829</v>
      </c>
      <c r="T8" s="356">
        <f>+([4]합계!$H$80+[4]합계!$H$85)/1000</f>
        <v>1048.632873222879</v>
      </c>
      <c r="U8" s="355">
        <f>+([4]합계!$I$80+[4]합계!$I$85)/1000</f>
        <v>1189.0522308399998</v>
      </c>
      <c r="V8" s="354">
        <f t="shared" ref="V8:V28" si="4">+U8-T8</f>
        <v>140.4193576171208</v>
      </c>
      <c r="W8" s="353">
        <f>+([4]합계!$L$80+[4]합계!$L$85)/1000</f>
        <v>-140.41935761712108</v>
      </c>
      <c r="Y8" s="4">
        <f t="shared" ref="Y8:Y28" si="5">+G8-K8-O8-S8-W8</f>
        <v>7.3328010330442339E-12</v>
      </c>
      <c r="Z8" s="4">
        <f t="shared" ref="Z8:Z28" si="6">+Y8*1000000</f>
        <v>7.3328010330442339E-6</v>
      </c>
    </row>
    <row r="9" spans="4:26" ht="24" customHeight="1" x14ac:dyDescent="0.3">
      <c r="D9" s="352" t="s">
        <v>16</v>
      </c>
      <c r="E9" s="351">
        <f>+[4]수도권!$H$86/1000</f>
        <v>948.83206806252247</v>
      </c>
      <c r="F9" s="350">
        <f>+[4]수도권!$I$86/1000</f>
        <v>719.56240199999866</v>
      </c>
      <c r="G9" s="349">
        <f t="shared" si="0"/>
        <v>-229.26966606252381</v>
      </c>
      <c r="H9" s="351">
        <f>+[4]수도권!$T$5/1000</f>
        <v>107</v>
      </c>
      <c r="I9" s="350">
        <f>+[4]수도권!$U$5/1000</f>
        <v>114.6955</v>
      </c>
      <c r="J9" s="349">
        <f t="shared" si="1"/>
        <v>7.6954999999999956</v>
      </c>
      <c r="K9" s="348">
        <f>+[4]수도권!$M$86/1000</f>
        <v>71.079307859401339</v>
      </c>
      <c r="L9" s="351">
        <f>+[4]수도권!$Q$85</f>
        <v>98524.096654122564</v>
      </c>
      <c r="M9" s="350">
        <f>+[4]수도권!$R$85</f>
        <v>98815.722886796051</v>
      </c>
      <c r="N9" s="349">
        <f t="shared" si="2"/>
        <v>291.62623267348681</v>
      </c>
      <c r="O9" s="348">
        <f>+[4]수도권!$K$86/1000</f>
        <v>32.77718460822021</v>
      </c>
      <c r="P9" s="351">
        <f>+[4]수도권!$Q$50</f>
        <v>86484.424977525778</v>
      </c>
      <c r="Q9" s="350">
        <f>+[4]수도권!$R$50</f>
        <v>89483.171408620459</v>
      </c>
      <c r="R9" s="349">
        <f t="shared" si="3"/>
        <v>2998.7464310946816</v>
      </c>
      <c r="S9" s="348">
        <f>+[4]수도권!$L$56/1000</f>
        <v>-337.12576009348021</v>
      </c>
      <c r="T9" s="351">
        <f>+([4]수도권!$H$80+[4]수도권!$H$85)/1000</f>
        <v>339.41280133333333</v>
      </c>
      <c r="U9" s="350">
        <f>+([4]수도권!$I$80+[4]수도권!$I$85)/1000</f>
        <v>335.41319976999995</v>
      </c>
      <c r="V9" s="349">
        <f t="shared" si="4"/>
        <v>-3.9996015633333855</v>
      </c>
      <c r="W9" s="348">
        <f>+([4]수도권!$L$80+[4]수도권!$L$85)/1000</f>
        <v>3.9996015633333646</v>
      </c>
      <c r="Y9" s="4">
        <f t="shared" si="5"/>
        <v>1.4419576643831533E-12</v>
      </c>
      <c r="Z9" s="4">
        <f t="shared" si="6"/>
        <v>1.4419576643831533E-6</v>
      </c>
    </row>
    <row r="10" spans="4:26" ht="24" customHeight="1" x14ac:dyDescent="0.3">
      <c r="D10" s="347" t="s">
        <v>17</v>
      </c>
      <c r="E10" s="346">
        <f>+[4]영남권!$H$86/1000</f>
        <v>1312.4078227626708</v>
      </c>
      <c r="F10" s="345">
        <f>+[4]영남권!$I$86/1000</f>
        <v>645.96461699999873</v>
      </c>
      <c r="G10" s="344">
        <f t="shared" si="0"/>
        <v>-666.44320576267205</v>
      </c>
      <c r="H10" s="346">
        <f>+[4]영남권!$T$5/1000</f>
        <v>116</v>
      </c>
      <c r="I10" s="345">
        <f>+[4]영남권!$U$5/1000</f>
        <v>106.45050000000001</v>
      </c>
      <c r="J10" s="344">
        <f t="shared" si="1"/>
        <v>-9.5494999999999948</v>
      </c>
      <c r="K10" s="343">
        <f>+[4]영남권!$M$86/1000</f>
        <v>-149.16053605573671</v>
      </c>
      <c r="L10" s="346">
        <f>+[4]영남권!$Q$85</f>
        <v>102882.74675295166</v>
      </c>
      <c r="M10" s="345">
        <f>+[4]영남권!$R$85</f>
        <v>101778.54633843899</v>
      </c>
      <c r="N10" s="344">
        <f t="shared" si="2"/>
        <v>-1104.2004145126702</v>
      </c>
      <c r="O10" s="343">
        <f>+[4]영남권!$K$86/1000</f>
        <v>-117.54268622508101</v>
      </c>
      <c r="P10" s="346">
        <f>+[4]영남권!$Q$50</f>
        <v>87263.024667425023</v>
      </c>
      <c r="Q10" s="345">
        <f>+[4]영남권!$R$50</f>
        <v>90915.544826032463</v>
      </c>
      <c r="R10" s="344">
        <f t="shared" si="3"/>
        <v>3652.52015860744</v>
      </c>
      <c r="S10" s="343">
        <f>+[4]영남권!$L$56/1000</f>
        <v>-256.89709068027588</v>
      </c>
      <c r="T10" s="346">
        <f>+([4]영남권!$H$80+[4]영남권!$H$85)/1000</f>
        <v>499.47993915842034</v>
      </c>
      <c r="U10" s="345">
        <f>+([4]영남권!$I$80+[4]영남권!$I$85)/1000</f>
        <v>642.32283196000014</v>
      </c>
      <c r="V10" s="344">
        <f t="shared" si="4"/>
        <v>142.84289280157981</v>
      </c>
      <c r="W10" s="343">
        <f>+([4]영남권!$L$80+[4]영남권!$L$85)/1000</f>
        <v>-142.84289280157975</v>
      </c>
      <c r="Y10" s="4">
        <f t="shared" si="5"/>
        <v>1.2505552149377763E-12</v>
      </c>
      <c r="Z10" s="4">
        <f t="shared" si="6"/>
        <v>1.2505552149377763E-6</v>
      </c>
    </row>
    <row r="11" spans="4:26" ht="24" customHeight="1" x14ac:dyDescent="0.3">
      <c r="D11" s="342" t="s">
        <v>128</v>
      </c>
      <c r="E11" s="341">
        <f>+[4]중부권!$H$86/1000</f>
        <v>599.06154257518938</v>
      </c>
      <c r="F11" s="340">
        <f>+[4]중부권!$I$86/1000</f>
        <v>424.4050579999996</v>
      </c>
      <c r="G11" s="339">
        <f t="shared" si="0"/>
        <v>-174.65648457518978</v>
      </c>
      <c r="H11" s="341">
        <f>+[4]중부권!$T$5/1000</f>
        <v>49</v>
      </c>
      <c r="I11" s="340">
        <f>+[4]중부권!$U$5/1000</f>
        <v>51.802</v>
      </c>
      <c r="J11" s="339">
        <f t="shared" si="1"/>
        <v>2.8019999999999996</v>
      </c>
      <c r="K11" s="338">
        <f>+[4]중부권!$M$86/1000</f>
        <v>46.140395492459938</v>
      </c>
      <c r="L11" s="341">
        <f>+[4]중부권!$Q$85</f>
        <v>105001.50562742859</v>
      </c>
      <c r="M11" s="340">
        <f>+[4]중부권!$R$85</f>
        <v>103655.65271368716</v>
      </c>
      <c r="N11" s="339">
        <f t="shared" si="2"/>
        <v>-1345.8529137414298</v>
      </c>
      <c r="O11" s="338">
        <f>+[4]중부권!$K$86/1000</f>
        <v>-69.705759961409868</v>
      </c>
      <c r="P11" s="341">
        <f>+[4]중부권!$Q$50</f>
        <v>88495.348988524187</v>
      </c>
      <c r="Q11" s="340">
        <f>+[4]중부권!$R$50</f>
        <v>91382.759949840838</v>
      </c>
      <c r="R11" s="339">
        <f t="shared" si="3"/>
        <v>2887.4109613166511</v>
      </c>
      <c r="S11" s="338">
        <f>+[4]중부권!$L$56/1000</f>
        <v>-149.51505372736506</v>
      </c>
      <c r="T11" s="341">
        <f>+([4]중부권!$H$80+[4]중부권!$H$85)/1000</f>
        <v>209.74013273112516</v>
      </c>
      <c r="U11" s="340">
        <f>+([4]중부권!$I$80+[4]중부권!$I$85)/1000</f>
        <v>211.31619910999999</v>
      </c>
      <c r="V11" s="339">
        <f t="shared" si="4"/>
        <v>1.5760663788748275</v>
      </c>
      <c r="W11" s="338">
        <f>+([4]중부권!$L$80+[4]중부권!$L$85)/1000</f>
        <v>-1.5760663788748095</v>
      </c>
      <c r="Y11" s="4">
        <f t="shared" si="5"/>
        <v>3.8857805861880479E-14</v>
      </c>
      <c r="Z11" s="4">
        <f t="shared" si="6"/>
        <v>3.8857805861880479E-8</v>
      </c>
    </row>
    <row r="12" spans="4:26" ht="24" customHeight="1" x14ac:dyDescent="0.3">
      <c r="D12" s="337" t="s">
        <v>18</v>
      </c>
      <c r="E12" s="335">
        <f>+[4]안양!$H$86/1000</f>
        <v>492.29041057681684</v>
      </c>
      <c r="F12" s="334">
        <f>+[4]안양!$I$86/1000</f>
        <v>358.71954199999999</v>
      </c>
      <c r="G12" s="336">
        <f t="shared" si="0"/>
        <v>-133.57086857681685</v>
      </c>
      <c r="H12" s="335">
        <f>+[4]안양!$T$5/1000</f>
        <v>40</v>
      </c>
      <c r="I12" s="334">
        <f>+[4]안양!$U$5/1000</f>
        <v>42.103999999999999</v>
      </c>
      <c r="J12" s="333">
        <f t="shared" si="1"/>
        <v>2.1039999999999992</v>
      </c>
      <c r="K12" s="332">
        <f>+[4]안양!$M$86/1000</f>
        <v>27.804361919604037</v>
      </c>
      <c r="L12" s="335">
        <f>+[4]안양!$Q$85</f>
        <v>97956.859449999989</v>
      </c>
      <c r="M12" s="334">
        <f>+[4]안양!$R$85</f>
        <v>97182.938119404411</v>
      </c>
      <c r="N12" s="333">
        <f t="shared" si="2"/>
        <v>-773.92133059557818</v>
      </c>
      <c r="O12" s="332">
        <f>+[4]안양!$K$86/1000</f>
        <v>-32.329789664299682</v>
      </c>
      <c r="P12" s="335">
        <f>+[4]안양!$Q$50</f>
        <v>83120.691513357378</v>
      </c>
      <c r="Q12" s="334">
        <f>+[4]안양!$R$50</f>
        <v>86130.544392858836</v>
      </c>
      <c r="R12" s="333">
        <f t="shared" si="3"/>
        <v>3009.8528795014572</v>
      </c>
      <c r="S12" s="332">
        <f>+[4]안양!$L$56/1000</f>
        <v>-125.78585454100941</v>
      </c>
      <c r="T12" s="335">
        <f>+([4]안양!$H$80+[4]안양!$H$85)/1000</f>
        <v>101.15630688888888</v>
      </c>
      <c r="U12" s="334">
        <f>+([4]안양!$I$80+[4]안양!$I$85)/1000</f>
        <v>104.41589317999998</v>
      </c>
      <c r="V12" s="333">
        <f t="shared" si="4"/>
        <v>3.2595862911111055</v>
      </c>
      <c r="W12" s="332">
        <f>+([4]안양!$L$80+[4]안양!$L$85)/1000</f>
        <v>-3.2595862911111064</v>
      </c>
      <c r="Y12" s="4">
        <f t="shared" si="5"/>
        <v>-6.9544370262519806E-13</v>
      </c>
      <c r="Z12" s="4">
        <f t="shared" si="6"/>
        <v>-6.9544370262519806E-7</v>
      </c>
    </row>
    <row r="13" spans="4:26" ht="24" customHeight="1" x14ac:dyDescent="0.3">
      <c r="D13" s="324" t="s">
        <v>19</v>
      </c>
      <c r="E13" s="321">
        <f>+[4]인천!$H$86/1000</f>
        <v>290.24791259163709</v>
      </c>
      <c r="F13" s="320">
        <f>+[4]인천!$I$86/1000</f>
        <v>121.5899079999995</v>
      </c>
      <c r="G13" s="322">
        <f t="shared" si="0"/>
        <v>-168.65800459163759</v>
      </c>
      <c r="H13" s="321">
        <f>+[4]인천!$T$5/1000</f>
        <v>35</v>
      </c>
      <c r="I13" s="320">
        <f>+[4]인천!$U$5/1000</f>
        <v>35.418500000000002</v>
      </c>
      <c r="J13" s="139">
        <f t="shared" si="1"/>
        <v>0.41850000000000165</v>
      </c>
      <c r="K13" s="319">
        <f>+[4]인천!$M$86/1000</f>
        <v>3.2039427695442426</v>
      </c>
      <c r="L13" s="321">
        <f>+[4]인천!$Q$85</f>
        <v>99830.197268317526</v>
      </c>
      <c r="M13" s="320">
        <f>+[4]인천!$R$85</f>
        <v>99671.435961535724</v>
      </c>
      <c r="N13" s="139">
        <f t="shared" si="2"/>
        <v>-158.76130678180198</v>
      </c>
      <c r="O13" s="319">
        <f>+[4]인천!$K$86/1000</f>
        <v>-5.5886361406796023</v>
      </c>
      <c r="P13" s="321">
        <f>+[4]인천!$Q$50</f>
        <v>88567.449032365985</v>
      </c>
      <c r="Q13" s="320">
        <f>+[4]인천!$R$50</f>
        <v>93206.180162777149</v>
      </c>
      <c r="R13" s="139">
        <f t="shared" si="3"/>
        <v>4638.7311304111645</v>
      </c>
      <c r="S13" s="319">
        <f>+[4]인천!$L$56/1000</f>
        <v>-163.29029295716884</v>
      </c>
      <c r="T13" s="321">
        <f>+([4]인천!$H$80+[4]인천!$H$85)/1000</f>
        <v>103.94827566666669</v>
      </c>
      <c r="U13" s="320">
        <f>+([4]인천!$I$80+[4]인천!$I$85)/1000</f>
        <v>106.93129393</v>
      </c>
      <c r="V13" s="139">
        <f t="shared" si="4"/>
        <v>2.9830182633333067</v>
      </c>
      <c r="W13" s="319">
        <f>+([4]인천!$L$80+[4]인천!$L$85)/1000</f>
        <v>-2.9830182633333306</v>
      </c>
      <c r="Y13" s="4">
        <f t="shared" si="5"/>
        <v>-7.5495165674510645E-14</v>
      </c>
      <c r="Z13" s="4">
        <f t="shared" si="6"/>
        <v>-7.5495165674510645E-8</v>
      </c>
    </row>
    <row r="14" spans="4:26" ht="24" customHeight="1" x14ac:dyDescent="0.3">
      <c r="D14" s="324" t="s">
        <v>20</v>
      </c>
      <c r="E14" s="321">
        <f>+[4]파주!$H$86/1000</f>
        <v>74.264372705527109</v>
      </c>
      <c r="F14" s="320">
        <f>+[4]파주!$I$86/1000</f>
        <v>129.07579299999983</v>
      </c>
      <c r="G14" s="322">
        <f t="shared" si="0"/>
        <v>54.811420294472725</v>
      </c>
      <c r="H14" s="321">
        <f>+[4]파주!$T$5/1000</f>
        <v>17</v>
      </c>
      <c r="I14" s="320">
        <f>+[4]파주!$U$5/1000</f>
        <v>19.506</v>
      </c>
      <c r="J14" s="139">
        <f t="shared" si="1"/>
        <v>2.5060000000000002</v>
      </c>
      <c r="K14" s="319">
        <f>+[4]파주!$M$86/1000</f>
        <v>12.231301505731594</v>
      </c>
      <c r="L14" s="321">
        <f>+[4]파주!$Q$85</f>
        <v>98709.868905882351</v>
      </c>
      <c r="M14" s="320">
        <f>+[4]파주!$R$85</f>
        <v>100911.57941437444</v>
      </c>
      <c r="N14" s="139">
        <f t="shared" si="2"/>
        <v>2201.7105084920913</v>
      </c>
      <c r="O14" s="319">
        <f>+[4]파주!$K$86/1000</f>
        <v>39.701243889129394</v>
      </c>
      <c r="P14" s="321">
        <f>+[4]파주!$Q$50</f>
        <v>89861.514733661796</v>
      </c>
      <c r="Q14" s="320">
        <f>+[4]파주!$R$50</f>
        <v>90264.844221384206</v>
      </c>
      <c r="R14" s="139">
        <f t="shared" si="3"/>
        <v>403.3294877224107</v>
      </c>
      <c r="S14" s="319">
        <f>+[4]파주!$L$56/1000</f>
        <v>-7.272837502610443</v>
      </c>
      <c r="T14" s="321">
        <f>+([4]파주!$H$80+[4]파주!$H$85)/1000</f>
        <v>76.157648222222221</v>
      </c>
      <c r="U14" s="320">
        <f>+([4]파주!$I$80+[4]파주!$I$85)/1000</f>
        <v>66.005935820000005</v>
      </c>
      <c r="V14" s="139">
        <f t="shared" si="4"/>
        <v>-10.151712402222216</v>
      </c>
      <c r="W14" s="319">
        <f>+([4]파주!$L$80+[4]파주!$L$85)/1000</f>
        <v>10.151712402222223</v>
      </c>
      <c r="Y14" s="4">
        <f t="shared" si="5"/>
        <v>-4.2632564145606011E-14</v>
      </c>
      <c r="Z14" s="4">
        <f t="shared" si="6"/>
        <v>-4.2632564145606011E-8</v>
      </c>
    </row>
    <row r="15" spans="4:26" ht="24" customHeight="1" x14ac:dyDescent="0.3">
      <c r="D15" s="324" t="s">
        <v>106</v>
      </c>
      <c r="E15" s="321">
        <f>+[4]김포!$H$86/1000</f>
        <v>92.02937218854025</v>
      </c>
      <c r="F15" s="320">
        <f>+[4]김포!$I$86/1000</f>
        <v>110.17715899999999</v>
      </c>
      <c r="G15" s="322">
        <f t="shared" si="0"/>
        <v>18.147786811459738</v>
      </c>
      <c r="H15" s="321">
        <f>+[4]김포!$T$5/1000</f>
        <v>15</v>
      </c>
      <c r="I15" s="320">
        <f>+[4]김포!$U$5/1000</f>
        <v>17.667000000000002</v>
      </c>
      <c r="J15" s="139">
        <f t="shared" si="1"/>
        <v>2.6670000000000016</v>
      </c>
      <c r="K15" s="319">
        <f>+[4]김포!$M$86/1000</f>
        <v>24.510634888677131</v>
      </c>
      <c r="L15" s="321">
        <f>+[4]김포!$Q$85</f>
        <v>96778.619213333324</v>
      </c>
      <c r="M15" s="320">
        <f>+[4]김포!$R$85</f>
        <v>98832.579283372645</v>
      </c>
      <c r="N15" s="139">
        <f t="shared" si="2"/>
        <v>2053.9600700393203</v>
      </c>
      <c r="O15" s="319">
        <f>+[4]김포!$K$86/1000</f>
        <v>35.712203737773663</v>
      </c>
      <c r="P15" s="321">
        <f>+[4]김포!$Q$50</f>
        <v>86766.623030393603</v>
      </c>
      <c r="Q15" s="331">
        <f>+[4]김포!$R$50</f>
        <v>89192.479740214956</v>
      </c>
      <c r="R15" s="139">
        <f t="shared" si="3"/>
        <v>2425.8567098213534</v>
      </c>
      <c r="S15" s="319">
        <f>+[4]김포!$L$56/1000</f>
        <v>-42.165545530546574</v>
      </c>
      <c r="T15" s="321">
        <f>+([4]김포!$H$80+[4]김포!$H$85)/1000</f>
        <v>58.150570555555561</v>
      </c>
      <c r="U15" s="320">
        <f>+([4]김포!$I$80+[4]김포!$I$85)/1000</f>
        <v>58.060076839999994</v>
      </c>
      <c r="V15" s="139">
        <f t="shared" si="4"/>
        <v>-9.0493715555567178E-2</v>
      </c>
      <c r="W15" s="319">
        <f>+([4]김포!$L$80+[4]김포!$L$85)/1000</f>
        <v>9.0493715555560808E-2</v>
      </c>
      <c r="Y15" s="4">
        <f t="shared" si="5"/>
        <v>-4.3368086899420177E-14</v>
      </c>
      <c r="Z15" s="4">
        <f t="shared" si="6"/>
        <v>-4.3368086899420177E-8</v>
      </c>
    </row>
    <row r="16" spans="4:26" ht="24" customHeight="1" x14ac:dyDescent="0.3">
      <c r="D16" s="330" t="s">
        <v>21</v>
      </c>
      <c r="E16" s="328">
        <f>+[4]부산!$H$86/1000</f>
        <v>229.16261316560337</v>
      </c>
      <c r="F16" s="327">
        <f>+[4]부산!$I$86/1000</f>
        <v>200.10526100000016</v>
      </c>
      <c r="G16" s="329">
        <f t="shared" si="0"/>
        <v>-29.05735216560322</v>
      </c>
      <c r="H16" s="328">
        <f>+[4]부산!$T$5/1000</f>
        <v>20</v>
      </c>
      <c r="I16" s="327">
        <f>+[4]부산!$U$5/1000</f>
        <v>20.768000000000001</v>
      </c>
      <c r="J16" s="326">
        <f t="shared" si="1"/>
        <v>0.76800000000000068</v>
      </c>
      <c r="K16" s="325">
        <f>+[4]부산!$M$86/1000</f>
        <v>12.979399046359161</v>
      </c>
      <c r="L16" s="328">
        <f>+[4]부산!$Q$85</f>
        <v>108302.89035</v>
      </c>
      <c r="M16" s="327">
        <f>+[4]부산!$R$85</f>
        <v>115306.91448382125</v>
      </c>
      <c r="N16" s="326">
        <f t="shared" si="2"/>
        <v>7004.0241338212509</v>
      </c>
      <c r="O16" s="325">
        <f>+[4]부산!$K$86/1000</f>
        <v>145.45957321119971</v>
      </c>
      <c r="P16" s="328">
        <f>+[4]부산!$Q$50</f>
        <v>91402.631175053175</v>
      </c>
      <c r="Q16" s="327">
        <f>+[4]부산!$R$50</f>
        <v>100770.86980569448</v>
      </c>
      <c r="R16" s="326">
        <f t="shared" si="3"/>
        <v>9368.23863064131</v>
      </c>
      <c r="S16" s="325">
        <f>+[4]부산!$L$56/1000</f>
        <v>-121.5186552164954</v>
      </c>
      <c r="T16" s="328">
        <f>+([4]부산!$H$80+[4]부산!$H$85)/1000</f>
        <v>108.84257033333334</v>
      </c>
      <c r="U16" s="327">
        <f>+([4]부산!$I$80+[4]부산!$I$85)/1000</f>
        <v>174.82023954000002</v>
      </c>
      <c r="V16" s="326">
        <f t="shared" si="4"/>
        <v>65.977669206666675</v>
      </c>
      <c r="W16" s="325">
        <f>+([4]부산!$L$80+[4]부산!$L$85)/1000</f>
        <v>-65.977669206666661</v>
      </c>
      <c r="Y16" s="4">
        <f t="shared" si="5"/>
        <v>0</v>
      </c>
      <c r="Z16" s="4">
        <f t="shared" si="6"/>
        <v>0</v>
      </c>
    </row>
    <row r="17" spans="4:26" ht="24" customHeight="1" x14ac:dyDescent="0.3">
      <c r="D17" s="324" t="s">
        <v>22</v>
      </c>
      <c r="E17" s="321">
        <f>+[4]서부산!$H$86/1000</f>
        <v>350.38967946287261</v>
      </c>
      <c r="F17" s="320">
        <f>+[4]서부산!$I$86/1000</f>
        <v>165.79219199999986</v>
      </c>
      <c r="G17" s="322">
        <f t="shared" si="0"/>
        <v>-184.59748746287275</v>
      </c>
      <c r="H17" s="321">
        <f>+[4]서부산!$T$5/1000</f>
        <v>21</v>
      </c>
      <c r="I17" s="320">
        <f>+[4]서부산!$U$5/1000</f>
        <v>22.096</v>
      </c>
      <c r="J17" s="139">
        <f t="shared" si="1"/>
        <v>1.0960000000000001</v>
      </c>
      <c r="K17" s="319">
        <f>+[4]서부산!$M$86/1000</f>
        <v>22.687653362231604</v>
      </c>
      <c r="L17" s="321">
        <f>+[4]서부산!$Q$85</f>
        <v>104005.5389104762</v>
      </c>
      <c r="M17" s="320">
        <f>+[4]서부산!$R$85</f>
        <v>100945.8046705286</v>
      </c>
      <c r="N17" s="139">
        <f t="shared" si="2"/>
        <v>-3059.7342399476038</v>
      </c>
      <c r="O17" s="319">
        <f>+[4]서부산!$K$86/1000</f>
        <v>-67.607887765882253</v>
      </c>
      <c r="P17" s="321">
        <f>+[4]서부산!$Q$50</f>
        <v>83305.125258805012</v>
      </c>
      <c r="Q17" s="320">
        <f>+[4]서부산!$R$50</f>
        <v>89643.189400796531</v>
      </c>
      <c r="R17" s="139">
        <f t="shared" si="3"/>
        <v>6338.0641419915191</v>
      </c>
      <c r="S17" s="319">
        <f>+[4]서부산!$L$56/1000</f>
        <v>-99.871191721444035</v>
      </c>
      <c r="T17" s="321">
        <f>+([4]서부산!$H$80+[4]서부산!$H$85)/1000</f>
        <v>84.319007222222226</v>
      </c>
      <c r="U17" s="320">
        <f>+([4]서부산!$I$80+[4]서부산!$I$85)/1000</f>
        <v>124.12506856000002</v>
      </c>
      <c r="V17" s="139">
        <f t="shared" si="4"/>
        <v>39.806061337777791</v>
      </c>
      <c r="W17" s="319">
        <f>+([4]서부산!$L$80+[4]서부산!$L$85)/1000</f>
        <v>-39.806061337777791</v>
      </c>
      <c r="Y17" s="4">
        <f t="shared" si="5"/>
        <v>-2.7000623958883807E-13</v>
      </c>
      <c r="Z17" s="4">
        <f t="shared" si="6"/>
        <v>-2.7000623958883807E-7</v>
      </c>
    </row>
    <row r="18" spans="4:26" ht="24" customHeight="1" x14ac:dyDescent="0.3">
      <c r="D18" s="324" t="s">
        <v>23</v>
      </c>
      <c r="E18" s="321">
        <f>+[4]김해!$H$86/1000</f>
        <v>79.709608372434801</v>
      </c>
      <c r="F18" s="320">
        <f>+[4]김해!$I$86/1000</f>
        <v>-7.4025450000000657</v>
      </c>
      <c r="G18" s="322">
        <f t="shared" si="0"/>
        <v>-87.112153372434861</v>
      </c>
      <c r="H18" s="321">
        <f>+[4]김해!$T$5/1000</f>
        <v>10</v>
      </c>
      <c r="I18" s="320">
        <f>+[4]김해!$U$5/1000</f>
        <v>6.351</v>
      </c>
      <c r="J18" s="139">
        <f t="shared" si="1"/>
        <v>-3.649</v>
      </c>
      <c r="K18" s="319">
        <f>+[4]김해!$M$86/1000</f>
        <v>-45.862910814768114</v>
      </c>
      <c r="L18" s="321">
        <f>+[4]김해!$Q$85</f>
        <v>101293.38088</v>
      </c>
      <c r="M18" s="320">
        <f>+[4]김해!$R$85</f>
        <v>98414.61187214611</v>
      </c>
      <c r="N18" s="139">
        <f t="shared" si="2"/>
        <v>-2878.7690078538872</v>
      </c>
      <c r="O18" s="319">
        <f>+[4]김해!$K$86/1000</f>
        <v>-18.283061968880041</v>
      </c>
      <c r="P18" s="321">
        <f>+[4]김해!$Q$50</f>
        <v>88724.756376089863</v>
      </c>
      <c r="Q18" s="320">
        <f>+[4]김해!$R$50</f>
        <v>92269.603999370185</v>
      </c>
      <c r="R18" s="139">
        <f t="shared" si="3"/>
        <v>3544.8476232803223</v>
      </c>
      <c r="S18" s="319">
        <f>+[4]김해!$L$56/1000</f>
        <v>-19.604195515453387</v>
      </c>
      <c r="T18" s="321">
        <f>+([4]김해!$H$80+[4]김해!$H$85)/1000</f>
        <v>45.976636666666664</v>
      </c>
      <c r="U18" s="320">
        <f>+([4]김해!$I$80+[4]김해!$I$85)/1000</f>
        <v>49.338621739999994</v>
      </c>
      <c r="V18" s="139">
        <f t="shared" si="4"/>
        <v>3.3619850733333294</v>
      </c>
      <c r="W18" s="319">
        <f>+([4]김해!$L$80+[4]김해!$L$85)/1000</f>
        <v>-3.3619850733333352</v>
      </c>
      <c r="Y18" s="4">
        <f t="shared" si="5"/>
        <v>1.6431300764452317E-14</v>
      </c>
      <c r="Z18" s="4">
        <f t="shared" si="6"/>
        <v>1.6431300764452317E-8</v>
      </c>
    </row>
    <row r="19" spans="4:26" ht="24" customHeight="1" x14ac:dyDescent="0.3">
      <c r="D19" s="324" t="s">
        <v>24</v>
      </c>
      <c r="E19" s="321">
        <f>+[4]정관!$H$86/1000</f>
        <v>322.85638640773635</v>
      </c>
      <c r="F19" s="320">
        <f>+[4]정관!$I$86/1000</f>
        <v>160.08658900000003</v>
      </c>
      <c r="G19" s="322">
        <f t="shared" si="0"/>
        <v>-162.76979740773632</v>
      </c>
      <c r="H19" s="321">
        <f>+[4]정관!$T$5/1000</f>
        <v>22</v>
      </c>
      <c r="I19" s="320">
        <f>+[4]정관!$U$5/1000</f>
        <v>18.285</v>
      </c>
      <c r="J19" s="139">
        <f t="shared" si="1"/>
        <v>-3.7149999999999999</v>
      </c>
      <c r="K19" s="319">
        <f>+[4]정관!$M$86/1000</f>
        <v>-66.346454744079153</v>
      </c>
      <c r="L19" s="321">
        <f>+[4]정관!$Q$85</f>
        <v>106108.08428545456</v>
      </c>
      <c r="M19" s="320">
        <f>+[4]정관!$R$85</f>
        <v>102762.76729559748</v>
      </c>
      <c r="N19" s="139">
        <f t="shared" si="2"/>
        <v>-3345.3169898570777</v>
      </c>
      <c r="O19" s="319">
        <f>+[4]정관!$K$86/1000</f>
        <v>-61.169121159536672</v>
      </c>
      <c r="P19" s="321">
        <f>+[4]정관!$Q$50</f>
        <v>88249.011676012015</v>
      </c>
      <c r="Q19" s="320">
        <f>+[4]정관!$R$50</f>
        <v>89849.6415207549</v>
      </c>
      <c r="R19" s="139">
        <f t="shared" si="3"/>
        <v>1600.6298447428853</v>
      </c>
      <c r="S19" s="319">
        <f>+[4]정관!$L$56/1000</f>
        <v>-19.854302014120353</v>
      </c>
      <c r="T19" s="321">
        <f>+([4]정관!$H$80+[4]정관!$H$85)/1000</f>
        <v>70.043211000000014</v>
      </c>
      <c r="U19" s="320">
        <f>+([4]정관!$I$80+[4]정관!$I$85)/1000</f>
        <v>85.443130490000001</v>
      </c>
      <c r="V19" s="139">
        <f t="shared" si="4"/>
        <v>15.399919489999988</v>
      </c>
      <c r="W19" s="319">
        <f>+([4]정관!$L$80+[4]정관!$L$85)/1000</f>
        <v>-15.399919489999993</v>
      </c>
      <c r="Y19" s="4">
        <f t="shared" si="5"/>
        <v>-1.4743761767022079E-13</v>
      </c>
      <c r="Z19" s="4">
        <f t="shared" si="6"/>
        <v>-1.4743761767022079E-7</v>
      </c>
    </row>
    <row r="20" spans="4:26" ht="24" customHeight="1" x14ac:dyDescent="0.3">
      <c r="D20" s="324" t="s">
        <v>25</v>
      </c>
      <c r="E20" s="321">
        <f>+[4]양산!$H$86/1000</f>
        <v>116.98910613216604</v>
      </c>
      <c r="F20" s="320">
        <f>+[4]양산!$I$86/1000</f>
        <v>18.913597999999936</v>
      </c>
      <c r="G20" s="322">
        <f t="shared" si="0"/>
        <v>-98.075508132166107</v>
      </c>
      <c r="H20" s="321">
        <f>+[4]양산!$T$5/1000</f>
        <v>10</v>
      </c>
      <c r="I20" s="320">
        <f>+[4]양산!$U$5/1000</f>
        <v>7.2089999999999996</v>
      </c>
      <c r="J20" s="139">
        <f t="shared" si="1"/>
        <v>-2.7910000000000004</v>
      </c>
      <c r="K20" s="319">
        <f>+[4]양산!$M$86/1000</f>
        <v>-44.190031267832005</v>
      </c>
      <c r="L20" s="321">
        <f>+[4]양산!$Q$85</f>
        <v>100810.10890000002</v>
      </c>
      <c r="M20" s="320">
        <f>+[4]양산!$R$85</f>
        <v>98465.654043556671</v>
      </c>
      <c r="N20" s="139">
        <f t="shared" si="2"/>
        <v>-2344.4548564433499</v>
      </c>
      <c r="O20" s="319">
        <f>+[4]양산!$K$86/1000</f>
        <v>-16.901175060100108</v>
      </c>
      <c r="P20" s="321">
        <f>+[4]양산!$Q$50</f>
        <v>84977.062942338962</v>
      </c>
      <c r="Q20" s="320">
        <f>+[4]양산!$R$50</f>
        <v>89839.474129560273</v>
      </c>
      <c r="R20" s="139">
        <f t="shared" si="3"/>
        <v>4862.4111872213107</v>
      </c>
      <c r="S20" s="319">
        <f>+[4]양산!$L$56/1000</f>
        <v>-34.705440358678487</v>
      </c>
      <c r="T20" s="321">
        <f>+([4]양산!$H$80+[4]양산!$H$85)/1000</f>
        <v>41.341353444444451</v>
      </c>
      <c r="U20" s="320">
        <f>+([4]양산!$I$80+[4]양산!$I$85)/1000</f>
        <v>43.62021489</v>
      </c>
      <c r="V20" s="139">
        <f t="shared" si="4"/>
        <v>2.2788614455555489</v>
      </c>
      <c r="W20" s="319">
        <f>+([4]양산!$L$80+[4]양산!$L$85)/1000</f>
        <v>-2.278861445555556</v>
      </c>
      <c r="Y20" s="4">
        <f t="shared" si="5"/>
        <v>4.9737991503207013E-14</v>
      </c>
      <c r="Z20" s="4">
        <f t="shared" si="6"/>
        <v>4.9737991503207013E-8</v>
      </c>
    </row>
    <row r="21" spans="4:26" ht="24" customHeight="1" x14ac:dyDescent="0.3">
      <c r="D21" s="324" t="s">
        <v>26</v>
      </c>
      <c r="E21" s="321">
        <f>+[4]창원!$H$86/1000</f>
        <v>98.886576349705578</v>
      </c>
      <c r="F21" s="320">
        <f>+[4]창원!$I$86/1000</f>
        <v>73.953798000000077</v>
      </c>
      <c r="G21" s="322">
        <f t="shared" si="0"/>
        <v>-24.932778349705501</v>
      </c>
      <c r="H21" s="321">
        <f>+[4]창원!$T$5/1000</f>
        <v>13</v>
      </c>
      <c r="I21" s="320">
        <f>+[4]창원!$U$5/1000</f>
        <v>11.571</v>
      </c>
      <c r="J21" s="139">
        <f t="shared" si="1"/>
        <v>-1.4290000000000003</v>
      </c>
      <c r="K21" s="319">
        <f>+[4]창원!$M$86/1000</f>
        <v>-17.352466341620179</v>
      </c>
      <c r="L21" s="321">
        <f>+[4]창원!$Q$85</f>
        <v>97381.761444799282</v>
      </c>
      <c r="M21" s="320">
        <f>+[4]창원!$R$85</f>
        <v>93656.434188920583</v>
      </c>
      <c r="N21" s="139">
        <f t="shared" si="2"/>
        <v>-3725.3272558786994</v>
      </c>
      <c r="O21" s="319">
        <f>+[4]창원!$K$86/1000</f>
        <v>-43.105761677772435</v>
      </c>
      <c r="P21" s="321">
        <f>+[4]창원!$Q$50</f>
        <v>85238.677930719365</v>
      </c>
      <c r="Q21" s="320">
        <f>+[4]창원!$R$50</f>
        <v>81324.16014173365</v>
      </c>
      <c r="R21" s="139">
        <f t="shared" si="3"/>
        <v>-3914.517788985715</v>
      </c>
      <c r="S21" s="319">
        <f>+[4]창원!$L$56/1000</f>
        <v>49.905058596353655</v>
      </c>
      <c r="T21" s="321">
        <f>+([4]창원!$H$80+[4]창원!$H$85)/1000</f>
        <v>58.973509333333332</v>
      </c>
      <c r="U21" s="320">
        <f>+([4]창원!$I$80+[4]창원!$I$85)/1000</f>
        <v>73.353118260000002</v>
      </c>
      <c r="V21" s="139">
        <f t="shared" si="4"/>
        <v>14.37960892666667</v>
      </c>
      <c r="W21" s="319">
        <f>+([4]창원!$L$80+[4]창원!$L$85)/1000</f>
        <v>-14.379608926666668</v>
      </c>
      <c r="Y21" s="4">
        <f t="shared" si="5"/>
        <v>1.2612133559741778E-13</v>
      </c>
      <c r="Z21" s="4">
        <f t="shared" si="6"/>
        <v>1.2612133559741778E-7</v>
      </c>
    </row>
    <row r="22" spans="4:26" ht="24" customHeight="1" x14ac:dyDescent="0.3">
      <c r="D22" s="324" t="s">
        <v>127</v>
      </c>
      <c r="E22" s="321">
        <f>+[4]대구!$H$86/1000</f>
        <v>19.577609131998745</v>
      </c>
      <c r="F22" s="320">
        <f>+[4]대구!$I$86/1000</f>
        <v>-79.863768000000022</v>
      </c>
      <c r="G22" s="322">
        <f t="shared" si="0"/>
        <v>-99.441377131998763</v>
      </c>
      <c r="H22" s="321">
        <f>+[4]대구!$T$5/1000</f>
        <v>8.5</v>
      </c>
      <c r="I22" s="320">
        <f>+[4]대구!$U$5/1000</f>
        <v>5.7134999999999998</v>
      </c>
      <c r="J22" s="139">
        <f t="shared" si="1"/>
        <v>-2.7865000000000002</v>
      </c>
      <c r="K22" s="319">
        <f>+[4]대구!$M$86/1000</f>
        <v>-21.219461256475391</v>
      </c>
      <c r="L22" s="321">
        <f>+[4]대구!$Q$85</f>
        <v>90281.701571764701</v>
      </c>
      <c r="M22" s="320">
        <f>+[4]대구!$R$85</f>
        <v>77590.486916951078</v>
      </c>
      <c r="N22" s="139">
        <f t="shared" si="2"/>
        <v>-12691.214654813622</v>
      </c>
      <c r="O22" s="319">
        <f>+[4]대구!$K$86/1000</f>
        <v>-72.51125493027763</v>
      </c>
      <c r="P22" s="321">
        <f>+[4]대구!$Q$50</f>
        <v>82666.606916650635</v>
      </c>
      <c r="Q22" s="320">
        <f>+[4]대구!$R$50</f>
        <v>83871.355736413752</v>
      </c>
      <c r="R22" s="139">
        <f t="shared" si="3"/>
        <v>1204.7488197631174</v>
      </c>
      <c r="S22" s="319">
        <f>+[4]대구!$L$56/1000</f>
        <v>-6.8833288217166961</v>
      </c>
      <c r="T22" s="321">
        <f>+([4]대구!$H$80+[4]대구!$H$85)/1000</f>
        <v>45.150695436470897</v>
      </c>
      <c r="U22" s="320">
        <f>+([4]대구!$I$80+[4]대구!$I$85)/1000</f>
        <v>43.978027560000001</v>
      </c>
      <c r="V22" s="139">
        <f t="shared" si="4"/>
        <v>-1.1726678764708964</v>
      </c>
      <c r="W22" s="319">
        <f>+([4]대구!$L$80+[4]대구!$L$85)/1000</f>
        <v>1.1726678764708902</v>
      </c>
      <c r="Y22" s="4">
        <f t="shared" si="5"/>
        <v>7.1054273576010019E-14</v>
      </c>
      <c r="Z22" s="4">
        <f t="shared" si="6"/>
        <v>7.1054273576010019E-8</v>
      </c>
    </row>
    <row r="23" spans="4:26" ht="24" customHeight="1" x14ac:dyDescent="0.3">
      <c r="D23" s="324" t="s">
        <v>126</v>
      </c>
      <c r="E23" s="321">
        <f>+[4]울산!$H$86/1000</f>
        <v>94.836243740151474</v>
      </c>
      <c r="F23" s="320">
        <f>+[4]울산!$I$86/1000</f>
        <v>114.37949200000003</v>
      </c>
      <c r="G23" s="322">
        <f t="shared" si="0"/>
        <v>19.543248259848554</v>
      </c>
      <c r="H23" s="321">
        <f>+[4]울산!$T$5/1000</f>
        <v>11.5</v>
      </c>
      <c r="I23" s="320">
        <f>+[4]울산!$U$5/1000</f>
        <v>14.457000000000001</v>
      </c>
      <c r="J23" s="139">
        <f t="shared" si="1"/>
        <v>2.9570000000000007</v>
      </c>
      <c r="K23" s="319">
        <f>+[4]울산!$M$86/1000</f>
        <v>35.913201983428912</v>
      </c>
      <c r="L23" s="321">
        <f>+[4]울산!$Q$85</f>
        <v>103952.5552173913</v>
      </c>
      <c r="M23" s="320">
        <f>+[4]울산!$R$85</f>
        <v>101562.25357958082</v>
      </c>
      <c r="N23" s="139">
        <f t="shared" si="2"/>
        <v>-2390.3016378104803</v>
      </c>
      <c r="O23" s="319">
        <f>+[4]울산!$K$86/1000</f>
        <v>-34.556590777826116</v>
      </c>
      <c r="P23" s="321">
        <f>+[4]울산!$Q$50</f>
        <v>91807.407438078197</v>
      </c>
      <c r="Q23" s="320">
        <f>+[4]울산!$R$50</f>
        <v>90440.533015280365</v>
      </c>
      <c r="R23" s="139">
        <f t="shared" si="3"/>
        <v>-1366.8744227978314</v>
      </c>
      <c r="S23" s="319">
        <f>+[4]울산!$L$56/1000</f>
        <v>20.998092252296352</v>
      </c>
      <c r="T23" s="321">
        <f>+([4]울산!$H$80+[4]울산!$H$85)/1000</f>
        <v>44.832955721949396</v>
      </c>
      <c r="U23" s="320">
        <f>+([4]울산!$I$80+[4]울산!$I$85)/1000</f>
        <v>47.644410919999991</v>
      </c>
      <c r="V23" s="139">
        <f t="shared" si="4"/>
        <v>2.8114551980505951</v>
      </c>
      <c r="W23" s="319">
        <f>+([4]울산!$L$80+[4]울산!$L$85)/1000</f>
        <v>-2.8114551980506022</v>
      </c>
      <c r="Y23" s="4">
        <f t="shared" si="5"/>
        <v>7.1054273576010019E-15</v>
      </c>
      <c r="Z23" s="4">
        <f t="shared" si="6"/>
        <v>7.1054273576010019E-9</v>
      </c>
    </row>
    <row r="24" spans="4:26" ht="24" customHeight="1" x14ac:dyDescent="0.3">
      <c r="D24" s="330" t="s">
        <v>27</v>
      </c>
      <c r="E24" s="328">
        <f>+[4]아산!$H$86/1000</f>
        <v>230.15450113350659</v>
      </c>
      <c r="F24" s="327">
        <f>+[4]아산!$I$86/1000</f>
        <v>133.83137599999998</v>
      </c>
      <c r="G24" s="329">
        <f t="shared" si="0"/>
        <v>-96.323125133506608</v>
      </c>
      <c r="H24" s="328">
        <f>+[4]아산!$T$5/1000</f>
        <v>23</v>
      </c>
      <c r="I24" s="327">
        <f>+[4]아산!$U$5/1000</f>
        <v>24.257999999999999</v>
      </c>
      <c r="J24" s="326">
        <f t="shared" si="1"/>
        <v>1.2579999999999991</v>
      </c>
      <c r="K24" s="325">
        <f>+[4]아산!$M$86/1000</f>
        <v>17.34718599353409</v>
      </c>
      <c r="L24" s="328">
        <f>+[4]아산!$Q$85</f>
        <v>99199.106086956526</v>
      </c>
      <c r="M24" s="327">
        <f>+[4]아산!$R$85</f>
        <v>99909.184681342231</v>
      </c>
      <c r="N24" s="326">
        <f t="shared" si="2"/>
        <v>710.07859438570449</v>
      </c>
      <c r="O24" s="325">
        <f>+[4]아산!$K$86/1000</f>
        <v>17.22508654260842</v>
      </c>
      <c r="P24" s="328">
        <f>+[4]아산!$Q$50</f>
        <v>85409.610066659137</v>
      </c>
      <c r="Q24" s="327">
        <f>+[4]아산!$R$50</f>
        <v>90768.069705204223</v>
      </c>
      <c r="R24" s="326">
        <f t="shared" si="3"/>
        <v>5358.4596385450859</v>
      </c>
      <c r="S24" s="325">
        <f>+[4]아산!$L$56/1000</f>
        <v>-129.86556970298213</v>
      </c>
      <c r="T24" s="328">
        <f>+([4]아산!$H$80+[4]아산!$H$85)/1000</f>
        <v>87.003907333333331</v>
      </c>
      <c r="U24" s="327">
        <f>+([4]아산!$I$80+[4]아산!$I$85)/1000</f>
        <v>88.033735300000004</v>
      </c>
      <c r="V24" s="326">
        <f t="shared" si="4"/>
        <v>1.029827966666673</v>
      </c>
      <c r="W24" s="325">
        <f>+([4]아산!$L$80+[4]아산!$L$85)/1000</f>
        <v>-1.0298279666666681</v>
      </c>
      <c r="Y24" s="4">
        <f t="shared" si="5"/>
        <v>-3.0331293032759277E-13</v>
      </c>
      <c r="Z24" s="4">
        <f t="shared" si="6"/>
        <v>-3.0331293032759277E-7</v>
      </c>
    </row>
    <row r="25" spans="4:26" ht="24" customHeight="1" x14ac:dyDescent="0.3">
      <c r="D25" s="324" t="s">
        <v>125</v>
      </c>
      <c r="E25" s="321">
        <f>+[4]전주!$H$86/1000</f>
        <v>129.2228211388888</v>
      </c>
      <c r="F25" s="320">
        <f>+[4]전주!$I$86/1000</f>
        <v>61.431892999999938</v>
      </c>
      <c r="G25" s="322">
        <f t="shared" si="0"/>
        <v>-67.790928138888859</v>
      </c>
      <c r="H25" s="321">
        <f>+[4]전주!$T$5/1000</f>
        <v>11</v>
      </c>
      <c r="I25" s="320">
        <f>+[4]전주!$U$5/1000</f>
        <v>13.51</v>
      </c>
      <c r="J25" s="139">
        <f t="shared" si="1"/>
        <v>2.5099999999999998</v>
      </c>
      <c r="K25" s="319">
        <f>+[4]전주!$M$86/1000</f>
        <v>41.603781941840865</v>
      </c>
      <c r="L25" s="321">
        <f>+[4]전주!$Q$85</f>
        <v>101861</v>
      </c>
      <c r="M25" s="320">
        <f>+[4]전주!$R$85</f>
        <v>97239.589660025173</v>
      </c>
      <c r="N25" s="139">
        <f t="shared" si="2"/>
        <v>-4621.4103399748274</v>
      </c>
      <c r="O25" s="319">
        <f>+[4]전주!$K$86/1000</f>
        <v>-62.393661000000137</v>
      </c>
      <c r="P25" s="321">
        <f>+[4]전주!$Q$50</f>
        <v>85241.614977272722</v>
      </c>
      <c r="Q25" s="320">
        <f>+[4]전주!$R$50</f>
        <v>88902.927995263817</v>
      </c>
      <c r="R25" s="139">
        <f t="shared" si="3"/>
        <v>3661.313017991095</v>
      </c>
      <c r="S25" s="319">
        <f>+[4]전주!$L$56/1000</f>
        <v>-49.470501381840684</v>
      </c>
      <c r="T25" s="321">
        <f>+([4]전주!$H$80+[4]전주!$H$85)/1000</f>
        <v>53.590414111111109</v>
      </c>
      <c r="U25" s="320">
        <f>+([4]전주!$I$80+[4]전주!$I$85)/1000</f>
        <v>51.12096180999999</v>
      </c>
      <c r="V25" s="139">
        <f t="shared" si="4"/>
        <v>-2.4694523011111187</v>
      </c>
      <c r="W25" s="319">
        <f>+([4]전주!$L$80+[4]전주!$L$85)/1000</f>
        <v>2.4694523011111138</v>
      </c>
      <c r="Y25" s="4">
        <f t="shared" si="5"/>
        <v>-1.6431300764452317E-14</v>
      </c>
      <c r="Z25" s="4">
        <f t="shared" si="6"/>
        <v>-1.6431300764452317E-8</v>
      </c>
    </row>
    <row r="26" spans="4:26" ht="24" customHeight="1" x14ac:dyDescent="0.3">
      <c r="D26" s="323" t="s">
        <v>124</v>
      </c>
      <c r="E26" s="321">
        <f>+[4]군산!$H$86/1000</f>
        <v>105.7938337048804</v>
      </c>
      <c r="F26" s="320">
        <f>+[4]군산!$I$86/1000</f>
        <v>96.361312999999953</v>
      </c>
      <c r="G26" s="322">
        <f t="shared" si="0"/>
        <v>-9.4325207048804458</v>
      </c>
      <c r="H26" s="321">
        <f>+[4]군산!$T$5/1000</f>
        <v>5</v>
      </c>
      <c r="I26" s="320">
        <f>+[4]군산!$U$5/1000</f>
        <v>5.101</v>
      </c>
      <c r="J26" s="139">
        <f t="shared" si="1"/>
        <v>0.10099999999999998</v>
      </c>
      <c r="K26" s="319">
        <f>+[4]군산!$M$86/1000</f>
        <v>2.5924202547052517</v>
      </c>
      <c r="L26" s="321">
        <f>+[4]군산!$Q$85</f>
        <v>112084.76</v>
      </c>
      <c r="M26" s="320">
        <f>+[4]군산!$R$85</f>
        <v>111336.29680454811</v>
      </c>
      <c r="N26" s="139">
        <f t="shared" si="2"/>
        <v>-748.46319545188453</v>
      </c>
      <c r="O26" s="319">
        <f>+[4]군산!$K$86/1000</f>
        <v>-3.8179107600000628</v>
      </c>
      <c r="P26" s="321">
        <f>+[4]군산!$Q$50</f>
        <v>86417.232725690585</v>
      </c>
      <c r="Q26" s="320">
        <f>+[4]군산!$R$50</f>
        <v>87713.038031758479</v>
      </c>
      <c r="R26" s="139">
        <f t="shared" si="3"/>
        <v>1295.805306067894</v>
      </c>
      <c r="S26" s="319">
        <f>+[4]군산!$L$56/1000</f>
        <v>-6.6099078962523743</v>
      </c>
      <c r="T26" s="321">
        <f>+([4]군산!$H$80+[4]군산!$H$85)/1000</f>
        <v>22.543802666666668</v>
      </c>
      <c r="U26" s="320">
        <f>+([4]군산!$I$80+[4]군산!$I$85)/1000</f>
        <v>24.14092497</v>
      </c>
      <c r="V26" s="139">
        <f t="shared" si="4"/>
        <v>1.5971223033333324</v>
      </c>
      <c r="W26" s="319">
        <f>+([4]군산!$L$80+[4]군산!$L$85)/1000</f>
        <v>-1.5971223033333355</v>
      </c>
      <c r="Y26" s="4">
        <f t="shared" si="5"/>
        <v>7.5051076464660582E-14</v>
      </c>
      <c r="Z26" s="4">
        <f t="shared" si="6"/>
        <v>7.5051076464660582E-8</v>
      </c>
    </row>
    <row r="27" spans="4:26" ht="24" customHeight="1" x14ac:dyDescent="0.3">
      <c r="D27" s="323" t="s">
        <v>123</v>
      </c>
      <c r="E27" s="321">
        <f>+[4]원주!$H$86/1000</f>
        <v>68.337597021873137</v>
      </c>
      <c r="F27" s="320">
        <f>+[4]원주!$I$86/1000</f>
        <v>103.45074200000006</v>
      </c>
      <c r="G27" s="322">
        <f t="shared" si="0"/>
        <v>35.113144978126925</v>
      </c>
      <c r="H27" s="321">
        <f>+[4]원주!$T$5/1000</f>
        <v>4</v>
      </c>
      <c r="I27" s="320">
        <f>+[4]원주!$U$5/1000</f>
        <v>4.8440000000000003</v>
      </c>
      <c r="J27" s="139">
        <f t="shared" si="1"/>
        <v>0.84400000000000031</v>
      </c>
      <c r="K27" s="319">
        <f>+[4]원주!$M$86/1000</f>
        <v>18.219891571615239</v>
      </c>
      <c r="L27" s="321">
        <f>+[4]원주!$Q$85</f>
        <v>111639.88393600003</v>
      </c>
      <c r="M27" s="320">
        <f>+[4]원주!$R$85</f>
        <v>108954.28571428572</v>
      </c>
      <c r="N27" s="139">
        <f t="shared" si="2"/>
        <v>-2685.5982217143028</v>
      </c>
      <c r="O27" s="319">
        <f>+[4]원주!$K$86/1000</f>
        <v>-13.009037785984082</v>
      </c>
      <c r="P27" s="321">
        <f>+[4]원주!$Q$50</f>
        <v>90052.334680531741</v>
      </c>
      <c r="Q27" s="320">
        <f>+[4]원주!$R$50</f>
        <v>83894.228117258463</v>
      </c>
      <c r="R27" s="139">
        <f t="shared" si="3"/>
        <v>-6158.1065632732789</v>
      </c>
      <c r="S27" s="319">
        <f>+[4]원주!$L$56/1000</f>
        <v>29.829875522495762</v>
      </c>
      <c r="T27" s="321">
        <f>+([4]원주!$H$80+[4]원주!$H$85)/1000</f>
        <v>18.012599999999999</v>
      </c>
      <c r="U27" s="320">
        <f>+([4]원주!$I$80+[4]원주!$I$85)/1000</f>
        <v>17.940184330000001</v>
      </c>
      <c r="V27" s="139">
        <f t="shared" si="4"/>
        <v>-7.2415669999998045E-2</v>
      </c>
      <c r="W27" s="319">
        <f>+([4]원주!$L$80+[4]원주!$L$85)/1000</f>
        <v>7.2415669999999405E-2</v>
      </c>
      <c r="Y27" s="4">
        <f t="shared" si="5"/>
        <v>5.7454041524351851E-15</v>
      </c>
      <c r="Z27" s="4">
        <f t="shared" si="6"/>
        <v>5.7454041524351851E-9</v>
      </c>
    </row>
    <row r="28" spans="4:26" ht="24" customHeight="1" thickBot="1" x14ac:dyDescent="0.35">
      <c r="D28" s="318" t="s">
        <v>122</v>
      </c>
      <c r="E28" s="316">
        <f>+[4]제주!$H$86/1000</f>
        <v>65.552789576040794</v>
      </c>
      <c r="F28" s="315">
        <f>+[4]제주!$I$86/1000</f>
        <v>29.329733999999966</v>
      </c>
      <c r="G28" s="317">
        <f t="shared" si="0"/>
        <v>-36.223055576040828</v>
      </c>
      <c r="H28" s="316">
        <f>+[4]제주!$T$5/1000</f>
        <v>6</v>
      </c>
      <c r="I28" s="315">
        <f>+[4]제주!$U$5/1000</f>
        <v>4.0890000000000004</v>
      </c>
      <c r="J28" s="314">
        <f t="shared" si="1"/>
        <v>-1.9109999999999996</v>
      </c>
      <c r="K28" s="313">
        <f>+[4]제주!$M$86/1000</f>
        <v>-29.984290125443483</v>
      </c>
      <c r="L28" s="316">
        <f>+[4]제주!$Q$85</f>
        <v>122673.33333333333</v>
      </c>
      <c r="M28" s="315">
        <f>+[4]제주!$R$85</f>
        <v>131207.51014918071</v>
      </c>
      <c r="N28" s="314">
        <f t="shared" si="2"/>
        <v>8534.176815847386</v>
      </c>
      <c r="O28" s="313">
        <f>+[4]제주!$K$86/1000</f>
        <v>34.896248999999962</v>
      </c>
      <c r="P28" s="316">
        <f>+[4]제주!$Q$50</f>
        <v>106982.96696732417</v>
      </c>
      <c r="Q28" s="315">
        <f>+[4]제주!$R$50</f>
        <v>116678.25165077035</v>
      </c>
      <c r="R28" s="314">
        <f t="shared" si="3"/>
        <v>9695.2846834461816</v>
      </c>
      <c r="S28" s="313">
        <f>+[4]제주!$L$56/1000</f>
        <v>-39.644030370611375</v>
      </c>
      <c r="T28" s="316">
        <f>+([4]제주!$H$80+[4]제주!$H$85)/1000</f>
        <v>28.589408620014094</v>
      </c>
      <c r="U28" s="315">
        <f>+([4]제주!$I$80+[4]제주!$I$85)/1000</f>
        <v>30.080392699999997</v>
      </c>
      <c r="V28" s="314">
        <f t="shared" si="4"/>
        <v>1.4909840799859033</v>
      </c>
      <c r="W28" s="313">
        <f>+([4]제주!$L$80+[4]제주!$L$85)/1000</f>
        <v>-1.4909840799859035</v>
      </c>
      <c r="Y28" s="4">
        <f t="shared" si="5"/>
        <v>-3.1752378504279477E-14</v>
      </c>
      <c r="Z28" s="4">
        <f t="shared" si="6"/>
        <v>-3.1752378504279477E-8</v>
      </c>
    </row>
    <row r="29" spans="4:26" ht="24" customHeight="1" x14ac:dyDescent="0.3">
      <c r="Y29" s="450"/>
    </row>
    <row r="30" spans="4:26" ht="24" customHeight="1" x14ac:dyDescent="0.3">
      <c r="Y30" s="450"/>
    </row>
    <row r="31" spans="4:26" ht="24" customHeight="1" x14ac:dyDescent="0.3">
      <c r="Y31" s="450"/>
    </row>
    <row r="32" spans="4:26" ht="21.95" customHeight="1" x14ac:dyDescent="0.3">
      <c r="F32" s="312"/>
      <c r="Y32" s="450"/>
    </row>
    <row r="33" spans="25:25" ht="21.95" customHeight="1" x14ac:dyDescent="0.3"/>
    <row r="34" spans="25:25" ht="21.95" customHeight="1" x14ac:dyDescent="0.3">
      <c r="Y34" s="451"/>
    </row>
    <row r="35" spans="25:25" ht="21.95" customHeight="1" x14ac:dyDescent="0.3">
      <c r="Y35" s="4" t="s">
        <v>155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34998626667073579"/>
    <pageSetUpPr fitToPage="1"/>
  </sheetPr>
  <dimension ref="D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Q16" sqref="Q16"/>
      <selection pane="topRight" activeCell="Q16" sqref="Q16"/>
      <selection pane="bottomLeft" activeCell="Q16" sqref="Q16"/>
      <selection pane="bottomRight" activeCell="E8" sqref="E8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208</v>
      </c>
      <c r="F4" s="368"/>
      <c r="I4" s="368"/>
    </row>
    <row r="5" spans="4:22" ht="21.95" customHeight="1" x14ac:dyDescent="0.3">
      <c r="V5" s="367" t="s">
        <v>141</v>
      </c>
    </row>
    <row r="6" spans="4:22" ht="24" customHeight="1" thickBot="1" x14ac:dyDescent="0.35">
      <c r="D6" s="693" t="s">
        <v>11</v>
      </c>
      <c r="E6" s="366" t="s">
        <v>53</v>
      </c>
      <c r="F6" s="365"/>
      <c r="G6" s="364"/>
      <c r="H6" s="366" t="s">
        <v>140</v>
      </c>
      <c r="I6" s="365"/>
      <c r="J6" s="364"/>
      <c r="K6" s="366" t="s">
        <v>139</v>
      </c>
      <c r="L6" s="365"/>
      <c r="M6" s="364"/>
      <c r="N6" s="366" t="s">
        <v>138</v>
      </c>
      <c r="O6" s="365"/>
      <c r="P6" s="364"/>
      <c r="Q6" s="366" t="s">
        <v>137</v>
      </c>
      <c r="R6" s="365"/>
      <c r="S6" s="364"/>
      <c r="T6" s="366" t="s">
        <v>54</v>
      </c>
      <c r="U6" s="365"/>
      <c r="V6" s="364"/>
    </row>
    <row r="7" spans="4:22" ht="24" customHeight="1" x14ac:dyDescent="0.3">
      <c r="D7" s="694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356">
        <f>+[4]합계!$Q$85</f>
        <v>101549.81890102028</v>
      </c>
      <c r="F8" s="355">
        <f>+[4]합계!$R$85</f>
        <v>100907.33058181037</v>
      </c>
      <c r="G8" s="386">
        <f t="shared" ref="G8:G28" si="0">+F8-E8</f>
        <v>-642.48831920990779</v>
      </c>
      <c r="H8" s="356">
        <f>+[4]합계!$Q$20</f>
        <v>59560.354356820753</v>
      </c>
      <c r="I8" s="355">
        <f>+[4]합계!$R$20</f>
        <v>61638.173881572628</v>
      </c>
      <c r="J8" s="386">
        <f t="shared" ref="J8:J28" si="1">+I8-H8</f>
        <v>2077.8195247518743</v>
      </c>
      <c r="K8" s="356">
        <f>+[4]합계!$Q$21</f>
        <v>19330.89006029045</v>
      </c>
      <c r="L8" s="355">
        <f>+[4]합계!$R$21</f>
        <v>20262.536195168068</v>
      </c>
      <c r="M8" s="386">
        <f t="shared" ref="M8:M28" si="2">+L8-K8</f>
        <v>931.64613487761744</v>
      </c>
      <c r="N8" s="356">
        <f>+[4]합계!$Q$22</f>
        <v>232.76011029411765</v>
      </c>
      <c r="O8" s="355">
        <f>+[4]합계!$R$22</f>
        <v>260.6898501377492</v>
      </c>
      <c r="P8" s="386">
        <f t="shared" ref="P8:P28" si="3">+O8-N8</f>
        <v>27.929739843631552</v>
      </c>
      <c r="Q8" s="356">
        <f t="shared" ref="Q8:Q28" si="4">H8+K8+N8</f>
        <v>79124.004527405312</v>
      </c>
      <c r="R8" s="355">
        <f t="shared" ref="R8:R28" si="5">I8+L8+O8</f>
        <v>82161.399926878439</v>
      </c>
      <c r="S8" s="386">
        <f t="shared" ref="S8:S28" si="6">+R8-Q8</f>
        <v>3037.3953994731273</v>
      </c>
      <c r="T8" s="356">
        <f t="shared" ref="T8:T28" si="7">+E8-Q8</f>
        <v>22425.814373614965</v>
      </c>
      <c r="U8" s="355">
        <f t="shared" ref="U8:U28" si="8">+F8-R8</f>
        <v>18745.93065493193</v>
      </c>
      <c r="V8" s="386">
        <f t="shared" ref="V8:V28" si="9">+U8-T8</f>
        <v>-3679.8837186830351</v>
      </c>
    </row>
    <row r="9" spans="4:22" ht="24" customHeight="1" x14ac:dyDescent="0.3">
      <c r="D9" s="352" t="s">
        <v>16</v>
      </c>
      <c r="E9" s="351">
        <f>+[4]수도권!$Q$85</f>
        <v>98524.096654122564</v>
      </c>
      <c r="F9" s="350">
        <f>+[4]수도권!$R$85</f>
        <v>98815.722886796051</v>
      </c>
      <c r="G9" s="385">
        <f t="shared" si="0"/>
        <v>291.62623267348681</v>
      </c>
      <c r="H9" s="351">
        <f>+[4]수도권!$Q$20</f>
        <v>60370.369992823551</v>
      </c>
      <c r="I9" s="350">
        <f>+[4]수도권!$R$20</f>
        <v>62704.480952868063</v>
      </c>
      <c r="J9" s="385">
        <f t="shared" si="1"/>
        <v>2334.1109600445125</v>
      </c>
      <c r="K9" s="351">
        <f>+[4]수도권!$Q$21</f>
        <v>19199.399574266088</v>
      </c>
      <c r="L9" s="350">
        <f>+[4]수도권!$R$21</f>
        <v>19999.749053758944</v>
      </c>
      <c r="M9" s="385">
        <f t="shared" si="2"/>
        <v>800.34947949285561</v>
      </c>
      <c r="N9" s="351">
        <f>+[4]수도권!$Q$22</f>
        <v>235.24065420560746</v>
      </c>
      <c r="O9" s="350">
        <f>+[4]수도권!$R$22</f>
        <v>239.36502443992759</v>
      </c>
      <c r="P9" s="385">
        <f t="shared" si="3"/>
        <v>4.1243702343201392</v>
      </c>
      <c r="Q9" s="351">
        <f t="shared" si="4"/>
        <v>79805.010221295248</v>
      </c>
      <c r="R9" s="350">
        <f t="shared" si="5"/>
        <v>82943.595031066943</v>
      </c>
      <c r="S9" s="385">
        <f t="shared" si="6"/>
        <v>3138.5848097716953</v>
      </c>
      <c r="T9" s="351">
        <f t="shared" si="7"/>
        <v>18719.086432827316</v>
      </c>
      <c r="U9" s="350">
        <f t="shared" si="8"/>
        <v>15872.127855729108</v>
      </c>
      <c r="V9" s="385">
        <f t="shared" si="9"/>
        <v>-2846.9585770982085</v>
      </c>
    </row>
    <row r="10" spans="4:22" ht="24" customHeight="1" x14ac:dyDescent="0.3">
      <c r="D10" s="347" t="s">
        <v>17</v>
      </c>
      <c r="E10" s="346">
        <f>+[4]영남권!$Q$85</f>
        <v>102882.74675295166</v>
      </c>
      <c r="F10" s="345">
        <f>+[4]영남권!$R$85</f>
        <v>101778.54633843899</v>
      </c>
      <c r="G10" s="384">
        <f t="shared" si="0"/>
        <v>-1104.2004145126702</v>
      </c>
      <c r="H10" s="346">
        <f>+[4]영남권!$Q$20</f>
        <v>58807.267361362654</v>
      </c>
      <c r="I10" s="345">
        <f>+[4]영남권!$R$20</f>
        <v>60346.687740839305</v>
      </c>
      <c r="J10" s="384">
        <f t="shared" si="1"/>
        <v>1539.4203794766509</v>
      </c>
      <c r="K10" s="346">
        <f>+[4]영남권!$Q$21</f>
        <v>19734.554211953178</v>
      </c>
      <c r="L10" s="345">
        <f>+[4]영남권!$R$21</f>
        <v>20681.976785555042</v>
      </c>
      <c r="M10" s="384">
        <f t="shared" si="2"/>
        <v>947.42257360186341</v>
      </c>
      <c r="N10" s="346">
        <f>+[4]영남권!$Q$22</f>
        <v>235.34482758620689</v>
      </c>
      <c r="O10" s="345">
        <f>+[4]영남권!$R$22</f>
        <v>280.56199045325894</v>
      </c>
      <c r="P10" s="384">
        <f t="shared" si="3"/>
        <v>45.217162867052053</v>
      </c>
      <c r="Q10" s="346">
        <f t="shared" si="4"/>
        <v>78777.166400902031</v>
      </c>
      <c r="R10" s="345">
        <f t="shared" si="5"/>
        <v>81309.226516847615</v>
      </c>
      <c r="S10" s="384">
        <f t="shared" si="6"/>
        <v>2532.0601159455837</v>
      </c>
      <c r="T10" s="346">
        <f t="shared" si="7"/>
        <v>24105.580352049627</v>
      </c>
      <c r="U10" s="345">
        <f t="shared" si="8"/>
        <v>20469.319821591373</v>
      </c>
      <c r="V10" s="384">
        <f t="shared" si="9"/>
        <v>-3636.2605304582539</v>
      </c>
    </row>
    <row r="11" spans="4:22" ht="24" customHeight="1" x14ac:dyDescent="0.3">
      <c r="D11" s="342" t="s">
        <v>128</v>
      </c>
      <c r="E11" s="341">
        <f>+[4]중부권!$Q$85</f>
        <v>105001.50562742859</v>
      </c>
      <c r="F11" s="340">
        <f>+[4]중부권!$R$85</f>
        <v>103655.65271368716</v>
      </c>
      <c r="G11" s="383">
        <f t="shared" si="0"/>
        <v>-1345.8529137414298</v>
      </c>
      <c r="H11" s="341">
        <f>+[4]중부권!$Q$20</f>
        <v>59574.362896021528</v>
      </c>
      <c r="I11" s="340">
        <f>+[4]중부권!$R$20</f>
        <v>61979.785531011868</v>
      </c>
      <c r="J11" s="383">
        <f t="shared" si="1"/>
        <v>2405.4226349903402</v>
      </c>
      <c r="K11" s="341">
        <f>+[4]중부권!$Q$21</f>
        <v>18662.409252366608</v>
      </c>
      <c r="L11" s="340">
        <f>+[4]중부권!$R$21</f>
        <v>19970.45091154625</v>
      </c>
      <c r="M11" s="383">
        <f t="shared" si="2"/>
        <v>1308.041659179642</v>
      </c>
      <c r="N11" s="341">
        <f>+[4]중부권!$Q$22</f>
        <v>221.22448979591834</v>
      </c>
      <c r="O11" s="340">
        <f>+[4]중부권!$R$22</f>
        <v>266.09846628725757</v>
      </c>
      <c r="P11" s="383">
        <f t="shared" si="3"/>
        <v>44.873976491339221</v>
      </c>
      <c r="Q11" s="341">
        <f t="shared" si="4"/>
        <v>78457.99663818405</v>
      </c>
      <c r="R11" s="340">
        <f t="shared" si="5"/>
        <v>82216.334908845369</v>
      </c>
      <c r="S11" s="383">
        <f t="shared" si="6"/>
        <v>3758.3382706613193</v>
      </c>
      <c r="T11" s="341">
        <f t="shared" si="7"/>
        <v>26543.508989244539</v>
      </c>
      <c r="U11" s="340">
        <f t="shared" si="8"/>
        <v>21439.31780484179</v>
      </c>
      <c r="V11" s="383">
        <f t="shared" si="9"/>
        <v>-5104.1911844027491</v>
      </c>
    </row>
    <row r="12" spans="4:22" ht="24" customHeight="1" x14ac:dyDescent="0.3">
      <c r="D12" s="382" t="s">
        <v>18</v>
      </c>
      <c r="E12" s="381">
        <f>+[4]안양!$Q$85</f>
        <v>97956.859449999989</v>
      </c>
      <c r="F12" s="380">
        <f>+[4]안양!$R$85</f>
        <v>97182.938119404411</v>
      </c>
      <c r="G12" s="379">
        <f t="shared" si="0"/>
        <v>-773.92133059557818</v>
      </c>
      <c r="H12" s="381">
        <f>+[4]안양!$Q$20</f>
        <v>59189.172419354843</v>
      </c>
      <c r="I12" s="380">
        <f>+[4]안양!$R$20</f>
        <v>61272.371823098634</v>
      </c>
      <c r="J12" s="379">
        <f t="shared" si="1"/>
        <v>2083.1994037437908</v>
      </c>
      <c r="K12" s="381">
        <f>+[4]안양!$Q$21</f>
        <v>18426.852525252525</v>
      </c>
      <c r="L12" s="380">
        <f>+[4]안양!$R$21</f>
        <v>19469.363997511129</v>
      </c>
      <c r="M12" s="379">
        <f t="shared" si="2"/>
        <v>1042.511472258604</v>
      </c>
      <c r="N12" s="381">
        <f>+[4]안양!$Q$22</f>
        <v>195</v>
      </c>
      <c r="O12" s="380">
        <f>+[4]안양!$R$22</f>
        <v>174.87519743454746</v>
      </c>
      <c r="P12" s="379">
        <f t="shared" si="3"/>
        <v>-20.124802565452541</v>
      </c>
      <c r="Q12" s="381">
        <f t="shared" si="4"/>
        <v>77811.024944607372</v>
      </c>
      <c r="R12" s="380">
        <f t="shared" si="5"/>
        <v>80916.611018044307</v>
      </c>
      <c r="S12" s="379">
        <f t="shared" si="6"/>
        <v>3105.5860734369344</v>
      </c>
      <c r="T12" s="381">
        <f t="shared" si="7"/>
        <v>20145.834505392617</v>
      </c>
      <c r="U12" s="380">
        <f t="shared" si="8"/>
        <v>16266.327101360104</v>
      </c>
      <c r="V12" s="379">
        <f t="shared" si="9"/>
        <v>-3879.5074040325126</v>
      </c>
    </row>
    <row r="13" spans="4:22" ht="24" customHeight="1" x14ac:dyDescent="0.3">
      <c r="D13" s="323" t="s">
        <v>19</v>
      </c>
      <c r="E13" s="374">
        <f>+[4]인천!$Q$85</f>
        <v>99830.197268317526</v>
      </c>
      <c r="F13" s="373">
        <f>+[4]인천!$R$85</f>
        <v>99671.435961535724</v>
      </c>
      <c r="G13" s="372">
        <f t="shared" si="0"/>
        <v>-158.76130678180198</v>
      </c>
      <c r="H13" s="374">
        <f>+[4]인천!$Q$20</f>
        <v>62207.680372901108</v>
      </c>
      <c r="I13" s="373">
        <f>+[4]인천!$R$20</f>
        <v>66966.478047810466</v>
      </c>
      <c r="J13" s="372">
        <f t="shared" si="1"/>
        <v>4758.7976749093577</v>
      </c>
      <c r="K13" s="374">
        <f>+[4]인천!$Q$21</f>
        <v>19633.609373750591</v>
      </c>
      <c r="L13" s="373">
        <f>+[4]인천!$R$21</f>
        <v>19596.530176270895</v>
      </c>
      <c r="M13" s="372">
        <f t="shared" si="2"/>
        <v>-37.079197479695722</v>
      </c>
      <c r="N13" s="374">
        <f>+[4]인천!$Q$22</f>
        <v>330</v>
      </c>
      <c r="O13" s="373">
        <f>+[4]인천!$R$22</f>
        <v>393.35127764441859</v>
      </c>
      <c r="P13" s="372">
        <f t="shared" si="3"/>
        <v>63.351277644418587</v>
      </c>
      <c r="Q13" s="374">
        <f t="shared" si="4"/>
        <v>82171.289746651702</v>
      </c>
      <c r="R13" s="373">
        <f t="shared" si="5"/>
        <v>86956.35950172579</v>
      </c>
      <c r="S13" s="372">
        <f t="shared" si="6"/>
        <v>4785.0697550740879</v>
      </c>
      <c r="T13" s="374">
        <f t="shared" si="7"/>
        <v>17658.907521665824</v>
      </c>
      <c r="U13" s="373">
        <f t="shared" si="8"/>
        <v>12715.076459809934</v>
      </c>
      <c r="V13" s="372">
        <f t="shared" si="9"/>
        <v>-4943.8310618558899</v>
      </c>
    </row>
    <row r="14" spans="4:22" ht="24" customHeight="1" x14ac:dyDescent="0.3">
      <c r="D14" s="323" t="s">
        <v>20</v>
      </c>
      <c r="E14" s="374">
        <f>+[4]파주!$Q$85</f>
        <v>98709.868905882351</v>
      </c>
      <c r="F14" s="373">
        <f>+[4]파주!$R$85</f>
        <v>100911.57941437444</v>
      </c>
      <c r="G14" s="372">
        <f t="shared" si="0"/>
        <v>2201.7105084920913</v>
      </c>
      <c r="H14" s="374">
        <f>+[4]파주!$Q$20</f>
        <v>60478.321760758743</v>
      </c>
      <c r="I14" s="373">
        <f>+[4]파주!$R$20</f>
        <v>60075.630601153505</v>
      </c>
      <c r="J14" s="372">
        <f t="shared" si="1"/>
        <v>-402.69115960523777</v>
      </c>
      <c r="K14" s="374">
        <f>+[4]파주!$Q$21</f>
        <v>20461.812394471679</v>
      </c>
      <c r="L14" s="373">
        <f>+[4]파주!$R$21</f>
        <v>21490.623059006211</v>
      </c>
      <c r="M14" s="372">
        <f t="shared" si="2"/>
        <v>1028.8106645345324</v>
      </c>
      <c r="N14" s="374">
        <f>+[4]파주!$Q$22</f>
        <v>289.45588235294116</v>
      </c>
      <c r="O14" s="373">
        <f>+[4]파주!$R$22</f>
        <v>231.45103149955631</v>
      </c>
      <c r="P14" s="372">
        <f t="shared" si="3"/>
        <v>-58.004850853384852</v>
      </c>
      <c r="Q14" s="374">
        <f t="shared" si="4"/>
        <v>81229.590037583359</v>
      </c>
      <c r="R14" s="373">
        <f t="shared" si="5"/>
        <v>81797.704691659266</v>
      </c>
      <c r="S14" s="372">
        <f t="shared" si="6"/>
        <v>568.11465407590731</v>
      </c>
      <c r="T14" s="374">
        <f t="shared" si="7"/>
        <v>17480.278868298992</v>
      </c>
      <c r="U14" s="373">
        <f t="shared" si="8"/>
        <v>19113.874722715176</v>
      </c>
      <c r="V14" s="372">
        <f t="shared" si="9"/>
        <v>1633.595854416184</v>
      </c>
    </row>
    <row r="15" spans="4:22" ht="24" customHeight="1" x14ac:dyDescent="0.3">
      <c r="D15" s="323" t="s">
        <v>106</v>
      </c>
      <c r="E15" s="374">
        <f>+[4]김포!$Q$85</f>
        <v>96778.619213333324</v>
      </c>
      <c r="F15" s="373">
        <f>+[4]김포!$R$85</f>
        <v>98832.579283372645</v>
      </c>
      <c r="G15" s="372">
        <f t="shared" si="0"/>
        <v>2053.9600700393203</v>
      </c>
      <c r="H15" s="374">
        <f>+[4]김포!$Q$20</f>
        <v>59110.827298232602</v>
      </c>
      <c r="I15" s="373">
        <f>+[4]김포!$R$20</f>
        <v>60245.537961951835</v>
      </c>
      <c r="J15" s="372">
        <f t="shared" si="1"/>
        <v>1134.7106637192337</v>
      </c>
      <c r="K15" s="374">
        <f>+[4]김포!$Q$21</f>
        <v>18815.63430993877</v>
      </c>
      <c r="L15" s="373">
        <f>+[4]김포!$R$21</f>
        <v>20544.213632967414</v>
      </c>
      <c r="M15" s="372">
        <f t="shared" si="2"/>
        <v>1728.5793230286436</v>
      </c>
      <c r="N15" s="374">
        <f>+[4]김포!$Q$22</f>
        <v>60</v>
      </c>
      <c r="O15" s="373">
        <f>+[4]김포!$R$22</f>
        <v>90.90418989597103</v>
      </c>
      <c r="P15" s="372">
        <f t="shared" si="3"/>
        <v>30.90418989597103</v>
      </c>
      <c r="Q15" s="374">
        <f t="shared" si="4"/>
        <v>77986.461608171376</v>
      </c>
      <c r="R15" s="373">
        <f t="shared" si="5"/>
        <v>80880.655784815215</v>
      </c>
      <c r="S15" s="372">
        <f t="shared" si="6"/>
        <v>2894.1941766438395</v>
      </c>
      <c r="T15" s="374">
        <f t="shared" si="7"/>
        <v>18792.157605161949</v>
      </c>
      <c r="U15" s="373">
        <f t="shared" si="8"/>
        <v>17951.923498557429</v>
      </c>
      <c r="V15" s="372">
        <f t="shared" si="9"/>
        <v>-840.23410660451918</v>
      </c>
    </row>
    <row r="16" spans="4:22" ht="24" customHeight="1" x14ac:dyDescent="0.3">
      <c r="D16" s="378" t="s">
        <v>21</v>
      </c>
      <c r="E16" s="377">
        <f>+[4]부산!$Q$85</f>
        <v>108302.89035</v>
      </c>
      <c r="F16" s="376">
        <f>+[4]부산!$R$85</f>
        <v>115306.91448382125</v>
      </c>
      <c r="G16" s="375">
        <f t="shared" si="0"/>
        <v>7004.0241338212509</v>
      </c>
      <c r="H16" s="377">
        <f>+[4]부산!$Q$20</f>
        <v>61703.209584775395</v>
      </c>
      <c r="I16" s="376">
        <f>+[4]부산!$R$20</f>
        <v>68252.133031935358</v>
      </c>
      <c r="J16" s="375">
        <f t="shared" si="1"/>
        <v>6548.923447159963</v>
      </c>
      <c r="K16" s="377">
        <f>+[4]부산!$Q$21</f>
        <v>21478.999652777777</v>
      </c>
      <c r="L16" s="376">
        <f>+[4]부산!$R$21</f>
        <v>23436.506252404772</v>
      </c>
      <c r="M16" s="375">
        <f t="shared" si="2"/>
        <v>1957.506599626995</v>
      </c>
      <c r="N16" s="377">
        <f>+[4]부산!$Q$22</f>
        <v>200</v>
      </c>
      <c r="O16" s="376">
        <f>+[4]부산!$R$22</f>
        <v>295.72912658714887</v>
      </c>
      <c r="P16" s="375">
        <f t="shared" si="3"/>
        <v>95.729126587148869</v>
      </c>
      <c r="Q16" s="377">
        <f t="shared" si="4"/>
        <v>83382.209237553179</v>
      </c>
      <c r="R16" s="376">
        <f t="shared" si="5"/>
        <v>91984.368410927273</v>
      </c>
      <c r="S16" s="375">
        <f t="shared" si="6"/>
        <v>8602.1591733740934</v>
      </c>
      <c r="T16" s="377">
        <f t="shared" si="7"/>
        <v>24920.681112446822</v>
      </c>
      <c r="U16" s="376">
        <f t="shared" si="8"/>
        <v>23322.54607289398</v>
      </c>
      <c r="V16" s="375">
        <f t="shared" si="9"/>
        <v>-1598.1350395528425</v>
      </c>
    </row>
    <row r="17" spans="4:22" ht="24" customHeight="1" x14ac:dyDescent="0.3">
      <c r="D17" s="323" t="s">
        <v>22</v>
      </c>
      <c r="E17" s="374">
        <f>+[4]서부산!$Q$85</f>
        <v>104005.5389104762</v>
      </c>
      <c r="F17" s="373">
        <f>+[4]서부산!$R$85</f>
        <v>100945.8046705286</v>
      </c>
      <c r="G17" s="372">
        <f t="shared" si="0"/>
        <v>-3059.7342399476038</v>
      </c>
      <c r="H17" s="374">
        <f>+[4]서부산!$Q$20</f>
        <v>59698.866803134115</v>
      </c>
      <c r="I17" s="373">
        <f>+[4]서부산!$R$20</f>
        <v>62315.169985517743</v>
      </c>
      <c r="J17" s="372">
        <f t="shared" si="1"/>
        <v>2616.3031823836282</v>
      </c>
      <c r="K17" s="374">
        <f>+[4]서부산!$Q$21</f>
        <v>16820.633693766144</v>
      </c>
      <c r="L17" s="373">
        <f>+[4]서부산!$R$21</f>
        <v>18831.338477552501</v>
      </c>
      <c r="M17" s="372">
        <f t="shared" si="2"/>
        <v>2010.7047837863574</v>
      </c>
      <c r="N17" s="374">
        <f>+[4]서부산!$Q$22</f>
        <v>171.42857142857142</v>
      </c>
      <c r="O17" s="373">
        <f>+[4]서부산!$R$22</f>
        <v>288.51593048515565</v>
      </c>
      <c r="P17" s="372">
        <f t="shared" si="3"/>
        <v>117.08735905658423</v>
      </c>
      <c r="Q17" s="374">
        <f t="shared" si="4"/>
        <v>76690.929068328827</v>
      </c>
      <c r="R17" s="373">
        <f t="shared" si="5"/>
        <v>81435.024393555403</v>
      </c>
      <c r="S17" s="372">
        <f t="shared" si="6"/>
        <v>4744.0953252265754</v>
      </c>
      <c r="T17" s="374">
        <f t="shared" si="7"/>
        <v>27314.609842147373</v>
      </c>
      <c r="U17" s="373">
        <f t="shared" si="8"/>
        <v>19510.780276973193</v>
      </c>
      <c r="V17" s="372">
        <f t="shared" si="9"/>
        <v>-7803.8295651741792</v>
      </c>
    </row>
    <row r="18" spans="4:22" ht="24" customHeight="1" x14ac:dyDescent="0.3">
      <c r="D18" s="323" t="s">
        <v>23</v>
      </c>
      <c r="E18" s="374">
        <f>+[4]김해!$Q$85</f>
        <v>101293.38088</v>
      </c>
      <c r="F18" s="373">
        <f>+[4]김해!$R$85</f>
        <v>98414.61187214611</v>
      </c>
      <c r="G18" s="372">
        <f t="shared" si="0"/>
        <v>-2878.7690078538872</v>
      </c>
      <c r="H18" s="374">
        <f>+[4]김해!$Q$20</f>
        <v>56667.129719568125</v>
      </c>
      <c r="I18" s="373">
        <f>+[4]김해!$R$20</f>
        <v>56678.561328924581</v>
      </c>
      <c r="J18" s="372">
        <f t="shared" si="1"/>
        <v>11.431609356455738</v>
      </c>
      <c r="K18" s="374">
        <f>+[4]김해!$Q$21</f>
        <v>20736.066956521743</v>
      </c>
      <c r="L18" s="373">
        <f>+[4]김해!$R$21</f>
        <v>19989.346717052431</v>
      </c>
      <c r="M18" s="372">
        <f t="shared" si="2"/>
        <v>-746.72023946931222</v>
      </c>
      <c r="N18" s="374">
        <f>+[4]김해!$Q$22</f>
        <v>490</v>
      </c>
      <c r="O18" s="373">
        <f>+[4]김해!$R$22</f>
        <v>561.87781451739886</v>
      </c>
      <c r="P18" s="372">
        <f t="shared" si="3"/>
        <v>71.877814517398861</v>
      </c>
      <c r="Q18" s="374">
        <f t="shared" si="4"/>
        <v>77893.196676089865</v>
      </c>
      <c r="R18" s="373">
        <f t="shared" si="5"/>
        <v>77229.785860494405</v>
      </c>
      <c r="S18" s="372">
        <f t="shared" si="6"/>
        <v>-663.41081559546001</v>
      </c>
      <c r="T18" s="374">
        <f t="shared" si="7"/>
        <v>23400.184203910132</v>
      </c>
      <c r="U18" s="373">
        <f t="shared" si="8"/>
        <v>21184.826011651705</v>
      </c>
      <c r="V18" s="372">
        <f t="shared" si="9"/>
        <v>-2215.3581922584272</v>
      </c>
    </row>
    <row r="19" spans="4:22" ht="24" customHeight="1" x14ac:dyDescent="0.3">
      <c r="D19" s="323" t="s">
        <v>24</v>
      </c>
      <c r="E19" s="374">
        <f>+[4]정관!$Q$85</f>
        <v>106108.08428545456</v>
      </c>
      <c r="F19" s="373">
        <f>+[4]정관!$R$85</f>
        <v>102762.76729559748</v>
      </c>
      <c r="G19" s="372">
        <f t="shared" si="0"/>
        <v>-3345.3169898570777</v>
      </c>
      <c r="H19" s="374">
        <f>+[4]정관!$Q$20</f>
        <v>60273.805306548136</v>
      </c>
      <c r="I19" s="373">
        <f>+[4]정관!$R$20</f>
        <v>61085.135929744174</v>
      </c>
      <c r="J19" s="372">
        <f t="shared" si="1"/>
        <v>811.33062319603778</v>
      </c>
      <c r="K19" s="374">
        <f>+[4]정관!$Q$21</f>
        <v>20364.150233100238</v>
      </c>
      <c r="L19" s="373">
        <f>+[4]정관!$R$21</f>
        <v>20211.434026073199</v>
      </c>
      <c r="M19" s="372">
        <f t="shared" si="2"/>
        <v>-152.71620702703876</v>
      </c>
      <c r="N19" s="374">
        <f>+[4]정관!$Q$22</f>
        <v>286.36363636363637</v>
      </c>
      <c r="O19" s="373">
        <f>+[4]정관!$R$22</f>
        <v>329.77035946108111</v>
      </c>
      <c r="P19" s="372">
        <f t="shared" si="3"/>
        <v>43.40672309744474</v>
      </c>
      <c r="Q19" s="374">
        <f t="shared" si="4"/>
        <v>80924.31917601201</v>
      </c>
      <c r="R19" s="373">
        <f t="shared" si="5"/>
        <v>81626.340315278445</v>
      </c>
      <c r="S19" s="372">
        <f t="shared" si="6"/>
        <v>702.02113926643506</v>
      </c>
      <c r="T19" s="374">
        <f t="shared" si="7"/>
        <v>25183.765109442553</v>
      </c>
      <c r="U19" s="373">
        <f t="shared" si="8"/>
        <v>21136.42698031904</v>
      </c>
      <c r="V19" s="372">
        <f t="shared" si="9"/>
        <v>-4047.3381291235128</v>
      </c>
    </row>
    <row r="20" spans="4:22" ht="24" customHeight="1" x14ac:dyDescent="0.3">
      <c r="D20" s="323" t="s">
        <v>25</v>
      </c>
      <c r="E20" s="374">
        <f>+[4]양산!$Q$85</f>
        <v>100810.10890000002</v>
      </c>
      <c r="F20" s="373">
        <f>+[4]양산!$R$85</f>
        <v>98465.654043556671</v>
      </c>
      <c r="G20" s="372">
        <f t="shared" si="0"/>
        <v>-2344.4548564433499</v>
      </c>
      <c r="H20" s="374">
        <f>+[4]양산!$Q$20</f>
        <v>54121.81760177976</v>
      </c>
      <c r="I20" s="373">
        <f>+[4]양산!$R$20</f>
        <v>52373.3012900541</v>
      </c>
      <c r="J20" s="372">
        <f t="shared" si="1"/>
        <v>-1748.5163117256598</v>
      </c>
      <c r="K20" s="374">
        <f>+[4]양산!$Q$21</f>
        <v>20713.920440559206</v>
      </c>
      <c r="L20" s="373">
        <f>+[4]양산!$R$21</f>
        <v>24252.518795949505</v>
      </c>
      <c r="M20" s="372">
        <f t="shared" si="2"/>
        <v>3538.5983553902988</v>
      </c>
      <c r="N20" s="374">
        <f>+[4]양산!$Q$22</f>
        <v>80</v>
      </c>
      <c r="O20" s="373">
        <f>+[4]양산!$R$22</f>
        <v>47.7793036482175</v>
      </c>
      <c r="P20" s="372">
        <f t="shared" si="3"/>
        <v>-32.2206963517825</v>
      </c>
      <c r="Q20" s="374">
        <f t="shared" si="4"/>
        <v>74915.73804233897</v>
      </c>
      <c r="R20" s="373">
        <f t="shared" si="5"/>
        <v>76673.599389651819</v>
      </c>
      <c r="S20" s="372">
        <f t="shared" si="6"/>
        <v>1757.8613473128498</v>
      </c>
      <c r="T20" s="374">
        <f t="shared" si="7"/>
        <v>25894.370857661052</v>
      </c>
      <c r="U20" s="373">
        <f t="shared" si="8"/>
        <v>21792.054653904852</v>
      </c>
      <c r="V20" s="372">
        <f t="shared" si="9"/>
        <v>-4102.3162037561997</v>
      </c>
    </row>
    <row r="21" spans="4:22" ht="24" customHeight="1" x14ac:dyDescent="0.3">
      <c r="D21" s="323" t="s">
        <v>26</v>
      </c>
      <c r="E21" s="374">
        <f>+[4]창원!$Q$85</f>
        <v>97381.761444799282</v>
      </c>
      <c r="F21" s="373">
        <f>+[4]창원!$R$85</f>
        <v>93656.434188920583</v>
      </c>
      <c r="G21" s="372">
        <f t="shared" si="0"/>
        <v>-3725.3272558786994</v>
      </c>
      <c r="H21" s="374">
        <f>+[4]창원!$Q$20</f>
        <v>57908.836643991905</v>
      </c>
      <c r="I21" s="373">
        <f>+[4]창원!$R$20</f>
        <v>54371.828277590532</v>
      </c>
      <c r="J21" s="372">
        <f t="shared" si="1"/>
        <v>-3537.0083664013728</v>
      </c>
      <c r="K21" s="374">
        <f>+[4]창원!$Q$21</f>
        <v>18866.12167134284</v>
      </c>
      <c r="L21" s="373">
        <f>+[4]창원!$R$21</f>
        <v>17846.656209489243</v>
      </c>
      <c r="M21" s="372">
        <f t="shared" si="2"/>
        <v>-1019.4654618535969</v>
      </c>
      <c r="N21" s="374">
        <f>+[4]창원!$Q$22</f>
        <v>115.38461538461539</v>
      </c>
      <c r="O21" s="373">
        <f>+[4]창원!$R$22</f>
        <v>82.353124189784808</v>
      </c>
      <c r="P21" s="372">
        <f t="shared" si="3"/>
        <v>-33.031491194830579</v>
      </c>
      <c r="Q21" s="374">
        <f t="shared" si="4"/>
        <v>76890.342930719358</v>
      </c>
      <c r="R21" s="373">
        <f t="shared" si="5"/>
        <v>72300.83761126957</v>
      </c>
      <c r="S21" s="372">
        <f t="shared" si="6"/>
        <v>-4589.5053194497887</v>
      </c>
      <c r="T21" s="374">
        <f t="shared" si="7"/>
        <v>20491.418514079924</v>
      </c>
      <c r="U21" s="373">
        <f t="shared" si="8"/>
        <v>21355.596577651013</v>
      </c>
      <c r="V21" s="372">
        <f t="shared" si="9"/>
        <v>864.1780635710893</v>
      </c>
    </row>
    <row r="22" spans="4:22" ht="24" customHeight="1" x14ac:dyDescent="0.3">
      <c r="D22" s="323" t="s">
        <v>127</v>
      </c>
      <c r="E22" s="374">
        <f>+[4]대구!$Q$85</f>
        <v>90281.701571764701</v>
      </c>
      <c r="F22" s="373">
        <f>+[4]대구!$R$85</f>
        <v>77590.486916951078</v>
      </c>
      <c r="G22" s="372">
        <f t="shared" si="0"/>
        <v>-12691.214654813622</v>
      </c>
      <c r="H22" s="374">
        <f>+[4]대구!$Q$20</f>
        <v>52705.325021163255</v>
      </c>
      <c r="I22" s="373">
        <f>+[4]대구!$R$20</f>
        <v>50472.331145532509</v>
      </c>
      <c r="J22" s="372">
        <f t="shared" si="1"/>
        <v>-2232.9938756307456</v>
      </c>
      <c r="K22" s="374">
        <f>+[4]대구!$Q$21</f>
        <v>17924.245895487384</v>
      </c>
      <c r="L22" s="373">
        <f>+[4]대구!$R$21</f>
        <v>17175.292027653803</v>
      </c>
      <c r="M22" s="372">
        <f t="shared" si="2"/>
        <v>-748.95386783358117</v>
      </c>
      <c r="N22" s="374">
        <f>+[4]대구!$Q$22</f>
        <v>352.94117647058823</v>
      </c>
      <c r="O22" s="373">
        <f>+[4]대구!$R$22</f>
        <v>398.19357661678487</v>
      </c>
      <c r="P22" s="372">
        <f t="shared" si="3"/>
        <v>45.252400146196635</v>
      </c>
      <c r="Q22" s="374">
        <f t="shared" si="4"/>
        <v>70982.51209312123</v>
      </c>
      <c r="R22" s="373">
        <f t="shared" si="5"/>
        <v>68045.816749803096</v>
      </c>
      <c r="S22" s="372">
        <f t="shared" si="6"/>
        <v>-2936.6953433181334</v>
      </c>
      <c r="T22" s="374">
        <f t="shared" si="7"/>
        <v>19299.189478643471</v>
      </c>
      <c r="U22" s="373">
        <f t="shared" si="8"/>
        <v>9544.6701671479823</v>
      </c>
      <c r="V22" s="372">
        <f t="shared" si="9"/>
        <v>-9754.5193114954891</v>
      </c>
    </row>
    <row r="23" spans="4:22" ht="24" customHeight="1" x14ac:dyDescent="0.3">
      <c r="D23" s="323" t="s">
        <v>126</v>
      </c>
      <c r="E23" s="374">
        <f>+[4]울산!$Q$85</f>
        <v>103952.5552173913</v>
      </c>
      <c r="F23" s="373">
        <f>+[4]울산!$R$85</f>
        <v>101562.25357958082</v>
      </c>
      <c r="G23" s="372">
        <f t="shared" si="0"/>
        <v>-2390.3016378104803</v>
      </c>
      <c r="H23" s="374">
        <f>+[4]울산!$Q$20</f>
        <v>60798.199160645476</v>
      </c>
      <c r="I23" s="373">
        <f>+[4]울산!$R$20</f>
        <v>59304.378137315907</v>
      </c>
      <c r="J23" s="372">
        <f t="shared" si="1"/>
        <v>-1493.8210233295686</v>
      </c>
      <c r="K23" s="374">
        <f>+[4]울산!$Q$21</f>
        <v>21414.620610766044</v>
      </c>
      <c r="L23" s="373">
        <f>+[4]울산!$R$21</f>
        <v>22323.944686441264</v>
      </c>
      <c r="M23" s="372">
        <f t="shared" si="2"/>
        <v>909.32407567522023</v>
      </c>
      <c r="N23" s="374">
        <f>+[4]울산!$Q$22</f>
        <v>278.26086956521738</v>
      </c>
      <c r="O23" s="373">
        <f>+[4]울산!$R$22</f>
        <v>288.83399018184332</v>
      </c>
      <c r="P23" s="372">
        <f t="shared" si="3"/>
        <v>10.573120616625943</v>
      </c>
      <c r="Q23" s="374">
        <f t="shared" si="4"/>
        <v>82491.080640976739</v>
      </c>
      <c r="R23" s="373">
        <f t="shared" si="5"/>
        <v>81917.156813939015</v>
      </c>
      <c r="S23" s="372">
        <f t="shared" si="6"/>
        <v>-573.92382703772455</v>
      </c>
      <c r="T23" s="374">
        <f t="shared" si="7"/>
        <v>21461.474576414563</v>
      </c>
      <c r="U23" s="373">
        <f t="shared" si="8"/>
        <v>19645.096765641807</v>
      </c>
      <c r="V23" s="372">
        <f t="shared" si="9"/>
        <v>-1816.3778107727558</v>
      </c>
    </row>
    <row r="24" spans="4:22" ht="24" customHeight="1" x14ac:dyDescent="0.3">
      <c r="D24" s="378" t="s">
        <v>27</v>
      </c>
      <c r="E24" s="377">
        <f>+[4]아산!$Q$85</f>
        <v>99199.106086956526</v>
      </c>
      <c r="F24" s="376">
        <f>+[4]아산!$R$85</f>
        <v>99909.184681342231</v>
      </c>
      <c r="G24" s="375">
        <f t="shared" si="0"/>
        <v>710.07859438570449</v>
      </c>
      <c r="H24" s="377">
        <f>+[4]아산!$Q$20</f>
        <v>56381.116486949002</v>
      </c>
      <c r="I24" s="376">
        <f>+[4]아산!$R$20</f>
        <v>60668.358242753631</v>
      </c>
      <c r="J24" s="375">
        <f t="shared" si="1"/>
        <v>4287.2417558046291</v>
      </c>
      <c r="K24" s="377">
        <f>+[4]아산!$Q$21</f>
        <v>21914.311141304348</v>
      </c>
      <c r="L24" s="376">
        <f>+[4]아산!$R$21</f>
        <v>23198.312911725952</v>
      </c>
      <c r="M24" s="375">
        <f t="shared" si="2"/>
        <v>1284.0017704216043</v>
      </c>
      <c r="N24" s="377">
        <f>+[4]아산!$Q$22</f>
        <v>130.43478260869566</v>
      </c>
      <c r="O24" s="376">
        <f>+[4]아산!$R$22</f>
        <v>233.0382493412385</v>
      </c>
      <c r="P24" s="375">
        <f t="shared" si="3"/>
        <v>102.60346673254284</v>
      </c>
      <c r="Q24" s="377">
        <f t="shared" si="4"/>
        <v>78425.862410862042</v>
      </c>
      <c r="R24" s="376">
        <f t="shared" si="5"/>
        <v>84099.709403820816</v>
      </c>
      <c r="S24" s="375">
        <f t="shared" si="6"/>
        <v>5673.8469929587736</v>
      </c>
      <c r="T24" s="377">
        <f t="shared" si="7"/>
        <v>20773.243676094484</v>
      </c>
      <c r="U24" s="376">
        <f t="shared" si="8"/>
        <v>15809.475277521415</v>
      </c>
      <c r="V24" s="375">
        <f t="shared" si="9"/>
        <v>-4963.7683985730691</v>
      </c>
    </row>
    <row r="25" spans="4:22" ht="24" customHeight="1" x14ac:dyDescent="0.3">
      <c r="D25" s="323" t="s">
        <v>125</v>
      </c>
      <c r="E25" s="374">
        <f>+[4]전주!$Q$85</f>
        <v>101861</v>
      </c>
      <c r="F25" s="373">
        <f>+[4]전주!$R$85</f>
        <v>97239.589660025173</v>
      </c>
      <c r="G25" s="372">
        <f t="shared" si="0"/>
        <v>-4621.4103399748274</v>
      </c>
      <c r="H25" s="374">
        <f>+[4]전주!$Q$20</f>
        <v>59250.683757575753</v>
      </c>
      <c r="I25" s="373">
        <f>+[4]전주!$R$20</f>
        <v>61189.607341078961</v>
      </c>
      <c r="J25" s="372">
        <f t="shared" si="1"/>
        <v>1938.9235835032086</v>
      </c>
      <c r="K25" s="374">
        <f>+[4]전주!$Q$21</f>
        <v>15997.267765151515</v>
      </c>
      <c r="L25" s="373">
        <f>+[4]전주!$R$21</f>
        <v>19161.879745430328</v>
      </c>
      <c r="M25" s="372">
        <f t="shared" si="2"/>
        <v>3164.6119802788126</v>
      </c>
      <c r="N25" s="374">
        <f>+[4]전주!$Q$22</f>
        <v>318.18181818181819</v>
      </c>
      <c r="O25" s="373">
        <f>+[4]전주!$R$22</f>
        <v>318.0522459853475</v>
      </c>
      <c r="P25" s="372">
        <f t="shared" si="3"/>
        <v>-0.12957219647068996</v>
      </c>
      <c r="Q25" s="374">
        <f t="shared" si="4"/>
        <v>75566.133340909088</v>
      </c>
      <c r="R25" s="373">
        <f t="shared" si="5"/>
        <v>80669.539332494649</v>
      </c>
      <c r="S25" s="372">
        <f t="shared" si="6"/>
        <v>5103.4059915855614</v>
      </c>
      <c r="T25" s="374">
        <f t="shared" si="7"/>
        <v>26294.866659090912</v>
      </c>
      <c r="U25" s="373">
        <f t="shared" si="8"/>
        <v>16570.050327530524</v>
      </c>
      <c r="V25" s="372">
        <f t="shared" si="9"/>
        <v>-9724.8163315603888</v>
      </c>
    </row>
    <row r="26" spans="4:22" ht="24" customHeight="1" x14ac:dyDescent="0.3">
      <c r="D26" s="323" t="s">
        <v>124</v>
      </c>
      <c r="E26" s="374">
        <f>+[4]군산!$Q$85</f>
        <v>112084.76</v>
      </c>
      <c r="F26" s="373">
        <f>+[4]군산!$R$85</f>
        <v>111336.29680454811</v>
      </c>
      <c r="G26" s="372">
        <f t="shared" si="0"/>
        <v>-748.46319545188453</v>
      </c>
      <c r="H26" s="374">
        <f>+[4]군산!$Q$20</f>
        <v>58572.097480163138</v>
      </c>
      <c r="I26" s="373">
        <f>+[4]군산!$R$20</f>
        <v>59807.511468339544</v>
      </c>
      <c r="J26" s="372">
        <f t="shared" si="1"/>
        <v>1235.4139881764058</v>
      </c>
      <c r="K26" s="374">
        <f>+[4]군산!$Q$21</f>
        <v>14284.299645527439</v>
      </c>
      <c r="L26" s="373">
        <f>+[4]군산!$R$21</f>
        <v>14729.950009802002</v>
      </c>
      <c r="M26" s="372">
        <f t="shared" si="2"/>
        <v>445.65036427456289</v>
      </c>
      <c r="N26" s="374">
        <f>+[4]군산!$Q$22</f>
        <v>68</v>
      </c>
      <c r="O26" s="373">
        <f>+[4]군산!$R$22</f>
        <v>65.956087041756518</v>
      </c>
      <c r="P26" s="372">
        <f t="shared" si="3"/>
        <v>-2.0439129582434816</v>
      </c>
      <c r="Q26" s="374">
        <f t="shared" si="4"/>
        <v>72924.397125690579</v>
      </c>
      <c r="R26" s="373">
        <f t="shared" si="5"/>
        <v>74603.417565183307</v>
      </c>
      <c r="S26" s="372">
        <f t="shared" si="6"/>
        <v>1679.0204394927277</v>
      </c>
      <c r="T26" s="374">
        <f t="shared" si="7"/>
        <v>39160.362874309416</v>
      </c>
      <c r="U26" s="373">
        <f t="shared" si="8"/>
        <v>36732.879239364804</v>
      </c>
      <c r="V26" s="372">
        <f t="shared" si="9"/>
        <v>-2427.4836349446123</v>
      </c>
    </row>
    <row r="27" spans="4:22" ht="24" customHeight="1" x14ac:dyDescent="0.3">
      <c r="D27" s="323" t="s">
        <v>123</v>
      </c>
      <c r="E27" s="374">
        <f>+[4]원주!$Q$85</f>
        <v>111639.88393600003</v>
      </c>
      <c r="F27" s="373">
        <f>+[4]원주!$R$85</f>
        <v>108954.28571428572</v>
      </c>
      <c r="G27" s="372">
        <f t="shared" si="0"/>
        <v>-2685.5982217143028</v>
      </c>
      <c r="H27" s="374">
        <f>+[4]원주!$Q$20</f>
        <v>55644.158709677409</v>
      </c>
      <c r="I27" s="373">
        <f>+[4]원주!$R$20</f>
        <v>55933.709744013213</v>
      </c>
      <c r="J27" s="372">
        <f t="shared" si="1"/>
        <v>289.55103433580371</v>
      </c>
      <c r="K27" s="374">
        <f>+[4]원주!$Q$21</f>
        <v>14791.004200021</v>
      </c>
      <c r="L27" s="373">
        <f>+[4]원주!$R$21</f>
        <v>13655.180635838151</v>
      </c>
      <c r="M27" s="372">
        <f t="shared" si="2"/>
        <v>-1135.8235641828487</v>
      </c>
      <c r="N27" s="374">
        <f>+[4]원주!$Q$22</f>
        <v>375</v>
      </c>
      <c r="O27" s="373">
        <f>+[4]원주!$R$22</f>
        <v>323.56998348472337</v>
      </c>
      <c r="P27" s="372">
        <f t="shared" si="3"/>
        <v>-51.430016515276634</v>
      </c>
      <c r="Q27" s="374">
        <f t="shared" si="4"/>
        <v>70810.162909698411</v>
      </c>
      <c r="R27" s="373">
        <f t="shared" si="5"/>
        <v>69912.460363336082</v>
      </c>
      <c r="S27" s="372">
        <f t="shared" si="6"/>
        <v>-897.70254636232858</v>
      </c>
      <c r="T27" s="374">
        <f t="shared" si="7"/>
        <v>40829.721026301617</v>
      </c>
      <c r="U27" s="373">
        <f t="shared" si="8"/>
        <v>39041.825350949643</v>
      </c>
      <c r="V27" s="372">
        <f t="shared" si="9"/>
        <v>-1787.8956753519742</v>
      </c>
    </row>
    <row r="28" spans="4:22" ht="24" customHeight="1" x14ac:dyDescent="0.3">
      <c r="D28" s="318" t="s">
        <v>122</v>
      </c>
      <c r="E28" s="371">
        <f>+[4]제주!$Q$85</f>
        <v>122673.33333333333</v>
      </c>
      <c r="F28" s="370">
        <f>+[4]제주!$R$85</f>
        <v>131207.51014918071</v>
      </c>
      <c r="G28" s="369">
        <f t="shared" si="0"/>
        <v>8534.176815847386</v>
      </c>
      <c r="H28" s="371">
        <f>+[4]제주!$Q$20</f>
        <v>75863.909855394872</v>
      </c>
      <c r="I28" s="370">
        <f>+[4]제주!$R$20</f>
        <v>82253.100513572994</v>
      </c>
      <c r="J28" s="369">
        <f t="shared" si="1"/>
        <v>6389.1906581781222</v>
      </c>
      <c r="K28" s="371">
        <f>+[4]제주!$Q$21</f>
        <v>17312.239445262639</v>
      </c>
      <c r="L28" s="370">
        <f>+[4]제주!$R$21</f>
        <v>17488.395206651989</v>
      </c>
      <c r="M28" s="369">
        <f t="shared" si="2"/>
        <v>176.15576138934921</v>
      </c>
      <c r="N28" s="371">
        <f>+[4]제주!$Q$22</f>
        <v>416.66666666666669</v>
      </c>
      <c r="O28" s="370">
        <f>+[4]제주!$R$22</f>
        <v>472.37123991195892</v>
      </c>
      <c r="P28" s="369">
        <f t="shared" si="3"/>
        <v>55.704573245292238</v>
      </c>
      <c r="Q28" s="371">
        <f t="shared" si="4"/>
        <v>93592.815967324175</v>
      </c>
      <c r="R28" s="370">
        <f t="shared" si="5"/>
        <v>100213.86696013693</v>
      </c>
      <c r="S28" s="369">
        <f t="shared" si="6"/>
        <v>6621.0509928127576</v>
      </c>
      <c r="T28" s="371">
        <f t="shared" si="7"/>
        <v>29080.517366009153</v>
      </c>
      <c r="U28" s="370">
        <f t="shared" si="8"/>
        <v>30993.643189043782</v>
      </c>
      <c r="V28" s="369">
        <f t="shared" si="9"/>
        <v>1913.1258230346284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34998626667073579"/>
    <pageSetUpPr fitToPage="1"/>
  </sheetPr>
  <dimension ref="D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Q16" sqref="Q16"/>
      <selection pane="topRight" activeCell="Q16" sqref="Q16"/>
      <selection pane="bottomLeft" activeCell="Q16" sqref="Q16"/>
      <selection pane="bottomRight" activeCell="E8" sqref="E8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207</v>
      </c>
      <c r="F4" s="368"/>
      <c r="I4" s="368"/>
    </row>
    <row r="5" spans="4:22" ht="21.95" customHeight="1" x14ac:dyDescent="0.3"/>
    <row r="6" spans="4:22" ht="24" customHeight="1" thickBot="1" x14ac:dyDescent="0.35">
      <c r="D6" s="693" t="s">
        <v>11</v>
      </c>
      <c r="E6" s="366" t="s">
        <v>147</v>
      </c>
      <c r="F6" s="365"/>
      <c r="G6" s="364"/>
      <c r="H6" s="366" t="s">
        <v>146</v>
      </c>
      <c r="I6" s="365"/>
      <c r="J6" s="364"/>
      <c r="K6" s="366" t="s">
        <v>145</v>
      </c>
      <c r="L6" s="365"/>
      <c r="M6" s="364"/>
      <c r="N6" s="366" t="s">
        <v>144</v>
      </c>
      <c r="O6" s="365"/>
      <c r="P6" s="364"/>
      <c r="Q6" s="366" t="s">
        <v>143</v>
      </c>
      <c r="R6" s="365"/>
      <c r="S6" s="364"/>
      <c r="T6" s="366" t="s">
        <v>142</v>
      </c>
      <c r="U6" s="365"/>
      <c r="V6" s="364"/>
    </row>
    <row r="7" spans="4:22" ht="24" customHeight="1" x14ac:dyDescent="0.3">
      <c r="D7" s="694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411">
        <f>+[4]합계!$G$9</f>
        <v>97521.515189230049</v>
      </c>
      <c r="F8" s="410">
        <f>+[4]합계!$H$9</f>
        <v>100269.50963477093</v>
      </c>
      <c r="G8" s="409">
        <f t="shared" ref="G8:G28" si="0">+F8-E8</f>
        <v>2747.994445540884</v>
      </c>
      <c r="H8" s="411">
        <f>+[4]합계!$G$10</f>
        <v>91103.198165013629</v>
      </c>
      <c r="I8" s="410">
        <f>+[4]합계!$H$10</f>
        <v>95220.804376891829</v>
      </c>
      <c r="J8" s="409">
        <f t="shared" ref="J8:J28" si="1">+I8-H8</f>
        <v>4117.6062118781992</v>
      </c>
      <c r="K8" s="411">
        <f>+[4]합계!$G$12</f>
        <v>59693.190999795173</v>
      </c>
      <c r="L8" s="410">
        <f>+[4]합계!$H$12</f>
        <v>57905.474691486626</v>
      </c>
      <c r="M8" s="409">
        <f t="shared" ref="M8:M28" si="2">+L8-K8</f>
        <v>-1787.716308308547</v>
      </c>
      <c r="N8" s="411">
        <f>+[4]합계!$G$13</f>
        <v>35867.274137966779</v>
      </c>
      <c r="O8" s="410">
        <f>+[4]합계!$H$13</f>
        <v>37585.201312672696</v>
      </c>
      <c r="P8" s="409">
        <f t="shared" ref="P8:P28" si="3">+O8-N8</f>
        <v>1717.9271747059174</v>
      </c>
      <c r="Q8" s="411">
        <f>+[4]합계!$G$16</f>
        <v>12941.923785071192</v>
      </c>
      <c r="R8" s="410">
        <f>+[4]합계!$H$16</f>
        <v>13082.388813376951</v>
      </c>
      <c r="S8" s="409">
        <f t="shared" ref="S8:S28" si="4">+R8-Q8</f>
        <v>140.4650283057581</v>
      </c>
      <c r="T8" s="411">
        <f>+[4]합계!$G$17</f>
        <v>15606.318565406213</v>
      </c>
      <c r="U8" s="410">
        <f>+[4]합계!$H$17</f>
        <v>15291.722283441193</v>
      </c>
      <c r="V8" s="409">
        <f t="shared" ref="V8:V28" si="5">+U8-T8</f>
        <v>-314.59628196501944</v>
      </c>
    </row>
    <row r="9" spans="4:22" ht="24" customHeight="1" x14ac:dyDescent="0.3">
      <c r="D9" s="352" t="s">
        <v>16</v>
      </c>
      <c r="E9" s="408">
        <f>+[4]수도권!$G$9</f>
        <v>97000</v>
      </c>
      <c r="F9" s="407">
        <f>+[4]수도권!$H$9</f>
        <v>99865.93301265777</v>
      </c>
      <c r="G9" s="406">
        <f t="shared" si="0"/>
        <v>2865.9330126577697</v>
      </c>
      <c r="H9" s="408">
        <f>+[4]수도권!$G$10</f>
        <v>95432.333226939038</v>
      </c>
      <c r="I9" s="407">
        <f>+[4]수도권!$H$10</f>
        <v>98560.447254157363</v>
      </c>
      <c r="J9" s="406">
        <f t="shared" si="1"/>
        <v>3128.1140272183256</v>
      </c>
      <c r="K9" s="408">
        <f>+[4]수도권!$G$12</f>
        <v>60000</v>
      </c>
      <c r="L9" s="407">
        <f>+[4]수도권!$H$12</f>
        <v>57772.618343158465</v>
      </c>
      <c r="M9" s="406">
        <f t="shared" si="2"/>
        <v>-2227.381656841535</v>
      </c>
      <c r="N9" s="408">
        <f>+[4]수도권!$G$13</f>
        <v>39732.170805021291</v>
      </c>
      <c r="O9" s="407">
        <f>+[4]수도권!$H$13</f>
        <v>40892.45834330919</v>
      </c>
      <c r="P9" s="406">
        <f t="shared" si="3"/>
        <v>1160.2875382878992</v>
      </c>
      <c r="Q9" s="408">
        <f>+[4]수도권!$G$16</f>
        <v>14882.734952584135</v>
      </c>
      <c r="R9" s="407">
        <f>+[4]수도권!$H$16</f>
        <v>14979.710488724708</v>
      </c>
      <c r="S9" s="406">
        <f t="shared" si="4"/>
        <v>96.97553614057324</v>
      </c>
      <c r="T9" s="408">
        <f>+[4]수도권!$G$17</f>
        <v>13713.507132864657</v>
      </c>
      <c r="U9" s="407">
        <f>+[4]수도권!$H$17</f>
        <v>13720.774789828545</v>
      </c>
      <c r="V9" s="406">
        <f t="shared" si="5"/>
        <v>7.26765696388793</v>
      </c>
    </row>
    <row r="10" spans="4:22" ht="24" customHeight="1" x14ac:dyDescent="0.3">
      <c r="D10" s="347" t="s">
        <v>17</v>
      </c>
      <c r="E10" s="405">
        <f>+[4]영남권!$G$9</f>
        <v>97000.000000000015</v>
      </c>
      <c r="F10" s="404">
        <f>+[4]영남권!$H$9</f>
        <v>100000.00012639639</v>
      </c>
      <c r="G10" s="403">
        <f t="shared" si="0"/>
        <v>3000.0001263963786</v>
      </c>
      <c r="H10" s="405">
        <f>+[4]영남권!$G$10</f>
        <v>90172.620331465485</v>
      </c>
      <c r="I10" s="404">
        <f>+[4]영남권!$H$10</f>
        <v>94252.747507285967</v>
      </c>
      <c r="J10" s="403">
        <f t="shared" si="1"/>
        <v>4080.1271758204821</v>
      </c>
      <c r="K10" s="405">
        <f>+[4]영남권!$G$12</f>
        <v>59163.555551590332</v>
      </c>
      <c r="L10" s="404">
        <f>+[4]영남권!$H$12</f>
        <v>57799.504574668848</v>
      </c>
      <c r="M10" s="403">
        <f t="shared" si="2"/>
        <v>-1364.0509769214841</v>
      </c>
      <c r="N10" s="405">
        <f>+[4]영남권!$G$13</f>
        <v>32410.127674422307</v>
      </c>
      <c r="O10" s="404">
        <f>+[4]영남권!$H$13</f>
        <v>34005.778183665796</v>
      </c>
      <c r="P10" s="403">
        <f t="shared" si="3"/>
        <v>1595.6505092434891</v>
      </c>
      <c r="Q10" s="405">
        <f>+[4]영남권!$G$16</f>
        <v>11024.026013672905</v>
      </c>
      <c r="R10" s="404">
        <f>+[4]영남권!$H$16</f>
        <v>11069.748934862149</v>
      </c>
      <c r="S10" s="403">
        <f t="shared" si="4"/>
        <v>45.722921189244516</v>
      </c>
      <c r="T10" s="405">
        <f>+[4]영남권!$G$17</f>
        <v>17798.159864986825</v>
      </c>
      <c r="U10" s="404">
        <f>+[4]영남권!$H$17</f>
        <v>17408.926590084375</v>
      </c>
      <c r="V10" s="403">
        <f t="shared" si="5"/>
        <v>-389.23327490244992</v>
      </c>
    </row>
    <row r="11" spans="4:22" ht="24" customHeight="1" x14ac:dyDescent="0.3">
      <c r="D11" s="342" t="s">
        <v>128</v>
      </c>
      <c r="E11" s="402">
        <f>+[4]중부권!$G$9</f>
        <v>99563.787936720764</v>
      </c>
      <c r="F11" s="401">
        <f>+[4]중부권!$H$9</f>
        <v>101567.5139820452</v>
      </c>
      <c r="G11" s="400">
        <f t="shared" si="0"/>
        <v>2003.726045324438</v>
      </c>
      <c r="H11" s="402">
        <f>+[4]중부권!$G$10</f>
        <v>91126.148608958014</v>
      </c>
      <c r="I11" s="401">
        <f>+[4]중부권!$H$10</f>
        <v>95093.014285203506</v>
      </c>
      <c r="J11" s="400">
        <f t="shared" si="1"/>
        <v>3966.8656762454921</v>
      </c>
      <c r="K11" s="402">
        <f>+[4]중부권!$G$12</f>
        <v>60169.254314369726</v>
      </c>
      <c r="L11" s="401">
        <f>+[4]중부권!$H$12</f>
        <v>58484.889007471123</v>
      </c>
      <c r="M11" s="400">
        <f t="shared" si="2"/>
        <v>-1684.3653068986023</v>
      </c>
      <c r="N11" s="402">
        <f>+[4]중부권!$G$13</f>
        <v>37346.378968966237</v>
      </c>
      <c r="O11" s="401">
        <f>+[4]중부권!$H$13</f>
        <v>38681.767890039322</v>
      </c>
      <c r="P11" s="400">
        <f t="shared" si="3"/>
        <v>1335.3889210730849</v>
      </c>
      <c r="Q11" s="402">
        <f>+[4]중부권!$G$16</f>
        <v>13037.253743134279</v>
      </c>
      <c r="R11" s="401">
        <f>+[4]중부권!$H$16</f>
        <v>12720.157148471539</v>
      </c>
      <c r="S11" s="400">
        <f t="shared" si="4"/>
        <v>-317.09659466274024</v>
      </c>
      <c r="T11" s="402">
        <f>+[4]중부권!$G$17</f>
        <v>14494.546626672467</v>
      </c>
      <c r="U11" s="401">
        <f>+[4]중부권!$H$17</f>
        <v>14337.978060765832</v>
      </c>
      <c r="V11" s="400">
        <f t="shared" si="5"/>
        <v>-156.56856590663483</v>
      </c>
    </row>
    <row r="12" spans="4:22" ht="24" customHeight="1" x14ac:dyDescent="0.3">
      <c r="D12" s="382" t="s">
        <v>18</v>
      </c>
      <c r="E12" s="399">
        <f>+[4]안양!$G$9</f>
        <v>97000</v>
      </c>
      <c r="F12" s="398">
        <f>+[4]안양!$H$9</f>
        <v>99708.306073665866</v>
      </c>
      <c r="G12" s="397">
        <f t="shared" si="0"/>
        <v>2708.3060736658663</v>
      </c>
      <c r="H12" s="399">
        <f>+[4]안양!$G$10</f>
        <v>0</v>
      </c>
      <c r="I12" s="398">
        <f>+[4]안양!$H$10</f>
        <v>100500.00776782559</v>
      </c>
      <c r="J12" s="397">
        <f t="shared" si="1"/>
        <v>100500.00776782559</v>
      </c>
      <c r="K12" s="399">
        <f>+[4]안양!$G$12</f>
        <v>60000</v>
      </c>
      <c r="L12" s="398">
        <f>+[4]안양!$H$12</f>
        <v>57817.93966395648</v>
      </c>
      <c r="M12" s="397">
        <f t="shared" si="2"/>
        <v>-2182.0603360435198</v>
      </c>
      <c r="N12" s="399">
        <f>+[4]안양!$G$13</f>
        <v>38500</v>
      </c>
      <c r="O12" s="398">
        <f>+[4]안양!$H$13</f>
        <v>40403.07126146205</v>
      </c>
      <c r="P12" s="397">
        <f t="shared" si="3"/>
        <v>1903.0712614620497</v>
      </c>
      <c r="Q12" s="399">
        <f>+[4]안양!$G$16</f>
        <v>14133.333333333332</v>
      </c>
      <c r="R12" s="398">
        <f>+[4]안양!$H$16</f>
        <v>14023.065193061406</v>
      </c>
      <c r="S12" s="397">
        <f t="shared" si="4"/>
        <v>-110.26814027192631</v>
      </c>
      <c r="T12" s="399">
        <f>+[4]안양!$G$17</f>
        <v>13548.387096774193</v>
      </c>
      <c r="U12" s="398">
        <f>+[4]안양!$H$17</f>
        <v>13583.969481662503</v>
      </c>
      <c r="V12" s="397">
        <f t="shared" si="5"/>
        <v>35.582384888310116</v>
      </c>
    </row>
    <row r="13" spans="4:22" ht="24" customHeight="1" x14ac:dyDescent="0.3">
      <c r="D13" s="323" t="s">
        <v>19</v>
      </c>
      <c r="E13" s="392">
        <f>+[4]인천!$G$9</f>
        <v>97000</v>
      </c>
      <c r="F13" s="391">
        <f>+[4]인천!$H$9</f>
        <v>99929.603957463667</v>
      </c>
      <c r="G13" s="390">
        <f t="shared" si="0"/>
        <v>2929.603957463667</v>
      </c>
      <c r="H13" s="392">
        <f>+[4]인천!$G$10</f>
        <v>97000</v>
      </c>
      <c r="I13" s="391">
        <f>+[4]인천!$H$10</f>
        <v>99581.674117117931</v>
      </c>
      <c r="J13" s="390">
        <f t="shared" si="1"/>
        <v>2581.674117117931</v>
      </c>
      <c r="K13" s="392">
        <f>+[4]인천!$G$12</f>
        <v>60000</v>
      </c>
      <c r="L13" s="391">
        <f>+[4]인천!$H$12</f>
        <v>57799.864225360616</v>
      </c>
      <c r="M13" s="390">
        <f t="shared" si="2"/>
        <v>-2200.1357746393842</v>
      </c>
      <c r="N13" s="392">
        <f>+[4]인천!$G$13</f>
        <v>39000</v>
      </c>
      <c r="O13" s="391">
        <f>+[4]인천!$H$13</f>
        <v>39613.49182552773</v>
      </c>
      <c r="P13" s="390">
        <f t="shared" si="3"/>
        <v>613.49182552772982</v>
      </c>
      <c r="Q13" s="392">
        <f>+[4]인천!$G$16</f>
        <v>15333.333333333334</v>
      </c>
      <c r="R13" s="391">
        <f>+[4]인천!$H$16</f>
        <v>15666.394981862772</v>
      </c>
      <c r="S13" s="390">
        <f t="shared" si="4"/>
        <v>333.06164852943766</v>
      </c>
      <c r="T13" s="392">
        <f>+[4]인천!$G$17</f>
        <v>13952.457269132081</v>
      </c>
      <c r="U13" s="391">
        <f>+[4]인천!$H$17</f>
        <v>14046.566689016387</v>
      </c>
      <c r="V13" s="390">
        <f t="shared" si="5"/>
        <v>94.10941988430568</v>
      </c>
    </row>
    <row r="14" spans="4:22" ht="24" customHeight="1" x14ac:dyDescent="0.3">
      <c r="D14" s="323" t="s">
        <v>20</v>
      </c>
      <c r="E14" s="392">
        <f>+[4]파주!$G$9</f>
        <v>96999.999999999985</v>
      </c>
      <c r="F14" s="391">
        <f>+[4]파주!$H$9</f>
        <v>100000.00000000004</v>
      </c>
      <c r="G14" s="390">
        <f t="shared" si="0"/>
        <v>3000.0000000000582</v>
      </c>
      <c r="H14" s="392">
        <f>+[4]파주!$G$10</f>
        <v>0</v>
      </c>
      <c r="I14" s="391">
        <f>+[4]파주!$H$10</f>
        <v>0</v>
      </c>
      <c r="J14" s="390">
        <f t="shared" si="1"/>
        <v>0</v>
      </c>
      <c r="K14" s="392">
        <f>+[4]파주!$G$12</f>
        <v>60000.000000000007</v>
      </c>
      <c r="L14" s="391">
        <f>+[4]파주!$H$12</f>
        <v>57901.148066148606</v>
      </c>
      <c r="M14" s="390">
        <f t="shared" si="2"/>
        <v>-2098.8519338514016</v>
      </c>
      <c r="N14" s="392">
        <f>+[4]파주!$G$13</f>
        <v>42000</v>
      </c>
      <c r="O14" s="391">
        <f>+[4]파주!$H$13</f>
        <v>42505.68522656506</v>
      </c>
      <c r="P14" s="390">
        <f t="shared" si="3"/>
        <v>505.68522656505957</v>
      </c>
      <c r="Q14" s="392">
        <f>+[4]파주!$G$16</f>
        <v>15666.666666666668</v>
      </c>
      <c r="R14" s="391">
        <f>+[4]파주!$H$16</f>
        <v>15774.101025454482</v>
      </c>
      <c r="S14" s="390">
        <f t="shared" si="4"/>
        <v>107.43435878781384</v>
      </c>
      <c r="T14" s="392">
        <f>+[4]파주!$G$17</f>
        <v>13225.806451612903</v>
      </c>
      <c r="U14" s="391">
        <f>+[4]파주!$H$17</f>
        <v>13144.330512462837</v>
      </c>
      <c r="V14" s="390">
        <f t="shared" si="5"/>
        <v>-81.475939150066552</v>
      </c>
    </row>
    <row r="15" spans="4:22" ht="24" customHeight="1" x14ac:dyDescent="0.3">
      <c r="D15" s="323" t="s">
        <v>106</v>
      </c>
      <c r="E15" s="392">
        <f>+[4]김포!$G$9</f>
        <v>97000</v>
      </c>
      <c r="F15" s="391">
        <f>+[4]김포!$H$9</f>
        <v>100000.00000000006</v>
      </c>
      <c r="G15" s="390">
        <f t="shared" si="0"/>
        <v>3000.0000000000582</v>
      </c>
      <c r="H15" s="392">
        <f>+[4]김포!$G$10</f>
        <v>91500</v>
      </c>
      <c r="I15" s="391">
        <f>+[4]김포!$H$10</f>
        <v>95954.110342649437</v>
      </c>
      <c r="J15" s="390">
        <f t="shared" si="1"/>
        <v>4454.1103426494374</v>
      </c>
      <c r="K15" s="392">
        <f>+[4]김포!$G$12</f>
        <v>60000</v>
      </c>
      <c r="L15" s="391">
        <f>+[4]김포!$H$12</f>
        <v>57531.869466931501</v>
      </c>
      <c r="M15" s="390">
        <f t="shared" si="2"/>
        <v>-2468.1305330684991</v>
      </c>
      <c r="N15" s="392">
        <f>+[4]김포!$G$13</f>
        <v>41500</v>
      </c>
      <c r="O15" s="391">
        <f>+[4]김포!$H$13</f>
        <v>42310.378802019703</v>
      </c>
      <c r="P15" s="390">
        <f t="shared" si="3"/>
        <v>810.37880201970256</v>
      </c>
      <c r="Q15" s="392">
        <f>+[4]김포!$G$16</f>
        <v>14911.543976408842</v>
      </c>
      <c r="R15" s="391">
        <f>+[4]김포!$H$16</f>
        <v>15026.283306423298</v>
      </c>
      <c r="S15" s="390">
        <f t="shared" si="4"/>
        <v>114.73933001445585</v>
      </c>
      <c r="T15" s="392">
        <f>+[4]김포!$G$17</f>
        <v>14155.902361640074</v>
      </c>
      <c r="U15" s="391">
        <f>+[4]김포!$H$17</f>
        <v>13979.103671009016</v>
      </c>
      <c r="V15" s="390">
        <f t="shared" si="5"/>
        <v>-176.79869063105798</v>
      </c>
    </row>
    <row r="16" spans="4:22" ht="24" customHeight="1" x14ac:dyDescent="0.3">
      <c r="D16" s="378" t="s">
        <v>21</v>
      </c>
      <c r="E16" s="395">
        <f>+[4]부산!$G$9</f>
        <v>97000.000000000015</v>
      </c>
      <c r="F16" s="394">
        <f>+[4]부산!$H$9</f>
        <v>99999.999999999985</v>
      </c>
      <c r="G16" s="393">
        <f t="shared" si="0"/>
        <v>2999.9999999999709</v>
      </c>
      <c r="H16" s="395">
        <f>+[4]부산!$G$10</f>
        <v>89600.000000000015</v>
      </c>
      <c r="I16" s="394">
        <f>+[4]부산!$H$10</f>
        <v>94185.788638555561</v>
      </c>
      <c r="J16" s="393">
        <f t="shared" si="1"/>
        <v>4585.7886385555466</v>
      </c>
      <c r="K16" s="395">
        <f>+[4]부산!$G$12</f>
        <v>0</v>
      </c>
      <c r="L16" s="394">
        <f>+[4]부산!$H$12</f>
        <v>57700.005331158151</v>
      </c>
      <c r="M16" s="393">
        <f t="shared" si="2"/>
        <v>57700.005331158151</v>
      </c>
      <c r="N16" s="395">
        <f>+[4]부산!$G$13</f>
        <v>34500</v>
      </c>
      <c r="O16" s="394">
        <f>+[4]부산!$H$13</f>
        <v>34956.131183967242</v>
      </c>
      <c r="P16" s="393">
        <f t="shared" si="3"/>
        <v>456.13118396724167</v>
      </c>
      <c r="Q16" s="395">
        <f>+[4]부산!$G$16</f>
        <v>11714.415686274509</v>
      </c>
      <c r="R16" s="394">
        <f>+[4]부산!$H$16</f>
        <v>11902.557526167418</v>
      </c>
      <c r="S16" s="393">
        <f t="shared" si="4"/>
        <v>188.14183989290905</v>
      </c>
      <c r="T16" s="395">
        <f>+[4]부산!$G$17</f>
        <v>18149.720279720277</v>
      </c>
      <c r="U16" s="394">
        <f>+[4]부산!$H$17</f>
        <v>17819.995741553117</v>
      </c>
      <c r="V16" s="393">
        <f t="shared" si="5"/>
        <v>-329.72453816716006</v>
      </c>
    </row>
    <row r="17" spans="4:25" ht="24" customHeight="1" x14ac:dyDescent="0.3">
      <c r="D17" s="323" t="s">
        <v>22</v>
      </c>
      <c r="E17" s="392">
        <f>+[4]서부산!$G$9</f>
        <v>96999.999999999985</v>
      </c>
      <c r="F17" s="391">
        <f>+[4]서부산!$H$9</f>
        <v>100000.00017358438</v>
      </c>
      <c r="G17" s="390">
        <f t="shared" si="0"/>
        <v>3000.000173584398</v>
      </c>
      <c r="H17" s="392">
        <f>+[4]서부산!$G$10</f>
        <v>89100</v>
      </c>
      <c r="I17" s="391">
        <f>+[4]서부산!$H$10</f>
        <v>95871.057920630541</v>
      </c>
      <c r="J17" s="390">
        <f t="shared" si="1"/>
        <v>6771.057920630541</v>
      </c>
      <c r="K17" s="392">
        <f>+[4]서부산!$G$12</f>
        <v>61000</v>
      </c>
      <c r="L17" s="391">
        <f>+[4]서부산!$H$12</f>
        <v>60427.281386177659</v>
      </c>
      <c r="M17" s="390">
        <f t="shared" si="2"/>
        <v>-572.71861382234056</v>
      </c>
      <c r="N17" s="392">
        <f>+[4]서부산!$G$13</f>
        <v>32500</v>
      </c>
      <c r="O17" s="391">
        <f>+[4]서부산!$H$13</f>
        <v>33768.341622985405</v>
      </c>
      <c r="P17" s="390">
        <f t="shared" si="3"/>
        <v>1268.3416229854047</v>
      </c>
      <c r="Q17" s="392">
        <f>+[4]서부산!$G$16</f>
        <v>10666.666666666666</v>
      </c>
      <c r="R17" s="391">
        <f>+[4]서부산!$H$16</f>
        <v>10666.666448087426</v>
      </c>
      <c r="S17" s="390">
        <f t="shared" si="4"/>
        <v>-2.1857924002688378E-4</v>
      </c>
      <c r="T17" s="392">
        <f>+[4]서부산!$G$17</f>
        <v>17845.664409188568</v>
      </c>
      <c r="U17" s="391">
        <f>+[4]서부산!$H$17</f>
        <v>16623.986534223448</v>
      </c>
      <c r="V17" s="390">
        <f t="shared" si="5"/>
        <v>-1221.6778749651203</v>
      </c>
    </row>
    <row r="18" spans="4:25" ht="24" customHeight="1" x14ac:dyDescent="0.3">
      <c r="D18" s="323" t="s">
        <v>23</v>
      </c>
      <c r="E18" s="392">
        <f>+[4]김해!$G$9</f>
        <v>96999.999999999985</v>
      </c>
      <c r="F18" s="391">
        <f>+[4]김해!$H$9</f>
        <v>99999.999999999985</v>
      </c>
      <c r="G18" s="390">
        <f t="shared" si="0"/>
        <v>3000</v>
      </c>
      <c r="H18" s="392">
        <f>+[4]김해!$G$10</f>
        <v>89100</v>
      </c>
      <c r="I18" s="391">
        <f>+[4]김해!$H$10</f>
        <v>94271.299989076331</v>
      </c>
      <c r="J18" s="390">
        <f t="shared" si="1"/>
        <v>5171.2999890763313</v>
      </c>
      <c r="K18" s="392">
        <f>+[4]김해!$G$12</f>
        <v>0</v>
      </c>
      <c r="L18" s="391">
        <f>+[4]김해!$H$12</f>
        <v>0</v>
      </c>
      <c r="M18" s="390">
        <f t="shared" si="2"/>
        <v>0</v>
      </c>
      <c r="N18" s="392">
        <f>+[4]김해!$G$13</f>
        <v>32500</v>
      </c>
      <c r="O18" s="391">
        <f>+[4]김해!$H$13</f>
        <v>33112.510187321583</v>
      </c>
      <c r="P18" s="390">
        <f t="shared" si="3"/>
        <v>612.51018732158263</v>
      </c>
      <c r="Q18" s="392">
        <f>+[4]김해!$G$16</f>
        <v>9000</v>
      </c>
      <c r="R18" s="391">
        <f>+[4]김해!$H$16</f>
        <v>9029.1848003260002</v>
      </c>
      <c r="S18" s="390">
        <f t="shared" si="4"/>
        <v>29.184800326000186</v>
      </c>
      <c r="T18" s="392">
        <f>+[4]김해!$G$17</f>
        <v>16710.977594439159</v>
      </c>
      <c r="U18" s="391">
        <f>+[4]김해!$H$17</f>
        <v>16513.782045762197</v>
      </c>
      <c r="V18" s="390">
        <f t="shared" si="5"/>
        <v>-197.19554867696206</v>
      </c>
    </row>
    <row r="19" spans="4:25" ht="24" customHeight="1" x14ac:dyDescent="0.3">
      <c r="D19" s="323" t="s">
        <v>24</v>
      </c>
      <c r="E19" s="392">
        <f>+[4]정관!$G$9</f>
        <v>97000</v>
      </c>
      <c r="F19" s="391">
        <f>+[4]정관!$H$9</f>
        <v>100000.00049542495</v>
      </c>
      <c r="G19" s="390">
        <f t="shared" si="0"/>
        <v>3000.0004954249453</v>
      </c>
      <c r="H19" s="392">
        <f>+[4]정관!$G$10</f>
        <v>89100</v>
      </c>
      <c r="I19" s="391">
        <f>+[4]정관!$H$10</f>
        <v>92214.890787351324</v>
      </c>
      <c r="J19" s="390">
        <f t="shared" si="1"/>
        <v>3114.8907873513235</v>
      </c>
      <c r="K19" s="392">
        <f>+[4]정관!$G$12</f>
        <v>59000</v>
      </c>
      <c r="L19" s="391">
        <f>+[4]정관!$H$12</f>
        <v>56702.160748116527</v>
      </c>
      <c r="M19" s="390">
        <f t="shared" si="2"/>
        <v>-2297.8392518834735</v>
      </c>
      <c r="N19" s="392">
        <f>+[4]정관!$G$13</f>
        <v>32500.000000000015</v>
      </c>
      <c r="O19" s="391">
        <f>+[4]정관!$H$13</f>
        <v>34237.658907524128</v>
      </c>
      <c r="P19" s="390">
        <f t="shared" si="3"/>
        <v>1737.6589075241136</v>
      </c>
      <c r="Q19" s="392">
        <f>+[4]정관!$G$16</f>
        <v>11335.55153836004</v>
      </c>
      <c r="R19" s="391">
        <f>+[4]정관!$H$16</f>
        <v>10988.220020694465</v>
      </c>
      <c r="S19" s="390">
        <f t="shared" si="4"/>
        <v>-347.33151766557421</v>
      </c>
      <c r="T19" s="392">
        <f>+[4]정관!$G$17</f>
        <v>18860.223886297572</v>
      </c>
      <c r="U19" s="391">
        <f>+[4]정관!$H$17</f>
        <v>18734.858910718835</v>
      </c>
      <c r="V19" s="390">
        <f t="shared" si="5"/>
        <v>-125.36497557873736</v>
      </c>
    </row>
    <row r="20" spans="4:25" ht="24" customHeight="1" x14ac:dyDescent="0.3">
      <c r="D20" s="323" t="s">
        <v>25</v>
      </c>
      <c r="E20" s="392">
        <f>+[4]양산!$G$9</f>
        <v>96999.999999999985</v>
      </c>
      <c r="F20" s="391">
        <f>+[4]양산!$H$9</f>
        <v>99999.999999999956</v>
      </c>
      <c r="G20" s="390">
        <f t="shared" si="0"/>
        <v>2999.9999999999709</v>
      </c>
      <c r="H20" s="392">
        <f>+[4]양산!$G$10</f>
        <v>0</v>
      </c>
      <c r="I20" s="391">
        <f>+[4]양산!$H$10</f>
        <v>0</v>
      </c>
      <c r="J20" s="390">
        <f t="shared" si="1"/>
        <v>0</v>
      </c>
      <c r="K20" s="392">
        <f>+[4]양산!$G$12</f>
        <v>59000</v>
      </c>
      <c r="L20" s="391">
        <f>+[4]양산!$H$12</f>
        <v>57000.701232716114</v>
      </c>
      <c r="M20" s="390">
        <f t="shared" si="2"/>
        <v>-1999.2987672838863</v>
      </c>
      <c r="N20" s="392">
        <f>+[4]양산!$G$13</f>
        <v>32000</v>
      </c>
      <c r="O20" s="391">
        <f>+[4]양산!$H$13</f>
        <v>34320.491080143249</v>
      </c>
      <c r="P20" s="390">
        <f t="shared" si="3"/>
        <v>2320.4910801432488</v>
      </c>
      <c r="Q20" s="392">
        <f>+[4]양산!$G$16</f>
        <v>9400</v>
      </c>
      <c r="R20" s="391">
        <f>+[4]양산!$H$16</f>
        <v>9130.9809286403361</v>
      </c>
      <c r="S20" s="390">
        <f t="shared" si="4"/>
        <v>-269.01907135966394</v>
      </c>
      <c r="T20" s="392">
        <f>+[4]양산!$G$17</f>
        <v>17570.738425585554</v>
      </c>
      <c r="U20" s="391">
        <f>+[4]양산!$H$17</f>
        <v>16895.063964997702</v>
      </c>
      <c r="V20" s="390">
        <f t="shared" si="5"/>
        <v>-675.67446058785208</v>
      </c>
    </row>
    <row r="21" spans="4:25" ht="24" customHeight="1" x14ac:dyDescent="0.3">
      <c r="D21" s="323" t="s">
        <v>26</v>
      </c>
      <c r="E21" s="392">
        <f>+[4]창원!$G$9</f>
        <v>97000</v>
      </c>
      <c r="F21" s="391">
        <f>+[4]창원!$H$9</f>
        <v>100000.00000000007</v>
      </c>
      <c r="G21" s="390">
        <f t="shared" si="0"/>
        <v>3000.0000000000728</v>
      </c>
      <c r="H21" s="392">
        <f>+[4]창원!$G$10</f>
        <v>100500</v>
      </c>
      <c r="I21" s="391">
        <f>+[4]창원!$H$10</f>
        <v>100499.9746791142</v>
      </c>
      <c r="J21" s="390">
        <f t="shared" si="1"/>
        <v>-2.532088580483105E-2</v>
      </c>
      <c r="K21" s="392">
        <f>+[4]창원!$G$12</f>
        <v>61000</v>
      </c>
      <c r="L21" s="391">
        <f>+[4]창원!$H$12</f>
        <v>60101.347994568205</v>
      </c>
      <c r="M21" s="390">
        <f t="shared" si="2"/>
        <v>-898.65200543179526</v>
      </c>
      <c r="N21" s="392">
        <f>+[4]창원!$G$13</f>
        <v>29500</v>
      </c>
      <c r="O21" s="391">
        <f>+[4]창원!$H$13</f>
        <v>31407.402645177088</v>
      </c>
      <c r="P21" s="390">
        <f t="shared" si="3"/>
        <v>1907.4026451770878</v>
      </c>
      <c r="Q21" s="392">
        <f>+[4]창원!$G$16</f>
        <v>11466.666666666666</v>
      </c>
      <c r="R21" s="391">
        <f>+[4]창원!$H$16</f>
        <v>11207.080663952735</v>
      </c>
      <c r="S21" s="390">
        <f t="shared" si="4"/>
        <v>-259.58600271393152</v>
      </c>
      <c r="T21" s="392">
        <f>+[4]창원!$G$17</f>
        <v>17046.851514273018</v>
      </c>
      <c r="U21" s="391">
        <f>+[4]창원!$H$17</f>
        <v>16485.742972650889</v>
      </c>
      <c r="V21" s="390">
        <f t="shared" si="5"/>
        <v>-561.10854162212854</v>
      </c>
      <c r="Y21" s="396"/>
    </row>
    <row r="22" spans="4:25" ht="24" customHeight="1" x14ac:dyDescent="0.3">
      <c r="D22" s="323" t="s">
        <v>127</v>
      </c>
      <c r="E22" s="392">
        <f>+[4]대구!$G$9</f>
        <v>97000</v>
      </c>
      <c r="F22" s="391">
        <f>+[4]대구!$H$9</f>
        <v>99999.999999999956</v>
      </c>
      <c r="G22" s="390">
        <f t="shared" si="0"/>
        <v>2999.9999999999563</v>
      </c>
      <c r="H22" s="392">
        <f>+[4]대구!$G$10</f>
        <v>0</v>
      </c>
      <c r="I22" s="391">
        <f>+[4]대구!$H$10</f>
        <v>98970.890347788401</v>
      </c>
      <c r="J22" s="390">
        <f t="shared" si="1"/>
        <v>98970.890347788401</v>
      </c>
      <c r="K22" s="392">
        <f>+[4]대구!$G$12</f>
        <v>57199.999999999985</v>
      </c>
      <c r="L22" s="391">
        <f>+[4]대구!$H$12</f>
        <v>58554.49714318911</v>
      </c>
      <c r="M22" s="390">
        <f t="shared" si="2"/>
        <v>1354.4971431891245</v>
      </c>
      <c r="N22" s="392">
        <f>+[4]대구!$G$13</f>
        <v>31000.000000000004</v>
      </c>
      <c r="O22" s="391">
        <f>+[4]대구!$H$13</f>
        <v>32110.380616425551</v>
      </c>
      <c r="P22" s="390">
        <f t="shared" si="3"/>
        <v>1110.3806164255475</v>
      </c>
      <c r="Q22" s="392">
        <f>+[4]대구!$G$16</f>
        <v>10933.333333333334</v>
      </c>
      <c r="R22" s="391">
        <f>+[4]대구!$H$16</f>
        <v>10673.022067796512</v>
      </c>
      <c r="S22" s="390">
        <f t="shared" si="4"/>
        <v>-260.31126553682225</v>
      </c>
      <c r="T22" s="392">
        <f>+[4]대구!$G$17</f>
        <v>14319.24360400445</v>
      </c>
      <c r="U22" s="391">
        <f>+[4]대구!$H$17</f>
        <v>13807.318453980999</v>
      </c>
      <c r="V22" s="390">
        <f t="shared" si="5"/>
        <v>-511.92515002345135</v>
      </c>
    </row>
    <row r="23" spans="4:25" ht="24" customHeight="1" x14ac:dyDescent="0.3">
      <c r="D23" s="323" t="s">
        <v>126</v>
      </c>
      <c r="E23" s="392">
        <f>+[4]울산!$G$9</f>
        <v>96999.999999999971</v>
      </c>
      <c r="F23" s="391">
        <f>+[4]울산!$H$9</f>
        <v>99999.999999999971</v>
      </c>
      <c r="G23" s="390">
        <f t="shared" si="0"/>
        <v>3000</v>
      </c>
      <c r="H23" s="392">
        <f>+[4]울산!$G$10</f>
        <v>0</v>
      </c>
      <c r="I23" s="391">
        <f>+[4]울산!$H$10</f>
        <v>0</v>
      </c>
      <c r="J23" s="390">
        <f t="shared" si="1"/>
        <v>0</v>
      </c>
      <c r="K23" s="392">
        <f>+[4]울산!$G$12</f>
        <v>57200</v>
      </c>
      <c r="L23" s="391">
        <f>+[4]울산!$H$12</f>
        <v>55014.345209146006</v>
      </c>
      <c r="M23" s="390">
        <f t="shared" si="2"/>
        <v>-2185.6547908539942</v>
      </c>
      <c r="N23" s="392">
        <f>+[4]울산!$G$13</f>
        <v>33500</v>
      </c>
      <c r="O23" s="391">
        <f>+[4]울산!$H$13</f>
        <v>35467.735763493336</v>
      </c>
      <c r="P23" s="390">
        <f t="shared" si="3"/>
        <v>1967.735763493336</v>
      </c>
      <c r="Q23" s="392">
        <f>+[4]울산!$G$16</f>
        <v>12533.333333333332</v>
      </c>
      <c r="R23" s="391">
        <f>+[4]울산!$H$16</f>
        <v>12209.931504933402</v>
      </c>
      <c r="S23" s="390">
        <f t="shared" si="4"/>
        <v>-323.40182839993031</v>
      </c>
      <c r="T23" s="392">
        <f>+[4]울산!$G$17</f>
        <v>19929.331789570959</v>
      </c>
      <c r="U23" s="391">
        <f>+[4]울산!$H$17</f>
        <v>19565.335424609064</v>
      </c>
      <c r="V23" s="390">
        <f t="shared" si="5"/>
        <v>-363.99636496189487</v>
      </c>
    </row>
    <row r="24" spans="4:25" ht="24" customHeight="1" x14ac:dyDescent="0.3">
      <c r="D24" s="378" t="s">
        <v>27</v>
      </c>
      <c r="E24" s="395">
        <f>+[4]아산!$G$9</f>
        <v>96999.999999999985</v>
      </c>
      <c r="F24" s="394">
        <f>+[4]아산!$H$9</f>
        <v>99716.885890944919</v>
      </c>
      <c r="G24" s="393">
        <f t="shared" si="0"/>
        <v>2716.8858909449336</v>
      </c>
      <c r="H24" s="395">
        <f>+[4]아산!$G$10</f>
        <v>83600.000000000029</v>
      </c>
      <c r="I24" s="394">
        <f>+[4]아산!$H$10</f>
        <v>86600.004151550558</v>
      </c>
      <c r="J24" s="393">
        <f t="shared" si="1"/>
        <v>3000.0041515505291</v>
      </c>
      <c r="K24" s="395">
        <f>+[4]아산!$G$12</f>
        <v>59999.999999999993</v>
      </c>
      <c r="L24" s="394">
        <f>+[4]아산!$H$12</f>
        <v>57740.042768633655</v>
      </c>
      <c r="M24" s="393">
        <f t="shared" si="2"/>
        <v>-2259.9572313663375</v>
      </c>
      <c r="N24" s="395">
        <f>+[4]아산!$G$13</f>
        <v>37500</v>
      </c>
      <c r="O24" s="394">
        <f>+[4]아산!$H$13</f>
        <v>38647.233290021199</v>
      </c>
      <c r="P24" s="393">
        <f t="shared" si="3"/>
        <v>1147.2332900211986</v>
      </c>
      <c r="Q24" s="395">
        <f>+[4]아산!$G$16</f>
        <v>10853.333333333334</v>
      </c>
      <c r="R24" s="394">
        <f>+[4]아산!$H$16</f>
        <v>10864.208848437225</v>
      </c>
      <c r="S24" s="393">
        <f t="shared" si="4"/>
        <v>10.875515103891303</v>
      </c>
      <c r="T24" s="395">
        <f>+[4]아산!$G$17</f>
        <v>12554.838709677419</v>
      </c>
      <c r="U24" s="394">
        <f>+[4]아산!$H$17</f>
        <v>12453.39276934906</v>
      </c>
      <c r="V24" s="393">
        <f t="shared" si="5"/>
        <v>-101.44594032835812</v>
      </c>
    </row>
    <row r="25" spans="4:25" ht="24" customHeight="1" x14ac:dyDescent="0.3">
      <c r="D25" s="323" t="s">
        <v>125</v>
      </c>
      <c r="E25" s="392">
        <f>+[4]전주!$G$9</f>
        <v>97000.000000000015</v>
      </c>
      <c r="F25" s="391">
        <f>+[4]전주!$H$9</f>
        <v>99999.999999999956</v>
      </c>
      <c r="G25" s="390">
        <f t="shared" si="0"/>
        <v>2999.9999999999418</v>
      </c>
      <c r="H25" s="392">
        <f>+[4]전주!$G$10</f>
        <v>94500</v>
      </c>
      <c r="I25" s="391">
        <f>+[4]전주!$H$10</f>
        <v>97499.691365641498</v>
      </c>
      <c r="J25" s="390">
        <f t="shared" si="1"/>
        <v>2999.6913656414981</v>
      </c>
      <c r="K25" s="392">
        <f>+[4]전주!$G$12</f>
        <v>60000.000000000015</v>
      </c>
      <c r="L25" s="391">
        <f>+[4]전주!$H$12</f>
        <v>57660.498194545478</v>
      </c>
      <c r="M25" s="390">
        <f t="shared" si="2"/>
        <v>-2339.5018054545362</v>
      </c>
      <c r="N25" s="392">
        <f>+[4]전주!$G$13</f>
        <v>32500</v>
      </c>
      <c r="O25" s="391">
        <f>+[4]전주!$H$13</f>
        <v>34308.902646755596</v>
      </c>
      <c r="P25" s="390">
        <f t="shared" si="3"/>
        <v>1808.9026467555959</v>
      </c>
      <c r="Q25" s="392">
        <f>+[4]전주!$G$16</f>
        <v>14733.33333333333</v>
      </c>
      <c r="R25" s="391">
        <f>+[4]전주!$H$16</f>
        <v>13690.098275466609</v>
      </c>
      <c r="S25" s="390">
        <f t="shared" si="4"/>
        <v>-1043.235057866721</v>
      </c>
      <c r="T25" s="392">
        <f>+[4]전주!$G$17</f>
        <v>16000</v>
      </c>
      <c r="U25" s="391">
        <f>+[4]전주!$H$17</f>
        <v>15879.116195166684</v>
      </c>
      <c r="V25" s="390">
        <f t="shared" si="5"/>
        <v>-120.88380483331639</v>
      </c>
    </row>
    <row r="26" spans="4:25" ht="24" customHeight="1" x14ac:dyDescent="0.3">
      <c r="D26" s="323" t="s">
        <v>124</v>
      </c>
      <c r="E26" s="392">
        <f>+[4]군산!$G$9</f>
        <v>97000.000000000015</v>
      </c>
      <c r="F26" s="391">
        <f>+[4]군산!$H$9</f>
        <v>100000</v>
      </c>
      <c r="G26" s="390">
        <f t="shared" si="0"/>
        <v>2999.9999999999854</v>
      </c>
      <c r="H26" s="392">
        <f>+[4]군산!$G$10</f>
        <v>0</v>
      </c>
      <c r="I26" s="391">
        <f>+[4]군산!$H$10</f>
        <v>93100.17674849098</v>
      </c>
      <c r="J26" s="390">
        <f t="shared" si="1"/>
        <v>93100.17674849098</v>
      </c>
      <c r="K26" s="392">
        <f>+[4]군산!$G$12</f>
        <v>61000</v>
      </c>
      <c r="L26" s="391">
        <f>+[4]군산!$H$12</f>
        <v>61887.34629743547</v>
      </c>
      <c r="M26" s="390">
        <f t="shared" si="2"/>
        <v>887.34629743546975</v>
      </c>
      <c r="N26" s="392">
        <f>+[4]군산!$G$13</f>
        <v>32500.000000000015</v>
      </c>
      <c r="O26" s="391">
        <f>+[4]군산!$H$13</f>
        <v>30093.203028715805</v>
      </c>
      <c r="P26" s="390">
        <f t="shared" si="3"/>
        <v>-2406.7969712842096</v>
      </c>
      <c r="Q26" s="392">
        <f>+[4]군산!$G$16</f>
        <v>15133.333333333332</v>
      </c>
      <c r="R26" s="391">
        <f>+[4]군산!$H$16</f>
        <v>15138.338208086276</v>
      </c>
      <c r="S26" s="390">
        <f t="shared" si="4"/>
        <v>5.0048747529435786</v>
      </c>
      <c r="T26" s="392">
        <f>+[4]군산!$G$17</f>
        <v>15328.767905659912</v>
      </c>
      <c r="U26" s="391">
        <f>+[4]군산!$H$17</f>
        <v>15509.459430449646</v>
      </c>
      <c r="V26" s="390">
        <f t="shared" si="5"/>
        <v>180.6915247897341</v>
      </c>
    </row>
    <row r="27" spans="4:25" ht="24" customHeight="1" x14ac:dyDescent="0.3">
      <c r="D27" s="323" t="s">
        <v>123</v>
      </c>
      <c r="E27" s="392">
        <f>+[4]원주!$G$9</f>
        <v>96999.999999999971</v>
      </c>
      <c r="F27" s="391">
        <f>+[4]원주!$H$9</f>
        <v>100000</v>
      </c>
      <c r="G27" s="390">
        <f t="shared" si="0"/>
        <v>3000.0000000000291</v>
      </c>
      <c r="H27" s="392">
        <f>+[4]원주!$G$10</f>
        <v>0</v>
      </c>
      <c r="I27" s="391">
        <f>+[4]원주!$H$10</f>
        <v>0</v>
      </c>
      <c r="J27" s="390">
        <f t="shared" si="1"/>
        <v>0</v>
      </c>
      <c r="K27" s="392">
        <f>+[4]원주!$G$12</f>
        <v>60000</v>
      </c>
      <c r="L27" s="391">
        <f>+[4]원주!$H$12</f>
        <v>57974.905794127517</v>
      </c>
      <c r="M27" s="390">
        <f t="shared" si="2"/>
        <v>-2025.0942058724831</v>
      </c>
      <c r="N27" s="392">
        <f>+[4]원주!$G$13</f>
        <v>45000</v>
      </c>
      <c r="O27" s="391">
        <f>+[4]원주!$H$13</f>
        <v>47882.026141615424</v>
      </c>
      <c r="P27" s="390">
        <f t="shared" si="3"/>
        <v>2882.0261416154244</v>
      </c>
      <c r="Q27" s="392">
        <f>+[4]원주!$G$16</f>
        <v>12466.666666666668</v>
      </c>
      <c r="R27" s="391">
        <f>+[4]원주!$H$16</f>
        <v>12564.685575790121</v>
      </c>
      <c r="S27" s="390">
        <f t="shared" si="4"/>
        <v>98.018909123453341</v>
      </c>
      <c r="T27" s="392">
        <f>+[4]원주!$G$17</f>
        <v>12387.096774193547</v>
      </c>
      <c r="U27" s="391">
        <f>+[4]원주!$H$17</f>
        <v>12386.605307648597</v>
      </c>
      <c r="V27" s="390">
        <f t="shared" si="5"/>
        <v>-0.49146654495052644</v>
      </c>
    </row>
    <row r="28" spans="4:25" ht="24" customHeight="1" x14ac:dyDescent="0.3">
      <c r="D28" s="318" t="s">
        <v>122</v>
      </c>
      <c r="E28" s="389">
        <f>+[4]제주!$G$9</f>
        <v>114000</v>
      </c>
      <c r="F28" s="388">
        <f>+[4]제주!$H$9</f>
        <v>116999.99977630375</v>
      </c>
      <c r="G28" s="387">
        <f t="shared" si="0"/>
        <v>2999.9997763037536</v>
      </c>
      <c r="H28" s="389">
        <f>+[4]제주!$G$10</f>
        <v>0</v>
      </c>
      <c r="I28" s="388">
        <f>+[4]제주!$H$10</f>
        <v>0</v>
      </c>
      <c r="J28" s="387">
        <f t="shared" si="1"/>
        <v>0</v>
      </c>
      <c r="K28" s="389">
        <f>+[4]제주!$G$12</f>
        <v>0</v>
      </c>
      <c r="L28" s="388">
        <f>+[4]제주!$H$12</f>
        <v>0</v>
      </c>
      <c r="M28" s="387">
        <f t="shared" si="2"/>
        <v>0</v>
      </c>
      <c r="N28" s="389">
        <f>+[4]제주!$G$13</f>
        <v>0</v>
      </c>
      <c r="O28" s="388">
        <f>+[4]제주!$H$13</f>
        <v>0</v>
      </c>
      <c r="P28" s="387">
        <f t="shared" si="3"/>
        <v>0</v>
      </c>
      <c r="Q28" s="389">
        <f>+[4]제주!$G$16</f>
        <v>17999.999999999996</v>
      </c>
      <c r="R28" s="388">
        <f>+[4]제주!$H$16</f>
        <v>18331.529126503505</v>
      </c>
      <c r="S28" s="387">
        <f t="shared" si="4"/>
        <v>331.52912650350845</v>
      </c>
      <c r="T28" s="389">
        <f>+[4]제주!$G$17</f>
        <v>19015.750186822203</v>
      </c>
      <c r="U28" s="388">
        <f>+[4]제주!$H$17</f>
        <v>20219.965909475733</v>
      </c>
      <c r="V28" s="387">
        <f t="shared" si="5"/>
        <v>1204.215722653531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34998626667073579"/>
    <pageSetUpPr fitToPage="1"/>
  </sheetPr>
  <dimension ref="D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Q16" sqref="Q16"/>
      <selection pane="topRight" activeCell="Q16" sqref="Q16"/>
      <selection pane="bottomLeft" activeCell="Q16" sqref="Q16"/>
      <selection pane="bottomRight" activeCell="E8" sqref="E8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206</v>
      </c>
      <c r="F4" s="368"/>
      <c r="I4" s="368"/>
    </row>
    <row r="5" spans="4:22" ht="21.95" customHeight="1" x14ac:dyDescent="0.3">
      <c r="V5" s="367" t="s">
        <v>154</v>
      </c>
    </row>
    <row r="6" spans="4:22" ht="24" customHeight="1" thickBot="1" x14ac:dyDescent="0.35">
      <c r="D6" s="693" t="s">
        <v>11</v>
      </c>
      <c r="E6" s="366" t="s">
        <v>153</v>
      </c>
      <c r="F6" s="365"/>
      <c r="G6" s="364"/>
      <c r="H6" s="366" t="s">
        <v>152</v>
      </c>
      <c r="I6" s="365"/>
      <c r="J6" s="364"/>
      <c r="K6" s="366" t="s">
        <v>151</v>
      </c>
      <c r="L6" s="365"/>
      <c r="M6" s="364"/>
      <c r="N6" s="366" t="s">
        <v>150</v>
      </c>
      <c r="O6" s="365"/>
      <c r="P6" s="364"/>
      <c r="Q6" s="366" t="s">
        <v>149</v>
      </c>
      <c r="R6" s="365"/>
      <c r="S6" s="364"/>
      <c r="T6" s="366" t="s">
        <v>148</v>
      </c>
      <c r="U6" s="365"/>
      <c r="V6" s="364"/>
    </row>
    <row r="7" spans="4:22" ht="24" customHeight="1" x14ac:dyDescent="0.3">
      <c r="D7" s="694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356">
        <f>+[4]합계!$E$9</f>
        <v>255.63972584734756</v>
      </c>
      <c r="F8" s="355">
        <f>+[4]합계!$F$9</f>
        <v>264.41817203506884</v>
      </c>
      <c r="G8" s="386">
        <f t="shared" ref="G8:G28" si="0">+F8-E8</f>
        <v>8.7784461877212721</v>
      </c>
      <c r="H8" s="356">
        <f>+[4]합계!$E$15</f>
        <v>369.88153006655199</v>
      </c>
      <c r="I8" s="355">
        <f>+[4]합계!$F$15</f>
        <v>382.31754149094104</v>
      </c>
      <c r="J8" s="386">
        <f t="shared" ref="J8:J28" si="1">+I8-H8</f>
        <v>12.436011424389051</v>
      </c>
      <c r="K8" s="448">
        <f>+([4]합계!$E$10*0.4+[4]합계!$E$11+[4]합계!$E$12+[4]합계!$E$13+[4]합계!$E$14)/[4]합계!$E$15</f>
        <v>0.2546505047555736</v>
      </c>
      <c r="L8" s="447">
        <f>+([4]합계!$F$10*0.4+[4]합계!$F$11+[4]합계!$F$12+[4]합계!$F$13+[4]합계!$F$14)/[4]합계!$F$15</f>
        <v>0.24398032830124217</v>
      </c>
      <c r="M8" s="446">
        <f t="shared" ref="M8:M28" si="2">+L8-K8</f>
        <v>-1.0670176454331437E-2</v>
      </c>
      <c r="N8" s="356">
        <f>+[4]합계!$E$16</f>
        <v>827.14747953888775</v>
      </c>
      <c r="O8" s="355">
        <f>+[4]합계!$F$16</f>
        <v>805.86671196756038</v>
      </c>
      <c r="P8" s="386">
        <f t="shared" ref="P8:P28" si="3">+O8-N8</f>
        <v>-21.280767571327374</v>
      </c>
      <c r="Q8" s="356">
        <f>+[4]합계!$E$17</f>
        <v>893.69178388475018</v>
      </c>
      <c r="R8" s="355">
        <f>+[4]합계!$F$17</f>
        <v>899.03037129499012</v>
      </c>
      <c r="S8" s="386">
        <f t="shared" ref="S8:S28" si="4">+R8-Q8</f>
        <v>5.3385874102399384</v>
      </c>
      <c r="T8" s="356">
        <f>+[4]합계!$E$19</f>
        <v>3.2112875847202114</v>
      </c>
      <c r="U8" s="355">
        <f>+[4]합계!$F$19</f>
        <v>3.1346281141287085</v>
      </c>
      <c r="V8" s="386">
        <f t="shared" ref="V8:V28" si="5">+U8-T8</f>
        <v>-7.665947059150291E-2</v>
      </c>
    </row>
    <row r="9" spans="4:22" ht="24" customHeight="1" x14ac:dyDescent="0.3">
      <c r="D9" s="352" t="s">
        <v>16</v>
      </c>
      <c r="E9" s="351">
        <f>+[4]수도권!$E$9</f>
        <v>278.84506542056073</v>
      </c>
      <c r="F9" s="350">
        <f>+[4]수도권!$F$9</f>
        <v>291.34937221186897</v>
      </c>
      <c r="G9" s="385">
        <f t="shared" si="0"/>
        <v>12.504306791308238</v>
      </c>
      <c r="H9" s="351">
        <f>+[4]수도권!$E$15</f>
        <v>376.66501495327105</v>
      </c>
      <c r="I9" s="350">
        <f>+[4]수도권!$F$15</f>
        <v>387.84803631074954</v>
      </c>
      <c r="J9" s="385">
        <f t="shared" si="1"/>
        <v>11.183021357478481</v>
      </c>
      <c r="K9" s="445">
        <f>+([4]수도권!$E$10*0.4+[4]수도권!$E$11+[4]수도권!$E$12+[4]수도권!$E$13+[4]수도권!$E$14)/[4]수도권!$E$15</f>
        <v>0.23637936587825481</v>
      </c>
      <c r="L9" s="444">
        <f>+([4]수도권!$F$10*0.4+[4]수도권!$F$11+[4]수도권!$F$12+[4]수도권!$F$13+[4]수도권!$F$14)/[4]수도권!$F$15</f>
        <v>0.21689438249377743</v>
      </c>
      <c r="M9" s="443">
        <f t="shared" si="2"/>
        <v>-1.9484983384477378E-2</v>
      </c>
      <c r="N9" s="351">
        <f>+[4]수도권!$E$16</f>
        <v>849.548691588785</v>
      </c>
      <c r="O9" s="350">
        <f>+[4]수도권!$F$16</f>
        <v>847.83509831566846</v>
      </c>
      <c r="P9" s="385">
        <f t="shared" si="3"/>
        <v>-1.713593273116544</v>
      </c>
      <c r="Q9" s="351">
        <f>+[4]수도권!$E$17</f>
        <v>879.66289719626161</v>
      </c>
      <c r="R9" s="350">
        <f>+[4]수도권!$F$17</f>
        <v>871.65259276720474</v>
      </c>
      <c r="S9" s="385">
        <f t="shared" si="4"/>
        <v>-8.0103044290568732</v>
      </c>
      <c r="T9" s="351">
        <f>+[4]수도권!$E$19</f>
        <v>3.2667001554392523</v>
      </c>
      <c r="U9" s="350">
        <f>+[4]수도권!$F$19</f>
        <v>3.1275263413050332</v>
      </c>
      <c r="V9" s="385">
        <f t="shared" si="5"/>
        <v>-0.13917381413421914</v>
      </c>
    </row>
    <row r="10" spans="4:22" ht="24" customHeight="1" x14ac:dyDescent="0.3">
      <c r="D10" s="347" t="s">
        <v>17</v>
      </c>
      <c r="E10" s="346">
        <f>+[4]영남권!$E$9</f>
        <v>220.28674358698794</v>
      </c>
      <c r="F10" s="345">
        <f>+[4]영남권!$F$9</f>
        <v>222.8028719075177</v>
      </c>
      <c r="G10" s="384">
        <f t="shared" si="0"/>
        <v>2.5161283205297593</v>
      </c>
      <c r="H10" s="346">
        <f>+[4]영남권!$E$15</f>
        <v>365.04508624702822</v>
      </c>
      <c r="I10" s="345">
        <f>+[4]영남권!$F$15</f>
        <v>377.72509788460366</v>
      </c>
      <c r="J10" s="384">
        <f t="shared" si="1"/>
        <v>12.680011637575433</v>
      </c>
      <c r="K10" s="442">
        <f>+([4]영남권!$E$10*0.4+[4]영남권!$E$11+[4]영남권!$E$12+[4]영남권!$E$13+[4]영남권!$E$14)/[4]영남권!$E$15</f>
        <v>0.29321031441788786</v>
      </c>
      <c r="L10" s="441">
        <f>+([4]영남권!$F$10*0.4+[4]영남권!$F$11+[4]영남권!$F$12+[4]영남권!$F$13+[4]영남권!$F$14)/[4]영남권!$F$15</f>
        <v>0.29265538261927276</v>
      </c>
      <c r="M10" s="440">
        <f t="shared" si="2"/>
        <v>-5.5493179861509923E-4</v>
      </c>
      <c r="N10" s="346">
        <f>+[4]영남권!$E$16</f>
        <v>810.18090029808161</v>
      </c>
      <c r="O10" s="345">
        <f>+[4]영남권!$F$16</f>
        <v>775.35391937368865</v>
      </c>
      <c r="P10" s="384">
        <f t="shared" si="3"/>
        <v>-34.826980924392956</v>
      </c>
      <c r="Q10" s="346">
        <f>+[4]영남권!$E$17</f>
        <v>897.05504841941433</v>
      </c>
      <c r="R10" s="345">
        <f>+[4]영남권!$F$17</f>
        <v>894.59309011203584</v>
      </c>
      <c r="S10" s="384">
        <f t="shared" si="4"/>
        <v>-2.4619583073784952</v>
      </c>
      <c r="T10" s="346">
        <f>+[4]영남권!$E$19</f>
        <v>3.2709509173439444</v>
      </c>
      <c r="U10" s="345">
        <f>+[4]영남권!$F$19</f>
        <v>3.0805943010555858</v>
      </c>
      <c r="V10" s="384">
        <f t="shared" si="5"/>
        <v>-0.19035661628835854</v>
      </c>
    </row>
    <row r="11" spans="4:22" ht="24" customHeight="1" x14ac:dyDescent="0.3">
      <c r="D11" s="342" t="s">
        <v>128</v>
      </c>
      <c r="E11" s="341">
        <f>+[4]중부권!$E$9</f>
        <v>288.65961580383566</v>
      </c>
      <c r="F11" s="340">
        <f>+[4]중부권!$F$9</f>
        <v>291.53595678595553</v>
      </c>
      <c r="G11" s="383">
        <f t="shared" si="0"/>
        <v>2.8763409821198707</v>
      </c>
      <c r="H11" s="341">
        <f>+[4]중부권!$E$15</f>
        <v>366.51815456013992</v>
      </c>
      <c r="I11" s="340">
        <f>+[4]중부권!$F$15</f>
        <v>379.76128021607036</v>
      </c>
      <c r="J11" s="383">
        <f t="shared" si="1"/>
        <v>13.243125655930442</v>
      </c>
      <c r="K11" s="439">
        <f>+([4]중부권!$E$10*0.4+[4]중부권!$E$11+[4]중부권!$E$12+[4]중부권!$E$13+[4]중부권!$E$14)/[4]중부권!$E$15</f>
        <v>0.20473569924465099</v>
      </c>
      <c r="L11" s="438">
        <f>+([4]중부권!$F$10*0.4+[4]중부권!$F$11+[4]중부권!$F$12+[4]중부권!$F$13+[4]중부권!$F$14)/[4]중부권!$F$15</f>
        <v>0.20447658336023522</v>
      </c>
      <c r="M11" s="437">
        <f t="shared" si="2"/>
        <v>-2.5911588441576705E-4</v>
      </c>
      <c r="N11" s="341">
        <f>+[4]중부권!$E$16</f>
        <v>818.39632653061233</v>
      </c>
      <c r="O11" s="340">
        <f>+[4]중부권!$F$16</f>
        <v>777.55493392495407</v>
      </c>
      <c r="P11" s="383">
        <f t="shared" si="3"/>
        <v>-40.841392605658257</v>
      </c>
      <c r="Q11" s="341">
        <f>+[4]중부권!$E$17</f>
        <v>916.36427755102045</v>
      </c>
      <c r="R11" s="340">
        <f>+[4]중부권!$F$17</f>
        <v>967.52589948876221</v>
      </c>
      <c r="S11" s="383">
        <f t="shared" si="4"/>
        <v>51.161621937741756</v>
      </c>
      <c r="T11" s="341">
        <f>+[4]중부권!$E$19</f>
        <v>2.9490408163265305</v>
      </c>
      <c r="U11" s="340">
        <f>+[4]중부권!$F$19</f>
        <v>3.2610776502363281</v>
      </c>
      <c r="V11" s="383">
        <f t="shared" si="5"/>
        <v>0.31203683390979764</v>
      </c>
    </row>
    <row r="12" spans="4:22" ht="24" customHeight="1" x14ac:dyDescent="0.3">
      <c r="D12" s="382" t="s">
        <v>18</v>
      </c>
      <c r="E12" s="335">
        <f>+[4]안양!$E$9</f>
        <v>292.08749999999998</v>
      </c>
      <c r="F12" s="334">
        <f>+[4]안양!$F$9</f>
        <v>295.77464150672472</v>
      </c>
      <c r="G12" s="336">
        <f t="shared" si="0"/>
        <v>3.6871415067247426</v>
      </c>
      <c r="H12" s="335">
        <f>+[4]안양!$E$15</f>
        <v>369.0625</v>
      </c>
      <c r="I12" s="334">
        <f>+[4]안양!$F$15</f>
        <v>385.1622890441775</v>
      </c>
      <c r="J12" s="336">
        <f t="shared" si="1"/>
        <v>16.099789044177498</v>
      </c>
      <c r="K12" s="436">
        <f>+([4]안양!$E$10*0.4+[4]안양!$E$11+[4]안양!$E$12+[4]안양!$E$13+[4]안양!$E$14)/[4]안양!$E$15</f>
        <v>0.20856900931414057</v>
      </c>
      <c r="L12" s="435">
        <f>+([4]안양!$F$10*0.4+[4]안양!$F$11+[4]안양!$F$12+[4]안양!$F$13+[4]안양!$F$14)/[4]안양!$F$15</f>
        <v>0.21283271698435732</v>
      </c>
      <c r="M12" s="434">
        <f t="shared" si="2"/>
        <v>4.2637076702167487E-3</v>
      </c>
      <c r="N12" s="335">
        <f>+[4]안양!$E$16</f>
        <v>842.77500000000009</v>
      </c>
      <c r="O12" s="334">
        <f>+[4]안양!$F$16</f>
        <v>837.57646101565058</v>
      </c>
      <c r="P12" s="336">
        <f t="shared" si="3"/>
        <v>-5.1985389843495113</v>
      </c>
      <c r="Q12" s="335">
        <f>+[4]안양!$E$17</f>
        <v>876.96249999999998</v>
      </c>
      <c r="R12" s="334">
        <f>+[4]안양!$F$17</f>
        <v>849.89228449720008</v>
      </c>
      <c r="S12" s="336">
        <f t="shared" si="4"/>
        <v>-27.070215502799897</v>
      </c>
      <c r="T12" s="433">
        <f>+[4]안양!$E$19</f>
        <v>3.34</v>
      </c>
      <c r="U12" s="432">
        <f>+[4]안양!$F$19</f>
        <v>3.4723914708275472</v>
      </c>
      <c r="V12" s="431">
        <f t="shared" si="5"/>
        <v>0.13239147082754732</v>
      </c>
    </row>
    <row r="13" spans="4:22" ht="24" customHeight="1" x14ac:dyDescent="0.3">
      <c r="D13" s="323" t="s">
        <v>19</v>
      </c>
      <c r="E13" s="321">
        <f>+[4]인천!$E$9</f>
        <v>272.14285714285705</v>
      </c>
      <c r="F13" s="320">
        <f>+[4]인천!$F$9</f>
        <v>317.18091899492919</v>
      </c>
      <c r="G13" s="322">
        <f t="shared" si="0"/>
        <v>45.038061852072133</v>
      </c>
      <c r="H13" s="321">
        <f>+[4]인천!$E$15</f>
        <v>391.25714285714275</v>
      </c>
      <c r="I13" s="320">
        <f>+[4]인천!$F$15</f>
        <v>410.70177435620639</v>
      </c>
      <c r="J13" s="322">
        <f t="shared" si="1"/>
        <v>19.444631499063632</v>
      </c>
      <c r="K13" s="424">
        <f>+([4]인천!$E$10*0.4+[4]인천!$E$11+[4]인천!$E$12+[4]인천!$E$13+[4]인천!$E$14)/[4]인천!$E$15</f>
        <v>0.25536731415218356</v>
      </c>
      <c r="L13" s="423">
        <f>+([4]인천!$F$10*0.4+[4]인천!$F$11+[4]인천!$F$12+[4]인천!$F$13+[4]인천!$F$14)/[4]인천!$F$15</f>
        <v>0.18541195949621503</v>
      </c>
      <c r="M13" s="422">
        <f t="shared" si="2"/>
        <v>-6.9955354655968527E-2</v>
      </c>
      <c r="N13" s="321">
        <f>+[4]인천!$E$16</f>
        <v>880</v>
      </c>
      <c r="O13" s="320">
        <f>+[4]인천!$F$16</f>
        <v>871.27949093078439</v>
      </c>
      <c r="P13" s="322">
        <f t="shared" si="3"/>
        <v>-8.7205090692156091</v>
      </c>
      <c r="Q13" s="321">
        <f>+[4]인천!$E$17</f>
        <v>849.91428571428571</v>
      </c>
      <c r="R13" s="320">
        <f>+[4]인천!$F$17</f>
        <v>877.7951507748254</v>
      </c>
      <c r="S13" s="322">
        <f t="shared" si="4"/>
        <v>27.880865060539691</v>
      </c>
      <c r="T13" s="421">
        <f>+[4]인천!$E$19</f>
        <v>3.2874285714285714</v>
      </c>
      <c r="U13" s="420">
        <f>+[4]인천!$F$19</f>
        <v>2.9137195858131051</v>
      </c>
      <c r="V13" s="419">
        <f t="shared" si="5"/>
        <v>-0.37370898561546628</v>
      </c>
    </row>
    <row r="14" spans="4:22" ht="24" customHeight="1" x14ac:dyDescent="0.3">
      <c r="D14" s="323" t="s">
        <v>20</v>
      </c>
      <c r="E14" s="321">
        <f>+[4]파주!$E$9</f>
        <v>300.26011764705879</v>
      </c>
      <c r="F14" s="320">
        <f>+[4]파주!$F$9</f>
        <v>293.36513198757757</v>
      </c>
      <c r="G14" s="322">
        <f t="shared" si="0"/>
        <v>-6.8949856594812218</v>
      </c>
      <c r="H14" s="321">
        <f>+[4]파주!$E$15</f>
        <v>375.1562705882352</v>
      </c>
      <c r="I14" s="320">
        <f>+[4]파주!$F$15</f>
        <v>371.05963121118009</v>
      </c>
      <c r="J14" s="322">
        <f t="shared" si="1"/>
        <v>-4.0966393770551122</v>
      </c>
      <c r="K14" s="424">
        <f>+([4]파주!$E$10*0.4+[4]파주!$E$11+[4]파주!$E$12+[4]파주!$E$13+[4]파주!$E$14)/[4]파주!$E$15</f>
        <v>0.19963988026573903</v>
      </c>
      <c r="L14" s="423">
        <f>+([4]파주!$F$10*0.4+[4]파주!$F$11+[4]파주!$F$12+[4]파주!$F$13+[4]파주!$F$14)/[4]파주!$F$15</f>
        <v>0.20938548063015899</v>
      </c>
      <c r="M14" s="422">
        <f t="shared" si="2"/>
        <v>9.7456003644199596E-3</v>
      </c>
      <c r="N14" s="321">
        <f>+[4]파주!$E$16</f>
        <v>827.63</v>
      </c>
      <c r="O14" s="320">
        <f>+[4]파주!$F$16</f>
        <v>818.72282608695707</v>
      </c>
      <c r="P14" s="322">
        <f t="shared" si="3"/>
        <v>-8.9071739130429251</v>
      </c>
      <c r="Q14" s="321">
        <f>+[4]파주!$E$17</f>
        <v>902.96647058823532</v>
      </c>
      <c r="R14" s="320">
        <f>+[4]파주!$F$17</f>
        <v>887.92230479148111</v>
      </c>
      <c r="S14" s="322">
        <f t="shared" si="4"/>
        <v>-15.044165796754214</v>
      </c>
      <c r="T14" s="421">
        <f>+[4]파주!$E$19</f>
        <v>3.000995096</v>
      </c>
      <c r="U14" s="420">
        <f>+[4]파주!$F$19</f>
        <v>2.7723114463176581</v>
      </c>
      <c r="V14" s="419">
        <f t="shared" si="5"/>
        <v>-0.22868364968234189</v>
      </c>
    </row>
    <row r="15" spans="4:22" ht="24" customHeight="1" x14ac:dyDescent="0.3">
      <c r="D15" s="323" t="s">
        <v>106</v>
      </c>
      <c r="E15" s="321">
        <f>+[4]김포!$E$9</f>
        <v>234.9</v>
      </c>
      <c r="F15" s="320">
        <f>+[4]김포!$F$9</f>
        <v>226.37025403758821</v>
      </c>
      <c r="G15" s="322">
        <f t="shared" si="0"/>
        <v>-8.5297459624117948</v>
      </c>
      <c r="H15" s="321">
        <f>+[4]김포!$E$15</f>
        <v>364.6</v>
      </c>
      <c r="I15" s="320">
        <f>+[4]김포!$F$15</f>
        <v>365.45992758204477</v>
      </c>
      <c r="J15" s="322">
        <f t="shared" si="1"/>
        <v>0.8599275820447474</v>
      </c>
      <c r="K15" s="424">
        <f>+([4]김포!$E$10*0.4+[4]김포!$E$11+[4]김포!$E$12+[4]김포!$E$13+[4]김포!$E$14)/[4]김포!$E$15</f>
        <v>0.30674712013165106</v>
      </c>
      <c r="L15" s="423">
        <f>+([4]김포!$F$10*0.4+[4]김포!$F$11+[4]김포!$F$12+[4]김포!$F$13+[4]김포!$F$14)/[4]김포!$F$15</f>
        <v>0.30665624380449036</v>
      </c>
      <c r="M15" s="422">
        <f t="shared" si="2"/>
        <v>-9.0876327160704928E-5</v>
      </c>
      <c r="N15" s="321">
        <f>+[4]김포!$E$16</f>
        <v>821.4</v>
      </c>
      <c r="O15" s="320">
        <f>+[4]김포!$F$16</f>
        <v>855.21150640841404</v>
      </c>
      <c r="P15" s="322">
        <f t="shared" si="3"/>
        <v>33.811506408414061</v>
      </c>
      <c r="Q15" s="321">
        <f>+[4]김포!$E$17</f>
        <v>929.86666666666667</v>
      </c>
      <c r="R15" s="320">
        <f>+[4]김포!$F$17</f>
        <v>894.62365653198412</v>
      </c>
      <c r="S15" s="322">
        <f t="shared" si="4"/>
        <v>-35.24301013468255</v>
      </c>
      <c r="T15" s="421">
        <f>+[4]김포!$E$19</f>
        <v>3.3239999999999998</v>
      </c>
      <c r="U15" s="420">
        <f>+[4]김포!$F$19</f>
        <v>3.0999971262716239</v>
      </c>
      <c r="V15" s="419">
        <f t="shared" si="5"/>
        <v>-0.22400287372837591</v>
      </c>
    </row>
    <row r="16" spans="4:22" ht="24" customHeight="1" x14ac:dyDescent="0.3">
      <c r="D16" s="378" t="s">
        <v>21</v>
      </c>
      <c r="E16" s="328">
        <f>+[4]부산!$E$9</f>
        <v>189.2956628720012</v>
      </c>
      <c r="F16" s="327">
        <f>+[4]부산!$F$9</f>
        <v>202.75794199692194</v>
      </c>
      <c r="G16" s="329">
        <f t="shared" si="0"/>
        <v>13.462279124920741</v>
      </c>
      <c r="H16" s="328">
        <f>+[4]부산!$E$15</f>
        <v>371.1314999999999</v>
      </c>
      <c r="I16" s="327">
        <f>+[4]부산!$F$15</f>
        <v>425.83077289342049</v>
      </c>
      <c r="J16" s="329">
        <f t="shared" si="1"/>
        <v>54.699272893420584</v>
      </c>
      <c r="K16" s="430">
        <f>+([4]부산!$E$10*0.4+[4]부산!$E$11+[4]부산!$E$12+[4]부산!$E$13+[4]부산!$E$14)/[4]부산!$E$15</f>
        <v>0.24397789594029368</v>
      </c>
      <c r="L16" s="429">
        <f>+([4]부산!$F$10*0.4+[4]부산!$F$11+[4]부산!$F$12+[4]부산!$F$13+[4]부산!$F$14)/[4]부산!$F$15</f>
        <v>0.25968017390101755</v>
      </c>
      <c r="M16" s="428">
        <f t="shared" si="2"/>
        <v>1.5702277960723876E-2</v>
      </c>
      <c r="N16" s="328">
        <f>+[4]부산!$E$16</f>
        <v>850.40000000000009</v>
      </c>
      <c r="O16" s="327">
        <f>+[4]부산!$F$16</f>
        <v>889.9771546748749</v>
      </c>
      <c r="P16" s="329">
        <f t="shared" si="3"/>
        <v>39.577154674874805</v>
      </c>
      <c r="Q16" s="328">
        <f>+[4]부산!$E$17</f>
        <v>870.19999999999993</v>
      </c>
      <c r="R16" s="327">
        <f>+[4]부산!$F$17</f>
        <v>824.4709503655248</v>
      </c>
      <c r="S16" s="329">
        <f t="shared" si="4"/>
        <v>-45.729049634475132</v>
      </c>
      <c r="T16" s="427">
        <f>+[4]부산!$E$19</f>
        <v>3.2772117265</v>
      </c>
      <c r="U16" s="426">
        <f>+[4]부산!$F$19</f>
        <v>3.1533532127741428</v>
      </c>
      <c r="V16" s="425">
        <f t="shared" si="5"/>
        <v>-0.12385851372585721</v>
      </c>
    </row>
    <row r="17" spans="4:22" ht="24" customHeight="1" x14ac:dyDescent="0.3">
      <c r="D17" s="323" t="s">
        <v>22</v>
      </c>
      <c r="E17" s="321">
        <f>+[4]서부산!$E$9</f>
        <v>246.63216838095241</v>
      </c>
      <c r="F17" s="320">
        <f>+[4]서부산!$F$9</f>
        <v>260.72086033671246</v>
      </c>
      <c r="G17" s="322">
        <f t="shared" si="0"/>
        <v>14.088691955760055</v>
      </c>
      <c r="H17" s="321">
        <f>+[4]서부산!$E$15</f>
        <v>366.49829714285715</v>
      </c>
      <c r="I17" s="320">
        <f>+[4]서부산!$F$15</f>
        <v>376.55980086893544</v>
      </c>
      <c r="J17" s="322">
        <f t="shared" si="1"/>
        <v>10.061503726078286</v>
      </c>
      <c r="K17" s="424">
        <f>+([4]서부산!$E$10*0.4+[4]서부산!$E$11+[4]서부산!$E$12+[4]서부산!$E$13+[4]서부산!$E$14)/[4]서부산!$E$15</f>
        <v>0.24471206694257311</v>
      </c>
      <c r="L17" s="423">
        <f>+([4]서부산!$F$10*0.4+[4]서부산!$F$11+[4]서부산!$F$12+[4]서부산!$F$13+[4]서부산!$F$14)/[4]서부산!$F$15</f>
        <v>0.21361336164495506</v>
      </c>
      <c r="M17" s="422">
        <f t="shared" si="2"/>
        <v>-3.1098705297618046E-2</v>
      </c>
      <c r="N17" s="321">
        <f>+[4]서부산!$E$16</f>
        <v>824.47619047619048</v>
      </c>
      <c r="O17" s="320">
        <f>+[4]서부산!$F$16</f>
        <v>828.20419985517776</v>
      </c>
      <c r="P17" s="322">
        <f t="shared" si="3"/>
        <v>3.7280093789872808</v>
      </c>
      <c r="Q17" s="321">
        <f>+[4]서부산!$E$17</f>
        <v>907.28571428571422</v>
      </c>
      <c r="R17" s="320">
        <f>+[4]서부산!$F$17</f>
        <v>912.81906227371485</v>
      </c>
      <c r="S17" s="322">
        <f t="shared" si="4"/>
        <v>5.533347988000628</v>
      </c>
      <c r="T17" s="421">
        <f>+[4]서부산!$E$19</f>
        <v>3.3404761904761906</v>
      </c>
      <c r="U17" s="420">
        <f>+[4]서부산!$F$19</f>
        <v>3.3344143736422889</v>
      </c>
      <c r="V17" s="419">
        <f t="shared" si="5"/>
        <v>-6.0618168339017231E-3</v>
      </c>
    </row>
    <row r="18" spans="4:22" ht="24" customHeight="1" x14ac:dyDescent="0.3">
      <c r="D18" s="323" t="s">
        <v>23</v>
      </c>
      <c r="E18" s="321">
        <f>+[4]김해!$E$9</f>
        <v>135.36909620991253</v>
      </c>
      <c r="F18" s="320">
        <f>+[4]김해!$F$9</f>
        <v>97.164233978900967</v>
      </c>
      <c r="G18" s="322">
        <f t="shared" si="0"/>
        <v>-38.20486223101156</v>
      </c>
      <c r="H18" s="321">
        <f>+[4]김해!$E$15</f>
        <v>360</v>
      </c>
      <c r="I18" s="320">
        <f>+[4]김해!$F$15</f>
        <v>353.61866792631082</v>
      </c>
      <c r="J18" s="322">
        <f t="shared" si="1"/>
        <v>-6.3813320736891797</v>
      </c>
      <c r="K18" s="424">
        <f>+([4]김해!$E$10*0.4+[4]김해!$E$11+[4]김해!$E$12+[4]김해!$E$13+[4]김해!$E$14)/[4]김해!$E$15</f>
        <v>0.30794382896015554</v>
      </c>
      <c r="L18" s="423">
        <f>+([4]김해!$F$10*0.4+[4]김해!$F$11+[4]김해!$F$12+[4]김해!$F$13+[4]김해!$F$14)/[4]김해!$F$15</f>
        <v>0.34731753329242565</v>
      </c>
      <c r="M18" s="422">
        <f t="shared" si="2"/>
        <v>3.937370433227011E-2</v>
      </c>
      <c r="N18" s="321">
        <f>+[4]김해!$E$16</f>
        <v>796</v>
      </c>
      <c r="O18" s="320">
        <f>+[4]김해!$F$16</f>
        <v>772.79168634860639</v>
      </c>
      <c r="P18" s="322">
        <f t="shared" si="3"/>
        <v>-23.20831365139361</v>
      </c>
      <c r="Q18" s="321">
        <f>+[4]김해!$E$17</f>
        <v>914</v>
      </c>
      <c r="R18" s="320">
        <f>+[4]김해!$F$17</f>
        <v>914.27176822547619</v>
      </c>
      <c r="S18" s="322">
        <f t="shared" si="4"/>
        <v>0.27176822547619395</v>
      </c>
      <c r="T18" s="421">
        <f>+[4]김해!$E$19</f>
        <v>3.4062000000000001</v>
      </c>
      <c r="U18" s="420">
        <f>+[4]김해!$F$19</f>
        <v>2.9701936702881451</v>
      </c>
      <c r="V18" s="419">
        <f t="shared" si="5"/>
        <v>-0.43600632971185505</v>
      </c>
    </row>
    <row r="19" spans="4:22" ht="24" customHeight="1" x14ac:dyDescent="0.3">
      <c r="D19" s="323" t="s">
        <v>24</v>
      </c>
      <c r="E19" s="321">
        <f>+[4]정관!$E$9</f>
        <v>220.75597729779338</v>
      </c>
      <c r="F19" s="320">
        <f>+[4]정관!$F$9</f>
        <v>220.2006251022747</v>
      </c>
      <c r="G19" s="322">
        <f t="shared" si="0"/>
        <v>-0.55535219551867954</v>
      </c>
      <c r="H19" s="321">
        <f>+[4]정관!$E$15</f>
        <v>372.04526202978519</v>
      </c>
      <c r="I19" s="320">
        <f>+[4]정관!$F$15</f>
        <v>376.06994545355383</v>
      </c>
      <c r="J19" s="322">
        <f t="shared" si="1"/>
        <v>4.0246834237686357</v>
      </c>
      <c r="K19" s="424">
        <f>+([4]정관!$E$10*0.4+[4]정관!$E$11+[4]정관!$E$12+[4]정관!$E$13+[4]정관!$E$14)/[4]정관!$E$15</f>
        <v>0.35202780554697566</v>
      </c>
      <c r="L19" s="423">
        <f>+([4]정관!$F$10*0.4+[4]정관!$F$11+[4]정관!$F$12+[4]정관!$F$13+[4]정관!$F$14)/[4]정관!$F$15</f>
        <v>0.3127784539594195</v>
      </c>
      <c r="M19" s="422">
        <f t="shared" si="2"/>
        <v>-3.9249351587556158E-2</v>
      </c>
      <c r="N19" s="321">
        <f>+[4]정관!$E$16</f>
        <v>824.21823294279602</v>
      </c>
      <c r="O19" s="320">
        <f>+[4]정관!$F$16</f>
        <v>704.81263295696272</v>
      </c>
      <c r="P19" s="322">
        <f t="shared" si="3"/>
        <v>-119.40559998583331</v>
      </c>
      <c r="Q19" s="321">
        <f>+[4]정관!$E$17</f>
        <v>903.21084840790047</v>
      </c>
      <c r="R19" s="320">
        <f>+[4]정관!$F$17</f>
        <v>940.62073855888343</v>
      </c>
      <c r="S19" s="322">
        <f t="shared" si="4"/>
        <v>37.40989015098296</v>
      </c>
      <c r="T19" s="421">
        <f>+[4]정관!$E$19</f>
        <v>3.348407358268068</v>
      </c>
      <c r="U19" s="420">
        <f>+[4]정관!$F$19</f>
        <v>3.170621284023345</v>
      </c>
      <c r="V19" s="419">
        <f t="shared" si="5"/>
        <v>-0.17778607424472304</v>
      </c>
    </row>
    <row r="20" spans="4:22" ht="24" customHeight="1" x14ac:dyDescent="0.3">
      <c r="D20" s="323" t="s">
        <v>25</v>
      </c>
      <c r="E20" s="321">
        <f>+[4]양산!$E$9</f>
        <v>233.03</v>
      </c>
      <c r="F20" s="320">
        <f>+[4]양산!$F$9</f>
        <v>216.19754473574707</v>
      </c>
      <c r="G20" s="322">
        <f t="shared" si="0"/>
        <v>-16.832455264252928</v>
      </c>
      <c r="H20" s="321">
        <f>+[4]양산!$E$15</f>
        <v>355.15</v>
      </c>
      <c r="I20" s="320">
        <f>+[4]양산!$F$15</f>
        <v>347.5275613816064</v>
      </c>
      <c r="J20" s="322">
        <f t="shared" si="1"/>
        <v>-7.6224386183935735</v>
      </c>
      <c r="K20" s="424">
        <f>+([4]양산!$E$10*0.4+[4]양산!$E$11+[4]양산!$E$12+[4]양산!$E$13+[4]양산!$E$14)/[4]양산!$E$15</f>
        <v>0.3438547092777699</v>
      </c>
      <c r="L20" s="423">
        <f>+([4]양산!$F$10*0.4+[4]양산!$F$11+[4]양산!$F$12+[4]양산!$F$13+[4]양산!$F$14)/[4]양산!$F$15</f>
        <v>0.37789813309699199</v>
      </c>
      <c r="M20" s="422">
        <f t="shared" si="2"/>
        <v>3.4043423819222096E-2</v>
      </c>
      <c r="N20" s="321">
        <f>+[4]양산!$E$16</f>
        <v>784.38999999999987</v>
      </c>
      <c r="O20" s="320">
        <f>+[4]양산!$F$16</f>
        <v>649.95977250658871</v>
      </c>
      <c r="P20" s="322">
        <f t="shared" si="3"/>
        <v>-134.43022749341117</v>
      </c>
      <c r="Q20" s="321">
        <f>+[4]양산!$E$17</f>
        <v>891.9</v>
      </c>
      <c r="R20" s="320">
        <f>+[4]양산!$F$17</f>
        <v>908.48730753225141</v>
      </c>
      <c r="S20" s="322">
        <f t="shared" si="4"/>
        <v>16.58730753225143</v>
      </c>
      <c r="T20" s="421">
        <f>+[4]양산!$E$19</f>
        <v>3.0833000000000004</v>
      </c>
      <c r="U20" s="420">
        <f>+[4]양산!$F$19</f>
        <v>2.8866000832292973</v>
      </c>
      <c r="V20" s="419">
        <f t="shared" si="5"/>
        <v>-0.19669991677070309</v>
      </c>
    </row>
    <row r="21" spans="4:22" ht="24" customHeight="1" x14ac:dyDescent="0.3">
      <c r="D21" s="323" t="s">
        <v>26</v>
      </c>
      <c r="E21" s="321">
        <f>+[4]창원!$E$9</f>
        <v>223.26923076923077</v>
      </c>
      <c r="F21" s="320">
        <f>+[4]창원!$F$9</f>
        <v>224.32271108806481</v>
      </c>
      <c r="G21" s="322">
        <f t="shared" si="0"/>
        <v>1.0534803188340334</v>
      </c>
      <c r="H21" s="321">
        <f>+[4]창원!$E$15</f>
        <v>360.59615384615387</v>
      </c>
      <c r="I21" s="320">
        <f>+[4]창원!$F$15</f>
        <v>344.18772707631138</v>
      </c>
      <c r="J21" s="322">
        <f t="shared" si="1"/>
        <v>-16.408426769842492</v>
      </c>
      <c r="K21" s="424">
        <f>+([4]창원!$E$10*0.4+[4]창원!$E$11+[4]창원!$E$12+[4]창원!$E$13+[4]창원!$E$14)/[4]창원!$E$15</f>
        <v>0.31008479547757445</v>
      </c>
      <c r="L21" s="423">
        <f>+([4]창원!$F$10*0.4+[4]창원!$F$11+[4]창원!$F$12+[4]창원!$F$13+[4]창원!$F$14)/[4]창원!$F$15</f>
        <v>0.34224541554638543</v>
      </c>
      <c r="M21" s="422">
        <f t="shared" si="2"/>
        <v>3.2160620068810986E-2</v>
      </c>
      <c r="N21" s="321">
        <f>+[4]창원!$E$16</f>
        <v>829.57692307692309</v>
      </c>
      <c r="O21" s="320">
        <f>+[4]창원!$F$16</f>
        <v>788.14493129375194</v>
      </c>
      <c r="P21" s="322">
        <f t="shared" si="3"/>
        <v>-41.431991783171156</v>
      </c>
      <c r="Q21" s="321">
        <f>+[4]창원!$E$17</f>
        <v>868.92307692307691</v>
      </c>
      <c r="R21" s="320">
        <f>+[4]창원!$F$17</f>
        <v>909.38207587935312</v>
      </c>
      <c r="S21" s="322">
        <f t="shared" si="4"/>
        <v>40.458998956276218</v>
      </c>
      <c r="T21" s="421">
        <f>+[4]창원!$E$19</f>
        <v>3.0750000000000002</v>
      </c>
      <c r="U21" s="420">
        <f>+[4]창원!$F$19</f>
        <v>2.7861204735977876</v>
      </c>
      <c r="V21" s="419">
        <f t="shared" si="5"/>
        <v>-0.28887952640221259</v>
      </c>
    </row>
    <row r="22" spans="4:22" ht="24" customHeight="1" x14ac:dyDescent="0.3">
      <c r="D22" s="323" t="s">
        <v>127</v>
      </c>
      <c r="E22" s="321">
        <f>+[4]대구!$E$9</f>
        <v>252.74599999999998</v>
      </c>
      <c r="F22" s="320">
        <f>+[4]대구!$F$9</f>
        <v>207.73975146582666</v>
      </c>
      <c r="G22" s="322">
        <f t="shared" si="0"/>
        <v>-45.006248534173324</v>
      </c>
      <c r="H22" s="321">
        <f>+[4]대구!$E$15</f>
        <v>341.73999999999995</v>
      </c>
      <c r="I22" s="320">
        <f>+[4]대구!$F$15</f>
        <v>335.25757766692936</v>
      </c>
      <c r="J22" s="322">
        <f t="shared" si="1"/>
        <v>-6.4824223330705877</v>
      </c>
      <c r="K22" s="424">
        <f>+([4]대구!$E$10*0.4+[4]대구!$E$11+[4]대구!$E$12+[4]대구!$E$13+[4]대구!$E$14)/[4]대구!$E$15</f>
        <v>0.26041435009071229</v>
      </c>
      <c r="L22" s="423">
        <f>+([4]대구!$F$10*0.4+[4]대구!$F$11+[4]대구!$F$12+[4]대구!$F$13+[4]대구!$F$14)/[4]대구!$F$15</f>
        <v>0.3632914768934013</v>
      </c>
      <c r="M22" s="422">
        <f t="shared" si="2"/>
        <v>0.10287712680268901</v>
      </c>
      <c r="N22" s="321">
        <f>+[4]대구!$E$16</f>
        <v>711.25568351011373</v>
      </c>
      <c r="O22" s="320">
        <f>+[4]대구!$F$16</f>
        <v>600.946880196027</v>
      </c>
      <c r="P22" s="322">
        <f t="shared" si="3"/>
        <v>-110.30880331408673</v>
      </c>
      <c r="Q22" s="321">
        <f>+[4]대구!$E$17</f>
        <v>982.21022960920448</v>
      </c>
      <c r="R22" s="320">
        <f>+[4]대구!$F$17</f>
        <v>1043.406843440973</v>
      </c>
      <c r="S22" s="322">
        <f t="shared" si="4"/>
        <v>61.196613831768559</v>
      </c>
      <c r="T22" s="421">
        <f>+[4]대구!$E$19</f>
        <v>3.0756599999999996</v>
      </c>
      <c r="U22" s="420">
        <f>+[4]대구!$F$19</f>
        <v>2.7480703596744545</v>
      </c>
      <c r="V22" s="419">
        <f t="shared" si="5"/>
        <v>-0.32758964032554516</v>
      </c>
    </row>
    <row r="23" spans="4:22" ht="24" customHeight="1" x14ac:dyDescent="0.3">
      <c r="D23" s="323" t="s">
        <v>126</v>
      </c>
      <c r="E23" s="321">
        <f>+[4]울산!$E$9</f>
        <v>260.57478260869567</v>
      </c>
      <c r="F23" s="320">
        <f>+[4]울산!$F$9</f>
        <v>260.1859303049161</v>
      </c>
      <c r="G23" s="322">
        <f t="shared" si="0"/>
        <v>-0.38885230377957214</v>
      </c>
      <c r="H23" s="321">
        <f>+[4]울산!$E$15</f>
        <v>373.66086956521741</v>
      </c>
      <c r="I23" s="320">
        <f>+[4]울산!$F$15</f>
        <v>381.69192283758565</v>
      </c>
      <c r="J23" s="322">
        <f t="shared" si="1"/>
        <v>8.03105327236824</v>
      </c>
      <c r="K23" s="424">
        <f>+([4]울산!$E$10*0.4+[4]울산!$E$11+[4]울산!$E$12+[4]울산!$E$13+[4]울산!$E$14)/[4]울산!$E$15</f>
        <v>0.3026436433874008</v>
      </c>
      <c r="L23" s="423">
        <f>+([4]울산!$F$10*0.4+[4]울산!$F$11+[4]울산!$F$12+[4]울산!$F$13+[4]울산!$F$14)/[4]울산!$F$15</f>
        <v>0.31833524699544602</v>
      </c>
      <c r="M23" s="422">
        <f t="shared" si="2"/>
        <v>1.5691603608045224E-2</v>
      </c>
      <c r="N23" s="321">
        <f>+[4]울산!$E$16</f>
        <v>773.22695652173934</v>
      </c>
      <c r="O23" s="320">
        <f>+[4]울산!$F$16</f>
        <v>741.53771693286296</v>
      </c>
      <c r="P23" s="322">
        <f t="shared" si="3"/>
        <v>-31.689239588876376</v>
      </c>
      <c r="Q23" s="321">
        <f>+[4]울산!$E$17</f>
        <v>871.90956521739122</v>
      </c>
      <c r="R23" s="320">
        <f>+[4]울산!$F$17</f>
        <v>823.02565166286377</v>
      </c>
      <c r="S23" s="322">
        <f t="shared" si="4"/>
        <v>-48.883913554527453</v>
      </c>
      <c r="T23" s="421">
        <f>+[4]울산!$E$19</f>
        <v>3.3963478260869566</v>
      </c>
      <c r="U23" s="420">
        <f>+[4]울산!$F$19</f>
        <v>2.9862303809721351</v>
      </c>
      <c r="V23" s="419">
        <f t="shared" si="5"/>
        <v>-0.41011744511482151</v>
      </c>
    </row>
    <row r="24" spans="4:22" ht="24" customHeight="1" x14ac:dyDescent="0.3">
      <c r="D24" s="378" t="s">
        <v>27</v>
      </c>
      <c r="E24" s="328">
        <f>+[4]아산!$E$9</f>
        <v>298.42744236469338</v>
      </c>
      <c r="F24" s="327">
        <f>+[4]아산!$F$9</f>
        <v>312.77120965085658</v>
      </c>
      <c r="G24" s="329">
        <f t="shared" si="0"/>
        <v>14.3437672861632</v>
      </c>
      <c r="H24" s="328">
        <f>+[4]아산!$E$15</f>
        <v>379.37345971508068</v>
      </c>
      <c r="I24" s="327">
        <f>+[4]아산!$F$15</f>
        <v>403.72419836956544</v>
      </c>
      <c r="J24" s="329">
        <f t="shared" si="1"/>
        <v>24.350738654484758</v>
      </c>
      <c r="K24" s="430">
        <f>+([4]아산!$E$10*0.4+[4]아산!$E$11+[4]아산!$E$12+[4]아산!$E$13+[4]아산!$E$14)/[4]아산!$E$15</f>
        <v>0.20846730951707818</v>
      </c>
      <c r="L24" s="429">
        <f>+([4]아산!$F$10*0.4+[4]아산!$F$11+[4]아산!$F$12+[4]아산!$F$13+[4]아산!$F$14)/[4]아산!$F$15</f>
        <v>0.21546886524490247</v>
      </c>
      <c r="M24" s="428">
        <f t="shared" si="2"/>
        <v>7.0015557278242935E-3</v>
      </c>
      <c r="N24" s="328">
        <f>+[4]아산!$E$16</f>
        <v>858</v>
      </c>
      <c r="O24" s="327">
        <f>+[4]아산!$F$16</f>
        <v>818.93959980237128</v>
      </c>
      <c r="P24" s="329">
        <f t="shared" si="3"/>
        <v>-39.060400197628724</v>
      </c>
      <c r="Q24" s="328">
        <f>+[4]아산!$E$17</f>
        <v>884.46563478260873</v>
      </c>
      <c r="R24" s="327">
        <f>+[4]아산!$F$17</f>
        <v>938.77593873517719</v>
      </c>
      <c r="S24" s="329">
        <f t="shared" si="4"/>
        <v>54.310303952568461</v>
      </c>
      <c r="T24" s="427">
        <f>+[4]아산!$E$19</f>
        <v>3.0624782608695651</v>
      </c>
      <c r="U24" s="426">
        <f>+[4]아산!$F$19</f>
        <v>3.788313158761532</v>
      </c>
      <c r="V24" s="425">
        <f t="shared" si="5"/>
        <v>0.72583489789196687</v>
      </c>
    </row>
    <row r="25" spans="4:22" ht="24" customHeight="1" x14ac:dyDescent="0.3">
      <c r="D25" s="323" t="s">
        <v>125</v>
      </c>
      <c r="E25" s="321">
        <f>+[4]전주!$E$9</f>
        <v>246.08818181818177</v>
      </c>
      <c r="F25" s="320">
        <f>+[4]전주!$F$9</f>
        <v>253.28676903722354</v>
      </c>
      <c r="G25" s="322">
        <f t="shared" si="0"/>
        <v>7.1985872190417695</v>
      </c>
      <c r="H25" s="321">
        <f>+[4]전주!$E$15</f>
        <v>351.86181818181814</v>
      </c>
      <c r="I25" s="320">
        <f>+[4]전주!$F$15</f>
        <v>353.21937911640657</v>
      </c>
      <c r="J25" s="322">
        <f t="shared" si="1"/>
        <v>1.3575609345884345</v>
      </c>
      <c r="K25" s="424">
        <f>+([4]전주!$E$10*0.4+[4]전주!$E$11+[4]전주!$E$12+[4]전주!$E$13+[4]전주!$E$14)/[4]전주!$E$15</f>
        <v>0.27596783861433211</v>
      </c>
      <c r="L25" s="423">
        <f>+([4]전주!$F$10*0.4+[4]전주!$F$11+[4]전주!$F$12+[4]전주!$F$13+[4]전주!$F$14)/[4]전주!$F$15</f>
        <v>0.2011138844417763</v>
      </c>
      <c r="M25" s="422">
        <f t="shared" si="2"/>
        <v>-7.4853954172555803E-2</v>
      </c>
      <c r="N25" s="321">
        <f>+[4]전주!$E$16</f>
        <v>738.45636363636368</v>
      </c>
      <c r="O25" s="320">
        <f>+[4]전주!$F$16</f>
        <v>634.00022200843671</v>
      </c>
      <c r="P25" s="322">
        <f t="shared" si="3"/>
        <v>-104.45614162792697</v>
      </c>
      <c r="Q25" s="321">
        <f>+[4]전주!$E$17</f>
        <v>999.36181818181808</v>
      </c>
      <c r="R25" s="320">
        <f>+[4]전주!$F$17</f>
        <v>1102.2992673721601</v>
      </c>
      <c r="S25" s="322">
        <f t="shared" si="4"/>
        <v>102.93744919034202</v>
      </c>
      <c r="T25" s="421">
        <f>+[4]전주!$E$19</f>
        <v>2.6790909090909092</v>
      </c>
      <c r="U25" s="420">
        <f>+[4]전주!$F$19</f>
        <v>2.4098719751350561</v>
      </c>
      <c r="V25" s="419">
        <f t="shared" si="5"/>
        <v>-0.26921893395585306</v>
      </c>
    </row>
    <row r="26" spans="4:22" ht="24" customHeight="1" x14ac:dyDescent="0.3">
      <c r="D26" s="323" t="s">
        <v>124</v>
      </c>
      <c r="E26" s="321">
        <f>+[4]군산!$E$9</f>
        <v>270.23999999999995</v>
      </c>
      <c r="F26" s="320">
        <f>+[4]군산!$F$9</f>
        <v>251.31935698882569</v>
      </c>
      <c r="G26" s="322">
        <f t="shared" si="0"/>
        <v>-18.920643011174263</v>
      </c>
      <c r="H26" s="321">
        <f>+[4]군산!$E$15</f>
        <v>355.31999999999994</v>
      </c>
      <c r="I26" s="320">
        <f>+[4]군산!$F$15</f>
        <v>362.45640462654376</v>
      </c>
      <c r="J26" s="322">
        <f t="shared" si="1"/>
        <v>7.1364046265438219</v>
      </c>
      <c r="K26" s="424">
        <f>+([4]군산!$E$10*0.4+[4]군산!$E$11+[4]군산!$E$12+[4]군산!$E$13+[4]군산!$E$14)/[4]군산!$E$15</f>
        <v>0.23944613306315438</v>
      </c>
      <c r="L26" s="423">
        <f>+([4]군산!$F$10*0.4+[4]군산!$F$11+[4]군산!$F$12+[4]군산!$F$13+[4]군산!$F$14)/[4]군산!$F$15</f>
        <v>0.27344625217641383</v>
      </c>
      <c r="M26" s="422">
        <f t="shared" si="2"/>
        <v>3.4000119113259453E-2</v>
      </c>
      <c r="N26" s="321">
        <f>+[4]군산!$E$16</f>
        <v>856</v>
      </c>
      <c r="O26" s="320">
        <f>+[4]군산!$F$16</f>
        <v>848.20917467163281</v>
      </c>
      <c r="P26" s="322">
        <f t="shared" si="3"/>
        <v>-7.7908253283671911</v>
      </c>
      <c r="Q26" s="321">
        <f>+[4]군산!$E$17</f>
        <v>818</v>
      </c>
      <c r="R26" s="320">
        <f>+[4]군산!$F$17</f>
        <v>821.88394432464202</v>
      </c>
      <c r="S26" s="322">
        <f t="shared" si="4"/>
        <v>3.883944324642016</v>
      </c>
      <c r="T26" s="421">
        <f>+[4]군산!$E$19</f>
        <v>2.76</v>
      </c>
      <c r="U26" s="420">
        <f>+[4]군산!$F$19</f>
        <v>2.8628798274848068</v>
      </c>
      <c r="V26" s="419">
        <f t="shared" si="5"/>
        <v>0.10287982748480706</v>
      </c>
    </row>
    <row r="27" spans="4:22" ht="24" customHeight="1" x14ac:dyDescent="0.3">
      <c r="D27" s="323" t="s">
        <v>123</v>
      </c>
      <c r="E27" s="321">
        <f>+[4]원주!$E$9</f>
        <v>272.3</v>
      </c>
      <c r="F27" s="320">
        <f>+[4]원주!$F$9</f>
        <v>266.43621180842274</v>
      </c>
      <c r="G27" s="322">
        <f t="shared" si="0"/>
        <v>-5.8637881915772709</v>
      </c>
      <c r="H27" s="321">
        <f>+[4]원주!$E$15</f>
        <v>363.40000000000003</v>
      </c>
      <c r="I27" s="320">
        <f>+[4]원주!$F$15</f>
        <v>358.67279521056969</v>
      </c>
      <c r="J27" s="322">
        <f t="shared" si="1"/>
        <v>-4.7272047894303455</v>
      </c>
      <c r="K27" s="424">
        <f>+([4]원주!$E$10*0.4+[4]원주!$E$11+[4]원주!$E$12+[4]원주!$E$13+[4]원주!$E$14)/[4]원주!$E$15</f>
        <v>0.25068794716565762</v>
      </c>
      <c r="L27" s="423">
        <f>+([4]원주!$F$10*0.4+[4]원주!$F$11+[4]원주!$F$12+[4]원주!$F$13+[4]원주!$F$14)/[4]원주!$F$15</f>
        <v>0.25716080124782453</v>
      </c>
      <c r="M27" s="422">
        <f t="shared" si="2"/>
        <v>6.4728540821669123E-3</v>
      </c>
      <c r="N27" s="321">
        <f>+[4]원주!$E$16</f>
        <v>866.4</v>
      </c>
      <c r="O27" s="320">
        <f>+[4]원주!$F$16</f>
        <v>861.13852188274143</v>
      </c>
      <c r="P27" s="322">
        <f t="shared" si="3"/>
        <v>-5.2614781172585481</v>
      </c>
      <c r="Q27" s="321">
        <f>+[4]원주!$E$17</f>
        <v>880.5</v>
      </c>
      <c r="R27" s="320">
        <f>+[4]원주!$F$17</f>
        <v>882.83856317093307</v>
      </c>
      <c r="S27" s="322">
        <f t="shared" si="4"/>
        <v>2.338563170933071</v>
      </c>
      <c r="T27" s="421">
        <f>+[4]원주!$E$19</f>
        <v>2.9860000000000002</v>
      </c>
      <c r="U27" s="420">
        <f>+[4]원주!$F$19</f>
        <v>2.9709744013212216</v>
      </c>
      <c r="V27" s="419">
        <f t="shared" si="5"/>
        <v>-1.5025598678778618E-2</v>
      </c>
    </row>
    <row r="28" spans="4:22" ht="24" customHeight="1" x14ac:dyDescent="0.3">
      <c r="D28" s="318" t="s">
        <v>122</v>
      </c>
      <c r="E28" s="316">
        <f>+[4]제주!$E$9</f>
        <v>355.52</v>
      </c>
      <c r="F28" s="415">
        <f>+[4]제주!$F$9</f>
        <v>371.7089801907556</v>
      </c>
      <c r="G28" s="317">
        <f t="shared" si="0"/>
        <v>16.188980190755615</v>
      </c>
      <c r="H28" s="316">
        <f>+[4]제주!$E$15</f>
        <v>355.52</v>
      </c>
      <c r="I28" s="415">
        <f>+[4]제주!$F$15</f>
        <v>371.7089801907556</v>
      </c>
      <c r="J28" s="317">
        <f t="shared" si="1"/>
        <v>16.188980190755615</v>
      </c>
      <c r="K28" s="418">
        <f>+([4]제주!$E$10*0.4+[4]제주!$E$11+[4]제주!$E$12+[4]제주!$E$13+[4]제주!$E$14)/[4]제주!$E$15</f>
        <v>0</v>
      </c>
      <c r="L28" s="417">
        <f>+([4]제주!$F$10*0.4+[4]제주!$F$11+[4]제주!$F$12+[4]제주!$F$13+[4]제주!$F$14)/[4]제주!$F$15</f>
        <v>0</v>
      </c>
      <c r="M28" s="416">
        <f t="shared" si="2"/>
        <v>0</v>
      </c>
      <c r="N28" s="316">
        <f>+[4]제주!$E$16</f>
        <v>749.80000000000007</v>
      </c>
      <c r="O28" s="415">
        <f>+[4]제주!$F$16</f>
        <v>818.98752751283928</v>
      </c>
      <c r="P28" s="317">
        <f t="shared" si="3"/>
        <v>69.18752751283921</v>
      </c>
      <c r="Q28" s="316">
        <f>+[4]제주!$E$17</f>
        <v>992.36</v>
      </c>
      <c r="R28" s="415">
        <f>+[4]제주!$F$17</f>
        <v>974.91929567131353</v>
      </c>
      <c r="S28" s="317">
        <f t="shared" si="4"/>
        <v>-17.440704328686479</v>
      </c>
      <c r="T28" s="414">
        <f>+[4]제주!$E$19</f>
        <v>3.1419999999999999</v>
      </c>
      <c r="U28" s="413">
        <f>+[4]제주!$F$19</f>
        <v>3.7827977500611389</v>
      </c>
      <c r="V28" s="412">
        <f t="shared" si="5"/>
        <v>0.64079775006113904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0"/>
    <pageSetUpPr fitToPage="1"/>
  </sheetPr>
  <dimension ref="D3:Q56"/>
  <sheetViews>
    <sheetView showGridLines="0" topLeftCell="A4" zoomScale="70" zoomScaleNormal="70" workbookViewId="0">
      <pane ySplit="6" topLeftCell="A10" activePane="bottomLeft" state="frozenSplit"/>
      <selection activeCell="M26" sqref="M26"/>
      <selection pane="bottomLeft" activeCell="A10" sqref="A10"/>
    </sheetView>
  </sheetViews>
  <sheetFormatPr defaultRowHeight="16.5" x14ac:dyDescent="0.3"/>
  <cols>
    <col min="1" max="3" width="5.625" style="4" customWidth="1"/>
    <col min="4" max="5" width="13" style="4" customWidth="1"/>
    <col min="6" max="15" width="15.75" style="4" customWidth="1"/>
    <col min="16" max="17" width="3.25" style="465" customWidth="1"/>
    <col min="18" max="16384" width="9" style="4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68" t="s">
        <v>218</v>
      </c>
      <c r="F6" s="368"/>
      <c r="G6" s="368"/>
      <c r="H6" s="368"/>
      <c r="I6" s="368"/>
      <c r="J6" s="368"/>
      <c r="K6" s="368"/>
      <c r="L6" s="368"/>
      <c r="M6" s="368"/>
    </row>
    <row r="7" spans="4:17" ht="21.95" customHeight="1" x14ac:dyDescent="0.3">
      <c r="D7" s="466"/>
      <c r="O7" s="367" t="s">
        <v>157</v>
      </c>
    </row>
    <row r="8" spans="4:17" ht="25.5" customHeight="1" x14ac:dyDescent="0.3">
      <c r="D8" s="695" t="s">
        <v>11</v>
      </c>
      <c r="E8" s="696"/>
      <c r="F8" s="557" t="s">
        <v>211</v>
      </c>
      <c r="G8" s="112"/>
      <c r="H8" s="112"/>
      <c r="I8" s="112"/>
      <c r="J8" s="112"/>
      <c r="K8" s="585" t="s">
        <v>212</v>
      </c>
      <c r="L8" s="112"/>
      <c r="M8" s="112"/>
      <c r="N8" s="112"/>
      <c r="O8" s="113"/>
      <c r="P8" s="467"/>
      <c r="Q8" s="467"/>
    </row>
    <row r="9" spans="4:17" ht="25.5" customHeight="1" x14ac:dyDescent="0.3">
      <c r="D9" s="697"/>
      <c r="E9" s="698"/>
      <c r="F9" s="558" t="s">
        <v>36</v>
      </c>
      <c r="G9" s="468" t="s">
        <v>37</v>
      </c>
      <c r="H9" s="469" t="s">
        <v>56</v>
      </c>
      <c r="I9" s="468" t="s">
        <v>39</v>
      </c>
      <c r="J9" s="469" t="s">
        <v>57</v>
      </c>
      <c r="K9" s="468" t="s">
        <v>36</v>
      </c>
      <c r="L9" s="469" t="s">
        <v>37</v>
      </c>
      <c r="M9" s="468" t="s">
        <v>56</v>
      </c>
      <c r="N9" s="468" t="s">
        <v>39</v>
      </c>
      <c r="O9" s="470" t="s">
        <v>57</v>
      </c>
      <c r="P9" s="467"/>
      <c r="Q9" s="467"/>
    </row>
    <row r="10" spans="4:17" ht="25.5" customHeight="1" x14ac:dyDescent="0.3">
      <c r="D10" s="471" t="s">
        <v>88</v>
      </c>
      <c r="E10" s="472" t="s">
        <v>68</v>
      </c>
      <c r="F10" s="559">
        <f>+IFERROR(HLOOKUP($F$8,[12]손익!$G$5:$AF$55,[12]손익!$D29,),)</f>
        <v>9400</v>
      </c>
      <c r="G10" s="473">
        <f>+'[13]4월'!$G$8</f>
        <v>3426.7159999999999</v>
      </c>
      <c r="H10" s="474">
        <f>+G10-F10</f>
        <v>-5973.2839999999997</v>
      </c>
      <c r="I10" s="473">
        <f>+'[14]4월'!$G$8</f>
        <v>11123.664999999999</v>
      </c>
      <c r="J10" s="474">
        <f>+G10-I10</f>
        <v>-7696.9489999999987</v>
      </c>
      <c r="K10" s="473">
        <f>+IFERROR(HLOOKUP($K$8,[12]손익!$G$5:$AF$55,[12]손익!$D29,),)</f>
        <v>32900</v>
      </c>
      <c r="L10" s="474">
        <f>+'[13]4월'!$Q$8</f>
        <v>17304.953999999998</v>
      </c>
      <c r="M10" s="473">
        <f>+L10-K10</f>
        <v>-15595.046000000002</v>
      </c>
      <c r="N10" s="473">
        <f>+'[14]4월'!$Q$8</f>
        <v>45346.46</v>
      </c>
      <c r="O10" s="560">
        <f>+L10-N10</f>
        <v>-28041.506000000001</v>
      </c>
      <c r="P10" s="475"/>
      <c r="Q10" s="475"/>
    </row>
    <row r="11" spans="4:17" ht="25.5" customHeight="1" x14ac:dyDescent="0.3">
      <c r="D11" s="476" t="s">
        <v>53</v>
      </c>
      <c r="E11" s="477" t="s">
        <v>158</v>
      </c>
      <c r="F11" s="561">
        <f>+IFERROR(HLOOKUP($F$8,[12]손익!$G$5:$AF$55,[12]손익!$D30,),)</f>
        <v>766053.19148936169</v>
      </c>
      <c r="G11" s="478">
        <f>+G12/G10*1000</f>
        <v>844269.96080212074</v>
      </c>
      <c r="H11" s="479">
        <f t="shared" ref="H11:H35" si="0">+G11-F11</f>
        <v>78216.769312759046</v>
      </c>
      <c r="I11" s="478">
        <f>+I12/I10*1000</f>
        <v>800210.93236806407</v>
      </c>
      <c r="J11" s="479">
        <f t="shared" ref="J11:J35" si="1">+G11-I11</f>
        <v>44059.028434056672</v>
      </c>
      <c r="K11" s="478">
        <f>+IFERROR(HLOOKUP($K$8,[12]손익!$G$5:$AF$55,[12]손익!$D30,),)</f>
        <v>750141.33738601825</v>
      </c>
      <c r="L11" s="479">
        <f>+L12/L10*1000</f>
        <v>806880.01817283081</v>
      </c>
      <c r="M11" s="478">
        <f t="shared" ref="M11:M35" si="2">+L11-K11</f>
        <v>56738.680786812562</v>
      </c>
      <c r="N11" s="478">
        <f>+N12/N10*1000</f>
        <v>757596.27966549085</v>
      </c>
      <c r="O11" s="562">
        <f t="shared" ref="O11:O35" si="3">+L11-N11</f>
        <v>49283.738507339964</v>
      </c>
      <c r="P11" s="475"/>
      <c r="Q11" s="475"/>
    </row>
    <row r="12" spans="4:17" ht="25.5" customHeight="1" x14ac:dyDescent="0.3">
      <c r="D12" s="480" t="s">
        <v>159</v>
      </c>
      <c r="E12" s="481" t="s">
        <v>158</v>
      </c>
      <c r="F12" s="563">
        <f>+IFERROR(HLOOKUP($F$8,[12]손익!$G$5:$AF$55,[12]손익!$D31,),)</f>
        <v>7200900</v>
      </c>
      <c r="G12" s="482">
        <f>+'[13]4월'!$G$9</f>
        <v>2893073.3829999999</v>
      </c>
      <c r="H12" s="483">
        <f t="shared" si="0"/>
        <v>-4307826.6170000006</v>
      </c>
      <c r="I12" s="482">
        <f>+'[14]4월'!$G$9</f>
        <v>8901278.341</v>
      </c>
      <c r="J12" s="483">
        <f t="shared" si="1"/>
        <v>-6008204.9580000006</v>
      </c>
      <c r="K12" s="482">
        <f>+IFERROR(HLOOKUP($K$8,[12]손익!$G$5:$AF$55,[12]손익!$D31,),)</f>
        <v>24679650</v>
      </c>
      <c r="L12" s="483">
        <f>+'[13]4월'!$Q$9</f>
        <v>13963021.597999999</v>
      </c>
      <c r="M12" s="482">
        <f t="shared" si="2"/>
        <v>-10716628.402000001</v>
      </c>
      <c r="N12" s="482">
        <f>+'[14]4월'!$Q$9</f>
        <v>34354309.391999997</v>
      </c>
      <c r="O12" s="564">
        <f t="shared" si="3"/>
        <v>-20391287.794</v>
      </c>
      <c r="P12" s="475"/>
      <c r="Q12" s="475"/>
    </row>
    <row r="13" spans="4:17" ht="25.5" customHeight="1" x14ac:dyDescent="0.3">
      <c r="D13" s="480"/>
      <c r="E13" s="484" t="s">
        <v>160</v>
      </c>
      <c r="F13" s="565">
        <f>+IFERROR(HLOOKUP($F$8,[12]손익!$G$5:$AF$55,[12]손익!$D32,),)</f>
        <v>2069392.1250000019</v>
      </c>
      <c r="G13" s="485">
        <f>+'[13]4월'!$J$9</f>
        <v>1119626.7590000001</v>
      </c>
      <c r="H13" s="486">
        <f t="shared" si="0"/>
        <v>-949765.36600000178</v>
      </c>
      <c r="I13" s="485">
        <f>+'[14]4월'!$J$9</f>
        <v>1246225.8760000002</v>
      </c>
      <c r="J13" s="486">
        <f t="shared" si="1"/>
        <v>-126599.11700000009</v>
      </c>
      <c r="K13" s="485">
        <f>+IFERROR(HLOOKUP($K$8,[12]손익!$G$5:$AF$55,[12]손익!$D32,),)</f>
        <v>7177711.4270000048</v>
      </c>
      <c r="L13" s="486">
        <f>+'[13]4월'!$T$9</f>
        <v>4044060.2910000002</v>
      </c>
      <c r="M13" s="485">
        <f t="shared" si="2"/>
        <v>-3133651.1360000046</v>
      </c>
      <c r="N13" s="485">
        <f>+'[14]4월'!$T$9</f>
        <v>4085538.3170000007</v>
      </c>
      <c r="O13" s="566">
        <f t="shared" si="3"/>
        <v>-41478.026000000536</v>
      </c>
      <c r="P13" s="475"/>
      <c r="Q13" s="475"/>
    </row>
    <row r="14" spans="4:17" ht="25.5" customHeight="1" x14ac:dyDescent="0.3">
      <c r="D14" s="480"/>
      <c r="E14" s="487" t="s">
        <v>161</v>
      </c>
      <c r="F14" s="156">
        <f>SUM(F12:F13)</f>
        <v>9270292.1250000019</v>
      </c>
      <c r="G14" s="488">
        <f>SUM(G12:G13)</f>
        <v>4012700.142</v>
      </c>
      <c r="H14" s="157">
        <f t="shared" si="0"/>
        <v>-5257591.9830000019</v>
      </c>
      <c r="I14" s="488">
        <f>SUM(I12:I13)</f>
        <v>10147504.217</v>
      </c>
      <c r="J14" s="157">
        <f t="shared" si="1"/>
        <v>-6134804.0750000002</v>
      </c>
      <c r="K14" s="488">
        <f>SUM(K12:K13)</f>
        <v>31857361.427000005</v>
      </c>
      <c r="L14" s="157">
        <f>SUM(L12:L13)</f>
        <v>18007081.888999999</v>
      </c>
      <c r="M14" s="488">
        <f t="shared" si="2"/>
        <v>-13850279.538000006</v>
      </c>
      <c r="N14" s="488">
        <f>SUM(N12:N13)</f>
        <v>38439847.708999999</v>
      </c>
      <c r="O14" s="158">
        <f t="shared" si="3"/>
        <v>-20432765.82</v>
      </c>
      <c r="P14" s="475"/>
      <c r="Q14" s="475"/>
    </row>
    <row r="15" spans="4:17" ht="25.5" customHeight="1" x14ac:dyDescent="0.3">
      <c r="D15" s="471" t="s">
        <v>5</v>
      </c>
      <c r="E15" s="472" t="s">
        <v>158</v>
      </c>
      <c r="F15" s="559">
        <f>+IFERROR(HLOOKUP($F$8,[12]손익!$G$5:$AF$55,[12]손익!$D34,),)</f>
        <v>7056700</v>
      </c>
      <c r="G15" s="473">
        <f>+'[13]4월'!$G$11</f>
        <v>2808177.4939999999</v>
      </c>
      <c r="H15" s="474">
        <f t="shared" si="0"/>
        <v>-4248522.5060000001</v>
      </c>
      <c r="I15" s="473">
        <f>+'[14]4월'!$G$11</f>
        <v>8774441.2469999995</v>
      </c>
      <c r="J15" s="474">
        <f t="shared" si="1"/>
        <v>-5966263.7529999996</v>
      </c>
      <c r="K15" s="473">
        <f>+IFERROR(HLOOKUP($K$8,[12]손익!$G$5:$AF$55,[12]손익!$D34,),)</f>
        <v>24254700</v>
      </c>
      <c r="L15" s="474">
        <f>+'[13]4월'!$Q$11</f>
        <v>13655080.445</v>
      </c>
      <c r="M15" s="473">
        <f t="shared" si="2"/>
        <v>-10599619.555</v>
      </c>
      <c r="N15" s="473">
        <f>+'[14]4월'!$Q$11</f>
        <v>33980247.560999997</v>
      </c>
      <c r="O15" s="560">
        <f t="shared" si="3"/>
        <v>-20325167.115999997</v>
      </c>
      <c r="P15" s="475"/>
      <c r="Q15" s="475"/>
    </row>
    <row r="16" spans="4:17" ht="25.5" customHeight="1" x14ac:dyDescent="0.3">
      <c r="D16" s="480"/>
      <c r="E16" s="484" t="s">
        <v>160</v>
      </c>
      <c r="F16" s="565">
        <f>+IFERROR(HLOOKUP($F$8,[12]손익!$G$5:$AF$55,[12]손익!$D35,),)</f>
        <v>1990655.0950000007</v>
      </c>
      <c r="G16" s="485">
        <f>+'[13]4월'!$J$11</f>
        <v>1091233.9330000002</v>
      </c>
      <c r="H16" s="486">
        <f t="shared" si="0"/>
        <v>-899421.16200000048</v>
      </c>
      <c r="I16" s="485">
        <f>+'[14]4월'!$J$11</f>
        <v>1205319.1109999996</v>
      </c>
      <c r="J16" s="486">
        <f t="shared" si="1"/>
        <v>-114085.17799999937</v>
      </c>
      <c r="K16" s="485">
        <f>+IFERROR(HLOOKUP($K$8,[12]손익!$G$5:$AF$55,[12]손익!$D35,),)</f>
        <v>6896978.0910000009</v>
      </c>
      <c r="L16" s="486">
        <f>+'[13]4월'!$T$11</f>
        <v>3906817.7800000012</v>
      </c>
      <c r="M16" s="485">
        <f t="shared" si="2"/>
        <v>-2990160.3109999998</v>
      </c>
      <c r="N16" s="485">
        <f>+'[14]4월'!$T$11</f>
        <v>3959440.1900000013</v>
      </c>
      <c r="O16" s="566">
        <f t="shared" si="3"/>
        <v>-52622.410000000149</v>
      </c>
      <c r="P16" s="475"/>
      <c r="Q16" s="475"/>
    </row>
    <row r="17" spans="4:17" ht="25.5" customHeight="1" x14ac:dyDescent="0.3">
      <c r="D17" s="476"/>
      <c r="E17" s="489" t="s">
        <v>162</v>
      </c>
      <c r="F17" s="567">
        <f>SUM(F15:F16)</f>
        <v>9047355.0950000007</v>
      </c>
      <c r="G17" s="490">
        <f>SUM(G15:G16)</f>
        <v>3899411.4270000001</v>
      </c>
      <c r="H17" s="491">
        <f t="shared" si="0"/>
        <v>-5147943.6680000005</v>
      </c>
      <c r="I17" s="490">
        <f>SUM(I15:I16)</f>
        <v>9979760.3579999991</v>
      </c>
      <c r="J17" s="491">
        <f t="shared" si="1"/>
        <v>-6080348.9309999989</v>
      </c>
      <c r="K17" s="490">
        <f>SUM(K15:K16)</f>
        <v>31151678.091000002</v>
      </c>
      <c r="L17" s="491">
        <f>SUM(L15:L16)</f>
        <v>17561898.225000001</v>
      </c>
      <c r="M17" s="490">
        <f t="shared" si="2"/>
        <v>-13589779.866</v>
      </c>
      <c r="N17" s="490">
        <f>SUM(N15:N16)</f>
        <v>37939687.751000002</v>
      </c>
      <c r="O17" s="568">
        <f t="shared" si="3"/>
        <v>-20377789.526000001</v>
      </c>
      <c r="P17" s="475"/>
      <c r="Q17" s="475"/>
    </row>
    <row r="18" spans="4:17" ht="25.5" customHeight="1" x14ac:dyDescent="0.3">
      <c r="D18" s="480" t="s">
        <v>15</v>
      </c>
      <c r="E18" s="481" t="s">
        <v>158</v>
      </c>
      <c r="F18" s="563">
        <f>+F12-F15</f>
        <v>144200</v>
      </c>
      <c r="G18" s="482">
        <f>+G12-G15</f>
        <v>84895.888999999966</v>
      </c>
      <c r="H18" s="483">
        <f t="shared" si="0"/>
        <v>-59304.111000000034</v>
      </c>
      <c r="I18" s="482">
        <f>+I12-I15</f>
        <v>126837.09400000051</v>
      </c>
      <c r="J18" s="483">
        <f t="shared" si="1"/>
        <v>-41941.20500000054</v>
      </c>
      <c r="K18" s="482">
        <f>+K12-K15</f>
        <v>424950</v>
      </c>
      <c r="L18" s="483">
        <f>+L12-L15</f>
        <v>307941.152999999</v>
      </c>
      <c r="M18" s="482">
        <f t="shared" si="2"/>
        <v>-117008.847000001</v>
      </c>
      <c r="N18" s="482">
        <f>+N12-N15</f>
        <v>374061.83100000024</v>
      </c>
      <c r="O18" s="564">
        <f t="shared" si="3"/>
        <v>-66120.678000001237</v>
      </c>
      <c r="P18" s="475"/>
      <c r="Q18" s="475"/>
    </row>
    <row r="19" spans="4:17" ht="25.5" customHeight="1" x14ac:dyDescent="0.3">
      <c r="D19" s="480"/>
      <c r="E19" s="492" t="s">
        <v>9</v>
      </c>
      <c r="F19" s="569">
        <f>+F18/F12</f>
        <v>2.0025274618450471E-2</v>
      </c>
      <c r="G19" s="493">
        <f>+G18/G12</f>
        <v>2.9344533567263464E-2</v>
      </c>
      <c r="H19" s="494">
        <f t="shared" si="0"/>
        <v>9.3192589488129939E-3</v>
      </c>
      <c r="I19" s="493">
        <f>+I18/I12</f>
        <v>1.4249312193258659E-2</v>
      </c>
      <c r="J19" s="494">
        <f t="shared" si="1"/>
        <v>1.5095221374004805E-2</v>
      </c>
      <c r="K19" s="493">
        <f>IFERROR(K18/K12,)</f>
        <v>1.7218639648455308E-2</v>
      </c>
      <c r="L19" s="494">
        <f>+L18/L12</f>
        <v>2.2054048318890167E-2</v>
      </c>
      <c r="M19" s="493">
        <f t="shared" si="2"/>
        <v>4.8354086704348598E-3</v>
      </c>
      <c r="N19" s="493">
        <f>+N18/N12</f>
        <v>1.0888352512977807E-2</v>
      </c>
      <c r="O19" s="570">
        <f t="shared" si="3"/>
        <v>1.1165695805912361E-2</v>
      </c>
      <c r="P19" s="475"/>
      <c r="Q19" s="475"/>
    </row>
    <row r="20" spans="4:17" ht="25.5" customHeight="1" x14ac:dyDescent="0.3">
      <c r="D20" s="480"/>
      <c r="E20" s="495" t="s">
        <v>160</v>
      </c>
      <c r="F20" s="156">
        <f>+F13-F16</f>
        <v>78737.030000001192</v>
      </c>
      <c r="G20" s="488">
        <f>+G13-G16</f>
        <v>28392.825999999885</v>
      </c>
      <c r="H20" s="157">
        <f t="shared" si="0"/>
        <v>-50344.204000001308</v>
      </c>
      <c r="I20" s="488">
        <f>+I13-I16</f>
        <v>40906.765000000596</v>
      </c>
      <c r="J20" s="157">
        <f t="shared" si="1"/>
        <v>-12513.939000000712</v>
      </c>
      <c r="K20" s="488">
        <f>+K13-K16</f>
        <v>280733.33600000385</v>
      </c>
      <c r="L20" s="157">
        <f>+L13-L16</f>
        <v>137242.51099999901</v>
      </c>
      <c r="M20" s="488">
        <f t="shared" si="2"/>
        <v>-143490.82500000484</v>
      </c>
      <c r="N20" s="488">
        <f>+N13-N16</f>
        <v>126098.1269999994</v>
      </c>
      <c r="O20" s="158">
        <f t="shared" si="3"/>
        <v>11144.383999999613</v>
      </c>
      <c r="P20" s="475"/>
      <c r="Q20" s="475"/>
    </row>
    <row r="21" spans="4:17" ht="25.5" customHeight="1" x14ac:dyDescent="0.3">
      <c r="D21" s="480"/>
      <c r="E21" s="496" t="s">
        <v>9</v>
      </c>
      <c r="F21" s="571">
        <f>+F20/F13</f>
        <v>3.8048385827312028E-2</v>
      </c>
      <c r="G21" s="497">
        <f>+G20/G13</f>
        <v>2.5359188472200388E-2</v>
      </c>
      <c r="H21" s="498">
        <f t="shared" si="0"/>
        <v>-1.2689197355111641E-2</v>
      </c>
      <c r="I21" s="497">
        <f>+I20/I13</f>
        <v>3.2824519044090679E-2</v>
      </c>
      <c r="J21" s="498">
        <f t="shared" si="1"/>
        <v>-7.4653305718902913E-3</v>
      </c>
      <c r="K21" s="497">
        <f>IFERROR(K20/K13,)</f>
        <v>3.9111817026243854E-2</v>
      </c>
      <c r="L21" s="498">
        <f>+L20/L13</f>
        <v>3.3936811304576812E-2</v>
      </c>
      <c r="M21" s="497">
        <f t="shared" si="2"/>
        <v>-5.175005721667042E-3</v>
      </c>
      <c r="N21" s="497">
        <f>+N20/N13</f>
        <v>3.0864507248727236E-2</v>
      </c>
      <c r="O21" s="572">
        <f t="shared" si="3"/>
        <v>3.0723040558495764E-3</v>
      </c>
      <c r="P21" s="475"/>
      <c r="Q21" s="475"/>
    </row>
    <row r="22" spans="4:17" ht="25.5" customHeight="1" x14ac:dyDescent="0.3">
      <c r="D22" s="480"/>
      <c r="E22" s="487" t="s">
        <v>161</v>
      </c>
      <c r="F22" s="156">
        <f>SUM(F18,F20)</f>
        <v>222937.03000000119</v>
      </c>
      <c r="G22" s="488">
        <f>SUM(G18,G20)</f>
        <v>113288.71499999985</v>
      </c>
      <c r="H22" s="157">
        <f t="shared" si="0"/>
        <v>-109648.31500000134</v>
      </c>
      <c r="I22" s="488">
        <f>SUM(I18,I20)</f>
        <v>167743.8590000011</v>
      </c>
      <c r="J22" s="157">
        <f t="shared" si="1"/>
        <v>-54455.144000001252</v>
      </c>
      <c r="K22" s="488">
        <f>SUM(K18,K20)</f>
        <v>705683.33600000385</v>
      </c>
      <c r="L22" s="157">
        <f>SUM(L18,L20)</f>
        <v>445183.66399999801</v>
      </c>
      <c r="M22" s="488">
        <f t="shared" si="2"/>
        <v>-260499.67200000584</v>
      </c>
      <c r="N22" s="488">
        <f>SUM(N18,N20)</f>
        <v>500159.95799999963</v>
      </c>
      <c r="O22" s="158">
        <f t="shared" si="3"/>
        <v>-54976.294000001624</v>
      </c>
      <c r="P22" s="475"/>
      <c r="Q22" s="475"/>
    </row>
    <row r="23" spans="4:17" ht="25.5" customHeight="1" x14ac:dyDescent="0.3">
      <c r="D23" s="480"/>
      <c r="E23" s="499" t="s">
        <v>9</v>
      </c>
      <c r="F23" s="569">
        <f>+F22/F14</f>
        <v>2.4048544209171956E-2</v>
      </c>
      <c r="G23" s="493">
        <f>+G22/G14</f>
        <v>2.8232539435038565E-2</v>
      </c>
      <c r="H23" s="494">
        <f t="shared" si="0"/>
        <v>4.1839952258666095E-3</v>
      </c>
      <c r="I23" s="493">
        <f>+I22/I14</f>
        <v>1.6530553268357524E-2</v>
      </c>
      <c r="J23" s="494">
        <f t="shared" si="1"/>
        <v>1.1701986166681042E-2</v>
      </c>
      <c r="K23" s="493">
        <f>IFERROR(K22/K14,)</f>
        <v>2.2151342873045269E-2</v>
      </c>
      <c r="L23" s="494">
        <f>+L22/L14</f>
        <v>2.4722698921691901E-2</v>
      </c>
      <c r="M23" s="493">
        <f t="shared" si="2"/>
        <v>2.5713560486466322E-3</v>
      </c>
      <c r="N23" s="493">
        <f>+N22/N14</f>
        <v>1.3011496866125622E-2</v>
      </c>
      <c r="O23" s="570">
        <f t="shared" si="3"/>
        <v>1.1711202055566279E-2</v>
      </c>
      <c r="P23" s="475"/>
      <c r="Q23" s="475"/>
    </row>
    <row r="24" spans="4:17" ht="25.5" customHeight="1" x14ac:dyDescent="0.3">
      <c r="D24" s="471" t="s">
        <v>163</v>
      </c>
      <c r="E24" s="472" t="s">
        <v>164</v>
      </c>
      <c r="F24" s="559">
        <f>+IFERROR(HLOOKUP($F$8,[12]손익!$G$5:$AF$55,[12]손익!$D15,),)</f>
        <v>95152.545000000013</v>
      </c>
      <c r="G24" s="473">
        <f>+'[13]4월'!$M$19</f>
        <v>92733.645999999993</v>
      </c>
      <c r="H24" s="474">
        <f t="shared" si="0"/>
        <v>-2418.8990000000194</v>
      </c>
      <c r="I24" s="473">
        <f>+'[14]4월'!$M$19</f>
        <v>94794.214999999997</v>
      </c>
      <c r="J24" s="474">
        <f t="shared" si="1"/>
        <v>-2060.5690000000031</v>
      </c>
      <c r="K24" s="473">
        <f>+IFERROR(HLOOKUP($K$8,[12]손익!$G$5:$AF$55,[12]손익!$D15,),)</f>
        <v>377532.36199999996</v>
      </c>
      <c r="L24" s="474">
        <f>+'[13]4월'!$W$19</f>
        <v>394291.158</v>
      </c>
      <c r="M24" s="473">
        <f t="shared" si="2"/>
        <v>16758.796000000031</v>
      </c>
      <c r="N24" s="473">
        <f>+'[14]4월'!$W$19</f>
        <v>378709.89199999999</v>
      </c>
      <c r="O24" s="560">
        <f t="shared" si="3"/>
        <v>15581.266000000003</v>
      </c>
      <c r="P24" s="475"/>
      <c r="Q24" s="475"/>
    </row>
    <row r="25" spans="4:17" ht="25.5" customHeight="1" x14ac:dyDescent="0.3">
      <c r="D25" s="480"/>
      <c r="E25" s="484" t="s">
        <v>165</v>
      </c>
      <c r="F25" s="565">
        <f>+IFERROR(HLOOKUP($F$8,[12]손익!$G$5:$AF$55,[12]손익!$D16,),)</f>
        <v>67309.78</v>
      </c>
      <c r="G25" s="485">
        <f>+'[13]4월'!$M$37</f>
        <v>37794.762000000002</v>
      </c>
      <c r="H25" s="486">
        <f t="shared" si="0"/>
        <v>-29515.017999999996</v>
      </c>
      <c r="I25" s="485">
        <f>+'[14]4월'!$M$37</f>
        <v>67504.77</v>
      </c>
      <c r="J25" s="486">
        <f t="shared" si="1"/>
        <v>-29710.008000000002</v>
      </c>
      <c r="K25" s="485">
        <f>+IFERROR(HLOOKUP($K$8,[12]손익!$G$5:$AF$55,[12]손익!$D16,),)</f>
        <v>227267.63999999998</v>
      </c>
      <c r="L25" s="486">
        <f>+'[13]4월'!$W$37</f>
        <v>19168.394</v>
      </c>
      <c r="M25" s="485">
        <f t="shared" si="2"/>
        <v>-208099.24599999998</v>
      </c>
      <c r="N25" s="485">
        <f>+'[14]4월'!$W$37</f>
        <v>204992.93500000003</v>
      </c>
      <c r="O25" s="566">
        <f t="shared" si="3"/>
        <v>-185824.54100000003</v>
      </c>
      <c r="P25" s="475"/>
      <c r="Q25" s="475"/>
    </row>
    <row r="26" spans="4:17" ht="25.5" customHeight="1" x14ac:dyDescent="0.3">
      <c r="D26" s="476"/>
      <c r="E26" s="489" t="s">
        <v>161</v>
      </c>
      <c r="F26" s="567">
        <f>SUM(F24:F25)</f>
        <v>162462.32500000001</v>
      </c>
      <c r="G26" s="490">
        <f>SUM(G24:G25)</f>
        <v>130528.408</v>
      </c>
      <c r="H26" s="491">
        <f t="shared" si="0"/>
        <v>-31933.917000000016</v>
      </c>
      <c r="I26" s="490">
        <f>SUM(I24:I25)</f>
        <v>162298.98499999999</v>
      </c>
      <c r="J26" s="491">
        <f t="shared" si="1"/>
        <v>-31770.57699999999</v>
      </c>
      <c r="K26" s="490">
        <f>SUM(K24:K25)</f>
        <v>604800.00199999998</v>
      </c>
      <c r="L26" s="491">
        <f>SUM(L24:L25)</f>
        <v>413459.55200000003</v>
      </c>
      <c r="M26" s="490">
        <f t="shared" si="2"/>
        <v>-191340.44999999995</v>
      </c>
      <c r="N26" s="490">
        <f>SUM(N24:N25)</f>
        <v>583702.82700000005</v>
      </c>
      <c r="O26" s="568">
        <f t="shared" si="3"/>
        <v>-170243.27500000002</v>
      </c>
      <c r="P26" s="475"/>
      <c r="Q26" s="475"/>
    </row>
    <row r="27" spans="4:17" ht="25.5" customHeight="1" x14ac:dyDescent="0.3">
      <c r="D27" s="549" t="s">
        <v>174</v>
      </c>
      <c r="E27" s="554"/>
      <c r="F27" s="573">
        <f>+F22-F26</f>
        <v>60474.70500000118</v>
      </c>
      <c r="G27" s="577">
        <f>+G22-G26</f>
        <v>-17239.693000000145</v>
      </c>
      <c r="H27" s="581">
        <f t="shared" si="0"/>
        <v>-77714.398000001325</v>
      </c>
      <c r="I27" s="577">
        <f>+I22-I26</f>
        <v>5444.8740000011167</v>
      </c>
      <c r="J27" s="581">
        <f t="shared" si="1"/>
        <v>-22684.567000001261</v>
      </c>
      <c r="K27" s="577">
        <f>+K22-K26</f>
        <v>100883.33400000387</v>
      </c>
      <c r="L27" s="581">
        <f>+L22-L26</f>
        <v>31724.111999997986</v>
      </c>
      <c r="M27" s="577">
        <f t="shared" si="2"/>
        <v>-69159.222000005888</v>
      </c>
      <c r="N27" s="577">
        <f>+N22-N26</f>
        <v>-83542.869000000414</v>
      </c>
      <c r="O27" s="586">
        <f t="shared" si="3"/>
        <v>115266.9809999984</v>
      </c>
      <c r="P27" s="475"/>
      <c r="Q27" s="475"/>
    </row>
    <row r="28" spans="4:17" ht="25.5" customHeight="1" x14ac:dyDescent="0.3">
      <c r="D28" s="551"/>
      <c r="E28" s="555" t="s">
        <v>10</v>
      </c>
      <c r="F28" s="574">
        <f>+F27/F14</f>
        <v>6.5234950727079887E-3</v>
      </c>
      <c r="G28" s="578">
        <f>+G27/G14</f>
        <v>-4.2962824008592826E-3</v>
      </c>
      <c r="H28" s="582">
        <f t="shared" si="0"/>
        <v>-1.0819777473567271E-2</v>
      </c>
      <c r="I28" s="578">
        <f>+I27/I14</f>
        <v>5.3657272601861851E-4</v>
      </c>
      <c r="J28" s="582">
        <f t="shared" si="1"/>
        <v>-4.832855126877901E-3</v>
      </c>
      <c r="K28" s="578">
        <f>IFERROR(K27/K14,)</f>
        <v>3.1667196993440398E-3</v>
      </c>
      <c r="L28" s="582">
        <f>+L27/L14</f>
        <v>1.7617575238205209E-3</v>
      </c>
      <c r="M28" s="578">
        <f t="shared" si="2"/>
        <v>-1.4049621755235189E-3</v>
      </c>
      <c r="N28" s="578">
        <f>+N27/N14</f>
        <v>-2.1733402700354703E-3</v>
      </c>
      <c r="O28" s="587">
        <f t="shared" si="3"/>
        <v>3.9350977938559916E-3</v>
      </c>
      <c r="P28" s="475"/>
      <c r="Q28" s="475"/>
    </row>
    <row r="29" spans="4:17" ht="25.5" customHeight="1" x14ac:dyDescent="0.3">
      <c r="D29" s="549" t="s">
        <v>175</v>
      </c>
      <c r="E29" s="554"/>
      <c r="F29" s="573">
        <f>+IFERROR(HLOOKUP($F$8,[12]손익!$G$5:$AF$55,[12]손익!$D19,),)</f>
        <v>5186.2629999999999</v>
      </c>
      <c r="G29" s="577">
        <f>+'[13]4월'!$M$40</f>
        <v>4725.1719999999996</v>
      </c>
      <c r="H29" s="581">
        <f t="shared" si="0"/>
        <v>-461.09100000000035</v>
      </c>
      <c r="I29" s="577">
        <f>+'[14]4월'!$M$40</f>
        <v>5716.42</v>
      </c>
      <c r="J29" s="581">
        <f t="shared" si="1"/>
        <v>-991.2480000000005</v>
      </c>
      <c r="K29" s="577">
        <f>+IFERROR(HLOOKUP($K$8,[12]손익!$G$5:$AF$55,[12]손익!$D19,),)</f>
        <v>20745.052</v>
      </c>
      <c r="L29" s="581">
        <f>+'[13]4월'!$W$40</f>
        <v>18914.054</v>
      </c>
      <c r="M29" s="577">
        <f t="shared" si="2"/>
        <v>-1830.9979999999996</v>
      </c>
      <c r="N29" s="577">
        <f>+'[14]4월'!$W$40</f>
        <v>23040.063000000002</v>
      </c>
      <c r="O29" s="586">
        <f t="shared" si="3"/>
        <v>-4126.0090000000018</v>
      </c>
      <c r="P29" s="475"/>
      <c r="Q29" s="475"/>
    </row>
    <row r="30" spans="4:17" ht="25.5" customHeight="1" x14ac:dyDescent="0.3">
      <c r="D30" s="551"/>
      <c r="E30" s="556" t="s">
        <v>176</v>
      </c>
      <c r="F30" s="575">
        <f>+F29</f>
        <v>5186.2629999999999</v>
      </c>
      <c r="G30" s="579">
        <f>+G29</f>
        <v>4725.1719999999996</v>
      </c>
      <c r="H30" s="583">
        <f t="shared" si="0"/>
        <v>-461.09100000000035</v>
      </c>
      <c r="I30" s="579">
        <f>+I29</f>
        <v>5716.42</v>
      </c>
      <c r="J30" s="583">
        <f t="shared" si="1"/>
        <v>-991.2480000000005</v>
      </c>
      <c r="K30" s="579">
        <f>+K29</f>
        <v>20745.052</v>
      </c>
      <c r="L30" s="583">
        <f>+L29</f>
        <v>18914.054</v>
      </c>
      <c r="M30" s="579">
        <f t="shared" si="2"/>
        <v>-1830.9979999999996</v>
      </c>
      <c r="N30" s="579">
        <f>+N29</f>
        <v>23040.063000000002</v>
      </c>
      <c r="O30" s="588">
        <f t="shared" si="3"/>
        <v>-4126.0090000000018</v>
      </c>
      <c r="P30" s="475"/>
      <c r="Q30" s="475"/>
    </row>
    <row r="31" spans="4:17" ht="25.5" customHeight="1" x14ac:dyDescent="0.3">
      <c r="D31" s="549" t="s">
        <v>177</v>
      </c>
      <c r="E31" s="554"/>
      <c r="F31" s="573">
        <f>+F27-F29</f>
        <v>55288.442000001181</v>
      </c>
      <c r="G31" s="577">
        <f>+G27-G29</f>
        <v>-21964.865000000143</v>
      </c>
      <c r="H31" s="581">
        <f t="shared" si="0"/>
        <v>-77253.307000001325</v>
      </c>
      <c r="I31" s="577">
        <f>+I27-I29</f>
        <v>-271.54599999888342</v>
      </c>
      <c r="J31" s="581">
        <f t="shared" si="1"/>
        <v>-21693.319000001262</v>
      </c>
      <c r="K31" s="577">
        <f>+K27-K29</f>
        <v>80138.282000003877</v>
      </c>
      <c r="L31" s="581">
        <f>+L27-L29</f>
        <v>12810.057999997985</v>
      </c>
      <c r="M31" s="577">
        <f t="shared" si="2"/>
        <v>-67328.224000005896</v>
      </c>
      <c r="N31" s="577">
        <f>+N27-N29</f>
        <v>-106582.93200000041</v>
      </c>
      <c r="O31" s="586">
        <f t="shared" si="3"/>
        <v>119392.98999999839</v>
      </c>
      <c r="P31" s="475"/>
      <c r="Q31" s="475"/>
    </row>
    <row r="32" spans="4:17" ht="25.5" customHeight="1" x14ac:dyDescent="0.3">
      <c r="D32" s="553"/>
      <c r="E32" s="555" t="s">
        <v>10</v>
      </c>
      <c r="F32" s="576">
        <f>+F31/F14</f>
        <v>5.9640452808277788E-3</v>
      </c>
      <c r="G32" s="580">
        <f>+G31/G14</f>
        <v>-5.4738366243963776E-3</v>
      </c>
      <c r="H32" s="584">
        <f t="shared" si="0"/>
        <v>-1.1437881905224156E-2</v>
      </c>
      <c r="I32" s="580">
        <f>+I31/I14</f>
        <v>-2.6759880478193392E-5</v>
      </c>
      <c r="J32" s="584">
        <f t="shared" si="1"/>
        <v>-5.4470767439181843E-3</v>
      </c>
      <c r="K32" s="580">
        <f>IFERROR(K31/K14,)</f>
        <v>2.5155341939927405E-3</v>
      </c>
      <c r="L32" s="584">
        <f>+L31/L14</f>
        <v>7.113900008320213E-4</v>
      </c>
      <c r="M32" s="580">
        <f t="shared" si="2"/>
        <v>-1.8041441931607193E-3</v>
      </c>
      <c r="N32" s="580">
        <f>+N31/N14</f>
        <v>-2.7727199339305899E-3</v>
      </c>
      <c r="O32" s="589">
        <f t="shared" si="3"/>
        <v>3.4841099347626111E-3</v>
      </c>
      <c r="P32" s="475"/>
      <c r="Q32" s="475"/>
    </row>
    <row r="33" spans="4:17" ht="25.5" customHeight="1" x14ac:dyDescent="0.3">
      <c r="D33" s="549" t="s">
        <v>29</v>
      </c>
      <c r="E33" s="550"/>
      <c r="F33" s="573">
        <f>+IFERROR(HLOOKUP($F$8,[12]손익!$G$5:$AF$55,[12]손익!$D23,),)</f>
        <v>53262.669134276592</v>
      </c>
      <c r="G33" s="577">
        <f>+'[13]4월'!$M$43</f>
        <v>53853.146000000001</v>
      </c>
      <c r="H33" s="581">
        <f t="shared" si="0"/>
        <v>590.47686572340899</v>
      </c>
      <c r="I33" s="577"/>
      <c r="J33" s="581">
        <f t="shared" si="1"/>
        <v>53853.146000000001</v>
      </c>
      <c r="K33" s="577">
        <f>+IFERROR(HLOOKUP($K$8,[12]손익!$G$5:$AF$55,[12]손익!$D23,),)</f>
        <v>163540.0203632726</v>
      </c>
      <c r="L33" s="581">
        <f>+'[13]4월'!$W$43</f>
        <v>186124.334</v>
      </c>
      <c r="M33" s="577">
        <f t="shared" si="2"/>
        <v>22584.313636727398</v>
      </c>
      <c r="N33" s="577"/>
      <c r="O33" s="586">
        <f t="shared" si="3"/>
        <v>186124.334</v>
      </c>
      <c r="P33" s="475"/>
      <c r="Q33" s="475"/>
    </row>
    <row r="34" spans="4:17" ht="25.5" customHeight="1" x14ac:dyDescent="0.3">
      <c r="D34" s="549" t="s">
        <v>178</v>
      </c>
      <c r="E34" s="550"/>
      <c r="F34" s="573">
        <f>+F31-F33</f>
        <v>2025.7728657245898</v>
      </c>
      <c r="G34" s="577">
        <f>+G31-G33</f>
        <v>-75818.011000000144</v>
      </c>
      <c r="H34" s="581">
        <f t="shared" si="0"/>
        <v>-77843.783865724734</v>
      </c>
      <c r="I34" s="577">
        <f>+I31-I33</f>
        <v>-271.54599999888342</v>
      </c>
      <c r="J34" s="581">
        <f t="shared" si="1"/>
        <v>-75546.465000001263</v>
      </c>
      <c r="K34" s="577">
        <f>+K31-K33</f>
        <v>-83401.738363268727</v>
      </c>
      <c r="L34" s="581">
        <f>+L31-L33</f>
        <v>-173314.27600000202</v>
      </c>
      <c r="M34" s="577">
        <f t="shared" si="2"/>
        <v>-89912.537636733294</v>
      </c>
      <c r="N34" s="577">
        <f>+N31-N33</f>
        <v>-106582.93200000041</v>
      </c>
      <c r="O34" s="586">
        <f t="shared" si="3"/>
        <v>-66731.344000001613</v>
      </c>
      <c r="P34" s="475"/>
      <c r="Q34" s="475"/>
    </row>
    <row r="35" spans="4:17" ht="25.5" customHeight="1" x14ac:dyDescent="0.3">
      <c r="D35" s="553"/>
      <c r="E35" s="552" t="s">
        <v>10</v>
      </c>
      <c r="F35" s="576">
        <f>+F34/F14</f>
        <v>2.1852308842150854E-4</v>
      </c>
      <c r="G35" s="580">
        <f>+G34/G14</f>
        <v>-1.8894512003633325E-2</v>
      </c>
      <c r="H35" s="584">
        <f t="shared" si="0"/>
        <v>-1.9113035092054833E-2</v>
      </c>
      <c r="I35" s="580">
        <f>+I34/I14</f>
        <v>-2.6759880478193392E-5</v>
      </c>
      <c r="J35" s="584">
        <f t="shared" si="1"/>
        <v>-1.886775212315513E-2</v>
      </c>
      <c r="K35" s="580">
        <f>IFERROR(K34/K14,)</f>
        <v>-2.6179738254337478E-3</v>
      </c>
      <c r="L35" s="584">
        <f>+L34/L14</f>
        <v>-9.624784130396755E-3</v>
      </c>
      <c r="M35" s="580">
        <f t="shared" si="2"/>
        <v>-7.0068103049630067E-3</v>
      </c>
      <c r="N35" s="580">
        <f>+N34/N14</f>
        <v>-2.7727199339305899E-3</v>
      </c>
      <c r="O35" s="589">
        <f t="shared" si="3"/>
        <v>-6.8520641964661651E-3</v>
      </c>
      <c r="P35" s="475"/>
      <c r="Q35" s="475"/>
    </row>
    <row r="36" spans="4:17" ht="21.95" customHeight="1" x14ac:dyDescent="0.3">
      <c r="P36" s="475"/>
      <c r="Q36" s="475"/>
    </row>
    <row r="37" spans="4:17" ht="21.95" customHeight="1" x14ac:dyDescent="0.3">
      <c r="P37" s="475"/>
      <c r="Q37" s="475"/>
    </row>
    <row r="38" spans="4:17" ht="21.95" customHeight="1" x14ac:dyDescent="0.3">
      <c r="P38" s="475"/>
      <c r="Q38" s="475"/>
    </row>
    <row r="39" spans="4:17" ht="21.95" customHeight="1" x14ac:dyDescent="0.3">
      <c r="F39" s="500"/>
      <c r="G39" s="500"/>
      <c r="I39" s="500"/>
      <c r="K39" s="500"/>
      <c r="L39" s="500"/>
      <c r="N39" s="81"/>
      <c r="P39" s="475"/>
      <c r="Q39" s="475"/>
    </row>
    <row r="40" spans="4:17" ht="21.95" customHeight="1" x14ac:dyDescent="0.3"/>
    <row r="41" spans="4:17" ht="21.95" customHeight="1" x14ac:dyDescent="0.3"/>
    <row r="42" spans="4:17" ht="21.95" customHeight="1" x14ac:dyDescent="0.3"/>
    <row r="43" spans="4:17" ht="21.95" customHeight="1" x14ac:dyDescent="0.3"/>
    <row r="44" spans="4:17" ht="21.95" customHeight="1" x14ac:dyDescent="0.3"/>
    <row r="45" spans="4:17" ht="21.95" customHeight="1" x14ac:dyDescent="0.3"/>
    <row r="46" spans="4:17" ht="21.95" customHeight="1" x14ac:dyDescent="0.3"/>
    <row r="47" spans="4:17" ht="21.95" customHeight="1" x14ac:dyDescent="0.3"/>
    <row r="48" spans="4:17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</sheetData>
  <mergeCells count="1">
    <mergeCell ref="D8:E9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표지</vt:lpstr>
      <vt:lpstr>손익총괄</vt:lpstr>
      <vt:lpstr>레미콘 영업이익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창환 김</cp:lastModifiedBy>
  <cp:lastPrinted>2026-05-15T07:32:56Z</cp:lastPrinted>
  <dcterms:created xsi:type="dcterms:W3CDTF">2018-12-20T00:38:36Z</dcterms:created>
  <dcterms:modified xsi:type="dcterms:W3CDTF">2026-06-12T05:54:54Z</dcterms:modified>
</cp:coreProperties>
</file>