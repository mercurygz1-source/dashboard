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codeName="현재_통합_문서" defaultThemeVersion="124226"/>
  <mc:AlternateContent xmlns:mc="http://schemas.openxmlformats.org/markup-compatibility/2006">
    <mc:Choice Requires="x15">
      <x15ac:absPath xmlns:x15ac="http://schemas.microsoft.com/office/spreadsheetml/2010/11/ac" url="D:\원가손익\202603\00_보고서\"/>
    </mc:Choice>
  </mc:AlternateContent>
  <xr:revisionPtr revIDLastSave="0" documentId="13_ncr:1_{8E60DB7D-A77A-4B1A-A3C6-2DDBAD9E5DE8}" xr6:coauthVersionLast="36" xr6:coauthVersionMax="36" xr10:uidLastSave="{00000000-0000-0000-0000-000000000000}"/>
  <bookViews>
    <workbookView xWindow="480" yWindow="75" windowWidth="27975" windowHeight="12495" activeTab="3" xr2:uid="{00000000-000D-0000-FFFF-FFFF00000000}"/>
  </bookViews>
  <sheets>
    <sheet name="표지" sheetId="24" r:id="rId1"/>
    <sheet name="손익총괄" sheetId="1" r:id="rId2"/>
    <sheet name="레미콘 영업이익" sheetId="37" r:id="rId3"/>
    <sheet name="사업장별(당월)" sheetId="2" r:id="rId4"/>
    <sheet name="영업이익" sheetId="25" r:id="rId5"/>
    <sheet name="공헌이익" sheetId="26" r:id="rId6"/>
    <sheet name="재료비단가" sheetId="27" r:id="rId7"/>
    <sheet name="원단위" sheetId="28" r:id="rId8"/>
    <sheet name="건자재" sheetId="34" r:id="rId9"/>
  </sheets>
  <externalReferences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</externalReferences>
  <definedNames>
    <definedName name="ASSUMPTIONS" localSheetId="8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ASSUMPTIONS" localSheetId="5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ASSUMPTIONS" localSheetId="4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ASSUMPTIONS" localSheetId="7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ASSUMPTIONS" localSheetId="6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ASSUMPTIONS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BudvsAct" localSheetId="8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BudvsAct" localSheetId="5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BudvsAct" localSheetId="4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BudvsAct" localSheetId="7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BudvsAct" localSheetId="6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BudvsAct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CAP1B" localSheetId="8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CAP1B" localSheetId="5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CAP1B" localSheetId="4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CAP1B" localSheetId="7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CAP1B" localSheetId="6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CAP1B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ddf" localSheetId="8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ddf" localSheetId="5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ddf" localSheetId="4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ddf" localSheetId="7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ddf" localSheetId="6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ddf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dfdfdfd" localSheetId="8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dfdfdfd" localSheetId="5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dfdfdfd" localSheetId="4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dfdfdfd" localSheetId="7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dfdfdfd" localSheetId="6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dfdfdfd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edsd" localSheetId="8" hidden="1">{"Header",#N/A,TRUE,"Summary";"ProjectInfo",#N/A,TRUE,"Total Value"}</definedName>
    <definedName name="edsd" localSheetId="5" hidden="1">{"Header",#N/A,TRUE,"Summary";"ProjectInfo",#N/A,TRUE,"Total Value"}</definedName>
    <definedName name="edsd" localSheetId="4" hidden="1">{"Header",#N/A,TRUE,"Summary";"ProjectInfo",#N/A,TRUE,"Total Value"}</definedName>
    <definedName name="edsd" localSheetId="7" hidden="1">{"Header",#N/A,TRUE,"Summary";"ProjectInfo",#N/A,TRUE,"Total Value"}</definedName>
    <definedName name="edsd" localSheetId="6" hidden="1">{"Header",#N/A,TRUE,"Summary";"ProjectInfo",#N/A,TRUE,"Total Value"}</definedName>
    <definedName name="edsd" hidden="1">{"Header",#N/A,TRUE,"Summary";"ProjectInfo",#N/A,TRUE,"Total Value"}</definedName>
    <definedName name="ff" localSheetId="8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ff" localSheetId="5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ff" localSheetId="4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ff" localSheetId="7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ff" localSheetId="6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ff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FJHSJ" localSheetId="8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FJHSJ" localSheetId="5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FJHSJ" localSheetId="4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FJHSJ" localSheetId="7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FJHSJ" localSheetId="6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FJHSJ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hhh" localSheetId="8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hhh" localSheetId="5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hhh" localSheetId="4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hhh" localSheetId="7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hhh" localSheetId="6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hhh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ii" localSheetId="8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ii" localSheetId="5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ii" localSheetId="4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ii" localSheetId="7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ii" localSheetId="6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ii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j" localSheetId="8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j" localSheetId="5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j" localSheetId="4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j" localSheetId="7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j" localSheetId="6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j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jijk" localSheetId="8" hidden="1">{"Header",#N/A,TRUE,"Summary";"ProjectInfo",#N/A,TRUE,"Total Value"}</definedName>
    <definedName name="jijk" localSheetId="5" hidden="1">{"Header",#N/A,TRUE,"Summary";"ProjectInfo",#N/A,TRUE,"Total Value"}</definedName>
    <definedName name="jijk" localSheetId="4" hidden="1">{"Header",#N/A,TRUE,"Summary";"ProjectInfo",#N/A,TRUE,"Total Value"}</definedName>
    <definedName name="jijk" localSheetId="7" hidden="1">{"Header",#N/A,TRUE,"Summary";"ProjectInfo",#N/A,TRUE,"Total Value"}</definedName>
    <definedName name="jijk" localSheetId="6" hidden="1">{"Header",#N/A,TRUE,"Summary";"ProjectInfo",#N/A,TRUE,"Total Value"}</definedName>
    <definedName name="jijk" hidden="1">{"Header",#N/A,TRUE,"Summary";"ProjectInfo",#N/A,TRUE,"Total Value"}</definedName>
    <definedName name="jjjj" localSheetId="8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jjjj" localSheetId="5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jjjj" localSheetId="4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jjjj" localSheetId="7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jjjj" localSheetId="6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jjjj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jk" localSheetId="8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jk" localSheetId="5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jk" localSheetId="4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jk" localSheetId="7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jk" localSheetId="6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jk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k" localSheetId="8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k" localSheetId="5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k" localSheetId="4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k" localSheetId="7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k" localSheetId="6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k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kcsq" localSheetId="8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kcsq" localSheetId="5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kcsq" localSheetId="4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kcsq" localSheetId="7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kcsq" localSheetId="6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kcsq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kcsqd" localSheetId="8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kcsqd" localSheetId="5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kcsqd" localSheetId="4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kcsqd" localSheetId="7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kcsqd" localSheetId="6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kcsqd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KDCSS" localSheetId="8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KDCSS" localSheetId="5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KDCSS" localSheetId="4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KDCSS" localSheetId="7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KDCSS" localSheetId="6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KDCSS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kdcssd" localSheetId="8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kdcssd" localSheetId="5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kdcssd" localSheetId="4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kdcssd" localSheetId="7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kdcssd" localSheetId="6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kdcssd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kkjkj" localSheetId="8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kkjkj" localSheetId="5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kkjkj" localSheetId="4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kkjkj" localSheetId="7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kkjkj" localSheetId="6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kkjkj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kkk" localSheetId="8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kkk" localSheetId="5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kkk" localSheetId="4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kkk" localSheetId="7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kkk" localSheetId="6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kkk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kkkk" localSheetId="8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kkkk" localSheetId="5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kkkk" localSheetId="4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kkkk" localSheetId="7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kkkk" localSheetId="6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kkkk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kkkkk" localSheetId="8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kkkkk" localSheetId="5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kkkkk" localSheetId="4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kkkkk" localSheetId="7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kkkkk" localSheetId="6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kkkkk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_xlnm.Print_Area" localSheetId="8">건자재!$D$6:$O$35</definedName>
    <definedName name="_xlnm.Print_Area" localSheetId="5">공헌이익!$D$4:$V$29</definedName>
    <definedName name="_xlnm.Print_Area" localSheetId="2">'레미콘 영업이익'!$H$3:$AC$28</definedName>
    <definedName name="_xlnm.Print_Area" localSheetId="3">'사업장별(당월)'!$H$3:$AG$44</definedName>
    <definedName name="_xlnm.Print_Area" localSheetId="1">손익총괄!$C$3:$X$37</definedName>
    <definedName name="_xlnm.Print_Area" localSheetId="4">영업이익!$D$4:$W$29</definedName>
    <definedName name="_xlnm.Print_Area" localSheetId="7">원단위!$D$4:$V$29</definedName>
    <definedName name="_xlnm.Print_Area" localSheetId="6">재료비단가!$D$4:$V$29</definedName>
    <definedName name="sads" localSheetId="8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sads" localSheetId="5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sads" localSheetId="4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sads" localSheetId="7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sads" localSheetId="6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sads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sd" localSheetId="8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sd" localSheetId="5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sd" localSheetId="4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sd" localSheetId="7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sd" localSheetId="6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sd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sdfs" localSheetId="8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sdfs" localSheetId="5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sdfs" localSheetId="4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sdfs" localSheetId="7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sdfs" localSheetId="6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sdfs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sdsd" localSheetId="8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sdsd" localSheetId="5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sdsd" localSheetId="4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sdsd" localSheetId="7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sdsd" localSheetId="6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sdsd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sdsdsd" localSheetId="8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sdsdsd" localSheetId="5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sdsdsd" localSheetId="4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sdsdsd" localSheetId="7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sdsdsd" localSheetId="6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sdsdsd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sdsffssds" localSheetId="8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sdsffssds" localSheetId="5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sdsffssds" localSheetId="4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sdsffssds" localSheetId="7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sdsffssds" localSheetId="6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sdsffssds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w" localSheetId="8" hidden="1">{"Header",#N/A,TRUE,"Summary";"ProjectInfo",#N/A,TRUE,"Total Value"}</definedName>
    <definedName name="w" localSheetId="5" hidden="1">{"Header",#N/A,TRUE,"Summary";"ProjectInfo",#N/A,TRUE,"Total Value"}</definedName>
    <definedName name="w" localSheetId="4" hidden="1">{"Header",#N/A,TRUE,"Summary";"ProjectInfo",#N/A,TRUE,"Total Value"}</definedName>
    <definedName name="w" localSheetId="7" hidden="1">{"Header",#N/A,TRUE,"Summary";"ProjectInfo",#N/A,TRUE,"Total Value"}</definedName>
    <definedName name="w" localSheetId="6" hidden="1">{"Header",#N/A,TRUE,"Summary";"ProjectInfo",#N/A,TRUE,"Total Value"}</definedName>
    <definedName name="w" hidden="1">{"Header",#N/A,TRUE,"Summary";"ProjectInfo",#N/A,TRUE,"Total Value"}</definedName>
    <definedName name="wrn.iIMPRESSION._.DOC." localSheetId="8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wrn.iIMPRESSION._.DOC." localSheetId="5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wrn.iIMPRESSION._.DOC." localSheetId="4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wrn.iIMPRESSION._.DOC." localSheetId="7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wrn.iIMPRESSION._.DOC." localSheetId="6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wrn.iIMPRESSION._.DOC.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wrn.IMPRESSION._.RP2." localSheetId="8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wrn.IMPRESSION._.RP2." localSheetId="5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wrn.IMPRESSION._.RP2." localSheetId="4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wrn.IMPRESSION._.RP2." localSheetId="7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wrn.IMPRESSION._.RP2." localSheetId="6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wrn.IMPRESSION._.RP2.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wrn.SummaryReport." localSheetId="8" hidden="1">{"Header",#N/A,TRUE,"Summary";"ProjectInfo",#N/A,TRUE,"Total Value"}</definedName>
    <definedName name="wrn.SummaryReport." localSheetId="5" hidden="1">{"Header",#N/A,TRUE,"Summary";"ProjectInfo",#N/A,TRUE,"Total Value"}</definedName>
    <definedName name="wrn.SummaryReport." localSheetId="4" hidden="1">{"Header",#N/A,TRUE,"Summary";"ProjectInfo",#N/A,TRUE,"Total Value"}</definedName>
    <definedName name="wrn.SummaryReport." localSheetId="7" hidden="1">{"Header",#N/A,TRUE,"Summary";"ProjectInfo",#N/A,TRUE,"Total Value"}</definedName>
    <definedName name="wrn.SummaryReport." localSheetId="6" hidden="1">{"Header",#N/A,TRUE,"Summary";"ProjectInfo",#N/A,TRUE,"Total Value"}</definedName>
    <definedName name="wrn.SummaryReport." hidden="1">{"Header",#N/A,TRUE,"Summary";"ProjectInfo",#N/A,TRUE,"Total Value"}</definedName>
    <definedName name="ww" localSheetId="8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ww" localSheetId="5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ww" localSheetId="4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ww" localSheetId="7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ww" localSheetId="6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ww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김춘모" localSheetId="8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김춘모" localSheetId="5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김춘모" localSheetId="4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김춘모" localSheetId="7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김춘모" localSheetId="6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김춘모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ㄴ" localSheetId="8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ㄴ" localSheetId="5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ㄴ" localSheetId="4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ㄴ" localSheetId="7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ㄴ" localSheetId="6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ㄴ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ㄴㄴㅇ" localSheetId="8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ㄴㄴㅇ" localSheetId="5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ㄴㄴㅇ" localSheetId="4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ㄴㄴㅇ" localSheetId="7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ㄴㄴㅇ" localSheetId="6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ㄴㄴㅇ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ㄴㅁㄴ" localSheetId="8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ㄴㅁㄴ" localSheetId="5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ㄴㅁㄴ" localSheetId="4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ㄴㅁㄴ" localSheetId="7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ㄴㅁㄴ" localSheetId="6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ㄴㅁㄴ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ㄴㅇ" localSheetId="8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ㄴㅇ" localSheetId="5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ㄴㅇ" localSheetId="4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ㄴㅇ" localSheetId="7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ㄴㅇ" localSheetId="6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ㄴㅇ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ㄴㅇㄴ" localSheetId="8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ㄴㅇㄴ" localSheetId="5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ㄴㅇㄴ" localSheetId="4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ㄴㅇㄴ" localSheetId="7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ㄴㅇㄴ" localSheetId="6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ㄴㅇㄴ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로호" localSheetId="8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로호" localSheetId="5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로호" localSheetId="4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로호" localSheetId="7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로호" localSheetId="6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로호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ㅀㅎㅎ" localSheetId="8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ㅀㅎㅎ" localSheetId="5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ㅀㅎㅎ" localSheetId="4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ㅀㅎㅎ" localSheetId="7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ㅀㅎㅎ" localSheetId="6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ㅀㅎㅎ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ㅁㄴㄴㅇ" localSheetId="8" hidden="1">{"Header",#N/A,TRUE,"Summary";"ProjectInfo",#N/A,TRUE,"Total Value"}</definedName>
    <definedName name="ㅁㄴㄴㅇ" localSheetId="5" hidden="1">{"Header",#N/A,TRUE,"Summary";"ProjectInfo",#N/A,TRUE,"Total Value"}</definedName>
    <definedName name="ㅁㄴㄴㅇ" localSheetId="4" hidden="1">{"Header",#N/A,TRUE,"Summary";"ProjectInfo",#N/A,TRUE,"Total Value"}</definedName>
    <definedName name="ㅁㄴㄴㅇ" localSheetId="7" hidden="1">{"Header",#N/A,TRUE,"Summary";"ProjectInfo",#N/A,TRUE,"Total Value"}</definedName>
    <definedName name="ㅁㄴㄴㅇ" localSheetId="6" hidden="1">{"Header",#N/A,TRUE,"Summary";"ProjectInfo",#N/A,TRUE,"Total Value"}</definedName>
    <definedName name="ㅁㄴㄴㅇ" hidden="1">{"Header",#N/A,TRUE,"Summary";"ProjectInfo",#N/A,TRUE,"Total Value"}</definedName>
    <definedName name="ㅁㅂㅁㅂㅂㅁㅁㅂ" localSheetId="8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ㅁㅂㅁㅂㅂㅁㅁㅂ" localSheetId="5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ㅁㅂㅁㅂㅂㅁㅁㅂ" localSheetId="4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ㅁㅂㅁㅂㅂㅁㅁㅂ" localSheetId="7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ㅁㅂㅁㅂㅂㅁㅁㅂ" localSheetId="6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ㅁㅂㅁㅂㅂㅁㅁㅂ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ㅅ" localSheetId="8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ㅅ" localSheetId="5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ㅅ" localSheetId="4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ㅅ" localSheetId="7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ㅅ" localSheetId="6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ㅅ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ㅇ" localSheetId="8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ㅇ" localSheetId="5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ㅇ" localSheetId="4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ㅇ" localSheetId="7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ㅇ" localSheetId="6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ㅇ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ㅇㄴ" localSheetId="8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ㅇㄴ" localSheetId="5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ㅇㄴ" localSheetId="4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ㅇㄴ" localSheetId="7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ㅇㄴ" localSheetId="6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ㅇㄴ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ㅇㄴㄹㅇㅇ" localSheetId="8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ㅇㄴㄹㅇㅇ" localSheetId="5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ㅇㄴㄹㅇㅇ" localSheetId="4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ㅇㄴㄹㅇㅇ" localSheetId="7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ㅇㄴㄹㅇㅇ" localSheetId="6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ㅇㄴㄹㅇㅇ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ㅇㄹ" localSheetId="8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ㅇㄹ" localSheetId="5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ㅇㄹ" localSheetId="4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ㅇㄹ" localSheetId="7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ㅇㄹ" localSheetId="6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ㅇㄹ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ㅇㅈㅇ" localSheetId="8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ㅇㅈㅇ" localSheetId="5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ㅇㅈㅇ" localSheetId="4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ㅇㅈㅇ" localSheetId="7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ㅇㅈㅇ" localSheetId="6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ㅇㅈㅇ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ㅈ" localSheetId="8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ㅈ" localSheetId="5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ㅈ" localSheetId="4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ㅈ" localSheetId="7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ㅈ" localSheetId="6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ㅈ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ㅈㅇ" localSheetId="8" hidden="1">{"Header",#N/A,TRUE,"Summary";"ProjectInfo",#N/A,TRUE,"Total Value"}</definedName>
    <definedName name="ㅈㅇ" localSheetId="5" hidden="1">{"Header",#N/A,TRUE,"Summary";"ProjectInfo",#N/A,TRUE,"Total Value"}</definedName>
    <definedName name="ㅈㅇ" localSheetId="4" hidden="1">{"Header",#N/A,TRUE,"Summary";"ProjectInfo",#N/A,TRUE,"Total Value"}</definedName>
    <definedName name="ㅈㅇ" localSheetId="7" hidden="1">{"Header",#N/A,TRUE,"Summary";"ProjectInfo",#N/A,TRUE,"Total Value"}</definedName>
    <definedName name="ㅈㅇ" localSheetId="6" hidden="1">{"Header",#N/A,TRUE,"Summary";"ProjectInfo",#N/A,TRUE,"Total Value"}</definedName>
    <definedName name="ㅈㅇ" hidden="1">{"Header",#N/A,TRUE,"Summary";"ProjectInfo",#N/A,TRUE,"Total Value"}</definedName>
    <definedName name="차이분서II" localSheetId="8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차이분서II" localSheetId="5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차이분서II" localSheetId="4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차이분서II" localSheetId="7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차이분서II" localSheetId="6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차이분서II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ㅎㅎㅎㅎ" localSheetId="8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ㅎㅎㅎㅎ" localSheetId="5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ㅎㅎㅎㅎ" localSheetId="4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ㅎㅎㅎㅎ" localSheetId="7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ㅎㅎㅎㅎ" localSheetId="6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ㅎㅎㅎㅎ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ㅎ호" localSheetId="8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ㅎ호" localSheetId="5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ㅎ호" localSheetId="4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ㅎ호" localSheetId="7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ㅎ호" localSheetId="6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ㅎ호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ㅏㅏㅏ" localSheetId="8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ㅏㅏㅏ" localSheetId="5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ㅏㅏㅏ" localSheetId="4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ㅏㅏㅏ" localSheetId="7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ㅏㅏㅏ" localSheetId="6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ㅏㅏㅏ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ㅐㅏ" localSheetId="8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ㅐㅏ" localSheetId="5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ㅐㅏ" localSheetId="4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ㅐㅏ" localSheetId="7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ㅐㅏ" localSheetId="6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ㅐㅏ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ㅓㅓ" localSheetId="8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ㅓㅓ" localSheetId="5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ㅓㅓ" localSheetId="4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ㅓㅓ" localSheetId="7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ㅓㅓ" localSheetId="6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ㅓㅓ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ㅓㅓㅓㅓ" localSheetId="8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ㅓㅓㅓㅓ" localSheetId="5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ㅓㅓㅓㅓ" localSheetId="4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ㅓㅓㅓㅓ" localSheetId="7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ㅓㅓㅓㅓ" localSheetId="6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ㅓㅓㅓㅓ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ㅓㅓㅓㅓㅓㄴ" localSheetId="8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ㅓㅓㅓㅓㅓㄴ" localSheetId="5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ㅓㅓㅓㅓㅓㄴ" localSheetId="4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ㅓㅓㅓㅓㅓㄴ" localSheetId="7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ㅓㅓㅓㅓㅓㄴ" localSheetId="6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ㅓㅓㅓㅓㅓㄴ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ㅓㅓㅣ" localSheetId="8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ㅓㅓㅣ" localSheetId="5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ㅓㅓㅣ" localSheetId="4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ㅓㅓㅣ" localSheetId="7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ㅓㅓㅣ" localSheetId="6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ㅓㅓㅣ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ㅓㅣㅏㅣ" localSheetId="8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ㅓㅣㅏㅣ" localSheetId="5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ㅓㅣㅏㅣ" localSheetId="4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ㅓㅣㅏㅣ" localSheetId="7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ㅓㅣㅏㅣ" localSheetId="6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ㅓㅣㅏㅣ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ㅗㅓㅗㅓㅓ" localSheetId="8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ㅗㅓㅗㅓㅓ" localSheetId="5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ㅗㅓㅗㅓㅓ" localSheetId="4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ㅗㅓㅗㅓㅓ" localSheetId="7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ㅗㅓㅗㅓㅓ" localSheetId="6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ㅗㅓㅗㅓㅓ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ㅗㅗㅗ" localSheetId="8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ㅗㅗㅗ" localSheetId="5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ㅗㅗㅗ" localSheetId="4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ㅗㅗㅗ" localSheetId="7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ㅗㅗㅗ" localSheetId="6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ㅗㅗㅗ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</definedNames>
  <calcPr calcId="191029"/>
</workbook>
</file>

<file path=xl/calcChain.xml><?xml version="1.0" encoding="utf-8"?>
<calcChain xmlns="http://schemas.openxmlformats.org/spreadsheetml/2006/main">
  <c r="U43" i="2" l="1"/>
  <c r="F10" i="34" l="1"/>
  <c r="E36" i="1" l="1"/>
  <c r="E34" i="1"/>
  <c r="E33" i="1"/>
  <c r="E32" i="1"/>
  <c r="V24" i="1" l="1"/>
  <c r="V23" i="1"/>
  <c r="T24" i="1" l="1"/>
  <c r="T23" i="1"/>
  <c r="S24" i="1"/>
  <c r="S23" i="1"/>
  <c r="V37" i="1" l="1"/>
  <c r="M36" i="1" l="1"/>
  <c r="M34" i="1"/>
  <c r="M33" i="1"/>
  <c r="M32" i="1"/>
  <c r="M22" i="1"/>
  <c r="M21" i="1"/>
  <c r="M14" i="1"/>
  <c r="M13" i="1"/>
  <c r="M10" i="1"/>
  <c r="M9" i="1"/>
  <c r="M8" i="1"/>
  <c r="M7" i="1"/>
  <c r="H22" i="1"/>
  <c r="H21" i="1"/>
  <c r="H23" i="1" s="1"/>
  <c r="H36" i="1"/>
  <c r="H34" i="1"/>
  <c r="M17" i="1" l="1"/>
  <c r="M25" i="1" s="1"/>
  <c r="M18" i="1"/>
  <c r="M27" i="1" s="1"/>
  <c r="M35" i="1"/>
  <c r="M37" i="1"/>
  <c r="M26" i="1"/>
  <c r="M23" i="1"/>
  <c r="M24" i="1" s="1"/>
  <c r="M11" i="1"/>
  <c r="M15" i="1"/>
  <c r="M16" i="1" s="1"/>
  <c r="M19" i="1" l="1"/>
  <c r="M12" i="1"/>
  <c r="M28" i="1" l="1"/>
  <c r="M29" i="1" s="1"/>
  <c r="M30" i="1" s="1"/>
  <c r="M20" i="1"/>
  <c r="J36" i="1" l="1"/>
  <c r="J34" i="1"/>
  <c r="J33" i="1"/>
  <c r="J32" i="1"/>
  <c r="J23" i="1"/>
  <c r="J22" i="1"/>
  <c r="J21" i="1"/>
  <c r="J15" i="1"/>
  <c r="J14" i="1"/>
  <c r="J13" i="1"/>
  <c r="J10" i="1"/>
  <c r="J18" i="1" s="1"/>
  <c r="J9" i="1"/>
  <c r="J8" i="1"/>
  <c r="J7" i="1"/>
  <c r="E23" i="1"/>
  <c r="E21" i="1"/>
  <c r="E15" i="1"/>
  <c r="T43" i="2"/>
  <c r="J24" i="1" l="1"/>
  <c r="E35" i="1"/>
  <c r="E37" i="1"/>
  <c r="J27" i="1"/>
  <c r="J16" i="1"/>
  <c r="J35" i="1"/>
  <c r="J37" i="1"/>
  <c r="J11" i="1"/>
  <c r="J19" i="1" s="1"/>
  <c r="J28" i="1" s="1"/>
  <c r="J17" i="1"/>
  <c r="J12" i="1" l="1"/>
  <c r="J25" i="1"/>
  <c r="J20" i="1"/>
  <c r="J29" i="1" l="1"/>
  <c r="J26" i="1"/>
  <c r="J30" i="1" l="1"/>
  <c r="N15" i="34" l="1"/>
  <c r="N12" i="34"/>
  <c r="N10" i="34"/>
  <c r="I15" i="34"/>
  <c r="I12" i="34"/>
  <c r="I10" i="34"/>
  <c r="I29" i="34" l="1"/>
  <c r="N29" i="34" l="1"/>
  <c r="N24" i="34" l="1"/>
  <c r="N25" i="34" l="1"/>
  <c r="I24" i="34" l="1"/>
  <c r="I25" i="34"/>
  <c r="I16" i="34" l="1"/>
  <c r="I13" i="34"/>
  <c r="N16" i="34" l="1"/>
  <c r="N13" i="34"/>
  <c r="L33" i="34" l="1"/>
  <c r="L29" i="34"/>
  <c r="L25" i="34"/>
  <c r="L24" i="34"/>
  <c r="L16" i="34"/>
  <c r="L15" i="34"/>
  <c r="L13" i="34"/>
  <c r="L12" i="34"/>
  <c r="L10" i="34"/>
  <c r="G33" i="34"/>
  <c r="G29" i="34"/>
  <c r="G25" i="34"/>
  <c r="G24" i="34"/>
  <c r="G16" i="34"/>
  <c r="G15" i="34"/>
  <c r="G13" i="34"/>
  <c r="G12" i="34"/>
  <c r="G10" i="34"/>
  <c r="K33" i="34" l="1"/>
  <c r="K29" i="34"/>
  <c r="M29" i="34" s="1"/>
  <c r="K25" i="34"/>
  <c r="K24" i="34"/>
  <c r="K16" i="34"/>
  <c r="K15" i="34"/>
  <c r="K13" i="34"/>
  <c r="K12" i="34"/>
  <c r="K11" i="34"/>
  <c r="K10" i="34"/>
  <c r="K30" i="34"/>
  <c r="N30" i="34"/>
  <c r="L30" i="34"/>
  <c r="I30" i="34"/>
  <c r="G30" i="34"/>
  <c r="F29" i="34"/>
  <c r="F30" i="34" s="1"/>
  <c r="F33" i="34"/>
  <c r="H33" i="34" s="1"/>
  <c r="O33" i="34"/>
  <c r="O29" i="34"/>
  <c r="M33" i="34"/>
  <c r="J33" i="34"/>
  <c r="J29" i="34"/>
  <c r="F25" i="34"/>
  <c r="F24" i="34"/>
  <c r="F16" i="34"/>
  <c r="F15" i="34"/>
  <c r="F13" i="34"/>
  <c r="F12" i="34"/>
  <c r="F11" i="34"/>
  <c r="K20" i="34" l="1"/>
  <c r="K21" i="34" s="1"/>
  <c r="K14" i="34"/>
  <c r="K26" i="34"/>
  <c r="K18" i="34"/>
  <c r="K19" i="34" s="1"/>
  <c r="J30" i="34"/>
  <c r="M30" i="34"/>
  <c r="O30" i="34"/>
  <c r="H30" i="34"/>
  <c r="K22" i="34"/>
  <c r="K23" i="34" s="1"/>
  <c r="K17" i="34"/>
  <c r="H29" i="34"/>
  <c r="K27" i="34" l="1"/>
  <c r="K28" i="34" s="1"/>
  <c r="K31" i="34" l="1"/>
  <c r="K32" i="34" s="1"/>
  <c r="K34" i="34" l="1"/>
  <c r="K35" i="34" s="1"/>
  <c r="W48" i="2" l="1"/>
  <c r="T48" i="2"/>
  <c r="R48" i="2"/>
  <c r="O48" i="2"/>
  <c r="M48" i="2"/>
  <c r="J48" i="2"/>
  <c r="W39" i="2"/>
  <c r="T39" i="2"/>
  <c r="R39" i="2"/>
  <c r="O39" i="2"/>
  <c r="W37" i="2"/>
  <c r="T37" i="2"/>
  <c r="R37" i="2"/>
  <c r="W36" i="2"/>
  <c r="W35" i="2"/>
  <c r="W34" i="2"/>
  <c r="T34" i="2"/>
  <c r="W33" i="2"/>
  <c r="T33" i="2"/>
  <c r="R33" i="2"/>
  <c r="O33" i="2"/>
  <c r="W32" i="2"/>
  <c r="T32" i="2"/>
  <c r="R32" i="2"/>
  <c r="O32" i="2"/>
  <c r="W30" i="2"/>
  <c r="T30" i="2"/>
  <c r="R30" i="2"/>
  <c r="O30" i="2"/>
  <c r="M30" i="2"/>
  <c r="J30" i="2"/>
  <c r="W29" i="2"/>
  <c r="T29" i="2"/>
  <c r="R29" i="2"/>
  <c r="O29" i="2"/>
  <c r="M29" i="2"/>
  <c r="J29" i="2"/>
  <c r="W28" i="2"/>
  <c r="T28" i="2"/>
  <c r="R28" i="2"/>
  <c r="O28" i="2"/>
  <c r="M28" i="2"/>
  <c r="J28" i="2"/>
  <c r="W43" i="2"/>
  <c r="R43" i="2"/>
  <c r="O43" i="2"/>
  <c r="M43" i="2"/>
  <c r="J43" i="2"/>
  <c r="W23" i="2"/>
  <c r="T23" i="2"/>
  <c r="R23" i="2"/>
  <c r="O23" i="2"/>
  <c r="M23" i="2"/>
  <c r="J23" i="2"/>
  <c r="W22" i="2"/>
  <c r="T22" i="2"/>
  <c r="R22" i="2"/>
  <c r="O22" i="2"/>
  <c r="M22" i="2"/>
  <c r="J22" i="2"/>
  <c r="W21" i="2"/>
  <c r="T21" i="2"/>
  <c r="R21" i="2"/>
  <c r="O21" i="2"/>
  <c r="M21" i="2"/>
  <c r="J21" i="2"/>
  <c r="W20" i="2"/>
  <c r="T20" i="2"/>
  <c r="R20" i="2"/>
  <c r="O20" i="2"/>
  <c r="M20" i="2"/>
  <c r="J20" i="2"/>
  <c r="W19" i="2"/>
  <c r="T19" i="2"/>
  <c r="R19" i="2"/>
  <c r="O19" i="2"/>
  <c r="M19" i="2"/>
  <c r="J19" i="2"/>
  <c r="W18" i="2"/>
  <c r="T18" i="2"/>
  <c r="R18" i="2"/>
  <c r="O18" i="2"/>
  <c r="M18" i="2"/>
  <c r="J18" i="2"/>
  <c r="W17" i="2"/>
  <c r="T17" i="2"/>
  <c r="R17" i="2"/>
  <c r="O17" i="2"/>
  <c r="M17" i="2"/>
  <c r="J17" i="2"/>
  <c r="W16" i="2"/>
  <c r="T16" i="2"/>
  <c r="R16" i="2"/>
  <c r="O16" i="2"/>
  <c r="M16" i="2"/>
  <c r="J16" i="2"/>
  <c r="W15" i="2"/>
  <c r="T15" i="2"/>
  <c r="R15" i="2"/>
  <c r="O15" i="2"/>
  <c r="M15" i="2"/>
  <c r="J15" i="2"/>
  <c r="W14" i="2"/>
  <c r="T14" i="2"/>
  <c r="R14" i="2"/>
  <c r="O14" i="2"/>
  <c r="M14" i="2"/>
  <c r="J14" i="2"/>
  <c r="W13" i="2"/>
  <c r="T13" i="2"/>
  <c r="R13" i="2"/>
  <c r="O13" i="2"/>
  <c r="M13" i="2"/>
  <c r="J13" i="2"/>
  <c r="W12" i="2"/>
  <c r="T12" i="2"/>
  <c r="R12" i="2"/>
  <c r="O12" i="2"/>
  <c r="M12" i="2"/>
  <c r="J12" i="2"/>
  <c r="W11" i="2"/>
  <c r="T11" i="2"/>
  <c r="R11" i="2"/>
  <c r="O11" i="2"/>
  <c r="M11" i="2"/>
  <c r="J11" i="2"/>
  <c r="W10" i="2"/>
  <c r="T10" i="2"/>
  <c r="R10" i="2"/>
  <c r="O10" i="2"/>
  <c r="M10" i="2"/>
  <c r="J10" i="2"/>
  <c r="W9" i="2"/>
  <c r="T9" i="2"/>
  <c r="R9" i="2"/>
  <c r="O9" i="2"/>
  <c r="M9" i="2"/>
  <c r="J9" i="2"/>
  <c r="W8" i="2"/>
  <c r="T8" i="2"/>
  <c r="R8" i="2"/>
  <c r="O8" i="2"/>
  <c r="M8" i="2"/>
  <c r="J8" i="2"/>
  <c r="W7" i="2"/>
  <c r="T7" i="2"/>
  <c r="R7" i="2"/>
  <c r="O7" i="2"/>
  <c r="M7" i="2"/>
  <c r="J7" i="2"/>
  <c r="M39" i="1"/>
  <c r="J39" i="1"/>
  <c r="J40" i="1" s="1"/>
  <c r="H39" i="1"/>
  <c r="E39" i="1"/>
  <c r="E22" i="1"/>
  <c r="T37" i="1"/>
  <c r="S37" i="1"/>
  <c r="V36" i="1"/>
  <c r="T36" i="1"/>
  <c r="S36" i="1"/>
  <c r="H14" i="1"/>
  <c r="E14" i="1"/>
  <c r="H13" i="1"/>
  <c r="E13" i="1"/>
  <c r="H10" i="1"/>
  <c r="E10" i="1"/>
  <c r="H33" i="1"/>
  <c r="H9" i="1"/>
  <c r="E9" i="1"/>
  <c r="H8" i="1"/>
  <c r="E8" i="1"/>
  <c r="H32" i="1"/>
  <c r="H7" i="1"/>
  <c r="E7" i="1"/>
  <c r="U28" i="28"/>
  <c r="T28" i="28"/>
  <c r="R28" i="28"/>
  <c r="Q28" i="28"/>
  <c r="O28" i="28"/>
  <c r="N28" i="28"/>
  <c r="L28" i="28"/>
  <c r="K28" i="28"/>
  <c r="I28" i="28"/>
  <c r="H28" i="28"/>
  <c r="F28" i="28"/>
  <c r="E28" i="28"/>
  <c r="U28" i="27"/>
  <c r="T28" i="27"/>
  <c r="R28" i="27"/>
  <c r="Q28" i="27"/>
  <c r="O28" i="27"/>
  <c r="N28" i="27"/>
  <c r="L28" i="27"/>
  <c r="K28" i="27"/>
  <c r="I28" i="27"/>
  <c r="H28" i="27"/>
  <c r="F28" i="27"/>
  <c r="E28" i="27"/>
  <c r="O28" i="26"/>
  <c r="N28" i="26"/>
  <c r="L28" i="26"/>
  <c r="K28" i="26"/>
  <c r="I28" i="26"/>
  <c r="H28" i="26"/>
  <c r="F28" i="26"/>
  <c r="E28" i="26"/>
  <c r="W28" i="25"/>
  <c r="U28" i="25"/>
  <c r="T28" i="25"/>
  <c r="S28" i="25"/>
  <c r="Q28" i="25"/>
  <c r="P28" i="25"/>
  <c r="O28" i="25"/>
  <c r="M28" i="25"/>
  <c r="L28" i="25"/>
  <c r="K28" i="25"/>
  <c r="I28" i="25"/>
  <c r="H28" i="25"/>
  <c r="F28" i="25"/>
  <c r="E28" i="25"/>
  <c r="AC23" i="2"/>
  <c r="AB23" i="2"/>
  <c r="Z23" i="2"/>
  <c r="Y23" i="2"/>
  <c r="P24" i="37"/>
  <c r="O24" i="37"/>
  <c r="K24" i="37"/>
  <c r="J24" i="37"/>
  <c r="U27" i="28"/>
  <c r="T27" i="28"/>
  <c r="R27" i="28"/>
  <c r="Q27" i="28"/>
  <c r="O27" i="28"/>
  <c r="N27" i="28"/>
  <c r="L27" i="28"/>
  <c r="K27" i="28"/>
  <c r="I27" i="28"/>
  <c r="H27" i="28"/>
  <c r="F27" i="28"/>
  <c r="E27" i="28"/>
  <c r="U27" i="27"/>
  <c r="T27" i="27"/>
  <c r="R27" i="27"/>
  <c r="Q27" i="27"/>
  <c r="O27" i="27"/>
  <c r="N27" i="27"/>
  <c r="L27" i="27"/>
  <c r="K27" i="27"/>
  <c r="I27" i="27"/>
  <c r="H27" i="27"/>
  <c r="F27" i="27"/>
  <c r="E27" i="27"/>
  <c r="O27" i="26"/>
  <c r="N27" i="26"/>
  <c r="L27" i="26"/>
  <c r="K27" i="26"/>
  <c r="I27" i="26"/>
  <c r="H27" i="26"/>
  <c r="F27" i="26"/>
  <c r="E27" i="26"/>
  <c r="W27" i="25"/>
  <c r="U27" i="25"/>
  <c r="T27" i="25"/>
  <c r="S27" i="25"/>
  <c r="Q27" i="25"/>
  <c r="P27" i="25"/>
  <c r="O27" i="25"/>
  <c r="M27" i="25"/>
  <c r="L27" i="25"/>
  <c r="K27" i="25"/>
  <c r="I27" i="25"/>
  <c r="H27" i="25"/>
  <c r="F27" i="25"/>
  <c r="E27" i="25"/>
  <c r="AC22" i="2"/>
  <c r="AB22" i="2"/>
  <c r="Z22" i="2"/>
  <c r="Y22" i="2"/>
  <c r="P23" i="37"/>
  <c r="O23" i="37"/>
  <c r="K23" i="37"/>
  <c r="J23" i="37"/>
  <c r="U26" i="28"/>
  <c r="T26" i="28"/>
  <c r="R26" i="28"/>
  <c r="Q26" i="28"/>
  <c r="O26" i="28"/>
  <c r="N26" i="28"/>
  <c r="L26" i="28"/>
  <c r="K26" i="28"/>
  <c r="I26" i="28"/>
  <c r="H26" i="28"/>
  <c r="F26" i="28"/>
  <c r="E26" i="28"/>
  <c r="U26" i="27"/>
  <c r="T26" i="27"/>
  <c r="R26" i="27"/>
  <c r="Q26" i="27"/>
  <c r="O26" i="27"/>
  <c r="N26" i="27"/>
  <c r="L26" i="27"/>
  <c r="K26" i="27"/>
  <c r="I26" i="27"/>
  <c r="H26" i="27"/>
  <c r="F26" i="27"/>
  <c r="E26" i="27"/>
  <c r="O26" i="26"/>
  <c r="N26" i="26"/>
  <c r="L26" i="26"/>
  <c r="K26" i="26"/>
  <c r="I26" i="26"/>
  <c r="H26" i="26"/>
  <c r="F26" i="26"/>
  <c r="E26" i="26"/>
  <c r="W26" i="25"/>
  <c r="U26" i="25"/>
  <c r="T26" i="25"/>
  <c r="S26" i="25"/>
  <c r="Q26" i="25"/>
  <c r="P26" i="25"/>
  <c r="O26" i="25"/>
  <c r="M26" i="25"/>
  <c r="L26" i="25"/>
  <c r="K26" i="25"/>
  <c r="I26" i="25"/>
  <c r="H26" i="25"/>
  <c r="F26" i="25"/>
  <c r="E26" i="25"/>
  <c r="AC21" i="2"/>
  <c r="AB21" i="2"/>
  <c r="Z21" i="2"/>
  <c r="Y21" i="2"/>
  <c r="P22" i="37"/>
  <c r="O22" i="37"/>
  <c r="K22" i="37"/>
  <c r="J22" i="37"/>
  <c r="U25" i="28"/>
  <c r="T25" i="28"/>
  <c r="R25" i="28"/>
  <c r="Q25" i="28"/>
  <c r="O25" i="28"/>
  <c r="N25" i="28"/>
  <c r="L25" i="28"/>
  <c r="K25" i="28"/>
  <c r="I25" i="28"/>
  <c r="H25" i="28"/>
  <c r="F25" i="28"/>
  <c r="E25" i="28"/>
  <c r="U25" i="27"/>
  <c r="T25" i="27"/>
  <c r="R25" i="27"/>
  <c r="Q25" i="27"/>
  <c r="O25" i="27"/>
  <c r="N25" i="27"/>
  <c r="L25" i="27"/>
  <c r="K25" i="27"/>
  <c r="I25" i="27"/>
  <c r="H25" i="27"/>
  <c r="F25" i="27"/>
  <c r="E25" i="27"/>
  <c r="O25" i="26"/>
  <c r="N25" i="26"/>
  <c r="L25" i="26"/>
  <c r="K25" i="26"/>
  <c r="I25" i="26"/>
  <c r="H25" i="26"/>
  <c r="F25" i="26"/>
  <c r="E25" i="26"/>
  <c r="W25" i="25"/>
  <c r="U25" i="25"/>
  <c r="T25" i="25"/>
  <c r="S25" i="25"/>
  <c r="Q25" i="25"/>
  <c r="P25" i="25"/>
  <c r="O25" i="25"/>
  <c r="M25" i="25"/>
  <c r="L25" i="25"/>
  <c r="K25" i="25"/>
  <c r="I25" i="25"/>
  <c r="H25" i="25"/>
  <c r="F25" i="25"/>
  <c r="E25" i="25"/>
  <c r="AC20" i="2"/>
  <c r="AB20" i="2"/>
  <c r="Z20" i="2"/>
  <c r="Y20" i="2"/>
  <c r="P21" i="37"/>
  <c r="O21" i="37"/>
  <c r="K21" i="37"/>
  <c r="J21" i="37"/>
  <c r="U24" i="28"/>
  <c r="T24" i="28"/>
  <c r="R24" i="28"/>
  <c r="Q24" i="28"/>
  <c r="O24" i="28"/>
  <c r="N24" i="28"/>
  <c r="L24" i="28"/>
  <c r="K24" i="28"/>
  <c r="I24" i="28"/>
  <c r="H24" i="28"/>
  <c r="F24" i="28"/>
  <c r="E24" i="28"/>
  <c r="U24" i="27"/>
  <c r="T24" i="27"/>
  <c r="R24" i="27"/>
  <c r="Q24" i="27"/>
  <c r="O24" i="27"/>
  <c r="N24" i="27"/>
  <c r="L24" i="27"/>
  <c r="K24" i="27"/>
  <c r="I24" i="27"/>
  <c r="H24" i="27"/>
  <c r="F24" i="27"/>
  <c r="E24" i="27"/>
  <c r="O24" i="26"/>
  <c r="N24" i="26"/>
  <c r="L24" i="26"/>
  <c r="K24" i="26"/>
  <c r="I24" i="26"/>
  <c r="H24" i="26"/>
  <c r="F24" i="26"/>
  <c r="E24" i="26"/>
  <c r="W24" i="25"/>
  <c r="U24" i="25"/>
  <c r="T24" i="25"/>
  <c r="S24" i="25"/>
  <c r="Q24" i="25"/>
  <c r="P24" i="25"/>
  <c r="O24" i="25"/>
  <c r="M24" i="25"/>
  <c r="L24" i="25"/>
  <c r="K24" i="25"/>
  <c r="I24" i="25"/>
  <c r="H24" i="25"/>
  <c r="F24" i="25"/>
  <c r="E24" i="25"/>
  <c r="AC19" i="2"/>
  <c r="AB19" i="2"/>
  <c r="Z19" i="2"/>
  <c r="Y19" i="2"/>
  <c r="P20" i="37"/>
  <c r="O20" i="37"/>
  <c r="K20" i="37"/>
  <c r="J20" i="37"/>
  <c r="U23" i="28"/>
  <c r="T23" i="28"/>
  <c r="R23" i="28"/>
  <c r="Q23" i="28"/>
  <c r="O23" i="28"/>
  <c r="N23" i="28"/>
  <c r="L23" i="28"/>
  <c r="K23" i="28"/>
  <c r="I23" i="28"/>
  <c r="H23" i="28"/>
  <c r="F23" i="28"/>
  <c r="E23" i="28"/>
  <c r="U23" i="27"/>
  <c r="T23" i="27"/>
  <c r="R23" i="27"/>
  <c r="Q23" i="27"/>
  <c r="O23" i="27"/>
  <c r="N23" i="27"/>
  <c r="L23" i="27"/>
  <c r="K23" i="27"/>
  <c r="I23" i="27"/>
  <c r="H23" i="27"/>
  <c r="F23" i="27"/>
  <c r="E23" i="27"/>
  <c r="O23" i="26"/>
  <c r="N23" i="26"/>
  <c r="L23" i="26"/>
  <c r="K23" i="26"/>
  <c r="I23" i="26"/>
  <c r="H23" i="26"/>
  <c r="F23" i="26"/>
  <c r="E23" i="26"/>
  <c r="W23" i="25"/>
  <c r="U23" i="25"/>
  <c r="T23" i="25"/>
  <c r="S23" i="25"/>
  <c r="Q23" i="25"/>
  <c r="P23" i="25"/>
  <c r="O23" i="25"/>
  <c r="M23" i="25"/>
  <c r="L23" i="25"/>
  <c r="K23" i="25"/>
  <c r="I23" i="25"/>
  <c r="H23" i="25"/>
  <c r="F23" i="25"/>
  <c r="E23" i="25"/>
  <c r="AC18" i="2"/>
  <c r="AB18" i="2"/>
  <c r="Z18" i="2"/>
  <c r="Y18" i="2"/>
  <c r="P19" i="37"/>
  <c r="O19" i="37"/>
  <c r="K19" i="37"/>
  <c r="J19" i="37"/>
  <c r="U22" i="28"/>
  <c r="T22" i="28"/>
  <c r="R22" i="28"/>
  <c r="Q22" i="28"/>
  <c r="O22" i="28"/>
  <c r="N22" i="28"/>
  <c r="L22" i="28"/>
  <c r="K22" i="28"/>
  <c r="I22" i="28"/>
  <c r="H22" i="28"/>
  <c r="F22" i="28"/>
  <c r="E22" i="28"/>
  <c r="U22" i="27"/>
  <c r="T22" i="27"/>
  <c r="R22" i="27"/>
  <c r="Q22" i="27"/>
  <c r="O22" i="27"/>
  <c r="N22" i="27"/>
  <c r="L22" i="27"/>
  <c r="K22" i="27"/>
  <c r="I22" i="27"/>
  <c r="H22" i="27"/>
  <c r="F22" i="27"/>
  <c r="E22" i="27"/>
  <c r="O22" i="26"/>
  <c r="N22" i="26"/>
  <c r="L22" i="26"/>
  <c r="K22" i="26"/>
  <c r="I22" i="26"/>
  <c r="H22" i="26"/>
  <c r="F22" i="26"/>
  <c r="E22" i="26"/>
  <c r="W22" i="25"/>
  <c r="U22" i="25"/>
  <c r="T22" i="25"/>
  <c r="S22" i="25"/>
  <c r="Q22" i="25"/>
  <c r="P22" i="25"/>
  <c r="O22" i="25"/>
  <c r="M22" i="25"/>
  <c r="L22" i="25"/>
  <c r="K22" i="25"/>
  <c r="I22" i="25"/>
  <c r="H22" i="25"/>
  <c r="F22" i="25"/>
  <c r="E22" i="25"/>
  <c r="AC17" i="2"/>
  <c r="AB17" i="2"/>
  <c r="Z17" i="2"/>
  <c r="Y17" i="2"/>
  <c r="P18" i="37"/>
  <c r="O18" i="37"/>
  <c r="K18" i="37"/>
  <c r="J18" i="37"/>
  <c r="U21" i="28"/>
  <c r="T21" i="28"/>
  <c r="R21" i="28"/>
  <c r="Q21" i="28"/>
  <c r="O21" i="28"/>
  <c r="N21" i="28"/>
  <c r="L21" i="28"/>
  <c r="K21" i="28"/>
  <c r="I21" i="28"/>
  <c r="H21" i="28"/>
  <c r="F21" i="28"/>
  <c r="E21" i="28"/>
  <c r="U21" i="27"/>
  <c r="T21" i="27"/>
  <c r="R21" i="27"/>
  <c r="Q21" i="27"/>
  <c r="O21" i="27"/>
  <c r="N21" i="27"/>
  <c r="L21" i="27"/>
  <c r="K21" i="27"/>
  <c r="I21" i="27"/>
  <c r="H21" i="27"/>
  <c r="F21" i="27"/>
  <c r="E21" i="27"/>
  <c r="O21" i="26"/>
  <c r="N21" i="26"/>
  <c r="L21" i="26"/>
  <c r="K21" i="26"/>
  <c r="I21" i="26"/>
  <c r="H21" i="26"/>
  <c r="F21" i="26"/>
  <c r="E21" i="26"/>
  <c r="W21" i="25"/>
  <c r="U21" i="25"/>
  <c r="T21" i="25"/>
  <c r="S21" i="25"/>
  <c r="Q21" i="25"/>
  <c r="P21" i="25"/>
  <c r="O21" i="25"/>
  <c r="M21" i="25"/>
  <c r="L21" i="25"/>
  <c r="K21" i="25"/>
  <c r="I21" i="25"/>
  <c r="H21" i="25"/>
  <c r="F21" i="25"/>
  <c r="E21" i="25"/>
  <c r="AC16" i="2"/>
  <c r="AB16" i="2"/>
  <c r="Z16" i="2"/>
  <c r="Y16" i="2"/>
  <c r="P17" i="37"/>
  <c r="O17" i="37"/>
  <c r="K17" i="37"/>
  <c r="J17" i="37"/>
  <c r="U20" i="28"/>
  <c r="T20" i="28"/>
  <c r="R20" i="28"/>
  <c r="Q20" i="28"/>
  <c r="O20" i="28"/>
  <c r="N20" i="28"/>
  <c r="L20" i="28"/>
  <c r="K20" i="28"/>
  <c r="I20" i="28"/>
  <c r="H20" i="28"/>
  <c r="F20" i="28"/>
  <c r="E20" i="28"/>
  <c r="U20" i="27"/>
  <c r="T20" i="27"/>
  <c r="R20" i="27"/>
  <c r="Q20" i="27"/>
  <c r="O20" i="27"/>
  <c r="N20" i="27"/>
  <c r="L20" i="27"/>
  <c r="K20" i="27"/>
  <c r="I20" i="27"/>
  <c r="H20" i="27"/>
  <c r="F20" i="27"/>
  <c r="E20" i="27"/>
  <c r="O20" i="26"/>
  <c r="N20" i="26"/>
  <c r="L20" i="26"/>
  <c r="K20" i="26"/>
  <c r="I20" i="26"/>
  <c r="H20" i="26"/>
  <c r="F20" i="26"/>
  <c r="E20" i="26"/>
  <c r="W20" i="25"/>
  <c r="U20" i="25"/>
  <c r="T20" i="25"/>
  <c r="S20" i="25"/>
  <c r="Q20" i="25"/>
  <c r="P20" i="25"/>
  <c r="O20" i="25"/>
  <c r="M20" i="25"/>
  <c r="L20" i="25"/>
  <c r="K20" i="25"/>
  <c r="I20" i="25"/>
  <c r="H20" i="25"/>
  <c r="F20" i="25"/>
  <c r="E20" i="25"/>
  <c r="AC15" i="2"/>
  <c r="AB15" i="2"/>
  <c r="Z15" i="2"/>
  <c r="Y15" i="2"/>
  <c r="P16" i="37"/>
  <c r="O16" i="37"/>
  <c r="K16" i="37"/>
  <c r="J16" i="37"/>
  <c r="U19" i="28"/>
  <c r="T19" i="28"/>
  <c r="R19" i="28"/>
  <c r="Q19" i="28"/>
  <c r="O19" i="28"/>
  <c r="N19" i="28"/>
  <c r="L19" i="28"/>
  <c r="K19" i="28"/>
  <c r="I19" i="28"/>
  <c r="H19" i="28"/>
  <c r="F19" i="28"/>
  <c r="E19" i="28"/>
  <c r="U19" i="27"/>
  <c r="T19" i="27"/>
  <c r="R19" i="27"/>
  <c r="Q19" i="27"/>
  <c r="O19" i="27"/>
  <c r="N19" i="27"/>
  <c r="L19" i="27"/>
  <c r="K19" i="27"/>
  <c r="I19" i="27"/>
  <c r="H19" i="27"/>
  <c r="F19" i="27"/>
  <c r="E19" i="27"/>
  <c r="O19" i="26"/>
  <c r="N19" i="26"/>
  <c r="L19" i="26"/>
  <c r="K19" i="26"/>
  <c r="I19" i="26"/>
  <c r="H19" i="26"/>
  <c r="F19" i="26"/>
  <c r="E19" i="26"/>
  <c r="W19" i="25"/>
  <c r="U19" i="25"/>
  <c r="T19" i="25"/>
  <c r="S19" i="25"/>
  <c r="Q19" i="25"/>
  <c r="P19" i="25"/>
  <c r="O19" i="25"/>
  <c r="M19" i="25"/>
  <c r="L19" i="25"/>
  <c r="K19" i="25"/>
  <c r="I19" i="25"/>
  <c r="H19" i="25"/>
  <c r="F19" i="25"/>
  <c r="E19" i="25"/>
  <c r="AC14" i="2"/>
  <c r="AB14" i="2"/>
  <c r="Z14" i="2"/>
  <c r="Y14" i="2"/>
  <c r="P15" i="37"/>
  <c r="O15" i="37"/>
  <c r="K15" i="37"/>
  <c r="J15" i="37"/>
  <c r="U18" i="28"/>
  <c r="T18" i="28"/>
  <c r="R18" i="28"/>
  <c r="Q18" i="28"/>
  <c r="O18" i="28"/>
  <c r="N18" i="28"/>
  <c r="L18" i="28"/>
  <c r="K18" i="28"/>
  <c r="I18" i="28"/>
  <c r="H18" i="28"/>
  <c r="F18" i="28"/>
  <c r="E18" i="28"/>
  <c r="U18" i="27"/>
  <c r="T18" i="27"/>
  <c r="R18" i="27"/>
  <c r="Q18" i="27"/>
  <c r="O18" i="27"/>
  <c r="N18" i="27"/>
  <c r="L18" i="27"/>
  <c r="K18" i="27"/>
  <c r="I18" i="27"/>
  <c r="H18" i="27"/>
  <c r="F18" i="27"/>
  <c r="E18" i="27"/>
  <c r="O18" i="26"/>
  <c r="N18" i="26"/>
  <c r="L18" i="26"/>
  <c r="K18" i="26"/>
  <c r="I18" i="26"/>
  <c r="H18" i="26"/>
  <c r="F18" i="26"/>
  <c r="E18" i="26"/>
  <c r="W18" i="25"/>
  <c r="U18" i="25"/>
  <c r="T18" i="25"/>
  <c r="S18" i="25"/>
  <c r="Q18" i="25"/>
  <c r="P18" i="25"/>
  <c r="O18" i="25"/>
  <c r="M18" i="25"/>
  <c r="L18" i="25"/>
  <c r="K18" i="25"/>
  <c r="I18" i="25"/>
  <c r="H18" i="25"/>
  <c r="F18" i="25"/>
  <c r="E18" i="25"/>
  <c r="AC13" i="2"/>
  <c r="AB13" i="2"/>
  <c r="Z13" i="2"/>
  <c r="Y13" i="2"/>
  <c r="P14" i="37"/>
  <c r="O14" i="37"/>
  <c r="K14" i="37"/>
  <c r="J14" i="37"/>
  <c r="U17" i="28"/>
  <c r="T17" i="28"/>
  <c r="R17" i="28"/>
  <c r="Q17" i="28"/>
  <c r="O17" i="28"/>
  <c r="N17" i="28"/>
  <c r="L17" i="28"/>
  <c r="K17" i="28"/>
  <c r="I17" i="28"/>
  <c r="H17" i="28"/>
  <c r="F17" i="28"/>
  <c r="E17" i="28"/>
  <c r="U17" i="27"/>
  <c r="T17" i="27"/>
  <c r="R17" i="27"/>
  <c r="Q17" i="27"/>
  <c r="O17" i="27"/>
  <c r="N17" i="27"/>
  <c r="L17" i="27"/>
  <c r="K17" i="27"/>
  <c r="I17" i="27"/>
  <c r="H17" i="27"/>
  <c r="F17" i="27"/>
  <c r="E17" i="27"/>
  <c r="O17" i="26"/>
  <c r="N17" i="26"/>
  <c r="L17" i="26"/>
  <c r="K17" i="26"/>
  <c r="I17" i="26"/>
  <c r="H17" i="26"/>
  <c r="F17" i="26"/>
  <c r="E17" i="26"/>
  <c r="W17" i="25"/>
  <c r="U17" i="25"/>
  <c r="T17" i="25"/>
  <c r="S17" i="25"/>
  <c r="Q17" i="25"/>
  <c r="P17" i="25"/>
  <c r="O17" i="25"/>
  <c r="M17" i="25"/>
  <c r="L17" i="25"/>
  <c r="K17" i="25"/>
  <c r="I17" i="25"/>
  <c r="H17" i="25"/>
  <c r="F17" i="25"/>
  <c r="E17" i="25"/>
  <c r="AC12" i="2"/>
  <c r="AB12" i="2"/>
  <c r="Z12" i="2"/>
  <c r="Y12" i="2"/>
  <c r="P13" i="37"/>
  <c r="O13" i="37"/>
  <c r="K13" i="37"/>
  <c r="J13" i="37"/>
  <c r="U16" i="28"/>
  <c r="T16" i="28"/>
  <c r="R16" i="28"/>
  <c r="Q16" i="28"/>
  <c r="O16" i="28"/>
  <c r="N16" i="28"/>
  <c r="L16" i="28"/>
  <c r="K16" i="28"/>
  <c r="I16" i="28"/>
  <c r="H16" i="28"/>
  <c r="F16" i="28"/>
  <c r="E16" i="28"/>
  <c r="U16" i="27"/>
  <c r="T16" i="27"/>
  <c r="R16" i="27"/>
  <c r="Q16" i="27"/>
  <c r="O16" i="27"/>
  <c r="N16" i="27"/>
  <c r="L16" i="27"/>
  <c r="K16" i="27"/>
  <c r="I16" i="27"/>
  <c r="H16" i="27"/>
  <c r="F16" i="27"/>
  <c r="E16" i="27"/>
  <c r="O16" i="26"/>
  <c r="N16" i="26"/>
  <c r="L16" i="26"/>
  <c r="K16" i="26"/>
  <c r="I16" i="26"/>
  <c r="H16" i="26"/>
  <c r="F16" i="26"/>
  <c r="E16" i="26"/>
  <c r="W16" i="25"/>
  <c r="U16" i="25"/>
  <c r="T16" i="25"/>
  <c r="S16" i="25"/>
  <c r="Q16" i="25"/>
  <c r="P16" i="25"/>
  <c r="O16" i="25"/>
  <c r="M16" i="25"/>
  <c r="L16" i="25"/>
  <c r="K16" i="25"/>
  <c r="I16" i="25"/>
  <c r="H16" i="25"/>
  <c r="F16" i="25"/>
  <c r="E16" i="25"/>
  <c r="AC11" i="2"/>
  <c r="AB11" i="2"/>
  <c r="Z11" i="2"/>
  <c r="Y11" i="2"/>
  <c r="P12" i="37"/>
  <c r="O12" i="37"/>
  <c r="K12" i="37"/>
  <c r="J12" i="37"/>
  <c r="U15" i="28"/>
  <c r="T15" i="28"/>
  <c r="R15" i="28"/>
  <c r="Q15" i="28"/>
  <c r="O15" i="28"/>
  <c r="N15" i="28"/>
  <c r="L15" i="28"/>
  <c r="K15" i="28"/>
  <c r="I15" i="28"/>
  <c r="H15" i="28"/>
  <c r="F15" i="28"/>
  <c r="E15" i="28"/>
  <c r="U15" i="27"/>
  <c r="T15" i="27"/>
  <c r="R15" i="27"/>
  <c r="Q15" i="27"/>
  <c r="O15" i="27"/>
  <c r="N15" i="27"/>
  <c r="L15" i="27"/>
  <c r="K15" i="27"/>
  <c r="I15" i="27"/>
  <c r="H15" i="27"/>
  <c r="F15" i="27"/>
  <c r="E15" i="27"/>
  <c r="O15" i="26"/>
  <c r="N15" i="26"/>
  <c r="L15" i="26"/>
  <c r="K15" i="26"/>
  <c r="I15" i="26"/>
  <c r="H15" i="26"/>
  <c r="F15" i="26"/>
  <c r="E15" i="26"/>
  <c r="W15" i="25"/>
  <c r="U15" i="25"/>
  <c r="T15" i="25"/>
  <c r="S15" i="25"/>
  <c r="Q15" i="25"/>
  <c r="P15" i="25"/>
  <c r="O15" i="25"/>
  <c r="M15" i="25"/>
  <c r="L15" i="25"/>
  <c r="K15" i="25"/>
  <c r="I15" i="25"/>
  <c r="H15" i="25"/>
  <c r="F15" i="25"/>
  <c r="E15" i="25"/>
  <c r="AC10" i="2"/>
  <c r="AB10" i="2"/>
  <c r="Z10" i="2"/>
  <c r="Y10" i="2"/>
  <c r="P11" i="37"/>
  <c r="O11" i="37"/>
  <c r="K11" i="37"/>
  <c r="J11" i="37"/>
  <c r="U14" i="28"/>
  <c r="T14" i="28"/>
  <c r="R14" i="28"/>
  <c r="Q14" i="28"/>
  <c r="O14" i="28"/>
  <c r="N14" i="28"/>
  <c r="L14" i="28"/>
  <c r="K14" i="28"/>
  <c r="I14" i="28"/>
  <c r="H14" i="28"/>
  <c r="F14" i="28"/>
  <c r="E14" i="28"/>
  <c r="U14" i="27"/>
  <c r="T14" i="27"/>
  <c r="R14" i="27"/>
  <c r="Q14" i="27"/>
  <c r="O14" i="27"/>
  <c r="N14" i="27"/>
  <c r="L14" i="27"/>
  <c r="K14" i="27"/>
  <c r="I14" i="27"/>
  <c r="H14" i="27"/>
  <c r="F14" i="27"/>
  <c r="E14" i="27"/>
  <c r="O14" i="26"/>
  <c r="N14" i="26"/>
  <c r="L14" i="26"/>
  <c r="K14" i="26"/>
  <c r="I14" i="26"/>
  <c r="H14" i="26"/>
  <c r="F14" i="26"/>
  <c r="E14" i="26"/>
  <c r="W14" i="25"/>
  <c r="U14" i="25"/>
  <c r="T14" i="25"/>
  <c r="S14" i="25"/>
  <c r="Q14" i="25"/>
  <c r="P14" i="25"/>
  <c r="O14" i="25"/>
  <c r="M14" i="25"/>
  <c r="L14" i="25"/>
  <c r="K14" i="25"/>
  <c r="I14" i="25"/>
  <c r="H14" i="25"/>
  <c r="F14" i="25"/>
  <c r="E14" i="25"/>
  <c r="AC9" i="2"/>
  <c r="AB9" i="2"/>
  <c r="Z9" i="2"/>
  <c r="Y9" i="2"/>
  <c r="P10" i="37"/>
  <c r="O10" i="37"/>
  <c r="K10" i="37"/>
  <c r="J10" i="37"/>
  <c r="U13" i="28"/>
  <c r="T13" i="28"/>
  <c r="R13" i="28"/>
  <c r="Q13" i="28"/>
  <c r="O13" i="28"/>
  <c r="N13" i="28"/>
  <c r="L13" i="28"/>
  <c r="K13" i="28"/>
  <c r="I13" i="28"/>
  <c r="H13" i="28"/>
  <c r="F13" i="28"/>
  <c r="E13" i="28"/>
  <c r="U13" i="27"/>
  <c r="T13" i="27"/>
  <c r="R13" i="27"/>
  <c r="Q13" i="27"/>
  <c r="O13" i="27"/>
  <c r="N13" i="27"/>
  <c r="L13" i="27"/>
  <c r="K13" i="27"/>
  <c r="I13" i="27"/>
  <c r="H13" i="27"/>
  <c r="F13" i="27"/>
  <c r="E13" i="27"/>
  <c r="O13" i="26"/>
  <c r="N13" i="26"/>
  <c r="L13" i="26"/>
  <c r="K13" i="26"/>
  <c r="I13" i="26"/>
  <c r="H13" i="26"/>
  <c r="F13" i="26"/>
  <c r="E13" i="26"/>
  <c r="W13" i="25"/>
  <c r="U13" i="25"/>
  <c r="T13" i="25"/>
  <c r="S13" i="25"/>
  <c r="Q13" i="25"/>
  <c r="P13" i="25"/>
  <c r="O13" i="25"/>
  <c r="M13" i="25"/>
  <c r="L13" i="25"/>
  <c r="K13" i="25"/>
  <c r="I13" i="25"/>
  <c r="H13" i="25"/>
  <c r="F13" i="25"/>
  <c r="E13" i="25"/>
  <c r="AC8" i="2"/>
  <c r="AB8" i="2"/>
  <c r="Z8" i="2"/>
  <c r="Y8" i="2"/>
  <c r="P9" i="37"/>
  <c r="O9" i="37"/>
  <c r="K9" i="37"/>
  <c r="J9" i="37"/>
  <c r="U12" i="28"/>
  <c r="T12" i="28"/>
  <c r="R12" i="28"/>
  <c r="Q12" i="28"/>
  <c r="O12" i="28"/>
  <c r="N12" i="28"/>
  <c r="L12" i="28"/>
  <c r="K12" i="28"/>
  <c r="I12" i="28"/>
  <c r="H12" i="28"/>
  <c r="F12" i="28"/>
  <c r="E12" i="28"/>
  <c r="U12" i="27"/>
  <c r="T12" i="27"/>
  <c r="R12" i="27"/>
  <c r="Q12" i="27"/>
  <c r="O12" i="27"/>
  <c r="N12" i="27"/>
  <c r="L12" i="27"/>
  <c r="K12" i="27"/>
  <c r="I12" i="27"/>
  <c r="H12" i="27"/>
  <c r="F12" i="27"/>
  <c r="E12" i="27"/>
  <c r="O12" i="26"/>
  <c r="N12" i="26"/>
  <c r="L12" i="26"/>
  <c r="K12" i="26"/>
  <c r="I12" i="26"/>
  <c r="H12" i="26"/>
  <c r="F12" i="26"/>
  <c r="E12" i="26"/>
  <c r="W12" i="25"/>
  <c r="U12" i="25"/>
  <c r="T12" i="25"/>
  <c r="S12" i="25"/>
  <c r="Q12" i="25"/>
  <c r="P12" i="25"/>
  <c r="O12" i="25"/>
  <c r="M12" i="25"/>
  <c r="L12" i="25"/>
  <c r="K12" i="25"/>
  <c r="I12" i="25"/>
  <c r="H12" i="25"/>
  <c r="F12" i="25"/>
  <c r="E12" i="25"/>
  <c r="AC7" i="2"/>
  <c r="AB7" i="2"/>
  <c r="Z7" i="2"/>
  <c r="Y7" i="2"/>
  <c r="P8" i="37"/>
  <c r="O8" i="37"/>
  <c r="K8" i="37"/>
  <c r="J8" i="37"/>
  <c r="U8" i="28"/>
  <c r="T8" i="28"/>
  <c r="R8" i="28"/>
  <c r="Q8" i="28"/>
  <c r="O8" i="28"/>
  <c r="N8" i="28"/>
  <c r="L8" i="28"/>
  <c r="K8" i="28"/>
  <c r="I8" i="28"/>
  <c r="H8" i="28"/>
  <c r="F8" i="28"/>
  <c r="E8" i="28"/>
  <c r="U8" i="27"/>
  <c r="T8" i="27"/>
  <c r="R8" i="27"/>
  <c r="Q8" i="27"/>
  <c r="O8" i="27"/>
  <c r="N8" i="27"/>
  <c r="L8" i="27"/>
  <c r="K8" i="27"/>
  <c r="I8" i="27"/>
  <c r="H8" i="27"/>
  <c r="F8" i="27"/>
  <c r="E8" i="27"/>
  <c r="O8" i="26"/>
  <c r="N8" i="26"/>
  <c r="L8" i="26"/>
  <c r="K8" i="26"/>
  <c r="I8" i="26"/>
  <c r="H8" i="26"/>
  <c r="F8" i="26"/>
  <c r="E8" i="26"/>
  <c r="W8" i="25"/>
  <c r="U8" i="25"/>
  <c r="T8" i="25"/>
  <c r="S8" i="25"/>
  <c r="Q8" i="25"/>
  <c r="P8" i="25"/>
  <c r="O8" i="25"/>
  <c r="M8" i="25"/>
  <c r="L8" i="25"/>
  <c r="K8" i="25"/>
  <c r="I8" i="25"/>
  <c r="H8" i="25"/>
  <c r="F8" i="25"/>
  <c r="E8" i="25"/>
  <c r="AC27" i="2"/>
  <c r="AB27" i="2"/>
  <c r="Z27" i="2"/>
  <c r="Y27" i="2"/>
  <c r="T20" i="1"/>
  <c r="S20" i="1"/>
  <c r="T16" i="1"/>
  <c r="S16" i="1"/>
  <c r="U11" i="28"/>
  <c r="T11" i="28"/>
  <c r="R11" i="28"/>
  <c r="Q11" i="28"/>
  <c r="O11" i="28"/>
  <c r="N11" i="28"/>
  <c r="L11" i="28"/>
  <c r="K11" i="28"/>
  <c r="I11" i="28"/>
  <c r="H11" i="28"/>
  <c r="F11" i="28"/>
  <c r="E11" i="28"/>
  <c r="U11" i="27"/>
  <c r="T11" i="27"/>
  <c r="R11" i="27"/>
  <c r="Q11" i="27"/>
  <c r="O11" i="27"/>
  <c r="N11" i="27"/>
  <c r="L11" i="27"/>
  <c r="K11" i="27"/>
  <c r="I11" i="27"/>
  <c r="H11" i="27"/>
  <c r="F11" i="27"/>
  <c r="E11" i="27"/>
  <c r="O11" i="26"/>
  <c r="N11" i="26"/>
  <c r="L11" i="26"/>
  <c r="K11" i="26"/>
  <c r="I11" i="26"/>
  <c r="H11" i="26"/>
  <c r="F11" i="26"/>
  <c r="E11" i="26"/>
  <c r="W11" i="25"/>
  <c r="U11" i="25"/>
  <c r="T11" i="25"/>
  <c r="S11" i="25"/>
  <c r="Q11" i="25"/>
  <c r="P11" i="25"/>
  <c r="O11" i="25"/>
  <c r="M11" i="25"/>
  <c r="L11" i="25"/>
  <c r="K11" i="25"/>
  <c r="I11" i="25"/>
  <c r="H11" i="25"/>
  <c r="F11" i="25"/>
  <c r="E11" i="25"/>
  <c r="AC26" i="2"/>
  <c r="AB26" i="2"/>
  <c r="Z26" i="2"/>
  <c r="Y26" i="2"/>
  <c r="T19" i="1"/>
  <c r="S19" i="1"/>
  <c r="T15" i="1"/>
  <c r="S15" i="1"/>
  <c r="T11" i="1"/>
  <c r="S11" i="1"/>
  <c r="U10" i="28"/>
  <c r="T10" i="28"/>
  <c r="R10" i="28"/>
  <c r="Q10" i="28"/>
  <c r="O10" i="28"/>
  <c r="N10" i="28"/>
  <c r="L10" i="28"/>
  <c r="K10" i="28"/>
  <c r="I10" i="28"/>
  <c r="H10" i="28"/>
  <c r="F10" i="28"/>
  <c r="E10" i="28"/>
  <c r="U10" i="27"/>
  <c r="T10" i="27"/>
  <c r="R10" i="27"/>
  <c r="Q10" i="27"/>
  <c r="O10" i="27"/>
  <c r="N10" i="27"/>
  <c r="L10" i="27"/>
  <c r="K10" i="27"/>
  <c r="I10" i="27"/>
  <c r="H10" i="27"/>
  <c r="F10" i="27"/>
  <c r="E10" i="27"/>
  <c r="O10" i="26"/>
  <c r="N10" i="26"/>
  <c r="L10" i="26"/>
  <c r="K10" i="26"/>
  <c r="I10" i="26"/>
  <c r="H10" i="26"/>
  <c r="F10" i="26"/>
  <c r="E10" i="26"/>
  <c r="W10" i="25"/>
  <c r="U10" i="25"/>
  <c r="T10" i="25"/>
  <c r="S10" i="25"/>
  <c r="Q10" i="25"/>
  <c r="P10" i="25"/>
  <c r="O10" i="25"/>
  <c r="M10" i="25"/>
  <c r="L10" i="25"/>
  <c r="K10" i="25"/>
  <c r="I10" i="25"/>
  <c r="H10" i="25"/>
  <c r="F10" i="25"/>
  <c r="E10" i="25"/>
  <c r="AC25" i="2"/>
  <c r="AB25" i="2"/>
  <c r="Z25" i="2"/>
  <c r="Y25" i="2"/>
  <c r="T18" i="1"/>
  <c r="S18" i="1"/>
  <c r="T14" i="1"/>
  <c r="S14" i="1"/>
  <c r="T10" i="1"/>
  <c r="S10" i="1"/>
  <c r="U9" i="28"/>
  <c r="T9" i="28"/>
  <c r="R9" i="28"/>
  <c r="Q9" i="28"/>
  <c r="O9" i="28"/>
  <c r="N9" i="28"/>
  <c r="L9" i="28"/>
  <c r="K9" i="28"/>
  <c r="I9" i="28"/>
  <c r="H9" i="28"/>
  <c r="F9" i="28"/>
  <c r="E9" i="28"/>
  <c r="U9" i="27"/>
  <c r="T9" i="27"/>
  <c r="R9" i="27"/>
  <c r="Q9" i="27"/>
  <c r="O9" i="27"/>
  <c r="N9" i="27"/>
  <c r="L9" i="27"/>
  <c r="K9" i="27"/>
  <c r="I9" i="27"/>
  <c r="H9" i="27"/>
  <c r="F9" i="27"/>
  <c r="E9" i="27"/>
  <c r="O9" i="26"/>
  <c r="N9" i="26"/>
  <c r="L9" i="26"/>
  <c r="K9" i="26"/>
  <c r="I9" i="26"/>
  <c r="H9" i="26"/>
  <c r="F9" i="26"/>
  <c r="E9" i="26"/>
  <c r="W9" i="25"/>
  <c r="U9" i="25"/>
  <c r="T9" i="25"/>
  <c r="S9" i="25"/>
  <c r="Q9" i="25"/>
  <c r="P9" i="25"/>
  <c r="O9" i="25"/>
  <c r="M9" i="25"/>
  <c r="L9" i="25"/>
  <c r="K9" i="25"/>
  <c r="I9" i="25"/>
  <c r="H9" i="25"/>
  <c r="F9" i="25"/>
  <c r="E9" i="25"/>
  <c r="AC24" i="2"/>
  <c r="AB24" i="2"/>
  <c r="Z24" i="2"/>
  <c r="Y24" i="2"/>
  <c r="T17" i="1"/>
  <c r="S17" i="1"/>
  <c r="T13" i="1"/>
  <c r="S13" i="1"/>
  <c r="T9" i="1"/>
  <c r="S9" i="1"/>
  <c r="AD23" i="2"/>
  <c r="AA23" i="2"/>
  <c r="R24" i="37"/>
  <c r="M24" i="37"/>
  <c r="AD22" i="2"/>
  <c r="AA22" i="2"/>
  <c r="R23" i="37"/>
  <c r="M23" i="37"/>
  <c r="AD21" i="2"/>
  <c r="AA21" i="2"/>
  <c r="R22" i="37"/>
  <c r="M22" i="37"/>
  <c r="AD20" i="2"/>
  <c r="AA20" i="2"/>
  <c r="R21" i="37"/>
  <c r="M21" i="37"/>
  <c r="AD19" i="2"/>
  <c r="AA19" i="2"/>
  <c r="R20" i="37"/>
  <c r="M20" i="37"/>
  <c r="AD18" i="2"/>
  <c r="AA18" i="2"/>
  <c r="R19" i="37"/>
  <c r="M19" i="37"/>
  <c r="AD17" i="2"/>
  <c r="AA17" i="2"/>
  <c r="R18" i="37"/>
  <c r="M18" i="37"/>
  <c r="AD16" i="2"/>
  <c r="AA16" i="2"/>
  <c r="R17" i="37"/>
  <c r="M17" i="37"/>
  <c r="AD15" i="2"/>
  <c r="AA15" i="2"/>
  <c r="R16" i="37"/>
  <c r="M16" i="37"/>
  <c r="AD14" i="2"/>
  <c r="AA14" i="2"/>
  <c r="R15" i="37"/>
  <c r="M15" i="37"/>
  <c r="AD13" i="2"/>
  <c r="AA13" i="2"/>
  <c r="R14" i="37"/>
  <c r="M14" i="37"/>
  <c r="AD12" i="2"/>
  <c r="AA12" i="2"/>
  <c r="R13" i="37"/>
  <c r="M13" i="37"/>
  <c r="AD11" i="2"/>
  <c r="AA11" i="2"/>
  <c r="R12" i="37"/>
  <c r="M12" i="37"/>
  <c r="AD10" i="2"/>
  <c r="AA10" i="2"/>
  <c r="R11" i="37"/>
  <c r="M11" i="37"/>
  <c r="AD9" i="2"/>
  <c r="AA9" i="2"/>
  <c r="R10" i="37"/>
  <c r="M10" i="37"/>
  <c r="AD8" i="2"/>
  <c r="AA8" i="2"/>
  <c r="R9" i="37"/>
  <c r="M9" i="37"/>
  <c r="AD7" i="2"/>
  <c r="AA7" i="2"/>
  <c r="R8" i="37"/>
  <c r="M8" i="37"/>
  <c r="AD27" i="2"/>
  <c r="AA27" i="2"/>
  <c r="V20" i="1"/>
  <c r="V16" i="1"/>
  <c r="AD26" i="2"/>
  <c r="AA26" i="2"/>
  <c r="V19" i="1"/>
  <c r="V15" i="1"/>
  <c r="V11" i="1"/>
  <c r="AD25" i="2"/>
  <c r="AA25" i="2"/>
  <c r="V18" i="1"/>
  <c r="V14" i="1"/>
  <c r="V10" i="1"/>
  <c r="AD24" i="2"/>
  <c r="AA24" i="2"/>
  <c r="V17" i="1"/>
  <c r="V13" i="1"/>
  <c r="V9" i="1"/>
  <c r="Z24" i="37"/>
  <c r="Y24" i="37"/>
  <c r="U24" i="37"/>
  <c r="T24" i="37"/>
  <c r="Z23" i="37"/>
  <c r="Y23" i="37"/>
  <c r="U23" i="37"/>
  <c r="T23" i="37"/>
  <c r="Z22" i="37"/>
  <c r="Y22" i="37"/>
  <c r="U22" i="37"/>
  <c r="T22" i="37"/>
  <c r="Z21" i="37"/>
  <c r="Y21" i="37"/>
  <c r="U21" i="37"/>
  <c r="T21" i="37"/>
  <c r="Z20" i="37"/>
  <c r="Y20" i="37"/>
  <c r="U20" i="37"/>
  <c r="T20" i="37"/>
  <c r="Z19" i="37"/>
  <c r="Y19" i="37"/>
  <c r="U19" i="37"/>
  <c r="T19" i="37"/>
  <c r="Z18" i="37"/>
  <c r="Y18" i="37"/>
  <c r="U18" i="37"/>
  <c r="T18" i="37"/>
  <c r="Z17" i="37"/>
  <c r="Y17" i="37"/>
  <c r="U17" i="37"/>
  <c r="T17" i="37"/>
  <c r="Z16" i="37"/>
  <c r="Y16" i="37"/>
  <c r="U16" i="37"/>
  <c r="T16" i="37"/>
  <c r="Z15" i="37"/>
  <c r="Y15" i="37"/>
  <c r="U15" i="37"/>
  <c r="T15" i="37"/>
  <c r="Z14" i="37"/>
  <c r="Y14" i="37"/>
  <c r="U14" i="37"/>
  <c r="T14" i="37"/>
  <c r="Z13" i="37"/>
  <c r="Y13" i="37"/>
  <c r="U13" i="37"/>
  <c r="T13" i="37"/>
  <c r="Z12" i="37"/>
  <c r="Y12" i="37"/>
  <c r="U12" i="37"/>
  <c r="T12" i="37"/>
  <c r="Z11" i="37"/>
  <c r="Y11" i="37"/>
  <c r="U11" i="37"/>
  <c r="T11" i="37"/>
  <c r="Z10" i="37"/>
  <c r="Y10" i="37"/>
  <c r="U10" i="37"/>
  <c r="T10" i="37"/>
  <c r="Z9" i="37"/>
  <c r="Y9" i="37"/>
  <c r="U9" i="37"/>
  <c r="T9" i="37"/>
  <c r="Z8" i="37"/>
  <c r="Y8" i="37"/>
  <c r="U8" i="37"/>
  <c r="T8" i="37"/>
  <c r="AB24" i="37"/>
  <c r="W24" i="37"/>
  <c r="AB23" i="37"/>
  <c r="W23" i="37"/>
  <c r="AB22" i="37"/>
  <c r="W22" i="37"/>
  <c r="AB21" i="37"/>
  <c r="W21" i="37"/>
  <c r="AB20" i="37"/>
  <c r="W20" i="37"/>
  <c r="AB19" i="37"/>
  <c r="W19" i="37"/>
  <c r="AB18" i="37"/>
  <c r="W18" i="37"/>
  <c r="AB17" i="37"/>
  <c r="W17" i="37"/>
  <c r="AB16" i="37"/>
  <c r="W16" i="37"/>
  <c r="AB15" i="37"/>
  <c r="W15" i="37"/>
  <c r="AB14" i="37"/>
  <c r="W14" i="37"/>
  <c r="AB13" i="37"/>
  <c r="W13" i="37"/>
  <c r="AB12" i="37"/>
  <c r="W12" i="37"/>
  <c r="AB11" i="37"/>
  <c r="W11" i="37"/>
  <c r="AB10" i="37"/>
  <c r="W10" i="37"/>
  <c r="AB9" i="37"/>
  <c r="W9" i="37"/>
  <c r="AB8" i="37"/>
  <c r="W8" i="37"/>
  <c r="H15" i="1" l="1"/>
  <c r="H11" i="1"/>
  <c r="E11" i="1"/>
  <c r="M27" i="37" l="1"/>
  <c r="R25" i="37" l="1"/>
  <c r="R26" i="37"/>
  <c r="R27" i="37"/>
  <c r="M25" i="37"/>
  <c r="M26" i="37"/>
  <c r="R28" i="37" l="1"/>
  <c r="M28" i="37"/>
  <c r="I11" i="34" l="1"/>
  <c r="I17" i="34"/>
  <c r="I18" i="34"/>
  <c r="I19" i="34" s="1"/>
  <c r="F17" i="34"/>
  <c r="I14" i="34"/>
  <c r="I26" i="34"/>
  <c r="F14" i="34"/>
  <c r="F18" i="34"/>
  <c r="F19" i="34" s="1"/>
  <c r="F26" i="34"/>
  <c r="F20" i="34"/>
  <c r="F21" i="34" s="1"/>
  <c r="I20" i="34"/>
  <c r="I21" i="34" s="1"/>
  <c r="I22" i="34" l="1"/>
  <c r="I27" i="34" s="1"/>
  <c r="F22" i="34"/>
  <c r="F27" i="34" s="1"/>
  <c r="F28" i="34" l="1"/>
  <c r="F31" i="34"/>
  <c r="F34" i="34" s="1"/>
  <c r="F35" i="34" s="1"/>
  <c r="I28" i="34"/>
  <c r="I31" i="34"/>
  <c r="I23" i="34"/>
  <c r="F23" i="34"/>
  <c r="I32" i="34" l="1"/>
  <c r="I34" i="34"/>
  <c r="I35" i="34" s="1"/>
  <c r="F32" i="34"/>
  <c r="M40" i="1" l="1"/>
  <c r="G39" i="2"/>
  <c r="S64" i="2" l="1"/>
  <c r="S63" i="2"/>
  <c r="T62" i="2"/>
  <c r="S62" i="2"/>
  <c r="S61" i="2"/>
  <c r="K40" i="2"/>
  <c r="J40" i="2"/>
  <c r="N39" i="2"/>
  <c r="L39" i="2"/>
  <c r="G40" i="2"/>
  <c r="Q37" i="2"/>
  <c r="M37" i="2"/>
  <c r="M40" i="2" s="1"/>
  <c r="G38" i="2"/>
  <c r="S36" i="2"/>
  <c r="Q36" i="2"/>
  <c r="N36" i="2"/>
  <c r="G37" i="2"/>
  <c r="S35" i="2"/>
  <c r="Q35" i="2"/>
  <c r="N35" i="2"/>
  <c r="G36" i="2"/>
  <c r="V30" i="1"/>
  <c r="S34" i="2"/>
  <c r="Q34" i="2"/>
  <c r="N34" i="2"/>
  <c r="L34" i="2"/>
  <c r="G35" i="2"/>
  <c r="V29" i="1"/>
  <c r="N33" i="2"/>
  <c r="L33" i="2"/>
  <c r="G34" i="2"/>
  <c r="N32" i="2"/>
  <c r="L32" i="2"/>
  <c r="G33" i="2"/>
  <c r="G31" i="2"/>
  <c r="G30" i="2"/>
  <c r="G29" i="2"/>
  <c r="AG27" i="2"/>
  <c r="AG26" i="2"/>
  <c r="G26" i="2"/>
  <c r="AG25" i="2"/>
  <c r="G25" i="2"/>
  <c r="AG24" i="2"/>
  <c r="G24" i="2"/>
  <c r="AG23" i="2"/>
  <c r="G23" i="2"/>
  <c r="AG22" i="2"/>
  <c r="G22" i="2"/>
  <c r="AG21" i="2"/>
  <c r="G21" i="2"/>
  <c r="AG20" i="2"/>
  <c r="G20" i="2"/>
  <c r="AG19" i="2"/>
  <c r="G19" i="2"/>
  <c r="AG18" i="2"/>
  <c r="G18" i="2"/>
  <c r="AG17" i="2"/>
  <c r="G17" i="2"/>
  <c r="AG16" i="2"/>
  <c r="G16" i="2"/>
  <c r="AG15" i="2"/>
  <c r="G15" i="2"/>
  <c r="AG14" i="2"/>
  <c r="G14" i="2"/>
  <c r="AG13" i="2"/>
  <c r="G13" i="2"/>
  <c r="AG12" i="2"/>
  <c r="G12" i="2"/>
  <c r="AG11" i="2"/>
  <c r="G11" i="2"/>
  <c r="AG10" i="2"/>
  <c r="G10" i="2"/>
  <c r="AG9" i="2"/>
  <c r="G9" i="2"/>
  <c r="AG8" i="2"/>
  <c r="G8" i="2"/>
  <c r="AG7" i="2"/>
  <c r="G7" i="2"/>
  <c r="V28" i="1"/>
  <c r="H17" i="1"/>
  <c r="H25" i="1" s="1"/>
  <c r="H26" i="1" s="1"/>
  <c r="V12" i="1"/>
  <c r="N37" i="2" l="1"/>
  <c r="N40" i="2"/>
  <c r="L40" i="2"/>
  <c r="H24" i="1"/>
  <c r="W26" i="2"/>
  <c r="H16" i="1"/>
  <c r="T61" i="2"/>
  <c r="R24" i="2"/>
  <c r="W24" i="2"/>
  <c r="H12" i="1"/>
  <c r="R25" i="2"/>
  <c r="R31" i="2"/>
  <c r="H18" i="1"/>
  <c r="H27" i="1" s="1"/>
  <c r="R26" i="2"/>
  <c r="W25" i="2"/>
  <c r="R40" i="2"/>
  <c r="W40" i="2"/>
  <c r="W31" i="2"/>
  <c r="S37" i="2"/>
  <c r="H37" i="1" l="1"/>
  <c r="H35" i="1"/>
  <c r="V32" i="1"/>
  <c r="V31" i="1" s="1"/>
  <c r="H19" i="1"/>
  <c r="W27" i="2"/>
  <c r="W41" i="2" s="1"/>
  <c r="R27" i="2"/>
  <c r="R41" i="2" s="1"/>
  <c r="R44" i="2" l="1"/>
  <c r="R49" i="2" s="1"/>
  <c r="W44" i="2"/>
  <c r="W49" i="2" s="1"/>
  <c r="H28" i="1"/>
  <c r="H29" i="1" s="1"/>
  <c r="H40" i="1" s="1"/>
  <c r="H20" i="1"/>
  <c r="H30" i="1" l="1"/>
  <c r="M26" i="2" l="1"/>
  <c r="M24" i="2"/>
  <c r="M31" i="2"/>
  <c r="M25" i="2"/>
  <c r="M27" i="2" l="1"/>
  <c r="M49" i="2" l="1"/>
  <c r="V25" i="1" l="1"/>
  <c r="W23" i="1" l="1"/>
  <c r="W24" i="1"/>
  <c r="T25" i="1" l="1"/>
  <c r="W25" i="1" s="1"/>
  <c r="U24" i="1" l="1"/>
  <c r="S25" i="1" l="1"/>
  <c r="U25" i="1" s="1"/>
  <c r="U23" i="1"/>
  <c r="O40" i="2" l="1"/>
  <c r="O24" i="2" l="1"/>
  <c r="J24" i="2"/>
  <c r="S29" i="1" l="1"/>
  <c r="S28" i="1" l="1"/>
  <c r="T54" i="2"/>
  <c r="T60" i="2"/>
  <c r="T63" i="2" l="1"/>
  <c r="O25" i="2" l="1"/>
  <c r="J25" i="2"/>
  <c r="J31" i="2" l="1"/>
  <c r="O31" i="2" l="1"/>
  <c r="E18" i="1" l="1"/>
  <c r="E27" i="1" l="1"/>
  <c r="T31" i="2" l="1"/>
  <c r="T53" i="2" l="1"/>
  <c r="J26" i="2" l="1"/>
  <c r="O26" i="2"/>
  <c r="J27" i="2" l="1"/>
  <c r="O27" i="2"/>
  <c r="O41" i="2" s="1"/>
  <c r="J49" i="2" l="1"/>
  <c r="E12" i="1"/>
  <c r="O44" i="2" l="1"/>
  <c r="O49" i="2" s="1"/>
  <c r="O51" i="2"/>
  <c r="O52" i="2" l="1"/>
  <c r="T24" i="2" l="1"/>
  <c r="T25" i="2" l="1"/>
  <c r="E17" i="1" l="1"/>
  <c r="T26" i="2" l="1"/>
  <c r="E25" i="1"/>
  <c r="E19" i="1"/>
  <c r="E20" i="1" s="1"/>
  <c r="E16" i="1"/>
  <c r="T27" i="2" l="1"/>
  <c r="E26" i="1"/>
  <c r="S30" i="1" l="1"/>
  <c r="T52" i="2"/>
  <c r="E24" i="1" l="1"/>
  <c r="E28" i="1"/>
  <c r="E29" i="1" s="1"/>
  <c r="E40" i="1" s="1"/>
  <c r="T55" i="2"/>
  <c r="T56" i="2" l="1"/>
  <c r="T57" i="2"/>
  <c r="T64" i="2"/>
  <c r="T68" i="2"/>
  <c r="T40" i="2"/>
  <c r="T41" i="2" s="1"/>
  <c r="S32" i="1" l="1"/>
  <c r="T44" i="2"/>
  <c r="T49" i="2" s="1"/>
  <c r="T65" i="2"/>
  <c r="E30" i="1"/>
  <c r="S31" i="1" l="1"/>
  <c r="T70" i="2"/>
  <c r="T71" i="2" s="1"/>
  <c r="AB27" i="37" l="1"/>
  <c r="W27" i="37"/>
  <c r="W25" i="37"/>
  <c r="AB26" i="37" l="1"/>
  <c r="W26" i="37"/>
  <c r="W28" i="37" s="1"/>
  <c r="AB25" i="37" l="1"/>
  <c r="AB28" i="37" s="1"/>
  <c r="N11" i="34" l="1"/>
  <c r="N14" i="34"/>
  <c r="N20" i="34"/>
  <c r="N21" i="34" s="1"/>
  <c r="N26" i="34"/>
  <c r="N17" i="34"/>
  <c r="N18" i="34"/>
  <c r="N19" i="34" s="1"/>
  <c r="N22" i="34" l="1"/>
  <c r="N27" i="34" s="1"/>
  <c r="N28" i="34" l="1"/>
  <c r="N31" i="34"/>
  <c r="N23" i="34"/>
  <c r="N32" i="34" l="1"/>
  <c r="N34" i="34"/>
  <c r="N35" i="34" s="1"/>
  <c r="J12" i="34"/>
  <c r="H12" i="34"/>
  <c r="G11" i="34"/>
  <c r="G18" i="34"/>
  <c r="J15" i="34"/>
  <c r="H15" i="34"/>
  <c r="H24" i="34"/>
  <c r="J24" i="34"/>
  <c r="W36" i="1"/>
  <c r="O15" i="34" l="1"/>
  <c r="M15" i="34"/>
  <c r="L11" i="34"/>
  <c r="J10" i="34"/>
  <c r="H10" i="34"/>
  <c r="M12" i="34"/>
  <c r="O12" i="34"/>
  <c r="L18" i="34"/>
  <c r="J18" i="34"/>
  <c r="G19" i="34"/>
  <c r="H18" i="34"/>
  <c r="J11" i="34"/>
  <c r="H11" i="34"/>
  <c r="O24" i="34"/>
  <c r="M24" i="34"/>
  <c r="J19" i="34" l="1"/>
  <c r="H19" i="34"/>
  <c r="M11" i="34"/>
  <c r="O11" i="34"/>
  <c r="O18" i="34"/>
  <c r="L19" i="34"/>
  <c r="M18" i="34"/>
  <c r="O10" i="34"/>
  <c r="M10" i="34"/>
  <c r="H25" i="34"/>
  <c r="J25" i="34"/>
  <c r="G26" i="34"/>
  <c r="M19" i="34" l="1"/>
  <c r="O19" i="34"/>
  <c r="H26" i="34"/>
  <c r="J26" i="34"/>
  <c r="M25" i="34"/>
  <c r="O25" i="34"/>
  <c r="L26" i="34"/>
  <c r="O26" i="34" l="1"/>
  <c r="M26" i="34"/>
  <c r="G17" i="34" l="1"/>
  <c r="J16" i="34"/>
  <c r="H16" i="34"/>
  <c r="U36" i="1"/>
  <c r="H17" i="34" l="1"/>
  <c r="J17" i="34"/>
  <c r="G20" i="34"/>
  <c r="G14" i="34"/>
  <c r="H13" i="34"/>
  <c r="J13" i="34"/>
  <c r="L17" i="34"/>
  <c r="M16" i="34"/>
  <c r="O16" i="34"/>
  <c r="L14" i="34" l="1"/>
  <c r="M13" i="34"/>
  <c r="L20" i="34"/>
  <c r="O13" i="34"/>
  <c r="M17" i="34"/>
  <c r="O17" i="34"/>
  <c r="J14" i="34"/>
  <c r="H14" i="34"/>
  <c r="G21" i="34"/>
  <c r="J20" i="34"/>
  <c r="H20" i="34"/>
  <c r="G22" i="34"/>
  <c r="G27" i="34" s="1"/>
  <c r="G28" i="34" l="1"/>
  <c r="H27" i="34"/>
  <c r="G31" i="34"/>
  <c r="J27" i="34"/>
  <c r="W37" i="1"/>
  <c r="U37" i="1"/>
  <c r="G23" i="34"/>
  <c r="H22" i="34"/>
  <c r="J22" i="34"/>
  <c r="M20" i="34"/>
  <c r="L22" i="34"/>
  <c r="L27" i="34" s="1"/>
  <c r="L21" i="34"/>
  <c r="O20" i="34"/>
  <c r="J21" i="34"/>
  <c r="H21" i="34"/>
  <c r="O14" i="34"/>
  <c r="M14" i="34"/>
  <c r="G32" i="34" l="1"/>
  <c r="G34" i="34"/>
  <c r="H31" i="34"/>
  <c r="J31" i="34"/>
  <c r="L28" i="34"/>
  <c r="O27" i="34"/>
  <c r="L31" i="34"/>
  <c r="M27" i="34"/>
  <c r="J28" i="34"/>
  <c r="H28" i="34"/>
  <c r="M21" i="34"/>
  <c r="O21" i="34"/>
  <c r="L23" i="34"/>
  <c r="O22" i="34"/>
  <c r="M22" i="34"/>
  <c r="J23" i="34"/>
  <c r="H23" i="34"/>
  <c r="G35" i="34" l="1"/>
  <c r="J34" i="34"/>
  <c r="H34" i="34"/>
  <c r="L32" i="34"/>
  <c r="O31" i="34"/>
  <c r="L34" i="34"/>
  <c r="M31" i="34"/>
  <c r="O28" i="34"/>
  <c r="M28" i="34"/>
  <c r="J32" i="34"/>
  <c r="H32" i="34"/>
  <c r="M23" i="34"/>
  <c r="O23" i="34"/>
  <c r="O32" i="34" l="1"/>
  <c r="M32" i="34"/>
  <c r="L35" i="34"/>
  <c r="O34" i="34"/>
  <c r="M34" i="34"/>
  <c r="J35" i="34"/>
  <c r="H35" i="34"/>
  <c r="O35" i="34" l="1"/>
  <c r="M35" i="34"/>
  <c r="Q24" i="26" l="1"/>
  <c r="T24" i="26" s="1"/>
  <c r="Q19" i="26"/>
  <c r="Q18" i="26"/>
  <c r="Q13" i="26"/>
  <c r="Q21" i="26"/>
  <c r="Q27" i="26"/>
  <c r="T27" i="26" l="1"/>
  <c r="T19" i="26"/>
  <c r="T21" i="26"/>
  <c r="T18" i="26"/>
  <c r="Q23" i="26"/>
  <c r="T23" i="26" s="1"/>
  <c r="Q11" i="26"/>
  <c r="Q10" i="26"/>
  <c r="Q8" i="26"/>
  <c r="Q20" i="26"/>
  <c r="T20" i="26" s="1"/>
  <c r="Q15" i="26"/>
  <c r="T15" i="26" s="1"/>
  <c r="Q25" i="26"/>
  <c r="T25" i="26" s="1"/>
  <c r="Q26" i="26"/>
  <c r="T26" i="26" s="1"/>
  <c r="Q22" i="26"/>
  <c r="T22" i="26" s="1"/>
  <c r="Q14" i="26"/>
  <c r="Q17" i="26"/>
  <c r="T17" i="26" s="1"/>
  <c r="Q16" i="26"/>
  <c r="T16" i="26" s="1"/>
  <c r="Q12" i="26"/>
  <c r="T12" i="26" s="1"/>
  <c r="Q9" i="26"/>
  <c r="Q28" i="26"/>
  <c r="T28" i="26" s="1"/>
  <c r="T14" i="26" l="1"/>
  <c r="AE22" i="2"/>
  <c r="AE19" i="2"/>
  <c r="T13" i="26"/>
  <c r="T8" i="26"/>
  <c r="AE13" i="2"/>
  <c r="T9" i="26"/>
  <c r="AE14" i="2"/>
  <c r="AE16" i="2"/>
  <c r="S12" i="1"/>
  <c r="AE8" i="2"/>
  <c r="T10" i="26"/>
  <c r="T11" i="26"/>
  <c r="J27" i="37" l="1"/>
  <c r="O25" i="37"/>
  <c r="AE18" i="2"/>
  <c r="AE21" i="2"/>
  <c r="AE23" i="2"/>
  <c r="AE20" i="2"/>
  <c r="J25" i="37"/>
  <c r="AE27" i="2"/>
  <c r="AE26" i="2"/>
  <c r="J26" i="37"/>
  <c r="AE17" i="2"/>
  <c r="AE24" i="2"/>
  <c r="AE10" i="2"/>
  <c r="AE25" i="2"/>
  <c r="AE9" i="2"/>
  <c r="AE12" i="2"/>
  <c r="AE11" i="2"/>
  <c r="AE7" i="2"/>
  <c r="O27" i="37"/>
  <c r="AE15" i="2"/>
  <c r="O26" i="37"/>
  <c r="J28" i="37" l="1"/>
  <c r="O28" i="37"/>
  <c r="N12" i="25" l="1"/>
  <c r="G12" i="26" l="1"/>
  <c r="V18" i="25" l="1"/>
  <c r="V16" i="25"/>
  <c r="V22" i="25"/>
  <c r="V12" i="25"/>
  <c r="V21" i="25"/>
  <c r="V27" i="25"/>
  <c r="V19" i="25"/>
  <c r="V13" i="25"/>
  <c r="V14" i="25"/>
  <c r="V15" i="25"/>
  <c r="V17" i="25"/>
  <c r="V23" i="25"/>
  <c r="V20" i="25"/>
  <c r="V26" i="25"/>
  <c r="V24" i="25"/>
  <c r="V25" i="25"/>
  <c r="V28" i="25"/>
  <c r="J14" i="25" l="1"/>
  <c r="J17" i="25"/>
  <c r="J25" i="25"/>
  <c r="J18" i="25"/>
  <c r="J28" i="25"/>
  <c r="J24" i="25"/>
  <c r="J23" i="25"/>
  <c r="J15" i="25"/>
  <c r="J27" i="25"/>
  <c r="J20" i="25"/>
  <c r="J19" i="25"/>
  <c r="J22" i="25"/>
  <c r="J13" i="25"/>
  <c r="J21" i="25"/>
  <c r="J26" i="25"/>
  <c r="J16" i="25"/>
  <c r="J12" i="25"/>
  <c r="N16" i="25"/>
  <c r="N13" i="25"/>
  <c r="N14" i="25"/>
  <c r="P20" i="26"/>
  <c r="P21" i="26"/>
  <c r="M26" i="26"/>
  <c r="P26" i="26"/>
  <c r="V8" i="25"/>
  <c r="P15" i="26"/>
  <c r="V11" i="25"/>
  <c r="P19" i="26"/>
  <c r="M15" i="26"/>
  <c r="M20" i="26"/>
  <c r="M19" i="26"/>
  <c r="V10" i="25"/>
  <c r="M21" i="26"/>
  <c r="M23" i="26"/>
  <c r="M27" i="26"/>
  <c r="P23" i="26"/>
  <c r="M22" i="26"/>
  <c r="P22" i="26"/>
  <c r="P27" i="26"/>
  <c r="J8" i="25"/>
  <c r="P28" i="26"/>
  <c r="M28" i="26"/>
  <c r="P16" i="26"/>
  <c r="M16" i="26"/>
  <c r="P13" i="26"/>
  <c r="M13" i="26"/>
  <c r="V9" i="25"/>
  <c r="M14" i="26"/>
  <c r="P14" i="26"/>
  <c r="P12" i="26"/>
  <c r="M12" i="26"/>
  <c r="P25" i="26"/>
  <c r="M25" i="26"/>
  <c r="P24" i="26"/>
  <c r="M24" i="26"/>
  <c r="P18" i="26"/>
  <c r="M18" i="26"/>
  <c r="P17" i="26"/>
  <c r="M17" i="26"/>
  <c r="N28" i="25" l="1"/>
  <c r="N20" i="25"/>
  <c r="N23" i="25"/>
  <c r="N26" i="25"/>
  <c r="J9" i="25"/>
  <c r="N25" i="25"/>
  <c r="N15" i="25"/>
  <c r="N27" i="25"/>
  <c r="G14" i="26"/>
  <c r="N22" i="25"/>
  <c r="N17" i="25"/>
  <c r="G13" i="26"/>
  <c r="N18" i="25"/>
  <c r="J10" i="25"/>
  <c r="W15" i="1"/>
  <c r="U15" i="1"/>
  <c r="J11" i="25"/>
  <c r="G16" i="26"/>
  <c r="W14" i="1"/>
  <c r="U14" i="1"/>
  <c r="N21" i="25"/>
  <c r="W16" i="1"/>
  <c r="U16" i="1"/>
  <c r="N19" i="25"/>
  <c r="W13" i="1"/>
  <c r="U13" i="1"/>
  <c r="N24" i="25"/>
  <c r="P11" i="26"/>
  <c r="M11" i="26"/>
  <c r="P10" i="26"/>
  <c r="M10" i="26"/>
  <c r="P9" i="26"/>
  <c r="M9" i="26"/>
  <c r="P8" i="26"/>
  <c r="M8" i="26"/>
  <c r="G22" i="26" l="1"/>
  <c r="N8" i="25"/>
  <c r="G26" i="26"/>
  <c r="T12" i="1"/>
  <c r="W9" i="1"/>
  <c r="U9" i="1"/>
  <c r="W11" i="1"/>
  <c r="U11" i="1"/>
  <c r="N9" i="25"/>
  <c r="G24" i="26"/>
  <c r="G23" i="26"/>
  <c r="N10" i="25"/>
  <c r="N11" i="25"/>
  <c r="W10" i="1"/>
  <c r="U10" i="1"/>
  <c r="G27" i="26"/>
  <c r="G20" i="26"/>
  <c r="G15" i="26"/>
  <c r="G19" i="26"/>
  <c r="G18" i="26"/>
  <c r="G17" i="26"/>
  <c r="G21" i="26"/>
  <c r="G25" i="26"/>
  <c r="G28" i="26"/>
  <c r="G9" i="26" l="1"/>
  <c r="G16" i="25"/>
  <c r="Y16" i="25" s="1"/>
  <c r="Z16" i="25" s="1"/>
  <c r="W12" i="1"/>
  <c r="U12" i="1"/>
  <c r="G11" i="26"/>
  <c r="G8" i="26"/>
  <c r="G10" i="26"/>
  <c r="G24" i="25" l="1"/>
  <c r="Y24" i="25" s="1"/>
  <c r="Z24" i="25" s="1"/>
  <c r="G15" i="25"/>
  <c r="Y15" i="25" s="1"/>
  <c r="Z15" i="25" s="1"/>
  <c r="G14" i="25"/>
  <c r="Y14" i="25" s="1"/>
  <c r="Z14" i="25" s="1"/>
  <c r="G18" i="25"/>
  <c r="Y18" i="25" s="1"/>
  <c r="Z18" i="25" s="1"/>
  <c r="G25" i="25"/>
  <c r="Y25" i="25" s="1"/>
  <c r="Z25" i="25" s="1"/>
  <c r="G20" i="25"/>
  <c r="Y20" i="25" s="1"/>
  <c r="Z20" i="25" s="1"/>
  <c r="G22" i="25"/>
  <c r="Y22" i="25" s="1"/>
  <c r="Z22" i="25" s="1"/>
  <c r="N12" i="37"/>
  <c r="L12" i="37"/>
  <c r="G13" i="25"/>
  <c r="Y13" i="25" s="1"/>
  <c r="Z13" i="25" s="1"/>
  <c r="G26" i="25"/>
  <c r="Y26" i="25" s="1"/>
  <c r="Z26" i="25" s="1"/>
  <c r="G23" i="25"/>
  <c r="Y23" i="25" s="1"/>
  <c r="Z23" i="25" s="1"/>
  <c r="G28" i="25"/>
  <c r="Y28" i="25" s="1"/>
  <c r="Z28" i="25" s="1"/>
  <c r="G27" i="25"/>
  <c r="Y27" i="25" s="1"/>
  <c r="Z27" i="25" s="1"/>
  <c r="G19" i="25"/>
  <c r="Y19" i="25" s="1"/>
  <c r="Z19" i="25" s="1"/>
  <c r="G21" i="25"/>
  <c r="Y21" i="25" s="1"/>
  <c r="Z21" i="25" s="1"/>
  <c r="G17" i="25"/>
  <c r="Y17" i="25" s="1"/>
  <c r="Z17" i="25" s="1"/>
  <c r="G12" i="25"/>
  <c r="Y12" i="25" s="1"/>
  <c r="Z12" i="25" s="1"/>
  <c r="G11" i="25"/>
  <c r="Y11" i="25" s="1"/>
  <c r="Z11" i="25" s="1"/>
  <c r="G9" i="25"/>
  <c r="Y9" i="25" s="1"/>
  <c r="Z9" i="25" s="1"/>
  <c r="G8" i="25"/>
  <c r="Y8" i="25" s="1"/>
  <c r="Z8" i="25" s="1"/>
  <c r="G10" i="25"/>
  <c r="Y10" i="25" s="1"/>
  <c r="Z10" i="25" s="1"/>
  <c r="K26" i="37" l="1"/>
  <c r="L9" i="37"/>
  <c r="N9" i="37"/>
  <c r="N8" i="37"/>
  <c r="L8" i="37"/>
  <c r="K25" i="37"/>
  <c r="N18" i="37"/>
  <c r="L18" i="37"/>
  <c r="L13" i="37"/>
  <c r="N13" i="37"/>
  <c r="N16" i="37"/>
  <c r="L16" i="37"/>
  <c r="L17" i="37"/>
  <c r="N17" i="37"/>
  <c r="L26" i="37"/>
  <c r="N26" i="37"/>
  <c r="N21" i="37"/>
  <c r="L21" i="37"/>
  <c r="N15" i="37"/>
  <c r="L15" i="37"/>
  <c r="N14" i="37"/>
  <c r="L14" i="37"/>
  <c r="N23" i="37"/>
  <c r="L23" i="37"/>
  <c r="L24" i="37"/>
  <c r="N24" i="37"/>
  <c r="L10" i="37"/>
  <c r="N10" i="37"/>
  <c r="N11" i="37"/>
  <c r="L11" i="37"/>
  <c r="N19" i="37"/>
  <c r="L19" i="37"/>
  <c r="L22" i="37"/>
  <c r="N22" i="37"/>
  <c r="L20" i="37"/>
  <c r="K27" i="37"/>
  <c r="N20" i="37"/>
  <c r="N27" i="37" l="1"/>
  <c r="L27" i="37"/>
  <c r="L25" i="37"/>
  <c r="K28" i="37"/>
  <c r="N25" i="37"/>
  <c r="L28" i="37" l="1"/>
  <c r="N28" i="37"/>
  <c r="V14" i="28" l="1"/>
  <c r="J14" i="27"/>
  <c r="M17" i="27"/>
  <c r="P20" i="27"/>
  <c r="V12" i="27"/>
  <c r="S8" i="28"/>
  <c r="S12" i="28"/>
  <c r="V15" i="28"/>
  <c r="P26" i="27"/>
  <c r="V13" i="27"/>
  <c r="S13" i="28"/>
  <c r="V24" i="28"/>
  <c r="M19" i="27"/>
  <c r="P25" i="27"/>
  <c r="V14" i="27"/>
  <c r="S14" i="28"/>
  <c r="V22" i="28"/>
  <c r="M20" i="27"/>
  <c r="P27" i="27"/>
  <c r="P12" i="28"/>
  <c r="S12" i="27"/>
  <c r="V15" i="27"/>
  <c r="S15" i="28"/>
  <c r="V21" i="28"/>
  <c r="P23" i="27"/>
  <c r="S13" i="27"/>
  <c r="P13" i="28"/>
  <c r="V24" i="27"/>
  <c r="S24" i="28"/>
  <c r="V16" i="28"/>
  <c r="S28" i="27"/>
  <c r="P28" i="28"/>
  <c r="J15" i="27"/>
  <c r="M25" i="27"/>
  <c r="P28" i="27"/>
  <c r="S14" i="27"/>
  <c r="P14" i="28"/>
  <c r="V22" i="27"/>
  <c r="S22" i="28"/>
  <c r="V17" i="28"/>
  <c r="J22" i="27"/>
  <c r="M27" i="27"/>
  <c r="S15" i="27"/>
  <c r="P15" i="28"/>
  <c r="S21" i="28"/>
  <c r="V18" i="28"/>
  <c r="J16" i="27"/>
  <c r="J18" i="27"/>
  <c r="M23" i="27"/>
  <c r="S24" i="27"/>
  <c r="P24" i="28"/>
  <c r="S16" i="28"/>
  <c r="V19" i="28"/>
  <c r="J24" i="27"/>
  <c r="G21" i="27"/>
  <c r="G21" i="28"/>
  <c r="M28" i="27"/>
  <c r="S22" i="27"/>
  <c r="P22" i="28"/>
  <c r="S17" i="28"/>
  <c r="V20" i="28"/>
  <c r="J13" i="27"/>
  <c r="G14" i="27"/>
  <c r="G14" i="28"/>
  <c r="G16" i="27"/>
  <c r="G16" i="28"/>
  <c r="J20" i="27"/>
  <c r="P12" i="27"/>
  <c r="P21" i="28"/>
  <c r="S18" i="28"/>
  <c r="V26" i="28"/>
  <c r="J26" i="27"/>
  <c r="P13" i="27"/>
  <c r="P16" i="28"/>
  <c r="S19" i="28"/>
  <c r="V25" i="28"/>
  <c r="J21" i="27"/>
  <c r="G18" i="27"/>
  <c r="G18" i="28"/>
  <c r="J25" i="27"/>
  <c r="P14" i="27"/>
  <c r="P17" i="28"/>
  <c r="S20" i="28"/>
  <c r="V27" i="28"/>
  <c r="P19" i="27"/>
  <c r="G15" i="27"/>
  <c r="G15" i="28"/>
  <c r="G17" i="27"/>
  <c r="G17" i="28"/>
  <c r="J27" i="27"/>
  <c r="M12" i="27"/>
  <c r="P15" i="27"/>
  <c r="P18" i="28"/>
  <c r="V26" i="27"/>
  <c r="S26" i="28"/>
  <c r="V23" i="28"/>
  <c r="M18" i="27"/>
  <c r="J17" i="27"/>
  <c r="G26" i="27"/>
  <c r="G26" i="28"/>
  <c r="J23" i="27"/>
  <c r="M13" i="27"/>
  <c r="P24" i="27"/>
  <c r="P19" i="28"/>
  <c r="V25" i="27"/>
  <c r="S25" i="28"/>
  <c r="V28" i="28"/>
  <c r="M26" i="27"/>
  <c r="J28" i="27"/>
  <c r="M14" i="27"/>
  <c r="P22" i="27"/>
  <c r="P20" i="28"/>
  <c r="V27" i="27"/>
  <c r="S27" i="28"/>
  <c r="M16" i="27"/>
  <c r="G24" i="27"/>
  <c r="G24" i="28"/>
  <c r="G25" i="27"/>
  <c r="G25" i="28"/>
  <c r="P21" i="27"/>
  <c r="P26" i="28"/>
  <c r="S26" i="27"/>
  <c r="V23" i="27"/>
  <c r="S23" i="28"/>
  <c r="G13" i="27"/>
  <c r="G13" i="28"/>
  <c r="G22" i="27"/>
  <c r="G22" i="28"/>
  <c r="G20" i="27"/>
  <c r="G20" i="28"/>
  <c r="G23" i="27"/>
  <c r="G23" i="28"/>
  <c r="P16" i="27"/>
  <c r="V28" i="27"/>
  <c r="S28" i="28"/>
  <c r="G12" i="27"/>
  <c r="G12" i="28"/>
  <c r="J19" i="27"/>
  <c r="G19" i="27"/>
  <c r="G19" i="28"/>
  <c r="G27" i="27"/>
  <c r="G27" i="28"/>
  <c r="M15" i="27"/>
  <c r="M24" i="27"/>
  <c r="S25" i="27"/>
  <c r="P25" i="28"/>
  <c r="G28" i="27"/>
  <c r="G28" i="28"/>
  <c r="M22" i="27"/>
  <c r="P17" i="27"/>
  <c r="S27" i="27"/>
  <c r="P27" i="28"/>
  <c r="V12" i="28"/>
  <c r="J12" i="27"/>
  <c r="M21" i="27"/>
  <c r="P18" i="27"/>
  <c r="S23" i="27"/>
  <c r="P23" i="28"/>
  <c r="V13" i="28"/>
  <c r="P10" i="27" l="1"/>
  <c r="G11" i="27"/>
  <c r="G11" i="28"/>
  <c r="J16" i="28"/>
  <c r="J10" i="27"/>
  <c r="V9" i="28"/>
  <c r="J12" i="28"/>
  <c r="G10" i="27"/>
  <c r="G10" i="28"/>
  <c r="V8" i="28"/>
  <c r="J23" i="28"/>
  <c r="V10" i="28"/>
  <c r="M11" i="27"/>
  <c r="M10" i="27"/>
  <c r="P8" i="28"/>
  <c r="G9" i="27"/>
  <c r="G9" i="28"/>
  <c r="M9" i="27"/>
  <c r="J14" i="28"/>
  <c r="S10" i="28"/>
  <c r="P9" i="28"/>
  <c r="S9" i="27"/>
  <c r="V11" i="27"/>
  <c r="S11" i="28"/>
  <c r="V9" i="27"/>
  <c r="S9" i="28"/>
  <c r="J9" i="27"/>
  <c r="J20" i="28"/>
  <c r="P11" i="27"/>
  <c r="J17" i="28"/>
  <c r="J21" i="28"/>
  <c r="P11" i="28"/>
  <c r="S11" i="27"/>
  <c r="J27" i="28"/>
  <c r="V11" i="28"/>
  <c r="J22" i="28"/>
  <c r="J15" i="28"/>
  <c r="J28" i="28"/>
  <c r="J19" i="28"/>
  <c r="J25" i="28"/>
  <c r="P9" i="27"/>
  <c r="J11" i="27"/>
  <c r="J13" i="28"/>
  <c r="J26" i="28"/>
  <c r="J24" i="28"/>
  <c r="J18" i="28"/>
  <c r="P10" i="28"/>
  <c r="G8" i="28" l="1"/>
  <c r="G8" i="27"/>
  <c r="M8" i="27"/>
  <c r="P8" i="27"/>
  <c r="J8" i="27"/>
  <c r="M22" i="28"/>
  <c r="M28" i="28"/>
  <c r="M14" i="28"/>
  <c r="M13" i="28"/>
  <c r="M21" i="28"/>
  <c r="M17" i="28"/>
  <c r="M15" i="28"/>
  <c r="M12" i="28"/>
  <c r="M18" i="28"/>
  <c r="M24" i="28"/>
  <c r="M27" i="28"/>
  <c r="M19" i="28"/>
  <c r="M25" i="28"/>
  <c r="M23" i="28"/>
  <c r="M26" i="28"/>
  <c r="M16" i="28"/>
  <c r="M20" i="28"/>
  <c r="J8" i="28"/>
  <c r="J10" i="28"/>
  <c r="J11" i="28"/>
  <c r="J9" i="28"/>
  <c r="R25" i="26" l="1"/>
  <c r="J25" i="26"/>
  <c r="R28" i="26"/>
  <c r="J28" i="26"/>
  <c r="R23" i="26"/>
  <c r="J23" i="26"/>
  <c r="R12" i="26"/>
  <c r="J12" i="26"/>
  <c r="M9" i="28"/>
  <c r="J22" i="26"/>
  <c r="R22" i="26"/>
  <c r="J15" i="26"/>
  <c r="R15" i="26"/>
  <c r="M10" i="28"/>
  <c r="M8" i="28"/>
  <c r="J13" i="26"/>
  <c r="R13" i="26"/>
  <c r="R27" i="26"/>
  <c r="J27" i="26"/>
  <c r="R26" i="26"/>
  <c r="J26" i="26"/>
  <c r="J24" i="26"/>
  <c r="R24" i="26"/>
  <c r="M11" i="28"/>
  <c r="J14" i="26"/>
  <c r="R14" i="26"/>
  <c r="S15" i="26" l="1"/>
  <c r="U15" i="26"/>
  <c r="V15" i="26" s="1"/>
  <c r="S22" i="26"/>
  <c r="U22" i="26"/>
  <c r="V22" i="26" s="1"/>
  <c r="S13" i="26"/>
  <c r="U13" i="26"/>
  <c r="V13" i="26" s="1"/>
  <c r="S12" i="26"/>
  <c r="U12" i="26"/>
  <c r="V12" i="26" s="1"/>
  <c r="S27" i="26"/>
  <c r="U27" i="26"/>
  <c r="V27" i="26" s="1"/>
  <c r="S14" i="26"/>
  <c r="U14" i="26"/>
  <c r="V14" i="26" s="1"/>
  <c r="R11" i="26"/>
  <c r="J11" i="26"/>
  <c r="S23" i="26"/>
  <c r="U23" i="26"/>
  <c r="V23" i="26" s="1"/>
  <c r="J9" i="26"/>
  <c r="R9" i="26"/>
  <c r="S24" i="26"/>
  <c r="U24" i="26"/>
  <c r="V24" i="26" s="1"/>
  <c r="S28" i="26"/>
  <c r="U28" i="26"/>
  <c r="V28" i="26" s="1"/>
  <c r="S26" i="26"/>
  <c r="U26" i="26"/>
  <c r="V26" i="26" s="1"/>
  <c r="S25" i="26"/>
  <c r="U25" i="26"/>
  <c r="V25" i="26" s="1"/>
  <c r="AF9" i="2" l="1"/>
  <c r="S11" i="26"/>
  <c r="U11" i="26"/>
  <c r="V11" i="26" s="1"/>
  <c r="AF23" i="2"/>
  <c r="S9" i="26"/>
  <c r="U9" i="26"/>
  <c r="V9" i="26" s="1"/>
  <c r="AF21" i="2"/>
  <c r="AF18" i="2"/>
  <c r="AF8" i="2"/>
  <c r="AF19" i="2"/>
  <c r="AF10" i="2"/>
  <c r="AF20" i="2"/>
  <c r="AF22" i="2"/>
  <c r="AF17" i="2"/>
  <c r="AF7" i="2"/>
  <c r="AF26" i="2" l="1"/>
  <c r="AF24" i="2"/>
  <c r="W17" i="1" l="1"/>
  <c r="U17" i="1"/>
  <c r="W19" i="1"/>
  <c r="U19" i="1"/>
  <c r="S20" i="27" l="1"/>
  <c r="S19" i="27" l="1"/>
  <c r="S18" i="27" l="1"/>
  <c r="S17" i="27"/>
  <c r="S21" i="27"/>
  <c r="S16" i="27" l="1"/>
  <c r="S10" i="27" l="1"/>
  <c r="S8" i="27"/>
  <c r="V20" i="27" l="1"/>
  <c r="V21" i="27"/>
  <c r="V18" i="27" l="1"/>
  <c r="V19" i="27"/>
  <c r="V17" i="27" l="1"/>
  <c r="R20" i="26" l="1"/>
  <c r="J20" i="26"/>
  <c r="J21" i="26"/>
  <c r="R21" i="26"/>
  <c r="S21" i="26" l="1"/>
  <c r="U21" i="26"/>
  <c r="V21" i="26" s="1"/>
  <c r="J18" i="26"/>
  <c r="R18" i="26"/>
  <c r="J19" i="26"/>
  <c r="R19" i="26"/>
  <c r="S20" i="26"/>
  <c r="U20" i="26"/>
  <c r="V20" i="26" s="1"/>
  <c r="AF15" i="2" l="1"/>
  <c r="J17" i="26"/>
  <c r="R17" i="26"/>
  <c r="S19" i="26"/>
  <c r="U19" i="26"/>
  <c r="V19" i="26" s="1"/>
  <c r="AF16" i="2"/>
  <c r="S18" i="26"/>
  <c r="U18" i="26"/>
  <c r="V18" i="26" s="1"/>
  <c r="AF13" i="2" l="1"/>
  <c r="AF14" i="2"/>
  <c r="S17" i="26"/>
  <c r="U17" i="26"/>
  <c r="V17" i="26" s="1"/>
  <c r="AF12" i="2" l="1"/>
  <c r="V16" i="27"/>
  <c r="V8" i="27" l="1"/>
  <c r="V10" i="27"/>
  <c r="R16" i="26" l="1"/>
  <c r="J16" i="26"/>
  <c r="R8" i="26" l="1"/>
  <c r="J8" i="26"/>
  <c r="R10" i="26"/>
  <c r="J10" i="26"/>
  <c r="S16" i="26"/>
  <c r="U16" i="26"/>
  <c r="V16" i="26" s="1"/>
  <c r="AF11" i="2" l="1"/>
  <c r="S10" i="26"/>
  <c r="U10" i="26"/>
  <c r="V10" i="26" s="1"/>
  <c r="S8" i="26"/>
  <c r="U8" i="26"/>
  <c r="V8" i="26" s="1"/>
  <c r="AF25" i="2" l="1"/>
  <c r="AF27" i="2"/>
  <c r="W18" i="1" l="1"/>
  <c r="U18" i="1"/>
  <c r="AJ27" i="2"/>
  <c r="AI27" i="2"/>
  <c r="U20" i="1"/>
  <c r="W20" i="1"/>
  <c r="R28" i="25" l="1"/>
  <c r="R13" i="25"/>
  <c r="R23" i="25"/>
  <c r="R17" i="25"/>
  <c r="R22" i="25"/>
  <c r="R15" i="25"/>
  <c r="R16" i="25"/>
  <c r="R19" i="25"/>
  <c r="R21" i="25"/>
  <c r="R26" i="25"/>
  <c r="R27" i="25"/>
  <c r="R24" i="25"/>
  <c r="R14" i="25"/>
  <c r="R18" i="25"/>
  <c r="R12" i="25"/>
  <c r="R20" i="25"/>
  <c r="R25" i="25"/>
  <c r="R11" i="25" l="1"/>
  <c r="R8" i="25"/>
  <c r="R10" i="25"/>
  <c r="R9" i="25"/>
  <c r="Q10" i="37" l="1"/>
  <c r="S10" i="37"/>
  <c r="Q22" i="37"/>
  <c r="S22" i="37"/>
  <c r="S16" i="37"/>
  <c r="Q16" i="37"/>
  <c r="S21" i="37"/>
  <c r="Q21" i="37"/>
  <c r="S9" i="37"/>
  <c r="Q9" i="37"/>
  <c r="Q20" i="37"/>
  <c r="S20" i="37"/>
  <c r="P27" i="37"/>
  <c r="S17" i="37"/>
  <c r="Q17" i="37"/>
  <c r="S12" i="37"/>
  <c r="Q12" i="37"/>
  <c r="P26" i="37"/>
  <c r="Q23" i="37"/>
  <c r="S23" i="37"/>
  <c r="Q13" i="37"/>
  <c r="S13" i="37"/>
  <c r="S18" i="37"/>
  <c r="Q18" i="37"/>
  <c r="S24" i="37"/>
  <c r="Q24" i="37"/>
  <c r="S15" i="37"/>
  <c r="Q15" i="37"/>
  <c r="S11" i="37"/>
  <c r="Q11" i="37"/>
  <c r="P25" i="37"/>
  <c r="Q8" i="37"/>
  <c r="S8" i="37"/>
  <c r="S19" i="37"/>
  <c r="Q19" i="37"/>
  <c r="Q14" i="37"/>
  <c r="S14" i="37"/>
  <c r="S26" i="37" l="1"/>
  <c r="Q26" i="37"/>
  <c r="Q25" i="37"/>
  <c r="S25" i="37"/>
  <c r="P28" i="37"/>
  <c r="S27" i="37"/>
  <c r="Q27" i="37"/>
  <c r="S28" i="37" l="1"/>
  <c r="Q28" i="37"/>
  <c r="T25" i="37" l="1"/>
  <c r="T27" i="37" l="1"/>
  <c r="T26" i="37"/>
  <c r="T28" i="37" s="1"/>
  <c r="Y27" i="37"/>
  <c r="Y25" i="37" l="1"/>
  <c r="Y26" i="37"/>
  <c r="Y28" i="37" s="1"/>
  <c r="V15" i="37" l="1"/>
  <c r="X15" i="37"/>
  <c r="X9" i="37"/>
  <c r="V9" i="37"/>
  <c r="X16" i="37"/>
  <c r="V16" i="37"/>
  <c r="X24" i="37"/>
  <c r="V24" i="37"/>
  <c r="X23" i="37"/>
  <c r="V23" i="37"/>
  <c r="X21" i="37"/>
  <c r="V21" i="37"/>
  <c r="V14" i="37"/>
  <c r="X14" i="37"/>
  <c r="X20" i="37"/>
  <c r="U27" i="37"/>
  <c r="V20" i="37"/>
  <c r="V13" i="37"/>
  <c r="X13" i="37"/>
  <c r="U26" i="37"/>
  <c r="X12" i="37"/>
  <c r="V12" i="37"/>
  <c r="V18" i="37"/>
  <c r="X18" i="37"/>
  <c r="X10" i="37"/>
  <c r="V10" i="37"/>
  <c r="X17" i="37"/>
  <c r="V17" i="37"/>
  <c r="V19" i="37"/>
  <c r="X19" i="37"/>
  <c r="V11" i="37"/>
  <c r="X11" i="37"/>
  <c r="U25" i="37"/>
  <c r="V8" i="37"/>
  <c r="X8" i="37"/>
  <c r="X22" i="37"/>
  <c r="V22" i="37"/>
  <c r="U28" i="37" l="1"/>
  <c r="V25" i="37"/>
  <c r="X25" i="37"/>
  <c r="V27" i="37"/>
  <c r="X27" i="37"/>
  <c r="X26" i="37"/>
  <c r="V26" i="37"/>
  <c r="V28" i="37" l="1"/>
  <c r="X28" i="37"/>
  <c r="AA19" i="37" l="1"/>
  <c r="AC19" i="37"/>
  <c r="AA14" i="37"/>
  <c r="AC14" i="37"/>
  <c r="AC10" i="37"/>
  <c r="AA10" i="37"/>
  <c r="AA9" i="37"/>
  <c r="AC9" i="37"/>
  <c r="AC12" i="37"/>
  <c r="AA12" i="37"/>
  <c r="AC11" i="37"/>
  <c r="AA11" i="37"/>
  <c r="AA16" i="37"/>
  <c r="AC16" i="37"/>
  <c r="AC17" i="37"/>
  <c r="AA17" i="37"/>
  <c r="AA8" i="37"/>
  <c r="AC8" i="37"/>
  <c r="Z25" i="37"/>
  <c r="AC22" i="37"/>
  <c r="AA22" i="37"/>
  <c r="Z27" i="37"/>
  <c r="AC24" i="37"/>
  <c r="AA24" i="37"/>
  <c r="AC20" i="37"/>
  <c r="AA20" i="37"/>
  <c r="AC21" i="37"/>
  <c r="AA21" i="37"/>
  <c r="AA27" i="37" l="1"/>
  <c r="AC27" i="37"/>
  <c r="AC23" i="37"/>
  <c r="AA23" i="37"/>
  <c r="AC18" i="37"/>
  <c r="AA18" i="37"/>
  <c r="AA13" i="37"/>
  <c r="AC13" i="37"/>
  <c r="AA25" i="37"/>
  <c r="AC25" i="37"/>
  <c r="AA15" i="37" l="1"/>
  <c r="AC15" i="37"/>
  <c r="Z26" i="37"/>
  <c r="AC26" i="37" l="1"/>
  <c r="AA26" i="37"/>
  <c r="Z28" i="37"/>
  <c r="AC28" i="37" l="1"/>
  <c r="AA28" i="37"/>
  <c r="K43" i="2" l="1"/>
  <c r="F32" i="1"/>
  <c r="K32" i="1"/>
  <c r="N32" i="1" l="1"/>
  <c r="L32" i="1"/>
  <c r="G32" i="1"/>
  <c r="I32" i="1"/>
  <c r="N43" i="2"/>
  <c r="G48" i="2"/>
  <c r="L43" i="2"/>
  <c r="F48" i="2"/>
  <c r="U38" i="2" l="1"/>
  <c r="V38" i="2" l="1"/>
  <c r="X38" i="2"/>
  <c r="K17" i="2" l="1"/>
  <c r="K19" i="2"/>
  <c r="K15" i="2"/>
  <c r="K23" i="2"/>
  <c r="K20" i="2"/>
  <c r="K21" i="2"/>
  <c r="K16" i="2"/>
  <c r="K13" i="2"/>
  <c r="K22" i="2"/>
  <c r="K14" i="2"/>
  <c r="K9" i="2"/>
  <c r="K8" i="2"/>
  <c r="K18" i="2"/>
  <c r="K30" i="2"/>
  <c r="K12" i="2"/>
  <c r="K29" i="2"/>
  <c r="K11" i="2"/>
  <c r="K28" i="2"/>
  <c r="K10" i="2"/>
  <c r="K7" i="2"/>
  <c r="L20" i="2" l="1"/>
  <c r="N20" i="2"/>
  <c r="L30" i="2"/>
  <c r="N30" i="2"/>
  <c r="N13" i="2"/>
  <c r="L13" i="2"/>
  <c r="N23" i="2"/>
  <c r="L23" i="2"/>
  <c r="L17" i="2"/>
  <c r="N17" i="2"/>
  <c r="L14" i="2"/>
  <c r="N14" i="2"/>
  <c r="N10" i="2"/>
  <c r="L10" i="2"/>
  <c r="L15" i="2"/>
  <c r="N15" i="2"/>
  <c r="L8" i="2"/>
  <c r="N8" i="2"/>
  <c r="L22" i="2"/>
  <c r="N22" i="2"/>
  <c r="L7" i="2"/>
  <c r="K24" i="2"/>
  <c r="N7" i="2"/>
  <c r="N28" i="2"/>
  <c r="L28" i="2"/>
  <c r="K31" i="2"/>
  <c r="K25" i="2"/>
  <c r="N11" i="2"/>
  <c r="L11" i="2"/>
  <c r="N12" i="2"/>
  <c r="L12" i="2"/>
  <c r="N9" i="2"/>
  <c r="L9" i="2"/>
  <c r="L21" i="2"/>
  <c r="N21" i="2"/>
  <c r="N29" i="2"/>
  <c r="L29" i="2"/>
  <c r="L16" i="2"/>
  <c r="N16" i="2"/>
  <c r="L19" i="2"/>
  <c r="N19" i="2"/>
  <c r="K26" i="2"/>
  <c r="N18" i="2"/>
  <c r="L18" i="2"/>
  <c r="P21" i="2"/>
  <c r="P23" i="2"/>
  <c r="P18" i="2"/>
  <c r="P22" i="2"/>
  <c r="P20" i="2"/>
  <c r="P19" i="2"/>
  <c r="P30" i="2"/>
  <c r="P26" i="2" l="1"/>
  <c r="Q19" i="2"/>
  <c r="S19" i="2"/>
  <c r="S18" i="2"/>
  <c r="Q18" i="2"/>
  <c r="Q30" i="2"/>
  <c r="S30" i="2"/>
  <c r="S23" i="2"/>
  <c r="Q23" i="2"/>
  <c r="Q20" i="2"/>
  <c r="S20" i="2"/>
  <c r="Q21" i="2"/>
  <c r="S21" i="2"/>
  <c r="Q22" i="2"/>
  <c r="S22" i="2"/>
  <c r="N31" i="2"/>
  <c r="F49" i="2"/>
  <c r="L31" i="2"/>
  <c r="G49" i="2"/>
  <c r="L25" i="2"/>
  <c r="F25" i="2"/>
  <c r="N25" i="2"/>
  <c r="F26" i="2"/>
  <c r="L26" i="2"/>
  <c r="N26" i="2"/>
  <c r="K27" i="2"/>
  <c r="N24" i="2"/>
  <c r="F24" i="2"/>
  <c r="L24" i="2"/>
  <c r="S26" i="2" l="1"/>
  <c r="Q26" i="2"/>
  <c r="F27" i="2"/>
  <c r="N27" i="2"/>
  <c r="L27" i="2"/>
  <c r="F23" i="2"/>
  <c r="G27" i="2"/>
  <c r="U18" i="2"/>
  <c r="U19" i="2"/>
  <c r="X18" i="2" l="1"/>
  <c r="V18" i="2"/>
  <c r="U35" i="2"/>
  <c r="U36" i="2"/>
  <c r="V19" i="2"/>
  <c r="X19" i="2"/>
  <c r="U37" i="2"/>
  <c r="U22" i="2"/>
  <c r="U21" i="2"/>
  <c r="U20" i="2"/>
  <c r="U23" i="2"/>
  <c r="X21" i="2" l="1"/>
  <c r="V21" i="2"/>
  <c r="V22" i="2"/>
  <c r="X22" i="2"/>
  <c r="X37" i="2"/>
  <c r="V37" i="2"/>
  <c r="U63" i="2"/>
  <c r="V63" i="2" s="1"/>
  <c r="X35" i="2"/>
  <c r="U61" i="2"/>
  <c r="V61" i="2" s="1"/>
  <c r="V35" i="2"/>
  <c r="X36" i="2"/>
  <c r="V36" i="2"/>
  <c r="U62" i="2"/>
  <c r="V62" i="2" s="1"/>
  <c r="X20" i="2"/>
  <c r="V20" i="2"/>
  <c r="U26" i="2"/>
  <c r="X23" i="2"/>
  <c r="V23" i="2"/>
  <c r="X26" i="2" l="1"/>
  <c r="V26" i="2"/>
  <c r="P10" i="2" l="1"/>
  <c r="Q10" i="2" l="1"/>
  <c r="S10" i="2"/>
  <c r="K8" i="1" l="1"/>
  <c r="F8" i="1"/>
  <c r="K7" i="1"/>
  <c r="F7" i="1"/>
  <c r="K48" i="2"/>
  <c r="K49" i="2" s="1"/>
  <c r="I7" i="1" l="1"/>
  <c r="G7" i="1"/>
  <c r="N7" i="1"/>
  <c r="L7" i="1"/>
  <c r="G8" i="1"/>
  <c r="I8" i="1"/>
  <c r="N8" i="1"/>
  <c r="L8" i="1"/>
  <c r="P17" i="2" l="1"/>
  <c r="P9" i="2"/>
  <c r="P15" i="2"/>
  <c r="P7" i="2"/>
  <c r="P28" i="2"/>
  <c r="P29" i="2"/>
  <c r="P14" i="2"/>
  <c r="P12" i="2"/>
  <c r="P16" i="2"/>
  <c r="P11" i="2"/>
  <c r="P8" i="2"/>
  <c r="P13" i="2"/>
  <c r="Q14" i="2" l="1"/>
  <c r="S14" i="2"/>
  <c r="Q16" i="2"/>
  <c r="S16" i="2"/>
  <c r="Q9" i="2"/>
  <c r="S9" i="2"/>
  <c r="S13" i="2"/>
  <c r="Q13" i="2"/>
  <c r="F33" i="1"/>
  <c r="K33" i="1"/>
  <c r="P43" i="2"/>
  <c r="Q28" i="2"/>
  <c r="S28" i="2"/>
  <c r="P31" i="2"/>
  <c r="Q7" i="2"/>
  <c r="P24" i="2"/>
  <c r="S7" i="2"/>
  <c r="Q17" i="2"/>
  <c r="S17" i="2"/>
  <c r="S29" i="2"/>
  <c r="Q29" i="2"/>
  <c r="S12" i="2"/>
  <c r="Q12" i="2"/>
  <c r="Q15" i="2"/>
  <c r="S15" i="2"/>
  <c r="Q8" i="2"/>
  <c r="S8" i="2"/>
  <c r="S11" i="2"/>
  <c r="P25" i="2"/>
  <c r="Q11" i="2"/>
  <c r="P32" i="2"/>
  <c r="S43" i="2" l="1"/>
  <c r="Q43" i="2"/>
  <c r="N33" i="1"/>
  <c r="L33" i="1"/>
  <c r="K9" i="1"/>
  <c r="F9" i="1"/>
  <c r="G33" i="1"/>
  <c r="I33" i="1"/>
  <c r="K10" i="1"/>
  <c r="F10" i="1"/>
  <c r="S25" i="2"/>
  <c r="Q25" i="2"/>
  <c r="Q31" i="2"/>
  <c r="S31" i="2"/>
  <c r="Q24" i="2"/>
  <c r="S24" i="2"/>
  <c r="P27" i="2"/>
  <c r="S32" i="2"/>
  <c r="Q32" i="2"/>
  <c r="P33" i="2"/>
  <c r="Q27" i="2" l="1"/>
  <c r="S27" i="2"/>
  <c r="S33" i="2"/>
  <c r="Q33" i="2"/>
  <c r="K11" i="1"/>
  <c r="K12" i="1" s="1"/>
  <c r="G10" i="1"/>
  <c r="I10" i="1"/>
  <c r="L9" i="1"/>
  <c r="N9" i="1"/>
  <c r="F11" i="1"/>
  <c r="F12" i="1" s="1"/>
  <c r="I9" i="1"/>
  <c r="G9" i="1"/>
  <c r="L10" i="1"/>
  <c r="N10" i="1"/>
  <c r="L11" i="1" l="1"/>
  <c r="N11" i="1"/>
  <c r="I12" i="1"/>
  <c r="G12" i="1"/>
  <c r="I11" i="1"/>
  <c r="G11" i="1"/>
  <c r="N12" i="1"/>
  <c r="L12" i="1"/>
  <c r="P48" i="2"/>
  <c r="P39" i="2"/>
  <c r="Q39" i="2" l="1"/>
  <c r="S39" i="2"/>
  <c r="P40" i="2"/>
  <c r="P41" i="2" l="1"/>
  <c r="S40" i="2"/>
  <c r="Q40" i="2"/>
  <c r="P44" i="2" l="1"/>
  <c r="G42" i="2"/>
  <c r="S41" i="2"/>
  <c r="Q41" i="2"/>
  <c r="P51" i="2"/>
  <c r="P52" i="2" l="1"/>
  <c r="Q51" i="2"/>
  <c r="K34" i="1"/>
  <c r="F34" i="1"/>
  <c r="P49" i="2"/>
  <c r="S44" i="2"/>
  <c r="Q44" i="2"/>
  <c r="Q52" i="2" l="1"/>
  <c r="Q53" i="2"/>
  <c r="K35" i="1"/>
  <c r="N34" i="1"/>
  <c r="L34" i="1"/>
  <c r="F35" i="1"/>
  <c r="G35" i="1" s="1"/>
  <c r="G34" i="1"/>
  <c r="I34" i="1"/>
  <c r="I35" i="1" s="1"/>
  <c r="L35" i="1" l="1"/>
  <c r="N35" i="1"/>
  <c r="K14" i="1"/>
  <c r="F14" i="1"/>
  <c r="K13" i="1"/>
  <c r="F13" i="1"/>
  <c r="F15" i="1"/>
  <c r="I15" i="1" l="1"/>
  <c r="G15" i="1"/>
  <c r="F19" i="1"/>
  <c r="K15" i="1"/>
  <c r="G13" i="1"/>
  <c r="I13" i="1"/>
  <c r="F16" i="1"/>
  <c r="F17" i="1"/>
  <c r="K16" i="1"/>
  <c r="L13" i="1"/>
  <c r="N13" i="1"/>
  <c r="K17" i="1"/>
  <c r="G14" i="1"/>
  <c r="I14" i="1"/>
  <c r="F18" i="1"/>
  <c r="K18" i="1"/>
  <c r="N14" i="1"/>
  <c r="L14" i="1"/>
  <c r="I18" i="1" l="1"/>
  <c r="G18" i="1"/>
  <c r="L17" i="1"/>
  <c r="N17" i="1"/>
  <c r="N18" i="1"/>
  <c r="L18" i="1"/>
  <c r="L16" i="1"/>
  <c r="N16" i="1"/>
  <c r="I17" i="1"/>
  <c r="G17" i="1"/>
  <c r="F20" i="1"/>
  <c r="I16" i="1"/>
  <c r="G16" i="1"/>
  <c r="L15" i="1"/>
  <c r="N15" i="1"/>
  <c r="K19" i="1"/>
  <c r="I19" i="1"/>
  <c r="G19" i="1"/>
  <c r="K20" i="1" l="1"/>
  <c r="N19" i="1"/>
  <c r="L19" i="1"/>
  <c r="G20" i="1"/>
  <c r="I20" i="1"/>
  <c r="N20" i="1" l="1"/>
  <c r="L20" i="1"/>
  <c r="U10" i="2" l="1"/>
  <c r="X10" i="2" l="1"/>
  <c r="V10" i="2"/>
  <c r="U7" i="2" l="1"/>
  <c r="X7" i="2" l="1"/>
  <c r="V7" i="2"/>
  <c r="U8" i="2" l="1"/>
  <c r="V8" i="2" l="1"/>
  <c r="X8" i="2"/>
  <c r="U9" i="2" l="1"/>
  <c r="X9" i="2" l="1"/>
  <c r="V9" i="2"/>
  <c r="U24" i="2"/>
  <c r="X24" i="2" l="1"/>
  <c r="V24" i="2"/>
  <c r="U17" i="2" l="1"/>
  <c r="X17" i="2" l="1"/>
  <c r="V17" i="2"/>
  <c r="U16" i="2" l="1"/>
  <c r="X16" i="2" l="1"/>
  <c r="V16" i="2"/>
  <c r="U12" i="2" l="1"/>
  <c r="U11" i="2"/>
  <c r="X11" i="2" l="1"/>
  <c r="V11" i="2"/>
  <c r="V12" i="2"/>
  <c r="X12" i="2"/>
  <c r="U14" i="2"/>
  <c r="X14" i="2" l="1"/>
  <c r="V14" i="2"/>
  <c r="U15" i="2" l="1"/>
  <c r="X15" i="2" l="1"/>
  <c r="V15" i="2"/>
  <c r="U13" i="2"/>
  <c r="X13" i="2" l="1"/>
  <c r="V13" i="2"/>
  <c r="U25" i="2"/>
  <c r="X25" i="2" l="1"/>
  <c r="V25" i="2"/>
  <c r="U27" i="2"/>
  <c r="V27" i="2" l="1"/>
  <c r="X27" i="2"/>
  <c r="U32" i="2" l="1"/>
  <c r="X32" i="2" l="1"/>
  <c r="V32" i="2"/>
  <c r="T28" i="1"/>
  <c r="W28" i="1" l="1"/>
  <c r="U28" i="1"/>
  <c r="U33" i="2" l="1"/>
  <c r="X33" i="2" l="1"/>
  <c r="V33" i="2"/>
  <c r="T29" i="1"/>
  <c r="U54" i="2"/>
  <c r="U60" i="2"/>
  <c r="U29" i="1" l="1"/>
  <c r="W29" i="1"/>
  <c r="V60" i="2"/>
  <c r="V54" i="2"/>
  <c r="U30" i="2" l="1"/>
  <c r="V30" i="2" l="1"/>
  <c r="X30" i="2"/>
  <c r="V43" i="2" l="1"/>
  <c r="X43" i="2"/>
  <c r="K36" i="1" l="1"/>
  <c r="F36" i="1"/>
  <c r="G36" i="1" s="1"/>
  <c r="F37" i="1" l="1"/>
  <c r="I36" i="1"/>
  <c r="K37" i="1"/>
  <c r="N36" i="1"/>
  <c r="L36" i="1"/>
  <c r="L37" i="1" l="1"/>
  <c r="N37" i="1"/>
  <c r="G37" i="1"/>
  <c r="I37" i="1"/>
  <c r="U29" i="2"/>
  <c r="X29" i="2" l="1"/>
  <c r="V29" i="2"/>
  <c r="F22" i="1"/>
  <c r="K22" i="1"/>
  <c r="U28" i="2"/>
  <c r="K27" i="1" l="1"/>
  <c r="L22" i="1"/>
  <c r="N22" i="1"/>
  <c r="G22" i="1"/>
  <c r="I22" i="1"/>
  <c r="F27" i="1"/>
  <c r="U31" i="2"/>
  <c r="X28" i="2"/>
  <c r="V28" i="2"/>
  <c r="U53" i="2" l="1"/>
  <c r="V53" i="2" s="1"/>
  <c r="X31" i="2"/>
  <c r="V31" i="2"/>
  <c r="G27" i="1"/>
  <c r="I27" i="1"/>
  <c r="L27" i="1"/>
  <c r="N27" i="1"/>
  <c r="U34" i="2" l="1"/>
  <c r="K21" i="1"/>
  <c r="F21" i="1"/>
  <c r="F23" i="1" l="1"/>
  <c r="K23" i="1"/>
  <c r="I21" i="1"/>
  <c r="G21" i="1"/>
  <c r="F24" i="1"/>
  <c r="F25" i="1"/>
  <c r="K24" i="1"/>
  <c r="L21" i="1"/>
  <c r="N21" i="1"/>
  <c r="K25" i="1"/>
  <c r="T30" i="1"/>
  <c r="V34" i="2"/>
  <c r="X34" i="2"/>
  <c r="U52" i="2"/>
  <c r="F39" i="1" l="1"/>
  <c r="K39" i="1"/>
  <c r="U48" i="2"/>
  <c r="U55" i="2" s="1"/>
  <c r="U39" i="2"/>
  <c r="K26" i="1"/>
  <c r="L25" i="1"/>
  <c r="N25" i="1"/>
  <c r="G25" i="1"/>
  <c r="I25" i="1"/>
  <c r="F26" i="1"/>
  <c r="W30" i="1"/>
  <c r="U30" i="1"/>
  <c r="K28" i="1"/>
  <c r="N23" i="1"/>
  <c r="L23" i="1"/>
  <c r="W52" i="2"/>
  <c r="V52" i="2"/>
  <c r="N24" i="1"/>
  <c r="L24" i="1"/>
  <c r="I24" i="1"/>
  <c r="G24" i="1"/>
  <c r="G23" i="1"/>
  <c r="I23" i="1"/>
  <c r="F28" i="1"/>
  <c r="V55" i="2" l="1"/>
  <c r="V56" i="2" s="1"/>
  <c r="U56" i="2"/>
  <c r="N26" i="1"/>
  <c r="L26" i="1"/>
  <c r="L28" i="1"/>
  <c r="N28" i="1"/>
  <c r="U64" i="2"/>
  <c r="X39" i="2"/>
  <c r="V39" i="2"/>
  <c r="U68" i="2"/>
  <c r="V68" i="2" s="1"/>
  <c r="U40" i="2"/>
  <c r="I26" i="1"/>
  <c r="G26" i="1"/>
  <c r="F29" i="1"/>
  <c r="G28" i="1"/>
  <c r="I28" i="1"/>
  <c r="K29" i="1"/>
  <c r="U57" i="2"/>
  <c r="V57" i="2" s="1"/>
  <c r="V64" i="2" l="1"/>
  <c r="V65" i="2" s="1"/>
  <c r="U65" i="2"/>
  <c r="K30" i="1"/>
  <c r="N29" i="1"/>
  <c r="L29" i="1"/>
  <c r="F40" i="1"/>
  <c r="F30" i="1"/>
  <c r="G29" i="1"/>
  <c r="I29" i="1"/>
  <c r="U41" i="2"/>
  <c r="X40" i="2"/>
  <c r="T32" i="1"/>
  <c r="V40" i="2"/>
  <c r="K40" i="1"/>
  <c r="U44" i="2" l="1"/>
  <c r="X41" i="2"/>
  <c r="V41" i="2"/>
  <c r="U70" i="2"/>
  <c r="U71" i="2" s="1"/>
  <c r="V71" i="2" s="1"/>
  <c r="I30" i="1"/>
  <c r="G30" i="1"/>
  <c r="T31" i="1"/>
  <c r="W32" i="1"/>
  <c r="U32" i="1"/>
  <c r="N30" i="1"/>
  <c r="L30" i="1"/>
  <c r="W31" i="1" l="1"/>
  <c r="U31" i="1"/>
  <c r="U49" i="2"/>
  <c r="X44" i="2"/>
  <c r="V44" i="2"/>
</calcChain>
</file>

<file path=xl/sharedStrings.xml><?xml version="1.0" encoding="utf-8"?>
<sst xmlns="http://schemas.openxmlformats.org/spreadsheetml/2006/main" count="538" uniqueCount="195">
  <si>
    <t>물량</t>
    <phoneticPr fontId="1" type="noConversion"/>
  </si>
  <si>
    <t>골재</t>
    <phoneticPr fontId="1" type="noConversion"/>
  </si>
  <si>
    <t>매출</t>
    <phoneticPr fontId="1" type="noConversion"/>
  </si>
  <si>
    <t>건자재</t>
    <phoneticPr fontId="1" type="noConversion"/>
  </si>
  <si>
    <t>기타</t>
    <phoneticPr fontId="1" type="noConversion"/>
  </si>
  <si>
    <t>매출원가</t>
    <phoneticPr fontId="1" type="noConversion"/>
  </si>
  <si>
    <t>판관비</t>
    <phoneticPr fontId="1" type="noConversion"/>
  </si>
  <si>
    <t>영업이익</t>
    <phoneticPr fontId="1" type="noConversion"/>
  </si>
  <si>
    <t>계</t>
    <phoneticPr fontId="1" type="noConversion"/>
  </si>
  <si>
    <t>%</t>
  </si>
  <si>
    <t>%</t>
    <phoneticPr fontId="1" type="noConversion"/>
  </si>
  <si>
    <t>구분</t>
    <phoneticPr fontId="1" type="noConversion"/>
  </si>
  <si>
    <t>계획</t>
  </si>
  <si>
    <t>실적</t>
  </si>
  <si>
    <t>전년</t>
  </si>
  <si>
    <t>매출이익</t>
    <phoneticPr fontId="1" type="noConversion"/>
  </si>
  <si>
    <t>수도권</t>
  </si>
  <si>
    <t>영남권</t>
  </si>
  <si>
    <t>안양</t>
  </si>
  <si>
    <t>인천</t>
  </si>
  <si>
    <t>파주</t>
  </si>
  <si>
    <t>부산</t>
  </si>
  <si>
    <t>서부산</t>
  </si>
  <si>
    <t>김해</t>
  </si>
  <si>
    <t>정관</t>
  </si>
  <si>
    <t>양산</t>
  </si>
  <si>
    <t>창원</t>
  </si>
  <si>
    <t>아산</t>
  </si>
  <si>
    <t>차이</t>
  </si>
  <si>
    <t>공통비</t>
    <phoneticPr fontId="1" type="noConversion"/>
  </si>
  <si>
    <t>기타 계</t>
  </si>
  <si>
    <t>임대 계</t>
    <phoneticPr fontId="1" type="noConversion"/>
  </si>
  <si>
    <t>합계</t>
    <phoneticPr fontId="1" type="noConversion"/>
  </si>
  <si>
    <t>골재 계</t>
    <phoneticPr fontId="1" type="noConversion"/>
  </si>
  <si>
    <t>변동비</t>
    <phoneticPr fontId="1" type="noConversion"/>
  </si>
  <si>
    <t>구분</t>
    <phoneticPr fontId="1" type="noConversion"/>
  </si>
  <si>
    <t>계획</t>
    <phoneticPr fontId="1" type="noConversion"/>
  </si>
  <si>
    <t>실적</t>
    <phoneticPr fontId="1" type="noConversion"/>
  </si>
  <si>
    <t>차이</t>
    <phoneticPr fontId="1" type="noConversion"/>
  </si>
  <si>
    <t>전년</t>
    <phoneticPr fontId="1" type="noConversion"/>
  </si>
  <si>
    <t>레미콘</t>
    <phoneticPr fontId="1" type="noConversion"/>
  </si>
  <si>
    <t>직영</t>
    <phoneticPr fontId="1" type="noConversion"/>
  </si>
  <si>
    <t>수도권</t>
    <phoneticPr fontId="1" type="noConversion"/>
  </si>
  <si>
    <t>영남권</t>
    <phoneticPr fontId="1" type="noConversion"/>
  </si>
  <si>
    <t>임대</t>
    <phoneticPr fontId="1" type="noConversion"/>
  </si>
  <si>
    <t>골재</t>
    <phoneticPr fontId="1" type="noConversion"/>
  </si>
  <si>
    <t>부산골재</t>
    <phoneticPr fontId="1" type="noConversion"/>
  </si>
  <si>
    <t>서부산골재</t>
    <phoneticPr fontId="1" type="noConversion"/>
  </si>
  <si>
    <t>건자재</t>
    <phoneticPr fontId="1" type="noConversion"/>
  </si>
  <si>
    <t>기타</t>
    <phoneticPr fontId="1" type="noConversion"/>
  </si>
  <si>
    <t>공통비</t>
    <phoneticPr fontId="1" type="noConversion"/>
  </si>
  <si>
    <t>물량</t>
    <phoneticPr fontId="1" type="noConversion"/>
  </si>
  <si>
    <t>매출</t>
    <phoneticPr fontId="1" type="noConversion"/>
  </si>
  <si>
    <t>판매단가</t>
    <phoneticPr fontId="1" type="noConversion"/>
  </si>
  <si>
    <t>공헌이익</t>
    <phoneticPr fontId="1" type="noConversion"/>
  </si>
  <si>
    <t>구분</t>
    <phoneticPr fontId="1" type="noConversion"/>
  </si>
  <si>
    <t>계획대비</t>
    <phoneticPr fontId="1" type="noConversion"/>
  </si>
  <si>
    <t>전년대비</t>
    <phoneticPr fontId="1" type="noConversion"/>
  </si>
  <si>
    <t>계</t>
    <phoneticPr fontId="1" type="noConversion"/>
  </si>
  <si>
    <t>판매단가</t>
    <phoneticPr fontId="1" type="noConversion"/>
  </si>
  <si>
    <t>공헌이익</t>
    <phoneticPr fontId="1" type="noConversion"/>
  </si>
  <si>
    <t>구분</t>
    <phoneticPr fontId="1" type="noConversion"/>
  </si>
  <si>
    <t>계획</t>
    <phoneticPr fontId="1" type="noConversion"/>
  </si>
  <si>
    <t>실적</t>
    <phoneticPr fontId="1" type="noConversion"/>
  </si>
  <si>
    <t>계획대비</t>
    <phoneticPr fontId="1" type="noConversion"/>
  </si>
  <si>
    <t>전년</t>
    <phoneticPr fontId="1" type="noConversion"/>
  </si>
  <si>
    <t>전년대비</t>
    <phoneticPr fontId="1" type="noConversion"/>
  </si>
  <si>
    <t>실적</t>
    <phoneticPr fontId="1" type="noConversion"/>
  </si>
  <si>
    <t>철강재</t>
    <phoneticPr fontId="1" type="noConversion"/>
  </si>
  <si>
    <t>대구</t>
    <phoneticPr fontId="1" type="noConversion"/>
  </si>
  <si>
    <t>울산</t>
    <phoneticPr fontId="1" type="noConversion"/>
  </si>
  <si>
    <t>전주</t>
    <phoneticPr fontId="1" type="noConversion"/>
  </si>
  <si>
    <t>군산</t>
    <phoneticPr fontId="1" type="noConversion"/>
  </si>
  <si>
    <t>원주</t>
    <phoneticPr fontId="1" type="noConversion"/>
  </si>
  <si>
    <t>제주</t>
    <phoneticPr fontId="1" type="noConversion"/>
  </si>
  <si>
    <t>아산</t>
    <phoneticPr fontId="1" type="noConversion"/>
  </si>
  <si>
    <t>[단위 : 천㎥, 톤, 백만원]</t>
  </si>
  <si>
    <t>대구</t>
    <phoneticPr fontId="1" type="noConversion"/>
  </si>
  <si>
    <t>울산</t>
    <phoneticPr fontId="1" type="noConversion"/>
  </si>
  <si>
    <t>레미콘임대</t>
    <phoneticPr fontId="1" type="noConversion"/>
  </si>
  <si>
    <t>레미콘임대 계</t>
    <phoneticPr fontId="1" type="noConversion"/>
  </si>
  <si>
    <t>확인</t>
    <phoneticPr fontId="1" type="noConversion"/>
  </si>
  <si>
    <t xml:space="preserve"> </t>
    <phoneticPr fontId="1" type="noConversion"/>
  </si>
  <si>
    <t>□ 레미콘</t>
    <phoneticPr fontId="1" type="noConversion"/>
  </si>
  <si>
    <t>□ 건자재</t>
    <phoneticPr fontId="1" type="noConversion"/>
  </si>
  <si>
    <t>철강재 판매단가</t>
    <phoneticPr fontId="1" type="noConversion"/>
  </si>
  <si>
    <t>철강재 마진률</t>
    <phoneticPr fontId="1" type="noConversion"/>
  </si>
  <si>
    <t>□ 골재</t>
    <phoneticPr fontId="1" type="noConversion"/>
  </si>
  <si>
    <t>판매량</t>
    <phoneticPr fontId="1" type="noConversion"/>
  </si>
  <si>
    <t>자가</t>
    <phoneticPr fontId="1" type="noConversion"/>
  </si>
  <si>
    <t>외판</t>
    <phoneticPr fontId="1" type="noConversion"/>
  </si>
  <si>
    <t>계획대비</t>
  </si>
  <si>
    <t>전년대비</t>
  </si>
  <si>
    <t>레미콘 계</t>
    <phoneticPr fontId="1" type="noConversion"/>
  </si>
  <si>
    <t>OPC 소급분</t>
    <phoneticPr fontId="1" type="noConversion"/>
  </si>
  <si>
    <t>대손</t>
    <phoneticPr fontId="1" type="noConversion"/>
  </si>
  <si>
    <t>기타 계</t>
    <phoneticPr fontId="1" type="noConversion"/>
  </si>
  <si>
    <t>영업이익(공통비 배부전)</t>
    <phoneticPr fontId="1" type="noConversion"/>
  </si>
  <si>
    <t>합 계</t>
    <phoneticPr fontId="1" type="noConversion"/>
  </si>
  <si>
    <t>[단위 : 천㎥, 톤, 원/㎥, 원/톤, 백만원]</t>
    <phoneticPr fontId="1" type="noConversion"/>
  </si>
  <si>
    <t>합계</t>
    <phoneticPr fontId="1" type="noConversion"/>
  </si>
  <si>
    <t>기타</t>
    <phoneticPr fontId="1" type="noConversion"/>
  </si>
  <si>
    <t>레미콘임대</t>
    <phoneticPr fontId="1" type="noConversion"/>
  </si>
  <si>
    <t>중부권</t>
  </si>
  <si>
    <t>중부권</t>
    <phoneticPr fontId="1" type="noConversion"/>
  </si>
  <si>
    <t>중부권</t>
    <phoneticPr fontId="1" type="noConversion"/>
  </si>
  <si>
    <t>김포</t>
    <phoneticPr fontId="1" type="noConversion"/>
  </si>
  <si>
    <t>김포</t>
  </si>
  <si>
    <t>부산크라샤</t>
    <phoneticPr fontId="1" type="noConversion"/>
  </si>
  <si>
    <t>미운영 공장</t>
    <phoneticPr fontId="1" type="noConversion"/>
  </si>
  <si>
    <t>□ 기타내역(영업이익)</t>
    <phoneticPr fontId="1" type="noConversion"/>
  </si>
  <si>
    <t>건자재</t>
    <phoneticPr fontId="1" type="noConversion"/>
  </si>
  <si>
    <t>부산모래장</t>
    <phoneticPr fontId="1" type="noConversion"/>
  </si>
  <si>
    <t>서부산크라샤</t>
    <phoneticPr fontId="1" type="noConversion"/>
  </si>
  <si>
    <t>강릉임대</t>
    <phoneticPr fontId="1" type="noConversion"/>
  </si>
  <si>
    <t>속초임대</t>
    <phoneticPr fontId="1" type="noConversion"/>
  </si>
  <si>
    <t>포항임대</t>
    <phoneticPr fontId="1" type="noConversion"/>
  </si>
  <si>
    <t>부동산임대</t>
  </si>
  <si>
    <t>주유소임대</t>
  </si>
  <si>
    <t>공    통    비</t>
  </si>
  <si>
    <t>서부산CR</t>
    <phoneticPr fontId="1" type="noConversion"/>
  </si>
  <si>
    <t>부산CR</t>
    <phoneticPr fontId="1" type="noConversion"/>
  </si>
  <si>
    <t>제주</t>
  </si>
  <si>
    <t>원주</t>
  </si>
  <si>
    <t>군산</t>
  </si>
  <si>
    <t>전주</t>
  </si>
  <si>
    <t>울산</t>
  </si>
  <si>
    <t>대구</t>
  </si>
  <si>
    <t>기타권</t>
    <phoneticPr fontId="1" type="noConversion"/>
  </si>
  <si>
    <t>손익</t>
    <phoneticPr fontId="1" type="noConversion"/>
  </si>
  <si>
    <t>판관비 등 차이</t>
    <phoneticPr fontId="1" type="noConversion"/>
  </si>
  <si>
    <t>제조원가 차이</t>
    <phoneticPr fontId="1" type="noConversion"/>
  </si>
  <si>
    <t>판매단가 차이</t>
    <phoneticPr fontId="1" type="noConversion"/>
  </si>
  <si>
    <t>물량 차이</t>
    <phoneticPr fontId="1" type="noConversion"/>
  </si>
  <si>
    <t>영업이익(공통비 미배부)</t>
    <phoneticPr fontId="1" type="noConversion"/>
  </si>
  <si>
    <t>[단위 : 백만원, 천㎥]</t>
    <phoneticPr fontId="1" type="noConversion"/>
  </si>
  <si>
    <t>평균</t>
    <phoneticPr fontId="1" type="noConversion"/>
  </si>
  <si>
    <t>변동비 계</t>
    <phoneticPr fontId="1" type="noConversion"/>
  </si>
  <si>
    <t>유류비</t>
    <phoneticPr fontId="1" type="noConversion"/>
  </si>
  <si>
    <t>운반비</t>
    <phoneticPr fontId="1" type="noConversion"/>
  </si>
  <si>
    <t>재료비</t>
    <phoneticPr fontId="1" type="noConversion"/>
  </si>
  <si>
    <t>[단위 : 원/㎥]</t>
    <phoneticPr fontId="1" type="noConversion"/>
  </si>
  <si>
    <t>모래 (원/톤)</t>
  </si>
  <si>
    <t>자갈 (원/톤)</t>
  </si>
  <si>
    <t>FA (원/톤)</t>
  </si>
  <si>
    <t>SP (원/톤)</t>
  </si>
  <si>
    <t>SC (원/톤)</t>
    <phoneticPr fontId="1" type="noConversion"/>
  </si>
  <si>
    <t>OPC (원/톤)</t>
    <phoneticPr fontId="1" type="noConversion"/>
  </si>
  <si>
    <t>혼화제</t>
    <phoneticPr fontId="1" type="noConversion"/>
  </si>
  <si>
    <t>모래</t>
    <phoneticPr fontId="1" type="noConversion"/>
  </si>
  <si>
    <t>자갈</t>
    <phoneticPr fontId="1" type="noConversion"/>
  </si>
  <si>
    <t>분체류 치환률</t>
    <phoneticPr fontId="1" type="noConversion"/>
  </si>
  <si>
    <t>분체류</t>
    <phoneticPr fontId="1" type="noConversion"/>
  </si>
  <si>
    <t>OPC</t>
    <phoneticPr fontId="1" type="noConversion"/>
  </si>
  <si>
    <t>[단위 : kg/㎥]</t>
    <phoneticPr fontId="1" type="noConversion"/>
  </si>
  <si>
    <t xml:space="preserve">   · 집합대손 2.2억 // 개별대손 3억(삼정이앤시) → 안양 2.9억, 양산 0.1억</t>
    <phoneticPr fontId="1" type="noConversion"/>
  </si>
  <si>
    <t>퇴직위로금</t>
    <phoneticPr fontId="1" type="noConversion"/>
  </si>
  <si>
    <t>[단위 : 톤, 천원]</t>
    <phoneticPr fontId="1" type="noConversion"/>
  </si>
  <si>
    <t>철강재</t>
  </si>
  <si>
    <t>매출액</t>
    <phoneticPr fontId="1" type="noConversion"/>
  </si>
  <si>
    <t>기타</t>
  </si>
  <si>
    <t>(소계)</t>
    <phoneticPr fontId="1" type="noConversion"/>
  </si>
  <si>
    <t>(소계)</t>
  </si>
  <si>
    <t>판관비</t>
  </si>
  <si>
    <t>노무비</t>
  </si>
  <si>
    <t>경비</t>
  </si>
  <si>
    <t>1월</t>
  </si>
  <si>
    <t>영업이익(공통비 배부후)</t>
    <phoneticPr fontId="1" type="noConversion"/>
  </si>
  <si>
    <t>2026년 1월 마감 손익</t>
    <phoneticPr fontId="1" type="noConversion"/>
  </si>
  <si>
    <t>레미콘사업본부</t>
    <phoneticPr fontId="1" type="noConversion"/>
  </si>
  <si>
    <t>□ 건재사업본부 손익실적(2026-01)</t>
    <phoneticPr fontId="1" type="noConversion"/>
  </si>
  <si>
    <t>1월</t>
    <phoneticPr fontId="1" type="noConversion"/>
  </si>
  <si>
    <t>1월 누계</t>
    <phoneticPr fontId="1" type="noConversion"/>
  </si>
  <si>
    <t>1월 주요지표</t>
    <phoneticPr fontId="1" type="noConversion"/>
  </si>
  <si>
    <t>1월누계</t>
  </si>
  <si>
    <t>2024년 1월 마감 손익</t>
  </si>
  <si>
    <t>□ 레미콘 영업이익(1월)</t>
  </si>
  <si>
    <t>물량</t>
    <phoneticPr fontId="1" type="noConversion"/>
  </si>
  <si>
    <t>매출</t>
    <phoneticPr fontId="1" type="noConversion"/>
  </si>
  <si>
    <t>매출이익</t>
    <phoneticPr fontId="1" type="noConversion"/>
  </si>
  <si>
    <t>영업이익</t>
    <phoneticPr fontId="1" type="noConversion"/>
  </si>
  <si>
    <t xml:space="preserve"> * 건자재</t>
    <phoneticPr fontId="1" type="noConversion"/>
  </si>
  <si>
    <t>EBITDA</t>
    <phoneticPr fontId="1" type="noConversion"/>
  </si>
  <si>
    <t>감가상각비</t>
    <phoneticPr fontId="1" type="noConversion"/>
  </si>
  <si>
    <t>판관</t>
    <phoneticPr fontId="1" type="noConversion"/>
  </si>
  <si>
    <t>영업이익 I</t>
    <phoneticPr fontId="1" type="noConversion"/>
  </si>
  <si>
    <t>영업이익 II</t>
    <phoneticPr fontId="1" type="noConversion"/>
  </si>
  <si>
    <t>□ 건자재 손익실적(2026-01)</t>
    <phoneticPr fontId="1" type="noConversion"/>
  </si>
  <si>
    <t>□ 사업장별 손익실적(2026-01)</t>
    <phoneticPr fontId="1" type="noConversion"/>
  </si>
  <si>
    <t>건자재영업</t>
  </si>
  <si>
    <t>(%)</t>
    <phoneticPr fontId="1" type="noConversion"/>
  </si>
  <si>
    <t>□ 레미콘 원재료 원단위(2026-01)</t>
  </si>
  <si>
    <t>□ 레미콘 원재료단가(2026-01)</t>
  </si>
  <si>
    <t>□ 레미콘 단위당 공헌이익(2026-01)</t>
  </si>
  <si>
    <t>□ 레미콘 영업이익 차이분석(2026-01)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</si>
</sst>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1">
    <numFmt numFmtId="41" formatCode="_-* #,##0_-;\-* #,##0_-;_-* &quot;-&quot;_-;_-@_-"/>
    <numFmt numFmtId="176" formatCode="#,##0_ "/>
    <numFmt numFmtId="177" formatCode="0.0%"/>
    <numFmt numFmtId="178" formatCode="#,##0_);[Red]\(#,##0\)"/>
    <numFmt numFmtId="179" formatCode="#,##0.0_);[Red]\(#,##0.0\)"/>
    <numFmt numFmtId="180" formatCode="#,##0.000_);[Red]\(#,##0.000\)"/>
    <numFmt numFmtId="181" formatCode="#,##0.0"/>
    <numFmt numFmtId="182" formatCode="0.0"/>
    <numFmt numFmtId="183" formatCode="#,##0.000000_ "/>
    <numFmt numFmtId="184" formatCode="0_);[Red]\(0\)"/>
    <numFmt numFmtId="185" formatCode="#,##0.00_);[Red]\(#,##0.00\)"/>
  </numFmts>
  <fonts count="2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1"/>
      <color theme="1"/>
      <name val="맑은 고딕"/>
      <family val="2"/>
      <charset val="129"/>
      <scheme val="minor"/>
    </font>
    <font>
      <b/>
      <sz val="18"/>
      <color theme="1"/>
      <name val="맑은 고딕"/>
      <family val="3"/>
      <charset val="129"/>
      <scheme val="minor"/>
    </font>
    <font>
      <b/>
      <sz val="15"/>
      <color theme="1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sz val="11"/>
      <color indexed="8"/>
      <name val="맑은 고딕"/>
      <family val="3"/>
      <charset val="129"/>
      <scheme val="minor"/>
    </font>
    <font>
      <b/>
      <sz val="16"/>
      <color theme="1"/>
      <name val="맑은 고딕"/>
      <family val="3"/>
      <charset val="129"/>
      <scheme val="minor"/>
    </font>
    <font>
      <sz val="11"/>
      <name val="굴림체"/>
      <family val="3"/>
      <charset val="129"/>
    </font>
    <font>
      <b/>
      <sz val="12"/>
      <color theme="0"/>
      <name val="맑은 고딕"/>
      <family val="3"/>
      <charset val="129"/>
      <scheme val="minor"/>
    </font>
    <font>
      <sz val="12"/>
      <color theme="1"/>
      <name val="맑은 고딕"/>
      <family val="3"/>
      <charset val="129"/>
      <scheme val="minor"/>
    </font>
    <font>
      <b/>
      <sz val="14"/>
      <color theme="0"/>
      <name val="맑은 고딕"/>
      <family val="3"/>
      <charset val="129"/>
      <scheme val="minor"/>
    </font>
    <font>
      <sz val="14"/>
      <color theme="1"/>
      <name val="맑은 고딕"/>
      <family val="3"/>
      <charset val="129"/>
      <scheme val="minor"/>
    </font>
    <font>
      <b/>
      <sz val="11"/>
      <color theme="0"/>
      <name val="맑은 고딕"/>
      <family val="3"/>
      <charset val="129"/>
      <scheme val="minor"/>
    </font>
    <font>
      <b/>
      <sz val="11"/>
      <color rgb="FF000000"/>
      <name val="맑은 고딕"/>
      <family val="3"/>
      <charset val="129"/>
    </font>
    <font>
      <b/>
      <sz val="11"/>
      <color rgb="FFFFFFFF"/>
      <name val="맑은 고딕"/>
      <family val="3"/>
      <charset val="129"/>
    </font>
    <font>
      <b/>
      <sz val="20"/>
      <color theme="1"/>
      <name val="맑은 고딕"/>
      <family val="3"/>
      <charset val="129"/>
      <scheme val="minor"/>
    </font>
    <font>
      <b/>
      <sz val="11"/>
      <color indexed="8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  <scheme val="minor"/>
    </font>
    <font>
      <b/>
      <sz val="36"/>
      <color theme="0"/>
      <name val="맑은 고딕"/>
      <family val="3"/>
      <charset val="129"/>
      <scheme val="minor"/>
    </font>
  </fonts>
  <fills count="16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800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rgb="FF0000CC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2CC"/>
        <bgColor rgb="FF000000"/>
      </patternFill>
    </fill>
    <fill>
      <patternFill patternType="solid">
        <fgColor rgb="FFBF8F00"/>
        <bgColor rgb="FF000000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theme="3"/>
        <bgColor indexed="64"/>
      </patternFill>
    </fill>
  </fills>
  <borders count="99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hair">
        <color auto="1"/>
      </right>
      <top/>
      <bottom/>
      <diagonal/>
    </border>
    <border>
      <left style="hair">
        <color auto="1"/>
      </left>
      <right style="hair">
        <color auto="1"/>
      </right>
      <top/>
      <bottom/>
      <diagonal/>
    </border>
    <border>
      <left style="hair">
        <color auto="1"/>
      </left>
      <right style="thin">
        <color auto="1"/>
      </right>
      <top/>
      <bottom/>
      <diagonal/>
    </border>
    <border>
      <left style="thin">
        <color auto="1"/>
      </left>
      <right style="hair">
        <color auto="1"/>
      </right>
      <top/>
      <bottom style="thin">
        <color auto="1"/>
      </bottom>
      <diagonal/>
    </border>
    <border>
      <left style="hair">
        <color auto="1"/>
      </left>
      <right style="hair">
        <color auto="1"/>
      </right>
      <top/>
      <bottom style="thin">
        <color auto="1"/>
      </bottom>
      <diagonal/>
    </border>
    <border>
      <left style="hair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hair">
        <color auto="1"/>
      </top>
      <bottom/>
      <diagonal/>
    </border>
    <border>
      <left style="thin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thin">
        <color auto="1"/>
      </right>
      <top style="hair">
        <color auto="1"/>
      </top>
      <bottom/>
      <diagonal/>
    </border>
    <border>
      <left style="thin">
        <color auto="1"/>
      </left>
      <right/>
      <top/>
      <bottom style="hair">
        <color auto="1"/>
      </bottom>
      <diagonal/>
    </border>
    <border>
      <left/>
      <right/>
      <top/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thin">
        <color auto="1"/>
      </right>
      <top/>
      <bottom style="hair">
        <color auto="1"/>
      </bottom>
      <diagonal/>
    </border>
    <border>
      <left style="hair">
        <color auto="1"/>
      </left>
      <right/>
      <top style="thin">
        <color auto="1"/>
      </top>
      <bottom/>
      <diagonal/>
    </border>
    <border>
      <left style="thin">
        <color auto="1"/>
      </left>
      <right style="hair">
        <color auto="1"/>
      </right>
      <top style="thin">
        <color auto="1"/>
      </top>
      <bottom/>
      <diagonal/>
    </border>
    <border>
      <left style="hair">
        <color auto="1"/>
      </left>
      <right style="hair">
        <color auto="1"/>
      </right>
      <top style="thin">
        <color auto="1"/>
      </top>
      <bottom/>
      <diagonal/>
    </border>
    <border>
      <left style="hair">
        <color auto="1"/>
      </left>
      <right style="thin">
        <color auto="1"/>
      </right>
      <top style="thin">
        <color auto="1"/>
      </top>
      <bottom/>
      <diagonal/>
    </border>
    <border>
      <left style="hair">
        <color auto="1"/>
      </left>
      <right/>
      <top/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hair">
        <color auto="1"/>
      </left>
      <right/>
      <top/>
      <bottom style="hair">
        <color auto="1"/>
      </bottom>
      <diagonal/>
    </border>
    <border>
      <left style="thin">
        <color auto="1"/>
      </left>
      <right/>
      <top style="thin">
        <color auto="1"/>
      </top>
      <bottom style="hair">
        <color auto="1"/>
      </bottom>
      <diagonal/>
    </border>
    <border>
      <left/>
      <right/>
      <top style="thin">
        <color auto="1"/>
      </top>
      <bottom style="hair">
        <color auto="1"/>
      </bottom>
      <diagonal/>
    </border>
    <border>
      <left/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 style="thin">
        <color auto="1"/>
      </top>
      <bottom style="thin">
        <color auto="1"/>
      </bottom>
      <diagonal/>
    </border>
    <border>
      <left/>
      <right style="hair">
        <color auto="1"/>
      </right>
      <top style="thin">
        <color auto="1"/>
      </top>
      <bottom/>
      <diagonal/>
    </border>
    <border>
      <left/>
      <right style="hair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/>
      <right style="hair">
        <color auto="1"/>
      </right>
      <top style="hair">
        <color auto="1"/>
      </top>
      <bottom style="thin">
        <color auto="1"/>
      </bottom>
      <diagonal/>
    </border>
    <border>
      <left/>
      <right style="hair">
        <color auto="1"/>
      </right>
      <top/>
      <bottom/>
      <diagonal/>
    </border>
    <border>
      <left/>
      <right style="hair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hair">
        <color auto="1"/>
      </right>
      <top/>
      <bottom style="hair">
        <color auto="1"/>
      </bottom>
      <diagonal/>
    </border>
    <border>
      <left/>
      <right style="thin">
        <color auto="1"/>
      </right>
      <top style="hair">
        <color auto="1"/>
      </top>
      <bottom style="thin">
        <color auto="1"/>
      </bottom>
      <diagonal/>
    </border>
    <border>
      <left/>
      <right style="thin">
        <color auto="1"/>
      </right>
      <top/>
      <bottom style="hair">
        <color auto="1"/>
      </bottom>
      <diagonal/>
    </border>
    <border>
      <left/>
      <right style="thin">
        <color auto="1"/>
      </right>
      <top style="hair">
        <color auto="1"/>
      </top>
      <bottom style="hair">
        <color auto="1"/>
      </bottom>
      <diagonal/>
    </border>
    <border>
      <left/>
      <right style="hair">
        <color auto="1"/>
      </right>
      <top style="hair">
        <color auto="1"/>
      </top>
      <bottom/>
      <diagonal/>
    </border>
    <border>
      <left/>
      <right style="thin">
        <color auto="1"/>
      </right>
      <top style="hair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 style="medium">
        <color auto="1"/>
      </right>
      <top/>
      <bottom/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/>
      <right/>
      <top style="hair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hair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hair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thick">
        <color auto="1"/>
      </left>
      <right style="thick">
        <color auto="1"/>
      </right>
      <top style="thin">
        <color auto="1"/>
      </top>
      <bottom/>
      <diagonal/>
    </border>
    <border>
      <left style="thick">
        <color auto="1"/>
      </left>
      <right style="thick">
        <color auto="1"/>
      </right>
      <top/>
      <bottom/>
      <diagonal/>
    </border>
    <border>
      <left style="thick">
        <color auto="1"/>
      </left>
      <right style="thick">
        <color auto="1"/>
      </right>
      <top/>
      <bottom style="hair">
        <color auto="1"/>
      </bottom>
      <diagonal/>
    </border>
    <border>
      <left style="thick">
        <color auto="1"/>
      </left>
      <right style="thick">
        <color auto="1"/>
      </right>
      <top/>
      <bottom style="thick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 style="thick">
        <color auto="1"/>
      </right>
      <top style="hair">
        <color auto="1"/>
      </top>
      <bottom/>
      <diagonal/>
    </border>
    <border>
      <left style="thin">
        <color auto="1"/>
      </left>
      <right/>
      <top style="hair">
        <color auto="1"/>
      </top>
      <bottom style="hair">
        <color auto="1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 style="medium">
        <color auto="1"/>
      </right>
      <top style="hair">
        <color auto="1"/>
      </top>
      <bottom/>
      <diagonal/>
    </border>
    <border>
      <left style="thin">
        <color auto="1"/>
      </left>
      <right style="thin">
        <color auto="1"/>
      </right>
      <top style="hair">
        <color auto="1"/>
      </top>
      <bottom/>
      <diagonal/>
    </border>
    <border>
      <left style="medium">
        <color auto="1"/>
      </left>
      <right style="medium">
        <color auto="1"/>
      </right>
      <top/>
      <bottom style="hair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/>
      <diagonal/>
    </border>
    <border>
      <left style="medium">
        <color auto="1"/>
      </left>
      <right style="medium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hair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/>
      <bottom style="thin">
        <color auto="1"/>
      </bottom>
      <diagonal/>
    </border>
    <border>
      <left style="hair">
        <color auto="1"/>
      </left>
      <right/>
      <top/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thin">
        <color auto="1"/>
      </bottom>
      <diagonal/>
    </border>
    <border>
      <left style="thick">
        <color auto="1"/>
      </left>
      <right style="thick">
        <color auto="1"/>
      </right>
      <top/>
      <bottom style="thin">
        <color auto="1"/>
      </bottom>
      <diagonal/>
    </border>
  </borders>
  <cellStyleXfs count="6">
    <xf numFmtId="0" fontId="0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/>
    <xf numFmtId="41" fontId="10" fillId="0" borderId="0" applyFont="0" applyFill="0" applyBorder="0" applyAlignment="0" applyProtection="0">
      <alignment vertical="center"/>
    </xf>
    <xf numFmtId="0" fontId="10" fillId="0" borderId="0"/>
    <xf numFmtId="9" fontId="3" fillId="0" borderId="0" applyFont="0" applyFill="0" applyBorder="0" applyAlignment="0" applyProtection="0">
      <alignment vertical="center"/>
    </xf>
  </cellStyleXfs>
  <cellXfs count="648">
    <xf numFmtId="0" fontId="0" fillId="0" borderId="0" xfId="0">
      <alignment vertical="center"/>
    </xf>
    <xf numFmtId="0" fontId="2" fillId="0" borderId="0" xfId="0" applyFont="1">
      <alignment vertical="center"/>
    </xf>
    <xf numFmtId="0" fontId="4" fillId="0" borderId="0" xfId="0" applyFont="1">
      <alignment vertical="center"/>
    </xf>
    <xf numFmtId="0" fontId="0" fillId="0" borderId="0" xfId="0" applyAlignment="1">
      <alignment horizontal="right" vertical="center"/>
    </xf>
    <xf numFmtId="178" fontId="0" fillId="0" borderId="0" xfId="0" applyNumberFormat="1">
      <alignment vertical="center"/>
    </xf>
    <xf numFmtId="0" fontId="5" fillId="0" borderId="0" xfId="0" applyFont="1">
      <alignment vertical="center"/>
    </xf>
    <xf numFmtId="0" fontId="0" fillId="0" borderId="0" xfId="0" applyFont="1">
      <alignment vertical="center"/>
    </xf>
    <xf numFmtId="178" fontId="6" fillId="0" borderId="24" xfId="1" applyNumberFormat="1" applyFont="1" applyFill="1" applyBorder="1" applyAlignment="1">
      <alignment vertical="center"/>
    </xf>
    <xf numFmtId="178" fontId="6" fillId="2" borderId="25" xfId="1" applyNumberFormat="1" applyFont="1" applyFill="1" applyBorder="1" applyAlignment="1">
      <alignment vertical="center"/>
    </xf>
    <xf numFmtId="178" fontId="6" fillId="0" borderId="49" xfId="1" applyNumberFormat="1" applyFont="1" applyFill="1" applyBorder="1">
      <alignment vertical="center"/>
    </xf>
    <xf numFmtId="178" fontId="6" fillId="0" borderId="25" xfId="1" applyNumberFormat="1" applyFont="1" applyFill="1" applyBorder="1">
      <alignment vertical="center"/>
    </xf>
    <xf numFmtId="178" fontId="6" fillId="0" borderId="26" xfId="1" applyNumberFormat="1" applyFont="1" applyFill="1" applyBorder="1">
      <alignment vertical="center"/>
    </xf>
    <xf numFmtId="178" fontId="6" fillId="0" borderId="51" xfId="1" applyNumberFormat="1" applyFont="1" applyFill="1" applyBorder="1" applyAlignment="1">
      <alignment vertical="center"/>
    </xf>
    <xf numFmtId="178" fontId="6" fillId="0" borderId="49" xfId="1" applyNumberFormat="1" applyFont="1" applyFill="1" applyBorder="1" applyAlignment="1">
      <alignment vertical="center"/>
    </xf>
    <xf numFmtId="178" fontId="6" fillId="0" borderId="26" xfId="1" applyNumberFormat="1" applyFont="1" applyFill="1" applyBorder="1" applyAlignment="1">
      <alignment vertical="center"/>
    </xf>
    <xf numFmtId="178" fontId="6" fillId="0" borderId="0" xfId="1" applyNumberFormat="1" applyFont="1">
      <alignment vertical="center"/>
    </xf>
    <xf numFmtId="41" fontId="6" fillId="0" borderId="0" xfId="1" applyFont="1">
      <alignment vertical="center"/>
    </xf>
    <xf numFmtId="178" fontId="6" fillId="2" borderId="43" xfId="1" applyNumberFormat="1" applyFont="1" applyFill="1" applyBorder="1" applyAlignment="1">
      <alignment vertical="center"/>
    </xf>
    <xf numFmtId="178" fontId="6" fillId="0" borderId="42" xfId="1" applyNumberFormat="1" applyFont="1" applyFill="1" applyBorder="1">
      <alignment vertical="center"/>
    </xf>
    <xf numFmtId="178" fontId="6" fillId="0" borderId="44" xfId="1" applyNumberFormat="1" applyFont="1" applyFill="1" applyBorder="1">
      <alignment vertical="center"/>
    </xf>
    <xf numFmtId="178" fontId="6" fillId="0" borderId="41" xfId="1" applyNumberFormat="1" applyFont="1" applyFill="1" applyBorder="1" applyAlignment="1">
      <alignment vertical="center"/>
    </xf>
    <xf numFmtId="178" fontId="6" fillId="0" borderId="52" xfId="1" applyNumberFormat="1" applyFont="1" applyFill="1" applyBorder="1" applyAlignment="1">
      <alignment vertical="center"/>
    </xf>
    <xf numFmtId="178" fontId="6" fillId="0" borderId="43" xfId="1" applyNumberFormat="1" applyFont="1" applyFill="1" applyBorder="1">
      <alignment vertical="center"/>
    </xf>
    <xf numFmtId="178" fontId="2" fillId="0" borderId="0" xfId="0" applyNumberFormat="1" applyFont="1">
      <alignment vertical="center"/>
    </xf>
    <xf numFmtId="178" fontId="2" fillId="0" borderId="0" xfId="1" applyNumberFormat="1" applyFont="1">
      <alignment vertical="center"/>
    </xf>
    <xf numFmtId="41" fontId="2" fillId="0" borderId="0" xfId="1" applyFont="1">
      <alignment vertical="center"/>
    </xf>
    <xf numFmtId="178" fontId="6" fillId="0" borderId="42" xfId="1" applyNumberFormat="1" applyFont="1" applyFill="1" applyBorder="1" applyAlignment="1">
      <alignment vertical="center"/>
    </xf>
    <xf numFmtId="178" fontId="6" fillId="0" borderId="44" xfId="1" applyNumberFormat="1" applyFont="1" applyFill="1" applyBorder="1" applyAlignment="1">
      <alignment vertical="center"/>
    </xf>
    <xf numFmtId="178" fontId="6" fillId="0" borderId="0" xfId="0" applyNumberFormat="1" applyFont="1">
      <alignment vertical="center"/>
    </xf>
    <xf numFmtId="178" fontId="0" fillId="0" borderId="0" xfId="0" applyNumberFormat="1" applyFont="1" applyAlignment="1">
      <alignment vertical="center"/>
    </xf>
    <xf numFmtId="178" fontId="6" fillId="0" borderId="0" xfId="0" applyNumberFormat="1" applyFont="1" applyAlignment="1">
      <alignment vertical="center"/>
    </xf>
    <xf numFmtId="178" fontId="6" fillId="0" borderId="28" xfId="1" applyNumberFormat="1" applyFont="1" applyFill="1" applyBorder="1" applyAlignment="1">
      <alignment vertical="center"/>
    </xf>
    <xf numFmtId="178" fontId="6" fillId="2" borderId="29" xfId="1" applyNumberFormat="1" applyFont="1" applyFill="1" applyBorder="1" applyAlignment="1">
      <alignment vertical="center"/>
    </xf>
    <xf numFmtId="178" fontId="6" fillId="0" borderId="39" xfId="1" applyNumberFormat="1" applyFont="1" applyFill="1" applyBorder="1">
      <alignment vertical="center"/>
    </xf>
    <xf numFmtId="178" fontId="6" fillId="0" borderId="29" xfId="1" applyNumberFormat="1" applyFont="1" applyFill="1" applyBorder="1">
      <alignment vertical="center"/>
    </xf>
    <xf numFmtId="178" fontId="6" fillId="0" borderId="30" xfId="1" applyNumberFormat="1" applyFont="1" applyFill="1" applyBorder="1">
      <alignment vertical="center"/>
    </xf>
    <xf numFmtId="178" fontId="6" fillId="0" borderId="2" xfId="1" applyNumberFormat="1" applyFont="1" applyFill="1" applyBorder="1">
      <alignment vertical="center"/>
    </xf>
    <xf numFmtId="178" fontId="6" fillId="0" borderId="29" xfId="1" applyNumberFormat="1" applyFont="1" applyFill="1" applyBorder="1" applyAlignment="1">
      <alignment horizontal="right" vertical="center"/>
    </xf>
    <xf numFmtId="178" fontId="6" fillId="0" borderId="3" xfId="1" applyNumberFormat="1" applyFont="1" applyFill="1" applyBorder="1" applyAlignment="1">
      <alignment vertical="center"/>
    </xf>
    <xf numFmtId="178" fontId="6" fillId="0" borderId="39" xfId="1" applyNumberFormat="1" applyFont="1" applyFill="1" applyBorder="1" applyAlignment="1">
      <alignment vertical="center"/>
    </xf>
    <xf numFmtId="178" fontId="6" fillId="0" borderId="30" xfId="1" applyNumberFormat="1" applyFont="1" applyFill="1" applyBorder="1" applyAlignment="1">
      <alignment vertical="center"/>
    </xf>
    <xf numFmtId="178" fontId="6" fillId="0" borderId="12" xfId="1" applyNumberFormat="1" applyFont="1" applyFill="1" applyBorder="1" applyAlignment="1">
      <alignment vertical="center"/>
    </xf>
    <xf numFmtId="178" fontId="6" fillId="2" borderId="13" xfId="1" applyNumberFormat="1" applyFont="1" applyFill="1" applyBorder="1" applyAlignment="1">
      <alignment vertical="center"/>
    </xf>
    <xf numFmtId="178" fontId="6" fillId="0" borderId="46" xfId="1" applyNumberFormat="1" applyFont="1" applyFill="1" applyBorder="1">
      <alignment vertical="center"/>
    </xf>
    <xf numFmtId="178" fontId="6" fillId="0" borderId="13" xfId="1" applyNumberFormat="1" applyFont="1" applyFill="1" applyBorder="1">
      <alignment vertical="center"/>
    </xf>
    <xf numFmtId="178" fontId="6" fillId="0" borderId="14" xfId="1" applyNumberFormat="1" applyFont="1" applyFill="1" applyBorder="1">
      <alignment vertical="center"/>
    </xf>
    <xf numFmtId="178" fontId="6" fillId="0" borderId="5" xfId="1" applyNumberFormat="1" applyFont="1" applyFill="1" applyBorder="1" applyAlignment="1">
      <alignment vertical="center"/>
    </xf>
    <xf numFmtId="178" fontId="6" fillId="0" borderId="46" xfId="1" applyNumberFormat="1" applyFont="1" applyFill="1" applyBorder="1" applyAlignment="1">
      <alignment vertical="center"/>
    </xf>
    <xf numFmtId="178" fontId="6" fillId="0" borderId="14" xfId="1" applyNumberFormat="1" applyFont="1" applyFill="1" applyBorder="1" applyAlignment="1">
      <alignment vertical="center"/>
    </xf>
    <xf numFmtId="178" fontId="6" fillId="0" borderId="12" xfId="0" applyNumberFormat="1" applyFont="1" applyFill="1" applyBorder="1" applyAlignment="1">
      <alignment vertical="center"/>
    </xf>
    <xf numFmtId="178" fontId="6" fillId="0" borderId="13" xfId="0" applyNumberFormat="1" applyFont="1" applyFill="1" applyBorder="1">
      <alignment vertical="center"/>
    </xf>
    <xf numFmtId="178" fontId="6" fillId="0" borderId="28" xfId="0" applyNumberFormat="1" applyFont="1" applyFill="1" applyBorder="1" applyAlignment="1">
      <alignment vertical="center"/>
    </xf>
    <xf numFmtId="178" fontId="6" fillId="2" borderId="39" xfId="0" applyNumberFormat="1" applyFont="1" applyFill="1" applyBorder="1" applyAlignment="1">
      <alignment vertical="center"/>
    </xf>
    <xf numFmtId="178" fontId="6" fillId="0" borderId="3" xfId="1" applyNumberFormat="1" applyFont="1" applyFill="1" applyBorder="1">
      <alignment vertical="center"/>
    </xf>
    <xf numFmtId="178" fontId="6" fillId="2" borderId="46" xfId="0" applyNumberFormat="1" applyFont="1" applyFill="1" applyBorder="1" applyAlignment="1">
      <alignment vertical="center"/>
    </xf>
    <xf numFmtId="178" fontId="6" fillId="0" borderId="5" xfId="1" applyNumberFormat="1" applyFont="1" applyFill="1" applyBorder="1">
      <alignment vertical="center"/>
    </xf>
    <xf numFmtId="178" fontId="6" fillId="0" borderId="46" xfId="0" applyNumberFormat="1" applyFont="1" applyFill="1" applyBorder="1">
      <alignment vertical="center"/>
    </xf>
    <xf numFmtId="178" fontId="6" fillId="0" borderId="5" xfId="0" applyNumberFormat="1" applyFont="1" applyFill="1" applyBorder="1">
      <alignment vertical="center"/>
    </xf>
    <xf numFmtId="178" fontId="6" fillId="0" borderId="19" xfId="1" applyNumberFormat="1" applyFont="1" applyFill="1" applyBorder="1" applyAlignment="1">
      <alignment vertical="center"/>
    </xf>
    <xf numFmtId="178" fontId="6" fillId="2" borderId="20" xfId="1" applyNumberFormat="1" applyFont="1" applyFill="1" applyBorder="1" applyAlignment="1">
      <alignment vertical="center"/>
    </xf>
    <xf numFmtId="178" fontId="6" fillId="0" borderId="53" xfId="1" applyNumberFormat="1" applyFont="1" applyFill="1" applyBorder="1">
      <alignment vertical="center"/>
    </xf>
    <xf numFmtId="178" fontId="6" fillId="0" borderId="20" xfId="1" applyNumberFormat="1" applyFont="1" applyFill="1" applyBorder="1">
      <alignment vertical="center"/>
    </xf>
    <xf numFmtId="178" fontId="6" fillId="0" borderId="21" xfId="1" applyNumberFormat="1" applyFont="1" applyFill="1" applyBorder="1">
      <alignment vertical="center"/>
    </xf>
    <xf numFmtId="178" fontId="6" fillId="0" borderId="54" xfId="1" applyNumberFormat="1" applyFont="1" applyFill="1" applyBorder="1" applyAlignment="1">
      <alignment vertical="center"/>
    </xf>
    <xf numFmtId="178" fontId="6" fillId="0" borderId="53" xfId="1" applyNumberFormat="1" applyFont="1" applyFill="1" applyBorder="1" applyAlignment="1">
      <alignment vertical="center"/>
    </xf>
    <xf numFmtId="178" fontId="6" fillId="0" borderId="21" xfId="1" applyNumberFormat="1" applyFont="1" applyFill="1" applyBorder="1" applyAlignment="1">
      <alignment vertical="center"/>
    </xf>
    <xf numFmtId="178" fontId="0" fillId="0" borderId="10" xfId="0" applyNumberFormat="1" applyBorder="1">
      <alignment vertical="center"/>
    </xf>
    <xf numFmtId="178" fontId="0" fillId="0" borderId="0" xfId="0" applyNumberFormat="1" applyBorder="1">
      <alignment vertical="center"/>
    </xf>
    <xf numFmtId="14" fontId="2" fillId="0" borderId="28" xfId="0" applyNumberFormat="1" applyFont="1" applyBorder="1" applyAlignment="1">
      <alignment horizontal="center" vertical="center"/>
    </xf>
    <xf numFmtId="14" fontId="2" fillId="0" borderId="30" xfId="0" applyNumberFormat="1" applyFont="1" applyBorder="1" applyAlignment="1">
      <alignment horizontal="center" vertical="center"/>
    </xf>
    <xf numFmtId="14" fontId="2" fillId="0" borderId="12" xfId="0" applyNumberFormat="1" applyFont="1" applyBorder="1" applyAlignment="1">
      <alignment horizontal="center" vertical="center"/>
    </xf>
    <xf numFmtId="14" fontId="2" fillId="0" borderId="14" xfId="0" applyNumberFormat="1" applyFont="1" applyBorder="1" applyAlignment="1">
      <alignment horizontal="center" vertical="center"/>
    </xf>
    <xf numFmtId="14" fontId="2" fillId="0" borderId="21" xfId="0" applyNumberFormat="1" applyFont="1" applyBorder="1" applyAlignment="1">
      <alignment horizontal="center" vertical="center"/>
    </xf>
    <xf numFmtId="14" fontId="2" fillId="0" borderId="26" xfId="0" applyNumberFormat="1" applyFont="1" applyBorder="1" applyAlignment="1">
      <alignment horizontal="center" vertical="center"/>
    </xf>
    <xf numFmtId="14" fontId="2" fillId="0" borderId="44" xfId="0" applyNumberFormat="1" applyFont="1" applyBorder="1" applyAlignment="1">
      <alignment horizontal="center" vertical="center"/>
    </xf>
    <xf numFmtId="14" fontId="2" fillId="0" borderId="4" xfId="0" applyNumberFormat="1" applyFont="1" applyBorder="1" applyAlignment="1">
      <alignment horizontal="center" vertical="center"/>
    </xf>
    <xf numFmtId="14" fontId="2" fillId="0" borderId="1" xfId="0" applyNumberFormat="1" applyFont="1" applyBorder="1" applyAlignment="1">
      <alignment horizontal="center" vertical="center"/>
    </xf>
    <xf numFmtId="0" fontId="2" fillId="0" borderId="12" xfId="0" applyFont="1" applyBorder="1" applyAlignment="1">
      <alignment vertical="center"/>
    </xf>
    <xf numFmtId="0" fontId="2" fillId="0" borderId="14" xfId="0" applyFont="1" applyBorder="1" applyAlignment="1">
      <alignment horizontal="center" vertical="center"/>
    </xf>
    <xf numFmtId="0" fontId="2" fillId="0" borderId="12" xfId="0" applyFont="1" applyBorder="1" applyAlignment="1">
      <alignment horizontal="center" vertical="center"/>
    </xf>
    <xf numFmtId="178" fontId="0" fillId="0" borderId="0" xfId="0" applyNumberFormat="1" applyFont="1">
      <alignment vertical="center"/>
    </xf>
    <xf numFmtId="176" fontId="0" fillId="0" borderId="0" xfId="0" applyNumberFormat="1">
      <alignment vertical="center"/>
    </xf>
    <xf numFmtId="41" fontId="0" fillId="0" borderId="0" xfId="1" applyFont="1">
      <alignment vertical="center"/>
    </xf>
    <xf numFmtId="0" fontId="12" fillId="0" borderId="0" xfId="0" applyFont="1">
      <alignment vertical="center"/>
    </xf>
    <xf numFmtId="0" fontId="7" fillId="0" borderId="4" xfId="0" applyFont="1" applyBorder="1" applyAlignment="1">
      <alignment horizontal="centerContinuous" vertical="center"/>
    </xf>
    <xf numFmtId="0" fontId="7" fillId="0" borderId="27" xfId="0" applyFont="1" applyBorder="1" applyAlignment="1">
      <alignment horizontal="centerContinuous" vertical="center"/>
    </xf>
    <xf numFmtId="0" fontId="12" fillId="0" borderId="4" xfId="0" applyFont="1" applyBorder="1">
      <alignment vertical="center"/>
    </xf>
    <xf numFmtId="0" fontId="12" fillId="0" borderId="5" xfId="0" applyFont="1" applyBorder="1">
      <alignment vertical="center"/>
    </xf>
    <xf numFmtId="0" fontId="7" fillId="0" borderId="31" xfId="0" applyFont="1" applyBorder="1" applyAlignment="1">
      <alignment horizontal="centerContinuous" vertical="center"/>
    </xf>
    <xf numFmtId="176" fontId="7" fillId="0" borderId="28" xfId="0" applyNumberFormat="1" applyFont="1" applyBorder="1" applyAlignment="1">
      <alignment horizontal="center" vertical="center"/>
    </xf>
    <xf numFmtId="176" fontId="7" fillId="0" borderId="29" xfId="0" applyNumberFormat="1" applyFont="1" applyBorder="1">
      <alignment vertical="center"/>
    </xf>
    <xf numFmtId="0" fontId="7" fillId="0" borderId="18" xfId="0" applyFont="1" applyBorder="1" applyAlignment="1">
      <alignment horizontal="centerContinuous" vertical="center"/>
    </xf>
    <xf numFmtId="0" fontId="7" fillId="0" borderId="32" xfId="0" applyFont="1" applyBorder="1" applyAlignment="1">
      <alignment horizontal="centerContinuous" vertical="center"/>
    </xf>
    <xf numFmtId="176" fontId="7" fillId="0" borderId="12" xfId="0" applyNumberFormat="1" applyFont="1" applyBorder="1" applyAlignment="1">
      <alignment horizontal="center" vertical="center"/>
    </xf>
    <xf numFmtId="176" fontId="7" fillId="0" borderId="13" xfId="0" applyNumberFormat="1" applyFont="1" applyBorder="1">
      <alignment vertical="center"/>
    </xf>
    <xf numFmtId="176" fontId="7" fillId="0" borderId="25" xfId="0" applyNumberFormat="1" applyFont="1" applyBorder="1">
      <alignment vertical="center"/>
    </xf>
    <xf numFmtId="176" fontId="7" fillId="0" borderId="6" xfId="0" applyNumberFormat="1" applyFont="1" applyBorder="1" applyAlignment="1">
      <alignment horizontal="centerContinuous" vertical="center"/>
    </xf>
    <xf numFmtId="176" fontId="7" fillId="0" borderId="16" xfId="0" applyNumberFormat="1" applyFont="1" applyBorder="1">
      <alignment vertical="center"/>
    </xf>
    <xf numFmtId="0" fontId="7" fillId="0" borderId="33" xfId="0" applyFont="1" applyBorder="1" applyAlignment="1">
      <alignment horizontal="centerContinuous" vertical="center"/>
    </xf>
    <xf numFmtId="0" fontId="7" fillId="0" borderId="22" xfId="0" applyFont="1" applyBorder="1" applyAlignment="1">
      <alignment horizontal="centerContinuous" vertical="center"/>
    </xf>
    <xf numFmtId="0" fontId="7" fillId="0" borderId="23" xfId="0" applyFont="1" applyBorder="1" applyAlignment="1">
      <alignment horizontal="centerContinuous" vertical="center"/>
    </xf>
    <xf numFmtId="176" fontId="7" fillId="3" borderId="29" xfId="0" applyNumberFormat="1" applyFont="1" applyFill="1" applyBorder="1">
      <alignment vertical="center"/>
    </xf>
    <xf numFmtId="176" fontId="7" fillId="3" borderId="13" xfId="0" applyNumberFormat="1" applyFont="1" applyFill="1" applyBorder="1">
      <alignment vertical="center"/>
    </xf>
    <xf numFmtId="0" fontId="7" fillId="0" borderId="0" xfId="0" applyFont="1" applyBorder="1" applyAlignment="1">
      <alignment horizontal="centerContinuous" vertical="center"/>
    </xf>
    <xf numFmtId="176" fontId="7" fillId="3" borderId="25" xfId="0" applyNumberFormat="1" applyFont="1" applyFill="1" applyBorder="1">
      <alignment vertical="center"/>
    </xf>
    <xf numFmtId="176" fontId="7" fillId="3" borderId="16" xfId="0" applyNumberFormat="1" applyFont="1" applyFill="1" applyBorder="1">
      <alignment vertical="center"/>
    </xf>
    <xf numFmtId="0" fontId="7" fillId="0" borderId="31" xfId="0" applyFont="1" applyBorder="1" applyAlignment="1">
      <alignment horizontal="right" vertical="top"/>
    </xf>
    <xf numFmtId="177" fontId="12" fillId="0" borderId="13" xfId="0" applyNumberFormat="1" applyFont="1" applyBorder="1">
      <alignment vertical="center"/>
    </xf>
    <xf numFmtId="177" fontId="12" fillId="0" borderId="14" xfId="0" applyNumberFormat="1" applyFont="1" applyBorder="1">
      <alignment vertical="center"/>
    </xf>
    <xf numFmtId="0" fontId="7" fillId="0" borderId="6" xfId="0" applyFont="1" applyBorder="1">
      <alignment vertical="center"/>
    </xf>
    <xf numFmtId="0" fontId="7" fillId="0" borderId="7" xfId="0" applyFont="1" applyBorder="1" applyAlignment="1">
      <alignment horizontal="right" vertical="center"/>
    </xf>
    <xf numFmtId="177" fontId="12" fillId="0" borderId="16" xfId="0" applyNumberFormat="1" applyFont="1" applyBorder="1">
      <alignment vertical="center"/>
    </xf>
    <xf numFmtId="177" fontId="12" fillId="0" borderId="17" xfId="0" applyNumberFormat="1" applyFont="1" applyBorder="1">
      <alignment vertical="center"/>
    </xf>
    <xf numFmtId="0" fontId="13" fillId="6" borderId="2" xfId="0" applyFont="1" applyFill="1" applyBorder="1" applyAlignment="1">
      <alignment horizontal="centerContinuous" vertical="center"/>
    </xf>
    <xf numFmtId="0" fontId="13" fillId="6" borderId="3" xfId="0" applyFont="1" applyFill="1" applyBorder="1" applyAlignment="1">
      <alignment horizontal="centerContinuous" vertical="center"/>
    </xf>
    <xf numFmtId="0" fontId="14" fillId="0" borderId="0" xfId="0" applyFont="1">
      <alignment vertical="center"/>
    </xf>
    <xf numFmtId="178" fontId="0" fillId="0" borderId="56" xfId="0" applyNumberFormat="1" applyFont="1" applyBorder="1" applyAlignment="1">
      <alignment vertical="center"/>
    </xf>
    <xf numFmtId="178" fontId="0" fillId="0" borderId="57" xfId="0" applyNumberFormat="1" applyFont="1" applyBorder="1" applyAlignment="1">
      <alignment vertical="center"/>
    </xf>
    <xf numFmtId="178" fontId="0" fillId="0" borderId="58" xfId="0" applyNumberFormat="1" applyFont="1" applyBorder="1" applyAlignment="1">
      <alignment vertical="center"/>
    </xf>
    <xf numFmtId="178" fontId="0" fillId="4" borderId="60" xfId="0" applyNumberFormat="1" applyFont="1" applyFill="1" applyBorder="1" applyAlignment="1">
      <alignment vertical="center"/>
    </xf>
    <xf numFmtId="178" fontId="0" fillId="4" borderId="61" xfId="0" applyNumberFormat="1" applyFont="1" applyFill="1" applyBorder="1" applyAlignment="1">
      <alignment vertical="center"/>
    </xf>
    <xf numFmtId="178" fontId="0" fillId="4" borderId="59" xfId="0" applyNumberFormat="1" applyFont="1" applyFill="1" applyBorder="1" applyAlignment="1">
      <alignment vertical="center"/>
    </xf>
    <xf numFmtId="178" fontId="0" fillId="0" borderId="57" xfId="1" applyNumberFormat="1" applyFont="1" applyBorder="1" applyAlignment="1">
      <alignment vertical="center"/>
    </xf>
    <xf numFmtId="178" fontId="0" fillId="4" borderId="60" xfId="1" applyNumberFormat="1" applyFont="1" applyFill="1" applyBorder="1" applyAlignment="1">
      <alignment vertical="center"/>
    </xf>
    <xf numFmtId="14" fontId="2" fillId="3" borderId="6" xfId="0" applyNumberFormat="1" applyFont="1" applyFill="1" applyBorder="1" applyAlignment="1">
      <alignment horizontal="centerContinuous" vertical="center"/>
    </xf>
    <xf numFmtId="14" fontId="2" fillId="3" borderId="50" xfId="0" applyNumberFormat="1" applyFont="1" applyFill="1" applyBorder="1" applyAlignment="1">
      <alignment horizontal="centerContinuous" vertical="center"/>
    </xf>
    <xf numFmtId="178" fontId="2" fillId="3" borderId="9" xfId="1" applyNumberFormat="1" applyFont="1" applyFill="1" applyBorder="1" applyAlignment="1">
      <alignment vertical="center"/>
    </xf>
    <xf numFmtId="178" fontId="2" fillId="3" borderId="10" xfId="1" applyNumberFormat="1" applyFont="1" applyFill="1" applyBorder="1" applyAlignment="1">
      <alignment vertical="center"/>
    </xf>
    <xf numFmtId="178" fontId="2" fillId="3" borderId="45" xfId="1" applyNumberFormat="1" applyFont="1" applyFill="1" applyBorder="1">
      <alignment vertical="center"/>
    </xf>
    <xf numFmtId="178" fontId="2" fillId="3" borderId="50" xfId="1" applyNumberFormat="1" applyFont="1" applyFill="1" applyBorder="1">
      <alignment vertical="center"/>
    </xf>
    <xf numFmtId="178" fontId="2" fillId="3" borderId="45" xfId="1" applyNumberFormat="1" applyFont="1" applyFill="1" applyBorder="1" applyAlignment="1">
      <alignment vertical="center"/>
    </xf>
    <xf numFmtId="178" fontId="2" fillId="3" borderId="10" xfId="0" applyNumberFormat="1" applyFont="1" applyFill="1" applyBorder="1">
      <alignment vertical="center"/>
    </xf>
    <xf numFmtId="178" fontId="2" fillId="3" borderId="45" xfId="0" applyNumberFormat="1" applyFont="1" applyFill="1" applyBorder="1">
      <alignment vertical="center"/>
    </xf>
    <xf numFmtId="178" fontId="2" fillId="3" borderId="50" xfId="0" applyNumberFormat="1" applyFont="1" applyFill="1" applyBorder="1">
      <alignment vertical="center"/>
    </xf>
    <xf numFmtId="0" fontId="2" fillId="0" borderId="0" xfId="0" applyFont="1" applyBorder="1">
      <alignment vertical="center"/>
    </xf>
    <xf numFmtId="0" fontId="2" fillId="0" borderId="34" xfId="0" applyFont="1" applyBorder="1" applyAlignment="1">
      <alignment horizontal="centerContinuous" vertical="center"/>
    </xf>
    <xf numFmtId="0" fontId="2" fillId="0" borderId="35" xfId="0" applyFont="1" applyBorder="1" applyAlignment="1">
      <alignment horizontal="centerContinuous" vertical="center"/>
    </xf>
    <xf numFmtId="0" fontId="2" fillId="0" borderId="71" xfId="0" applyFont="1" applyBorder="1" applyAlignment="1">
      <alignment horizontal="centerContinuous" vertical="center"/>
    </xf>
    <xf numFmtId="176" fontId="2" fillId="0" borderId="64" xfId="0" applyNumberFormat="1" applyFont="1" applyBorder="1" applyAlignment="1">
      <alignment horizontal="centerContinuous" vertical="center"/>
    </xf>
    <xf numFmtId="176" fontId="2" fillId="0" borderId="0" xfId="0" applyNumberFormat="1" applyFont="1" applyBorder="1" applyAlignment="1">
      <alignment horizontal="center" vertical="center"/>
    </xf>
    <xf numFmtId="178" fontId="2" fillId="0" borderId="0" xfId="0" applyNumberFormat="1" applyFont="1" applyBorder="1">
      <alignment vertical="center"/>
    </xf>
    <xf numFmtId="178" fontId="6" fillId="3" borderId="28" xfId="1" applyNumberFormat="1" applyFont="1" applyFill="1" applyBorder="1" applyAlignment="1">
      <alignment vertical="center"/>
    </xf>
    <xf numFmtId="178" fontId="6" fillId="3" borderId="29" xfId="1" applyNumberFormat="1" applyFont="1" applyFill="1" applyBorder="1" applyAlignment="1">
      <alignment vertical="center"/>
    </xf>
    <xf numFmtId="178" fontId="6" fillId="3" borderId="29" xfId="1" applyNumberFormat="1" applyFont="1" applyFill="1" applyBorder="1">
      <alignment vertical="center"/>
    </xf>
    <xf numFmtId="178" fontId="6" fillId="3" borderId="39" xfId="1" applyNumberFormat="1" applyFont="1" applyFill="1" applyBorder="1">
      <alignment vertical="center"/>
    </xf>
    <xf numFmtId="178" fontId="6" fillId="3" borderId="3" xfId="1" applyNumberFormat="1" applyFont="1" applyFill="1" applyBorder="1">
      <alignment vertical="center"/>
    </xf>
    <xf numFmtId="0" fontId="15" fillId="9" borderId="34" xfId="0" applyFont="1" applyFill="1" applyBorder="1" applyAlignment="1">
      <alignment horizontal="centerContinuous" vertical="center"/>
    </xf>
    <xf numFmtId="0" fontId="15" fillId="9" borderId="35" xfId="0" applyFont="1" applyFill="1" applyBorder="1" applyAlignment="1">
      <alignment horizontal="centerContinuous" vertical="center"/>
    </xf>
    <xf numFmtId="0" fontId="15" fillId="9" borderId="36" xfId="0" applyFont="1" applyFill="1" applyBorder="1" applyAlignment="1">
      <alignment horizontal="centerContinuous" vertical="center"/>
    </xf>
    <xf numFmtId="0" fontId="15" fillId="9" borderId="9" xfId="0" applyFont="1" applyFill="1" applyBorder="1" applyAlignment="1">
      <alignment horizontal="center" vertical="center"/>
    </xf>
    <xf numFmtId="0" fontId="15" fillId="9" borderId="10" xfId="0" applyFont="1" applyFill="1" applyBorder="1" applyAlignment="1">
      <alignment horizontal="center" vertical="center"/>
    </xf>
    <xf numFmtId="0" fontId="15" fillId="9" borderId="45" xfId="0" applyFont="1" applyFill="1" applyBorder="1" applyAlignment="1">
      <alignment horizontal="center" vertical="center"/>
    </xf>
    <xf numFmtId="0" fontId="15" fillId="9" borderId="11" xfId="0" applyFont="1" applyFill="1" applyBorder="1" applyAlignment="1">
      <alignment horizontal="center" vertical="center"/>
    </xf>
    <xf numFmtId="0" fontId="15" fillId="9" borderId="15" xfId="0" applyFont="1" applyFill="1" applyBorder="1" applyAlignment="1">
      <alignment horizontal="center" vertical="center"/>
    </xf>
    <xf numFmtId="0" fontId="15" fillId="9" borderId="16" xfId="0" applyFont="1" applyFill="1" applyBorder="1" applyAlignment="1">
      <alignment horizontal="center" vertical="center"/>
    </xf>
    <xf numFmtId="0" fontId="15" fillId="9" borderId="50" xfId="0" applyFont="1" applyFill="1" applyBorder="1" applyAlignment="1">
      <alignment horizontal="center" vertical="center"/>
    </xf>
    <xf numFmtId="0" fontId="15" fillId="9" borderId="47" xfId="0" applyFont="1" applyFill="1" applyBorder="1" applyAlignment="1">
      <alignment horizontal="center" vertical="center"/>
    </xf>
    <xf numFmtId="178" fontId="6" fillId="0" borderId="18" xfId="0" applyNumberFormat="1" applyFont="1" applyBorder="1">
      <alignment vertical="center"/>
    </xf>
    <xf numFmtId="178" fontId="6" fillId="0" borderId="66" xfId="0" applyNumberFormat="1" applyFont="1" applyBorder="1">
      <alignment vertical="center"/>
    </xf>
    <xf numFmtId="178" fontId="6" fillId="0" borderId="54" xfId="0" applyNumberFormat="1" applyFont="1" applyBorder="1">
      <alignment vertical="center"/>
    </xf>
    <xf numFmtId="176" fontId="7" fillId="8" borderId="28" xfId="0" applyNumberFormat="1" applyFont="1" applyFill="1" applyBorder="1" applyAlignment="1">
      <alignment horizontal="center" vertical="center"/>
    </xf>
    <xf numFmtId="176" fontId="7" fillId="8" borderId="12" xfId="0" applyNumberFormat="1" applyFont="1" applyFill="1" applyBorder="1" applyAlignment="1">
      <alignment horizontal="center" vertical="center"/>
    </xf>
    <xf numFmtId="176" fontId="7" fillId="8" borderId="6" xfId="0" applyNumberFormat="1" applyFont="1" applyFill="1" applyBorder="1" applyAlignment="1">
      <alignment horizontal="centerContinuous" vertical="center"/>
    </xf>
    <xf numFmtId="176" fontId="7" fillId="0" borderId="27" xfId="0" applyNumberFormat="1" applyFont="1" applyBorder="1" applyAlignment="1">
      <alignment horizontal="center" vertical="center"/>
    </xf>
    <xf numFmtId="176" fontId="7" fillId="0" borderId="31" xfId="0" applyNumberFormat="1" applyFont="1" applyBorder="1" applyAlignment="1">
      <alignment horizontal="center" vertical="center"/>
    </xf>
    <xf numFmtId="176" fontId="7" fillId="0" borderId="33" xfId="0" applyNumberFormat="1" applyFont="1" applyBorder="1" applyAlignment="1">
      <alignment horizontal="center" vertical="center"/>
    </xf>
    <xf numFmtId="176" fontId="7" fillId="0" borderId="7" xfId="0" applyNumberFormat="1" applyFont="1" applyBorder="1" applyAlignment="1">
      <alignment horizontal="centerContinuous" vertical="center"/>
    </xf>
    <xf numFmtId="176" fontId="7" fillId="8" borderId="27" xfId="0" applyNumberFormat="1" applyFont="1" applyFill="1" applyBorder="1" applyAlignment="1">
      <alignment horizontal="center" vertical="center"/>
    </xf>
    <xf numFmtId="176" fontId="7" fillId="8" borderId="31" xfId="0" applyNumberFormat="1" applyFont="1" applyFill="1" applyBorder="1" applyAlignment="1">
      <alignment horizontal="center" vertical="center"/>
    </xf>
    <xf numFmtId="176" fontId="7" fillId="8" borderId="33" xfId="0" applyNumberFormat="1" applyFont="1" applyFill="1" applyBorder="1" applyAlignment="1">
      <alignment horizontal="center" vertical="center"/>
    </xf>
    <xf numFmtId="176" fontId="7" fillId="8" borderId="7" xfId="0" applyNumberFormat="1" applyFont="1" applyFill="1" applyBorder="1" applyAlignment="1">
      <alignment horizontal="centerContinuous" vertical="center"/>
    </xf>
    <xf numFmtId="178" fontId="2" fillId="0" borderId="36" xfId="0" applyNumberFormat="1" applyFont="1" applyBorder="1" applyAlignment="1">
      <alignment vertical="center"/>
    </xf>
    <xf numFmtId="177" fontId="0" fillId="0" borderId="50" xfId="0" applyNumberFormat="1" applyBorder="1">
      <alignment vertical="center"/>
    </xf>
    <xf numFmtId="178" fontId="0" fillId="0" borderId="50" xfId="0" applyNumberFormat="1" applyBorder="1">
      <alignment vertical="center"/>
    </xf>
    <xf numFmtId="178" fontId="2" fillId="0" borderId="63" xfId="0" applyNumberFormat="1" applyFont="1" applyBorder="1" applyAlignment="1">
      <alignment vertical="center"/>
    </xf>
    <xf numFmtId="177" fontId="0" fillId="0" borderId="10" xfId="0" applyNumberFormat="1" applyBorder="1">
      <alignment vertical="center"/>
    </xf>
    <xf numFmtId="176" fontId="12" fillId="0" borderId="1" xfId="0" applyNumberFormat="1" applyFont="1" applyBorder="1">
      <alignment vertical="center"/>
    </xf>
    <xf numFmtId="176" fontId="12" fillId="0" borderId="4" xfId="0" applyNumberFormat="1" applyFont="1" applyBorder="1">
      <alignment vertical="center"/>
    </xf>
    <xf numFmtId="176" fontId="12" fillId="0" borderId="22" xfId="0" applyNumberFormat="1" applyFont="1" applyBorder="1">
      <alignment vertical="center"/>
    </xf>
    <xf numFmtId="176" fontId="12" fillId="0" borderId="6" xfId="0" applyNumberFormat="1" applyFont="1" applyBorder="1">
      <alignment vertical="center"/>
    </xf>
    <xf numFmtId="176" fontId="12" fillId="8" borderId="1" xfId="0" applyNumberFormat="1" applyFont="1" applyFill="1" applyBorder="1">
      <alignment vertical="center"/>
    </xf>
    <xf numFmtId="176" fontId="12" fillId="8" borderId="4" xfId="0" applyNumberFormat="1" applyFont="1" applyFill="1" applyBorder="1">
      <alignment vertical="center"/>
    </xf>
    <xf numFmtId="176" fontId="12" fillId="8" borderId="22" xfId="0" applyNumberFormat="1" applyFont="1" applyFill="1" applyBorder="1">
      <alignment vertical="center"/>
    </xf>
    <xf numFmtId="176" fontId="12" fillId="8" borderId="6" xfId="0" applyNumberFormat="1" applyFont="1" applyFill="1" applyBorder="1">
      <alignment vertical="center"/>
    </xf>
    <xf numFmtId="177" fontId="12" fillId="0" borderId="4" xfId="0" applyNumberFormat="1" applyFont="1" applyBorder="1">
      <alignment vertical="center"/>
    </xf>
    <xf numFmtId="177" fontId="12" fillId="0" borderId="6" xfId="0" applyNumberFormat="1" applyFont="1" applyBorder="1">
      <alignment vertical="center"/>
    </xf>
    <xf numFmtId="177" fontId="12" fillId="0" borderId="46" xfId="0" applyNumberFormat="1" applyFont="1" applyBorder="1">
      <alignment vertical="center"/>
    </xf>
    <xf numFmtId="177" fontId="12" fillId="0" borderId="47" xfId="0" applyNumberFormat="1" applyFont="1" applyBorder="1">
      <alignment vertical="center"/>
    </xf>
    <xf numFmtId="177" fontId="12" fillId="0" borderId="75" xfId="0" applyNumberFormat="1" applyFont="1" applyBorder="1">
      <alignment vertical="center"/>
    </xf>
    <xf numFmtId="177" fontId="12" fillId="0" borderId="77" xfId="0" applyNumberFormat="1" applyFont="1" applyBorder="1">
      <alignment vertical="center"/>
    </xf>
    <xf numFmtId="178" fontId="2" fillId="0" borderId="34" xfId="0" applyNumberFormat="1" applyFont="1" applyBorder="1" applyAlignment="1">
      <alignment vertical="center"/>
    </xf>
    <xf numFmtId="177" fontId="0" fillId="0" borderId="71" xfId="0" applyNumberFormat="1" applyBorder="1">
      <alignment vertical="center"/>
    </xf>
    <xf numFmtId="178" fontId="0" fillId="0" borderId="71" xfId="0" applyNumberFormat="1" applyBorder="1">
      <alignment vertical="center"/>
    </xf>
    <xf numFmtId="178" fontId="2" fillId="0" borderId="35" xfId="0" applyNumberFormat="1" applyFont="1" applyFill="1" applyBorder="1" applyAlignment="1">
      <alignment vertical="center"/>
    </xf>
    <xf numFmtId="177" fontId="0" fillId="0" borderId="64" xfId="0" applyNumberFormat="1" applyBorder="1">
      <alignment vertical="center"/>
    </xf>
    <xf numFmtId="178" fontId="0" fillId="0" borderId="64" xfId="0" applyNumberFormat="1" applyBorder="1">
      <alignment vertical="center"/>
    </xf>
    <xf numFmtId="178" fontId="2" fillId="3" borderId="63" xfId="0" applyNumberFormat="1" applyFont="1" applyFill="1" applyBorder="1" applyAlignment="1">
      <alignment vertical="center"/>
    </xf>
    <xf numFmtId="177" fontId="2" fillId="3" borderId="10" xfId="0" applyNumberFormat="1" applyFont="1" applyFill="1" applyBorder="1">
      <alignment vertical="center"/>
    </xf>
    <xf numFmtId="0" fontId="7" fillId="10" borderId="48" xfId="0" applyFont="1" applyFill="1" applyBorder="1" applyAlignment="1">
      <alignment horizontal="centerContinuous" vertical="center"/>
    </xf>
    <xf numFmtId="0" fontId="7" fillId="10" borderId="67" xfId="0" applyFont="1" applyFill="1" applyBorder="1" applyAlignment="1">
      <alignment horizontal="centerContinuous" vertical="center"/>
    </xf>
    <xf numFmtId="0" fontId="7" fillId="10" borderId="1" xfId="0" applyFont="1" applyFill="1" applyBorder="1" applyAlignment="1">
      <alignment horizontal="centerContinuous" vertical="center"/>
    </xf>
    <xf numFmtId="0" fontId="7" fillId="10" borderId="29" xfId="0" applyFont="1" applyFill="1" applyBorder="1" applyAlignment="1">
      <alignment horizontal="centerContinuous" vertical="center"/>
    </xf>
    <xf numFmtId="0" fontId="7" fillId="10" borderId="39" xfId="0" applyFont="1" applyFill="1" applyBorder="1" applyAlignment="1">
      <alignment horizontal="centerContinuous" vertical="center"/>
    </xf>
    <xf numFmtId="0" fontId="7" fillId="10" borderId="30" xfId="0" applyFont="1" applyFill="1" applyBorder="1" applyAlignment="1">
      <alignment horizontal="centerContinuous" vertical="center"/>
    </xf>
    <xf numFmtId="0" fontId="2" fillId="10" borderId="48" xfId="0" applyFont="1" applyFill="1" applyBorder="1" applyAlignment="1">
      <alignment horizontal="centerContinuous" vertical="center"/>
    </xf>
    <xf numFmtId="0" fontId="2" fillId="10" borderId="67" xfId="0" applyFont="1" applyFill="1" applyBorder="1" applyAlignment="1">
      <alignment horizontal="centerContinuous" vertical="center"/>
    </xf>
    <xf numFmtId="178" fontId="2" fillId="10" borderId="1" xfId="0" applyNumberFormat="1" applyFont="1" applyFill="1" applyBorder="1" applyAlignment="1">
      <alignment horizontal="centerContinuous" vertical="center"/>
    </xf>
    <xf numFmtId="178" fontId="2" fillId="10" borderId="29" xfId="0" applyNumberFormat="1" applyFont="1" applyFill="1" applyBorder="1" applyAlignment="1">
      <alignment horizontal="centerContinuous" vertical="center"/>
    </xf>
    <xf numFmtId="178" fontId="2" fillId="10" borderId="2" xfId="0" applyNumberFormat="1" applyFont="1" applyFill="1" applyBorder="1" applyAlignment="1">
      <alignment horizontal="centerContinuous" vertical="center"/>
    </xf>
    <xf numFmtId="178" fontId="2" fillId="10" borderId="3" xfId="0" applyNumberFormat="1" applyFont="1" applyFill="1" applyBorder="1" applyAlignment="1">
      <alignment horizontal="centerContinuous" vertical="center"/>
    </xf>
    <xf numFmtId="178" fontId="6" fillId="0" borderId="4" xfId="1" applyNumberFormat="1" applyFont="1" applyFill="1" applyBorder="1" applyAlignment="1">
      <alignment vertical="center"/>
    </xf>
    <xf numFmtId="178" fontId="6" fillId="0" borderId="0" xfId="1" applyNumberFormat="1" applyFont="1" applyFill="1" applyBorder="1" applyAlignment="1">
      <alignment vertical="center"/>
    </xf>
    <xf numFmtId="178" fontId="2" fillId="0" borderId="4" xfId="1" applyNumberFormat="1" applyFont="1" applyFill="1" applyBorder="1" applyAlignment="1">
      <alignment vertical="center"/>
    </xf>
    <xf numFmtId="9" fontId="0" fillId="0" borderId="0" xfId="0" applyNumberFormat="1">
      <alignment vertical="center"/>
    </xf>
    <xf numFmtId="178" fontId="0" fillId="0" borderId="0" xfId="1" applyNumberFormat="1" applyFont="1">
      <alignment vertical="center"/>
    </xf>
    <xf numFmtId="0" fontId="0" fillId="8" borderId="0" xfId="0" applyFill="1">
      <alignment vertical="center"/>
    </xf>
    <xf numFmtId="178" fontId="0" fillId="4" borderId="0" xfId="1" applyNumberFormat="1" applyFont="1" applyFill="1">
      <alignment vertical="center"/>
    </xf>
    <xf numFmtId="178" fontId="6" fillId="0" borderId="34" xfId="0" applyNumberFormat="1" applyFont="1" applyBorder="1" applyAlignment="1">
      <alignment vertical="center"/>
    </xf>
    <xf numFmtId="178" fontId="6" fillId="3" borderId="63" xfId="0" applyNumberFormat="1" applyFont="1" applyFill="1" applyBorder="1" applyAlignment="1">
      <alignment vertical="center"/>
    </xf>
    <xf numFmtId="178" fontId="6" fillId="0" borderId="35" xfId="0" applyNumberFormat="1" applyFont="1" applyFill="1" applyBorder="1" applyAlignment="1">
      <alignment vertical="center"/>
    </xf>
    <xf numFmtId="178" fontId="6" fillId="0" borderId="63" xfId="0" applyNumberFormat="1" applyFont="1" applyBorder="1" applyAlignment="1">
      <alignment vertical="center"/>
    </xf>
    <xf numFmtId="178" fontId="6" fillId="0" borderId="36" xfId="0" applyNumberFormat="1" applyFont="1" applyBorder="1" applyAlignment="1">
      <alignment vertical="center"/>
    </xf>
    <xf numFmtId="178" fontId="6" fillId="0" borderId="48" xfId="1" applyNumberFormat="1" applyFont="1" applyBorder="1">
      <alignment vertical="center"/>
    </xf>
    <xf numFmtId="178" fontId="6" fillId="3" borderId="38" xfId="1" applyNumberFormat="1" applyFont="1" applyFill="1" applyBorder="1">
      <alignment vertical="center"/>
    </xf>
    <xf numFmtId="178" fontId="6" fillId="0" borderId="67" xfId="0" applyNumberFormat="1" applyFont="1" applyBorder="1">
      <alignment vertical="center"/>
    </xf>
    <xf numFmtId="178" fontId="6" fillId="0" borderId="38" xfId="1" applyNumberFormat="1" applyFont="1" applyBorder="1">
      <alignment vertical="center"/>
    </xf>
    <xf numFmtId="178" fontId="6" fillId="0" borderId="55" xfId="0" applyNumberFormat="1" applyFont="1" applyBorder="1">
      <alignment vertical="center"/>
    </xf>
    <xf numFmtId="178" fontId="6" fillId="3" borderId="20" xfId="0" applyNumberFormat="1" applyFont="1" applyFill="1" applyBorder="1">
      <alignment vertical="center"/>
    </xf>
    <xf numFmtId="178" fontId="6" fillId="0" borderId="20" xfId="0" applyNumberFormat="1" applyFont="1" applyBorder="1">
      <alignment vertical="center"/>
    </xf>
    <xf numFmtId="178" fontId="6" fillId="0" borderId="6" xfId="1" applyNumberFormat="1" applyFont="1" applyBorder="1">
      <alignment vertical="center"/>
    </xf>
    <xf numFmtId="178" fontId="6" fillId="3" borderId="16" xfId="1" applyNumberFormat="1" applyFont="1" applyFill="1" applyBorder="1">
      <alignment vertical="center"/>
    </xf>
    <xf numFmtId="178" fontId="6" fillId="0" borderId="7" xfId="1" applyNumberFormat="1" applyFont="1" applyBorder="1">
      <alignment vertical="center"/>
    </xf>
    <xf numFmtId="178" fontId="6" fillId="0" borderId="16" xfId="1" applyNumberFormat="1" applyFont="1" applyBorder="1">
      <alignment vertical="center"/>
    </xf>
    <xf numFmtId="178" fontId="6" fillId="0" borderId="8" xfId="1" applyNumberFormat="1" applyFont="1" applyBorder="1">
      <alignment vertical="center"/>
    </xf>
    <xf numFmtId="178" fontId="6" fillId="0" borderId="80" xfId="1" applyNumberFormat="1" applyFont="1" applyBorder="1">
      <alignment vertical="center"/>
    </xf>
    <xf numFmtId="178" fontId="6" fillId="3" borderId="43" xfId="1" applyNumberFormat="1" applyFont="1" applyFill="1" applyBorder="1">
      <alignment vertical="center"/>
    </xf>
    <xf numFmtId="178" fontId="6" fillId="0" borderId="81" xfId="0" applyNumberFormat="1" applyFont="1" applyBorder="1">
      <alignment vertical="center"/>
    </xf>
    <xf numFmtId="178" fontId="6" fillId="0" borderId="43" xfId="1" applyNumberFormat="1" applyFont="1" applyBorder="1">
      <alignment vertical="center"/>
    </xf>
    <xf numFmtId="178" fontId="6" fillId="0" borderId="52" xfId="0" applyNumberFormat="1" applyFont="1" applyBorder="1">
      <alignment vertical="center"/>
    </xf>
    <xf numFmtId="178" fontId="6" fillId="8" borderId="4" xfId="1" applyNumberFormat="1" applyFont="1" applyFill="1" applyBorder="1" applyAlignment="1">
      <alignment vertical="center"/>
    </xf>
    <xf numFmtId="14" fontId="2" fillId="4" borderId="4" xfId="0" applyNumberFormat="1" applyFont="1" applyFill="1" applyBorder="1" applyAlignment="1">
      <alignment horizontal="centerContinuous" vertical="center"/>
    </xf>
    <xf numFmtId="14" fontId="2" fillId="4" borderId="5" xfId="0" applyNumberFormat="1" applyFont="1" applyFill="1" applyBorder="1" applyAlignment="1">
      <alignment horizontal="centerContinuous" vertical="center"/>
    </xf>
    <xf numFmtId="178" fontId="2" fillId="4" borderId="12" xfId="1" applyNumberFormat="1" applyFont="1" applyFill="1" applyBorder="1" applyAlignment="1">
      <alignment vertical="center"/>
    </xf>
    <xf numFmtId="178" fontId="2" fillId="4" borderId="13" xfId="1" applyNumberFormat="1" applyFont="1" applyFill="1" applyBorder="1" applyAlignment="1">
      <alignment vertical="center"/>
    </xf>
    <xf numFmtId="178" fontId="2" fillId="4" borderId="46" xfId="1" applyNumberFormat="1" applyFont="1" applyFill="1" applyBorder="1">
      <alignment vertical="center"/>
    </xf>
    <xf numFmtId="178" fontId="2" fillId="4" borderId="13" xfId="1" applyNumberFormat="1" applyFont="1" applyFill="1" applyBorder="1">
      <alignment vertical="center"/>
    </xf>
    <xf numFmtId="178" fontId="2" fillId="4" borderId="14" xfId="1" applyNumberFormat="1" applyFont="1" applyFill="1" applyBorder="1">
      <alignment vertical="center"/>
    </xf>
    <xf numFmtId="178" fontId="2" fillId="4" borderId="5" xfId="1" applyNumberFormat="1" applyFont="1" applyFill="1" applyBorder="1" applyAlignment="1">
      <alignment vertical="center"/>
    </xf>
    <xf numFmtId="178" fontId="2" fillId="4" borderId="46" xfId="1" applyNumberFormat="1" applyFont="1" applyFill="1" applyBorder="1" applyAlignment="1">
      <alignment vertical="center"/>
    </xf>
    <xf numFmtId="178" fontId="2" fillId="4" borderId="14" xfId="1" applyNumberFormat="1" applyFont="1" applyFill="1" applyBorder="1" applyAlignment="1">
      <alignment vertical="center"/>
    </xf>
    <xf numFmtId="14" fontId="2" fillId="4" borderId="48" xfId="0" applyNumberFormat="1" applyFont="1" applyFill="1" applyBorder="1" applyAlignment="1">
      <alignment horizontal="centerContinuous" vertical="center"/>
    </xf>
    <xf numFmtId="14" fontId="2" fillId="4" borderId="55" xfId="0" applyNumberFormat="1" applyFont="1" applyFill="1" applyBorder="1" applyAlignment="1">
      <alignment horizontal="centerContinuous" vertical="center"/>
    </xf>
    <xf numFmtId="178" fontId="2" fillId="4" borderId="37" xfId="0" applyNumberFormat="1" applyFont="1" applyFill="1" applyBorder="1" applyAlignment="1">
      <alignment vertical="center"/>
    </xf>
    <xf numFmtId="178" fontId="2" fillId="4" borderId="38" xfId="1" applyNumberFormat="1" applyFont="1" applyFill="1" applyBorder="1" applyAlignment="1">
      <alignment vertical="center"/>
    </xf>
    <xf numFmtId="178" fontId="2" fillId="4" borderId="40" xfId="0" applyNumberFormat="1" applyFont="1" applyFill="1" applyBorder="1">
      <alignment vertical="center"/>
    </xf>
    <xf numFmtId="178" fontId="2" fillId="4" borderId="40" xfId="1" applyNumberFormat="1" applyFont="1" applyFill="1" applyBorder="1">
      <alignment vertical="center"/>
    </xf>
    <xf numFmtId="178" fontId="2" fillId="4" borderId="55" xfId="1" applyNumberFormat="1" applyFont="1" applyFill="1" applyBorder="1">
      <alignment vertical="center"/>
    </xf>
    <xf numFmtId="178" fontId="2" fillId="3" borderId="71" xfId="0" applyNumberFormat="1" applyFont="1" applyFill="1" applyBorder="1" applyAlignment="1">
      <alignment vertical="center"/>
    </xf>
    <xf numFmtId="178" fontId="2" fillId="3" borderId="64" xfId="0" applyNumberFormat="1" applyFont="1" applyFill="1" applyBorder="1" applyAlignment="1">
      <alignment vertical="center"/>
    </xf>
    <xf numFmtId="178" fontId="2" fillId="3" borderId="50" xfId="0" applyNumberFormat="1" applyFont="1" applyFill="1" applyBorder="1" applyAlignment="1">
      <alignment vertical="center"/>
    </xf>
    <xf numFmtId="178" fontId="6" fillId="8" borderId="1" xfId="1" applyNumberFormat="1" applyFont="1" applyFill="1" applyBorder="1" applyAlignment="1">
      <alignment vertical="center"/>
    </xf>
    <xf numFmtId="178" fontId="6" fillId="8" borderId="2" xfId="1" applyNumberFormat="1" applyFont="1" applyFill="1" applyBorder="1" applyAlignment="1">
      <alignment vertical="center"/>
    </xf>
    <xf numFmtId="178" fontId="6" fillId="8" borderId="3" xfId="1" applyNumberFormat="1" applyFont="1" applyFill="1" applyBorder="1" applyAlignment="1">
      <alignment vertical="center"/>
    </xf>
    <xf numFmtId="178" fontId="2" fillId="4" borderId="48" xfId="0" applyNumberFormat="1" applyFont="1" applyFill="1" applyBorder="1" applyAlignment="1">
      <alignment vertical="center"/>
    </xf>
    <xf numFmtId="178" fontId="2" fillId="4" borderId="67" xfId="0" applyNumberFormat="1" applyFont="1" applyFill="1" applyBorder="1" applyAlignment="1">
      <alignment vertical="center"/>
    </xf>
    <xf numFmtId="178" fontId="2" fillId="4" borderId="55" xfId="0" applyNumberFormat="1" applyFont="1" applyFill="1" applyBorder="1" applyAlignment="1">
      <alignment vertical="center"/>
    </xf>
    <xf numFmtId="0" fontId="6" fillId="0" borderId="0" xfId="0" applyFont="1">
      <alignment vertical="center"/>
    </xf>
    <xf numFmtId="179" fontId="0" fillId="0" borderId="0" xfId="1" applyNumberFormat="1" applyFont="1">
      <alignment vertical="center"/>
    </xf>
    <xf numFmtId="9" fontId="0" fillId="0" borderId="0" xfId="0" applyNumberFormat="1" applyFont="1" applyAlignment="1">
      <alignment vertical="center"/>
    </xf>
    <xf numFmtId="178" fontId="12" fillId="0" borderId="39" xfId="0" applyNumberFormat="1" applyFont="1" applyBorder="1">
      <alignment vertical="center"/>
    </xf>
    <xf numFmtId="178" fontId="12" fillId="0" borderId="29" xfId="0" applyNumberFormat="1" applyFont="1" applyBorder="1">
      <alignment vertical="center"/>
    </xf>
    <xf numFmtId="178" fontId="12" fillId="0" borderId="30" xfId="0" applyNumberFormat="1" applyFont="1" applyBorder="1">
      <alignment vertical="center"/>
    </xf>
    <xf numFmtId="178" fontId="12" fillId="0" borderId="46" xfId="0" applyNumberFormat="1" applyFont="1" applyBorder="1">
      <alignment vertical="center"/>
    </xf>
    <xf numFmtId="178" fontId="12" fillId="0" borderId="13" xfId="0" applyNumberFormat="1" applyFont="1" applyBorder="1">
      <alignment vertical="center"/>
    </xf>
    <xf numFmtId="178" fontId="12" fillId="0" borderId="14" xfId="0" applyNumberFormat="1" applyFont="1" applyBorder="1">
      <alignment vertical="center"/>
    </xf>
    <xf numFmtId="178" fontId="12" fillId="0" borderId="49" xfId="0" applyNumberFormat="1" applyFont="1" applyBorder="1">
      <alignment vertical="center"/>
    </xf>
    <xf numFmtId="178" fontId="12" fillId="0" borderId="25" xfId="0" applyNumberFormat="1" applyFont="1" applyBorder="1">
      <alignment vertical="center"/>
    </xf>
    <xf numFmtId="178" fontId="12" fillId="0" borderId="26" xfId="0" applyNumberFormat="1" applyFont="1" applyBorder="1">
      <alignment vertical="center"/>
    </xf>
    <xf numFmtId="178" fontId="12" fillId="0" borderId="47" xfId="0" applyNumberFormat="1" applyFont="1" applyBorder="1">
      <alignment vertical="center"/>
    </xf>
    <xf numFmtId="178" fontId="12" fillId="0" borderId="16" xfId="0" applyNumberFormat="1" applyFont="1" applyBorder="1">
      <alignment vertical="center"/>
    </xf>
    <xf numFmtId="178" fontId="12" fillId="0" borderId="17" xfId="0" applyNumberFormat="1" applyFont="1" applyBorder="1">
      <alignment vertical="center"/>
    </xf>
    <xf numFmtId="178" fontId="12" fillId="8" borderId="39" xfId="0" applyNumberFormat="1" applyFont="1" applyFill="1" applyBorder="1">
      <alignment vertical="center"/>
    </xf>
    <xf numFmtId="178" fontId="12" fillId="8" borderId="29" xfId="0" applyNumberFormat="1" applyFont="1" applyFill="1" applyBorder="1">
      <alignment vertical="center"/>
    </xf>
    <xf numFmtId="178" fontId="12" fillId="8" borderId="30" xfId="0" applyNumberFormat="1" applyFont="1" applyFill="1" applyBorder="1">
      <alignment vertical="center"/>
    </xf>
    <xf numFmtId="178" fontId="12" fillId="8" borderId="46" xfId="0" applyNumberFormat="1" applyFont="1" applyFill="1" applyBorder="1">
      <alignment vertical="center"/>
    </xf>
    <xf numFmtId="178" fontId="12" fillId="8" borderId="13" xfId="0" applyNumberFormat="1" applyFont="1" applyFill="1" applyBorder="1">
      <alignment vertical="center"/>
    </xf>
    <xf numFmtId="178" fontId="12" fillId="8" borderId="14" xfId="0" applyNumberFormat="1" applyFont="1" applyFill="1" applyBorder="1">
      <alignment vertical="center"/>
    </xf>
    <xf numFmtId="178" fontId="12" fillId="8" borderId="49" xfId="0" applyNumberFormat="1" applyFont="1" applyFill="1" applyBorder="1">
      <alignment vertical="center"/>
    </xf>
    <xf numFmtId="178" fontId="12" fillId="8" borderId="25" xfId="0" applyNumberFormat="1" applyFont="1" applyFill="1" applyBorder="1">
      <alignment vertical="center"/>
    </xf>
    <xf numFmtId="178" fontId="12" fillId="8" borderId="26" xfId="0" applyNumberFormat="1" applyFont="1" applyFill="1" applyBorder="1">
      <alignment vertical="center"/>
    </xf>
    <xf numFmtId="178" fontId="12" fillId="8" borderId="47" xfId="0" applyNumberFormat="1" applyFont="1" applyFill="1" applyBorder="1">
      <alignment vertical="center"/>
    </xf>
    <xf numFmtId="178" fontId="12" fillId="8" borderId="16" xfId="0" applyNumberFormat="1" applyFont="1" applyFill="1" applyBorder="1">
      <alignment vertical="center"/>
    </xf>
    <xf numFmtId="178" fontId="12" fillId="8" borderId="17" xfId="0" applyNumberFormat="1" applyFont="1" applyFill="1" applyBorder="1">
      <alignment vertical="center"/>
    </xf>
    <xf numFmtId="178" fontId="12" fillId="0" borderId="1" xfId="0" applyNumberFormat="1" applyFont="1" applyBorder="1">
      <alignment vertical="center"/>
    </xf>
    <xf numFmtId="178" fontId="12" fillId="0" borderId="74" xfId="0" applyNumberFormat="1" applyFont="1" applyBorder="1">
      <alignment vertical="center"/>
    </xf>
    <xf numFmtId="178" fontId="12" fillId="0" borderId="4" xfId="0" applyNumberFormat="1" applyFont="1" applyBorder="1">
      <alignment vertical="center"/>
    </xf>
    <xf numFmtId="178" fontId="12" fillId="0" borderId="75" xfId="0" applyNumberFormat="1" applyFont="1" applyBorder="1">
      <alignment vertical="center"/>
    </xf>
    <xf numFmtId="178" fontId="12" fillId="0" borderId="18" xfId="0" applyNumberFormat="1" applyFont="1" applyBorder="1">
      <alignment vertical="center"/>
    </xf>
    <xf numFmtId="178" fontId="12" fillId="0" borderId="79" xfId="0" applyNumberFormat="1" applyFont="1" applyBorder="1">
      <alignment vertical="center"/>
    </xf>
    <xf numFmtId="178" fontId="12" fillId="0" borderId="53" xfId="0" applyNumberFormat="1" applyFont="1" applyBorder="1">
      <alignment vertical="center"/>
    </xf>
    <xf numFmtId="178" fontId="12" fillId="0" borderId="20" xfId="0" applyNumberFormat="1" applyFont="1" applyBorder="1">
      <alignment vertical="center"/>
    </xf>
    <xf numFmtId="178" fontId="12" fillId="0" borderId="21" xfId="0" applyNumberFormat="1" applyFont="1" applyBorder="1">
      <alignment vertical="center"/>
    </xf>
    <xf numFmtId="178" fontId="12" fillId="0" borderId="22" xfId="0" applyNumberFormat="1" applyFont="1" applyBorder="1">
      <alignment vertical="center"/>
    </xf>
    <xf numFmtId="178" fontId="12" fillId="0" borderId="76" xfId="0" applyNumberFormat="1" applyFont="1" applyBorder="1">
      <alignment vertical="center"/>
    </xf>
    <xf numFmtId="178" fontId="11" fillId="7" borderId="79" xfId="0" applyNumberFormat="1" applyFont="1" applyFill="1" applyBorder="1">
      <alignment vertical="center"/>
    </xf>
    <xf numFmtId="178" fontId="11" fillId="5" borderId="75" xfId="0" applyNumberFormat="1" applyFont="1" applyFill="1" applyBorder="1">
      <alignment vertical="center"/>
    </xf>
    <xf numFmtId="0" fontId="0" fillId="0" borderId="0" xfId="0" applyFont="1" applyAlignment="1">
      <alignment horizontal="right" vertical="center"/>
    </xf>
    <xf numFmtId="14" fontId="0" fillId="0" borderId="0" xfId="0" applyNumberFormat="1" applyFont="1" applyAlignment="1">
      <alignment horizontal="right" vertical="center"/>
    </xf>
    <xf numFmtId="9" fontId="0" fillId="0" borderId="0" xfId="0" applyNumberFormat="1" applyFont="1" applyAlignment="1">
      <alignment horizontal="right" vertical="center"/>
    </xf>
    <xf numFmtId="0" fontId="8" fillId="0" borderId="0" xfId="0" applyFont="1" applyAlignment="1">
      <alignment horizontal="right" vertical="center"/>
    </xf>
    <xf numFmtId="0" fontId="2" fillId="0" borderId="0" xfId="0" applyFont="1" applyAlignment="1">
      <alignment horizontal="right" vertical="center"/>
    </xf>
    <xf numFmtId="9" fontId="2" fillId="0" borderId="0" xfId="0" applyNumberFormat="1" applyFont="1" applyAlignment="1">
      <alignment horizontal="right" vertical="center"/>
    </xf>
    <xf numFmtId="178" fontId="0" fillId="0" borderId="0" xfId="0" applyNumberFormat="1" applyFont="1" applyAlignment="1">
      <alignment horizontal="right" vertical="center"/>
    </xf>
    <xf numFmtId="179" fontId="6" fillId="0" borderId="0" xfId="1" applyNumberFormat="1" applyFont="1" applyFill="1" applyBorder="1" applyAlignment="1">
      <alignment vertical="center"/>
    </xf>
    <xf numFmtId="180" fontId="0" fillId="0" borderId="0" xfId="0" applyNumberFormat="1">
      <alignment vertical="center"/>
    </xf>
    <xf numFmtId="178" fontId="0" fillId="0" borderId="17" xfId="0" applyNumberFormat="1" applyBorder="1">
      <alignment vertical="center"/>
    </xf>
    <xf numFmtId="178" fontId="2" fillId="0" borderId="7" xfId="0" applyNumberFormat="1" applyFont="1" applyBorder="1">
      <alignment vertical="center"/>
    </xf>
    <xf numFmtId="178" fontId="2" fillId="0" borderId="82" xfId="0" applyNumberFormat="1" applyFont="1" applyBorder="1">
      <alignment vertical="center"/>
    </xf>
    <xf numFmtId="178" fontId="0" fillId="0" borderId="6" xfId="0" applyNumberFormat="1" applyBorder="1">
      <alignment vertical="center"/>
    </xf>
    <xf numFmtId="178" fontId="0" fillId="0" borderId="8" xfId="0" applyNumberFormat="1" applyBorder="1">
      <alignment vertical="center"/>
    </xf>
    <xf numFmtId="178" fontId="0" fillId="0" borderId="6" xfId="0" applyNumberFormat="1" applyBorder="1" applyAlignment="1">
      <alignment horizontal="center" vertical="center"/>
    </xf>
    <xf numFmtId="178" fontId="0" fillId="0" borderId="14" xfId="0" applyNumberFormat="1" applyBorder="1">
      <alignment vertical="center"/>
    </xf>
    <xf numFmtId="178" fontId="2" fillId="0" borderId="83" xfId="0" applyNumberFormat="1" applyFont="1" applyBorder="1">
      <alignment vertical="center"/>
    </xf>
    <xf numFmtId="178" fontId="0" fillId="0" borderId="4" xfId="0" applyNumberFormat="1" applyBorder="1">
      <alignment vertical="center"/>
    </xf>
    <xf numFmtId="178" fontId="0" fillId="0" borderId="5" xfId="0" applyNumberFormat="1" applyBorder="1">
      <alignment vertical="center"/>
    </xf>
    <xf numFmtId="178" fontId="0" fillId="0" borderId="4" xfId="0" applyNumberFormat="1" applyBorder="1" applyAlignment="1">
      <alignment horizontal="center" vertical="center"/>
    </xf>
    <xf numFmtId="178" fontId="0" fillId="0" borderId="69" xfId="0" applyNumberFormat="1" applyBorder="1" applyAlignment="1">
      <alignment horizontal="center" vertical="center"/>
    </xf>
    <xf numFmtId="178" fontId="0" fillId="0" borderId="21" xfId="0" applyNumberFormat="1" applyBorder="1">
      <alignment vertical="center"/>
    </xf>
    <xf numFmtId="178" fontId="2" fillId="0" borderId="66" xfId="0" applyNumberFormat="1" applyFont="1" applyBorder="1">
      <alignment vertical="center"/>
    </xf>
    <xf numFmtId="178" fontId="2" fillId="0" borderId="84" xfId="0" applyNumberFormat="1" applyFont="1" applyBorder="1">
      <alignment vertical="center"/>
    </xf>
    <xf numFmtId="178" fontId="0" fillId="0" borderId="18" xfId="0" applyNumberFormat="1" applyBorder="1">
      <alignment vertical="center"/>
    </xf>
    <xf numFmtId="178" fontId="0" fillId="0" borderId="54" xfId="0" applyNumberFormat="1" applyBorder="1">
      <alignment vertical="center"/>
    </xf>
    <xf numFmtId="178" fontId="0" fillId="0" borderId="85" xfId="0" applyNumberFormat="1" applyBorder="1" applyAlignment="1">
      <alignment horizontal="center" vertical="center"/>
    </xf>
    <xf numFmtId="178" fontId="2" fillId="0" borderId="86" xfId="0" applyNumberFormat="1" applyFont="1" applyBorder="1">
      <alignment vertical="center"/>
    </xf>
    <xf numFmtId="178" fontId="0" fillId="0" borderId="30" xfId="0" applyNumberFormat="1" applyBorder="1">
      <alignment vertical="center"/>
    </xf>
    <xf numFmtId="178" fontId="2" fillId="0" borderId="2" xfId="0" applyNumberFormat="1" applyFont="1" applyBorder="1">
      <alignment vertical="center"/>
    </xf>
    <xf numFmtId="178" fontId="2" fillId="0" borderId="87" xfId="0" applyNumberFormat="1" applyFont="1" applyBorder="1">
      <alignment vertical="center"/>
    </xf>
    <xf numFmtId="178" fontId="0" fillId="0" borderId="1" xfId="0" applyNumberFormat="1" applyBorder="1">
      <alignment vertical="center"/>
    </xf>
    <xf numFmtId="178" fontId="0" fillId="0" borderId="3" xfId="0" applyNumberFormat="1" applyBorder="1">
      <alignment vertical="center"/>
    </xf>
    <xf numFmtId="178" fontId="0" fillId="0" borderId="68" xfId="0" applyNumberFormat="1" applyBorder="1" applyAlignment="1">
      <alignment horizontal="center" vertical="center"/>
    </xf>
    <xf numFmtId="178" fontId="16" fillId="11" borderId="17" xfId="0" applyNumberFormat="1" applyFont="1" applyFill="1" applyBorder="1" applyAlignment="1">
      <alignment horizontal="right" vertical="center"/>
    </xf>
    <xf numFmtId="178" fontId="16" fillId="11" borderId="0" xfId="0" applyNumberFormat="1" applyFont="1" applyFill="1" applyBorder="1" applyAlignment="1">
      <alignment horizontal="right" vertical="center"/>
    </xf>
    <xf numFmtId="178" fontId="16" fillId="11" borderId="83" xfId="0" applyNumberFormat="1" applyFont="1" applyFill="1" applyBorder="1" applyAlignment="1">
      <alignment horizontal="right" vertical="center"/>
    </xf>
    <xf numFmtId="178" fontId="16" fillId="11" borderId="4" xfId="0" applyNumberFormat="1" applyFont="1" applyFill="1" applyBorder="1" applyAlignment="1">
      <alignment horizontal="right" vertical="center"/>
    </xf>
    <xf numFmtId="178" fontId="16" fillId="11" borderId="69" xfId="0" applyNumberFormat="1" applyFont="1" applyFill="1" applyBorder="1" applyAlignment="1">
      <alignment horizontal="center" vertical="center"/>
    </xf>
    <xf numFmtId="178" fontId="16" fillId="11" borderId="44" xfId="0" applyNumberFormat="1" applyFont="1" applyFill="1" applyBorder="1" applyAlignment="1">
      <alignment horizontal="right" vertical="center"/>
    </xf>
    <xf numFmtId="178" fontId="16" fillId="11" borderId="81" xfId="0" applyNumberFormat="1" applyFont="1" applyFill="1" applyBorder="1" applyAlignment="1">
      <alignment horizontal="right" vertical="center"/>
    </xf>
    <xf numFmtId="178" fontId="16" fillId="11" borderId="88" xfId="0" applyNumberFormat="1" applyFont="1" applyFill="1" applyBorder="1" applyAlignment="1">
      <alignment horizontal="right" vertical="center"/>
    </xf>
    <xf numFmtId="178" fontId="16" fillId="11" borderId="80" xfId="0" applyNumberFormat="1" applyFont="1" applyFill="1" applyBorder="1" applyAlignment="1">
      <alignment horizontal="right" vertical="center"/>
    </xf>
    <xf numFmtId="178" fontId="16" fillId="11" borderId="89" xfId="0" applyNumberFormat="1" applyFont="1" applyFill="1" applyBorder="1" applyAlignment="1">
      <alignment horizontal="center" vertical="center"/>
    </xf>
    <xf numFmtId="178" fontId="16" fillId="11" borderId="30" xfId="0" applyNumberFormat="1" applyFont="1" applyFill="1" applyBorder="1" applyAlignment="1">
      <alignment horizontal="right" vertical="center"/>
    </xf>
    <xf numFmtId="178" fontId="16" fillId="11" borderId="2" xfId="0" applyNumberFormat="1" applyFont="1" applyFill="1" applyBorder="1" applyAlignment="1">
      <alignment horizontal="right" vertical="center"/>
    </xf>
    <xf numFmtId="178" fontId="16" fillId="11" borderId="87" xfId="0" applyNumberFormat="1" applyFont="1" applyFill="1" applyBorder="1" applyAlignment="1">
      <alignment horizontal="right" vertical="center"/>
    </xf>
    <xf numFmtId="178" fontId="16" fillId="11" borderId="1" xfId="0" applyNumberFormat="1" applyFont="1" applyFill="1" applyBorder="1" applyAlignment="1">
      <alignment horizontal="right" vertical="center"/>
    </xf>
    <xf numFmtId="178" fontId="16" fillId="11" borderId="68" xfId="0" applyNumberFormat="1" applyFont="1" applyFill="1" applyBorder="1" applyAlignment="1">
      <alignment horizontal="center" vertical="center"/>
    </xf>
    <xf numFmtId="178" fontId="17" fillId="12" borderId="90" xfId="0" applyNumberFormat="1" applyFont="1" applyFill="1" applyBorder="1" applyAlignment="1">
      <alignment horizontal="right" vertical="center"/>
    </xf>
    <xf numFmtId="178" fontId="17" fillId="12" borderId="67" xfId="0" applyNumberFormat="1" applyFont="1" applyFill="1" applyBorder="1" applyAlignment="1">
      <alignment horizontal="right" vertical="center"/>
    </xf>
    <xf numFmtId="178" fontId="17" fillId="12" borderId="91" xfId="0" applyNumberFormat="1" applyFont="1" applyFill="1" applyBorder="1" applyAlignment="1">
      <alignment horizontal="right" vertical="center"/>
    </xf>
    <xf numFmtId="178" fontId="17" fillId="12" borderId="48" xfId="0" applyNumberFormat="1" applyFont="1" applyFill="1" applyBorder="1" applyAlignment="1">
      <alignment horizontal="right" vertical="center"/>
    </xf>
    <xf numFmtId="178" fontId="17" fillId="12" borderId="92" xfId="0" applyNumberFormat="1" applyFont="1" applyFill="1" applyBorder="1" applyAlignment="1">
      <alignment horizontal="right" vertical="center"/>
    </xf>
    <xf numFmtId="178" fontId="17" fillId="12" borderId="65" xfId="0" applyNumberFormat="1" applyFont="1" applyFill="1" applyBorder="1" applyAlignment="1">
      <alignment horizontal="center" vertical="center"/>
    </xf>
    <xf numFmtId="178" fontId="15" fillId="13" borderId="11" xfId="0" applyNumberFormat="1" applyFont="1" applyFill="1" applyBorder="1" applyAlignment="1">
      <alignment horizontal="centerContinuous" vertical="center"/>
    </xf>
    <xf numFmtId="178" fontId="15" fillId="13" borderId="64" xfId="0" applyNumberFormat="1" applyFont="1" applyFill="1" applyBorder="1" applyAlignment="1">
      <alignment horizontal="centerContinuous" vertical="center"/>
    </xf>
    <xf numFmtId="178" fontId="15" fillId="13" borderId="93" xfId="0" applyNumberFormat="1" applyFont="1" applyFill="1" applyBorder="1" applyAlignment="1">
      <alignment horizontal="centerContinuous" vertical="center"/>
    </xf>
    <xf numFmtId="178" fontId="15" fillId="13" borderId="71" xfId="0" applyNumberFormat="1" applyFont="1" applyFill="1" applyBorder="1" applyAlignment="1">
      <alignment horizontal="centerContinuous" vertical="center"/>
    </xf>
    <xf numFmtId="178" fontId="15" fillId="13" borderId="50" xfId="0" applyNumberFormat="1" applyFont="1" applyFill="1" applyBorder="1" applyAlignment="1">
      <alignment horizontal="centerContinuous" vertical="center"/>
    </xf>
    <xf numFmtId="178" fontId="15" fillId="13" borderId="3" xfId="0" applyNumberFormat="1" applyFont="1" applyFill="1" applyBorder="1" applyAlignment="1">
      <alignment horizontal="centerContinuous" vertical="center"/>
    </xf>
    <xf numFmtId="178" fontId="15" fillId="13" borderId="2" xfId="0" applyNumberFormat="1" applyFont="1" applyFill="1" applyBorder="1" applyAlignment="1">
      <alignment horizontal="centerContinuous" vertical="center"/>
    </xf>
    <xf numFmtId="178" fontId="15" fillId="13" borderId="1" xfId="0" applyNumberFormat="1" applyFont="1" applyFill="1" applyBorder="1" applyAlignment="1">
      <alignment horizontal="centerContinuous" vertical="center"/>
    </xf>
    <xf numFmtId="178" fontId="0" fillId="0" borderId="0" xfId="0" applyNumberFormat="1" applyAlignment="1">
      <alignment horizontal="right" vertical="center"/>
    </xf>
    <xf numFmtId="178" fontId="18" fillId="0" borderId="0" xfId="0" applyNumberFormat="1" applyFont="1">
      <alignment vertical="center"/>
    </xf>
    <xf numFmtId="178" fontId="0" fillId="0" borderId="8" xfId="0" applyNumberFormat="1" applyBorder="1" applyAlignment="1">
      <alignment horizontal="right" vertical="center"/>
    </xf>
    <xf numFmtId="178" fontId="2" fillId="0" borderId="94" xfId="0" applyNumberFormat="1" applyFont="1" applyBorder="1" applyAlignment="1">
      <alignment horizontal="right" vertical="center"/>
    </xf>
    <xf numFmtId="178" fontId="0" fillId="0" borderId="6" xfId="0" applyNumberFormat="1" applyBorder="1" applyAlignment="1">
      <alignment horizontal="right" vertical="center"/>
    </xf>
    <xf numFmtId="178" fontId="0" fillId="0" borderId="5" xfId="0" applyNumberFormat="1" applyBorder="1" applyAlignment="1">
      <alignment horizontal="right" vertical="center"/>
    </xf>
    <xf numFmtId="178" fontId="2" fillId="0" borderId="83" xfId="0" applyNumberFormat="1" applyFont="1" applyBorder="1" applyAlignment="1">
      <alignment horizontal="right" vertical="center"/>
    </xf>
    <xf numFmtId="178" fontId="0" fillId="0" borderId="4" xfId="0" applyNumberFormat="1" applyBorder="1" applyAlignment="1">
      <alignment horizontal="right" vertical="center"/>
    </xf>
    <xf numFmtId="178" fontId="0" fillId="0" borderId="54" xfId="0" applyNumberFormat="1" applyBorder="1" applyAlignment="1">
      <alignment horizontal="right" vertical="center"/>
    </xf>
    <xf numFmtId="178" fontId="2" fillId="0" borderId="84" xfId="0" applyNumberFormat="1" applyFont="1" applyBorder="1" applyAlignment="1">
      <alignment horizontal="right" vertical="center"/>
    </xf>
    <xf numFmtId="178" fontId="0" fillId="0" borderId="18" xfId="0" applyNumberFormat="1" applyBorder="1" applyAlignment="1">
      <alignment horizontal="right" vertical="center"/>
    </xf>
    <xf numFmtId="178" fontId="0" fillId="0" borderId="18" xfId="0" applyNumberFormat="1" applyBorder="1" applyAlignment="1">
      <alignment horizontal="center" vertical="center"/>
    </xf>
    <xf numFmtId="178" fontId="0" fillId="0" borderId="3" xfId="0" applyNumberFormat="1" applyBorder="1" applyAlignment="1">
      <alignment horizontal="right" vertical="center"/>
    </xf>
    <xf numFmtId="178" fontId="2" fillId="0" borderId="87" xfId="0" applyNumberFormat="1" applyFont="1" applyBorder="1" applyAlignment="1">
      <alignment horizontal="right" vertical="center"/>
    </xf>
    <xf numFmtId="178" fontId="0" fillId="0" borderId="1" xfId="0" applyNumberFormat="1" applyBorder="1" applyAlignment="1">
      <alignment horizontal="right" vertical="center"/>
    </xf>
    <xf numFmtId="178" fontId="0" fillId="0" borderId="1" xfId="0" applyNumberFormat="1" applyBorder="1" applyAlignment="1">
      <alignment horizontal="center" vertical="center"/>
    </xf>
    <xf numFmtId="178" fontId="16" fillId="11" borderId="5" xfId="0" applyNumberFormat="1" applyFont="1" applyFill="1" applyBorder="1" applyAlignment="1">
      <alignment horizontal="right" vertical="center"/>
    </xf>
    <xf numFmtId="178" fontId="16" fillId="11" borderId="52" xfId="0" applyNumberFormat="1" applyFont="1" applyFill="1" applyBorder="1" applyAlignment="1">
      <alignment horizontal="right" vertical="center"/>
    </xf>
    <xf numFmtId="178" fontId="16" fillId="11" borderId="3" xfId="0" applyNumberFormat="1" applyFont="1" applyFill="1" applyBorder="1" applyAlignment="1">
      <alignment horizontal="right" vertical="center"/>
    </xf>
    <xf numFmtId="178" fontId="17" fillId="12" borderId="55" xfId="0" applyNumberFormat="1" applyFont="1" applyFill="1" applyBorder="1" applyAlignment="1">
      <alignment horizontal="right" vertical="center"/>
    </xf>
    <xf numFmtId="178" fontId="0" fillId="0" borderId="8" xfId="1" applyNumberFormat="1" applyFont="1" applyBorder="1">
      <alignment vertical="center"/>
    </xf>
    <xf numFmtId="178" fontId="2" fillId="0" borderId="94" xfId="1" applyNumberFormat="1" applyFont="1" applyBorder="1">
      <alignment vertical="center"/>
    </xf>
    <xf numFmtId="178" fontId="0" fillId="0" borderId="6" xfId="1" applyNumberFormat="1" applyFont="1" applyBorder="1">
      <alignment vertical="center"/>
    </xf>
    <xf numFmtId="178" fontId="0" fillId="0" borderId="5" xfId="1" applyNumberFormat="1" applyFont="1" applyBorder="1">
      <alignment vertical="center"/>
    </xf>
    <xf numFmtId="178" fontId="2" fillId="0" borderId="83" xfId="1" applyNumberFormat="1" applyFont="1" applyBorder="1">
      <alignment vertical="center"/>
    </xf>
    <xf numFmtId="178" fontId="0" fillId="0" borderId="4" xfId="1" applyNumberFormat="1" applyFont="1" applyBorder="1">
      <alignment vertical="center"/>
    </xf>
    <xf numFmtId="178" fontId="0" fillId="0" borderId="54" xfId="1" applyNumberFormat="1" applyFont="1" applyBorder="1">
      <alignment vertical="center"/>
    </xf>
    <xf numFmtId="178" fontId="2" fillId="0" borderId="84" xfId="1" applyNumberFormat="1" applyFont="1" applyBorder="1">
      <alignment vertical="center"/>
    </xf>
    <xf numFmtId="178" fontId="0" fillId="0" borderId="18" xfId="1" applyNumberFormat="1" applyFont="1" applyBorder="1">
      <alignment vertical="center"/>
    </xf>
    <xf numFmtId="178" fontId="0" fillId="0" borderId="0" xfId="0" quotePrefix="1" applyNumberFormat="1">
      <alignment vertical="center"/>
    </xf>
    <xf numFmtId="178" fontId="0" fillId="0" borderId="3" xfId="1" applyNumberFormat="1" applyFont="1" applyBorder="1">
      <alignment vertical="center"/>
    </xf>
    <xf numFmtId="178" fontId="2" fillId="0" borderId="87" xfId="1" applyNumberFormat="1" applyFont="1" applyBorder="1">
      <alignment vertical="center"/>
    </xf>
    <xf numFmtId="178" fontId="0" fillId="0" borderId="1" xfId="1" applyNumberFormat="1" applyFont="1" applyBorder="1">
      <alignment vertical="center"/>
    </xf>
    <xf numFmtId="178" fontId="16" fillId="11" borderId="5" xfId="1" applyNumberFormat="1" applyFont="1" applyFill="1" applyBorder="1" applyAlignment="1">
      <alignment horizontal="right" vertical="center"/>
    </xf>
    <xf numFmtId="178" fontId="16" fillId="11" borderId="83" xfId="1" applyNumberFormat="1" applyFont="1" applyFill="1" applyBorder="1" applyAlignment="1">
      <alignment horizontal="right" vertical="center"/>
    </xf>
    <xf numFmtId="178" fontId="16" fillId="11" borderId="4" xfId="1" applyNumberFormat="1" applyFont="1" applyFill="1" applyBorder="1" applyAlignment="1">
      <alignment horizontal="right" vertical="center"/>
    </xf>
    <xf numFmtId="178" fontId="16" fillId="11" borderId="52" xfId="1" applyNumberFormat="1" applyFont="1" applyFill="1" applyBorder="1" applyAlignment="1">
      <alignment horizontal="right" vertical="center"/>
    </xf>
    <xf numFmtId="178" fontId="16" fillId="11" borderId="88" xfId="1" applyNumberFormat="1" applyFont="1" applyFill="1" applyBorder="1" applyAlignment="1">
      <alignment horizontal="right" vertical="center"/>
    </xf>
    <xf numFmtId="178" fontId="16" fillId="11" borderId="80" xfId="1" applyNumberFormat="1" applyFont="1" applyFill="1" applyBorder="1" applyAlignment="1">
      <alignment horizontal="right" vertical="center"/>
    </xf>
    <xf numFmtId="178" fontId="16" fillId="11" borderId="3" xfId="1" applyNumberFormat="1" applyFont="1" applyFill="1" applyBorder="1" applyAlignment="1">
      <alignment horizontal="right" vertical="center"/>
    </xf>
    <xf numFmtId="178" fontId="16" fillId="11" borderId="87" xfId="1" applyNumberFormat="1" applyFont="1" applyFill="1" applyBorder="1" applyAlignment="1">
      <alignment horizontal="right" vertical="center"/>
    </xf>
    <xf numFmtId="178" fontId="16" fillId="11" borderId="1" xfId="1" applyNumberFormat="1" applyFont="1" applyFill="1" applyBorder="1" applyAlignment="1">
      <alignment horizontal="right" vertical="center"/>
    </xf>
    <xf numFmtId="178" fontId="17" fillId="12" borderId="55" xfId="1" applyNumberFormat="1" applyFont="1" applyFill="1" applyBorder="1" applyAlignment="1">
      <alignment horizontal="right" vertical="center"/>
    </xf>
    <xf numFmtId="178" fontId="17" fillId="12" borderId="91" xfId="1" applyNumberFormat="1" applyFont="1" applyFill="1" applyBorder="1" applyAlignment="1">
      <alignment horizontal="right" vertical="center"/>
    </xf>
    <xf numFmtId="178" fontId="17" fillId="12" borderId="48" xfId="1" applyNumberFormat="1" applyFont="1" applyFill="1" applyBorder="1" applyAlignment="1">
      <alignment horizontal="right" vertical="center"/>
    </xf>
    <xf numFmtId="179" fontId="0" fillId="0" borderId="8" xfId="0" applyNumberFormat="1" applyBorder="1">
      <alignment vertical="center"/>
    </xf>
    <xf numFmtId="179" fontId="2" fillId="0" borderId="94" xfId="0" applyNumberFormat="1" applyFont="1" applyBorder="1">
      <alignment vertical="center"/>
    </xf>
    <xf numFmtId="179" fontId="0" fillId="0" borderId="6" xfId="0" applyNumberFormat="1" applyBorder="1">
      <alignment vertical="center"/>
    </xf>
    <xf numFmtId="178" fontId="2" fillId="0" borderId="94" xfId="0" applyNumberFormat="1" applyFont="1" applyBorder="1">
      <alignment vertical="center"/>
    </xf>
    <xf numFmtId="9" fontId="0" fillId="0" borderId="8" xfId="0" applyNumberFormat="1" applyBorder="1">
      <alignment vertical="center"/>
    </xf>
    <xf numFmtId="9" fontId="2" fillId="0" borderId="94" xfId="0" applyNumberFormat="1" applyFont="1" applyBorder="1">
      <alignment vertical="center"/>
    </xf>
    <xf numFmtId="9" fontId="0" fillId="0" borderId="6" xfId="0" applyNumberFormat="1" applyBorder="1">
      <alignment vertical="center"/>
    </xf>
    <xf numFmtId="179" fontId="0" fillId="0" borderId="5" xfId="0" applyNumberFormat="1" applyBorder="1">
      <alignment vertical="center"/>
    </xf>
    <xf numFmtId="179" fontId="2" fillId="0" borderId="83" xfId="0" applyNumberFormat="1" applyFont="1" applyBorder="1">
      <alignment vertical="center"/>
    </xf>
    <xf numFmtId="179" fontId="0" fillId="0" borderId="4" xfId="0" applyNumberFormat="1" applyBorder="1">
      <alignment vertical="center"/>
    </xf>
    <xf numFmtId="9" fontId="0" fillId="0" borderId="5" xfId="0" applyNumberFormat="1" applyBorder="1">
      <alignment vertical="center"/>
    </xf>
    <xf numFmtId="9" fontId="2" fillId="0" borderId="83" xfId="0" applyNumberFormat="1" applyFont="1" applyBorder="1">
      <alignment vertical="center"/>
    </xf>
    <xf numFmtId="9" fontId="0" fillId="0" borderId="4" xfId="0" applyNumberFormat="1" applyBorder="1">
      <alignment vertical="center"/>
    </xf>
    <xf numFmtId="179" fontId="0" fillId="0" borderId="54" xfId="0" applyNumberFormat="1" applyBorder="1">
      <alignment vertical="center"/>
    </xf>
    <xf numFmtId="179" fontId="2" fillId="0" borderId="84" xfId="0" applyNumberFormat="1" applyFont="1" applyBorder="1">
      <alignment vertical="center"/>
    </xf>
    <xf numFmtId="179" fontId="0" fillId="0" borderId="18" xfId="0" applyNumberFormat="1" applyBorder="1">
      <alignment vertical="center"/>
    </xf>
    <xf numFmtId="9" fontId="0" fillId="0" borderId="54" xfId="0" applyNumberFormat="1" applyBorder="1">
      <alignment vertical="center"/>
    </xf>
    <xf numFmtId="9" fontId="2" fillId="0" borderId="84" xfId="0" applyNumberFormat="1" applyFont="1" applyBorder="1">
      <alignment vertical="center"/>
    </xf>
    <xf numFmtId="9" fontId="0" fillId="0" borderId="18" xfId="0" applyNumberFormat="1" applyBorder="1">
      <alignment vertical="center"/>
    </xf>
    <xf numFmtId="179" fontId="0" fillId="0" borderId="3" xfId="0" applyNumberFormat="1" applyBorder="1">
      <alignment vertical="center"/>
    </xf>
    <xf numFmtId="179" fontId="2" fillId="0" borderId="87" xfId="0" applyNumberFormat="1" applyFont="1" applyBorder="1">
      <alignment vertical="center"/>
    </xf>
    <xf numFmtId="179" fontId="0" fillId="0" borderId="1" xfId="0" applyNumberFormat="1" applyBorder="1">
      <alignment vertical="center"/>
    </xf>
    <xf numFmtId="9" fontId="0" fillId="0" borderId="3" xfId="0" applyNumberFormat="1" applyBorder="1">
      <alignment vertical="center"/>
    </xf>
    <xf numFmtId="9" fontId="2" fillId="0" borderId="87" xfId="0" applyNumberFormat="1" applyFont="1" applyBorder="1">
      <alignment vertical="center"/>
    </xf>
    <xf numFmtId="9" fontId="0" fillId="0" borderId="1" xfId="0" applyNumberFormat="1" applyBorder="1">
      <alignment vertical="center"/>
    </xf>
    <xf numFmtId="9" fontId="16" fillId="11" borderId="5" xfId="0" applyNumberFormat="1" applyFont="1" applyFill="1" applyBorder="1" applyAlignment="1">
      <alignment horizontal="right" vertical="center"/>
    </xf>
    <xf numFmtId="9" fontId="16" fillId="11" borderId="83" xfId="0" applyNumberFormat="1" applyFont="1" applyFill="1" applyBorder="1" applyAlignment="1">
      <alignment horizontal="right" vertical="center"/>
    </xf>
    <xf numFmtId="9" fontId="16" fillId="11" borderId="4" xfId="0" applyNumberFormat="1" applyFont="1" applyFill="1" applyBorder="1" applyAlignment="1">
      <alignment horizontal="right" vertical="center"/>
    </xf>
    <xf numFmtId="9" fontId="16" fillId="11" borderId="52" xfId="0" applyNumberFormat="1" applyFont="1" applyFill="1" applyBorder="1" applyAlignment="1">
      <alignment horizontal="right" vertical="center"/>
    </xf>
    <xf numFmtId="9" fontId="16" fillId="11" borderId="88" xfId="0" applyNumberFormat="1" applyFont="1" applyFill="1" applyBorder="1" applyAlignment="1">
      <alignment horizontal="right" vertical="center"/>
    </xf>
    <xf numFmtId="9" fontId="16" fillId="11" borderId="80" xfId="0" applyNumberFormat="1" applyFont="1" applyFill="1" applyBorder="1" applyAlignment="1">
      <alignment horizontal="right" vertical="center"/>
    </xf>
    <xf numFmtId="9" fontId="16" fillId="11" borderId="3" xfId="0" applyNumberFormat="1" applyFont="1" applyFill="1" applyBorder="1" applyAlignment="1">
      <alignment horizontal="right" vertical="center"/>
    </xf>
    <xf numFmtId="9" fontId="16" fillId="11" borderId="87" xfId="0" applyNumberFormat="1" applyFont="1" applyFill="1" applyBorder="1" applyAlignment="1">
      <alignment horizontal="right" vertical="center"/>
    </xf>
    <xf numFmtId="9" fontId="16" fillId="11" borderId="1" xfId="0" applyNumberFormat="1" applyFont="1" applyFill="1" applyBorder="1" applyAlignment="1">
      <alignment horizontal="right" vertical="center"/>
    </xf>
    <xf numFmtId="9" fontId="17" fillId="12" borderId="55" xfId="0" applyNumberFormat="1" applyFont="1" applyFill="1" applyBorder="1" applyAlignment="1">
      <alignment horizontal="right" vertical="center"/>
    </xf>
    <xf numFmtId="9" fontId="17" fillId="12" borderId="91" xfId="0" applyNumberFormat="1" applyFont="1" applyFill="1" applyBorder="1" applyAlignment="1">
      <alignment horizontal="right" vertical="center"/>
    </xf>
    <xf numFmtId="9" fontId="17" fillId="12" borderId="48" xfId="0" applyNumberFormat="1" applyFont="1" applyFill="1" applyBorder="1" applyAlignment="1">
      <alignment horizontal="right" vertical="center"/>
    </xf>
    <xf numFmtId="178" fontId="2" fillId="8" borderId="4" xfId="1" applyNumberFormat="1" applyFont="1" applyFill="1" applyBorder="1" applyAlignment="1">
      <alignment vertical="center"/>
    </xf>
    <xf numFmtId="178" fontId="0" fillId="0" borderId="0" xfId="0" applyNumberFormat="1" applyFont="1" applyFill="1" applyBorder="1">
      <alignment vertical="center"/>
    </xf>
    <xf numFmtId="178" fontId="19" fillId="0" borderId="0" xfId="0" applyNumberFormat="1" applyFont="1">
      <alignment vertical="center"/>
    </xf>
    <xf numFmtId="9" fontId="2" fillId="0" borderId="0" xfId="0" applyNumberFormat="1" applyFont="1">
      <alignment vertical="center"/>
    </xf>
    <xf numFmtId="3" fontId="0" fillId="0" borderId="0" xfId="0" applyNumberFormat="1" applyFont="1">
      <alignment vertical="center"/>
    </xf>
    <xf numFmtId="3" fontId="0" fillId="0" borderId="0" xfId="1" applyNumberFormat="1" applyFont="1">
      <alignment vertical="center"/>
    </xf>
    <xf numFmtId="3" fontId="2" fillId="0" borderId="0" xfId="0" applyNumberFormat="1" applyFont="1">
      <alignment vertical="center"/>
    </xf>
    <xf numFmtId="3" fontId="0" fillId="0" borderId="0" xfId="0" applyNumberFormat="1" applyFont="1" applyAlignment="1">
      <alignment vertical="center"/>
    </xf>
    <xf numFmtId="181" fontId="0" fillId="0" borderId="0" xfId="0" applyNumberFormat="1" applyFont="1">
      <alignment vertical="center"/>
    </xf>
    <xf numFmtId="182" fontId="2" fillId="0" borderId="0" xfId="0" applyNumberFormat="1" applyFont="1">
      <alignment vertical="center"/>
    </xf>
    <xf numFmtId="183" fontId="0" fillId="0" borderId="0" xfId="0" applyNumberFormat="1" applyFont="1">
      <alignment vertical="center"/>
    </xf>
    <xf numFmtId="3" fontId="0" fillId="0" borderId="0" xfId="0" applyNumberFormat="1">
      <alignment vertical="center"/>
    </xf>
    <xf numFmtId="184" fontId="6" fillId="0" borderId="0" xfId="1" applyNumberFormat="1" applyFont="1">
      <alignment vertical="center"/>
    </xf>
    <xf numFmtId="184" fontId="0" fillId="0" borderId="0" xfId="0" applyNumberFormat="1" applyFont="1">
      <alignment vertical="center"/>
    </xf>
    <xf numFmtId="9" fontId="0" fillId="0" borderId="0" xfId="0" applyNumberFormat="1" applyFont="1">
      <alignment vertical="center"/>
    </xf>
    <xf numFmtId="178" fontId="6" fillId="8" borderId="4" xfId="1" quotePrefix="1" applyNumberFormat="1" applyFont="1" applyFill="1" applyBorder="1" applyAlignment="1">
      <alignment vertical="center"/>
    </xf>
    <xf numFmtId="178" fontId="0" fillId="0" borderId="0" xfId="0" applyNumberFormat="1" applyFill="1" applyBorder="1">
      <alignment vertical="center"/>
    </xf>
    <xf numFmtId="178" fontId="20" fillId="0" borderId="0" xfId="0" applyNumberFormat="1" applyFont="1">
      <alignment vertical="center"/>
    </xf>
    <xf numFmtId="178" fontId="15" fillId="0" borderId="0" xfId="0" applyNumberFormat="1" applyFont="1" applyFill="1" applyBorder="1" applyAlignment="1">
      <alignment vertical="center"/>
    </xf>
    <xf numFmtId="0" fontId="13" fillId="6" borderId="65" xfId="0" applyFont="1" applyFill="1" applyBorder="1" applyAlignment="1">
      <alignment horizontal="centerContinuous" vertical="center"/>
    </xf>
    <xf numFmtId="0" fontId="13" fillId="6" borderId="67" xfId="0" applyFont="1" applyFill="1" applyBorder="1" applyAlignment="1">
      <alignment horizontal="centerContinuous" vertical="center"/>
    </xf>
    <xf numFmtId="0" fontId="13" fillId="6" borderId="55" xfId="0" applyFont="1" applyFill="1" applyBorder="1" applyAlignment="1">
      <alignment horizontal="centerContinuous" vertical="center"/>
    </xf>
    <xf numFmtId="178" fontId="2" fillId="0" borderId="1" xfId="0" applyNumberFormat="1" applyFont="1" applyBorder="1" applyAlignment="1">
      <alignment horizontal="centerContinuous" vertical="center"/>
    </xf>
    <xf numFmtId="178" fontId="2" fillId="0" borderId="27" xfId="0" applyNumberFormat="1" applyFont="1" applyBorder="1" applyAlignment="1">
      <alignment horizontal="centerContinuous" vertical="center"/>
    </xf>
    <xf numFmtId="178" fontId="6" fillId="0" borderId="68" xfId="0" applyNumberFormat="1" applyFont="1" applyBorder="1">
      <alignment vertical="center"/>
    </xf>
    <xf numFmtId="178" fontId="6" fillId="0" borderId="2" xfId="0" applyNumberFormat="1" applyFont="1" applyBorder="1">
      <alignment vertical="center"/>
    </xf>
    <xf numFmtId="178" fontId="2" fillId="0" borderId="0" xfId="0" applyNumberFormat="1" applyFont="1" applyFill="1" applyBorder="1">
      <alignment vertical="center"/>
    </xf>
    <xf numFmtId="178" fontId="2" fillId="0" borderId="6" xfId="0" applyNumberFormat="1" applyFont="1" applyBorder="1" applyAlignment="1">
      <alignment horizontal="centerContinuous" vertical="center"/>
    </xf>
    <xf numFmtId="178" fontId="2" fillId="0" borderId="95" xfId="0" applyNumberFormat="1" applyFont="1" applyBorder="1" applyAlignment="1">
      <alignment horizontal="centerContinuous" vertical="center"/>
    </xf>
    <xf numFmtId="178" fontId="6" fillId="0" borderId="70" xfId="0" applyNumberFormat="1" applyFont="1" applyBorder="1">
      <alignment vertical="center"/>
    </xf>
    <xf numFmtId="178" fontId="6" fillId="0" borderId="7" xfId="0" applyNumberFormat="1" applyFont="1" applyBorder="1">
      <alignment vertical="center"/>
    </xf>
    <xf numFmtId="178" fontId="2" fillId="0" borderId="4" xfId="0" applyNumberFormat="1" applyFont="1" applyBorder="1" applyAlignment="1">
      <alignment horizontal="centerContinuous" vertical="center"/>
    </xf>
    <xf numFmtId="178" fontId="2" fillId="0" borderId="31" xfId="0" applyNumberFormat="1" applyFont="1" applyBorder="1" applyAlignment="1">
      <alignment horizontal="centerContinuous" vertical="center"/>
    </xf>
    <xf numFmtId="178" fontId="6" fillId="0" borderId="69" xfId="0" applyNumberFormat="1" applyFont="1" applyBorder="1">
      <alignment vertical="center"/>
    </xf>
    <xf numFmtId="178" fontId="6" fillId="0" borderId="0" xfId="0" applyNumberFormat="1" applyFont="1" applyBorder="1">
      <alignment vertical="center"/>
    </xf>
    <xf numFmtId="178" fontId="2" fillId="0" borderId="33" xfId="0" applyNumberFormat="1" applyFont="1" applyBorder="1" applyAlignment="1">
      <alignment horizontal="centerContinuous" vertical="center"/>
    </xf>
    <xf numFmtId="178" fontId="6" fillId="0" borderId="96" xfId="0" applyNumberFormat="1" applyFont="1" applyBorder="1">
      <alignment vertical="center"/>
    </xf>
    <xf numFmtId="178" fontId="6" fillId="0" borderId="23" xfId="0" applyNumberFormat="1" applyFont="1" applyBorder="1">
      <alignment vertical="center"/>
    </xf>
    <xf numFmtId="178" fontId="2" fillId="0" borderId="66" xfId="0" applyNumberFormat="1" applyFont="1" applyBorder="1" applyAlignment="1">
      <alignment horizontal="centerContinuous" vertical="center"/>
    </xf>
    <xf numFmtId="178" fontId="6" fillId="0" borderId="85" xfId="0" applyNumberFormat="1" applyFont="1" applyBorder="1">
      <alignment vertical="center"/>
    </xf>
    <xf numFmtId="178" fontId="2" fillId="0" borderId="64" xfId="0" applyNumberFormat="1" applyFont="1" applyBorder="1" applyAlignment="1">
      <alignment horizontal="centerContinuous" vertical="center"/>
    </xf>
    <xf numFmtId="178" fontId="6" fillId="0" borderId="73" xfId="0" applyNumberFormat="1" applyFont="1" applyBorder="1">
      <alignment vertical="center"/>
    </xf>
    <xf numFmtId="178" fontId="6" fillId="0" borderId="64" xfId="0" applyNumberFormat="1" applyFont="1" applyBorder="1">
      <alignment vertical="center"/>
    </xf>
    <xf numFmtId="178" fontId="2" fillId="0" borderId="31" xfId="0" applyNumberFormat="1" applyFont="1" applyBorder="1" applyAlignment="1">
      <alignment horizontal="right" vertical="center"/>
    </xf>
    <xf numFmtId="177" fontId="6" fillId="0" borderId="69" xfId="0" applyNumberFormat="1" applyFont="1" applyBorder="1">
      <alignment vertical="center"/>
    </xf>
    <xf numFmtId="177" fontId="6" fillId="0" borderId="0" xfId="0" applyNumberFormat="1" applyFont="1" applyBorder="1">
      <alignment vertical="center"/>
    </xf>
    <xf numFmtId="178" fontId="2" fillId="0" borderId="32" xfId="0" applyNumberFormat="1" applyFont="1" applyBorder="1" applyAlignment="1">
      <alignment horizontal="centerContinuous" vertical="center"/>
    </xf>
    <xf numFmtId="178" fontId="2" fillId="0" borderId="33" xfId="0" applyNumberFormat="1" applyFont="1" applyBorder="1" applyAlignment="1">
      <alignment horizontal="right" vertical="center"/>
    </xf>
    <xf numFmtId="177" fontId="6" fillId="0" borderId="96" xfId="0" applyNumberFormat="1" applyFont="1" applyBorder="1">
      <alignment vertical="center"/>
    </xf>
    <xf numFmtId="177" fontId="6" fillId="0" borderId="23" xfId="0" applyNumberFormat="1" applyFont="1" applyBorder="1">
      <alignment vertical="center"/>
    </xf>
    <xf numFmtId="178" fontId="2" fillId="0" borderId="0" xfId="0" applyNumberFormat="1" applyFont="1" applyBorder="1" applyAlignment="1">
      <alignment horizontal="centerContinuous" vertical="center"/>
    </xf>
    <xf numFmtId="185" fontId="0" fillId="0" borderId="0" xfId="0" applyNumberFormat="1">
      <alignment vertical="center"/>
    </xf>
    <xf numFmtId="14" fontId="2" fillId="4" borderId="6" xfId="0" applyNumberFormat="1" applyFont="1" applyFill="1" applyBorder="1" applyAlignment="1">
      <alignment horizontal="centerContinuous" vertical="center"/>
    </xf>
    <xf numFmtId="14" fontId="2" fillId="4" borderId="8" xfId="0" applyNumberFormat="1" applyFont="1" applyFill="1" applyBorder="1" applyAlignment="1">
      <alignment horizontal="centerContinuous" vertical="center"/>
    </xf>
    <xf numFmtId="178" fontId="2" fillId="4" borderId="15" xfId="1" applyNumberFormat="1" applyFont="1" applyFill="1" applyBorder="1" applyAlignment="1">
      <alignment vertical="center"/>
    </xf>
    <xf numFmtId="178" fontId="2" fillId="4" borderId="16" xfId="1" applyNumberFormat="1" applyFont="1" applyFill="1" applyBorder="1" applyAlignment="1">
      <alignment vertical="center"/>
    </xf>
    <xf numFmtId="178" fontId="2" fillId="4" borderId="47" xfId="1" applyNumberFormat="1" applyFont="1" applyFill="1" applyBorder="1">
      <alignment vertical="center"/>
    </xf>
    <xf numFmtId="178" fontId="2" fillId="4" borderId="16" xfId="1" applyNumberFormat="1" applyFont="1" applyFill="1" applyBorder="1">
      <alignment vertical="center"/>
    </xf>
    <xf numFmtId="178" fontId="2" fillId="4" borderId="17" xfId="1" applyNumberFormat="1" applyFont="1" applyFill="1" applyBorder="1">
      <alignment vertical="center"/>
    </xf>
    <xf numFmtId="0" fontId="15" fillId="9" borderId="48" xfId="0" applyFont="1" applyFill="1" applyBorder="1" applyAlignment="1">
      <alignment horizontal="centerContinuous" vertical="center"/>
    </xf>
    <xf numFmtId="0" fontId="15" fillId="9" borderId="67" xfId="0" applyFont="1" applyFill="1" applyBorder="1" applyAlignment="1">
      <alignment horizontal="centerContinuous" vertical="center"/>
    </xf>
    <xf numFmtId="0" fontId="15" fillId="9" borderId="55" xfId="0" applyFont="1" applyFill="1" applyBorder="1" applyAlignment="1">
      <alignment horizontal="centerContinuous" vertical="center"/>
    </xf>
    <xf numFmtId="176" fontId="2" fillId="0" borderId="6" xfId="0" applyNumberFormat="1" applyFont="1" applyBorder="1" applyAlignment="1">
      <alignment horizontal="center" vertical="center"/>
    </xf>
    <xf numFmtId="176" fontId="2" fillId="0" borderId="8" xfId="0" applyNumberFormat="1" applyFont="1" applyBorder="1" applyAlignment="1">
      <alignment horizontal="center" vertical="center"/>
    </xf>
    <xf numFmtId="0" fontId="2" fillId="10" borderId="48" xfId="0" applyFont="1" applyFill="1" applyBorder="1" applyAlignment="1">
      <alignment horizontal="center" vertical="center"/>
    </xf>
    <xf numFmtId="0" fontId="2" fillId="10" borderId="67" xfId="0" applyFont="1" applyFill="1" applyBorder="1" applyAlignment="1">
      <alignment horizontal="center" vertical="center"/>
    </xf>
    <xf numFmtId="178" fontId="2" fillId="10" borderId="1" xfId="0" applyNumberFormat="1" applyFont="1" applyFill="1" applyBorder="1" applyAlignment="1">
      <alignment horizontal="center" vertical="center"/>
    </xf>
    <xf numFmtId="178" fontId="2" fillId="10" borderId="29" xfId="0" applyNumberFormat="1" applyFont="1" applyFill="1" applyBorder="1" applyAlignment="1">
      <alignment horizontal="center" vertical="center"/>
    </xf>
    <xf numFmtId="178" fontId="2" fillId="10" borderId="2" xfId="0" applyNumberFormat="1" applyFont="1" applyFill="1" applyBorder="1" applyAlignment="1">
      <alignment horizontal="center" vertical="center"/>
    </xf>
    <xf numFmtId="178" fontId="2" fillId="10" borderId="3" xfId="0" applyNumberFormat="1" applyFont="1" applyFill="1" applyBorder="1" applyAlignment="1">
      <alignment horizontal="center" vertical="center"/>
    </xf>
    <xf numFmtId="0" fontId="12" fillId="0" borderId="1" xfId="0" applyFont="1" applyBorder="1">
      <alignment vertical="center"/>
    </xf>
    <xf numFmtId="0" fontId="7" fillId="0" borderId="2" xfId="0" applyFont="1" applyBorder="1">
      <alignment vertical="center"/>
    </xf>
    <xf numFmtId="0" fontId="12" fillId="0" borderId="2" xfId="0" applyFont="1" applyBorder="1">
      <alignment vertical="center"/>
    </xf>
    <xf numFmtId="0" fontId="12" fillId="0" borderId="3" xfId="0" applyFont="1" applyBorder="1">
      <alignment vertical="center"/>
    </xf>
    <xf numFmtId="0" fontId="0" fillId="0" borderId="0" xfId="0" applyBorder="1">
      <alignment vertical="center"/>
    </xf>
    <xf numFmtId="0" fontId="0" fillId="0" borderId="6" xfId="0" applyBorder="1">
      <alignment vertical="center"/>
    </xf>
    <xf numFmtId="0" fontId="0" fillId="0" borderId="8" xfId="0" applyBorder="1">
      <alignment vertical="center"/>
    </xf>
    <xf numFmtId="0" fontId="13" fillId="14" borderId="1" xfId="0" applyFont="1" applyFill="1" applyBorder="1" applyAlignment="1">
      <alignment horizontal="centerContinuous" vertical="center"/>
    </xf>
    <xf numFmtId="0" fontId="13" fillId="14" borderId="2" xfId="0" applyFont="1" applyFill="1" applyBorder="1" applyAlignment="1">
      <alignment horizontal="centerContinuous" vertical="center"/>
    </xf>
    <xf numFmtId="0" fontId="13" fillId="14" borderId="3" xfId="0" applyFont="1" applyFill="1" applyBorder="1" applyAlignment="1">
      <alignment horizontal="centerContinuous" vertical="center"/>
    </xf>
    <xf numFmtId="0" fontId="13" fillId="14" borderId="71" xfId="0" applyFont="1" applyFill="1" applyBorder="1" applyAlignment="1">
      <alignment horizontal="centerContinuous" vertical="center"/>
    </xf>
    <xf numFmtId="0" fontId="13" fillId="14" borderId="78" xfId="0" applyFont="1" applyFill="1" applyBorder="1" applyAlignment="1">
      <alignment horizontal="centerContinuous" vertical="center"/>
    </xf>
    <xf numFmtId="0" fontId="13" fillId="14" borderId="45" xfId="0" applyFont="1" applyFill="1" applyBorder="1" applyAlignment="1">
      <alignment horizontal="centerContinuous" vertical="center"/>
    </xf>
    <xf numFmtId="0" fontId="13" fillId="14" borderId="10" xfId="0" applyFont="1" applyFill="1" applyBorder="1" applyAlignment="1">
      <alignment horizontal="centerContinuous" vertical="center"/>
    </xf>
    <xf numFmtId="0" fontId="13" fillId="14" borderId="11" xfId="0" applyFont="1" applyFill="1" applyBorder="1" applyAlignment="1">
      <alignment horizontal="centerContinuous" vertical="center"/>
    </xf>
    <xf numFmtId="0" fontId="7" fillId="0" borderId="1" xfId="0" applyFont="1" applyBorder="1" applyAlignment="1">
      <alignment horizontal="centerContinuous" vertical="center"/>
    </xf>
    <xf numFmtId="0" fontId="7" fillId="0" borderId="5" xfId="0" applyFont="1" applyBorder="1" applyAlignment="1">
      <alignment horizontal="centerContinuous" vertical="center"/>
    </xf>
    <xf numFmtId="0" fontId="7" fillId="0" borderId="55" xfId="0" applyFont="1" applyBorder="1" applyAlignment="1">
      <alignment horizontal="centerContinuous" vertical="center"/>
    </xf>
    <xf numFmtId="178" fontId="12" fillId="0" borderId="48" xfId="0" applyNumberFormat="1" applyFont="1" applyBorder="1">
      <alignment vertical="center"/>
    </xf>
    <xf numFmtId="178" fontId="12" fillId="0" borderId="40" xfId="0" applyNumberFormat="1" applyFont="1" applyBorder="1">
      <alignment vertical="center"/>
    </xf>
    <xf numFmtId="178" fontId="12" fillId="0" borderId="38" xfId="0" applyNumberFormat="1" applyFont="1" applyBorder="1">
      <alignment vertical="center"/>
    </xf>
    <xf numFmtId="178" fontId="12" fillId="0" borderId="90" xfId="0" applyNumberFormat="1" applyFont="1" applyBorder="1">
      <alignment vertical="center"/>
    </xf>
    <xf numFmtId="178" fontId="12" fillId="0" borderId="78" xfId="0" applyNumberFormat="1" applyFont="1" applyBorder="1">
      <alignment vertical="center"/>
    </xf>
    <xf numFmtId="0" fontId="7" fillId="0" borderId="0" xfId="0" applyFont="1">
      <alignment vertical="center"/>
    </xf>
    <xf numFmtId="0" fontId="2" fillId="0" borderId="1" xfId="0" applyFont="1" applyBorder="1" applyAlignment="1">
      <alignment horizontal="center" vertical="center"/>
    </xf>
    <xf numFmtId="0" fontId="2" fillId="0" borderId="72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176" fontId="2" fillId="0" borderId="73" xfId="0" applyNumberFormat="1" applyFont="1" applyBorder="1" applyAlignment="1">
      <alignment horizontal="center" vertical="center"/>
    </xf>
    <xf numFmtId="178" fontId="6" fillId="0" borderId="48" xfId="1" applyNumberFormat="1" applyFont="1" applyFill="1" applyBorder="1" applyAlignment="1">
      <alignment vertical="center"/>
    </xf>
    <xf numFmtId="178" fontId="6" fillId="0" borderId="67" xfId="1" applyNumberFormat="1" applyFont="1" applyFill="1" applyBorder="1" applyAlignment="1">
      <alignment vertical="center"/>
    </xf>
    <xf numFmtId="178" fontId="6" fillId="0" borderId="55" xfId="1" applyNumberFormat="1" applyFont="1" applyFill="1" applyBorder="1" applyAlignment="1">
      <alignment vertical="center"/>
    </xf>
    <xf numFmtId="0" fontId="2" fillId="3" borderId="48" xfId="0" applyFont="1" applyFill="1" applyBorder="1" applyAlignment="1">
      <alignment horizontal="centerContinuous" vertical="center"/>
    </xf>
    <xf numFmtId="0" fontId="2" fillId="3" borderId="55" xfId="0" applyFont="1" applyFill="1" applyBorder="1" applyAlignment="1">
      <alignment horizontal="centerContinuous" vertical="center"/>
    </xf>
    <xf numFmtId="0" fontId="0" fillId="8" borderId="1" xfId="0" applyFill="1" applyBorder="1" applyAlignment="1">
      <alignment horizontal="centerContinuous" vertical="center"/>
    </xf>
    <xf numFmtId="0" fontId="0" fillId="8" borderId="3" xfId="0" applyFill="1" applyBorder="1" applyAlignment="1">
      <alignment horizontal="centerContinuous" vertical="center"/>
    </xf>
    <xf numFmtId="0" fontId="0" fillId="8" borderId="4" xfId="0" applyFill="1" applyBorder="1">
      <alignment vertical="center"/>
    </xf>
    <xf numFmtId="0" fontId="0" fillId="8" borderId="11" xfId="0" applyFill="1" applyBorder="1" applyAlignment="1">
      <alignment horizontal="right" vertical="center"/>
    </xf>
    <xf numFmtId="0" fontId="0" fillId="8" borderId="6" xfId="0" applyFill="1" applyBorder="1">
      <alignment vertical="center"/>
    </xf>
    <xf numFmtId="0" fontId="0" fillId="8" borderId="2" xfId="0" applyFill="1" applyBorder="1" applyAlignment="1">
      <alignment horizontal="centerContinuous" vertical="center"/>
    </xf>
    <xf numFmtId="0" fontId="0" fillId="8" borderId="97" xfId="0" applyFill="1" applyBorder="1" applyAlignment="1">
      <alignment horizontal="right" vertical="center"/>
    </xf>
    <xf numFmtId="0" fontId="0" fillId="8" borderId="97" xfId="0" applyFill="1" applyBorder="1" applyAlignment="1">
      <alignment horizontal="distributed" vertical="center"/>
    </xf>
    <xf numFmtId="0" fontId="13" fillId="6" borderId="1" xfId="0" applyFont="1" applyFill="1" applyBorder="1" applyAlignment="1">
      <alignment horizontal="centerContinuous" vertical="center"/>
    </xf>
    <xf numFmtId="0" fontId="13" fillId="6" borderId="48" xfId="0" applyFont="1" applyFill="1" applyBorder="1" applyAlignment="1">
      <alignment horizontal="centerContinuous" vertical="center"/>
    </xf>
    <xf numFmtId="178" fontId="6" fillId="0" borderId="1" xfId="0" applyNumberFormat="1" applyFont="1" applyBorder="1">
      <alignment vertical="center"/>
    </xf>
    <xf numFmtId="178" fontId="6" fillId="0" borderId="3" xfId="0" applyNumberFormat="1" applyFont="1" applyBorder="1">
      <alignment vertical="center"/>
    </xf>
    <xf numFmtId="178" fontId="6" fillId="0" borderId="6" xfId="0" applyNumberFormat="1" applyFont="1" applyBorder="1">
      <alignment vertical="center"/>
    </xf>
    <xf numFmtId="178" fontId="6" fillId="0" borderId="8" xfId="0" applyNumberFormat="1" applyFont="1" applyBorder="1">
      <alignment vertical="center"/>
    </xf>
    <xf numFmtId="178" fontId="6" fillId="0" borderId="4" xfId="0" applyNumberFormat="1" applyFont="1" applyBorder="1">
      <alignment vertical="center"/>
    </xf>
    <xf numFmtId="178" fontId="6" fillId="0" borderId="5" xfId="0" applyNumberFormat="1" applyFont="1" applyBorder="1">
      <alignment vertical="center"/>
    </xf>
    <xf numFmtId="178" fontId="6" fillId="0" borderId="22" xfId="0" applyNumberFormat="1" applyFont="1" applyBorder="1">
      <alignment vertical="center"/>
    </xf>
    <xf numFmtId="178" fontId="6" fillId="0" borderId="51" xfId="0" applyNumberFormat="1" applyFont="1" applyBorder="1">
      <alignment vertical="center"/>
    </xf>
    <xf numFmtId="178" fontId="6" fillId="0" borderId="71" xfId="0" applyNumberFormat="1" applyFont="1" applyBorder="1">
      <alignment vertical="center"/>
    </xf>
    <xf numFmtId="178" fontId="6" fillId="0" borderId="50" xfId="0" applyNumberFormat="1" applyFont="1" applyBorder="1">
      <alignment vertical="center"/>
    </xf>
    <xf numFmtId="177" fontId="6" fillId="0" borderId="4" xfId="0" applyNumberFormat="1" applyFont="1" applyBorder="1">
      <alignment vertical="center"/>
    </xf>
    <xf numFmtId="177" fontId="6" fillId="0" borderId="5" xfId="0" applyNumberFormat="1" applyFont="1" applyBorder="1">
      <alignment vertical="center"/>
    </xf>
    <xf numFmtId="177" fontId="6" fillId="0" borderId="22" xfId="0" applyNumberFormat="1" applyFont="1" applyBorder="1">
      <alignment vertical="center"/>
    </xf>
    <xf numFmtId="177" fontId="6" fillId="0" borderId="51" xfId="0" applyNumberFormat="1" applyFont="1" applyBorder="1">
      <alignment vertical="center"/>
    </xf>
    <xf numFmtId="176" fontId="0" fillId="0" borderId="1" xfId="0" applyNumberFormat="1" applyBorder="1" applyAlignment="1">
      <alignment horizontal="right" vertical="center"/>
    </xf>
    <xf numFmtId="177" fontId="0" fillId="0" borderId="71" xfId="5" applyNumberFormat="1" applyFont="1" applyBorder="1" applyAlignment="1">
      <alignment horizontal="right" vertical="center"/>
    </xf>
    <xf numFmtId="176" fontId="0" fillId="0" borderId="71" xfId="0" applyNumberFormat="1" applyBorder="1" applyAlignment="1">
      <alignment horizontal="right" vertical="center"/>
    </xf>
    <xf numFmtId="177" fontId="0" fillId="0" borderId="71" xfId="0" applyNumberFormat="1" applyBorder="1" applyAlignment="1">
      <alignment horizontal="right" vertical="center"/>
    </xf>
    <xf numFmtId="176" fontId="0" fillId="0" borderId="68" xfId="0" applyNumberFormat="1" applyBorder="1" applyAlignment="1">
      <alignment horizontal="right" vertical="center"/>
    </xf>
    <xf numFmtId="177" fontId="0" fillId="0" borderId="73" xfId="5" applyNumberFormat="1" applyFont="1" applyBorder="1" applyAlignment="1">
      <alignment horizontal="right" vertical="center"/>
    </xf>
    <xf numFmtId="176" fontId="0" fillId="0" borderId="73" xfId="0" applyNumberFormat="1" applyBorder="1" applyAlignment="1">
      <alignment horizontal="right" vertical="center"/>
    </xf>
    <xf numFmtId="177" fontId="0" fillId="0" borderId="73" xfId="0" applyNumberFormat="1" applyBorder="1" applyAlignment="1">
      <alignment horizontal="right" vertical="center"/>
    </xf>
    <xf numFmtId="176" fontId="0" fillId="0" borderId="2" xfId="0" applyNumberFormat="1" applyBorder="1" applyAlignment="1">
      <alignment horizontal="right" vertical="center"/>
    </xf>
    <xf numFmtId="177" fontId="0" fillId="0" borderId="64" xfId="5" applyNumberFormat="1" applyFont="1" applyBorder="1" applyAlignment="1">
      <alignment horizontal="right" vertical="center"/>
    </xf>
    <xf numFmtId="176" fontId="0" fillId="0" borderId="64" xfId="0" applyNumberFormat="1" applyBorder="1" applyAlignment="1">
      <alignment horizontal="right" vertical="center"/>
    </xf>
    <xf numFmtId="177" fontId="0" fillId="0" borderId="64" xfId="0" applyNumberFormat="1" applyBorder="1" applyAlignment="1">
      <alignment horizontal="right" vertical="center"/>
    </xf>
    <xf numFmtId="0" fontId="13" fillId="6" borderId="68" xfId="0" applyFont="1" applyFill="1" applyBorder="1" applyAlignment="1">
      <alignment horizontal="centerContinuous" vertical="center"/>
    </xf>
    <xf numFmtId="176" fontId="0" fillId="0" borderId="3" xfId="0" applyNumberFormat="1" applyBorder="1" applyAlignment="1">
      <alignment horizontal="right" vertical="center"/>
    </xf>
    <xf numFmtId="177" fontId="0" fillId="0" borderId="50" xfId="5" applyNumberFormat="1" applyFont="1" applyBorder="1" applyAlignment="1">
      <alignment horizontal="right" vertical="center"/>
    </xf>
    <xf numFmtId="176" fontId="0" fillId="0" borderId="50" xfId="0" applyNumberFormat="1" applyBorder="1" applyAlignment="1">
      <alignment horizontal="right" vertical="center"/>
    </xf>
    <xf numFmtId="177" fontId="0" fillId="0" borderId="50" xfId="0" applyNumberFormat="1" applyBorder="1" applyAlignment="1">
      <alignment horizontal="right" vertical="center"/>
    </xf>
    <xf numFmtId="0" fontId="6" fillId="0" borderId="34" xfId="0" applyFont="1" applyBorder="1" applyAlignment="1">
      <alignment horizontal="centerContinuous" vertical="center"/>
    </xf>
    <xf numFmtId="0" fontId="6" fillId="0" borderId="36" xfId="0" applyFont="1" applyBorder="1" applyAlignment="1">
      <alignment horizontal="centerContinuous" vertical="center"/>
    </xf>
    <xf numFmtId="0" fontId="6" fillId="0" borderId="18" xfId="0" applyFont="1" applyBorder="1" applyAlignment="1">
      <alignment horizontal="centerContinuous" vertical="center"/>
    </xf>
    <xf numFmtId="0" fontId="6" fillId="0" borderId="54" xfId="0" applyFont="1" applyBorder="1" applyAlignment="1">
      <alignment horizontal="centerContinuous" vertical="center"/>
    </xf>
    <xf numFmtId="178" fontId="6" fillId="0" borderId="80" xfId="0" applyNumberFormat="1" applyFont="1" applyBorder="1" applyAlignment="1">
      <alignment horizontal="centerContinuous" vertical="center"/>
    </xf>
    <xf numFmtId="178" fontId="6" fillId="0" borderId="81" xfId="0" applyNumberFormat="1" applyFont="1" applyBorder="1" applyAlignment="1">
      <alignment horizontal="centerContinuous" vertical="center"/>
    </xf>
    <xf numFmtId="178" fontId="6" fillId="0" borderId="6" xfId="0" applyNumberFormat="1" applyFont="1" applyBorder="1" applyAlignment="1">
      <alignment horizontal="centerContinuous" vertical="center"/>
    </xf>
    <xf numFmtId="178" fontId="6" fillId="0" borderId="7" xfId="0" applyNumberFormat="1" applyFont="1" applyBorder="1" applyAlignment="1">
      <alignment horizontal="centerContinuous" vertical="center"/>
    </xf>
    <xf numFmtId="0" fontId="7" fillId="0" borderId="3" xfId="0" applyFont="1" applyBorder="1" applyAlignment="1">
      <alignment horizontal="centerContinuous" vertical="center"/>
    </xf>
    <xf numFmtId="0" fontId="7" fillId="0" borderId="6" xfId="0" applyFont="1" applyBorder="1" applyAlignment="1">
      <alignment horizontal="centerContinuous" vertical="center"/>
    </xf>
    <xf numFmtId="0" fontId="7" fillId="0" borderId="8" xfId="0" applyFont="1" applyBorder="1" applyAlignment="1">
      <alignment horizontal="centerContinuous" vertical="center"/>
    </xf>
    <xf numFmtId="9" fontId="12" fillId="0" borderId="6" xfId="0" applyNumberFormat="1" applyFont="1" applyBorder="1">
      <alignment vertical="center"/>
    </xf>
    <xf numFmtId="9" fontId="12" fillId="0" borderId="98" xfId="0" applyNumberFormat="1" applyFont="1" applyBorder="1">
      <alignment vertical="center"/>
    </xf>
    <xf numFmtId="9" fontId="12" fillId="0" borderId="47" xfId="0" applyNumberFormat="1" applyFont="1" applyBorder="1">
      <alignment vertical="center"/>
    </xf>
    <xf numFmtId="9" fontId="12" fillId="0" borderId="16" xfId="0" applyNumberFormat="1" applyFont="1" applyBorder="1">
      <alignment vertical="center"/>
    </xf>
    <xf numFmtId="9" fontId="12" fillId="0" borderId="17" xfId="0" applyNumberFormat="1" applyFont="1" applyBorder="1">
      <alignment vertical="center"/>
    </xf>
    <xf numFmtId="3" fontId="0" fillId="8" borderId="0" xfId="0" applyNumberFormat="1" applyFill="1">
      <alignment vertical="center"/>
    </xf>
    <xf numFmtId="9" fontId="12" fillId="0" borderId="77" xfId="0" applyNumberFormat="1" applyFont="1" applyBorder="1">
      <alignment vertical="center"/>
    </xf>
    <xf numFmtId="0" fontId="21" fillId="15" borderId="1" xfId="0" applyFont="1" applyFill="1" applyBorder="1" applyAlignment="1">
      <alignment horizontal="center" vertical="center" wrapText="1"/>
    </xf>
    <xf numFmtId="0" fontId="21" fillId="15" borderId="2" xfId="0" applyFont="1" applyFill="1" applyBorder="1" applyAlignment="1">
      <alignment horizontal="center" vertical="center"/>
    </xf>
    <xf numFmtId="0" fontId="21" fillId="15" borderId="3" xfId="0" applyFont="1" applyFill="1" applyBorder="1" applyAlignment="1">
      <alignment horizontal="center" vertical="center"/>
    </xf>
    <xf numFmtId="0" fontId="21" fillId="15" borderId="4" xfId="0" applyFont="1" applyFill="1" applyBorder="1" applyAlignment="1">
      <alignment horizontal="center" vertical="center"/>
    </xf>
    <xf numFmtId="0" fontId="21" fillId="15" borderId="0" xfId="0" applyFont="1" applyFill="1" applyBorder="1" applyAlignment="1">
      <alignment horizontal="center" vertical="center"/>
    </xf>
    <xf numFmtId="0" fontId="21" fillId="15" borderId="5" xfId="0" applyFont="1" applyFill="1" applyBorder="1" applyAlignment="1">
      <alignment horizontal="center" vertical="center"/>
    </xf>
    <xf numFmtId="0" fontId="21" fillId="15" borderId="6" xfId="0" applyFont="1" applyFill="1" applyBorder="1" applyAlignment="1">
      <alignment horizontal="center" vertical="center"/>
    </xf>
    <xf numFmtId="0" fontId="21" fillId="15" borderId="7" xfId="0" applyFont="1" applyFill="1" applyBorder="1" applyAlignment="1">
      <alignment horizontal="center" vertical="center"/>
    </xf>
    <xf numFmtId="0" fontId="21" fillId="15" borderId="8" xfId="0" applyFont="1" applyFill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178" fontId="6" fillId="0" borderId="48" xfId="0" applyNumberFormat="1" applyFont="1" applyBorder="1" applyAlignment="1">
      <alignment horizontal="center" vertical="center"/>
    </xf>
    <xf numFmtId="178" fontId="6" fillId="0" borderId="55" xfId="0" applyNumberFormat="1" applyFont="1" applyBorder="1" applyAlignment="1">
      <alignment horizontal="center" vertical="center"/>
    </xf>
    <xf numFmtId="0" fontId="13" fillId="14" borderId="1" xfId="0" applyFont="1" applyFill="1" applyBorder="1" applyAlignment="1">
      <alignment horizontal="center" vertical="center"/>
    </xf>
    <xf numFmtId="0" fontId="13" fillId="14" borderId="2" xfId="0" applyFont="1" applyFill="1" applyBorder="1" applyAlignment="1">
      <alignment horizontal="center" vertical="center"/>
    </xf>
    <xf numFmtId="0" fontId="13" fillId="14" borderId="6" xfId="0" applyFont="1" applyFill="1" applyBorder="1" applyAlignment="1">
      <alignment horizontal="center" vertical="center"/>
    </xf>
    <xf numFmtId="0" fontId="13" fillId="14" borderId="7" xfId="0" applyFont="1" applyFill="1" applyBorder="1" applyAlignment="1">
      <alignment horizontal="center" vertical="center"/>
    </xf>
    <xf numFmtId="0" fontId="13" fillId="14" borderId="3" xfId="0" applyFont="1" applyFill="1" applyBorder="1" applyAlignment="1">
      <alignment horizontal="center" vertical="center"/>
    </xf>
    <xf numFmtId="0" fontId="13" fillId="14" borderId="8" xfId="0" applyFont="1" applyFill="1" applyBorder="1" applyAlignment="1">
      <alignment horizontal="center" vertical="center"/>
    </xf>
    <xf numFmtId="0" fontId="15" fillId="9" borderId="0" xfId="0" applyFont="1" applyFill="1" applyBorder="1" applyAlignment="1">
      <alignment horizontal="center" vertical="center"/>
    </xf>
    <xf numFmtId="0" fontId="15" fillId="9" borderId="5" xfId="0" applyFont="1" applyFill="1" applyBorder="1" applyAlignment="1">
      <alignment horizontal="center" vertical="center"/>
    </xf>
    <xf numFmtId="0" fontId="15" fillId="9" borderId="7" xfId="0" applyFont="1" applyFill="1" applyBorder="1" applyAlignment="1">
      <alignment horizontal="center" vertical="center"/>
    </xf>
    <xf numFmtId="0" fontId="15" fillId="9" borderId="8" xfId="0" applyFont="1" applyFill="1" applyBorder="1" applyAlignment="1">
      <alignment horizontal="center" vertical="center"/>
    </xf>
    <xf numFmtId="0" fontId="15" fillId="9" borderId="1" xfId="0" applyFont="1" applyFill="1" applyBorder="1" applyAlignment="1">
      <alignment horizontal="center" vertical="center"/>
    </xf>
    <xf numFmtId="0" fontId="15" fillId="9" borderId="3" xfId="0" applyFont="1" applyFill="1" applyBorder="1" applyAlignment="1">
      <alignment horizontal="center" vertical="center"/>
    </xf>
    <xf numFmtId="0" fontId="15" fillId="9" borderId="6" xfId="0" applyFont="1" applyFill="1" applyBorder="1" applyAlignment="1">
      <alignment horizontal="center" vertical="center"/>
    </xf>
    <xf numFmtId="178" fontId="2" fillId="0" borderId="62" xfId="0" applyNumberFormat="1" applyFont="1" applyBorder="1" applyAlignment="1">
      <alignment horizontal="center" vertical="center"/>
    </xf>
    <xf numFmtId="178" fontId="2" fillId="4" borderId="48" xfId="1" applyNumberFormat="1" applyFont="1" applyFill="1" applyBorder="1" applyAlignment="1">
      <alignment horizontal="center" vertical="center"/>
    </xf>
    <xf numFmtId="178" fontId="2" fillId="4" borderId="67" xfId="1" applyNumberFormat="1" applyFont="1" applyFill="1" applyBorder="1" applyAlignment="1">
      <alignment horizontal="center" vertical="center"/>
    </xf>
    <xf numFmtId="178" fontId="2" fillId="4" borderId="55" xfId="1" applyNumberFormat="1" applyFont="1" applyFill="1" applyBorder="1" applyAlignment="1">
      <alignment horizontal="center" vertical="center"/>
    </xf>
    <xf numFmtId="178" fontId="15" fillId="13" borderId="68" xfId="0" applyNumberFormat="1" applyFont="1" applyFill="1" applyBorder="1" applyAlignment="1">
      <alignment horizontal="center" vertical="center"/>
    </xf>
    <xf numFmtId="178" fontId="15" fillId="13" borderId="70" xfId="0" applyNumberFormat="1" applyFont="1" applyFill="1" applyBorder="1" applyAlignment="1">
      <alignment horizontal="center" vertical="center"/>
    </xf>
    <xf numFmtId="178" fontId="15" fillId="13" borderId="1" xfId="0" applyNumberFormat="1" applyFont="1" applyFill="1" applyBorder="1" applyAlignment="1">
      <alignment horizontal="center" vertical="center"/>
    </xf>
    <xf numFmtId="178" fontId="15" fillId="13" borderId="2" xfId="0" applyNumberFormat="1" applyFont="1" applyFill="1" applyBorder="1" applyAlignment="1">
      <alignment horizontal="center" vertical="center"/>
    </xf>
    <xf numFmtId="178" fontId="15" fillId="13" borderId="6" xfId="0" applyNumberFormat="1" applyFont="1" applyFill="1" applyBorder="1" applyAlignment="1">
      <alignment horizontal="center" vertical="center"/>
    </xf>
    <xf numFmtId="178" fontId="15" fillId="13" borderId="7" xfId="0" applyNumberFormat="1" applyFont="1" applyFill="1" applyBorder="1" applyAlignment="1">
      <alignment horizontal="center" vertical="center"/>
    </xf>
  </cellXfs>
  <cellStyles count="6">
    <cellStyle name="백분율" xfId="5" builtinId="5"/>
    <cellStyle name="백분율 3" xfId="2" xr:uid="{00000000-0005-0000-0000-000001000000}"/>
    <cellStyle name="쉼표 [0]" xfId="1" builtinId="6"/>
    <cellStyle name="쉼표 [0] 2" xfId="3" xr:uid="{00000000-0005-0000-0000-000003000000}"/>
    <cellStyle name="표준" xfId="0" builtinId="0"/>
    <cellStyle name="표준 2 2" xfId="4" xr:uid="{00000000-0005-0000-0000-000005000000}"/>
  </cellStyles>
  <dxfs count="0"/>
  <tableStyles count="0" defaultTableStyle="TableStyleMedium9" defaultPivotStyle="PivotStyleLight16"/>
  <colors>
    <mruColors>
      <color rgb="FFFFFFCC"/>
      <color rgb="FF0000CC"/>
      <color rgb="FF008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externalLink" Target="externalLinks/externalLink4.xml"/><Relationship Id="rId18" Type="http://schemas.openxmlformats.org/officeDocument/2006/relationships/externalLink" Target="externalLinks/externalLink9.xml"/><Relationship Id="rId26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externalLink" Target="externalLinks/externalLink12.xml"/><Relationship Id="rId7" Type="http://schemas.openxmlformats.org/officeDocument/2006/relationships/worksheet" Target="worksheets/sheet7.xml"/><Relationship Id="rId12" Type="http://schemas.openxmlformats.org/officeDocument/2006/relationships/externalLink" Target="externalLinks/externalLink3.xml"/><Relationship Id="rId17" Type="http://schemas.openxmlformats.org/officeDocument/2006/relationships/externalLink" Target="externalLinks/externalLink8.xml"/><Relationship Id="rId25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7.xml"/><Relationship Id="rId20" Type="http://schemas.openxmlformats.org/officeDocument/2006/relationships/externalLink" Target="externalLinks/externalLink1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externalLink" Target="externalLinks/externalLink2.xml"/><Relationship Id="rId24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6.xml"/><Relationship Id="rId23" Type="http://schemas.openxmlformats.org/officeDocument/2006/relationships/externalLink" Target="externalLinks/externalLink14.xml"/><Relationship Id="rId10" Type="http://schemas.openxmlformats.org/officeDocument/2006/relationships/externalLink" Target="externalLinks/externalLink1.xml"/><Relationship Id="rId19" Type="http://schemas.openxmlformats.org/officeDocument/2006/relationships/externalLink" Target="externalLinks/externalLink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externalLink" Target="externalLinks/externalLink5.xml"/><Relationship Id="rId22" Type="http://schemas.openxmlformats.org/officeDocument/2006/relationships/externalLink" Target="externalLinks/externalLink13.xml"/><Relationship Id="rId27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&#50896;&#44032;&#49552;&#51061;/2026&#45380;&#50696;&#49328;/&#49324;&#50629;&#44228;&#54925;&#9313;/01_&#51665;&#44228;/&#50896;&#44032;&#49552;&#51061;/2026&#45380;_&#54637;&#47785;&#48324;&#49552;&#51061;&#50696;&#49328;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2026&#45380;_&#54637;&#47785;&#48324;&#49552;&#51061;&#49892;&#51201;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&#50896;&#44032;&#49552;&#51061;/202512/00_&#48372;&#44256;&#49436;/2025&#45380;_&#54637;&#47785;&#48324;&#49552;&#51061;&#49892;&#51201;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/&#50896;&#44032;&#49552;&#51061;/202601/01_&#47112;&#48120;&#53080;/&#47112;&#48120;&#53080;&#50896;&#44032;&#49552;&#51061;(2026-01)&#44228;&#54925;&#45824;&#48708;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/&#50896;&#44032;&#49552;&#51061;/202601/01_&#47112;&#48120;&#53080;/&#47112;&#48120;&#53080;&#50896;&#44032;&#49552;&#51061;(2026-01)&#51204;&#45380;&#45824;&#48708;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/&#50896;&#44032;&#49552;&#51061;/202601/03_&#44264;&#51116;/&#48512;&#49328;&#47784;&#47000;&#51109;&#50896;&#44032;&#49552;&#51061;(2026-01).xlsx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/&#50896;&#44032;&#49552;&#51061;/202601/03_&#44264;&#51116;/&#48512;&#49328;&#53356;&#46972;&#49380;&#50896;&#44032;&#49552;&#51061;(2026-01).xlsx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/&#50896;&#44032;&#49552;&#51061;/202601/03_&#44264;&#51116;/&#49436;&#48512;&#49328;&#53356;&#46972;&#49380;&#50896;&#44032;&#49552;&#51061;(2026-01).xlsx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/&#50896;&#44032;&#49552;&#51061;/202512/03_&#44264;&#51116;/&#48512;&#49328;&#47784;&#47000;&#51109;&#50896;&#44032;&#49552;&#51061;(2025-01).xlsx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/&#50896;&#44032;&#49552;&#51061;/202512/03_&#44264;&#51116;/&#48512;&#49328;&#53356;&#46972;&#49380;&#50896;&#44032;&#49552;&#51061;(2025-01).xlsx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/&#50896;&#44032;&#49552;&#51061;/202512/03_&#44264;&#51116;/&#49436;&#48512;&#49328;&#53356;&#46972;&#49380;&#50896;&#44032;&#49552;&#51061;(2025-01).xlsx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/&#50896;&#44032;&#49552;&#51061;/2026&#45380;&#50696;&#49328;/&#49324;&#50629;&#44228;&#54925;&#9313;/02_&#50696;&#49328;&#50836;&#44396;&#50504;/&#44148;&#51088;&#51116;/2026&#45380;_&#50696;&#49328;&#50836;&#44396;&#50504;_&#44148;&#51088;&#51116;.xlsx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/&#50896;&#44032;&#49552;&#51061;/202601/02_&#44148;&#51088;&#51116;/&#44148;&#51088;&#51116;&#50689;&#50629;&#49552;&#51061;(2026).xlsx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/&#50896;&#44032;&#49552;&#51061;/202601/02_&#44148;&#51088;&#51116;/&#44148;&#51088;&#51116;&#50689;&#50629;&#49552;&#51061;(2025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월별손익"/>
      <sheetName val="월별손익 (2)"/>
      <sheetName val="1월"/>
      <sheetName val="2월"/>
      <sheetName val="3월"/>
      <sheetName val="4월"/>
      <sheetName val="5월"/>
      <sheetName val="6월"/>
      <sheetName val="7월"/>
      <sheetName val="8월"/>
      <sheetName val="9월"/>
      <sheetName val="10월"/>
      <sheetName val="11월"/>
      <sheetName val="12월"/>
      <sheetName val="2월누계"/>
      <sheetName val="3월누계"/>
      <sheetName val="4월누계"/>
      <sheetName val="5월누계"/>
      <sheetName val="6월누계"/>
      <sheetName val="7월누계"/>
      <sheetName val="8월누계"/>
      <sheetName val="9월누계"/>
      <sheetName val="10월누계"/>
      <sheetName val="11월누계"/>
      <sheetName val="12월누계"/>
      <sheetName val="6-12월"/>
      <sheetName val="3-12월"/>
      <sheetName val="9-12월"/>
      <sheetName val="물량"/>
      <sheetName val="매출액"/>
      <sheetName val="매출원가"/>
      <sheetName val="노무비"/>
      <sheetName val="경비"/>
      <sheetName val="운반비"/>
      <sheetName val="감가상각비_제조"/>
      <sheetName val="감가상각비_판매"/>
      <sheetName val="영업공통비"/>
      <sheetName val="부문공통비"/>
      <sheetName val="본사공통비"/>
      <sheetName val="매출이익"/>
      <sheetName val="영업이익1"/>
      <sheetName val="영업이익2"/>
      <sheetName val="Sheet1"/>
      <sheetName val="Sheet2"/>
      <sheetName val="Sheet2 (2)"/>
    </sheetNames>
    <sheetDataSet>
      <sheetData sheetId="0"/>
      <sheetData sheetId="1"/>
      <sheetData sheetId="2">
        <row r="6">
          <cell r="D6" t="str">
            <v>구분</v>
          </cell>
          <cell r="E6" t="str">
            <v>합계</v>
          </cell>
          <cell r="F6" t="str">
            <v>안양</v>
          </cell>
          <cell r="G6" t="str">
            <v>인천</v>
          </cell>
          <cell r="H6" t="str">
            <v>파주</v>
          </cell>
          <cell r="I6" t="str">
            <v>김포</v>
          </cell>
          <cell r="J6" t="str">
            <v>부산</v>
          </cell>
          <cell r="K6" t="str">
            <v>서부산</v>
          </cell>
          <cell r="L6" t="str">
            <v>김해</v>
          </cell>
          <cell r="M6" t="str">
            <v>정관</v>
          </cell>
          <cell r="N6" t="str">
            <v>양산</v>
          </cell>
          <cell r="O6" t="str">
            <v>창원</v>
          </cell>
          <cell r="P6" t="str">
            <v>대구</v>
          </cell>
          <cell r="Q6" t="str">
            <v>울산</v>
          </cell>
          <cell r="R6" t="str">
            <v>아산</v>
          </cell>
          <cell r="S6" t="str">
            <v>전주</v>
          </cell>
          <cell r="T6" t="str">
            <v>군산</v>
          </cell>
          <cell r="U6" t="str">
            <v>원주</v>
          </cell>
          <cell r="V6" t="str">
            <v>제주</v>
          </cell>
          <cell r="Z6" t="str">
            <v>레미콘 계</v>
          </cell>
          <cell r="AA6" t="str">
            <v>건자재</v>
          </cell>
          <cell r="AB6" t="str">
            <v>서부산크라샤</v>
          </cell>
          <cell r="AC6" t="str">
            <v>부산크라샤</v>
          </cell>
          <cell r="AD6" t="str">
            <v>부산모래장</v>
          </cell>
          <cell r="AE6" t="str">
            <v>골재계</v>
          </cell>
          <cell r="AF6" t="str">
            <v>강릉임대</v>
          </cell>
          <cell r="AG6" t="str">
            <v>속초임대</v>
          </cell>
          <cell r="AH6" t="str">
            <v>포항임대</v>
          </cell>
          <cell r="AI6" t="str">
            <v>부동산임대</v>
          </cell>
          <cell r="AJ6" t="str">
            <v>주유소임대</v>
          </cell>
          <cell r="AL6" t="str">
            <v>임대 계</v>
          </cell>
          <cell r="AM6" t="str">
            <v>삼척</v>
          </cell>
          <cell r="AN6" t="str">
            <v>미로</v>
          </cell>
          <cell r="AO6" t="str">
            <v>속초</v>
          </cell>
          <cell r="AP6" t="str">
            <v>양양</v>
          </cell>
          <cell r="AQ6" t="str">
            <v>경포</v>
          </cell>
          <cell r="AR6" t="str">
            <v>한스타워</v>
          </cell>
          <cell r="AS6" t="str">
            <v>임금인상</v>
          </cell>
          <cell r="AT6" t="str">
            <v>시멘트소급</v>
          </cell>
          <cell r="AU6" t="str">
            <v>기타</v>
          </cell>
          <cell r="AV6" t="str">
            <v>기타 계</v>
          </cell>
        </row>
        <row r="7">
          <cell r="D7" t="str">
            <v>물     량</v>
          </cell>
          <cell r="F7">
            <v>29000</v>
          </cell>
          <cell r="G7">
            <v>25000</v>
          </cell>
          <cell r="H7">
            <v>10000</v>
          </cell>
          <cell r="I7">
            <v>8000</v>
          </cell>
          <cell r="J7">
            <v>18000</v>
          </cell>
          <cell r="K7">
            <v>18000</v>
          </cell>
          <cell r="L7">
            <v>7000</v>
          </cell>
          <cell r="M7">
            <v>19000</v>
          </cell>
          <cell r="N7">
            <v>6000</v>
          </cell>
          <cell r="O7">
            <v>8499.9999999999945</v>
          </cell>
          <cell r="P7">
            <v>6500</v>
          </cell>
          <cell r="Q7">
            <v>7500</v>
          </cell>
          <cell r="R7">
            <v>10000</v>
          </cell>
          <cell r="S7">
            <v>5000</v>
          </cell>
          <cell r="T7">
            <v>2500</v>
          </cell>
          <cell r="U7">
            <v>3000</v>
          </cell>
          <cell r="V7">
            <v>6000</v>
          </cell>
          <cell r="W7">
            <v>0</v>
          </cell>
          <cell r="X7">
            <v>0</v>
          </cell>
          <cell r="Y7">
            <v>0</v>
          </cell>
          <cell r="Z7">
            <v>189000</v>
          </cell>
          <cell r="AA7">
            <v>8000</v>
          </cell>
          <cell r="AB7">
            <v>36787.406666666662</v>
          </cell>
          <cell r="AC7">
            <v>18217.239999999998</v>
          </cell>
          <cell r="AD7">
            <v>19753.480279720279</v>
          </cell>
          <cell r="AE7">
            <v>74758.126946386939</v>
          </cell>
          <cell r="AF7">
            <v>0</v>
          </cell>
          <cell r="AG7">
            <v>0</v>
          </cell>
          <cell r="AH7">
            <v>0</v>
          </cell>
          <cell r="AI7">
            <v>0</v>
          </cell>
          <cell r="AJ7">
            <v>0</v>
          </cell>
          <cell r="AK7">
            <v>0</v>
          </cell>
          <cell r="AM7">
            <v>0</v>
          </cell>
          <cell r="AN7">
            <v>0</v>
          </cell>
          <cell r="AO7">
            <v>0</v>
          </cell>
          <cell r="AP7">
            <v>0</v>
          </cell>
          <cell r="AQ7">
            <v>0</v>
          </cell>
          <cell r="AR7">
            <v>0</v>
          </cell>
          <cell r="AS7">
            <v>0</v>
          </cell>
          <cell r="AT7">
            <v>0</v>
          </cell>
          <cell r="AU7">
            <v>0</v>
          </cell>
        </row>
        <row r="8">
          <cell r="D8" t="str">
            <v>매 출 액</v>
          </cell>
          <cell r="E8">
            <v>28263977.401218042</v>
          </cell>
          <cell r="F8">
            <v>2871984.6189999999</v>
          </cell>
          <cell r="G8">
            <v>2502850.4854545388</v>
          </cell>
          <cell r="H8">
            <v>945669.54529999988</v>
          </cell>
          <cell r="I8">
            <v>803957.68260000006</v>
          </cell>
          <cell r="J8">
            <v>1941155.9210999999</v>
          </cell>
          <cell r="K8">
            <v>1801125.00073</v>
          </cell>
          <cell r="L8">
            <v>660572.64732000011</v>
          </cell>
          <cell r="M8">
            <v>1898396.4236599999</v>
          </cell>
          <cell r="N8">
            <v>574436.81499999994</v>
          </cell>
          <cell r="O8">
            <v>837698.42295624036</v>
          </cell>
          <cell r="P8">
            <v>592432.12844999996</v>
          </cell>
          <cell r="Q8">
            <v>783852.48919999995</v>
          </cell>
          <cell r="R8">
            <v>987183.15999999992</v>
          </cell>
          <cell r="S8">
            <v>510154.48999999987</v>
          </cell>
          <cell r="T8">
            <v>289458.89399999997</v>
          </cell>
          <cell r="U8">
            <v>344317.58504399995</v>
          </cell>
          <cell r="V8">
            <v>727365.72</v>
          </cell>
          <cell r="W8">
            <v>0</v>
          </cell>
          <cell r="X8">
            <v>0</v>
          </cell>
          <cell r="Y8">
            <v>0</v>
          </cell>
          <cell r="Z8">
            <v>19072612.02981478</v>
          </cell>
          <cell r="AA8">
            <v>7664843.438000001</v>
          </cell>
          <cell r="AB8">
            <v>477211.91000000003</v>
          </cell>
          <cell r="AC8">
            <v>367708.36</v>
          </cell>
          <cell r="AD8">
            <v>562768.33006993018</v>
          </cell>
          <cell r="AE8">
            <v>1407688.6000699303</v>
          </cell>
          <cell r="AF8">
            <v>12500</v>
          </cell>
          <cell r="AG8">
            <v>0</v>
          </cell>
          <cell r="AH8">
            <v>29166.666666666668</v>
          </cell>
          <cell r="AI8">
            <v>75396.666666666672</v>
          </cell>
          <cell r="AJ8">
            <v>0</v>
          </cell>
          <cell r="AK8">
            <v>0</v>
          </cell>
          <cell r="AL8">
            <v>117063.33333333334</v>
          </cell>
          <cell r="AM8">
            <v>0</v>
          </cell>
          <cell r="AN8">
            <v>0</v>
          </cell>
          <cell r="AO8">
            <v>0</v>
          </cell>
          <cell r="AP8">
            <v>0</v>
          </cell>
          <cell r="AQ8">
            <v>0</v>
          </cell>
          <cell r="AR8">
            <v>0</v>
          </cell>
          <cell r="AS8">
            <v>0</v>
          </cell>
          <cell r="AT8">
            <v>0</v>
          </cell>
          <cell r="AU8">
            <v>1770</v>
          </cell>
          <cell r="AV8">
            <v>1770</v>
          </cell>
        </row>
        <row r="9">
          <cell r="D9" t="str">
            <v xml:space="preserve"> - 단  위  당</v>
          </cell>
          <cell r="F9">
            <v>99033.952379310344</v>
          </cell>
          <cell r="G9">
            <v>100114.01941818156</v>
          </cell>
          <cell r="H9">
            <v>94566.954529999988</v>
          </cell>
          <cell r="I9">
            <v>100494.71032500001</v>
          </cell>
          <cell r="J9">
            <v>107841.99561666667</v>
          </cell>
          <cell r="K9">
            <v>100062.50004055555</v>
          </cell>
          <cell r="L9">
            <v>94367.521045714297</v>
          </cell>
          <cell r="M9">
            <v>99915.60124526314</v>
          </cell>
          <cell r="N9">
            <v>95739.469166666648</v>
          </cell>
          <cell r="O9">
            <v>98552.755641910699</v>
          </cell>
          <cell r="P9">
            <v>91143.404376923078</v>
          </cell>
          <cell r="Q9">
            <v>104513.66522666666</v>
          </cell>
          <cell r="R9">
            <v>98718.315999999992</v>
          </cell>
          <cell r="S9">
            <v>102030.89799999999</v>
          </cell>
          <cell r="T9">
            <v>115783.5576</v>
          </cell>
          <cell r="U9">
            <v>114772.52834799998</v>
          </cell>
          <cell r="V9">
            <v>121227.62</v>
          </cell>
          <cell r="W9">
            <v>0</v>
          </cell>
          <cell r="X9">
            <v>0</v>
          </cell>
          <cell r="Y9">
            <v>0</v>
          </cell>
          <cell r="Z9">
            <v>100913.29116304117</v>
          </cell>
          <cell r="AA9">
            <v>958105.42975000013</v>
          </cell>
          <cell r="AB9">
            <v>12972.154148403322</v>
          </cell>
          <cell r="AC9">
            <v>20184.636091965633</v>
          </cell>
          <cell r="AD9">
            <v>28489.578651499243</v>
          </cell>
          <cell r="AE9">
            <v>18829.907296626887</v>
          </cell>
          <cell r="AF9">
            <v>0</v>
          </cell>
          <cell r="AG9">
            <v>0</v>
          </cell>
          <cell r="AH9">
            <v>0</v>
          </cell>
          <cell r="AI9">
            <v>0</v>
          </cell>
          <cell r="AJ9">
            <v>0</v>
          </cell>
          <cell r="AK9">
            <v>0</v>
          </cell>
          <cell r="AM9">
            <v>0</v>
          </cell>
          <cell r="AN9">
            <v>0</v>
          </cell>
          <cell r="AO9">
            <v>0</v>
          </cell>
          <cell r="AP9">
            <v>0</v>
          </cell>
          <cell r="AQ9">
            <v>0</v>
          </cell>
          <cell r="AR9">
            <v>0</v>
          </cell>
          <cell r="AS9">
            <v>0</v>
          </cell>
          <cell r="AT9">
            <v>0</v>
          </cell>
          <cell r="AU9">
            <v>0</v>
          </cell>
        </row>
        <row r="10">
          <cell r="D10" t="str">
            <v>매출원가</v>
          </cell>
          <cell r="E10">
            <v>26777774.451885305</v>
          </cell>
          <cell r="F10">
            <v>2597488.2325522155</v>
          </cell>
          <cell r="G10">
            <v>2428343.7095747734</v>
          </cell>
          <cell r="H10">
            <v>957862.85053305468</v>
          </cell>
          <cell r="I10">
            <v>804002.51397958514</v>
          </cell>
          <cell r="J10">
            <v>1747147.5477356671</v>
          </cell>
          <cell r="K10">
            <v>1578103.2299149747</v>
          </cell>
          <cell r="L10">
            <v>670623.22891162382</v>
          </cell>
          <cell r="M10">
            <v>1764274.0715106181</v>
          </cell>
          <cell r="N10">
            <v>577070.80054154736</v>
          </cell>
          <cell r="O10">
            <v>813559.88318542193</v>
          </cell>
          <cell r="P10">
            <v>595452.25917617732</v>
          </cell>
          <cell r="Q10">
            <v>783880.1259128754</v>
          </cell>
          <cell r="R10">
            <v>964456.68569887732</v>
          </cell>
          <cell r="S10">
            <v>500019.4496199495</v>
          </cell>
          <cell r="T10">
            <v>260055.54141535255</v>
          </cell>
          <cell r="U10">
            <v>307562.67202748236</v>
          </cell>
          <cell r="V10">
            <v>647036.37984557869</v>
          </cell>
          <cell r="W10">
            <v>0</v>
          </cell>
          <cell r="X10">
            <v>0</v>
          </cell>
          <cell r="Y10">
            <v>0</v>
          </cell>
          <cell r="Z10">
            <v>17996939.182135779</v>
          </cell>
          <cell r="AA10">
            <v>7497045.0560000008</v>
          </cell>
          <cell r="AB10">
            <v>382220.37933333335</v>
          </cell>
          <cell r="AC10">
            <v>397426.52883333346</v>
          </cell>
          <cell r="AD10">
            <v>503072.30558285833</v>
          </cell>
          <cell r="AE10">
            <v>1282719.2137495251</v>
          </cell>
          <cell r="AF10">
            <v>120</v>
          </cell>
          <cell r="AG10">
            <v>0</v>
          </cell>
          <cell r="AH10">
            <v>539</v>
          </cell>
          <cell r="AI10">
            <v>239</v>
          </cell>
          <cell r="AJ10">
            <v>173</v>
          </cell>
          <cell r="AK10">
            <v>0</v>
          </cell>
          <cell r="AL10">
            <v>1071</v>
          </cell>
          <cell r="AM10">
            <v>0</v>
          </cell>
          <cell r="AN10">
            <v>0</v>
          </cell>
          <cell r="AO10">
            <v>0</v>
          </cell>
          <cell r="AP10">
            <v>0</v>
          </cell>
          <cell r="AQ10">
            <v>0</v>
          </cell>
          <cell r="AR10">
            <v>0</v>
          </cell>
          <cell r="AS10">
            <v>0</v>
          </cell>
          <cell r="AT10">
            <v>0</v>
          </cell>
          <cell r="AU10">
            <v>0</v>
          </cell>
          <cell r="AV10">
            <v>0</v>
          </cell>
        </row>
        <row r="11">
          <cell r="D11" t="str">
            <v xml:space="preserve"> - 단  위  당</v>
          </cell>
          <cell r="F11">
            <v>89568.559743179852</v>
          </cell>
          <cell r="G11">
            <v>97133.748382990947</v>
          </cell>
          <cell r="H11">
            <v>95786.285053305459</v>
          </cell>
          <cell r="I11">
            <v>100500.31424744814</v>
          </cell>
          <cell r="J11">
            <v>97063.7526519815</v>
          </cell>
          <cell r="K11">
            <v>87672.401661943048</v>
          </cell>
          <cell r="L11">
            <v>95803.318415946269</v>
          </cell>
          <cell r="M11">
            <v>92856.530079506221</v>
          </cell>
          <cell r="N11">
            <v>96178.466756924565</v>
          </cell>
          <cell r="O11">
            <v>95712.927433579112</v>
          </cell>
          <cell r="P11">
            <v>91608.039873258051</v>
          </cell>
          <cell r="Q11">
            <v>104517.35012171672</v>
          </cell>
          <cell r="R11">
            <v>96445.668569887726</v>
          </cell>
          <cell r="S11">
            <v>100003.8899239899</v>
          </cell>
          <cell r="T11">
            <v>104022.21656614103</v>
          </cell>
          <cell r="U11">
            <v>102520.89067582745</v>
          </cell>
          <cell r="V11">
            <v>107839.39664092977</v>
          </cell>
          <cell r="W11">
            <v>0</v>
          </cell>
          <cell r="X11">
            <v>0</v>
          </cell>
          <cell r="Y11">
            <v>0</v>
          </cell>
          <cell r="Z11">
            <v>95221.90043458085</v>
          </cell>
          <cell r="AA11">
            <v>937130.6320000001</v>
          </cell>
          <cell r="AB11">
            <v>10389.978907637053</v>
          </cell>
          <cell r="AC11">
            <v>21815.957237942384</v>
          </cell>
          <cell r="AD11">
            <v>25467.527669001836</v>
          </cell>
          <cell r="AE11">
            <v>17158.257786065613</v>
          </cell>
          <cell r="AF11">
            <v>0</v>
          </cell>
          <cell r="AG11">
            <v>0</v>
          </cell>
          <cell r="AH11">
            <v>0</v>
          </cell>
          <cell r="AI11">
            <v>0</v>
          </cell>
          <cell r="AJ11">
            <v>0</v>
          </cell>
          <cell r="AK11">
            <v>0</v>
          </cell>
          <cell r="AM11">
            <v>0</v>
          </cell>
          <cell r="AN11">
            <v>0</v>
          </cell>
          <cell r="AO11">
            <v>0</v>
          </cell>
          <cell r="AP11">
            <v>0</v>
          </cell>
          <cell r="AQ11">
            <v>0</v>
          </cell>
          <cell r="AR11">
            <v>0</v>
          </cell>
          <cell r="AS11">
            <v>0</v>
          </cell>
          <cell r="AT11">
            <v>0</v>
          </cell>
          <cell r="AU11">
            <v>0</v>
          </cell>
        </row>
        <row r="12">
          <cell r="D12" t="str">
            <v>매출이익</v>
          </cell>
          <cell r="E12">
            <v>1486202.9493327364</v>
          </cell>
          <cell r="F12">
            <v>274496.38644778449</v>
          </cell>
          <cell r="G12">
            <v>74506.775879765395</v>
          </cell>
          <cell r="H12">
            <v>-12193.305233054794</v>
          </cell>
          <cell r="I12">
            <v>-44.831379585084505</v>
          </cell>
          <cell r="J12">
            <v>194008.37336433283</v>
          </cell>
          <cell r="K12">
            <v>223021.77081502532</v>
          </cell>
          <cell r="L12">
            <v>-10050.581591623719</v>
          </cell>
          <cell r="M12">
            <v>134122.35214938177</v>
          </cell>
          <cell r="N12">
            <v>-2633.9855415474158</v>
          </cell>
          <cell r="O12">
            <v>24138.539770818432</v>
          </cell>
          <cell r="P12">
            <v>-3020.1307261773618</v>
          </cell>
          <cell r="Q12">
            <v>-27.63671287545003</v>
          </cell>
          <cell r="R12">
            <v>22726.474301122595</v>
          </cell>
          <cell r="S12">
            <v>10135.04038005037</v>
          </cell>
          <cell r="T12">
            <v>29403.352584647422</v>
          </cell>
          <cell r="U12">
            <v>36754.913016517588</v>
          </cell>
          <cell r="V12">
            <v>80329.340154421283</v>
          </cell>
          <cell r="W12">
            <v>0</v>
          </cell>
          <cell r="X12">
            <v>0</v>
          </cell>
          <cell r="Y12">
            <v>0</v>
          </cell>
          <cell r="Z12">
            <v>1075672.8476790003</v>
          </cell>
          <cell r="AA12">
            <v>167798.38200000022</v>
          </cell>
          <cell r="AB12">
            <v>94991.530666666687</v>
          </cell>
          <cell r="AC12">
            <v>-29718.168833333475</v>
          </cell>
          <cell r="AD12">
            <v>59696.024487071845</v>
          </cell>
          <cell r="AE12">
            <v>124969.38632040517</v>
          </cell>
          <cell r="AF12">
            <v>12380</v>
          </cell>
          <cell r="AG12">
            <v>0</v>
          </cell>
          <cell r="AH12">
            <v>28627.666666666668</v>
          </cell>
          <cell r="AI12">
            <v>75157.666666666672</v>
          </cell>
          <cell r="AJ12">
            <v>-173</v>
          </cell>
          <cell r="AK12">
            <v>0</v>
          </cell>
          <cell r="AL12">
            <v>115992.33333333334</v>
          </cell>
          <cell r="AM12">
            <v>0</v>
          </cell>
          <cell r="AN12">
            <v>0</v>
          </cell>
          <cell r="AO12">
            <v>0</v>
          </cell>
          <cell r="AP12">
            <v>0</v>
          </cell>
          <cell r="AQ12">
            <v>0</v>
          </cell>
          <cell r="AR12">
            <v>0</v>
          </cell>
          <cell r="AS12">
            <v>0</v>
          </cell>
          <cell r="AT12">
            <v>0</v>
          </cell>
          <cell r="AU12">
            <v>1770</v>
          </cell>
          <cell r="AV12">
            <v>1770</v>
          </cell>
        </row>
        <row r="13">
          <cell r="D13" t="str">
            <v>판 관 비</v>
          </cell>
          <cell r="E13">
            <v>847991.68500000006</v>
          </cell>
          <cell r="F13">
            <v>69187.902999999991</v>
          </cell>
          <cell r="G13">
            <v>67863.024000000005</v>
          </cell>
          <cell r="H13">
            <v>50594.384000000005</v>
          </cell>
          <cell r="I13">
            <v>38918.69</v>
          </cell>
          <cell r="J13">
            <v>60247.097999999998</v>
          </cell>
          <cell r="K13">
            <v>55681.45900000001</v>
          </cell>
          <cell r="L13">
            <v>33569.441999999995</v>
          </cell>
          <cell r="M13">
            <v>50794.011999999995</v>
          </cell>
          <cell r="N13">
            <v>29188.300000000003</v>
          </cell>
          <cell r="O13">
            <v>27873.470999999998</v>
          </cell>
          <cell r="P13">
            <v>30591.449999999997</v>
          </cell>
          <cell r="Q13">
            <v>30153.504000000001</v>
          </cell>
          <cell r="R13">
            <v>50466.406999999999</v>
          </cell>
          <cell r="S13">
            <v>32104.556</v>
          </cell>
          <cell r="T13">
            <v>12829.272999999999</v>
          </cell>
          <cell r="U13">
            <v>12436.725999999999</v>
          </cell>
          <cell r="V13">
            <v>16412.559999999998</v>
          </cell>
          <cell r="W13">
            <v>0</v>
          </cell>
          <cell r="X13">
            <v>0</v>
          </cell>
          <cell r="Y13">
            <v>0</v>
          </cell>
          <cell r="Z13">
            <v>668912.25900000008</v>
          </cell>
          <cell r="AA13">
            <v>162117.92599999998</v>
          </cell>
          <cell r="AB13">
            <v>0</v>
          </cell>
          <cell r="AC13">
            <v>0</v>
          </cell>
          <cell r="AD13">
            <v>0</v>
          </cell>
          <cell r="AE13">
            <v>0</v>
          </cell>
          <cell r="AF13">
            <v>0</v>
          </cell>
          <cell r="AG13">
            <v>0</v>
          </cell>
          <cell r="AH13">
            <v>0</v>
          </cell>
          <cell r="AI13">
            <v>0</v>
          </cell>
          <cell r="AJ13">
            <v>0</v>
          </cell>
          <cell r="AK13">
            <v>0</v>
          </cell>
          <cell r="AL13">
            <v>0</v>
          </cell>
          <cell r="AM13">
            <v>551.5</v>
          </cell>
          <cell r="AN13">
            <v>427.5</v>
          </cell>
          <cell r="AO13">
            <v>1842</v>
          </cell>
          <cell r="AP13">
            <v>191.5</v>
          </cell>
          <cell r="AQ13">
            <v>150</v>
          </cell>
          <cell r="AR13">
            <v>13799</v>
          </cell>
          <cell r="AS13">
            <v>0</v>
          </cell>
          <cell r="AT13">
            <v>0</v>
          </cell>
          <cell r="AU13">
            <v>0</v>
          </cell>
          <cell r="AV13">
            <v>16961.5</v>
          </cell>
        </row>
        <row r="14">
          <cell r="D14" t="str">
            <v xml:space="preserve"> - 노   무   비</v>
          </cell>
          <cell r="E14">
            <v>564027.69500000007</v>
          </cell>
          <cell r="F14">
            <v>49655.752999999997</v>
          </cell>
          <cell r="G14">
            <v>48403.124000000003</v>
          </cell>
          <cell r="H14">
            <v>36857.864000000009</v>
          </cell>
          <cell r="I14">
            <v>28133.81</v>
          </cell>
          <cell r="J14">
            <v>42224.637999999999</v>
          </cell>
          <cell r="K14">
            <v>38904.809000000008</v>
          </cell>
          <cell r="L14">
            <v>22825.441999999999</v>
          </cell>
          <cell r="M14">
            <v>35334.271999999997</v>
          </cell>
          <cell r="N14">
            <v>19650.340000000004</v>
          </cell>
          <cell r="O14">
            <v>20053.900999999998</v>
          </cell>
          <cell r="P14">
            <v>22007.53</v>
          </cell>
          <cell r="Q14">
            <v>20255.554</v>
          </cell>
          <cell r="R14">
            <v>35518.837</v>
          </cell>
          <cell r="S14">
            <v>22973.786</v>
          </cell>
          <cell r="T14">
            <v>8707.6229999999996</v>
          </cell>
          <cell r="U14">
            <v>7658.6059999999998</v>
          </cell>
          <cell r="V14">
            <v>11248.17</v>
          </cell>
          <cell r="W14">
            <v>0</v>
          </cell>
          <cell r="X14">
            <v>0</v>
          </cell>
          <cell r="Y14">
            <v>0</v>
          </cell>
          <cell r="Z14">
            <v>470414.05900000007</v>
          </cell>
          <cell r="AA14">
            <v>93613.635999999984</v>
          </cell>
          <cell r="AB14">
            <v>0</v>
          </cell>
          <cell r="AC14">
            <v>0</v>
          </cell>
          <cell r="AD14">
            <v>0</v>
          </cell>
          <cell r="AE14">
            <v>0</v>
          </cell>
          <cell r="AF14">
            <v>0</v>
          </cell>
          <cell r="AG14">
            <v>0</v>
          </cell>
          <cell r="AH14">
            <v>0</v>
          </cell>
          <cell r="AI14">
            <v>0</v>
          </cell>
          <cell r="AJ14">
            <v>0</v>
          </cell>
          <cell r="AK14">
            <v>0</v>
          </cell>
          <cell r="AL14">
            <v>0</v>
          </cell>
          <cell r="AM14">
            <v>0</v>
          </cell>
          <cell r="AN14">
            <v>0</v>
          </cell>
          <cell r="AO14">
            <v>0</v>
          </cell>
          <cell r="AP14">
            <v>0</v>
          </cell>
          <cell r="AQ14">
            <v>0</v>
          </cell>
          <cell r="AR14">
            <v>0</v>
          </cell>
          <cell r="AS14">
            <v>0</v>
          </cell>
          <cell r="AT14">
            <v>0</v>
          </cell>
          <cell r="AU14">
            <v>0</v>
          </cell>
          <cell r="AV14">
            <v>0</v>
          </cell>
        </row>
        <row r="15">
          <cell r="D15" t="str">
            <v xml:space="preserve"> - 경        비</v>
          </cell>
          <cell r="E15">
            <v>283963.99</v>
          </cell>
          <cell r="F15">
            <v>19532.150000000001</v>
          </cell>
          <cell r="G15">
            <v>19459.900000000001</v>
          </cell>
          <cell r="H15">
            <v>13736.52</v>
          </cell>
          <cell r="I15">
            <v>10784.880000000001</v>
          </cell>
          <cell r="J15">
            <v>18022.46</v>
          </cell>
          <cell r="K15">
            <v>16776.650000000001</v>
          </cell>
          <cell r="L15">
            <v>10744</v>
          </cell>
          <cell r="M15">
            <v>15459.74</v>
          </cell>
          <cell r="N15">
            <v>9537.9599999999991</v>
          </cell>
          <cell r="O15">
            <v>7819.57</v>
          </cell>
          <cell r="P15">
            <v>8583.92</v>
          </cell>
          <cell r="Q15">
            <v>9897.9500000000007</v>
          </cell>
          <cell r="R15">
            <v>14947.57</v>
          </cell>
          <cell r="S15">
            <v>9130.77</v>
          </cell>
          <cell r="T15">
            <v>4121.6499999999996</v>
          </cell>
          <cell r="U15">
            <v>4778.12</v>
          </cell>
          <cell r="V15">
            <v>5164.3899999999994</v>
          </cell>
          <cell r="W15">
            <v>0</v>
          </cell>
          <cell r="X15">
            <v>0</v>
          </cell>
          <cell r="Y15">
            <v>0</v>
          </cell>
          <cell r="Z15">
            <v>198498.2</v>
          </cell>
          <cell r="AA15">
            <v>68504.289999999994</v>
          </cell>
          <cell r="AB15">
            <v>0</v>
          </cell>
          <cell r="AC15">
            <v>0</v>
          </cell>
          <cell r="AD15">
            <v>0</v>
          </cell>
          <cell r="AE15">
            <v>0</v>
          </cell>
          <cell r="AF15">
            <v>0</v>
          </cell>
          <cell r="AG15">
            <v>0</v>
          </cell>
          <cell r="AH15">
            <v>0</v>
          </cell>
          <cell r="AI15">
            <v>0</v>
          </cell>
          <cell r="AJ15">
            <v>0</v>
          </cell>
          <cell r="AK15">
            <v>0</v>
          </cell>
          <cell r="AL15">
            <v>0</v>
          </cell>
          <cell r="AM15">
            <v>551.5</v>
          </cell>
          <cell r="AN15">
            <v>427.5</v>
          </cell>
          <cell r="AO15">
            <v>1842</v>
          </cell>
          <cell r="AP15">
            <v>191.5</v>
          </cell>
          <cell r="AQ15">
            <v>150</v>
          </cell>
          <cell r="AR15">
            <v>13799</v>
          </cell>
          <cell r="AS15">
            <v>0</v>
          </cell>
          <cell r="AT15">
            <v>0</v>
          </cell>
          <cell r="AU15">
            <v>0</v>
          </cell>
          <cell r="AV15">
            <v>16961.5</v>
          </cell>
        </row>
        <row r="16">
          <cell r="D16" t="str">
            <v xml:space="preserve"> - 운   반   비</v>
          </cell>
          <cell r="E16">
            <v>0</v>
          </cell>
          <cell r="F16">
            <v>0</v>
          </cell>
          <cell r="G16">
            <v>0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>
            <v>0</v>
          </cell>
          <cell r="M16">
            <v>0</v>
          </cell>
          <cell r="N16">
            <v>0</v>
          </cell>
          <cell r="O16">
            <v>0</v>
          </cell>
          <cell r="P16">
            <v>0</v>
          </cell>
          <cell r="Q16">
            <v>0</v>
          </cell>
          <cell r="R16">
            <v>0</v>
          </cell>
          <cell r="S16">
            <v>0</v>
          </cell>
          <cell r="T16">
            <v>0</v>
          </cell>
          <cell r="U16">
            <v>0</v>
          </cell>
          <cell r="V16">
            <v>0</v>
          </cell>
          <cell r="W16">
            <v>0</v>
          </cell>
          <cell r="X16">
            <v>0</v>
          </cell>
          <cell r="Y16">
            <v>0</v>
          </cell>
          <cell r="Z16">
            <v>0</v>
          </cell>
          <cell r="AA16">
            <v>0</v>
          </cell>
          <cell r="AB16">
            <v>0</v>
          </cell>
          <cell r="AC16">
            <v>0</v>
          </cell>
          <cell r="AD16">
            <v>0</v>
          </cell>
          <cell r="AE16">
            <v>0</v>
          </cell>
          <cell r="AF16">
            <v>0</v>
          </cell>
          <cell r="AG16">
            <v>0</v>
          </cell>
          <cell r="AH16">
            <v>0</v>
          </cell>
          <cell r="AI16">
            <v>0</v>
          </cell>
          <cell r="AJ16">
            <v>0</v>
          </cell>
          <cell r="AK16">
            <v>0</v>
          </cell>
          <cell r="AL16">
            <v>0</v>
          </cell>
          <cell r="AM16">
            <v>0</v>
          </cell>
          <cell r="AN16">
            <v>0</v>
          </cell>
          <cell r="AO16">
            <v>0</v>
          </cell>
          <cell r="AP16">
            <v>0</v>
          </cell>
          <cell r="AQ16">
            <v>0</v>
          </cell>
          <cell r="AR16">
            <v>0</v>
          </cell>
          <cell r="AS16">
            <v>0</v>
          </cell>
          <cell r="AT16">
            <v>0</v>
          </cell>
          <cell r="AU16">
            <v>0</v>
          </cell>
          <cell r="AV16">
            <v>0</v>
          </cell>
        </row>
        <row r="17">
          <cell r="D17" t="str">
            <v>EBITDA</v>
          </cell>
          <cell r="E17">
            <v>638211.26433273638</v>
          </cell>
          <cell r="F17">
            <v>205308.4834477845</v>
          </cell>
          <cell r="G17">
            <v>6643.7518797653902</v>
          </cell>
          <cell r="H17">
            <v>-62787.6892330548</v>
          </cell>
          <cell r="I17">
            <v>-38963.521379585087</v>
          </cell>
          <cell r="J17">
            <v>133761.27536433283</v>
          </cell>
          <cell r="K17">
            <v>167340.31181502531</v>
          </cell>
          <cell r="L17">
            <v>-43620.023591623714</v>
          </cell>
          <cell r="M17">
            <v>83328.34014938178</v>
          </cell>
          <cell r="N17">
            <v>-31822.285541547419</v>
          </cell>
          <cell r="O17">
            <v>-3734.9312291815659</v>
          </cell>
          <cell r="P17">
            <v>-33611.580726177359</v>
          </cell>
          <cell r="Q17">
            <v>-30181.140712875451</v>
          </cell>
          <cell r="R17">
            <v>-27739.932698877405</v>
          </cell>
          <cell r="S17">
            <v>-21969.51561994963</v>
          </cell>
          <cell r="T17">
            <v>16574.079584647421</v>
          </cell>
          <cell r="U17">
            <v>24318.18701651759</v>
          </cell>
          <cell r="V17">
            <v>63916.780154421285</v>
          </cell>
          <cell r="W17">
            <v>0</v>
          </cell>
          <cell r="X17">
            <v>0</v>
          </cell>
          <cell r="Y17">
            <v>0</v>
          </cell>
          <cell r="Z17">
            <v>406760.58867900027</v>
          </cell>
          <cell r="AA17">
            <v>5680.4560000002384</v>
          </cell>
          <cell r="AB17">
            <v>94991.530666666687</v>
          </cell>
          <cell r="AC17">
            <v>-29718.168833333475</v>
          </cell>
          <cell r="AD17">
            <v>59696.024487071845</v>
          </cell>
          <cell r="AE17">
            <v>124969.38632040517</v>
          </cell>
          <cell r="AF17">
            <v>12380</v>
          </cell>
          <cell r="AG17">
            <v>0</v>
          </cell>
          <cell r="AH17">
            <v>28627.666666666668</v>
          </cell>
          <cell r="AI17">
            <v>75157.666666666672</v>
          </cell>
          <cell r="AJ17">
            <v>-173</v>
          </cell>
          <cell r="AK17">
            <v>0</v>
          </cell>
          <cell r="AL17">
            <v>115992.33333333334</v>
          </cell>
          <cell r="AM17">
            <v>-551.5</v>
          </cell>
          <cell r="AN17">
            <v>-427.5</v>
          </cell>
          <cell r="AO17">
            <v>-1842</v>
          </cell>
          <cell r="AP17">
            <v>-191.5</v>
          </cell>
          <cell r="AQ17">
            <v>-150</v>
          </cell>
          <cell r="AR17">
            <v>-13799</v>
          </cell>
          <cell r="AS17">
            <v>0</v>
          </cell>
          <cell r="AT17">
            <v>0</v>
          </cell>
          <cell r="AU17">
            <v>1770</v>
          </cell>
          <cell r="AV17">
            <v>-15191.5</v>
          </cell>
        </row>
        <row r="18">
          <cell r="D18" t="str">
            <v>감가상각비</v>
          </cell>
          <cell r="E18">
            <v>613289.01107287884</v>
          </cell>
          <cell r="F18">
            <v>30863.911666666663</v>
          </cell>
          <cell r="G18">
            <v>36083.757555555552</v>
          </cell>
          <cell r="H18">
            <v>25076.642666666667</v>
          </cell>
          <cell r="I18">
            <v>18484.001111111113</v>
          </cell>
          <cell r="J18">
            <v>47552.884999999995</v>
          </cell>
          <cell r="K18">
            <v>28639.063888888886</v>
          </cell>
          <cell r="L18">
            <v>13396.539666666667</v>
          </cell>
          <cell r="M18">
            <v>19006.002</v>
          </cell>
          <cell r="N18">
            <v>12374.404555555557</v>
          </cell>
          <cell r="O18">
            <v>31230.495666666669</v>
          </cell>
          <cell r="P18">
            <v>15870.410436470889</v>
          </cell>
          <cell r="Q18">
            <v>15717.669055282731</v>
          </cell>
          <cell r="R18">
            <v>36510.137666666669</v>
          </cell>
          <cell r="S18">
            <v>21647.714333333337</v>
          </cell>
          <cell r="T18">
            <v>10347.403</v>
          </cell>
          <cell r="U18">
            <v>6031.4589999999989</v>
          </cell>
          <cell r="V18">
            <v>12780.610842236318</v>
          </cell>
          <cell r="W18">
            <v>0</v>
          </cell>
          <cell r="X18">
            <v>0</v>
          </cell>
          <cell r="Y18">
            <v>0</v>
          </cell>
          <cell r="Z18">
            <v>381613.10811176774</v>
          </cell>
          <cell r="AA18">
            <v>5186.2629999999999</v>
          </cell>
          <cell r="AB18">
            <v>68498.331627777778</v>
          </cell>
          <cell r="AC18">
            <v>57965.727999999996</v>
          </cell>
          <cell r="AD18">
            <v>36886.058333333334</v>
          </cell>
          <cell r="AE18">
            <v>163350.11796111113</v>
          </cell>
          <cell r="AF18">
            <v>3156.7039999999997</v>
          </cell>
          <cell r="AG18">
            <v>0</v>
          </cell>
          <cell r="AH18">
            <v>8222.2649999999994</v>
          </cell>
          <cell r="AI18">
            <v>5524.1019999999999</v>
          </cell>
          <cell r="AJ18">
            <v>1312.8920000000001</v>
          </cell>
          <cell r="AK18">
            <v>0</v>
          </cell>
          <cell r="AL18">
            <v>18215.963</v>
          </cell>
          <cell r="AM18">
            <v>3275.9680000000003</v>
          </cell>
          <cell r="AN18">
            <v>350.85900000000004</v>
          </cell>
          <cell r="AO18">
            <v>5731.549</v>
          </cell>
          <cell r="AP18">
            <v>0</v>
          </cell>
          <cell r="AQ18">
            <v>241.20500000000001</v>
          </cell>
          <cell r="AR18">
            <v>18257.885000000002</v>
          </cell>
          <cell r="AS18">
            <v>0</v>
          </cell>
          <cell r="AT18">
            <v>0</v>
          </cell>
          <cell r="AU18">
            <v>17066.092999999997</v>
          </cell>
          <cell r="AV18">
            <v>44923.558999999994</v>
          </cell>
        </row>
        <row r="19">
          <cell r="D19" t="str">
            <v xml:space="preserve"> - 제        조</v>
          </cell>
          <cell r="E19">
            <v>541786.57507287886</v>
          </cell>
          <cell r="F19">
            <v>28569.042666666664</v>
          </cell>
          <cell r="G19">
            <v>34159.288555555555</v>
          </cell>
          <cell r="H19">
            <v>22862.526666666668</v>
          </cell>
          <cell r="I19">
            <v>17292.013111111111</v>
          </cell>
          <cell r="J19">
            <v>45687.151999999995</v>
          </cell>
          <cell r="K19">
            <v>27084.994888888887</v>
          </cell>
          <cell r="L19">
            <v>12202.940666666667</v>
          </cell>
          <cell r="M19">
            <v>17072.296999999999</v>
          </cell>
          <cell r="N19">
            <v>11994.768555555556</v>
          </cell>
          <cell r="O19">
            <v>30392.46266666667</v>
          </cell>
          <cell r="P19">
            <v>15057.141436470889</v>
          </cell>
          <cell r="Q19">
            <v>14532.347055282731</v>
          </cell>
          <cell r="R19">
            <v>34946.138666666666</v>
          </cell>
          <cell r="S19">
            <v>20834.445333333337</v>
          </cell>
          <cell r="T19">
            <v>9904.5339999999997</v>
          </cell>
          <cell r="U19">
            <v>5661.0589999999993</v>
          </cell>
          <cell r="V19">
            <v>11967.341842236317</v>
          </cell>
          <cell r="W19">
            <v>0</v>
          </cell>
          <cell r="X19">
            <v>0</v>
          </cell>
          <cell r="Y19">
            <v>0</v>
          </cell>
          <cell r="Z19">
            <v>360220.49411176774</v>
          </cell>
          <cell r="AA19">
            <v>0</v>
          </cell>
          <cell r="AB19">
            <v>68498.331627777778</v>
          </cell>
          <cell r="AC19">
            <v>57965.727999999996</v>
          </cell>
          <cell r="AD19">
            <v>36886.058333333334</v>
          </cell>
          <cell r="AE19">
            <v>163350.11796111113</v>
          </cell>
          <cell r="AF19">
            <v>3156.7039999999997</v>
          </cell>
          <cell r="AG19">
            <v>0</v>
          </cell>
          <cell r="AH19">
            <v>8222.2649999999994</v>
          </cell>
          <cell r="AI19">
            <v>5524.1019999999999</v>
          </cell>
          <cell r="AJ19">
            <v>1312.8920000000001</v>
          </cell>
          <cell r="AK19">
            <v>0</v>
          </cell>
          <cell r="AL19">
            <v>18215.963</v>
          </cell>
          <cell r="AM19">
            <v>0</v>
          </cell>
          <cell r="AN19">
            <v>0</v>
          </cell>
          <cell r="AO19">
            <v>0</v>
          </cell>
          <cell r="AP19">
            <v>0</v>
          </cell>
          <cell r="AQ19">
            <v>0</v>
          </cell>
          <cell r="AR19">
            <v>0</v>
          </cell>
          <cell r="AS19">
            <v>0</v>
          </cell>
          <cell r="AT19">
            <v>0</v>
          </cell>
          <cell r="AU19">
            <v>0</v>
          </cell>
          <cell r="AV19">
            <v>0</v>
          </cell>
        </row>
        <row r="20">
          <cell r="D20" t="str">
            <v xml:space="preserve"> - 판        매</v>
          </cell>
          <cell r="E20">
            <v>71502.435999999987</v>
          </cell>
          <cell r="F20">
            <v>2294.8690000000001</v>
          </cell>
          <cell r="G20">
            <v>1924.4690000000001</v>
          </cell>
          <cell r="H20">
            <v>2214.116</v>
          </cell>
          <cell r="I20">
            <v>1191.9880000000001</v>
          </cell>
          <cell r="J20">
            <v>1865.7329999999999</v>
          </cell>
          <cell r="K20">
            <v>1554.069</v>
          </cell>
          <cell r="L20">
            <v>1193.5990000000002</v>
          </cell>
          <cell r="M20">
            <v>1933.7050000000002</v>
          </cell>
          <cell r="N20">
            <v>379.63599999999997</v>
          </cell>
          <cell r="O20">
            <v>838.03300000000002</v>
          </cell>
          <cell r="P20">
            <v>813.26900000000001</v>
          </cell>
          <cell r="Q20">
            <v>1185.3220000000001</v>
          </cell>
          <cell r="R20">
            <v>1563.999</v>
          </cell>
          <cell r="S20">
            <v>813.26900000000001</v>
          </cell>
          <cell r="T20">
            <v>442.86900000000003</v>
          </cell>
          <cell r="U20">
            <v>370.4</v>
          </cell>
          <cell r="V20">
            <v>813.26900000000001</v>
          </cell>
          <cell r="W20">
            <v>0</v>
          </cell>
          <cell r="X20">
            <v>0</v>
          </cell>
          <cell r="Y20">
            <v>0</v>
          </cell>
          <cell r="Z20">
            <v>21392.613999999998</v>
          </cell>
          <cell r="AA20">
            <v>5186.2629999999999</v>
          </cell>
          <cell r="AB20">
            <v>0</v>
          </cell>
          <cell r="AC20">
            <v>0</v>
          </cell>
          <cell r="AD20">
            <v>0</v>
          </cell>
          <cell r="AE20">
            <v>0</v>
          </cell>
          <cell r="AF20">
            <v>0</v>
          </cell>
          <cell r="AG20">
            <v>0</v>
          </cell>
          <cell r="AH20">
            <v>0</v>
          </cell>
          <cell r="AI20">
            <v>0</v>
          </cell>
          <cell r="AJ20">
            <v>0</v>
          </cell>
          <cell r="AK20">
            <v>0</v>
          </cell>
          <cell r="AL20">
            <v>0</v>
          </cell>
          <cell r="AM20">
            <v>3275.9680000000003</v>
          </cell>
          <cell r="AN20">
            <v>350.85900000000004</v>
          </cell>
          <cell r="AO20">
            <v>5731.549</v>
          </cell>
          <cell r="AP20">
            <v>0</v>
          </cell>
          <cell r="AQ20">
            <v>241.20500000000001</v>
          </cell>
          <cell r="AR20">
            <v>18257.885000000002</v>
          </cell>
          <cell r="AS20">
            <v>0</v>
          </cell>
          <cell r="AT20">
            <v>0</v>
          </cell>
          <cell r="AU20">
            <v>17066.092999999997</v>
          </cell>
          <cell r="AV20">
            <v>44923.558999999994</v>
          </cell>
        </row>
        <row r="21">
          <cell r="D21" t="str">
            <v>영업이익 I</v>
          </cell>
          <cell r="E21">
            <v>24922.253259857534</v>
          </cell>
          <cell r="F21">
            <v>174444.57178111785</v>
          </cell>
          <cell r="G21">
            <v>-29440.005675790162</v>
          </cell>
          <cell r="H21">
            <v>-87864.331899721466</v>
          </cell>
          <cell r="I21">
            <v>-57447.522490696196</v>
          </cell>
          <cell r="J21">
            <v>86208.390364332838</v>
          </cell>
          <cell r="K21">
            <v>138701.24792613642</v>
          </cell>
          <cell r="L21">
            <v>-57016.563258290378</v>
          </cell>
          <cell r="M21">
            <v>64322.33814938178</v>
          </cell>
          <cell r="N21">
            <v>-44196.690097102975</v>
          </cell>
          <cell r="O21">
            <v>-34965.426895848235</v>
          </cell>
          <cell r="P21">
            <v>-49481.99116264825</v>
          </cell>
          <cell r="Q21">
            <v>-45898.809768158186</v>
          </cell>
          <cell r="R21">
            <v>-64250.070365544074</v>
          </cell>
          <cell r="S21">
            <v>-43617.229953282964</v>
          </cell>
          <cell r="T21">
            <v>6226.6765846474209</v>
          </cell>
          <cell r="U21">
            <v>18286.728016517591</v>
          </cell>
          <cell r="V21">
            <v>51136.169312184968</v>
          </cell>
          <cell r="W21">
            <v>0</v>
          </cell>
          <cell r="X21">
            <v>0</v>
          </cell>
          <cell r="Y21">
            <v>0</v>
          </cell>
          <cell r="Z21">
            <v>25147.480567232531</v>
          </cell>
          <cell r="AA21">
            <v>494.1930000002385</v>
          </cell>
          <cell r="AB21">
            <v>26493.19903888891</v>
          </cell>
          <cell r="AC21">
            <v>-87683.896833333478</v>
          </cell>
          <cell r="AD21">
            <v>22809.966153738511</v>
          </cell>
          <cell r="AE21">
            <v>-38380.731640705955</v>
          </cell>
          <cell r="AF21">
            <v>9223.2960000000003</v>
          </cell>
          <cell r="AG21">
            <v>0</v>
          </cell>
          <cell r="AH21">
            <v>20405.401666666668</v>
          </cell>
          <cell r="AI21">
            <v>69633.564666666673</v>
          </cell>
          <cell r="AJ21">
            <v>-1485.8920000000001</v>
          </cell>
          <cell r="AK21">
            <v>0</v>
          </cell>
          <cell r="AL21">
            <v>97776.37033333334</v>
          </cell>
          <cell r="AM21">
            <v>-3827.4680000000003</v>
          </cell>
          <cell r="AN21">
            <v>-778.35900000000004</v>
          </cell>
          <cell r="AO21">
            <v>-7573.549</v>
          </cell>
          <cell r="AP21">
            <v>-191.5</v>
          </cell>
          <cell r="AQ21">
            <v>-391.20500000000004</v>
          </cell>
          <cell r="AR21">
            <v>-32056.885000000002</v>
          </cell>
          <cell r="AS21">
            <v>0</v>
          </cell>
          <cell r="AT21">
            <v>0</v>
          </cell>
          <cell r="AU21">
            <v>-15296.092999999997</v>
          </cell>
          <cell r="AV21">
            <v>-60115.058999999994</v>
          </cell>
        </row>
        <row r="22">
          <cell r="D22" t="str">
            <v>공    통    비</v>
          </cell>
          <cell r="E22">
            <v>1879445.7677579606</v>
          </cell>
          <cell r="F22">
            <v>262711.22656380269</v>
          </cell>
          <cell r="G22">
            <v>228945.14009219036</v>
          </cell>
          <cell r="H22">
            <v>86503.94731441859</v>
          </cell>
          <cell r="I22">
            <v>73541.030653144437</v>
          </cell>
          <cell r="J22">
            <v>185674.6480241039</v>
          </cell>
          <cell r="K22">
            <v>172280.46800508851</v>
          </cell>
          <cell r="L22">
            <v>63184.823255201583</v>
          </cell>
          <cell r="M22">
            <v>181584.63415630464</v>
          </cell>
          <cell r="N22">
            <v>54945.794038415988</v>
          </cell>
          <cell r="O22">
            <v>80127.185117930625</v>
          </cell>
          <cell r="P22">
            <v>56667.074361440616</v>
          </cell>
          <cell r="Q22">
            <v>74976.736001996847</v>
          </cell>
          <cell r="R22">
            <v>90301.35366707918</v>
          </cell>
          <cell r="S22">
            <v>46665.7484578023</v>
          </cell>
          <cell r="T22">
            <v>26477.892875700578</v>
          </cell>
          <cell r="U22">
            <v>31496.0235148793</v>
          </cell>
          <cell r="V22">
            <v>66534.875986974599</v>
          </cell>
          <cell r="W22">
            <v>0</v>
          </cell>
          <cell r="X22">
            <v>0</v>
          </cell>
          <cell r="Y22">
            <v>0</v>
          </cell>
          <cell r="Z22">
            <v>1782618.6020864747</v>
          </cell>
          <cell r="AA22">
            <v>46711.785891015665</v>
          </cell>
          <cell r="AB22">
            <v>16989.308646973132</v>
          </cell>
          <cell r="AC22">
            <v>13090.85269919669</v>
          </cell>
          <cell r="AD22">
            <v>20035.218434300379</v>
          </cell>
          <cell r="AE22">
            <v>50115.379780470204</v>
          </cell>
          <cell r="AF22">
            <v>0</v>
          </cell>
          <cell r="AG22">
            <v>0</v>
          </cell>
          <cell r="AH22">
            <v>0</v>
          </cell>
          <cell r="AI22">
            <v>0</v>
          </cell>
          <cell r="AJ22">
            <v>0</v>
          </cell>
          <cell r="AK22">
            <v>0</v>
          </cell>
          <cell r="AL22">
            <v>0</v>
          </cell>
          <cell r="AM22">
            <v>0</v>
          </cell>
          <cell r="AN22">
            <v>0</v>
          </cell>
          <cell r="AO22">
            <v>0</v>
          </cell>
          <cell r="AP22">
            <v>0</v>
          </cell>
          <cell r="AQ22">
            <v>0</v>
          </cell>
          <cell r="AR22">
            <v>0</v>
          </cell>
          <cell r="AS22">
            <v>0</v>
          </cell>
          <cell r="AT22">
            <v>0</v>
          </cell>
          <cell r="AU22">
            <v>0</v>
          </cell>
          <cell r="AV22">
            <v>0</v>
          </cell>
        </row>
        <row r="23">
          <cell r="D23" t="str">
            <v xml:space="preserve"> - 영업공통비</v>
          </cell>
          <cell r="E23">
            <v>242422.58166666667</v>
          </cell>
          <cell r="F23">
            <v>23239.576133554412</v>
          </cell>
          <cell r="G23">
            <v>20252.609997569201</v>
          </cell>
          <cell r="H23">
            <v>7652.1856174965569</v>
          </cell>
          <cell r="I23">
            <v>6505.4790507353591</v>
          </cell>
          <cell r="J23">
            <v>23817.300636873406</v>
          </cell>
          <cell r="K23">
            <v>22099.170479137065</v>
          </cell>
          <cell r="L23">
            <v>8104.99412370764</v>
          </cell>
          <cell r="M23">
            <v>23292.65663762527</v>
          </cell>
          <cell r="N23">
            <v>7048.1377467040766</v>
          </cell>
          <cell r="O23">
            <v>10278.265112921696</v>
          </cell>
          <cell r="P23">
            <v>7268.9339155407079</v>
          </cell>
          <cell r="Q23">
            <v>9617.5944380905858</v>
          </cell>
          <cell r="R23">
            <v>7988.1062220211097</v>
          </cell>
          <cell r="S23">
            <v>4128.0771602313444</v>
          </cell>
          <cell r="T23">
            <v>2342.2486179573289</v>
          </cell>
          <cell r="U23">
            <v>2786.1551481907964</v>
          </cell>
          <cell r="V23">
            <v>5885.7108478398923</v>
          </cell>
          <cell r="W23">
            <v>0</v>
          </cell>
          <cell r="X23">
            <v>0</v>
          </cell>
          <cell r="Y23">
            <v>0</v>
          </cell>
          <cell r="Z23">
            <v>192307.20188619645</v>
          </cell>
          <cell r="AA23">
            <v>0</v>
          </cell>
          <cell r="AB23">
            <v>16989.308646973132</v>
          </cell>
          <cell r="AC23">
            <v>13090.85269919669</v>
          </cell>
          <cell r="AD23">
            <v>20035.218434300379</v>
          </cell>
          <cell r="AE23">
            <v>50115.379780470204</v>
          </cell>
          <cell r="AF23">
            <v>0</v>
          </cell>
          <cell r="AG23">
            <v>0</v>
          </cell>
          <cell r="AH23">
            <v>0</v>
          </cell>
          <cell r="AI23">
            <v>0</v>
          </cell>
          <cell r="AJ23">
            <v>0</v>
          </cell>
          <cell r="AK23">
            <v>0</v>
          </cell>
          <cell r="AL23">
            <v>0</v>
          </cell>
          <cell r="AM23">
            <v>0</v>
          </cell>
          <cell r="AN23">
            <v>0</v>
          </cell>
          <cell r="AO23">
            <v>0</v>
          </cell>
          <cell r="AP23">
            <v>0</v>
          </cell>
          <cell r="AQ23">
            <v>0</v>
          </cell>
          <cell r="AR23">
            <v>0</v>
          </cell>
          <cell r="AS23">
            <v>0</v>
          </cell>
          <cell r="AT23">
            <v>0</v>
          </cell>
          <cell r="AU23">
            <v>0</v>
          </cell>
          <cell r="AV23">
            <v>0</v>
          </cell>
        </row>
        <row r="24">
          <cell r="D24" t="str">
            <v xml:space="preserve"> - 부문공통비</v>
          </cell>
          <cell r="E24">
            <v>616715.70039999997</v>
          </cell>
          <cell r="F24">
            <v>92866.042840688591</v>
          </cell>
          <cell r="G24">
            <v>80930.036626376328</v>
          </cell>
          <cell r="H24">
            <v>30578.363103331194</v>
          </cell>
          <cell r="I24">
            <v>25996.089289791675</v>
          </cell>
          <cell r="J24">
            <v>62767.560709324578</v>
          </cell>
          <cell r="K24">
            <v>58239.640411955654</v>
          </cell>
          <cell r="L24">
            <v>21359.713196084565</v>
          </cell>
          <cell r="M24">
            <v>61384.926103679652</v>
          </cell>
          <cell r="N24">
            <v>18574.498455925994</v>
          </cell>
          <cell r="O24">
            <v>27087.101065645187</v>
          </cell>
          <cell r="P24">
            <v>19156.37954913366</v>
          </cell>
          <cell r="Q24">
            <v>25345.984919715058</v>
          </cell>
          <cell r="R24">
            <v>31920.711908299516</v>
          </cell>
          <cell r="S24">
            <v>16495.920072234076</v>
          </cell>
          <cell r="T24">
            <v>9359.6956867345743</v>
          </cell>
          <cell r="U24">
            <v>11133.559487735731</v>
          </cell>
          <cell r="V24">
            <v>23519.476973343884</v>
          </cell>
          <cell r="W24">
            <v>0</v>
          </cell>
          <cell r="X24">
            <v>0</v>
          </cell>
          <cell r="Y24">
            <v>0</v>
          </cell>
          <cell r="Z24">
            <v>616715.70039999997</v>
          </cell>
          <cell r="AA24">
            <v>0</v>
          </cell>
          <cell r="AB24">
            <v>0</v>
          </cell>
          <cell r="AC24">
            <v>0</v>
          </cell>
          <cell r="AD24">
            <v>0</v>
          </cell>
          <cell r="AE24">
            <v>0</v>
          </cell>
          <cell r="AF24">
            <v>0</v>
          </cell>
          <cell r="AG24">
            <v>0</v>
          </cell>
          <cell r="AH24">
            <v>0</v>
          </cell>
          <cell r="AI24">
            <v>0</v>
          </cell>
          <cell r="AJ24">
            <v>0</v>
          </cell>
          <cell r="AK24">
            <v>0</v>
          </cell>
          <cell r="AL24">
            <v>0</v>
          </cell>
          <cell r="AM24">
            <v>0</v>
          </cell>
          <cell r="AN24">
            <v>0</v>
          </cell>
          <cell r="AO24">
            <v>0</v>
          </cell>
          <cell r="AP24">
            <v>0</v>
          </cell>
          <cell r="AQ24">
            <v>0</v>
          </cell>
          <cell r="AR24">
            <v>0</v>
          </cell>
          <cell r="AS24">
            <v>0</v>
          </cell>
          <cell r="AT24">
            <v>0</v>
          </cell>
          <cell r="AU24">
            <v>0</v>
          </cell>
          <cell r="AV24">
            <v>0</v>
          </cell>
        </row>
        <row r="25">
          <cell r="D25" t="str">
            <v xml:space="preserve"> - 본사공통비</v>
          </cell>
          <cell r="E25">
            <v>1020307.485691294</v>
          </cell>
          <cell r="F25">
            <v>146605.60758955969</v>
          </cell>
          <cell r="G25">
            <v>127762.49346824482</v>
          </cell>
          <cell r="H25">
            <v>48273.398593590835</v>
          </cell>
          <cell r="I25">
            <v>41039.462312617412</v>
          </cell>
          <cell r="J25">
            <v>99089.786677905897</v>
          </cell>
          <cell r="K25">
            <v>91941.657113995767</v>
          </cell>
          <cell r="L25">
            <v>33720.115935409376</v>
          </cell>
          <cell r="M25">
            <v>96907.051414999733</v>
          </cell>
          <cell r="N25">
            <v>29323.157835785918</v>
          </cell>
          <cell r="O25">
            <v>42761.818939363744</v>
          </cell>
          <cell r="P25">
            <v>30241.760896766249</v>
          </cell>
          <cell r="Q25">
            <v>40013.156644191193</v>
          </cell>
          <cell r="R25">
            <v>50392.535536758565</v>
          </cell>
          <cell r="S25">
            <v>26041.751225336884</v>
          </cell>
          <cell r="T25">
            <v>14775.948571008676</v>
          </cell>
          <cell r="U25">
            <v>17576.308878952772</v>
          </cell>
          <cell r="V25">
            <v>37129.688165790816</v>
          </cell>
          <cell r="W25">
            <v>0</v>
          </cell>
          <cell r="X25">
            <v>0</v>
          </cell>
          <cell r="Y25">
            <v>0</v>
          </cell>
          <cell r="Z25">
            <v>973595.69980027829</v>
          </cell>
          <cell r="AA25">
            <v>46711.785891015665</v>
          </cell>
          <cell r="AB25">
            <v>0</v>
          </cell>
          <cell r="AC25">
            <v>0</v>
          </cell>
          <cell r="AD25">
            <v>0</v>
          </cell>
          <cell r="AE25">
            <v>0</v>
          </cell>
          <cell r="AF25">
            <v>0</v>
          </cell>
          <cell r="AG25">
            <v>0</v>
          </cell>
          <cell r="AH25">
            <v>0</v>
          </cell>
          <cell r="AI25">
            <v>0</v>
          </cell>
          <cell r="AJ25">
            <v>0</v>
          </cell>
          <cell r="AK25">
            <v>0</v>
          </cell>
          <cell r="AL25">
            <v>0</v>
          </cell>
          <cell r="AM25">
            <v>0</v>
          </cell>
          <cell r="AN25">
            <v>0</v>
          </cell>
          <cell r="AO25">
            <v>0</v>
          </cell>
          <cell r="AP25">
            <v>0</v>
          </cell>
          <cell r="AQ25">
            <v>0</v>
          </cell>
          <cell r="AR25">
            <v>0</v>
          </cell>
          <cell r="AS25">
            <v>0</v>
          </cell>
          <cell r="AT25">
            <v>0</v>
          </cell>
          <cell r="AU25">
            <v>0</v>
          </cell>
          <cell r="AV25">
            <v>0</v>
          </cell>
        </row>
        <row r="26">
          <cell r="D26" t="str">
            <v>영업이익 II</v>
          </cell>
          <cell r="E26">
            <v>-1854523.5144981029</v>
          </cell>
          <cell r="F26">
            <v>-88266.65478268484</v>
          </cell>
          <cell r="G26">
            <v>-258385.14576798052</v>
          </cell>
          <cell r="H26">
            <v>-174368.27921414006</v>
          </cell>
          <cell r="I26">
            <v>-130988.55314384063</v>
          </cell>
          <cell r="J26">
            <v>-99466.257659771058</v>
          </cell>
          <cell r="K26">
            <v>-33579.220078952087</v>
          </cell>
          <cell r="L26">
            <v>-120201.38651349196</v>
          </cell>
          <cell r="M26">
            <v>-117262.29600692287</v>
          </cell>
          <cell r="N26">
            <v>-99142.484135518956</v>
          </cell>
          <cell r="O26">
            <v>-115092.61201377885</v>
          </cell>
          <cell r="P26">
            <v>-106149.06552408886</v>
          </cell>
          <cell r="Q26">
            <v>-120875.54577015503</v>
          </cell>
          <cell r="R26">
            <v>-154551.42403262324</v>
          </cell>
          <cell r="S26">
            <v>-90282.978411085263</v>
          </cell>
          <cell r="T26">
            <v>-20251.216291053155</v>
          </cell>
          <cell r="U26">
            <v>-13209.295498361709</v>
          </cell>
          <cell r="V26">
            <v>-15398.706674789632</v>
          </cell>
          <cell r="W26">
            <v>0</v>
          </cell>
          <cell r="X26">
            <v>0</v>
          </cell>
          <cell r="Y26">
            <v>0</v>
          </cell>
          <cell r="Z26">
            <v>-1757471.1215192422</v>
          </cell>
          <cell r="AA26">
            <v>-46217.592891015425</v>
          </cell>
          <cell r="AB26">
            <v>9503.8903919157783</v>
          </cell>
          <cell r="AC26">
            <v>-100774.74953253017</v>
          </cell>
          <cell r="AD26">
            <v>2774.7477194381318</v>
          </cell>
          <cell r="AE26">
            <v>-88496.11142117616</v>
          </cell>
          <cell r="AF26">
            <v>9223.2960000000003</v>
          </cell>
          <cell r="AG26">
            <v>0</v>
          </cell>
          <cell r="AH26">
            <v>20405.401666666668</v>
          </cell>
          <cell r="AI26">
            <v>69633.564666666673</v>
          </cell>
          <cell r="AJ26">
            <v>-1485.8920000000001</v>
          </cell>
          <cell r="AK26">
            <v>0</v>
          </cell>
          <cell r="AL26">
            <v>97776.37033333334</v>
          </cell>
          <cell r="AM26">
            <v>-3827.4680000000003</v>
          </cell>
          <cell r="AN26">
            <v>-778.35900000000004</v>
          </cell>
          <cell r="AO26">
            <v>-7573.549</v>
          </cell>
          <cell r="AP26">
            <v>-191.5</v>
          </cell>
          <cell r="AQ26">
            <v>-391.20500000000004</v>
          </cell>
          <cell r="AR26">
            <v>-32056.885000000002</v>
          </cell>
          <cell r="AS26">
            <v>0</v>
          </cell>
          <cell r="AT26">
            <v>0</v>
          </cell>
          <cell r="AU26">
            <v>-15296.092999999997</v>
          </cell>
          <cell r="AV26">
            <v>-60115.058999999994</v>
          </cell>
        </row>
        <row r="27">
          <cell r="D27">
            <v>-1808305.9216070876</v>
          </cell>
          <cell r="E27">
            <v>-1854523.5144980974</v>
          </cell>
          <cell r="F27">
            <v>-88266.654782684869</v>
          </cell>
          <cell r="G27">
            <v>-258385.14576798052</v>
          </cell>
          <cell r="H27">
            <v>-174368.27921414006</v>
          </cell>
          <cell r="I27">
            <v>-130988.55314384063</v>
          </cell>
          <cell r="J27">
            <v>-99466.257659771058</v>
          </cell>
          <cell r="K27">
            <v>-33579.220078952087</v>
          </cell>
          <cell r="L27">
            <v>-120201.38651349198</v>
          </cell>
          <cell r="M27">
            <v>-117262.29600692287</v>
          </cell>
          <cell r="N27">
            <v>-99142.484135518956</v>
          </cell>
          <cell r="O27">
            <v>-115092.61201377885</v>
          </cell>
          <cell r="P27">
            <v>-106149.06552408886</v>
          </cell>
          <cell r="Q27">
            <v>-120875.54577015503</v>
          </cell>
          <cell r="R27">
            <v>-154551.42403262324</v>
          </cell>
          <cell r="S27">
            <v>-90282.978411085263</v>
          </cell>
          <cell r="T27">
            <v>-20251.216291053155</v>
          </cell>
          <cell r="U27">
            <v>-13209.295498361709</v>
          </cell>
          <cell r="V27">
            <v>-15398.706674789632</v>
          </cell>
          <cell r="W27">
            <v>0</v>
          </cell>
          <cell r="X27">
            <v>0</v>
          </cell>
          <cell r="Y27">
            <v>0</v>
          </cell>
          <cell r="Z27">
            <v>-1757471.1215192387</v>
          </cell>
          <cell r="AA27">
            <v>-46217.592891015433</v>
          </cell>
          <cell r="AB27">
            <v>9503.8903919157783</v>
          </cell>
          <cell r="AC27">
            <v>-100774.74953253017</v>
          </cell>
          <cell r="AD27">
            <v>2774.7477194381318</v>
          </cell>
          <cell r="AE27">
            <v>-88496.111421176262</v>
          </cell>
          <cell r="AF27">
            <v>9223.2960000000003</v>
          </cell>
          <cell r="AG27">
            <v>0</v>
          </cell>
          <cell r="AH27">
            <v>20405.401666666668</v>
          </cell>
          <cell r="AI27">
            <v>69633.564666666673</v>
          </cell>
          <cell r="AJ27">
            <v>-1485.8920000000001</v>
          </cell>
          <cell r="AK27">
            <v>0</v>
          </cell>
          <cell r="AL27">
            <v>97776.37033333334</v>
          </cell>
          <cell r="AM27">
            <v>-3827.4680000000003</v>
          </cell>
          <cell r="AN27">
            <v>-778.35900000000004</v>
          </cell>
          <cell r="AO27">
            <v>-7573.549</v>
          </cell>
          <cell r="AP27">
            <v>-191.5</v>
          </cell>
          <cell r="AQ27">
            <v>-391.20500000000004</v>
          </cell>
          <cell r="AR27">
            <v>-32056.885000000002</v>
          </cell>
          <cell r="AS27">
            <v>0</v>
          </cell>
          <cell r="AT27">
            <v>0</v>
          </cell>
          <cell r="AU27">
            <v>-15296.092999999997</v>
          </cell>
          <cell r="AV27">
            <v>-60115.058999999994</v>
          </cell>
        </row>
        <row r="28">
          <cell r="E28">
            <v>-5.5879354476928711E-9</v>
          </cell>
          <cell r="F28">
            <v>0</v>
          </cell>
          <cell r="G28">
            <v>0</v>
          </cell>
          <cell r="H28">
            <v>0</v>
          </cell>
          <cell r="I28">
            <v>0</v>
          </cell>
          <cell r="J28">
            <v>0</v>
          </cell>
          <cell r="K28">
            <v>0</v>
          </cell>
          <cell r="L28">
            <v>0</v>
          </cell>
          <cell r="M28">
            <v>0</v>
          </cell>
          <cell r="N28">
            <v>0</v>
          </cell>
          <cell r="O28">
            <v>0</v>
          </cell>
          <cell r="P28">
            <v>0</v>
          </cell>
          <cell r="Q28">
            <v>0</v>
          </cell>
          <cell r="R28">
            <v>0</v>
          </cell>
          <cell r="S28">
            <v>0</v>
          </cell>
          <cell r="T28">
            <v>0</v>
          </cell>
          <cell r="U28">
            <v>0</v>
          </cell>
          <cell r="V28">
            <v>0</v>
          </cell>
          <cell r="W28">
            <v>0</v>
          </cell>
          <cell r="X28">
            <v>0</v>
          </cell>
          <cell r="Y28">
            <v>0</v>
          </cell>
          <cell r="Z28">
            <v>-3.4924596548080444E-9</v>
          </cell>
          <cell r="AA28">
            <v>0</v>
          </cell>
          <cell r="AB28">
            <v>0</v>
          </cell>
          <cell r="AC28">
            <v>0</v>
          </cell>
          <cell r="AD28">
            <v>0</v>
          </cell>
          <cell r="AF28">
            <v>0</v>
          </cell>
          <cell r="AG28">
            <v>0</v>
          </cell>
          <cell r="AH28">
            <v>0</v>
          </cell>
          <cell r="AI28">
            <v>0</v>
          </cell>
          <cell r="AJ28">
            <v>0</v>
          </cell>
          <cell r="AK28">
            <v>0</v>
          </cell>
          <cell r="AL28">
            <v>0</v>
          </cell>
          <cell r="AM28">
            <v>0</v>
          </cell>
          <cell r="AN28">
            <v>0</v>
          </cell>
          <cell r="AO28">
            <v>0</v>
          </cell>
          <cell r="AP28">
            <v>0</v>
          </cell>
          <cell r="AQ28">
            <v>0</v>
          </cell>
          <cell r="AR28">
            <v>0</v>
          </cell>
          <cell r="AS28">
            <v>0</v>
          </cell>
          <cell r="AT28">
            <v>0</v>
          </cell>
          <cell r="AU28">
            <v>0</v>
          </cell>
          <cell r="AV28">
            <v>0</v>
          </cell>
        </row>
        <row r="30">
          <cell r="E30">
            <v>271758.12694638694</v>
          </cell>
          <cell r="F30">
            <v>29000</v>
          </cell>
          <cell r="G30">
            <v>25000</v>
          </cell>
          <cell r="H30">
            <v>10000</v>
          </cell>
          <cell r="I30">
            <v>8000</v>
          </cell>
          <cell r="J30">
            <v>18000</v>
          </cell>
          <cell r="K30">
            <v>18000</v>
          </cell>
          <cell r="L30">
            <v>7000</v>
          </cell>
          <cell r="M30">
            <v>19000</v>
          </cell>
          <cell r="N30">
            <v>6000</v>
          </cell>
          <cell r="O30">
            <v>8499.9999999999945</v>
          </cell>
          <cell r="P30">
            <v>6500</v>
          </cell>
          <cell r="Q30">
            <v>7500</v>
          </cell>
          <cell r="R30">
            <v>10000</v>
          </cell>
          <cell r="S30">
            <v>5000</v>
          </cell>
          <cell r="T30">
            <v>2500</v>
          </cell>
          <cell r="U30">
            <v>3000</v>
          </cell>
          <cell r="V30">
            <v>6000</v>
          </cell>
          <cell r="W30">
            <v>0</v>
          </cell>
          <cell r="X30">
            <v>0</v>
          </cell>
          <cell r="Y30">
            <v>0</v>
          </cell>
          <cell r="Z30">
            <v>189000</v>
          </cell>
          <cell r="AA30">
            <v>8000</v>
          </cell>
          <cell r="AB30">
            <v>36787.406666666662</v>
          </cell>
          <cell r="AC30">
            <v>18217.239999999998</v>
          </cell>
          <cell r="AD30">
            <v>19753.480279720279</v>
          </cell>
          <cell r="AE30">
            <v>74758.126946386939</v>
          </cell>
          <cell r="AF30">
            <v>0</v>
          </cell>
          <cell r="AG30">
            <v>0</v>
          </cell>
          <cell r="AH30">
            <v>0</v>
          </cell>
          <cell r="AI30">
            <v>0</v>
          </cell>
          <cell r="AJ30">
            <v>0</v>
          </cell>
          <cell r="AK30">
            <v>0</v>
          </cell>
          <cell r="AL30">
            <v>0</v>
          </cell>
          <cell r="AM30">
            <v>0</v>
          </cell>
          <cell r="AN30">
            <v>0</v>
          </cell>
          <cell r="AO30">
            <v>0</v>
          </cell>
          <cell r="AP30">
            <v>0</v>
          </cell>
          <cell r="AQ30">
            <v>0</v>
          </cell>
          <cell r="AR30">
            <v>0</v>
          </cell>
          <cell r="AS30">
            <v>0</v>
          </cell>
          <cell r="AT30">
            <v>0</v>
          </cell>
          <cell r="AU30">
            <v>0</v>
          </cell>
          <cell r="AV30">
            <v>0</v>
          </cell>
        </row>
        <row r="31">
          <cell r="D31" t="str">
            <v>매출</v>
          </cell>
          <cell r="E31">
            <v>28263977.401218042</v>
          </cell>
          <cell r="F31">
            <v>2871984.6189999999</v>
          </cell>
          <cell r="G31">
            <v>2502850.4854545388</v>
          </cell>
          <cell r="H31">
            <v>945669.54529999988</v>
          </cell>
          <cell r="I31">
            <v>803957.68260000006</v>
          </cell>
          <cell r="J31">
            <v>1941155.9210999999</v>
          </cell>
          <cell r="K31">
            <v>1801125.00073</v>
          </cell>
          <cell r="L31">
            <v>660572.64732000011</v>
          </cell>
          <cell r="M31">
            <v>1898396.4236599999</v>
          </cell>
          <cell r="N31">
            <v>574436.81499999994</v>
          </cell>
          <cell r="O31">
            <v>837698.42295624036</v>
          </cell>
          <cell r="P31">
            <v>592432.12844999996</v>
          </cell>
          <cell r="Q31">
            <v>783852.48919999995</v>
          </cell>
          <cell r="R31">
            <v>987183.15999999992</v>
          </cell>
          <cell r="S31">
            <v>510154.48999999987</v>
          </cell>
          <cell r="T31">
            <v>289458.89399999997</v>
          </cell>
          <cell r="U31">
            <v>344317.58504399995</v>
          </cell>
          <cell r="V31">
            <v>727365.72</v>
          </cell>
          <cell r="W31">
            <v>0</v>
          </cell>
          <cell r="X31">
            <v>0</v>
          </cell>
          <cell r="Y31">
            <v>0</v>
          </cell>
          <cell r="Z31">
            <v>19072612.02981478</v>
          </cell>
          <cell r="AA31">
            <v>7664843.438000001</v>
          </cell>
          <cell r="AB31">
            <v>477211.91000000003</v>
          </cell>
          <cell r="AC31">
            <v>367708.36</v>
          </cell>
          <cell r="AD31">
            <v>562768.33006993018</v>
          </cell>
          <cell r="AE31">
            <v>1407688.6000699303</v>
          </cell>
          <cell r="AF31">
            <v>12500</v>
          </cell>
          <cell r="AG31">
            <v>0</v>
          </cell>
          <cell r="AH31">
            <v>29166.666666666668</v>
          </cell>
          <cell r="AI31">
            <v>75396.666666666672</v>
          </cell>
          <cell r="AJ31">
            <v>0</v>
          </cell>
          <cell r="AK31">
            <v>0</v>
          </cell>
          <cell r="AL31">
            <v>117063.33333333334</v>
          </cell>
          <cell r="AM31">
            <v>0</v>
          </cell>
          <cell r="AN31">
            <v>0</v>
          </cell>
          <cell r="AO31">
            <v>0</v>
          </cell>
          <cell r="AP31">
            <v>0</v>
          </cell>
          <cell r="AQ31">
            <v>0</v>
          </cell>
          <cell r="AR31">
            <v>0</v>
          </cell>
          <cell r="AS31">
            <v>0</v>
          </cell>
          <cell r="AT31">
            <v>0</v>
          </cell>
          <cell r="AU31">
            <v>1770</v>
          </cell>
          <cell r="AV31">
            <v>1770</v>
          </cell>
        </row>
        <row r="32">
          <cell r="D32" t="str">
            <v>매출원가</v>
          </cell>
          <cell r="E32">
            <v>27319561.026958186</v>
          </cell>
          <cell r="F32">
            <v>2626057.2752188821</v>
          </cell>
          <cell r="G32">
            <v>2462502.998130329</v>
          </cell>
          <cell r="H32">
            <v>980725.37719972129</v>
          </cell>
          <cell r="I32">
            <v>821294.52709069627</v>
          </cell>
          <cell r="J32">
            <v>1792834.6997356671</v>
          </cell>
          <cell r="K32">
            <v>1605188.2248038636</v>
          </cell>
          <cell r="L32">
            <v>682826.16957829054</v>
          </cell>
          <cell r="M32">
            <v>1781346.3685106181</v>
          </cell>
          <cell r="N32">
            <v>589065.56909710297</v>
          </cell>
          <cell r="O32">
            <v>843952.34585208865</v>
          </cell>
          <cell r="P32">
            <v>610509.40061264823</v>
          </cell>
          <cell r="Q32">
            <v>798412.47296815808</v>
          </cell>
          <cell r="R32">
            <v>999402.82436554402</v>
          </cell>
          <cell r="S32">
            <v>520853.89495328284</v>
          </cell>
          <cell r="T32">
            <v>269960.07541535253</v>
          </cell>
          <cell r="U32">
            <v>313223.73102748237</v>
          </cell>
          <cell r="V32">
            <v>659003.72168781504</v>
          </cell>
          <cell r="W32">
            <v>0</v>
          </cell>
          <cell r="X32">
            <v>0</v>
          </cell>
          <cell r="Y32">
            <v>0</v>
          </cell>
          <cell r="Z32">
            <v>18357159.676247548</v>
          </cell>
          <cell r="AA32">
            <v>7497045.0560000008</v>
          </cell>
          <cell r="AB32">
            <v>450718.71096111112</v>
          </cell>
          <cell r="AC32">
            <v>455392.25683333346</v>
          </cell>
          <cell r="AD32">
            <v>539958.36391619162</v>
          </cell>
          <cell r="AE32">
            <v>1446069.3317106362</v>
          </cell>
          <cell r="AF32">
            <v>3276.7039999999997</v>
          </cell>
          <cell r="AG32">
            <v>0</v>
          </cell>
          <cell r="AH32">
            <v>8761.2649999999994</v>
          </cell>
          <cell r="AI32">
            <v>5763.1019999999999</v>
          </cell>
          <cell r="AJ32">
            <v>1485.8920000000001</v>
          </cell>
          <cell r="AK32">
            <v>0</v>
          </cell>
          <cell r="AL32">
            <v>19286.963</v>
          </cell>
          <cell r="AM32">
            <v>0</v>
          </cell>
          <cell r="AN32">
            <v>0</v>
          </cell>
          <cell r="AO32">
            <v>0</v>
          </cell>
          <cell r="AP32">
            <v>0</v>
          </cell>
          <cell r="AQ32">
            <v>0</v>
          </cell>
          <cell r="AR32">
            <v>0</v>
          </cell>
          <cell r="AS32">
            <v>0</v>
          </cell>
          <cell r="AT32">
            <v>0</v>
          </cell>
          <cell r="AU32">
            <v>0</v>
          </cell>
          <cell r="AV32">
            <v>0</v>
          </cell>
        </row>
        <row r="33">
          <cell r="D33" t="str">
            <v>매출이익</v>
          </cell>
          <cell r="E33">
            <v>944416.37425985921</v>
          </cell>
          <cell r="F33">
            <v>245927.34378111782</v>
          </cell>
          <cell r="G33">
            <v>40347.487324209884</v>
          </cell>
          <cell r="H33">
            <v>-35055.831899721408</v>
          </cell>
          <cell r="I33">
            <v>-17336.84449069621</v>
          </cell>
          <cell r="J33">
            <v>148321.22136433283</v>
          </cell>
          <cell r="K33">
            <v>195936.77592613641</v>
          </cell>
          <cell r="L33">
            <v>-22253.522258290439</v>
          </cell>
          <cell r="M33">
            <v>117050.05514938175</v>
          </cell>
          <cell r="N33">
            <v>-14628.754097103025</v>
          </cell>
          <cell r="O33">
            <v>-6253.9228958482854</v>
          </cell>
          <cell r="P33">
            <v>-18077.272162648267</v>
          </cell>
          <cell r="Q33">
            <v>-14559.983768158127</v>
          </cell>
          <cell r="R33">
            <v>-12219.6643655441</v>
          </cell>
          <cell r="S33">
            <v>-10699.404953282967</v>
          </cell>
          <cell r="T33">
            <v>19498.818584647437</v>
          </cell>
          <cell r="U33">
            <v>31093.85401651758</v>
          </cell>
          <cell r="V33">
            <v>68361.998312184936</v>
          </cell>
          <cell r="W33">
            <v>0</v>
          </cell>
          <cell r="X33">
            <v>0</v>
          </cell>
          <cell r="Y33">
            <v>0</v>
          </cell>
          <cell r="Z33">
            <v>715452.35356723145</v>
          </cell>
          <cell r="AA33">
            <v>167798.38200000022</v>
          </cell>
          <cell r="AB33">
            <v>26493.19903888891</v>
          </cell>
          <cell r="AC33">
            <v>-87683.896833333478</v>
          </cell>
          <cell r="AD33">
            <v>22809.966153738555</v>
          </cell>
          <cell r="AE33">
            <v>-38380.731640705839</v>
          </cell>
          <cell r="AF33">
            <v>9223.2960000000003</v>
          </cell>
          <cell r="AG33">
            <v>0</v>
          </cell>
          <cell r="AH33">
            <v>20405.401666666668</v>
          </cell>
          <cell r="AI33">
            <v>69633.564666666673</v>
          </cell>
          <cell r="AJ33">
            <v>-1485.8920000000001</v>
          </cell>
          <cell r="AK33">
            <v>0</v>
          </cell>
          <cell r="AL33">
            <v>97776.37033333334</v>
          </cell>
          <cell r="AM33">
            <v>0</v>
          </cell>
          <cell r="AN33">
            <v>0</v>
          </cell>
          <cell r="AO33">
            <v>0</v>
          </cell>
          <cell r="AP33">
            <v>0</v>
          </cell>
          <cell r="AQ33">
            <v>0</v>
          </cell>
          <cell r="AR33">
            <v>0</v>
          </cell>
          <cell r="AS33">
            <v>0</v>
          </cell>
          <cell r="AT33">
            <v>0</v>
          </cell>
          <cell r="AU33">
            <v>1770</v>
          </cell>
          <cell r="AV33">
            <v>1770</v>
          </cell>
        </row>
        <row r="34">
          <cell r="D34" t="str">
            <v>판관비</v>
          </cell>
          <cell r="E34">
            <v>2798939.8887579609</v>
          </cell>
          <cell r="F34">
            <v>334193.99856380268</v>
          </cell>
          <cell r="G34">
            <v>298732.63309219031</v>
          </cell>
          <cell r="H34">
            <v>139312.44731441859</v>
          </cell>
          <cell r="I34">
            <v>113651.70865314444</v>
          </cell>
          <cell r="J34">
            <v>247787.4790241039</v>
          </cell>
          <cell r="K34">
            <v>229515.9960050885</v>
          </cell>
          <cell r="L34">
            <v>97947.864255201581</v>
          </cell>
          <cell r="M34">
            <v>234312.35115630462</v>
          </cell>
          <cell r="N34">
            <v>84513.73003841599</v>
          </cell>
          <cell r="O34">
            <v>108838.68911793063</v>
          </cell>
          <cell r="P34">
            <v>88071.793361440621</v>
          </cell>
          <cell r="Q34">
            <v>106315.56200199685</v>
          </cell>
          <cell r="R34">
            <v>142331.7596670792</v>
          </cell>
          <cell r="S34">
            <v>79583.573457802297</v>
          </cell>
          <cell r="T34">
            <v>39750.034875700578</v>
          </cell>
          <cell r="U34">
            <v>44303.149514879296</v>
          </cell>
          <cell r="V34">
            <v>83760.704986974597</v>
          </cell>
          <cell r="W34">
            <v>0</v>
          </cell>
          <cell r="X34">
            <v>0</v>
          </cell>
          <cell r="Y34">
            <v>0</v>
          </cell>
          <cell r="Z34">
            <v>2472923.4750864748</v>
          </cell>
          <cell r="AA34">
            <v>214015.97489101565</v>
          </cell>
          <cell r="AB34">
            <v>16989.308646973132</v>
          </cell>
          <cell r="AC34">
            <v>13090.85269919669</v>
          </cell>
          <cell r="AD34">
            <v>20035.218434300379</v>
          </cell>
          <cell r="AE34">
            <v>50115.379780470204</v>
          </cell>
          <cell r="AF34">
            <v>0</v>
          </cell>
          <cell r="AG34">
            <v>0</v>
          </cell>
          <cell r="AH34">
            <v>0</v>
          </cell>
          <cell r="AI34">
            <v>0</v>
          </cell>
          <cell r="AJ34">
            <v>0</v>
          </cell>
          <cell r="AK34">
            <v>0</v>
          </cell>
          <cell r="AL34">
            <v>0</v>
          </cell>
          <cell r="AM34">
            <v>3827.4680000000003</v>
          </cell>
          <cell r="AN34">
            <v>778.35900000000004</v>
          </cell>
          <cell r="AO34">
            <v>7573.549</v>
          </cell>
          <cell r="AP34">
            <v>191.5</v>
          </cell>
          <cell r="AQ34">
            <v>391.20500000000004</v>
          </cell>
          <cell r="AR34">
            <v>32056.885000000002</v>
          </cell>
          <cell r="AS34">
            <v>0</v>
          </cell>
          <cell r="AT34">
            <v>0</v>
          </cell>
          <cell r="AU34">
            <v>17066.092999999997</v>
          </cell>
          <cell r="AV34">
            <v>61885.058999999994</v>
          </cell>
        </row>
        <row r="35">
          <cell r="D35" t="str">
            <v>영업이익</v>
          </cell>
          <cell r="E35">
            <v>-1854523.5144981013</v>
          </cell>
          <cell r="F35">
            <v>-88266.654782684869</v>
          </cell>
          <cell r="G35">
            <v>-258385.14576798043</v>
          </cell>
          <cell r="H35">
            <v>-174368.27921414</v>
          </cell>
          <cell r="I35">
            <v>-130988.55314384065</v>
          </cell>
          <cell r="J35">
            <v>-99466.257659771072</v>
          </cell>
          <cell r="K35">
            <v>-33579.220078952087</v>
          </cell>
          <cell r="L35">
            <v>-120201.38651349202</v>
          </cell>
          <cell r="M35">
            <v>-117262.29600692287</v>
          </cell>
          <cell r="N35">
            <v>-99142.484135519015</v>
          </cell>
          <cell r="O35">
            <v>-115092.61201377891</v>
          </cell>
          <cell r="P35">
            <v>-106149.06552408889</v>
          </cell>
          <cell r="Q35">
            <v>-120875.54577015497</v>
          </cell>
          <cell r="R35">
            <v>-154551.4240326233</v>
          </cell>
          <cell r="S35">
            <v>-90282.978411085263</v>
          </cell>
          <cell r="T35">
            <v>-20251.216291053141</v>
          </cell>
          <cell r="U35">
            <v>-13209.295498361716</v>
          </cell>
          <cell r="V35">
            <v>-15398.706674789661</v>
          </cell>
          <cell r="W35">
            <v>0</v>
          </cell>
          <cell r="X35">
            <v>0</v>
          </cell>
          <cell r="Y35">
            <v>0</v>
          </cell>
          <cell r="Z35">
            <v>-1757471.1215192433</v>
          </cell>
          <cell r="AA35">
            <v>-46217.592891015433</v>
          </cell>
          <cell r="AB35">
            <v>9503.8903919157783</v>
          </cell>
          <cell r="AC35">
            <v>-100774.74953253017</v>
          </cell>
          <cell r="AD35">
            <v>2774.7477194381754</v>
          </cell>
          <cell r="AE35">
            <v>-88496.111421176043</v>
          </cell>
          <cell r="AF35">
            <v>9223.2960000000003</v>
          </cell>
          <cell r="AG35">
            <v>0</v>
          </cell>
          <cell r="AH35">
            <v>20405.401666666668</v>
          </cell>
          <cell r="AI35">
            <v>69633.564666666673</v>
          </cell>
          <cell r="AJ35">
            <v>-1485.8920000000001</v>
          </cell>
          <cell r="AK35">
            <v>0</v>
          </cell>
          <cell r="AL35">
            <v>97776.37033333334</v>
          </cell>
          <cell r="AM35">
            <v>-3827.4680000000003</v>
          </cell>
          <cell r="AN35">
            <v>-778.35900000000004</v>
          </cell>
          <cell r="AO35">
            <v>-7573.549</v>
          </cell>
          <cell r="AP35">
            <v>-191.5</v>
          </cell>
          <cell r="AQ35">
            <v>-391.20500000000004</v>
          </cell>
          <cell r="AR35">
            <v>-32056.885000000002</v>
          </cell>
          <cell r="AS35">
            <v>0</v>
          </cell>
          <cell r="AT35">
            <v>0</v>
          </cell>
          <cell r="AU35">
            <v>-15296.092999999997</v>
          </cell>
          <cell r="AV35">
            <v>-60115.058999999994</v>
          </cell>
        </row>
      </sheetData>
      <sheetData sheetId="3">
        <row r="6">
          <cell r="D6" t="str">
            <v>구분</v>
          </cell>
        </row>
      </sheetData>
      <sheetData sheetId="4">
        <row r="6">
          <cell r="D6" t="str">
            <v>구분</v>
          </cell>
        </row>
      </sheetData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>
        <row r="6">
          <cell r="D6" t="str">
            <v>구분</v>
          </cell>
        </row>
      </sheetData>
      <sheetData sheetId="15">
        <row r="6">
          <cell r="D6" t="str">
            <v>구분</v>
          </cell>
        </row>
      </sheetData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>
        <row r="7">
          <cell r="Z7">
            <v>3000000.3508537491</v>
          </cell>
        </row>
      </sheetData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손익검증"/>
      <sheetName val="A1피벗"/>
      <sheetName val="A1피벗매출"/>
      <sheetName val="A1raw"/>
      <sheetName val="A1raw매출액"/>
      <sheetName val="월별"/>
      <sheetName val="1월"/>
      <sheetName val="2월"/>
      <sheetName val="2월누계"/>
      <sheetName val="3월"/>
      <sheetName val="3월누계"/>
      <sheetName val="물량"/>
      <sheetName val="매출액"/>
      <sheetName val="매출원가"/>
      <sheetName val="노무비"/>
      <sheetName val="경비"/>
      <sheetName val="운반비"/>
      <sheetName val="영업공통비"/>
      <sheetName val="부문공통비"/>
      <sheetName val="본사공통비"/>
      <sheetName val="감가상각비_제조"/>
      <sheetName val="감가상각비_판매"/>
      <sheetName val="매출이익"/>
      <sheetName val="EBITDA1"/>
      <sheetName val="EBITDA2"/>
      <sheetName val="영업이익"/>
    </sheetNames>
    <sheetDataSet>
      <sheetData sheetId="0"/>
      <sheetData sheetId="1"/>
      <sheetData sheetId="2"/>
      <sheetData sheetId="3"/>
      <sheetData sheetId="4"/>
      <sheetData sheetId="5"/>
      <sheetData sheetId="6">
        <row r="6">
          <cell r="F6" t="str">
            <v>합계</v>
          </cell>
          <cell r="G6" t="str">
            <v>안양</v>
          </cell>
          <cell r="H6" t="str">
            <v>인천</v>
          </cell>
          <cell r="I6" t="str">
            <v>파주</v>
          </cell>
          <cell r="J6" t="str">
            <v>김포</v>
          </cell>
          <cell r="K6" t="str">
            <v>부산</v>
          </cell>
          <cell r="L6" t="str">
            <v>서부산</v>
          </cell>
          <cell r="M6" t="str">
            <v>김해</v>
          </cell>
          <cell r="N6" t="str">
            <v>정관</v>
          </cell>
          <cell r="O6" t="str">
            <v>양산</v>
          </cell>
          <cell r="P6" t="str">
            <v>창원</v>
          </cell>
          <cell r="Q6" t="str">
            <v>대구</v>
          </cell>
          <cell r="R6" t="str">
            <v>울산</v>
          </cell>
          <cell r="S6" t="str">
            <v>아산</v>
          </cell>
          <cell r="T6" t="str">
            <v>원주</v>
          </cell>
          <cell r="U6" t="str">
            <v>군산</v>
          </cell>
          <cell r="V6" t="str">
            <v>전주</v>
          </cell>
          <cell r="W6" t="str">
            <v>제주</v>
          </cell>
          <cell r="Z6" t="str">
            <v>레미콘직영 계</v>
          </cell>
          <cell r="AA6" t="str">
            <v>속초임대</v>
          </cell>
          <cell r="AB6" t="str">
            <v>양양임대</v>
          </cell>
          <cell r="AC6" t="str">
            <v>강릉임대</v>
          </cell>
          <cell r="AD6" t="str">
            <v>포항임대</v>
          </cell>
          <cell r="AH6" t="str">
            <v>레미콘임대 계</v>
          </cell>
          <cell r="AI6" t="str">
            <v>레미콘 총계</v>
          </cell>
          <cell r="AJ6" t="str">
            <v>부산골재</v>
          </cell>
          <cell r="AK6" t="str">
            <v>서부산골재</v>
          </cell>
          <cell r="AL6" t="str">
            <v>부산크라샤</v>
          </cell>
          <cell r="AN6" t="str">
            <v>골재 계</v>
          </cell>
          <cell r="AO6" t="str">
            <v>건자재영업</v>
          </cell>
          <cell r="AP6" t="str">
            <v>부산시그마</v>
          </cell>
          <cell r="AS6" t="str">
            <v>기타사업 계</v>
          </cell>
          <cell r="AT6" t="str">
            <v>주유소임대</v>
          </cell>
          <cell r="AU6" t="str">
            <v>부동산임대</v>
          </cell>
          <cell r="AV6" t="str">
            <v>기타임대</v>
          </cell>
          <cell r="BA6" t="str">
            <v>임대 계</v>
          </cell>
          <cell r="BB6" t="str">
            <v>공통</v>
          </cell>
          <cell r="BC6" t="str">
            <v>M기타영업</v>
          </cell>
          <cell r="BD6" t="str">
            <v>opc소급</v>
          </cell>
          <cell r="BE6" t="str">
            <v>대손</v>
          </cell>
          <cell r="BF6" t="str">
            <v>미운영 공장</v>
          </cell>
          <cell r="BG6" t="str">
            <v>퇴직금</v>
          </cell>
          <cell r="BJ6" t="str">
            <v>기타 계</v>
          </cell>
        </row>
        <row r="7">
          <cell r="G7">
            <v>30862</v>
          </cell>
          <cell r="H7">
            <v>21869</v>
          </cell>
          <cell r="I7">
            <v>7450</v>
          </cell>
          <cell r="J7">
            <v>6636</v>
          </cell>
          <cell r="K7">
            <v>21564</v>
          </cell>
          <cell r="L7">
            <v>16480</v>
          </cell>
          <cell r="M7">
            <v>4548</v>
          </cell>
          <cell r="N7">
            <v>10089</v>
          </cell>
          <cell r="O7">
            <v>5181</v>
          </cell>
          <cell r="P7">
            <v>7500</v>
          </cell>
          <cell r="Q7">
            <v>2698.5</v>
          </cell>
          <cell r="R7">
            <v>10550</v>
          </cell>
          <cell r="S7">
            <v>14503</v>
          </cell>
          <cell r="T7">
            <v>2145.5</v>
          </cell>
          <cell r="U7">
            <v>2067.5</v>
          </cell>
          <cell r="V7">
            <v>8160.5</v>
          </cell>
          <cell r="W7">
            <v>3816.5</v>
          </cell>
          <cell r="Z7">
            <v>176120.5</v>
          </cell>
          <cell r="AA7">
            <v>0</v>
          </cell>
          <cell r="AB7">
            <v>0</v>
          </cell>
          <cell r="AC7">
            <v>0</v>
          </cell>
          <cell r="AD7">
            <v>0</v>
          </cell>
          <cell r="AH7">
            <v>0</v>
          </cell>
          <cell r="AI7">
            <v>176120.5</v>
          </cell>
          <cell r="AJ7">
            <v>16354</v>
          </cell>
          <cell r="AK7">
            <v>21688</v>
          </cell>
          <cell r="AL7">
            <v>17451</v>
          </cell>
          <cell r="AN7">
            <v>55493</v>
          </cell>
          <cell r="AO7">
            <v>4969.8379999999997</v>
          </cell>
          <cell r="AP7">
            <v>0</v>
          </cell>
          <cell r="AT7">
            <v>0</v>
          </cell>
          <cell r="AU7">
            <v>0</v>
          </cell>
          <cell r="AV7">
            <v>0</v>
          </cell>
          <cell r="BA7">
            <v>0</v>
          </cell>
          <cell r="BB7">
            <v>0</v>
          </cell>
          <cell r="BC7">
            <v>0</v>
          </cell>
          <cell r="BD7">
            <v>0</v>
          </cell>
          <cell r="BE7">
            <v>0</v>
          </cell>
          <cell r="BF7">
            <v>0</v>
          </cell>
          <cell r="BG7">
            <v>0</v>
          </cell>
          <cell r="BJ7">
            <v>0</v>
          </cell>
        </row>
        <row r="8">
          <cell r="F8">
            <v>25027816.960000005</v>
          </cell>
          <cell r="G8">
            <v>3337180.9109999998</v>
          </cell>
          <cell r="H8">
            <v>2222700.1579999998</v>
          </cell>
          <cell r="I8">
            <v>749988.2</v>
          </cell>
          <cell r="J8">
            <v>651795.3679999999</v>
          </cell>
          <cell r="K8">
            <v>2569234.9</v>
          </cell>
          <cell r="L8">
            <v>1771133.41</v>
          </cell>
          <cell r="M8">
            <v>407567</v>
          </cell>
          <cell r="N8">
            <v>1019837.1</v>
          </cell>
          <cell r="O8">
            <v>506885.3</v>
          </cell>
          <cell r="P8">
            <v>760687.3</v>
          </cell>
          <cell r="Q8">
            <v>250384.46599999999</v>
          </cell>
          <cell r="R8">
            <v>1176533.7</v>
          </cell>
          <cell r="S8">
            <v>1505931.2649999999</v>
          </cell>
          <cell r="T8">
            <v>267247.8</v>
          </cell>
          <cell r="U8">
            <v>246249.85</v>
          </cell>
          <cell r="V8">
            <v>831815.35</v>
          </cell>
          <cell r="W8">
            <v>470682.86</v>
          </cell>
          <cell r="Z8">
            <v>18745854.938000005</v>
          </cell>
          <cell r="AA8">
            <v>0</v>
          </cell>
          <cell r="AB8">
            <v>0</v>
          </cell>
          <cell r="AC8">
            <v>12500</v>
          </cell>
          <cell r="AD8">
            <v>30840</v>
          </cell>
          <cell r="AH8">
            <v>43340</v>
          </cell>
          <cell r="AI8">
            <v>18789194.938000005</v>
          </cell>
          <cell r="AJ8">
            <v>471317.5</v>
          </cell>
          <cell r="AK8">
            <v>314320</v>
          </cell>
          <cell r="AL8">
            <v>344102.9</v>
          </cell>
          <cell r="AN8">
            <v>1129740.3999999999</v>
          </cell>
          <cell r="AO8">
            <v>5099886.7439999999</v>
          </cell>
          <cell r="AP8">
            <v>0</v>
          </cell>
          <cell r="AS8">
            <v>5099886.7439999999</v>
          </cell>
          <cell r="AT8">
            <v>0</v>
          </cell>
          <cell r="AU8">
            <v>6490</v>
          </cell>
          <cell r="AV8">
            <v>863.57799999999997</v>
          </cell>
          <cell r="BA8">
            <v>7353.5779999999995</v>
          </cell>
          <cell r="BB8">
            <v>0</v>
          </cell>
          <cell r="BC8">
            <v>1641.3</v>
          </cell>
          <cell r="BD8">
            <v>0</v>
          </cell>
          <cell r="BE8">
            <v>0</v>
          </cell>
          <cell r="BF8">
            <v>0</v>
          </cell>
          <cell r="BG8">
            <v>0</v>
          </cell>
          <cell r="BJ8">
            <v>1641.3</v>
          </cell>
        </row>
        <row r="9">
          <cell r="G9">
            <v>108132.36054047047</v>
          </cell>
          <cell r="H9">
            <v>101637.02766473089</v>
          </cell>
          <cell r="I9">
            <v>100669.55704697985</v>
          </cell>
          <cell r="J9">
            <v>98221.122362869181</v>
          </cell>
          <cell r="K9">
            <v>119144.63457614541</v>
          </cell>
          <cell r="L9">
            <v>107471.6875</v>
          </cell>
          <cell r="M9">
            <v>89614.555848724718</v>
          </cell>
          <cell r="N9">
            <v>101084.0618495391</v>
          </cell>
          <cell r="O9">
            <v>97835.417872997481</v>
          </cell>
          <cell r="P9">
            <v>101424.97333333334</v>
          </cell>
          <cell r="Q9">
            <v>92786.535482675565</v>
          </cell>
          <cell r="R9">
            <v>111519.78199052133</v>
          </cell>
          <cell r="S9">
            <v>103835.84534234295</v>
          </cell>
          <cell r="T9">
            <v>124562.01351666277</v>
          </cell>
          <cell r="U9">
            <v>119105.1269649335</v>
          </cell>
          <cell r="V9">
            <v>101931.90980944794</v>
          </cell>
          <cell r="W9">
            <v>123328.40560723176</v>
          </cell>
          <cell r="Z9">
            <v>106437.66590487765</v>
          </cell>
          <cell r="AA9">
            <v>0</v>
          </cell>
          <cell r="AB9">
            <v>0</v>
          </cell>
          <cell r="AC9">
            <v>0</v>
          </cell>
          <cell r="AD9">
            <v>0</v>
          </cell>
          <cell r="AH9">
            <v>0</v>
          </cell>
          <cell r="AI9">
            <v>106683.74742292921</v>
          </cell>
          <cell r="AJ9">
            <v>28819.707716766541</v>
          </cell>
          <cell r="AK9">
            <v>14492.80708225747</v>
          </cell>
          <cell r="AL9">
            <v>19718.23391209673</v>
          </cell>
          <cell r="AO9">
            <v>1026167.6022437755</v>
          </cell>
          <cell r="AP9">
            <v>0</v>
          </cell>
          <cell r="AS9">
            <v>0</v>
          </cell>
          <cell r="AT9">
            <v>0</v>
          </cell>
          <cell r="AU9">
            <v>0</v>
          </cell>
          <cell r="AV9">
            <v>0</v>
          </cell>
          <cell r="BA9">
            <v>0</v>
          </cell>
          <cell r="BB9">
            <v>0</v>
          </cell>
          <cell r="BC9">
            <v>0</v>
          </cell>
          <cell r="BD9">
            <v>0</v>
          </cell>
          <cell r="BE9">
            <v>0</v>
          </cell>
          <cell r="BF9">
            <v>0</v>
          </cell>
          <cell r="BG9">
            <v>0</v>
          </cell>
          <cell r="BJ9">
            <v>0</v>
          </cell>
        </row>
        <row r="10">
          <cell r="F10">
            <v>23449644.303679999</v>
          </cell>
          <cell r="G10">
            <v>3008962.2236500001</v>
          </cell>
          <cell r="H10">
            <v>2152576.4739399999</v>
          </cell>
          <cell r="I10">
            <v>803911.17290000001</v>
          </cell>
          <cell r="J10">
            <v>696610.64662999997</v>
          </cell>
          <cell r="K10">
            <v>2134137.5005100006</v>
          </cell>
          <cell r="L10">
            <v>1458002.79091</v>
          </cell>
          <cell r="M10">
            <v>456699.83052999992</v>
          </cell>
          <cell r="N10">
            <v>1013049.04846</v>
          </cell>
          <cell r="O10">
            <v>495985.56105000002</v>
          </cell>
          <cell r="P10">
            <v>679444.41215999995</v>
          </cell>
          <cell r="Q10">
            <v>299620.22010999999</v>
          </cell>
          <cell r="R10">
            <v>1048594.6886700001</v>
          </cell>
          <cell r="S10">
            <v>1419501.31666</v>
          </cell>
          <cell r="T10">
            <v>243806.78018</v>
          </cell>
          <cell r="U10">
            <v>220672.79605999999</v>
          </cell>
          <cell r="V10">
            <v>797378.03903999995</v>
          </cell>
          <cell r="W10">
            <v>439113.09452999994</v>
          </cell>
          <cell r="Z10">
            <v>17368066.595989998</v>
          </cell>
          <cell r="AA10">
            <v>0</v>
          </cell>
          <cell r="AB10">
            <v>0</v>
          </cell>
          <cell r="AC10">
            <v>119.852</v>
          </cell>
          <cell r="AD10">
            <v>515.29100000000005</v>
          </cell>
          <cell r="AH10">
            <v>635.14300000000003</v>
          </cell>
          <cell r="AI10">
            <v>17368701.738989998</v>
          </cell>
          <cell r="AJ10">
            <v>399490.33532000001</v>
          </cell>
          <cell r="AK10">
            <v>323152.13313000003</v>
          </cell>
          <cell r="AL10">
            <v>385930.95524000004</v>
          </cell>
          <cell r="AN10">
            <v>1108573.4236900001</v>
          </cell>
          <cell r="AO10">
            <v>4971956.6660000002</v>
          </cell>
          <cell r="AP10">
            <v>0</v>
          </cell>
          <cell r="AS10">
            <v>4971956.6660000002</v>
          </cell>
          <cell r="AT10">
            <v>173.26300000000001</v>
          </cell>
          <cell r="AU10">
            <v>239.21199999999999</v>
          </cell>
          <cell r="AV10">
            <v>0</v>
          </cell>
          <cell r="BA10">
            <v>412.47500000000002</v>
          </cell>
          <cell r="BB10">
            <v>0</v>
          </cell>
          <cell r="BC10">
            <v>0</v>
          </cell>
          <cell r="BD10">
            <v>0</v>
          </cell>
          <cell r="BE10">
            <v>0</v>
          </cell>
          <cell r="BF10">
            <v>0</v>
          </cell>
          <cell r="BG10">
            <v>0</v>
          </cell>
          <cell r="BJ10">
            <v>0</v>
          </cell>
        </row>
        <row r="11">
          <cell r="G11">
            <v>97497.317855291301</v>
          </cell>
          <cell r="H11">
            <v>98430.494029905341</v>
          </cell>
          <cell r="I11">
            <v>107907.53998657718</v>
          </cell>
          <cell r="J11">
            <v>104974.47960066305</v>
          </cell>
          <cell r="K11">
            <v>98967.60807410501</v>
          </cell>
          <cell r="L11">
            <v>88471.043137742716</v>
          </cell>
          <cell r="M11">
            <v>100417.72878847843</v>
          </cell>
          <cell r="N11">
            <v>100411.24476756863</v>
          </cell>
          <cell r="O11">
            <v>95731.627301679211</v>
          </cell>
          <cell r="P11">
            <v>90592.588287999984</v>
          </cell>
          <cell r="Q11">
            <v>111032.13641282194</v>
          </cell>
          <cell r="R11">
            <v>99392.861485308065</v>
          </cell>
          <cell r="S11">
            <v>97876.392240226167</v>
          </cell>
          <cell r="T11">
            <v>113636.34592402705</v>
          </cell>
          <cell r="U11">
            <v>106734.12143168077</v>
          </cell>
          <cell r="V11">
            <v>97711.90969180809</v>
          </cell>
          <cell r="W11">
            <v>115056.49011659897</v>
          </cell>
          <cell r="Z11">
            <v>98614.679131560479</v>
          </cell>
          <cell r="AA11">
            <v>0</v>
          </cell>
          <cell r="AB11">
            <v>0</v>
          </cell>
          <cell r="AC11">
            <v>0</v>
          </cell>
          <cell r="AD11">
            <v>0</v>
          </cell>
          <cell r="AH11">
            <v>0</v>
          </cell>
          <cell r="AI11">
            <v>98618.285429521246</v>
          </cell>
          <cell r="AJ11">
            <v>24427.683460926994</v>
          </cell>
          <cell r="AK11">
            <v>14900.043025175213</v>
          </cell>
          <cell r="AL11">
            <v>22115.119777663174</v>
          </cell>
          <cell r="AO11">
            <v>1000426.3048413248</v>
          </cell>
          <cell r="AP11">
            <v>0</v>
          </cell>
          <cell r="AS11">
            <v>0</v>
          </cell>
          <cell r="AT11">
            <v>0</v>
          </cell>
          <cell r="AU11">
            <v>0</v>
          </cell>
          <cell r="AV11">
            <v>0</v>
          </cell>
          <cell r="BA11">
            <v>0</v>
          </cell>
          <cell r="BB11">
            <v>0</v>
          </cell>
          <cell r="BC11">
            <v>0</v>
          </cell>
          <cell r="BD11">
            <v>0</v>
          </cell>
          <cell r="BE11">
            <v>0</v>
          </cell>
          <cell r="BF11">
            <v>0</v>
          </cell>
          <cell r="BG11">
            <v>0</v>
          </cell>
          <cell r="BJ11">
            <v>0</v>
          </cell>
        </row>
        <row r="12">
          <cell r="F12">
            <v>1578172.6563200057</v>
          </cell>
          <cell r="G12">
            <v>328218.68734999979</v>
          </cell>
          <cell r="H12">
            <v>70123.684059999883</v>
          </cell>
          <cell r="I12">
            <v>-53922.972900000052</v>
          </cell>
          <cell r="J12">
            <v>-44815.278630000073</v>
          </cell>
          <cell r="K12">
            <v>435097.39948999928</v>
          </cell>
          <cell r="L12">
            <v>313130.61908999993</v>
          </cell>
          <cell r="M12">
            <v>-49132.830529999919</v>
          </cell>
          <cell r="N12">
            <v>6788.0515400000149</v>
          </cell>
          <cell r="O12">
            <v>10899.73894999997</v>
          </cell>
          <cell r="P12">
            <v>81242.887840000098</v>
          </cell>
          <cell r="Q12">
            <v>-49235.754110000009</v>
          </cell>
          <cell r="R12">
            <v>127939.01132999989</v>
          </cell>
          <cell r="S12">
            <v>86429.948339999886</v>
          </cell>
          <cell r="T12">
            <v>23441.019819999987</v>
          </cell>
          <cell r="U12">
            <v>25577.053940000013</v>
          </cell>
          <cell r="V12">
            <v>34437.310960000032</v>
          </cell>
          <cell r="W12">
            <v>31569.765470000042</v>
          </cell>
          <cell r="Z12">
            <v>1377788.3420099989</v>
          </cell>
          <cell r="AA12">
            <v>0</v>
          </cell>
          <cell r="AB12">
            <v>0</v>
          </cell>
          <cell r="AC12">
            <v>12380.147999999999</v>
          </cell>
          <cell r="AD12">
            <v>30324.708999999999</v>
          </cell>
          <cell r="AH12">
            <v>42704.857000000004</v>
          </cell>
          <cell r="AI12">
            <v>1420493.1990100071</v>
          </cell>
          <cell r="AJ12">
            <v>71827.164679999987</v>
          </cell>
          <cell r="AK12">
            <v>-8832.1331300000311</v>
          </cell>
          <cell r="AL12">
            <v>-41828.055240000016</v>
          </cell>
          <cell r="AN12">
            <v>21166.976309999824</v>
          </cell>
          <cell r="AO12">
            <v>127930.07799999975</v>
          </cell>
          <cell r="AP12">
            <v>0</v>
          </cell>
          <cell r="AS12">
            <v>127930.07799999975</v>
          </cell>
          <cell r="AT12">
            <v>-173.26300000000001</v>
          </cell>
          <cell r="AU12">
            <v>6250.7880000000005</v>
          </cell>
          <cell r="AV12">
            <v>863.57799999999997</v>
          </cell>
          <cell r="BA12">
            <v>6941.103000000001</v>
          </cell>
          <cell r="BB12">
            <v>0</v>
          </cell>
          <cell r="BC12">
            <v>1641.3</v>
          </cell>
          <cell r="BD12">
            <v>0</v>
          </cell>
          <cell r="BE12">
            <v>0</v>
          </cell>
          <cell r="BF12">
            <v>0</v>
          </cell>
          <cell r="BG12">
            <v>0</v>
          </cell>
          <cell r="BJ12">
            <v>1641.3</v>
          </cell>
        </row>
        <row r="13">
          <cell r="F13">
            <v>774322.96299999999</v>
          </cell>
          <cell r="G13">
            <v>65776.680000000008</v>
          </cell>
          <cell r="H13">
            <v>61175.76</v>
          </cell>
          <cell r="I13">
            <v>42984.794000000002</v>
          </cell>
          <cell r="J13">
            <v>36701.588000000003</v>
          </cell>
          <cell r="K13">
            <v>56038.578999999998</v>
          </cell>
          <cell r="L13">
            <v>52973.938000000002</v>
          </cell>
          <cell r="M13">
            <v>31173.795000000002</v>
          </cell>
          <cell r="N13">
            <v>48376.553</v>
          </cell>
          <cell r="O13">
            <v>27342.957000000002</v>
          </cell>
          <cell r="P13">
            <v>36631.320999999996</v>
          </cell>
          <cell r="Q13">
            <v>28639.17</v>
          </cell>
          <cell r="R13">
            <v>28203.536</v>
          </cell>
          <cell r="S13">
            <v>46190.296000000002</v>
          </cell>
          <cell r="T13">
            <v>10150.014999999999</v>
          </cell>
          <cell r="U13">
            <v>11205.422</v>
          </cell>
          <cell r="V13">
            <v>28583.406999999999</v>
          </cell>
          <cell r="W13">
            <v>16354.024999999998</v>
          </cell>
          <cell r="Z13">
            <v>628501.83600000001</v>
          </cell>
          <cell r="AA13">
            <v>1806.9090000000001</v>
          </cell>
          <cell r="AB13">
            <v>283.96899999999999</v>
          </cell>
          <cell r="AC13">
            <v>0</v>
          </cell>
          <cell r="AD13">
            <v>0</v>
          </cell>
          <cell r="AH13">
            <v>2090.8780000000002</v>
          </cell>
          <cell r="AI13">
            <v>630592.71399999992</v>
          </cell>
          <cell r="AJ13">
            <v>0</v>
          </cell>
          <cell r="AK13">
            <v>0</v>
          </cell>
          <cell r="AL13">
            <v>0</v>
          </cell>
          <cell r="AN13">
            <v>0</v>
          </cell>
          <cell r="AO13">
            <v>128228.234</v>
          </cell>
          <cell r="AP13">
            <v>0</v>
          </cell>
          <cell r="AS13">
            <v>128228.234</v>
          </cell>
          <cell r="AT13">
            <v>0</v>
          </cell>
          <cell r="AU13">
            <v>0</v>
          </cell>
          <cell r="AV13">
            <v>0</v>
          </cell>
          <cell r="BA13">
            <v>0</v>
          </cell>
          <cell r="BB13">
            <v>0</v>
          </cell>
          <cell r="BC13">
            <v>0</v>
          </cell>
          <cell r="BD13">
            <v>0</v>
          </cell>
          <cell r="BE13">
            <v>0</v>
          </cell>
          <cell r="BF13">
            <v>15502.015000000001</v>
          </cell>
          <cell r="BG13">
            <v>0</v>
          </cell>
          <cell r="BJ13">
            <v>15502.015000000001</v>
          </cell>
        </row>
        <row r="14">
          <cell r="F14">
            <v>549905.93299999996</v>
          </cell>
          <cell r="G14">
            <v>47646.308000000005</v>
          </cell>
          <cell r="H14">
            <v>45523.171000000002</v>
          </cell>
          <cell r="I14">
            <v>31463.184000000001</v>
          </cell>
          <cell r="J14">
            <v>27898.223999999998</v>
          </cell>
          <cell r="K14">
            <v>32985.050999999999</v>
          </cell>
          <cell r="L14">
            <v>38343.575000000004</v>
          </cell>
          <cell r="M14">
            <v>22662.489000000001</v>
          </cell>
          <cell r="N14">
            <v>34876.372000000003</v>
          </cell>
          <cell r="O14">
            <v>20998.444</v>
          </cell>
          <cell r="P14">
            <v>27564.364999999998</v>
          </cell>
          <cell r="Q14">
            <v>22053.396999999997</v>
          </cell>
          <cell r="R14">
            <v>20361.781999999999</v>
          </cell>
          <cell r="S14">
            <v>34997.598000000005</v>
          </cell>
          <cell r="T14">
            <v>7680.5669999999991</v>
          </cell>
          <cell r="U14">
            <v>8727.49</v>
          </cell>
          <cell r="V14">
            <v>22723.550999999999</v>
          </cell>
          <cell r="W14">
            <v>11239.298999999999</v>
          </cell>
          <cell r="Z14">
            <v>457744.86699999997</v>
          </cell>
          <cell r="AA14">
            <v>0</v>
          </cell>
          <cell r="AB14">
            <v>0</v>
          </cell>
          <cell r="AC14">
            <v>0</v>
          </cell>
          <cell r="AD14">
            <v>0</v>
          </cell>
          <cell r="AH14">
            <v>0</v>
          </cell>
          <cell r="AI14">
            <v>457744.86699999997</v>
          </cell>
          <cell r="AJ14">
            <v>0</v>
          </cell>
          <cell r="AK14">
            <v>0</v>
          </cell>
          <cell r="AL14">
            <v>0</v>
          </cell>
          <cell r="AN14">
            <v>0</v>
          </cell>
          <cell r="AO14">
            <v>92161.065999999992</v>
          </cell>
          <cell r="AP14">
            <v>0</v>
          </cell>
          <cell r="AS14">
            <v>92161.065999999992</v>
          </cell>
          <cell r="AT14">
            <v>0</v>
          </cell>
          <cell r="AU14">
            <v>0</v>
          </cell>
          <cell r="AV14">
            <v>0</v>
          </cell>
          <cell r="BA14">
            <v>0</v>
          </cell>
          <cell r="BB14">
            <v>0</v>
          </cell>
          <cell r="BC14">
            <v>0</v>
          </cell>
          <cell r="BD14">
            <v>0</v>
          </cell>
          <cell r="BE14">
            <v>0</v>
          </cell>
          <cell r="BF14">
            <v>0</v>
          </cell>
          <cell r="BG14">
            <v>0</v>
          </cell>
          <cell r="BJ14">
            <v>0</v>
          </cell>
        </row>
        <row r="15">
          <cell r="F15">
            <v>224417.03000000003</v>
          </cell>
          <cell r="G15">
            <v>18130.371999999999</v>
          </cell>
          <cell r="H15">
            <v>15652.589</v>
          </cell>
          <cell r="I15">
            <v>11521.609999999999</v>
          </cell>
          <cell r="J15">
            <v>8803.3640000000014</v>
          </cell>
          <cell r="K15">
            <v>23053.527999999998</v>
          </cell>
          <cell r="L15">
            <v>14630.362999999999</v>
          </cell>
          <cell r="M15">
            <v>8511.3060000000005</v>
          </cell>
          <cell r="N15">
            <v>13500.180999999999</v>
          </cell>
          <cell r="O15">
            <v>6344.5130000000008</v>
          </cell>
          <cell r="P15">
            <v>9066.9560000000001</v>
          </cell>
          <cell r="Q15">
            <v>6585.7730000000001</v>
          </cell>
          <cell r="R15">
            <v>7841.7540000000008</v>
          </cell>
          <cell r="S15">
            <v>11192.698</v>
          </cell>
          <cell r="T15">
            <v>2469.4479999999999</v>
          </cell>
          <cell r="U15">
            <v>2477.9320000000002</v>
          </cell>
          <cell r="V15">
            <v>5859.8559999999998</v>
          </cell>
          <cell r="W15">
            <v>5114.7259999999997</v>
          </cell>
          <cell r="Z15">
            <v>170756.96900000001</v>
          </cell>
          <cell r="AA15">
            <v>1806.9090000000001</v>
          </cell>
          <cell r="AB15">
            <v>283.96899999999999</v>
          </cell>
          <cell r="AC15">
            <v>0</v>
          </cell>
          <cell r="AD15">
            <v>0</v>
          </cell>
          <cell r="AH15">
            <v>2090.8780000000002</v>
          </cell>
          <cell r="AI15">
            <v>172847.84700000001</v>
          </cell>
          <cell r="AJ15">
            <v>0</v>
          </cell>
          <cell r="AK15">
            <v>0</v>
          </cell>
          <cell r="AL15">
            <v>0</v>
          </cell>
          <cell r="AN15">
            <v>0</v>
          </cell>
          <cell r="AO15">
            <v>36067.168000000005</v>
          </cell>
          <cell r="AP15">
            <v>0</v>
          </cell>
          <cell r="AS15">
            <v>36067.168000000005</v>
          </cell>
          <cell r="AT15">
            <v>0</v>
          </cell>
          <cell r="AU15">
            <v>0</v>
          </cell>
          <cell r="AV15">
            <v>0</v>
          </cell>
          <cell r="BA15">
            <v>0</v>
          </cell>
          <cell r="BB15">
            <v>0</v>
          </cell>
          <cell r="BC15">
            <v>0</v>
          </cell>
          <cell r="BD15">
            <v>0</v>
          </cell>
          <cell r="BE15">
            <v>0</v>
          </cell>
          <cell r="BF15">
            <v>15502.015000000001</v>
          </cell>
          <cell r="BG15">
            <v>0</v>
          </cell>
          <cell r="BJ15">
            <v>15502.015000000001</v>
          </cell>
        </row>
        <row r="16">
          <cell r="F16">
            <v>0</v>
          </cell>
          <cell r="G16">
            <v>0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>
            <v>0</v>
          </cell>
          <cell r="M16">
            <v>0</v>
          </cell>
          <cell r="N16">
            <v>0</v>
          </cell>
          <cell r="O16">
            <v>0</v>
          </cell>
          <cell r="P16">
            <v>0</v>
          </cell>
          <cell r="Q16">
            <v>0</v>
          </cell>
          <cell r="R16">
            <v>0</v>
          </cell>
          <cell r="S16">
            <v>0</v>
          </cell>
          <cell r="T16">
            <v>0</v>
          </cell>
          <cell r="U16">
            <v>0</v>
          </cell>
          <cell r="V16">
            <v>0</v>
          </cell>
          <cell r="W16">
            <v>0</v>
          </cell>
          <cell r="Z16">
            <v>0</v>
          </cell>
          <cell r="AA16">
            <v>0</v>
          </cell>
          <cell r="AB16">
            <v>0</v>
          </cell>
          <cell r="AC16">
            <v>0</v>
          </cell>
          <cell r="AD16">
            <v>0</v>
          </cell>
          <cell r="AH16">
            <v>0</v>
          </cell>
          <cell r="AI16">
            <v>0</v>
          </cell>
          <cell r="AJ16">
            <v>0</v>
          </cell>
          <cell r="AK16">
            <v>0</v>
          </cell>
          <cell r="AL16">
            <v>0</v>
          </cell>
          <cell r="AN16">
            <v>0</v>
          </cell>
          <cell r="AO16">
            <v>0</v>
          </cell>
          <cell r="AP16">
            <v>0</v>
          </cell>
          <cell r="AS16">
            <v>0</v>
          </cell>
          <cell r="AT16">
            <v>0</v>
          </cell>
          <cell r="AU16">
            <v>0</v>
          </cell>
          <cell r="AV16">
            <v>0</v>
          </cell>
          <cell r="BA16">
            <v>0</v>
          </cell>
          <cell r="BB16">
            <v>0</v>
          </cell>
          <cell r="BC16">
            <v>0</v>
          </cell>
          <cell r="BD16">
            <v>0</v>
          </cell>
          <cell r="BE16">
            <v>0</v>
          </cell>
          <cell r="BF16">
            <v>0</v>
          </cell>
          <cell r="BG16">
            <v>0</v>
          </cell>
          <cell r="BJ16">
            <v>0</v>
          </cell>
        </row>
        <row r="17">
          <cell r="F17">
            <v>803849.69332000567</v>
          </cell>
          <cell r="G17">
            <v>262442.0073499998</v>
          </cell>
          <cell r="H17">
            <v>8947.9240599998811</v>
          </cell>
          <cell r="I17">
            <v>-96907.766900000046</v>
          </cell>
          <cell r="J17">
            <v>-81516.866630000077</v>
          </cell>
          <cell r="K17">
            <v>379058.82048999926</v>
          </cell>
          <cell r="L17">
            <v>260156.68108999994</v>
          </cell>
          <cell r="M17">
            <v>-80306.625529999917</v>
          </cell>
          <cell r="N17">
            <v>-41588.501459999985</v>
          </cell>
          <cell r="O17">
            <v>-16443.218050000032</v>
          </cell>
          <cell r="P17">
            <v>44611.566840000101</v>
          </cell>
          <cell r="Q17">
            <v>-77874.924110000007</v>
          </cell>
          <cell r="R17">
            <v>99735.475329999899</v>
          </cell>
          <cell r="S17">
            <v>40239.652339999884</v>
          </cell>
          <cell r="T17">
            <v>13291.004819999987</v>
          </cell>
          <cell r="U17">
            <v>14371.631940000012</v>
          </cell>
          <cell r="V17">
            <v>5853.9039600000324</v>
          </cell>
          <cell r="W17">
            <v>15215.740470000044</v>
          </cell>
          <cell r="Z17">
            <v>749286.50600999885</v>
          </cell>
          <cell r="AA17">
            <v>-1806.9090000000001</v>
          </cell>
          <cell r="AB17">
            <v>-283.96899999999999</v>
          </cell>
          <cell r="AC17">
            <v>12380.147999999999</v>
          </cell>
          <cell r="AD17">
            <v>30324.708999999999</v>
          </cell>
          <cell r="AH17">
            <v>40613.979000000007</v>
          </cell>
          <cell r="AI17">
            <v>789900.48501000716</v>
          </cell>
          <cell r="AJ17">
            <v>71827.164679999987</v>
          </cell>
          <cell r="AK17">
            <v>-8832.1331300000311</v>
          </cell>
          <cell r="AL17">
            <v>-41828.055240000016</v>
          </cell>
          <cell r="AN17">
            <v>21166.976309999824</v>
          </cell>
          <cell r="AO17">
            <v>-298.15600000025006</v>
          </cell>
          <cell r="AP17">
            <v>0</v>
          </cell>
          <cell r="AS17">
            <v>-298.15600000025006</v>
          </cell>
          <cell r="AT17">
            <v>-173.26300000000001</v>
          </cell>
          <cell r="AU17">
            <v>6250.7880000000005</v>
          </cell>
          <cell r="AV17">
            <v>863.57799999999997</v>
          </cell>
          <cell r="BA17">
            <v>6941.103000000001</v>
          </cell>
          <cell r="BB17">
            <v>0</v>
          </cell>
          <cell r="BC17">
            <v>1641.3</v>
          </cell>
          <cell r="BD17">
            <v>0</v>
          </cell>
          <cell r="BE17">
            <v>0</v>
          </cell>
          <cell r="BF17">
            <v>-15502.015000000001</v>
          </cell>
          <cell r="BG17">
            <v>0</v>
          </cell>
          <cell r="BJ17">
            <v>-13860.715000000002</v>
          </cell>
        </row>
        <row r="18">
          <cell r="F18">
            <v>713521.4053199999</v>
          </cell>
          <cell r="G18">
            <v>31209.994350000001</v>
          </cell>
          <cell r="H18">
            <v>39514.624060000002</v>
          </cell>
          <cell r="I18">
            <v>20617.492100000003</v>
          </cell>
          <cell r="J18">
            <v>18012.662370000002</v>
          </cell>
          <cell r="K18">
            <v>106645.41648999999</v>
          </cell>
          <cell r="L18">
            <v>75633.460090000008</v>
          </cell>
          <cell r="M18">
            <v>14923.628470000001</v>
          </cell>
          <cell r="N18">
            <v>24484.595539999998</v>
          </cell>
          <cell r="O18">
            <v>12667.416949999999</v>
          </cell>
          <cell r="P18">
            <v>37633.986839999998</v>
          </cell>
          <cell r="Q18">
            <v>15934.292890000001</v>
          </cell>
          <cell r="R18">
            <v>15659.05033</v>
          </cell>
          <cell r="S18">
            <v>36383.262340000008</v>
          </cell>
          <cell r="T18">
            <v>6157.2078199999996</v>
          </cell>
          <cell r="U18">
            <v>10525.863939999999</v>
          </cell>
          <cell r="V18">
            <v>21726.920959999999</v>
          </cell>
          <cell r="W18">
            <v>12577.608470000001</v>
          </cell>
          <cell r="Z18">
            <v>500307.48401000001</v>
          </cell>
          <cell r="AA18">
            <v>5731.549</v>
          </cell>
          <cell r="AB18">
            <v>0</v>
          </cell>
          <cell r="AC18">
            <v>3218.5030000000002</v>
          </cell>
          <cell r="AD18">
            <v>8222.2649999999994</v>
          </cell>
          <cell r="AH18">
            <v>17172.316999999999</v>
          </cell>
          <cell r="AI18">
            <v>517479.80100999994</v>
          </cell>
          <cell r="AJ18">
            <v>26460.79968</v>
          </cell>
          <cell r="AK18">
            <v>67217.023870000005</v>
          </cell>
          <cell r="AL18">
            <v>51000.252759999996</v>
          </cell>
          <cell r="AN18">
            <v>144678.07631</v>
          </cell>
          <cell r="AO18">
            <v>4738.5259999999998</v>
          </cell>
          <cell r="AP18">
            <v>0</v>
          </cell>
          <cell r="AS18">
            <v>4738.5259999999998</v>
          </cell>
          <cell r="AT18">
            <v>1312.8920000000001</v>
          </cell>
          <cell r="AU18">
            <v>5524.1020000000008</v>
          </cell>
          <cell r="AV18">
            <v>0</v>
          </cell>
          <cell r="BA18">
            <v>6836.9940000000006</v>
          </cell>
          <cell r="BB18">
            <v>0</v>
          </cell>
          <cell r="BC18">
            <v>18141.798999999999</v>
          </cell>
          <cell r="BD18">
            <v>0</v>
          </cell>
          <cell r="BE18">
            <v>0</v>
          </cell>
          <cell r="BF18">
            <v>21646.208999999999</v>
          </cell>
          <cell r="BG18">
            <v>0</v>
          </cell>
          <cell r="BJ18">
            <v>39788.008000000002</v>
          </cell>
        </row>
        <row r="19">
          <cell r="F19">
            <v>642179.30931999988</v>
          </cell>
          <cell r="G19">
            <v>28915.125350000002</v>
          </cell>
          <cell r="H19">
            <v>37590.155060000005</v>
          </cell>
          <cell r="I19">
            <v>18773.776100000003</v>
          </cell>
          <cell r="J19">
            <v>16820.674370000001</v>
          </cell>
          <cell r="K19">
            <v>104852.15248999999</v>
          </cell>
          <cell r="L19">
            <v>74079.391090000005</v>
          </cell>
          <cell r="M19">
            <v>14100.429470000001</v>
          </cell>
          <cell r="N19">
            <v>22921.290539999998</v>
          </cell>
          <cell r="O19">
            <v>11917.380949999999</v>
          </cell>
          <cell r="P19">
            <v>36425.55384</v>
          </cell>
          <cell r="Q19">
            <v>15121.02389</v>
          </cell>
          <cell r="R19">
            <v>14401.259330000001</v>
          </cell>
          <cell r="S19">
            <v>34819.263340000005</v>
          </cell>
          <cell r="T19">
            <v>5786.80782</v>
          </cell>
          <cell r="U19">
            <v>10082.994939999999</v>
          </cell>
          <cell r="V19">
            <v>20913.651959999999</v>
          </cell>
          <cell r="W19">
            <v>11764.339470000001</v>
          </cell>
          <cell r="Z19">
            <v>479285.27000999998</v>
          </cell>
          <cell r="AA19">
            <v>0</v>
          </cell>
          <cell r="AB19">
            <v>0</v>
          </cell>
          <cell r="AC19">
            <v>3156.7040000000002</v>
          </cell>
          <cell r="AD19">
            <v>8222.2649999999994</v>
          </cell>
          <cell r="AH19">
            <v>11378.968999999999</v>
          </cell>
          <cell r="AI19">
            <v>490664.23900999996</v>
          </cell>
          <cell r="AJ19">
            <v>26460.79968</v>
          </cell>
          <cell r="AK19">
            <v>67217.023870000005</v>
          </cell>
          <cell r="AL19">
            <v>51000.252759999996</v>
          </cell>
          <cell r="AN19">
            <v>144678.07631</v>
          </cell>
          <cell r="AO19">
            <v>0</v>
          </cell>
          <cell r="AP19">
            <v>0</v>
          </cell>
          <cell r="AS19">
            <v>0</v>
          </cell>
          <cell r="AT19">
            <v>1312.8920000000001</v>
          </cell>
          <cell r="AU19">
            <v>5524.1020000000008</v>
          </cell>
          <cell r="AV19">
            <v>0</v>
          </cell>
          <cell r="BA19">
            <v>6836.9940000000006</v>
          </cell>
          <cell r="BB19">
            <v>0</v>
          </cell>
          <cell r="BC19">
            <v>0</v>
          </cell>
          <cell r="BD19">
            <v>0</v>
          </cell>
          <cell r="BE19">
            <v>0</v>
          </cell>
          <cell r="BF19">
            <v>0</v>
          </cell>
          <cell r="BG19">
            <v>0</v>
          </cell>
          <cell r="BJ19">
            <v>0</v>
          </cell>
        </row>
        <row r="20">
          <cell r="F20">
            <v>71342.096000000005</v>
          </cell>
          <cell r="G20">
            <v>2294.8690000000001</v>
          </cell>
          <cell r="H20">
            <v>1924.4690000000001</v>
          </cell>
          <cell r="I20">
            <v>1843.7159999999999</v>
          </cell>
          <cell r="J20">
            <v>1191.9880000000001</v>
          </cell>
          <cell r="K20">
            <v>1793.2639999999999</v>
          </cell>
          <cell r="L20">
            <v>1554.069</v>
          </cell>
          <cell r="M20">
            <v>823.19899999999996</v>
          </cell>
          <cell r="N20">
            <v>1563.3050000000001</v>
          </cell>
          <cell r="O20">
            <v>750.03599999999994</v>
          </cell>
          <cell r="P20">
            <v>1208.433</v>
          </cell>
          <cell r="Q20">
            <v>813.26900000000001</v>
          </cell>
          <cell r="R20">
            <v>1257.7909999999999</v>
          </cell>
          <cell r="S20">
            <v>1563.999</v>
          </cell>
          <cell r="T20">
            <v>370.4</v>
          </cell>
          <cell r="U20">
            <v>442.86900000000003</v>
          </cell>
          <cell r="V20">
            <v>813.26900000000001</v>
          </cell>
          <cell r="W20">
            <v>813.26900000000001</v>
          </cell>
          <cell r="Z20">
            <v>21022.214000000004</v>
          </cell>
          <cell r="AA20">
            <v>5731.549</v>
          </cell>
          <cell r="AB20">
            <v>0</v>
          </cell>
          <cell r="AC20">
            <v>61.798999999999999</v>
          </cell>
          <cell r="AD20">
            <v>0</v>
          </cell>
          <cell r="AH20">
            <v>5793.348</v>
          </cell>
          <cell r="AI20">
            <v>26815.562000000005</v>
          </cell>
          <cell r="AJ20">
            <v>0</v>
          </cell>
          <cell r="AK20">
            <v>0</v>
          </cell>
          <cell r="AL20">
            <v>0</v>
          </cell>
          <cell r="AN20">
            <v>0</v>
          </cell>
          <cell r="AO20">
            <v>4738.5259999999998</v>
          </cell>
          <cell r="AP20">
            <v>0</v>
          </cell>
          <cell r="AS20">
            <v>4738.5259999999998</v>
          </cell>
          <cell r="AT20">
            <v>0</v>
          </cell>
          <cell r="AU20">
            <v>0</v>
          </cell>
          <cell r="AV20">
            <v>0</v>
          </cell>
          <cell r="BA20">
            <v>0</v>
          </cell>
          <cell r="BB20">
            <v>0</v>
          </cell>
          <cell r="BC20">
            <v>18141.798999999999</v>
          </cell>
          <cell r="BD20">
            <v>0</v>
          </cell>
          <cell r="BE20">
            <v>0</v>
          </cell>
          <cell r="BF20">
            <v>21646.208999999999</v>
          </cell>
          <cell r="BG20">
            <v>0</v>
          </cell>
          <cell r="BJ20">
            <v>39788.008000000002</v>
          </cell>
        </row>
        <row r="21">
          <cell r="F21">
            <v>90328.288000005763</v>
          </cell>
          <cell r="G21">
            <v>231232.0129999998</v>
          </cell>
          <cell r="H21">
            <v>-30566.700000000121</v>
          </cell>
          <cell r="I21">
            <v>-117525.25900000005</v>
          </cell>
          <cell r="J21">
            <v>-99529.529000000082</v>
          </cell>
          <cell r="K21">
            <v>272413.40399999928</v>
          </cell>
          <cell r="L21">
            <v>184523.22099999993</v>
          </cell>
          <cell r="M21">
            <v>-95230.253999999914</v>
          </cell>
          <cell r="N21">
            <v>-66073.09699999998</v>
          </cell>
          <cell r="O21">
            <v>-29110.635000000031</v>
          </cell>
          <cell r="P21">
            <v>6977.5800000001036</v>
          </cell>
          <cell r="Q21">
            <v>-93809.217000000004</v>
          </cell>
          <cell r="R21">
            <v>84076.424999999901</v>
          </cell>
          <cell r="S21">
            <v>3856.3899999998757</v>
          </cell>
          <cell r="T21">
            <v>7133.7969999999877</v>
          </cell>
          <cell r="U21">
            <v>3845.7680000000128</v>
          </cell>
          <cell r="V21">
            <v>-15873.016999999967</v>
          </cell>
          <cell r="W21">
            <v>2638.1320000000433</v>
          </cell>
          <cell r="Z21">
            <v>248979.02199999883</v>
          </cell>
          <cell r="AA21">
            <v>-7538.4580000000005</v>
          </cell>
          <cell r="AB21">
            <v>-283.96899999999999</v>
          </cell>
          <cell r="AC21">
            <v>9161.6449999999986</v>
          </cell>
          <cell r="AD21">
            <v>22102.444</v>
          </cell>
          <cell r="AH21">
            <v>23441.662000000008</v>
          </cell>
          <cell r="AI21">
            <v>272420.68400000723</v>
          </cell>
          <cell r="AJ21">
            <v>45366.364999999991</v>
          </cell>
          <cell r="AK21">
            <v>-76049.157000000036</v>
          </cell>
          <cell r="AL21">
            <v>-92828.308000000019</v>
          </cell>
          <cell r="AN21">
            <v>-123511.10000000018</v>
          </cell>
          <cell r="AO21">
            <v>-5036.6820000002499</v>
          </cell>
          <cell r="AP21">
            <v>0</v>
          </cell>
          <cell r="AS21">
            <v>-5036.6820000002499</v>
          </cell>
          <cell r="AT21">
            <v>-1486.155</v>
          </cell>
          <cell r="AU21">
            <v>726.68599999999969</v>
          </cell>
          <cell r="AV21">
            <v>863.57799999999997</v>
          </cell>
          <cell r="BA21">
            <v>104.10900000000038</v>
          </cell>
          <cell r="BB21">
            <v>0</v>
          </cell>
          <cell r="BC21">
            <v>-16500.499</v>
          </cell>
          <cell r="BD21">
            <v>0</v>
          </cell>
          <cell r="BE21">
            <v>0</v>
          </cell>
          <cell r="BF21">
            <v>-37148.224000000002</v>
          </cell>
          <cell r="BG21">
            <v>0</v>
          </cell>
          <cell r="BJ21">
            <v>-53648.723000000005</v>
          </cell>
        </row>
        <row r="22">
          <cell r="F22">
            <v>1331969.9930019313</v>
          </cell>
          <cell r="G22">
            <v>216158.42839094769</v>
          </cell>
          <cell r="H22">
            <v>143970.43065718026</v>
          </cell>
          <cell r="I22">
            <v>48578.807966145578</v>
          </cell>
          <cell r="J22">
            <v>42218.586926161217</v>
          </cell>
          <cell r="K22">
            <v>177712.23497632638</v>
          </cell>
          <cell r="L22">
            <v>122508.09637232556</v>
          </cell>
          <cell r="M22">
            <v>28191.132882632264</v>
          </cell>
          <cell r="N22">
            <v>70541.44031469262</v>
          </cell>
          <cell r="O22">
            <v>35060.91231270667</v>
          </cell>
          <cell r="P22">
            <v>52616.224464764709</v>
          </cell>
          <cell r="Q22">
            <v>17318.923643849772</v>
          </cell>
          <cell r="R22">
            <v>81380.037828369328</v>
          </cell>
          <cell r="S22">
            <v>97543.328991909046</v>
          </cell>
          <cell r="T22">
            <v>17310.37842405371</v>
          </cell>
          <cell r="U22">
            <v>15950.28318424497</v>
          </cell>
          <cell r="V22">
            <v>53878.978563852303</v>
          </cell>
          <cell r="W22">
            <v>30487.42936075019</v>
          </cell>
          <cell r="Z22">
            <v>1251425.6552609121</v>
          </cell>
          <cell r="AA22">
            <v>0</v>
          </cell>
          <cell r="AB22">
            <v>0</v>
          </cell>
          <cell r="AC22">
            <v>0</v>
          </cell>
          <cell r="AD22">
            <v>0</v>
          </cell>
          <cell r="AH22">
            <v>0</v>
          </cell>
          <cell r="AI22">
            <v>1251425.6552609121</v>
          </cell>
          <cell r="AJ22">
            <v>19510.194120755397</v>
          </cell>
          <cell r="AK22">
            <v>13011.280540263911</v>
          </cell>
          <cell r="AL22">
            <v>14244.14408</v>
          </cell>
          <cell r="AN22">
            <v>46765.618741019309</v>
          </cell>
          <cell r="AO22">
            <v>33778.718999999997</v>
          </cell>
          <cell r="AP22">
            <v>0</v>
          </cell>
          <cell r="AS22">
            <v>33778.718999999997</v>
          </cell>
          <cell r="AT22">
            <v>0</v>
          </cell>
          <cell r="AU22">
            <v>0</v>
          </cell>
          <cell r="AV22">
            <v>0</v>
          </cell>
          <cell r="BA22">
            <v>0</v>
          </cell>
          <cell r="BB22">
            <v>0</v>
          </cell>
          <cell r="BC22">
            <v>0</v>
          </cell>
          <cell r="BD22">
            <v>0</v>
          </cell>
          <cell r="BE22">
            <v>0</v>
          </cell>
          <cell r="BF22">
            <v>0</v>
          </cell>
          <cell r="BG22">
            <v>0</v>
          </cell>
          <cell r="BJ22">
            <v>0</v>
          </cell>
        </row>
        <row r="23">
          <cell r="F23">
            <v>184579.42700193182</v>
          </cell>
          <cell r="G23">
            <v>11897.278020325697</v>
          </cell>
          <cell r="H23">
            <v>7924.0779690375775</v>
          </cell>
          <cell r="I23">
            <v>2673.7591893661747</v>
          </cell>
          <cell r="J23">
            <v>2323.6950325035878</v>
          </cell>
          <cell r="K23">
            <v>20455.289595713799</v>
          </cell>
          <cell r="L23">
            <v>14101.10333399025</v>
          </cell>
          <cell r="M23">
            <v>3244.896375437017</v>
          </cell>
          <cell r="N23">
            <v>8119.5624506552258</v>
          </cell>
          <cell r="O23">
            <v>4035.6316206471697</v>
          </cell>
          <cell r="P23">
            <v>6056.3084415837657</v>
          </cell>
          <cell r="Q23">
            <v>1993.4676904389537</v>
          </cell>
          <cell r="R23">
            <v>9367.1223104655255</v>
          </cell>
          <cell r="S23">
            <v>5368.7478794300741</v>
          </cell>
          <cell r="T23">
            <v>952.75667148882292</v>
          </cell>
          <cell r="U23">
            <v>877.89754467809246</v>
          </cell>
          <cell r="V23">
            <v>2965.478571420645</v>
          </cell>
          <cell r="W23">
            <v>1678.0165637301398</v>
          </cell>
          <cell r="Z23">
            <v>104035.08926091251</v>
          </cell>
          <cell r="AA23">
            <v>0</v>
          </cell>
          <cell r="AB23">
            <v>0</v>
          </cell>
          <cell r="AC23">
            <v>0</v>
          </cell>
          <cell r="AD23">
            <v>0</v>
          </cell>
          <cell r="AH23">
            <v>0</v>
          </cell>
          <cell r="AI23">
            <v>104035.08926091251</v>
          </cell>
          <cell r="AJ23">
            <v>19510.194120755397</v>
          </cell>
          <cell r="AK23">
            <v>13011.280540263911</v>
          </cell>
          <cell r="AL23">
            <v>14244.14408</v>
          </cell>
          <cell r="AN23">
            <v>46765.618741019309</v>
          </cell>
          <cell r="AO23">
            <v>33778.718999999997</v>
          </cell>
          <cell r="AP23">
            <v>0</v>
          </cell>
          <cell r="AS23">
            <v>33778.718999999997</v>
          </cell>
          <cell r="AT23">
            <v>0</v>
          </cell>
          <cell r="AU23">
            <v>0</v>
          </cell>
          <cell r="AV23">
            <v>0</v>
          </cell>
          <cell r="BA23">
            <v>0</v>
          </cell>
          <cell r="BB23">
            <v>0</v>
          </cell>
          <cell r="BC23">
            <v>0</v>
          </cell>
          <cell r="BD23">
            <v>0</v>
          </cell>
          <cell r="BE23">
            <v>0</v>
          </cell>
          <cell r="BF23">
            <v>0</v>
          </cell>
          <cell r="BG23">
            <v>0</v>
          </cell>
          <cell r="BJ23">
            <v>0</v>
          </cell>
        </row>
        <row r="24">
          <cell r="F24">
            <v>457368.35499999986</v>
          </cell>
          <cell r="G24">
            <v>81421.783570267769</v>
          </cell>
          <cell r="H24">
            <v>54230.266812848844</v>
          </cell>
          <cell r="I24">
            <v>18298.491609900826</v>
          </cell>
          <cell r="J24">
            <v>15902.746300168748</v>
          </cell>
          <cell r="K24">
            <v>62685.150595055209</v>
          </cell>
          <cell r="L24">
            <v>43212.773004828661</v>
          </cell>
          <cell r="M24">
            <v>9943.9715584491187</v>
          </cell>
          <cell r="N24">
            <v>24882.365639640186</v>
          </cell>
          <cell r="O24">
            <v>12367.176455885658</v>
          </cell>
          <cell r="P24">
            <v>18559.532239051383</v>
          </cell>
          <cell r="Q24">
            <v>6108.9735149839671</v>
          </cell>
          <cell r="R24">
            <v>28705.507684275002</v>
          </cell>
          <cell r="S24">
            <v>36742.272235336284</v>
          </cell>
          <cell r="T24">
            <v>6520.4114225589865</v>
          </cell>
          <cell r="U24">
            <v>6008.0956129234264</v>
          </cell>
          <cell r="V24">
            <v>20294.940911019294</v>
          </cell>
          <cell r="W24">
            <v>11483.895832806604</v>
          </cell>
          <cell r="Z24">
            <v>457368.35499999986</v>
          </cell>
          <cell r="AA24">
            <v>0</v>
          </cell>
          <cell r="AB24">
            <v>0</v>
          </cell>
          <cell r="AC24">
            <v>0</v>
          </cell>
          <cell r="AD24">
            <v>0</v>
          </cell>
          <cell r="AH24">
            <v>0</v>
          </cell>
          <cell r="AI24">
            <v>457368.35499999986</v>
          </cell>
          <cell r="AJ24">
            <v>0</v>
          </cell>
          <cell r="AK24">
            <v>0</v>
          </cell>
          <cell r="AL24">
            <v>0</v>
          </cell>
          <cell r="AN24">
            <v>0</v>
          </cell>
          <cell r="AO24">
            <v>0</v>
          </cell>
          <cell r="AP24">
            <v>0</v>
          </cell>
          <cell r="AS24">
            <v>0</v>
          </cell>
          <cell r="AT24">
            <v>0</v>
          </cell>
          <cell r="AU24">
            <v>0</v>
          </cell>
          <cell r="AV24">
            <v>0</v>
          </cell>
          <cell r="BA24">
            <v>0</v>
          </cell>
          <cell r="BB24">
            <v>0</v>
          </cell>
          <cell r="BC24">
            <v>0</v>
          </cell>
          <cell r="BD24">
            <v>0</v>
          </cell>
          <cell r="BE24">
            <v>0</v>
          </cell>
          <cell r="BF24">
            <v>0</v>
          </cell>
          <cell r="BG24">
            <v>0</v>
          </cell>
          <cell r="BJ24">
            <v>0</v>
          </cell>
        </row>
        <row r="25">
          <cell r="F25">
            <v>690022.21099999978</v>
          </cell>
          <cell r="G25">
            <v>122839.36680035424</v>
          </cell>
          <cell r="H25">
            <v>81816.085875293822</v>
          </cell>
          <cell r="I25">
            <v>27606.557166878578</v>
          </cell>
          <cell r="J25">
            <v>23992.14559348888</v>
          </cell>
          <cell r="K25">
            <v>94571.794785557373</v>
          </cell>
          <cell r="L25">
            <v>65194.220033506652</v>
          </cell>
          <cell r="M25">
            <v>15002.264948746128</v>
          </cell>
          <cell r="N25">
            <v>37539.512224397215</v>
          </cell>
          <cell r="O25">
            <v>18658.104236173847</v>
          </cell>
          <cell r="P25">
            <v>28000.383784129561</v>
          </cell>
          <cell r="Q25">
            <v>9216.4824384268504</v>
          </cell>
          <cell r="R25">
            <v>43307.407833628808</v>
          </cell>
          <cell r="S25">
            <v>55432.308877142692</v>
          </cell>
          <cell r="T25">
            <v>9837.2103300059007</v>
          </cell>
          <cell r="U25">
            <v>9064.2900266434517</v>
          </cell>
          <cell r="V25">
            <v>30618.559081412364</v>
          </cell>
          <cell r="W25">
            <v>17325.516964213446</v>
          </cell>
          <cell r="Z25">
            <v>690022.21099999978</v>
          </cell>
          <cell r="AA25">
            <v>0</v>
          </cell>
          <cell r="AB25">
            <v>0</v>
          </cell>
          <cell r="AC25">
            <v>0</v>
          </cell>
          <cell r="AD25">
            <v>0</v>
          </cell>
          <cell r="AH25">
            <v>0</v>
          </cell>
          <cell r="AI25">
            <v>690022.21099999978</v>
          </cell>
          <cell r="AJ25">
            <v>0</v>
          </cell>
          <cell r="AK25">
            <v>0</v>
          </cell>
          <cell r="AL25">
            <v>0</v>
          </cell>
          <cell r="AN25">
            <v>0</v>
          </cell>
          <cell r="AO25">
            <v>0</v>
          </cell>
          <cell r="AP25">
            <v>0</v>
          </cell>
          <cell r="AS25">
            <v>0</v>
          </cell>
          <cell r="AT25">
            <v>0</v>
          </cell>
          <cell r="AU25">
            <v>0</v>
          </cell>
          <cell r="AV25">
            <v>0</v>
          </cell>
          <cell r="BA25">
            <v>0</v>
          </cell>
          <cell r="BB25">
            <v>0</v>
          </cell>
          <cell r="BC25">
            <v>0</v>
          </cell>
          <cell r="BD25">
            <v>0</v>
          </cell>
          <cell r="BE25">
            <v>0</v>
          </cell>
          <cell r="BF25">
            <v>0</v>
          </cell>
          <cell r="BG25">
            <v>0</v>
          </cell>
          <cell r="BJ25">
            <v>0</v>
          </cell>
        </row>
        <row r="26">
          <cell r="F26">
            <v>-1241641.7050019256</v>
          </cell>
          <cell r="G26">
            <v>15073.584609052108</v>
          </cell>
          <cell r="H26">
            <v>-174537.13065718039</v>
          </cell>
          <cell r="I26">
            <v>-166104.06696614562</v>
          </cell>
          <cell r="J26">
            <v>-141748.11592616129</v>
          </cell>
          <cell r="K26">
            <v>94701.169023672905</v>
          </cell>
          <cell r="L26">
            <v>62015.124627674377</v>
          </cell>
          <cell r="M26">
            <v>-123421.38688263219</v>
          </cell>
          <cell r="N26">
            <v>-136614.5373146926</v>
          </cell>
          <cell r="O26">
            <v>-64171.547312706702</v>
          </cell>
          <cell r="P26">
            <v>-45638.644464764606</v>
          </cell>
          <cell r="Q26">
            <v>-111128.14064384978</v>
          </cell>
          <cell r="R26">
            <v>2696.387171630573</v>
          </cell>
          <cell r="S26">
            <v>-93686.938991909177</v>
          </cell>
          <cell r="T26">
            <v>-10176.581424053722</v>
          </cell>
          <cell r="U26">
            <v>-12104.515184244958</v>
          </cell>
          <cell r="V26">
            <v>-69751.995563852266</v>
          </cell>
          <cell r="W26">
            <v>-27849.297360750148</v>
          </cell>
          <cell r="Z26">
            <v>-1002446.6332609133</v>
          </cell>
          <cell r="AA26">
            <v>-7538.4580000000005</v>
          </cell>
          <cell r="AB26">
            <v>-283.96899999999999</v>
          </cell>
          <cell r="AC26">
            <v>9161.6449999999986</v>
          </cell>
          <cell r="AD26">
            <v>22102.444</v>
          </cell>
          <cell r="AH26">
            <v>23441.662000000008</v>
          </cell>
          <cell r="AI26">
            <v>-979004.97126090492</v>
          </cell>
          <cell r="AJ26">
            <v>25856.170879244593</v>
          </cell>
          <cell r="AK26">
            <v>-89060.437540263942</v>
          </cell>
          <cell r="AL26">
            <v>-107072.45208000002</v>
          </cell>
          <cell r="AN26">
            <v>-170276.71874101949</v>
          </cell>
          <cell r="AO26">
            <v>-38815.401000000245</v>
          </cell>
          <cell r="AP26">
            <v>0</v>
          </cell>
          <cell r="AS26">
            <v>-38815.401000000245</v>
          </cell>
          <cell r="AT26">
            <v>-1486.155</v>
          </cell>
          <cell r="AU26">
            <v>726.68599999999969</v>
          </cell>
          <cell r="AV26">
            <v>863.57799999999997</v>
          </cell>
          <cell r="BA26">
            <v>104.10900000000038</v>
          </cell>
          <cell r="BB26">
            <v>0</v>
          </cell>
          <cell r="BC26">
            <v>-16500.499</v>
          </cell>
          <cell r="BD26">
            <v>0</v>
          </cell>
          <cell r="BE26">
            <v>0</v>
          </cell>
          <cell r="BF26">
            <v>-37148.224000000002</v>
          </cell>
          <cell r="BG26">
            <v>0</v>
          </cell>
          <cell r="BJ26">
            <v>-53648.723000000005</v>
          </cell>
        </row>
        <row r="27">
          <cell r="F27">
            <v>-1241641.705001933</v>
          </cell>
          <cell r="G27">
            <v>15073.58460905207</v>
          </cell>
          <cell r="H27">
            <v>-174537.13065718036</v>
          </cell>
          <cell r="I27">
            <v>-166104.06696614562</v>
          </cell>
          <cell r="J27">
            <v>-141748.11592616129</v>
          </cell>
          <cell r="K27">
            <v>94701.169023672977</v>
          </cell>
          <cell r="L27">
            <v>62015.124627674319</v>
          </cell>
          <cell r="M27">
            <v>-123421.38688263219</v>
          </cell>
          <cell r="N27">
            <v>-136614.5373146926</v>
          </cell>
          <cell r="O27">
            <v>-64171.547312706709</v>
          </cell>
          <cell r="P27">
            <v>-45638.644464764606</v>
          </cell>
          <cell r="Q27">
            <v>-111128.14064384978</v>
          </cell>
          <cell r="R27">
            <v>2696.3871716305557</v>
          </cell>
          <cell r="S27">
            <v>-93686.938991909163</v>
          </cell>
          <cell r="T27">
            <v>-10176.581424053724</v>
          </cell>
          <cell r="U27">
            <v>-12104.515184244958</v>
          </cell>
          <cell r="V27">
            <v>-69751.995563852266</v>
          </cell>
          <cell r="W27">
            <v>-27849.297360750148</v>
          </cell>
          <cell r="Z27">
            <v>-1002446.6332609135</v>
          </cell>
          <cell r="AA27">
            <v>-7538.4580000000005</v>
          </cell>
          <cell r="AB27">
            <v>-283.96899999999999</v>
          </cell>
          <cell r="AC27">
            <v>9161.6449999999986</v>
          </cell>
          <cell r="AD27">
            <v>22102.444</v>
          </cell>
          <cell r="AH27">
            <v>23441.661999999997</v>
          </cell>
          <cell r="AI27">
            <v>-979004.97126091353</v>
          </cell>
          <cell r="AJ27">
            <v>25856.17087924459</v>
          </cell>
          <cell r="AK27">
            <v>-89060.437540263956</v>
          </cell>
          <cell r="AL27">
            <v>-107072.45208000002</v>
          </cell>
          <cell r="AN27">
            <v>-170276.71874101937</v>
          </cell>
          <cell r="AO27">
            <v>-38815.401000000245</v>
          </cell>
          <cell r="AP27">
            <v>0</v>
          </cell>
          <cell r="AS27">
            <v>-38815.401000000245</v>
          </cell>
          <cell r="AT27">
            <v>-1486.155</v>
          </cell>
          <cell r="AU27">
            <v>726.68599999999969</v>
          </cell>
          <cell r="AV27">
            <v>863.57799999999997</v>
          </cell>
          <cell r="BA27">
            <v>104.1089999999997</v>
          </cell>
          <cell r="BB27">
            <v>0</v>
          </cell>
          <cell r="BC27">
            <v>-16500.499</v>
          </cell>
          <cell r="BD27">
            <v>0</v>
          </cell>
          <cell r="BE27">
            <v>0</v>
          </cell>
          <cell r="BF27">
            <v>-37148.224000000002</v>
          </cell>
          <cell r="BG27">
            <v>0</v>
          </cell>
          <cell r="BJ27">
            <v>-53648.722999999998</v>
          </cell>
        </row>
        <row r="28">
          <cell r="F28">
            <v>7.4505805969238281E-9</v>
          </cell>
          <cell r="G28">
            <v>3.8198777474462986E-11</v>
          </cell>
          <cell r="H28">
            <v>0</v>
          </cell>
          <cell r="I28">
            <v>0</v>
          </cell>
          <cell r="J28">
            <v>0</v>
          </cell>
          <cell r="K28">
            <v>0</v>
          </cell>
          <cell r="L28">
            <v>5.8207660913467407E-11</v>
          </cell>
          <cell r="M28">
            <v>0</v>
          </cell>
          <cell r="N28">
            <v>0</v>
          </cell>
          <cell r="O28">
            <v>0</v>
          </cell>
          <cell r="P28">
            <v>0</v>
          </cell>
          <cell r="Q28">
            <v>0</v>
          </cell>
          <cell r="R28">
            <v>1.7280399333685637E-11</v>
          </cell>
          <cell r="S28">
            <v>0</v>
          </cell>
          <cell r="T28">
            <v>0</v>
          </cell>
          <cell r="U28">
            <v>0</v>
          </cell>
          <cell r="V28">
            <v>0</v>
          </cell>
          <cell r="W28">
            <v>0</v>
          </cell>
          <cell r="Z28">
            <v>0</v>
          </cell>
          <cell r="AA28">
            <v>0</v>
          </cell>
          <cell r="AB28">
            <v>0</v>
          </cell>
          <cell r="AC28">
            <v>0</v>
          </cell>
          <cell r="AD28">
            <v>0</v>
          </cell>
          <cell r="AH28">
            <v>0</v>
          </cell>
          <cell r="AI28">
            <v>8.6147338151931763E-9</v>
          </cell>
          <cell r="AJ28">
            <v>0</v>
          </cell>
          <cell r="AK28">
            <v>0</v>
          </cell>
          <cell r="AL28">
            <v>0</v>
          </cell>
          <cell r="AN28">
            <v>0</v>
          </cell>
          <cell r="AO28">
            <v>0</v>
          </cell>
          <cell r="AP28">
            <v>0</v>
          </cell>
          <cell r="AS28">
            <v>0</v>
          </cell>
          <cell r="AT28">
            <v>0</v>
          </cell>
          <cell r="AU28">
            <v>0</v>
          </cell>
          <cell r="AV28">
            <v>0</v>
          </cell>
          <cell r="BA28">
            <v>6.8212102632969618E-13</v>
          </cell>
          <cell r="BB28">
            <v>0</v>
          </cell>
          <cell r="BC28">
            <v>0</v>
          </cell>
          <cell r="BD28">
            <v>0</v>
          </cell>
          <cell r="BE28">
            <v>0</v>
          </cell>
          <cell r="BF28">
            <v>0</v>
          </cell>
          <cell r="BG28">
            <v>0</v>
          </cell>
          <cell r="BJ28">
            <v>0</v>
          </cell>
        </row>
        <row r="29">
          <cell r="F29">
            <v>-1202826.3040019253</v>
          </cell>
        </row>
        <row r="31">
          <cell r="G31">
            <v>30862</v>
          </cell>
          <cell r="H31">
            <v>21869</v>
          </cell>
          <cell r="I31">
            <v>7450</v>
          </cell>
          <cell r="J31">
            <v>6636</v>
          </cell>
          <cell r="K31">
            <v>21564</v>
          </cell>
          <cell r="L31">
            <v>16480</v>
          </cell>
          <cell r="M31">
            <v>4548</v>
          </cell>
          <cell r="N31">
            <v>10089</v>
          </cell>
          <cell r="O31">
            <v>5181</v>
          </cell>
          <cell r="P31">
            <v>7500</v>
          </cell>
          <cell r="Q31">
            <v>2698.5</v>
          </cell>
          <cell r="R31">
            <v>10550</v>
          </cell>
          <cell r="S31">
            <v>14503</v>
          </cell>
          <cell r="T31">
            <v>2145.5</v>
          </cell>
          <cell r="U31">
            <v>2067.5</v>
          </cell>
          <cell r="V31">
            <v>8160.5</v>
          </cell>
          <cell r="W31">
            <v>3816.5</v>
          </cell>
          <cell r="X31">
            <v>0</v>
          </cell>
          <cell r="Y31">
            <v>0</v>
          </cell>
          <cell r="Z31">
            <v>176120.5</v>
          </cell>
          <cell r="AA31">
            <v>0</v>
          </cell>
          <cell r="AB31">
            <v>0</v>
          </cell>
          <cell r="AC31">
            <v>0</v>
          </cell>
          <cell r="AD31">
            <v>0</v>
          </cell>
          <cell r="AH31">
            <v>0</v>
          </cell>
          <cell r="AI31">
            <v>176120.5</v>
          </cell>
          <cell r="AJ31">
            <v>16354</v>
          </cell>
          <cell r="AK31">
            <v>21688</v>
          </cell>
          <cell r="AL31">
            <v>17451</v>
          </cell>
          <cell r="AN31">
            <v>55493</v>
          </cell>
          <cell r="AO31">
            <v>4969.8379999999997</v>
          </cell>
          <cell r="AP31">
            <v>0</v>
          </cell>
          <cell r="AS31">
            <v>4969.8379999999997</v>
          </cell>
          <cell r="AT31">
            <v>0</v>
          </cell>
          <cell r="AU31">
            <v>0</v>
          </cell>
          <cell r="AV31">
            <v>0</v>
          </cell>
          <cell r="BA31">
            <v>0</v>
          </cell>
          <cell r="BB31">
            <v>0</v>
          </cell>
          <cell r="BC31">
            <v>0</v>
          </cell>
          <cell r="BD31">
            <v>0</v>
          </cell>
          <cell r="BE31">
            <v>0</v>
          </cell>
          <cell r="BF31">
            <v>0</v>
          </cell>
          <cell r="BG31">
            <v>0</v>
          </cell>
          <cell r="BJ31">
            <v>0</v>
          </cell>
        </row>
        <row r="32">
          <cell r="F32">
            <v>25027816.960000005</v>
          </cell>
          <cell r="G32">
            <v>3337180.9109999998</v>
          </cell>
          <cell r="H32">
            <v>2222700.1579999998</v>
          </cell>
          <cell r="I32">
            <v>749988.2</v>
          </cell>
          <cell r="J32">
            <v>651795.3679999999</v>
          </cell>
          <cell r="K32">
            <v>2569234.9</v>
          </cell>
          <cell r="L32">
            <v>1771133.41</v>
          </cell>
          <cell r="M32">
            <v>407567</v>
          </cell>
          <cell r="N32">
            <v>1019837.1</v>
          </cell>
          <cell r="O32">
            <v>506885.3</v>
          </cell>
          <cell r="P32">
            <v>760687.3</v>
          </cell>
          <cell r="Q32">
            <v>250384.46599999999</v>
          </cell>
          <cell r="R32">
            <v>1176533.7</v>
          </cell>
          <cell r="S32">
            <v>1505931.2649999999</v>
          </cell>
          <cell r="T32">
            <v>267247.8</v>
          </cell>
          <cell r="U32">
            <v>246249.85</v>
          </cell>
          <cell r="V32">
            <v>831815.35</v>
          </cell>
          <cell r="W32">
            <v>470682.86</v>
          </cell>
          <cell r="X32">
            <v>0</v>
          </cell>
          <cell r="Y32">
            <v>0</v>
          </cell>
          <cell r="Z32">
            <v>18745854.938000005</v>
          </cell>
          <cell r="AA32">
            <v>0</v>
          </cell>
          <cell r="AB32">
            <v>0</v>
          </cell>
          <cell r="AC32">
            <v>12500</v>
          </cell>
          <cell r="AD32">
            <v>30840</v>
          </cell>
          <cell r="AH32">
            <v>43340</v>
          </cell>
          <cell r="AI32">
            <v>18789194.938000005</v>
          </cell>
          <cell r="AJ32">
            <v>471317.5</v>
          </cell>
          <cell r="AK32">
            <v>314320</v>
          </cell>
          <cell r="AL32">
            <v>344102.9</v>
          </cell>
          <cell r="AN32">
            <v>1129740.3999999999</v>
          </cell>
          <cell r="AO32">
            <v>5099886.7439999999</v>
          </cell>
          <cell r="AP32">
            <v>0</v>
          </cell>
          <cell r="AS32">
            <v>5099886.7439999999</v>
          </cell>
          <cell r="AT32">
            <v>0</v>
          </cell>
          <cell r="AU32">
            <v>6490</v>
          </cell>
          <cell r="AV32">
            <v>863.57799999999997</v>
          </cell>
          <cell r="BA32">
            <v>7353.5779999999995</v>
          </cell>
          <cell r="BB32">
            <v>0</v>
          </cell>
          <cell r="BC32">
            <v>1641.3</v>
          </cell>
          <cell r="BD32">
            <v>0</v>
          </cell>
          <cell r="BE32">
            <v>0</v>
          </cell>
          <cell r="BF32">
            <v>0</v>
          </cell>
          <cell r="BG32">
            <v>0</v>
          </cell>
          <cell r="BJ32">
            <v>1641.3</v>
          </cell>
        </row>
        <row r="33">
          <cell r="F33">
            <v>24091823.613000002</v>
          </cell>
          <cell r="G33">
            <v>3037877.3489999999</v>
          </cell>
          <cell r="H33">
            <v>2190166.6289999997</v>
          </cell>
          <cell r="I33">
            <v>822684.94900000002</v>
          </cell>
          <cell r="J33">
            <v>713431.321</v>
          </cell>
          <cell r="K33">
            <v>2238989.6530000004</v>
          </cell>
          <cell r="L33">
            <v>1532082.182</v>
          </cell>
          <cell r="M33">
            <v>470800.25999999989</v>
          </cell>
          <cell r="N33">
            <v>1035970.3389999999</v>
          </cell>
          <cell r="O33">
            <v>507902.94200000004</v>
          </cell>
          <cell r="P33">
            <v>715869.9659999999</v>
          </cell>
          <cell r="Q33">
            <v>314741.24400000001</v>
          </cell>
          <cell r="R33">
            <v>1062995.9480000001</v>
          </cell>
          <cell r="S33">
            <v>1454320.58</v>
          </cell>
          <cell r="T33">
            <v>249593.58799999999</v>
          </cell>
          <cell r="U33">
            <v>230755.791</v>
          </cell>
          <cell r="V33">
            <v>818291.69099999999</v>
          </cell>
          <cell r="W33">
            <v>450877.43399999995</v>
          </cell>
          <cell r="X33">
            <v>0</v>
          </cell>
          <cell r="Y33">
            <v>0</v>
          </cell>
          <cell r="Z33">
            <v>17847351.866</v>
          </cell>
          <cell r="AA33">
            <v>0</v>
          </cell>
          <cell r="AB33">
            <v>0</v>
          </cell>
          <cell r="AC33">
            <v>3276.556</v>
          </cell>
          <cell r="AD33">
            <v>8737.5559999999987</v>
          </cell>
          <cell r="AH33">
            <v>12014.111999999999</v>
          </cell>
          <cell r="AI33">
            <v>17859365.978</v>
          </cell>
          <cell r="AJ33">
            <v>425951.13500000001</v>
          </cell>
          <cell r="AK33">
            <v>390369.15700000001</v>
          </cell>
          <cell r="AL33">
            <v>436931.20800000004</v>
          </cell>
          <cell r="AN33">
            <v>1253251.5</v>
          </cell>
          <cell r="AO33">
            <v>4971956.6660000002</v>
          </cell>
          <cell r="AP33">
            <v>0</v>
          </cell>
          <cell r="AS33">
            <v>4971956.6660000002</v>
          </cell>
          <cell r="AT33">
            <v>1486.155</v>
          </cell>
          <cell r="AU33">
            <v>5763.3140000000003</v>
          </cell>
          <cell r="AV33">
            <v>0</v>
          </cell>
          <cell r="BA33">
            <v>7249.4690000000001</v>
          </cell>
          <cell r="BB33">
            <v>0</v>
          </cell>
          <cell r="BC33">
            <v>0</v>
          </cell>
          <cell r="BD33">
            <v>0</v>
          </cell>
          <cell r="BE33">
            <v>0</v>
          </cell>
          <cell r="BF33">
            <v>0</v>
          </cell>
          <cell r="BG33">
            <v>0</v>
          </cell>
          <cell r="BJ33">
            <v>0</v>
          </cell>
        </row>
        <row r="34">
          <cell r="F34">
            <v>935993.34700000286</v>
          </cell>
          <cell r="G34">
            <v>299303.56199999992</v>
          </cell>
          <cell r="H34">
            <v>32533.529000000097</v>
          </cell>
          <cell r="I34">
            <v>-72696.749000000069</v>
          </cell>
          <cell r="J34">
            <v>-61635.953000000096</v>
          </cell>
          <cell r="K34">
            <v>330245.24699999951</v>
          </cell>
          <cell r="L34">
            <v>239051.22799999989</v>
          </cell>
          <cell r="M34">
            <v>-63233.259999999893</v>
          </cell>
          <cell r="N34">
            <v>-16133.238999999943</v>
          </cell>
          <cell r="O34">
            <v>-1017.6420000000508</v>
          </cell>
          <cell r="P34">
            <v>44817.334000000148</v>
          </cell>
          <cell r="Q34">
            <v>-64356.77800000002</v>
          </cell>
          <cell r="R34">
            <v>113537.75199999986</v>
          </cell>
          <cell r="S34">
            <v>51610.684999999823</v>
          </cell>
          <cell r="T34">
            <v>17654.212</v>
          </cell>
          <cell r="U34">
            <v>15494.059000000008</v>
          </cell>
          <cell r="V34">
            <v>13523.658999999985</v>
          </cell>
          <cell r="W34">
            <v>19805.426000000036</v>
          </cell>
          <cell r="X34">
            <v>0</v>
          </cell>
          <cell r="Y34">
            <v>0</v>
          </cell>
          <cell r="Z34">
            <v>898503.07200000435</v>
          </cell>
          <cell r="AA34">
            <v>0</v>
          </cell>
          <cell r="AB34">
            <v>0</v>
          </cell>
          <cell r="AC34">
            <v>9223.4439999999995</v>
          </cell>
          <cell r="AD34">
            <v>22102.444000000003</v>
          </cell>
          <cell r="AH34">
            <v>31325.887999999999</v>
          </cell>
          <cell r="AI34">
            <v>929828.96000000462</v>
          </cell>
          <cell r="AJ34">
            <v>45366.364999999991</v>
          </cell>
          <cell r="AK34">
            <v>-76049.157000000007</v>
          </cell>
          <cell r="AL34">
            <v>-92828.308000000019</v>
          </cell>
          <cell r="AN34">
            <v>-123511.10000000009</v>
          </cell>
          <cell r="AO34">
            <v>127930.07799999975</v>
          </cell>
          <cell r="AP34">
            <v>0</v>
          </cell>
          <cell r="AS34">
            <v>127930.07799999975</v>
          </cell>
          <cell r="AT34">
            <v>-1486.155</v>
          </cell>
          <cell r="AU34">
            <v>726.68599999999969</v>
          </cell>
          <cell r="AV34">
            <v>863.57799999999997</v>
          </cell>
          <cell r="BA34">
            <v>104.10899999999947</v>
          </cell>
          <cell r="BB34">
            <v>0</v>
          </cell>
          <cell r="BC34">
            <v>1641.3</v>
          </cell>
          <cell r="BD34">
            <v>0</v>
          </cell>
          <cell r="BE34">
            <v>0</v>
          </cell>
          <cell r="BF34">
            <v>0</v>
          </cell>
          <cell r="BG34">
            <v>0</v>
          </cell>
          <cell r="BJ34">
            <v>1641.3</v>
          </cell>
        </row>
        <row r="35">
          <cell r="F35">
            <v>2177635.0520019317</v>
          </cell>
          <cell r="G35">
            <v>284229.97739094769</v>
          </cell>
          <cell r="H35">
            <v>207070.65965718028</v>
          </cell>
          <cell r="I35">
            <v>93407.31796614558</v>
          </cell>
          <cell r="J35">
            <v>80112.162926161211</v>
          </cell>
          <cell r="K35">
            <v>235544.07797632637</v>
          </cell>
          <cell r="L35">
            <v>177036.10337232554</v>
          </cell>
          <cell r="M35">
            <v>60188.12688263227</v>
          </cell>
          <cell r="N35">
            <v>120481.29831469261</v>
          </cell>
          <cell r="O35">
            <v>63153.905312706673</v>
          </cell>
          <cell r="P35">
            <v>90455.978464764703</v>
          </cell>
          <cell r="Q35">
            <v>46771.362643849774</v>
          </cell>
          <cell r="R35">
            <v>110841.36482836932</v>
          </cell>
          <cell r="S35">
            <v>145297.62399190906</v>
          </cell>
          <cell r="T35">
            <v>27830.793424053711</v>
          </cell>
          <cell r="U35">
            <v>27598.574184244972</v>
          </cell>
          <cell r="V35">
            <v>83275.654563852295</v>
          </cell>
          <cell r="W35">
            <v>47654.723360750184</v>
          </cell>
          <cell r="X35">
            <v>0</v>
          </cell>
          <cell r="Y35">
            <v>0</v>
          </cell>
          <cell r="Z35">
            <v>1900949.7052609124</v>
          </cell>
          <cell r="AA35">
            <v>7538.4580000000005</v>
          </cell>
          <cell r="AB35">
            <v>283.96899999999999</v>
          </cell>
          <cell r="AC35">
            <v>61.798999999999999</v>
          </cell>
          <cell r="AD35">
            <v>0</v>
          </cell>
          <cell r="AH35">
            <v>7884.2260000000006</v>
          </cell>
          <cell r="AI35">
            <v>1908833.9312609124</v>
          </cell>
          <cell r="AJ35">
            <v>19510.194120755397</v>
          </cell>
          <cell r="AK35">
            <v>13011.280540263911</v>
          </cell>
          <cell r="AL35">
            <v>14244.14408</v>
          </cell>
          <cell r="AN35">
            <v>46765.618741019309</v>
          </cell>
          <cell r="AO35">
            <v>166745.47899999999</v>
          </cell>
          <cell r="AP35">
            <v>0</v>
          </cell>
          <cell r="AS35">
            <v>166745.47899999999</v>
          </cell>
          <cell r="AT35">
            <v>0</v>
          </cell>
          <cell r="AU35">
            <v>0</v>
          </cell>
          <cell r="AV35">
            <v>0</v>
          </cell>
          <cell r="BA35">
            <v>0</v>
          </cell>
          <cell r="BB35">
            <v>0</v>
          </cell>
          <cell r="BC35">
            <v>18141.798999999999</v>
          </cell>
          <cell r="BD35">
            <v>0</v>
          </cell>
          <cell r="BE35">
            <v>0</v>
          </cell>
          <cell r="BF35">
            <v>37148.224000000002</v>
          </cell>
          <cell r="BG35">
            <v>0</v>
          </cell>
          <cell r="BJ35">
            <v>55290.023000000001</v>
          </cell>
        </row>
        <row r="36">
          <cell r="F36">
            <v>-1241641.7050019288</v>
          </cell>
          <cell r="G36">
            <v>15073.584609052225</v>
          </cell>
          <cell r="H36">
            <v>-174537.13065718018</v>
          </cell>
          <cell r="I36">
            <v>-166104.06696614565</v>
          </cell>
          <cell r="J36">
            <v>-141748.11592616129</v>
          </cell>
          <cell r="K36">
            <v>94701.169023673137</v>
          </cell>
          <cell r="L36">
            <v>62015.124627674348</v>
          </cell>
          <cell r="M36">
            <v>-123421.38688263216</v>
          </cell>
          <cell r="N36">
            <v>-136614.53731469257</v>
          </cell>
          <cell r="O36">
            <v>-64171.547312706723</v>
          </cell>
          <cell r="P36">
            <v>-45638.644464764555</v>
          </cell>
          <cell r="Q36">
            <v>-111128.14064384979</v>
          </cell>
          <cell r="R36">
            <v>2696.3871716305439</v>
          </cell>
          <cell r="S36">
            <v>-93686.938991909235</v>
          </cell>
          <cell r="T36">
            <v>-10176.581424053711</v>
          </cell>
          <cell r="U36">
            <v>-12104.515184244963</v>
          </cell>
          <cell r="V36">
            <v>-69751.99556385231</v>
          </cell>
          <cell r="W36">
            <v>-27849.297360750148</v>
          </cell>
          <cell r="X36">
            <v>0</v>
          </cell>
          <cell r="Y36">
            <v>0</v>
          </cell>
          <cell r="Z36">
            <v>-1002446.6332609081</v>
          </cell>
          <cell r="AA36">
            <v>-7538.4580000000005</v>
          </cell>
          <cell r="AB36">
            <v>-283.96899999999999</v>
          </cell>
          <cell r="AC36">
            <v>9161.6449999999986</v>
          </cell>
          <cell r="AD36">
            <v>22102.444000000003</v>
          </cell>
          <cell r="AH36">
            <v>23441.661999999997</v>
          </cell>
          <cell r="AI36">
            <v>-979004.97126090783</v>
          </cell>
          <cell r="AJ36">
            <v>25856.170879244593</v>
          </cell>
          <cell r="AK36">
            <v>-89060.437540263913</v>
          </cell>
          <cell r="AL36">
            <v>-107072.45208000002</v>
          </cell>
          <cell r="AN36">
            <v>-170276.7187410194</v>
          </cell>
          <cell r="AO36">
            <v>-38815.401000000245</v>
          </cell>
          <cell r="AP36">
            <v>0</v>
          </cell>
          <cell r="AS36">
            <v>-38815.401000000245</v>
          </cell>
          <cell r="AT36">
            <v>-1486.155</v>
          </cell>
          <cell r="AU36">
            <v>726.68599999999969</v>
          </cell>
          <cell r="AV36">
            <v>863.57799999999997</v>
          </cell>
          <cell r="BA36">
            <v>104.10899999999947</v>
          </cell>
          <cell r="BB36">
            <v>0</v>
          </cell>
          <cell r="BC36">
            <v>-16500.499</v>
          </cell>
          <cell r="BD36">
            <v>0</v>
          </cell>
          <cell r="BE36">
            <v>0</v>
          </cell>
          <cell r="BF36">
            <v>-37148.224000000002</v>
          </cell>
          <cell r="BG36">
            <v>0</v>
          </cell>
          <cell r="BJ36">
            <v>-53648.722999999998</v>
          </cell>
        </row>
        <row r="38">
          <cell r="Z38">
            <v>0</v>
          </cell>
          <cell r="AH38">
            <v>0</v>
          </cell>
          <cell r="AI38">
            <v>0</v>
          </cell>
          <cell r="AJ38">
            <v>-11101</v>
          </cell>
          <cell r="AK38">
            <v>-15912</v>
          </cell>
          <cell r="AL38">
            <v>-15739</v>
          </cell>
          <cell r="AN38">
            <v>-42752</v>
          </cell>
          <cell r="AS38">
            <v>0</v>
          </cell>
          <cell r="BA38">
            <v>0</v>
          </cell>
          <cell r="BJ38">
            <v>0</v>
          </cell>
        </row>
        <row r="39">
          <cell r="F39">
            <v>-901320.5</v>
          </cell>
          <cell r="Z39">
            <v>0</v>
          </cell>
          <cell r="AH39">
            <v>0</v>
          </cell>
          <cell r="AI39">
            <v>0</v>
          </cell>
          <cell r="AJ39">
            <v>-327200</v>
          </cell>
          <cell r="AK39">
            <v>-253472</v>
          </cell>
          <cell r="AL39">
            <v>-320648.5</v>
          </cell>
          <cell r="AN39">
            <v>-901320.5</v>
          </cell>
          <cell r="AS39">
            <v>0</v>
          </cell>
          <cell r="BA39">
            <v>0</v>
          </cell>
          <cell r="BJ39">
            <v>0</v>
          </cell>
        </row>
        <row r="40">
          <cell r="F40">
            <v>-901320.5</v>
          </cell>
          <cell r="K40">
            <v>57501.722999999998</v>
          </cell>
          <cell r="L40">
            <v>19381.12</v>
          </cell>
          <cell r="M40">
            <v>-1510.16</v>
          </cell>
          <cell r="N40">
            <v>-2095.3470000000002</v>
          </cell>
          <cell r="O40">
            <v>0</v>
          </cell>
          <cell r="P40">
            <v>11780.063</v>
          </cell>
          <cell r="Z40">
            <v>85057.39899999999</v>
          </cell>
          <cell r="AH40">
            <v>0</v>
          </cell>
          <cell r="AI40">
            <v>85057.39899999999</v>
          </cell>
          <cell r="AJ40">
            <v>-294970.87300000002</v>
          </cell>
          <cell r="AK40">
            <v>-297200.42599999998</v>
          </cell>
          <cell r="AL40">
            <v>-394206.6</v>
          </cell>
          <cell r="AN40">
            <v>-986377.89899999998</v>
          </cell>
          <cell r="AS40">
            <v>0</v>
          </cell>
          <cell r="BA40">
            <v>0</v>
          </cell>
          <cell r="BJ40">
            <v>0</v>
          </cell>
        </row>
        <row r="41">
          <cell r="F41">
            <v>0</v>
          </cell>
          <cell r="G41">
            <v>0</v>
          </cell>
          <cell r="H41">
            <v>0</v>
          </cell>
          <cell r="I41">
            <v>0</v>
          </cell>
          <cell r="J41">
            <v>0</v>
          </cell>
          <cell r="K41">
            <v>-57501.722999999998</v>
          </cell>
          <cell r="L41">
            <v>-19381.12</v>
          </cell>
          <cell r="M41">
            <v>1510.16</v>
          </cell>
          <cell r="N41">
            <v>2095.3470000000002</v>
          </cell>
          <cell r="O41">
            <v>0</v>
          </cell>
          <cell r="P41">
            <v>-11780.063</v>
          </cell>
          <cell r="Q41">
            <v>0</v>
          </cell>
          <cell r="R41">
            <v>0</v>
          </cell>
          <cell r="S41">
            <v>0</v>
          </cell>
          <cell r="T41">
            <v>0</v>
          </cell>
          <cell r="U41">
            <v>0</v>
          </cell>
          <cell r="V41">
            <v>0</v>
          </cell>
          <cell r="W41">
            <v>0</v>
          </cell>
          <cell r="X41">
            <v>0</v>
          </cell>
          <cell r="Y41">
            <v>0</v>
          </cell>
          <cell r="Z41">
            <v>-85057.39899999999</v>
          </cell>
          <cell r="AA41">
            <v>0</v>
          </cell>
          <cell r="AB41">
            <v>0</v>
          </cell>
          <cell r="AC41">
            <v>0</v>
          </cell>
          <cell r="AD41">
            <v>0</v>
          </cell>
          <cell r="AH41">
            <v>0</v>
          </cell>
          <cell r="AI41">
            <v>-85057.39899999999</v>
          </cell>
          <cell r="AJ41">
            <v>-32229.126999999979</v>
          </cell>
          <cell r="AK41">
            <v>43728.425999999978</v>
          </cell>
          <cell r="AL41">
            <v>73558.099999999977</v>
          </cell>
          <cell r="AN41">
            <v>85057.398999999976</v>
          </cell>
          <cell r="AO41">
            <v>0</v>
          </cell>
          <cell r="AP41">
            <v>0</v>
          </cell>
          <cell r="AS41">
            <v>0</v>
          </cell>
          <cell r="AT41">
            <v>0</v>
          </cell>
          <cell r="AU41">
            <v>0</v>
          </cell>
          <cell r="AV41">
            <v>0</v>
          </cell>
          <cell r="BA41">
            <v>0</v>
          </cell>
          <cell r="BB41">
            <v>0</v>
          </cell>
          <cell r="BC41">
            <v>0</v>
          </cell>
          <cell r="BD41">
            <v>0</v>
          </cell>
          <cell r="BE41">
            <v>0</v>
          </cell>
          <cell r="BF41">
            <v>0</v>
          </cell>
          <cell r="BG41">
            <v>0</v>
          </cell>
          <cell r="BJ41">
            <v>0</v>
          </cell>
        </row>
        <row r="42">
          <cell r="F42">
            <v>0</v>
          </cell>
          <cell r="Z42">
            <v>0</v>
          </cell>
          <cell r="AH42">
            <v>0</v>
          </cell>
          <cell r="AI42">
            <v>0</v>
          </cell>
          <cell r="AN42">
            <v>0</v>
          </cell>
          <cell r="AS42">
            <v>0</v>
          </cell>
          <cell r="BA42">
            <v>0</v>
          </cell>
          <cell r="BJ42">
            <v>0</v>
          </cell>
        </row>
        <row r="43">
          <cell r="F43">
            <v>0</v>
          </cell>
          <cell r="G43">
            <v>0</v>
          </cell>
          <cell r="H43">
            <v>0</v>
          </cell>
          <cell r="I43">
            <v>0</v>
          </cell>
          <cell r="J43">
            <v>0</v>
          </cell>
          <cell r="K43">
            <v>-57501.722999999998</v>
          </cell>
          <cell r="L43">
            <v>-19381.12</v>
          </cell>
          <cell r="M43">
            <v>1510.16</v>
          </cell>
          <cell r="N43">
            <v>2095.3470000000002</v>
          </cell>
          <cell r="O43">
            <v>0</v>
          </cell>
          <cell r="P43">
            <v>-11780.063</v>
          </cell>
          <cell r="Q43">
            <v>0</v>
          </cell>
          <cell r="R43">
            <v>0</v>
          </cell>
          <cell r="S43">
            <v>0</v>
          </cell>
          <cell r="T43">
            <v>0</v>
          </cell>
          <cell r="U43">
            <v>0</v>
          </cell>
          <cell r="V43">
            <v>0</v>
          </cell>
          <cell r="W43">
            <v>0</v>
          </cell>
          <cell r="X43">
            <v>0</v>
          </cell>
          <cell r="Y43">
            <v>0</v>
          </cell>
          <cell r="Z43">
            <v>-85057.39899999999</v>
          </cell>
          <cell r="AA43">
            <v>0</v>
          </cell>
          <cell r="AB43">
            <v>0</v>
          </cell>
          <cell r="AC43">
            <v>0</v>
          </cell>
          <cell r="AD43">
            <v>0</v>
          </cell>
          <cell r="AH43">
            <v>0</v>
          </cell>
          <cell r="AI43">
            <v>-85057.39899999999</v>
          </cell>
          <cell r="AJ43">
            <v>-32229.126999999979</v>
          </cell>
          <cell r="AK43">
            <v>43728.425999999978</v>
          </cell>
          <cell r="AL43">
            <v>73558.099999999977</v>
          </cell>
          <cell r="AN43">
            <v>85057.398999999976</v>
          </cell>
          <cell r="AO43">
            <v>0</v>
          </cell>
          <cell r="AP43">
            <v>0</v>
          </cell>
          <cell r="AS43">
            <v>0</v>
          </cell>
          <cell r="AT43">
            <v>0</v>
          </cell>
          <cell r="AU43">
            <v>0</v>
          </cell>
          <cell r="AV43">
            <v>0</v>
          </cell>
          <cell r="BA43">
            <v>0</v>
          </cell>
          <cell r="BB43">
            <v>0</v>
          </cell>
          <cell r="BC43">
            <v>0</v>
          </cell>
          <cell r="BD43">
            <v>0</v>
          </cell>
          <cell r="BE43">
            <v>0</v>
          </cell>
          <cell r="BF43">
            <v>0</v>
          </cell>
          <cell r="BG43">
            <v>0</v>
          </cell>
          <cell r="BJ43">
            <v>0</v>
          </cell>
        </row>
        <row r="45">
          <cell r="G45">
            <v>30862</v>
          </cell>
          <cell r="H45">
            <v>21869</v>
          </cell>
          <cell r="I45">
            <v>7450</v>
          </cell>
          <cell r="J45">
            <v>6636</v>
          </cell>
          <cell r="K45">
            <v>21564</v>
          </cell>
          <cell r="L45">
            <v>16480</v>
          </cell>
          <cell r="M45">
            <v>4548</v>
          </cell>
          <cell r="N45">
            <v>10089</v>
          </cell>
          <cell r="O45">
            <v>5181</v>
          </cell>
          <cell r="P45">
            <v>7500</v>
          </cell>
          <cell r="Q45">
            <v>2698.5</v>
          </cell>
          <cell r="R45">
            <v>10550</v>
          </cell>
          <cell r="S45">
            <v>14503</v>
          </cell>
          <cell r="T45">
            <v>2145.5</v>
          </cell>
          <cell r="U45">
            <v>2067.5</v>
          </cell>
          <cell r="V45">
            <v>8160.5</v>
          </cell>
          <cell r="W45">
            <v>3816.5</v>
          </cell>
          <cell r="X45">
            <v>0</v>
          </cell>
          <cell r="Y45">
            <v>0</v>
          </cell>
          <cell r="Z45">
            <v>176120.5</v>
          </cell>
          <cell r="AA45">
            <v>0</v>
          </cell>
          <cell r="AB45">
            <v>0</v>
          </cell>
          <cell r="AC45">
            <v>0</v>
          </cell>
          <cell r="AD45">
            <v>0</v>
          </cell>
          <cell r="AH45">
            <v>0</v>
          </cell>
          <cell r="AI45">
            <v>176120.5</v>
          </cell>
          <cell r="AJ45">
            <v>5253</v>
          </cell>
          <cell r="AK45">
            <v>5776</v>
          </cell>
          <cell r="AL45">
            <v>1712</v>
          </cell>
          <cell r="AN45">
            <v>12741</v>
          </cell>
          <cell r="AO45">
            <v>4969.8379999999997</v>
          </cell>
          <cell r="AP45">
            <v>0</v>
          </cell>
          <cell r="AS45">
            <v>4969.8379999999997</v>
          </cell>
          <cell r="AT45">
            <v>0</v>
          </cell>
          <cell r="AU45">
            <v>0</v>
          </cell>
          <cell r="AV45">
            <v>0</v>
          </cell>
          <cell r="BA45">
            <v>0</v>
          </cell>
          <cell r="BB45">
            <v>0</v>
          </cell>
          <cell r="BC45">
            <v>0</v>
          </cell>
          <cell r="BD45">
            <v>0</v>
          </cell>
          <cell r="BE45">
            <v>0</v>
          </cell>
          <cell r="BF45">
            <v>0</v>
          </cell>
          <cell r="BG45">
            <v>0</v>
          </cell>
          <cell r="BJ45">
            <v>0</v>
          </cell>
        </row>
        <row r="46">
          <cell r="F46">
            <v>24126496.460000005</v>
          </cell>
          <cell r="G46">
            <v>3337180.9109999998</v>
          </cell>
          <cell r="H46">
            <v>2222700.1579999998</v>
          </cell>
          <cell r="I46">
            <v>749988.2</v>
          </cell>
          <cell r="J46">
            <v>651795.3679999999</v>
          </cell>
          <cell r="K46">
            <v>2569234.9</v>
          </cell>
          <cell r="L46">
            <v>1771133.41</v>
          </cell>
          <cell r="M46">
            <v>407567</v>
          </cell>
          <cell r="N46">
            <v>1019837.1</v>
          </cell>
          <cell r="O46">
            <v>506885.3</v>
          </cell>
          <cell r="P46">
            <v>760687.3</v>
          </cell>
          <cell r="Q46">
            <v>250384.46599999999</v>
          </cell>
          <cell r="R46">
            <v>1176533.7</v>
          </cell>
          <cell r="S46">
            <v>1505931.2649999999</v>
          </cell>
          <cell r="T46">
            <v>267247.8</v>
          </cell>
          <cell r="U46">
            <v>246249.85</v>
          </cell>
          <cell r="V46">
            <v>831815.35</v>
          </cell>
          <cell r="W46">
            <v>470682.86</v>
          </cell>
          <cell r="X46">
            <v>0</v>
          </cell>
          <cell r="Y46">
            <v>0</v>
          </cell>
          <cell r="Z46">
            <v>18745854.938000005</v>
          </cell>
          <cell r="AA46">
            <v>0</v>
          </cell>
          <cell r="AB46">
            <v>0</v>
          </cell>
          <cell r="AC46">
            <v>12500</v>
          </cell>
          <cell r="AD46">
            <v>30840</v>
          </cell>
          <cell r="AH46">
            <v>43340</v>
          </cell>
          <cell r="AI46">
            <v>18789194.938000005</v>
          </cell>
          <cell r="AJ46">
            <v>144117.5</v>
          </cell>
          <cell r="AK46">
            <v>60848</v>
          </cell>
          <cell r="AL46">
            <v>23454.400000000023</v>
          </cell>
          <cell r="AN46">
            <v>228419.90000000002</v>
          </cell>
          <cell r="AO46">
            <v>5099886.7439999999</v>
          </cell>
          <cell r="AP46">
            <v>0</v>
          </cell>
          <cell r="AS46">
            <v>5099886.7439999999</v>
          </cell>
          <cell r="AT46">
            <v>0</v>
          </cell>
          <cell r="AU46">
            <v>6490</v>
          </cell>
          <cell r="AV46">
            <v>863.57799999999997</v>
          </cell>
          <cell r="BA46">
            <v>7353.5779999999995</v>
          </cell>
          <cell r="BB46">
            <v>0</v>
          </cell>
          <cell r="BC46">
            <v>1641.3</v>
          </cell>
          <cell r="BD46">
            <v>0</v>
          </cell>
          <cell r="BE46">
            <v>0</v>
          </cell>
          <cell r="BF46">
            <v>0</v>
          </cell>
          <cell r="BG46">
            <v>0</v>
          </cell>
          <cell r="BJ46">
            <v>1641.3</v>
          </cell>
        </row>
        <row r="47">
          <cell r="F47">
            <v>23190503.113000002</v>
          </cell>
          <cell r="G47">
            <v>3037877.3489999999</v>
          </cell>
          <cell r="H47">
            <v>2190166.6289999997</v>
          </cell>
          <cell r="I47">
            <v>822684.94900000002</v>
          </cell>
          <cell r="J47">
            <v>713431.321</v>
          </cell>
          <cell r="K47">
            <v>2296491.3760000002</v>
          </cell>
          <cell r="L47">
            <v>1551463.3020000001</v>
          </cell>
          <cell r="M47">
            <v>469290.09999999992</v>
          </cell>
          <cell r="N47">
            <v>1033874.992</v>
          </cell>
          <cell r="O47">
            <v>507902.94200000004</v>
          </cell>
          <cell r="P47">
            <v>727650.02899999986</v>
          </cell>
          <cell r="Q47">
            <v>314741.24400000001</v>
          </cell>
          <cell r="R47">
            <v>1062995.9480000001</v>
          </cell>
          <cell r="S47">
            <v>1454320.58</v>
          </cell>
          <cell r="T47">
            <v>249593.58799999999</v>
          </cell>
          <cell r="U47">
            <v>230755.791</v>
          </cell>
          <cell r="V47">
            <v>818291.69099999999</v>
          </cell>
          <cell r="W47">
            <v>450877.43399999995</v>
          </cell>
          <cell r="X47">
            <v>0</v>
          </cell>
          <cell r="Y47">
            <v>0</v>
          </cell>
          <cell r="Z47">
            <v>17932409.265000001</v>
          </cell>
          <cell r="AA47">
            <v>0</v>
          </cell>
          <cell r="AB47">
            <v>0</v>
          </cell>
          <cell r="AC47">
            <v>3276.556</v>
          </cell>
          <cell r="AD47">
            <v>8737.5559999999987</v>
          </cell>
          <cell r="AH47">
            <v>12014.111999999999</v>
          </cell>
          <cell r="AI47">
            <v>17944423.377</v>
          </cell>
          <cell r="AJ47">
            <v>130980.26199999999</v>
          </cell>
          <cell r="AK47">
            <v>93168.731000000029</v>
          </cell>
          <cell r="AL47">
            <v>42724.608000000066</v>
          </cell>
          <cell r="AN47">
            <v>266873.60100000008</v>
          </cell>
          <cell r="AO47">
            <v>4971956.6660000002</v>
          </cell>
          <cell r="AP47">
            <v>0</v>
          </cell>
          <cell r="AS47">
            <v>4971956.6660000002</v>
          </cell>
          <cell r="AT47">
            <v>1486.155</v>
          </cell>
          <cell r="AU47">
            <v>5763.3140000000003</v>
          </cell>
          <cell r="AV47">
            <v>0</v>
          </cell>
          <cell r="BA47">
            <v>7249.4690000000001</v>
          </cell>
          <cell r="BB47">
            <v>0</v>
          </cell>
          <cell r="BC47">
            <v>0</v>
          </cell>
          <cell r="BD47">
            <v>0</v>
          </cell>
          <cell r="BE47">
            <v>0</v>
          </cell>
          <cell r="BF47">
            <v>0</v>
          </cell>
          <cell r="BG47">
            <v>0</v>
          </cell>
          <cell r="BJ47">
            <v>0</v>
          </cell>
        </row>
        <row r="48">
          <cell r="F48">
            <v>935993.34700000286</v>
          </cell>
          <cell r="G48">
            <v>299303.56199999992</v>
          </cell>
          <cell r="H48">
            <v>32533.529000000097</v>
          </cell>
          <cell r="I48">
            <v>-72696.749000000069</v>
          </cell>
          <cell r="J48">
            <v>-61635.953000000096</v>
          </cell>
          <cell r="K48">
            <v>272743.52399999974</v>
          </cell>
          <cell r="L48">
            <v>219670.10799999977</v>
          </cell>
          <cell r="M48">
            <v>-61723.099999999919</v>
          </cell>
          <cell r="N48">
            <v>-14037.891999999993</v>
          </cell>
          <cell r="O48">
            <v>-1017.6420000000508</v>
          </cell>
          <cell r="P48">
            <v>33037.271000000183</v>
          </cell>
          <cell r="Q48">
            <v>-64356.77800000002</v>
          </cell>
          <cell r="R48">
            <v>113537.75199999986</v>
          </cell>
          <cell r="S48">
            <v>51610.684999999823</v>
          </cell>
          <cell r="T48">
            <v>17654.212</v>
          </cell>
          <cell r="U48">
            <v>15494.059000000008</v>
          </cell>
          <cell r="V48">
            <v>13523.658999999985</v>
          </cell>
          <cell r="W48">
            <v>19805.426000000036</v>
          </cell>
          <cell r="X48">
            <v>0</v>
          </cell>
          <cell r="Y48">
            <v>0</v>
          </cell>
          <cell r="Z48">
            <v>813445.67300000414</v>
          </cell>
          <cell r="AA48">
            <v>0</v>
          </cell>
          <cell r="AB48">
            <v>0</v>
          </cell>
          <cell r="AC48">
            <v>9223.4439999999995</v>
          </cell>
          <cell r="AD48">
            <v>22102.444000000003</v>
          </cell>
          <cell r="AH48">
            <v>31325.887999999999</v>
          </cell>
          <cell r="AI48">
            <v>844771.56100000441</v>
          </cell>
          <cell r="AJ48">
            <v>13137.238000000012</v>
          </cell>
          <cell r="AK48">
            <v>-32320.731000000029</v>
          </cell>
          <cell r="AL48">
            <v>-19270.208000000042</v>
          </cell>
          <cell r="AN48">
            <v>-38453.701000000059</v>
          </cell>
          <cell r="AO48">
            <v>127930.07799999975</v>
          </cell>
          <cell r="AP48">
            <v>0</v>
          </cell>
          <cell r="AS48">
            <v>127930.07799999975</v>
          </cell>
          <cell r="AT48">
            <v>-1486.155</v>
          </cell>
          <cell r="AU48">
            <v>726.68599999999969</v>
          </cell>
          <cell r="AV48">
            <v>863.57799999999997</v>
          </cell>
          <cell r="BA48">
            <v>104.10899999999947</v>
          </cell>
          <cell r="BB48">
            <v>0</v>
          </cell>
          <cell r="BC48">
            <v>1641.3</v>
          </cell>
          <cell r="BD48">
            <v>0</v>
          </cell>
          <cell r="BE48">
            <v>0</v>
          </cell>
          <cell r="BF48">
            <v>0</v>
          </cell>
          <cell r="BG48">
            <v>0</v>
          </cell>
          <cell r="BJ48">
            <v>1641.3</v>
          </cell>
        </row>
        <row r="49">
          <cell r="F49">
            <v>2177635.0520019317</v>
          </cell>
          <cell r="G49">
            <v>284229.97739094769</v>
          </cell>
          <cell r="H49">
            <v>207070.65965718028</v>
          </cell>
          <cell r="I49">
            <v>93407.31796614558</v>
          </cell>
          <cell r="J49">
            <v>80112.162926161211</v>
          </cell>
          <cell r="K49">
            <v>235544.07797632637</v>
          </cell>
          <cell r="L49">
            <v>177036.10337232554</v>
          </cell>
          <cell r="M49">
            <v>60188.12688263227</v>
          </cell>
          <cell r="N49">
            <v>120481.29831469261</v>
          </cell>
          <cell r="O49">
            <v>63153.905312706673</v>
          </cell>
          <cell r="P49">
            <v>90455.978464764703</v>
          </cell>
          <cell r="Q49">
            <v>46771.362643849774</v>
          </cell>
          <cell r="R49">
            <v>110841.36482836932</v>
          </cell>
          <cell r="S49">
            <v>145297.62399190906</v>
          </cell>
          <cell r="T49">
            <v>27830.793424053711</v>
          </cell>
          <cell r="U49">
            <v>27598.574184244972</v>
          </cell>
          <cell r="V49">
            <v>83275.654563852295</v>
          </cell>
          <cell r="W49">
            <v>47654.723360750184</v>
          </cell>
          <cell r="X49">
            <v>0</v>
          </cell>
          <cell r="Y49">
            <v>0</v>
          </cell>
          <cell r="Z49">
            <v>1900949.7052609124</v>
          </cell>
          <cell r="AA49">
            <v>7538.4580000000005</v>
          </cell>
          <cell r="AB49">
            <v>283.96899999999999</v>
          </cell>
          <cell r="AC49">
            <v>61.798999999999999</v>
          </cell>
          <cell r="AD49">
            <v>0</v>
          </cell>
          <cell r="AH49">
            <v>7884.2260000000006</v>
          </cell>
          <cell r="AI49">
            <v>1908833.9312609124</v>
          </cell>
          <cell r="AJ49">
            <v>19510.194120755397</v>
          </cell>
          <cell r="AK49">
            <v>13011.280540263911</v>
          </cell>
          <cell r="AL49">
            <v>14244.14408</v>
          </cell>
          <cell r="AN49">
            <v>46765.618741019309</v>
          </cell>
          <cell r="AO49">
            <v>166745.47899999999</v>
          </cell>
          <cell r="AP49">
            <v>0</v>
          </cell>
          <cell r="AS49">
            <v>166745.47899999999</v>
          </cell>
          <cell r="AT49">
            <v>0</v>
          </cell>
          <cell r="AU49">
            <v>0</v>
          </cell>
          <cell r="AV49">
            <v>0</v>
          </cell>
          <cell r="BA49">
            <v>0</v>
          </cell>
          <cell r="BB49">
            <v>0</v>
          </cell>
          <cell r="BC49">
            <v>18141.798999999999</v>
          </cell>
          <cell r="BD49">
            <v>0</v>
          </cell>
          <cell r="BE49">
            <v>0</v>
          </cell>
          <cell r="BF49">
            <v>37148.224000000002</v>
          </cell>
          <cell r="BG49">
            <v>0</v>
          </cell>
          <cell r="BJ49">
            <v>55290.023000000001</v>
          </cell>
        </row>
        <row r="50">
          <cell r="F50">
            <v>-1241641.7050019288</v>
          </cell>
          <cell r="G50">
            <v>15073.584609052225</v>
          </cell>
          <cell r="H50">
            <v>-174537.13065718018</v>
          </cell>
          <cell r="I50">
            <v>-166104.06696614565</v>
          </cell>
          <cell r="J50">
            <v>-141748.11592616129</v>
          </cell>
          <cell r="K50">
            <v>37199.446023673372</v>
          </cell>
          <cell r="L50">
            <v>42634.004627674236</v>
          </cell>
          <cell r="M50">
            <v>-121911.22688263218</v>
          </cell>
          <cell r="N50">
            <v>-134519.19031469262</v>
          </cell>
          <cell r="O50">
            <v>-64171.547312706723</v>
          </cell>
          <cell r="P50">
            <v>-57418.70746476452</v>
          </cell>
          <cell r="Q50">
            <v>-111128.14064384979</v>
          </cell>
          <cell r="R50">
            <v>2696.3871716305439</v>
          </cell>
          <cell r="S50">
            <v>-93686.938991909235</v>
          </cell>
          <cell r="T50">
            <v>-10176.581424053711</v>
          </cell>
          <cell r="U50">
            <v>-12104.515184244963</v>
          </cell>
          <cell r="V50">
            <v>-69751.99556385231</v>
          </cell>
          <cell r="W50">
            <v>-27849.297360750148</v>
          </cell>
          <cell r="X50">
            <v>0</v>
          </cell>
          <cell r="Y50">
            <v>0</v>
          </cell>
          <cell r="Z50">
            <v>-1087504.0322609083</v>
          </cell>
          <cell r="AA50">
            <v>-7538.4580000000005</v>
          </cell>
          <cell r="AB50">
            <v>-283.96899999999999</v>
          </cell>
          <cell r="AC50">
            <v>9161.6449999999986</v>
          </cell>
          <cell r="AD50">
            <v>22102.444000000003</v>
          </cell>
          <cell r="AH50">
            <v>23441.661999999997</v>
          </cell>
          <cell r="AI50">
            <v>-1064062.370260908</v>
          </cell>
          <cell r="AJ50">
            <v>-6372.9561207553852</v>
          </cell>
          <cell r="AK50">
            <v>-45332.011540263942</v>
          </cell>
          <cell r="AL50">
            <v>-33514.352080000041</v>
          </cell>
          <cell r="AN50">
            <v>-85219.319741019368</v>
          </cell>
          <cell r="AO50">
            <v>-38815.401000000245</v>
          </cell>
          <cell r="AP50">
            <v>0</v>
          </cell>
          <cell r="AS50">
            <v>-38815.401000000245</v>
          </cell>
          <cell r="AT50">
            <v>-1486.155</v>
          </cell>
          <cell r="AU50">
            <v>726.68599999999969</v>
          </cell>
          <cell r="AV50">
            <v>863.57799999999997</v>
          </cell>
          <cell r="BA50">
            <v>104.10899999999947</v>
          </cell>
          <cell r="BB50">
            <v>0</v>
          </cell>
          <cell r="BC50">
            <v>-16500.499</v>
          </cell>
          <cell r="BD50">
            <v>0</v>
          </cell>
          <cell r="BE50">
            <v>0</v>
          </cell>
          <cell r="BF50">
            <v>-37148.224000000002</v>
          </cell>
          <cell r="BG50">
            <v>0</v>
          </cell>
          <cell r="BJ50">
            <v>-53648.722999999998</v>
          </cell>
        </row>
        <row r="53">
          <cell r="AA53">
            <v>119694</v>
          </cell>
        </row>
        <row r="54">
          <cell r="AA54">
            <v>117030</v>
          </cell>
        </row>
        <row r="55">
          <cell r="AA55">
            <v>10000</v>
          </cell>
        </row>
        <row r="56">
          <cell r="AA56">
            <v>55200</v>
          </cell>
        </row>
      </sheetData>
      <sheetData sheetId="7">
        <row r="6">
          <cell r="F6" t="str">
            <v>합계</v>
          </cell>
        </row>
      </sheetData>
      <sheetData sheetId="8">
        <row r="6">
          <cell r="F6" t="str">
            <v>합계</v>
          </cell>
        </row>
      </sheetData>
      <sheetData sheetId="9">
        <row r="6">
          <cell r="F6" t="str">
            <v>합계</v>
          </cell>
        </row>
      </sheetData>
      <sheetData sheetId="10">
        <row r="6">
          <cell r="F6" t="str">
            <v>합계</v>
          </cell>
        </row>
      </sheetData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손익검증"/>
      <sheetName val="A1피벗"/>
      <sheetName val="A1피벗매출"/>
      <sheetName val="A1raw"/>
      <sheetName val="A1raw매출액"/>
      <sheetName val="월별"/>
      <sheetName val="1월"/>
      <sheetName val="2월"/>
      <sheetName val="2월누계"/>
      <sheetName val="3월"/>
      <sheetName val="3월누계"/>
      <sheetName val="4월"/>
      <sheetName val="4월누계"/>
      <sheetName val="5월"/>
      <sheetName val="5월누계"/>
      <sheetName val="6월"/>
      <sheetName val="6월누계"/>
      <sheetName val="7월"/>
      <sheetName val="7월누계"/>
      <sheetName val="8월"/>
      <sheetName val="8월누계"/>
      <sheetName val="9월"/>
      <sheetName val="9월누계"/>
      <sheetName val="10월"/>
      <sheetName val="10월누계"/>
      <sheetName val="11월"/>
      <sheetName val="11월누계"/>
      <sheetName val="12월"/>
      <sheetName val="12월누계"/>
      <sheetName val="3분기"/>
      <sheetName val="물량"/>
      <sheetName val="매출액"/>
      <sheetName val="매출원가"/>
      <sheetName val="노무비"/>
      <sheetName val="경비"/>
      <sheetName val="운반비"/>
      <sheetName val="영업공통비"/>
      <sheetName val="부문공통비"/>
      <sheetName val="본사공통비"/>
      <sheetName val="감가상각비_제조"/>
      <sheetName val="감가상각비_판매"/>
      <sheetName val="매출이익"/>
      <sheetName val="EBITDA1"/>
      <sheetName val="EBITDA2"/>
      <sheetName val="영업이익"/>
      <sheetName val="111월"/>
    </sheetNames>
    <sheetDataSet>
      <sheetData sheetId="0"/>
      <sheetData sheetId="1"/>
      <sheetData sheetId="2"/>
      <sheetData sheetId="3"/>
      <sheetData sheetId="4"/>
      <sheetData sheetId="5"/>
      <sheetData sheetId="6">
        <row r="6">
          <cell r="F6" t="str">
            <v>합계</v>
          </cell>
          <cell r="G6" t="str">
            <v>안양</v>
          </cell>
          <cell r="H6" t="str">
            <v>인천</v>
          </cell>
          <cell r="I6" t="str">
            <v>파주</v>
          </cell>
          <cell r="J6" t="str">
            <v>김포</v>
          </cell>
          <cell r="K6" t="str">
            <v>부산</v>
          </cell>
          <cell r="L6" t="str">
            <v>서부산</v>
          </cell>
          <cell r="M6" t="str">
            <v>김해</v>
          </cell>
          <cell r="N6" t="str">
            <v>정관</v>
          </cell>
          <cell r="O6" t="str">
            <v>양산</v>
          </cell>
          <cell r="P6" t="str">
            <v>창원</v>
          </cell>
          <cell r="Q6" t="str">
            <v>대구</v>
          </cell>
          <cell r="R6" t="str">
            <v>울산</v>
          </cell>
          <cell r="S6" t="str">
            <v>아산</v>
          </cell>
          <cell r="T6" t="str">
            <v>원주</v>
          </cell>
          <cell r="U6" t="str">
            <v>군산</v>
          </cell>
          <cell r="V6" t="str">
            <v>전주</v>
          </cell>
          <cell r="W6" t="str">
            <v>제주</v>
          </cell>
          <cell r="X6"/>
          <cell r="Y6"/>
          <cell r="Z6" t="str">
            <v>레미콘직영 계</v>
          </cell>
          <cell r="AA6" t="str">
            <v>속초임대</v>
          </cell>
          <cell r="AB6" t="str">
            <v>양양임대</v>
          </cell>
          <cell r="AC6" t="str">
            <v>강릉임대</v>
          </cell>
          <cell r="AD6" t="str">
            <v>포항임대</v>
          </cell>
          <cell r="AE6"/>
          <cell r="AF6"/>
          <cell r="AG6"/>
          <cell r="AH6" t="str">
            <v>레미콘임대 계</v>
          </cell>
          <cell r="AI6" t="str">
            <v>레미콘 총계</v>
          </cell>
          <cell r="AJ6" t="str">
            <v>부산골재</v>
          </cell>
          <cell r="AK6" t="str">
            <v>서부산골재</v>
          </cell>
          <cell r="AL6" t="str">
            <v>부산크라샤</v>
          </cell>
          <cell r="AM6"/>
          <cell r="AN6" t="str">
            <v>골재 계</v>
          </cell>
          <cell r="AO6" t="str">
            <v>건자재영업</v>
          </cell>
          <cell r="AP6" t="str">
            <v>부산시그마</v>
          </cell>
          <cell r="AQ6"/>
          <cell r="AR6"/>
          <cell r="AS6" t="str">
            <v>기타사업 계</v>
          </cell>
          <cell r="AT6" t="str">
            <v>주유소임대</v>
          </cell>
          <cell r="AU6" t="str">
            <v>부동산임대</v>
          </cell>
          <cell r="AV6" t="str">
            <v>기타임대</v>
          </cell>
          <cell r="AW6"/>
          <cell r="AX6"/>
          <cell r="AY6"/>
          <cell r="AZ6"/>
          <cell r="BA6" t="str">
            <v>임대 계</v>
          </cell>
          <cell r="BB6" t="str">
            <v>공통</v>
          </cell>
          <cell r="BC6" t="str">
            <v>M기타영업</v>
          </cell>
          <cell r="BD6" t="str">
            <v>opc소급</v>
          </cell>
          <cell r="BE6" t="str">
            <v>대손</v>
          </cell>
          <cell r="BF6" t="str">
            <v>미운영 공장</v>
          </cell>
          <cell r="BG6" t="str">
            <v>퇴직금</v>
          </cell>
          <cell r="BH6"/>
          <cell r="BI6"/>
          <cell r="BJ6" t="str">
            <v>기타 계</v>
          </cell>
          <cell r="BK6"/>
        </row>
        <row r="7">
          <cell r="F7"/>
          <cell r="G7">
            <v>27197</v>
          </cell>
          <cell r="H7">
            <v>15904</v>
          </cell>
          <cell r="I7">
            <v>8443</v>
          </cell>
          <cell r="J7">
            <v>5384.5</v>
          </cell>
          <cell r="K7">
            <v>13731</v>
          </cell>
          <cell r="L7">
            <v>12446</v>
          </cell>
          <cell r="M7">
            <v>5217</v>
          </cell>
          <cell r="N7">
            <v>16167</v>
          </cell>
          <cell r="O7">
            <v>5826</v>
          </cell>
          <cell r="P7">
            <v>9070</v>
          </cell>
          <cell r="Q7">
            <v>9533</v>
          </cell>
          <cell r="R7">
            <v>9133</v>
          </cell>
          <cell r="S7">
            <v>16996</v>
          </cell>
          <cell r="T7">
            <v>2178</v>
          </cell>
          <cell r="U7">
            <v>2625.5</v>
          </cell>
          <cell r="V7">
            <v>12050</v>
          </cell>
          <cell r="W7">
            <v>5978.5</v>
          </cell>
          <cell r="X7"/>
          <cell r="Y7"/>
          <cell r="Z7">
            <v>177879.5</v>
          </cell>
          <cell r="AA7">
            <v>0</v>
          </cell>
          <cell r="AB7">
            <v>0</v>
          </cell>
          <cell r="AC7">
            <v>0</v>
          </cell>
          <cell r="AD7">
            <v>0</v>
          </cell>
          <cell r="AE7"/>
          <cell r="AF7"/>
          <cell r="AG7"/>
          <cell r="AH7">
            <v>0</v>
          </cell>
          <cell r="AI7">
            <v>177879.5</v>
          </cell>
          <cell r="AJ7">
            <v>20580</v>
          </cell>
          <cell r="AK7">
            <v>1000</v>
          </cell>
          <cell r="AL7">
            <v>26672</v>
          </cell>
          <cell r="AM7"/>
          <cell r="AN7">
            <v>48252</v>
          </cell>
          <cell r="AO7">
            <v>8735.5020000000004</v>
          </cell>
          <cell r="AP7">
            <v>0</v>
          </cell>
          <cell r="AQ7"/>
          <cell r="AR7"/>
          <cell r="AS7"/>
          <cell r="AT7">
            <v>0</v>
          </cell>
          <cell r="AU7">
            <v>0</v>
          </cell>
          <cell r="AV7">
            <v>0</v>
          </cell>
          <cell r="AW7"/>
          <cell r="AX7"/>
          <cell r="AY7"/>
          <cell r="AZ7"/>
          <cell r="BA7">
            <v>0</v>
          </cell>
          <cell r="BB7">
            <v>0</v>
          </cell>
          <cell r="BC7">
            <v>0</v>
          </cell>
          <cell r="BD7">
            <v>0</v>
          </cell>
          <cell r="BE7">
            <v>0</v>
          </cell>
          <cell r="BF7">
            <v>0</v>
          </cell>
          <cell r="BG7">
            <v>0</v>
          </cell>
          <cell r="BH7"/>
          <cell r="BI7"/>
          <cell r="BJ7">
            <v>0</v>
          </cell>
          <cell r="BK7"/>
          <cell r="BL7"/>
          <cell r="BM7"/>
          <cell r="BN7"/>
          <cell r="BO7"/>
        </row>
        <row r="8">
          <cell r="F8">
            <v>26673512.355000004</v>
          </cell>
          <cell r="G8">
            <v>2706270.0350000001</v>
          </cell>
          <cell r="H8">
            <v>1602281.8019999999</v>
          </cell>
          <cell r="I8">
            <v>801171.8</v>
          </cell>
          <cell r="J8">
            <v>526205.76599999995</v>
          </cell>
          <cell r="K8">
            <v>1446236.6</v>
          </cell>
          <cell r="L8">
            <v>1219829.2</v>
          </cell>
          <cell r="M8">
            <v>492656.9</v>
          </cell>
          <cell r="N8">
            <v>1665289.3</v>
          </cell>
          <cell r="O8">
            <v>539413.9</v>
          </cell>
          <cell r="P8">
            <v>915394.65</v>
          </cell>
          <cell r="Q8">
            <v>932073.5</v>
          </cell>
          <cell r="R8">
            <v>978791.9</v>
          </cell>
          <cell r="S8">
            <v>1719265.737</v>
          </cell>
          <cell r="T8">
            <v>248372.8</v>
          </cell>
          <cell r="U8">
            <v>293559.777</v>
          </cell>
          <cell r="V8">
            <v>1162357.9369999999</v>
          </cell>
          <cell r="W8">
            <v>725220.46799999999</v>
          </cell>
          <cell r="X8"/>
          <cell r="Y8"/>
          <cell r="Z8">
            <v>17974392.072000001</v>
          </cell>
          <cell r="AA8">
            <v>50000</v>
          </cell>
          <cell r="AB8">
            <v>0</v>
          </cell>
          <cell r="AC8">
            <v>12500</v>
          </cell>
          <cell r="AD8">
            <v>28340</v>
          </cell>
          <cell r="AE8"/>
          <cell r="AF8"/>
          <cell r="AG8"/>
          <cell r="AH8">
            <v>90840</v>
          </cell>
          <cell r="AI8">
            <v>18065232.072000001</v>
          </cell>
          <cell r="AJ8">
            <v>571868</v>
          </cell>
          <cell r="AK8">
            <v>11500</v>
          </cell>
          <cell r="AL8">
            <v>468380</v>
          </cell>
          <cell r="AM8"/>
          <cell r="AN8">
            <v>1051748</v>
          </cell>
          <cell r="AO8">
            <v>7480119.6840000004</v>
          </cell>
          <cell r="AP8">
            <v>0</v>
          </cell>
          <cell r="AQ8"/>
          <cell r="AR8"/>
          <cell r="AS8">
            <v>7480119.6840000004</v>
          </cell>
          <cell r="AT8">
            <v>5512.5</v>
          </cell>
          <cell r="AU8">
            <v>5850</v>
          </cell>
          <cell r="AV8">
            <v>63370.249000000003</v>
          </cell>
          <cell r="AW8"/>
          <cell r="AX8"/>
          <cell r="AY8"/>
          <cell r="AZ8"/>
          <cell r="BA8">
            <v>74732.749000000011</v>
          </cell>
          <cell r="BB8">
            <v>0</v>
          </cell>
          <cell r="BC8">
            <v>1679.85</v>
          </cell>
          <cell r="BD8">
            <v>0</v>
          </cell>
          <cell r="BE8">
            <v>0</v>
          </cell>
          <cell r="BF8">
            <v>0</v>
          </cell>
          <cell r="BG8">
            <v>0</v>
          </cell>
          <cell r="BH8"/>
          <cell r="BI8"/>
          <cell r="BJ8">
            <v>1679.85</v>
          </cell>
          <cell r="BK8"/>
          <cell r="BL8"/>
          <cell r="BM8"/>
          <cell r="BN8"/>
          <cell r="BO8"/>
        </row>
        <row r="9">
          <cell r="F9"/>
          <cell r="G9">
            <v>99506.196823179038</v>
          </cell>
          <cell r="H9">
            <v>100747.09519617706</v>
          </cell>
          <cell r="I9">
            <v>94891.839393580478</v>
          </cell>
          <cell r="J9">
            <v>97726.022100473565</v>
          </cell>
          <cell r="K9">
            <v>105326.38555094313</v>
          </cell>
          <cell r="L9">
            <v>98009.738068455714</v>
          </cell>
          <cell r="M9">
            <v>94432.988307456399</v>
          </cell>
          <cell r="N9">
            <v>103005.46174305685</v>
          </cell>
          <cell r="O9">
            <v>92587.349811191219</v>
          </cell>
          <cell r="P9">
            <v>100925.54024255788</v>
          </cell>
          <cell r="Q9">
            <v>97773.366201615441</v>
          </cell>
          <cell r="R9">
            <v>107170.90769736121</v>
          </cell>
          <cell r="S9">
            <v>101157.08031301483</v>
          </cell>
          <cell r="T9">
            <v>114037.09825528007</v>
          </cell>
          <cell r="U9">
            <v>111810.99866692058</v>
          </cell>
          <cell r="V9">
            <v>96461.239585062227</v>
          </cell>
          <cell r="W9">
            <v>121304.75336622898</v>
          </cell>
          <cell r="X9"/>
          <cell r="Y9"/>
          <cell r="Z9">
            <v>101048.1369241537</v>
          </cell>
          <cell r="AA9">
            <v>0</v>
          </cell>
          <cell r="AB9">
            <v>0</v>
          </cell>
          <cell r="AC9">
            <v>0</v>
          </cell>
          <cell r="AD9">
            <v>0</v>
          </cell>
          <cell r="AE9"/>
          <cell r="AF9"/>
          <cell r="AG9"/>
          <cell r="AH9">
            <v>0</v>
          </cell>
          <cell r="AI9">
            <v>101558.81971784269</v>
          </cell>
          <cell r="AJ9">
            <v>27787.560738581145</v>
          </cell>
          <cell r="AK9">
            <v>11500</v>
          </cell>
          <cell r="AL9">
            <v>17560.737852429516</v>
          </cell>
          <cell r="AM9"/>
          <cell r="AN9"/>
          <cell r="AO9">
            <v>856289.61953188269</v>
          </cell>
          <cell r="AP9">
            <v>0</v>
          </cell>
          <cell r="AQ9"/>
          <cell r="AR9"/>
          <cell r="AS9">
            <v>0</v>
          </cell>
          <cell r="AT9">
            <v>0</v>
          </cell>
          <cell r="AU9">
            <v>0</v>
          </cell>
          <cell r="AV9">
            <v>0</v>
          </cell>
          <cell r="AW9"/>
          <cell r="AX9"/>
          <cell r="AY9"/>
          <cell r="AZ9"/>
          <cell r="BA9">
            <v>0</v>
          </cell>
          <cell r="BB9">
            <v>0</v>
          </cell>
          <cell r="BC9">
            <v>0</v>
          </cell>
          <cell r="BD9">
            <v>0</v>
          </cell>
          <cell r="BE9">
            <v>0</v>
          </cell>
          <cell r="BF9">
            <v>0</v>
          </cell>
          <cell r="BG9">
            <v>0</v>
          </cell>
          <cell r="BH9"/>
          <cell r="BI9"/>
          <cell r="BJ9">
            <v>0</v>
          </cell>
          <cell r="BK9"/>
          <cell r="BL9"/>
          <cell r="BM9"/>
          <cell r="BN9"/>
          <cell r="BO9"/>
        </row>
        <row r="10">
          <cell r="F10">
            <v>25674012.180410005</v>
          </cell>
          <cell r="G10">
            <v>2516437.6450799997</v>
          </cell>
          <cell r="H10">
            <v>1624424.8696899998</v>
          </cell>
          <cell r="I10">
            <v>832892.25553999993</v>
          </cell>
          <cell r="J10">
            <v>577945.46550000005</v>
          </cell>
          <cell r="K10">
            <v>1288689.06311</v>
          </cell>
          <cell r="L10">
            <v>1099541.6025</v>
          </cell>
          <cell r="M10">
            <v>497157.40454000008</v>
          </cell>
          <cell r="N10">
            <v>1503228.7066600001</v>
          </cell>
          <cell r="O10">
            <v>539519.96563999995</v>
          </cell>
          <cell r="P10">
            <v>832692.94425000006</v>
          </cell>
          <cell r="Q10">
            <v>861324.6202</v>
          </cell>
          <cell r="R10">
            <v>877896.27072999999</v>
          </cell>
          <cell r="S10">
            <v>1667301.46747</v>
          </cell>
          <cell r="T10">
            <v>235268.52212000001</v>
          </cell>
          <cell r="U10">
            <v>260598.66834999999</v>
          </cell>
          <cell r="V10">
            <v>1005285.5663300001</v>
          </cell>
          <cell r="W10">
            <v>626672.07039999997</v>
          </cell>
          <cell r="X10"/>
          <cell r="Y10"/>
          <cell r="Z10">
            <v>16846877.108110003</v>
          </cell>
          <cell r="AA10">
            <v>593.60500000000002</v>
          </cell>
          <cell r="AB10">
            <v>0</v>
          </cell>
          <cell r="AC10">
            <v>3451.52</v>
          </cell>
          <cell r="AD10">
            <v>8539.5400000000009</v>
          </cell>
          <cell r="AE10"/>
          <cell r="AF10"/>
          <cell r="AG10"/>
          <cell r="AH10">
            <v>12584.665000000001</v>
          </cell>
          <cell r="AI10">
            <v>16859461.773110002</v>
          </cell>
          <cell r="AJ10">
            <v>516885.04330000002</v>
          </cell>
          <cell r="AK10">
            <v>115055.70413</v>
          </cell>
          <cell r="AL10">
            <v>545266.33186999999</v>
          </cell>
          <cell r="AM10"/>
          <cell r="AN10">
            <v>1177207.0792999999</v>
          </cell>
          <cell r="AO10">
            <v>7334209.1920000007</v>
          </cell>
          <cell r="AP10">
            <v>0</v>
          </cell>
          <cell r="AQ10"/>
          <cell r="AR10"/>
          <cell r="AS10">
            <v>7334209.1920000007</v>
          </cell>
          <cell r="AT10">
            <v>143.00399999999999</v>
          </cell>
          <cell r="AU10">
            <v>186.25200000000001</v>
          </cell>
          <cell r="AV10">
            <v>0</v>
          </cell>
          <cell r="AW10"/>
          <cell r="AX10"/>
          <cell r="AY10"/>
          <cell r="AZ10"/>
          <cell r="BA10">
            <v>329.25599999999997</v>
          </cell>
          <cell r="BB10">
            <v>0</v>
          </cell>
          <cell r="BC10">
            <v>0</v>
          </cell>
          <cell r="BD10">
            <v>0</v>
          </cell>
          <cell r="BE10">
            <v>0</v>
          </cell>
          <cell r="BF10">
            <v>0</v>
          </cell>
          <cell r="BG10">
            <v>302804.88</v>
          </cell>
          <cell r="BH10"/>
          <cell r="BI10"/>
          <cell r="BJ10">
            <v>302804.88</v>
          </cell>
          <cell r="BK10"/>
          <cell r="BL10"/>
          <cell r="BM10"/>
          <cell r="BN10"/>
          <cell r="BO10"/>
        </row>
        <row r="11">
          <cell r="F11"/>
          <cell r="G11">
            <v>92526.294998713085</v>
          </cell>
          <cell r="H11">
            <v>102139.39069982394</v>
          </cell>
          <cell r="I11">
            <v>98648.851775435265</v>
          </cell>
          <cell r="J11">
            <v>107335.02934348595</v>
          </cell>
          <cell r="K11">
            <v>93852.528083169469</v>
          </cell>
          <cell r="L11">
            <v>88344.978507150896</v>
          </cell>
          <cell r="M11">
            <v>95295.649710561629</v>
          </cell>
          <cell r="N11">
            <v>92981.301828415919</v>
          </cell>
          <cell r="O11">
            <v>92605.555379334008</v>
          </cell>
          <cell r="P11">
            <v>91807.380843439911</v>
          </cell>
          <cell r="Q11">
            <v>90351.895541802165</v>
          </cell>
          <cell r="R11">
            <v>96123.537800284685</v>
          </cell>
          <cell r="S11">
            <v>98099.639178041893</v>
          </cell>
          <cell r="T11">
            <v>108020.44174471994</v>
          </cell>
          <cell r="U11">
            <v>99256.777128166068</v>
          </cell>
          <cell r="V11">
            <v>83426.18807717842</v>
          </cell>
          <cell r="W11">
            <v>104820.95348331521</v>
          </cell>
          <cell r="X11"/>
          <cell r="Y11"/>
          <cell r="Z11">
            <v>94709.492145581724</v>
          </cell>
          <cell r="AA11">
            <v>0</v>
          </cell>
          <cell r="AB11">
            <v>0</v>
          </cell>
          <cell r="AC11">
            <v>0</v>
          </cell>
          <cell r="AD11">
            <v>0</v>
          </cell>
          <cell r="AE11"/>
          <cell r="AF11"/>
          <cell r="AG11"/>
          <cell r="AH11">
            <v>0</v>
          </cell>
          <cell r="AI11">
            <v>94780.240404937067</v>
          </cell>
          <cell r="AJ11">
            <v>25115.891316812442</v>
          </cell>
          <cell r="AK11">
            <v>115055.70413</v>
          </cell>
          <cell r="AL11">
            <v>20443.398765371923</v>
          </cell>
          <cell r="AM11"/>
          <cell r="AN11"/>
          <cell r="AO11">
            <v>839586.45902662503</v>
          </cell>
          <cell r="AP11">
            <v>0</v>
          </cell>
          <cell r="AQ11"/>
          <cell r="AR11"/>
          <cell r="AS11">
            <v>0</v>
          </cell>
          <cell r="AT11">
            <v>0</v>
          </cell>
          <cell r="AU11">
            <v>0</v>
          </cell>
          <cell r="AV11">
            <v>0</v>
          </cell>
          <cell r="AW11"/>
          <cell r="AX11"/>
          <cell r="AY11"/>
          <cell r="AZ11"/>
          <cell r="BA11">
            <v>0</v>
          </cell>
          <cell r="BB11">
            <v>0</v>
          </cell>
          <cell r="BC11">
            <v>0</v>
          </cell>
          <cell r="BD11">
            <v>0</v>
          </cell>
          <cell r="BE11">
            <v>0</v>
          </cell>
          <cell r="BF11">
            <v>0</v>
          </cell>
          <cell r="BG11">
            <v>0</v>
          </cell>
          <cell r="BH11"/>
          <cell r="BI11"/>
          <cell r="BJ11">
            <v>0</v>
          </cell>
          <cell r="BK11"/>
          <cell r="BL11"/>
          <cell r="BM11"/>
          <cell r="BN11"/>
          <cell r="BO11"/>
        </row>
        <row r="12">
          <cell r="F12">
            <v>999500.17458999902</v>
          </cell>
          <cell r="G12">
            <v>189832.38992000045</v>
          </cell>
          <cell r="H12">
            <v>-22143.067689999938</v>
          </cell>
          <cell r="I12">
            <v>-31720.455539999879</v>
          </cell>
          <cell r="J12">
            <v>-51739.699500000104</v>
          </cell>
          <cell r="K12">
            <v>157547.5368900001</v>
          </cell>
          <cell r="L12">
            <v>120287.59749999992</v>
          </cell>
          <cell r="M12">
            <v>-4500.5045400000527</v>
          </cell>
          <cell r="N12">
            <v>162060.5933399999</v>
          </cell>
          <cell r="O12">
            <v>-106.06563999992795</v>
          </cell>
          <cell r="P12">
            <v>82701.705749999965</v>
          </cell>
          <cell r="Q12">
            <v>70748.879799999995</v>
          </cell>
          <cell r="R12">
            <v>100895.62927000003</v>
          </cell>
          <cell r="S12">
            <v>51964.269529999932</v>
          </cell>
          <cell r="T12">
            <v>13104.27787999998</v>
          </cell>
          <cell r="U12">
            <v>32961.108650000009</v>
          </cell>
          <cell r="V12">
            <v>157072.37066999986</v>
          </cell>
          <cell r="W12">
            <v>98548.397600000026</v>
          </cell>
          <cell r="X12"/>
          <cell r="Y12"/>
          <cell r="Z12">
            <v>1127514.9638900002</v>
          </cell>
          <cell r="AA12">
            <v>49406.394999999997</v>
          </cell>
          <cell r="AB12">
            <v>0</v>
          </cell>
          <cell r="AC12">
            <v>9048.48</v>
          </cell>
          <cell r="AD12">
            <v>19800.46</v>
          </cell>
          <cell r="AE12"/>
          <cell r="AF12"/>
          <cell r="AG12"/>
          <cell r="AH12">
            <v>78255.334999999992</v>
          </cell>
          <cell r="AI12">
            <v>1205770.2988899983</v>
          </cell>
          <cell r="AJ12">
            <v>54982.956699999981</v>
          </cell>
          <cell r="AK12">
            <v>-103555.70413</v>
          </cell>
          <cell r="AL12">
            <v>-76886.331869999995</v>
          </cell>
          <cell r="AM12"/>
          <cell r="AN12">
            <v>-125459.07929999987</v>
          </cell>
          <cell r="AO12">
            <v>145910.49199999962</v>
          </cell>
          <cell r="AP12">
            <v>0</v>
          </cell>
          <cell r="AQ12"/>
          <cell r="AR12"/>
          <cell r="AS12">
            <v>145910.49199999962</v>
          </cell>
          <cell r="AT12">
            <v>5369.4960000000001</v>
          </cell>
          <cell r="AU12">
            <v>5663.7479999999996</v>
          </cell>
          <cell r="AV12">
            <v>63370.249000000003</v>
          </cell>
          <cell r="AW12"/>
          <cell r="AX12"/>
          <cell r="AY12"/>
          <cell r="AZ12"/>
          <cell r="BA12">
            <v>74403.493000000002</v>
          </cell>
          <cell r="BB12">
            <v>0</v>
          </cell>
          <cell r="BC12">
            <v>1679.85</v>
          </cell>
          <cell r="BD12">
            <v>0</v>
          </cell>
          <cell r="BE12">
            <v>0</v>
          </cell>
          <cell r="BF12">
            <v>0</v>
          </cell>
          <cell r="BG12">
            <v>-302804.88</v>
          </cell>
          <cell r="BH12"/>
          <cell r="BI12"/>
          <cell r="BJ12">
            <v>-301125.03000000003</v>
          </cell>
          <cell r="BK12"/>
          <cell r="BL12"/>
          <cell r="BM12"/>
          <cell r="BN12"/>
          <cell r="BO12"/>
        </row>
        <row r="13">
          <cell r="F13">
            <v>1076816.2989999999</v>
          </cell>
          <cell r="G13">
            <v>71642.523000000001</v>
          </cell>
          <cell r="H13">
            <v>69543.555999999997</v>
          </cell>
          <cell r="I13">
            <v>54212.025000000001</v>
          </cell>
          <cell r="J13">
            <v>37536.703999999998</v>
          </cell>
          <cell r="K13">
            <v>53079.100999999995</v>
          </cell>
          <cell r="L13">
            <v>53894.702999999994</v>
          </cell>
          <cell r="M13">
            <v>45115.08</v>
          </cell>
          <cell r="N13">
            <v>42900.11</v>
          </cell>
          <cell r="O13">
            <v>37458.630999999994</v>
          </cell>
          <cell r="P13">
            <v>43561.896999999997</v>
          </cell>
          <cell r="Q13">
            <v>32876.558000000005</v>
          </cell>
          <cell r="R13">
            <v>27909.211000000003</v>
          </cell>
          <cell r="S13">
            <v>47001.212999999996</v>
          </cell>
          <cell r="T13">
            <v>11220.124</v>
          </cell>
          <cell r="U13">
            <v>11779.870999999999</v>
          </cell>
          <cell r="V13">
            <v>32395.294000000002</v>
          </cell>
          <cell r="W13">
            <v>16992.517</v>
          </cell>
          <cell r="X13"/>
          <cell r="Y13"/>
          <cell r="Z13">
            <v>689119.11800000002</v>
          </cell>
          <cell r="AA13">
            <v>0</v>
          </cell>
          <cell r="AB13">
            <v>281.00400000000002</v>
          </cell>
          <cell r="AC13">
            <v>0</v>
          </cell>
          <cell r="AD13">
            <v>0</v>
          </cell>
          <cell r="AE13"/>
          <cell r="AF13"/>
          <cell r="AG13"/>
          <cell r="AH13">
            <v>281.00400000000002</v>
          </cell>
          <cell r="AI13">
            <v>689400.12199999997</v>
          </cell>
          <cell r="AJ13">
            <v>0</v>
          </cell>
          <cell r="AK13">
            <v>0</v>
          </cell>
          <cell r="AL13">
            <v>0</v>
          </cell>
          <cell r="AM13"/>
          <cell r="AN13">
            <v>0</v>
          </cell>
          <cell r="AO13">
            <v>138418.897</v>
          </cell>
          <cell r="AP13">
            <v>0</v>
          </cell>
          <cell r="AQ13"/>
          <cell r="AR13"/>
          <cell r="AS13">
            <v>138418.897</v>
          </cell>
          <cell r="AT13">
            <v>0</v>
          </cell>
          <cell r="AU13">
            <v>0</v>
          </cell>
          <cell r="AV13">
            <v>0</v>
          </cell>
          <cell r="AW13"/>
          <cell r="AX13"/>
          <cell r="AY13"/>
          <cell r="AZ13"/>
          <cell r="BA13">
            <v>0</v>
          </cell>
          <cell r="BB13">
            <v>0</v>
          </cell>
          <cell r="BC13">
            <v>0</v>
          </cell>
          <cell r="BD13">
            <v>0</v>
          </cell>
          <cell r="BE13">
            <v>0</v>
          </cell>
          <cell r="BF13">
            <v>10610.380000000001</v>
          </cell>
          <cell r="BG13">
            <v>238386.9</v>
          </cell>
          <cell r="BH13"/>
          <cell r="BI13"/>
          <cell r="BJ13">
            <v>248997.28</v>
          </cell>
          <cell r="BK13"/>
          <cell r="BL13"/>
          <cell r="BM13"/>
          <cell r="BN13"/>
          <cell r="BO13"/>
        </row>
        <row r="14">
          <cell r="F14">
            <v>783412.6</v>
          </cell>
          <cell r="G14">
            <v>43118.315999999999</v>
          </cell>
          <cell r="H14">
            <v>45428.038999999997</v>
          </cell>
          <cell r="I14">
            <v>35294.118000000002</v>
          </cell>
          <cell r="J14">
            <v>26325.045000000002</v>
          </cell>
          <cell r="K14">
            <v>33487.981999999996</v>
          </cell>
          <cell r="L14">
            <v>35821.814999999995</v>
          </cell>
          <cell r="M14">
            <v>27388.455000000002</v>
          </cell>
          <cell r="N14">
            <v>27498.452999999998</v>
          </cell>
          <cell r="O14">
            <v>26735.756999999998</v>
          </cell>
          <cell r="P14">
            <v>27280.241000000002</v>
          </cell>
          <cell r="Q14">
            <v>21680.509000000002</v>
          </cell>
          <cell r="R14">
            <v>18819.569000000003</v>
          </cell>
          <cell r="S14">
            <v>32553.380999999998</v>
          </cell>
          <cell r="T14">
            <v>7515.6970000000001</v>
          </cell>
          <cell r="U14">
            <v>7570.5159999999996</v>
          </cell>
          <cell r="V14">
            <v>22264.538</v>
          </cell>
          <cell r="W14">
            <v>10860.244000000001</v>
          </cell>
          <cell r="X14"/>
          <cell r="Y14"/>
          <cell r="Z14">
            <v>449642.67499999999</v>
          </cell>
          <cell r="AA14">
            <v>0</v>
          </cell>
          <cell r="AB14">
            <v>0</v>
          </cell>
          <cell r="AC14">
            <v>0</v>
          </cell>
          <cell r="AD14">
            <v>0</v>
          </cell>
          <cell r="AE14"/>
          <cell r="AF14"/>
          <cell r="AG14"/>
          <cell r="AH14">
            <v>0</v>
          </cell>
          <cell r="AI14">
            <v>449642.67499999999</v>
          </cell>
          <cell r="AJ14">
            <v>0</v>
          </cell>
          <cell r="AK14">
            <v>0</v>
          </cell>
          <cell r="AL14">
            <v>0</v>
          </cell>
          <cell r="AM14"/>
          <cell r="AN14">
            <v>0</v>
          </cell>
          <cell r="AO14">
            <v>95383.024999999994</v>
          </cell>
          <cell r="AP14">
            <v>0</v>
          </cell>
          <cell r="AQ14"/>
          <cell r="AR14"/>
          <cell r="AS14">
            <v>95383.024999999994</v>
          </cell>
          <cell r="AT14">
            <v>0</v>
          </cell>
          <cell r="AU14">
            <v>0</v>
          </cell>
          <cell r="AV14">
            <v>0</v>
          </cell>
          <cell r="AW14"/>
          <cell r="AX14"/>
          <cell r="AY14"/>
          <cell r="AZ14"/>
          <cell r="BA14">
            <v>0</v>
          </cell>
          <cell r="BB14">
            <v>0</v>
          </cell>
          <cell r="BC14">
            <v>0</v>
          </cell>
          <cell r="BD14">
            <v>0</v>
          </cell>
          <cell r="BE14">
            <v>0</v>
          </cell>
          <cell r="BF14">
            <v>0</v>
          </cell>
          <cell r="BG14">
            <v>238386.9</v>
          </cell>
          <cell r="BH14"/>
          <cell r="BI14"/>
          <cell r="BJ14">
            <v>238386.9</v>
          </cell>
          <cell r="BK14"/>
          <cell r="BL14"/>
          <cell r="BM14"/>
          <cell r="BN14"/>
          <cell r="BO14"/>
        </row>
        <row r="15">
          <cell r="F15">
            <v>293403.69899999996</v>
          </cell>
          <cell r="G15">
            <v>28524.207000000002</v>
          </cell>
          <cell r="H15">
            <v>24115.517</v>
          </cell>
          <cell r="I15">
            <v>18917.906999999999</v>
          </cell>
          <cell r="J15">
            <v>11211.659</v>
          </cell>
          <cell r="K15">
            <v>19591.119000000002</v>
          </cell>
          <cell r="L15">
            <v>18072.887999999999</v>
          </cell>
          <cell r="M15">
            <v>17726.625</v>
          </cell>
          <cell r="N15">
            <v>15401.656999999999</v>
          </cell>
          <cell r="O15">
            <v>10722.874</v>
          </cell>
          <cell r="P15">
            <v>16281.655999999999</v>
          </cell>
          <cell r="Q15">
            <v>11196.048999999999</v>
          </cell>
          <cell r="R15">
            <v>9089.6419999999998</v>
          </cell>
          <cell r="S15">
            <v>14447.832</v>
          </cell>
          <cell r="T15">
            <v>3704.4270000000006</v>
          </cell>
          <cell r="U15">
            <v>4209.3550000000005</v>
          </cell>
          <cell r="V15">
            <v>10130.755999999999</v>
          </cell>
          <cell r="W15">
            <v>6132.2729999999992</v>
          </cell>
          <cell r="X15"/>
          <cell r="Y15"/>
          <cell r="Z15">
            <v>239476.44299999997</v>
          </cell>
          <cell r="AA15">
            <v>0</v>
          </cell>
          <cell r="AB15">
            <v>281.00400000000002</v>
          </cell>
          <cell r="AC15">
            <v>0</v>
          </cell>
          <cell r="AD15">
            <v>0</v>
          </cell>
          <cell r="AE15"/>
          <cell r="AF15"/>
          <cell r="AG15"/>
          <cell r="AH15">
            <v>281.00400000000002</v>
          </cell>
          <cell r="AI15">
            <v>239757.44699999996</v>
          </cell>
          <cell r="AJ15">
            <v>0</v>
          </cell>
          <cell r="AK15">
            <v>0</v>
          </cell>
          <cell r="AL15">
            <v>0</v>
          </cell>
          <cell r="AM15"/>
          <cell r="AN15">
            <v>0</v>
          </cell>
          <cell r="AO15">
            <v>43035.871999999996</v>
          </cell>
          <cell r="AP15">
            <v>0</v>
          </cell>
          <cell r="AQ15"/>
          <cell r="AR15"/>
          <cell r="AS15">
            <v>43035.871999999996</v>
          </cell>
          <cell r="AT15">
            <v>0</v>
          </cell>
          <cell r="AU15">
            <v>0</v>
          </cell>
          <cell r="AV15">
            <v>0</v>
          </cell>
          <cell r="AW15"/>
          <cell r="AX15"/>
          <cell r="AY15"/>
          <cell r="AZ15"/>
          <cell r="BA15">
            <v>0</v>
          </cell>
          <cell r="BB15">
            <v>0</v>
          </cell>
          <cell r="BC15">
            <v>0</v>
          </cell>
          <cell r="BD15">
            <v>0</v>
          </cell>
          <cell r="BE15">
            <v>0</v>
          </cell>
          <cell r="BF15">
            <v>10610.380000000001</v>
          </cell>
          <cell r="BG15">
            <v>0</v>
          </cell>
          <cell r="BH15"/>
          <cell r="BI15"/>
          <cell r="BJ15">
            <v>10610.380000000001</v>
          </cell>
          <cell r="BK15"/>
          <cell r="BL15"/>
          <cell r="BM15"/>
          <cell r="BN15"/>
          <cell r="BO15"/>
        </row>
        <row r="16">
          <cell r="F16">
            <v>0</v>
          </cell>
          <cell r="G16">
            <v>0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>
            <v>0</v>
          </cell>
          <cell r="M16">
            <v>0</v>
          </cell>
          <cell r="N16">
            <v>0</v>
          </cell>
          <cell r="O16">
            <v>0</v>
          </cell>
          <cell r="P16">
            <v>0</v>
          </cell>
          <cell r="Q16">
            <v>0</v>
          </cell>
          <cell r="R16">
            <v>0</v>
          </cell>
          <cell r="S16">
            <v>0</v>
          </cell>
          <cell r="T16">
            <v>0</v>
          </cell>
          <cell r="U16">
            <v>0</v>
          </cell>
          <cell r="V16">
            <v>0</v>
          </cell>
          <cell r="W16">
            <v>0</v>
          </cell>
          <cell r="X16"/>
          <cell r="Y16"/>
          <cell r="Z16">
            <v>0</v>
          </cell>
          <cell r="AA16">
            <v>0</v>
          </cell>
          <cell r="AB16">
            <v>0</v>
          </cell>
          <cell r="AC16">
            <v>0</v>
          </cell>
          <cell r="AD16">
            <v>0</v>
          </cell>
          <cell r="AE16"/>
          <cell r="AF16"/>
          <cell r="AG16"/>
          <cell r="AH16">
            <v>0</v>
          </cell>
          <cell r="AI16">
            <v>0</v>
          </cell>
          <cell r="AJ16">
            <v>0</v>
          </cell>
          <cell r="AK16">
            <v>0</v>
          </cell>
          <cell r="AL16">
            <v>0</v>
          </cell>
          <cell r="AM16"/>
          <cell r="AN16">
            <v>0</v>
          </cell>
          <cell r="AO16">
            <v>0</v>
          </cell>
          <cell r="AP16">
            <v>0</v>
          </cell>
          <cell r="AQ16"/>
          <cell r="AR16"/>
          <cell r="AS16">
            <v>0</v>
          </cell>
          <cell r="AT16">
            <v>0</v>
          </cell>
          <cell r="AU16">
            <v>0</v>
          </cell>
          <cell r="AV16">
            <v>0</v>
          </cell>
          <cell r="AW16"/>
          <cell r="AX16"/>
          <cell r="AY16"/>
          <cell r="AZ16"/>
          <cell r="BA16">
            <v>0</v>
          </cell>
          <cell r="BB16">
            <v>0</v>
          </cell>
          <cell r="BC16">
            <v>0</v>
          </cell>
          <cell r="BD16">
            <v>0</v>
          </cell>
          <cell r="BE16">
            <v>0</v>
          </cell>
          <cell r="BF16">
            <v>0</v>
          </cell>
          <cell r="BG16">
            <v>0</v>
          </cell>
          <cell r="BH16"/>
          <cell r="BI16"/>
          <cell r="BJ16">
            <v>0</v>
          </cell>
          <cell r="BK16"/>
          <cell r="BL16"/>
          <cell r="BM16"/>
          <cell r="BN16"/>
          <cell r="BO16"/>
        </row>
        <row r="17">
          <cell r="F17">
            <v>-77316.124410000863</v>
          </cell>
          <cell r="G17">
            <v>118189.86692000045</v>
          </cell>
          <cell r="H17">
            <v>-91686.623689999935</v>
          </cell>
          <cell r="I17">
            <v>-85932.480539999873</v>
          </cell>
          <cell r="J17">
            <v>-89276.403500000102</v>
          </cell>
          <cell r="K17">
            <v>104468.43589000011</v>
          </cell>
          <cell r="L17">
            <v>66392.894499999922</v>
          </cell>
          <cell r="M17">
            <v>-49615.584540000054</v>
          </cell>
          <cell r="N17">
            <v>119160.4833399999</v>
          </cell>
          <cell r="O17">
            <v>-37564.696639999922</v>
          </cell>
          <cell r="P17">
            <v>39139.808749999967</v>
          </cell>
          <cell r="Q17">
            <v>37872.321799999991</v>
          </cell>
          <cell r="R17">
            <v>72986.418270000024</v>
          </cell>
          <cell r="S17">
            <v>4963.0565299999362</v>
          </cell>
          <cell r="T17">
            <v>1884.1538799999798</v>
          </cell>
          <cell r="U17">
            <v>21181.23765000001</v>
          </cell>
          <cell r="V17">
            <v>124677.07666999986</v>
          </cell>
          <cell r="W17">
            <v>81555.880600000033</v>
          </cell>
          <cell r="X17"/>
          <cell r="Y17"/>
          <cell r="Z17">
            <v>438395.84589000023</v>
          </cell>
          <cell r="AA17">
            <v>49406.394999999997</v>
          </cell>
          <cell r="AB17">
            <v>-281.00400000000002</v>
          </cell>
          <cell r="AC17">
            <v>9048.48</v>
          </cell>
          <cell r="AD17">
            <v>19800.46</v>
          </cell>
          <cell r="AE17"/>
          <cell r="AF17"/>
          <cell r="AG17"/>
          <cell r="AH17">
            <v>77974.330999999991</v>
          </cell>
          <cell r="AI17">
            <v>516370.17688999837</v>
          </cell>
          <cell r="AJ17">
            <v>54982.956699999981</v>
          </cell>
          <cell r="AK17">
            <v>-103555.70413</v>
          </cell>
          <cell r="AL17">
            <v>-76886.331869999995</v>
          </cell>
          <cell r="AM17"/>
          <cell r="AN17">
            <v>-125459.07929999987</v>
          </cell>
          <cell r="AO17">
            <v>7491.5949999996228</v>
          </cell>
          <cell r="AP17">
            <v>0</v>
          </cell>
          <cell r="AQ17"/>
          <cell r="AR17"/>
          <cell r="AS17">
            <v>7491.5949999996228</v>
          </cell>
          <cell r="AT17">
            <v>5369.4960000000001</v>
          </cell>
          <cell r="AU17">
            <v>5663.7479999999996</v>
          </cell>
          <cell r="AV17">
            <v>63370.249000000003</v>
          </cell>
          <cell r="AW17"/>
          <cell r="AX17"/>
          <cell r="AY17"/>
          <cell r="AZ17"/>
          <cell r="BA17">
            <v>74403.493000000002</v>
          </cell>
          <cell r="BB17">
            <v>0</v>
          </cell>
          <cell r="BC17">
            <v>1679.85</v>
          </cell>
          <cell r="BD17">
            <v>0</v>
          </cell>
          <cell r="BE17">
            <v>0</v>
          </cell>
          <cell r="BF17">
            <v>-10610.380000000001</v>
          </cell>
          <cell r="BG17">
            <v>-541191.78</v>
          </cell>
          <cell r="BH17"/>
          <cell r="BI17"/>
          <cell r="BJ17">
            <v>-550122.31000000006</v>
          </cell>
          <cell r="BK17"/>
          <cell r="BL17"/>
          <cell r="BM17"/>
          <cell r="BN17"/>
          <cell r="BO17"/>
        </row>
        <row r="18">
          <cell r="F18">
            <v>581733.24360000005</v>
          </cell>
          <cell r="G18">
            <v>30132.181920000003</v>
          </cell>
          <cell r="H18">
            <v>35463.118310000005</v>
          </cell>
          <cell r="I18">
            <v>20612.66646</v>
          </cell>
          <cell r="J18">
            <v>18060.4925</v>
          </cell>
          <cell r="K18">
            <v>77537.196890000007</v>
          </cell>
          <cell r="L18">
            <v>31233.861499999999</v>
          </cell>
          <cell r="M18">
            <v>14872.136460000002</v>
          </cell>
          <cell r="N18">
            <v>24751.993340000001</v>
          </cell>
          <cell r="O18">
            <v>12644.55536</v>
          </cell>
          <cell r="P18">
            <v>31930.691749999998</v>
          </cell>
          <cell r="Q18">
            <v>15841.6198</v>
          </cell>
          <cell r="R18">
            <v>15261.930270000001</v>
          </cell>
          <cell r="S18">
            <v>35744.613530000002</v>
          </cell>
          <cell r="T18">
            <v>5913.8578799999996</v>
          </cell>
          <cell r="U18">
            <v>11124.03765</v>
          </cell>
          <cell r="V18">
            <v>20972.915670000002</v>
          </cell>
          <cell r="W18">
            <v>13159.7356</v>
          </cell>
          <cell r="X18"/>
          <cell r="Y18"/>
          <cell r="Z18">
            <v>415257.60489000002</v>
          </cell>
          <cell r="AA18">
            <v>5669.0559999999996</v>
          </cell>
          <cell r="AB18">
            <v>0</v>
          </cell>
          <cell r="AC18">
            <v>0</v>
          </cell>
          <cell r="AD18">
            <v>0</v>
          </cell>
          <cell r="AE18"/>
          <cell r="AF18"/>
          <cell r="AG18"/>
          <cell r="AH18">
            <v>5669.0559999999996</v>
          </cell>
          <cell r="AI18">
            <v>420926.66089000006</v>
          </cell>
          <cell r="AJ18">
            <v>30808.8027</v>
          </cell>
          <cell r="AK18">
            <v>15301.89487</v>
          </cell>
          <cell r="AL18">
            <v>58947.765140000003</v>
          </cell>
          <cell r="AM18"/>
          <cell r="AN18">
            <v>105058.46271000001</v>
          </cell>
          <cell r="AO18">
            <v>5794.3459999999995</v>
          </cell>
          <cell r="AP18">
            <v>0</v>
          </cell>
          <cell r="AQ18"/>
          <cell r="AR18"/>
          <cell r="AS18">
            <v>5794.3459999999995</v>
          </cell>
          <cell r="AT18">
            <v>1312.8920000000001</v>
          </cell>
          <cell r="AU18">
            <v>8489.6080000000002</v>
          </cell>
          <cell r="AV18">
            <v>0</v>
          </cell>
          <cell r="AW18"/>
          <cell r="AX18"/>
          <cell r="AY18"/>
          <cell r="AZ18"/>
          <cell r="BA18">
            <v>9802.5</v>
          </cell>
          <cell r="BB18">
            <v>0</v>
          </cell>
          <cell r="BC18">
            <v>17689.941999999999</v>
          </cell>
          <cell r="BD18">
            <v>0</v>
          </cell>
          <cell r="BE18">
            <v>0</v>
          </cell>
          <cell r="BF18">
            <v>22461.331999999999</v>
          </cell>
          <cell r="BG18">
            <v>0</v>
          </cell>
          <cell r="BH18"/>
          <cell r="BI18"/>
          <cell r="BJ18">
            <v>40151.273999999998</v>
          </cell>
          <cell r="BK18"/>
          <cell r="BL18"/>
          <cell r="BM18"/>
          <cell r="BN18"/>
          <cell r="BO18"/>
        </row>
        <row r="19">
          <cell r="F19">
            <v>514378.30760000006</v>
          </cell>
          <cell r="G19">
            <v>28174.959920000001</v>
          </cell>
          <cell r="H19">
            <v>33147.583310000002</v>
          </cell>
          <cell r="I19">
            <v>18841.419460000001</v>
          </cell>
          <cell r="J19">
            <v>16868.504499999999</v>
          </cell>
          <cell r="K19">
            <v>75661.13089</v>
          </cell>
          <cell r="L19">
            <v>29669.459500000001</v>
          </cell>
          <cell r="M19">
            <v>13678.537460000001</v>
          </cell>
          <cell r="N19">
            <v>23188.688340000001</v>
          </cell>
          <cell r="O19">
            <v>11894.51936</v>
          </cell>
          <cell r="P19">
            <v>30711.925749999999</v>
          </cell>
          <cell r="Q19">
            <v>15006.6288</v>
          </cell>
          <cell r="R19">
            <v>14159.77527</v>
          </cell>
          <cell r="S19">
            <v>34156.412530000001</v>
          </cell>
          <cell r="T19">
            <v>5543.4578799999999</v>
          </cell>
          <cell r="U19">
            <v>10681.16865</v>
          </cell>
          <cell r="V19">
            <v>20129.751670000001</v>
          </cell>
          <cell r="W19">
            <v>12334.365599999999</v>
          </cell>
          <cell r="X19"/>
          <cell r="Y19"/>
          <cell r="Z19">
            <v>393848.28889000008</v>
          </cell>
          <cell r="AA19">
            <v>5669.0559999999996</v>
          </cell>
          <cell r="AB19">
            <v>0</v>
          </cell>
          <cell r="AC19">
            <v>0</v>
          </cell>
          <cell r="AD19">
            <v>0</v>
          </cell>
          <cell r="AE19"/>
          <cell r="AF19"/>
          <cell r="AG19"/>
          <cell r="AH19">
            <v>5669.0559999999996</v>
          </cell>
          <cell r="AI19">
            <v>399517.34489000007</v>
          </cell>
          <cell r="AJ19">
            <v>30808.8027</v>
          </cell>
          <cell r="AK19">
            <v>15301.89487</v>
          </cell>
          <cell r="AL19">
            <v>58947.765140000003</v>
          </cell>
          <cell r="AM19"/>
          <cell r="AN19">
            <v>105058.46271000001</v>
          </cell>
          <cell r="AO19">
            <v>0</v>
          </cell>
          <cell r="AP19">
            <v>0</v>
          </cell>
          <cell r="AQ19"/>
          <cell r="AR19"/>
          <cell r="AS19">
            <v>0</v>
          </cell>
          <cell r="AT19">
            <v>1312.8920000000001</v>
          </cell>
          <cell r="AU19">
            <v>8489.6080000000002</v>
          </cell>
          <cell r="AV19">
            <v>0</v>
          </cell>
          <cell r="AW19"/>
          <cell r="AX19"/>
          <cell r="AY19"/>
          <cell r="AZ19"/>
          <cell r="BA19">
            <v>9802.5</v>
          </cell>
          <cell r="BB19">
            <v>0</v>
          </cell>
          <cell r="BC19">
            <v>0</v>
          </cell>
          <cell r="BD19">
            <v>0</v>
          </cell>
          <cell r="BE19">
            <v>0</v>
          </cell>
          <cell r="BF19">
            <v>0</v>
          </cell>
          <cell r="BG19">
            <v>0</v>
          </cell>
          <cell r="BH19"/>
          <cell r="BI19"/>
          <cell r="BJ19">
            <v>0</v>
          </cell>
          <cell r="BK19"/>
          <cell r="BL19"/>
          <cell r="BM19"/>
          <cell r="BN19"/>
          <cell r="BO19"/>
        </row>
        <row r="20">
          <cell r="F20">
            <v>67354.936000000002</v>
          </cell>
          <cell r="G20">
            <v>1957.222</v>
          </cell>
          <cell r="H20">
            <v>2315.5349999999999</v>
          </cell>
          <cell r="I20">
            <v>1771.2470000000001</v>
          </cell>
          <cell r="J20">
            <v>1191.9880000000001</v>
          </cell>
          <cell r="K20">
            <v>1876.066</v>
          </cell>
          <cell r="L20">
            <v>1564.402</v>
          </cell>
          <cell r="M20">
            <v>1193.5989999999999</v>
          </cell>
          <cell r="N20">
            <v>1563.3050000000001</v>
          </cell>
          <cell r="O20">
            <v>750.03599999999994</v>
          </cell>
          <cell r="P20">
            <v>1218.7660000000001</v>
          </cell>
          <cell r="Q20">
            <v>834.99099999999999</v>
          </cell>
          <cell r="R20">
            <v>1102.155</v>
          </cell>
          <cell r="S20">
            <v>1588.201</v>
          </cell>
          <cell r="T20">
            <v>370.4</v>
          </cell>
          <cell r="U20">
            <v>442.86900000000003</v>
          </cell>
          <cell r="V20">
            <v>843.16399999999999</v>
          </cell>
          <cell r="W20">
            <v>825.37</v>
          </cell>
          <cell r="X20"/>
          <cell r="Y20"/>
          <cell r="Z20">
            <v>21409.316000000003</v>
          </cell>
          <cell r="AA20">
            <v>0</v>
          </cell>
          <cell r="AB20">
            <v>0</v>
          </cell>
          <cell r="AC20">
            <v>0</v>
          </cell>
          <cell r="AD20">
            <v>0</v>
          </cell>
          <cell r="AE20"/>
          <cell r="AF20"/>
          <cell r="AG20"/>
          <cell r="AH20">
            <v>0</v>
          </cell>
          <cell r="AI20">
            <v>21409.316000000003</v>
          </cell>
          <cell r="AJ20">
            <v>0</v>
          </cell>
          <cell r="AK20">
            <v>0</v>
          </cell>
          <cell r="AL20">
            <v>0</v>
          </cell>
          <cell r="AM20"/>
          <cell r="AN20">
            <v>0</v>
          </cell>
          <cell r="AO20">
            <v>5794.3459999999995</v>
          </cell>
          <cell r="AP20">
            <v>0</v>
          </cell>
          <cell r="AQ20"/>
          <cell r="AR20"/>
          <cell r="AS20">
            <v>5794.3459999999995</v>
          </cell>
          <cell r="AT20">
            <v>0</v>
          </cell>
          <cell r="AU20">
            <v>0</v>
          </cell>
          <cell r="AV20">
            <v>0</v>
          </cell>
          <cell r="AW20"/>
          <cell r="AX20"/>
          <cell r="AY20"/>
          <cell r="AZ20"/>
          <cell r="BA20">
            <v>0</v>
          </cell>
          <cell r="BB20">
            <v>0</v>
          </cell>
          <cell r="BC20">
            <v>17689.941999999999</v>
          </cell>
          <cell r="BD20">
            <v>0</v>
          </cell>
          <cell r="BE20">
            <v>0</v>
          </cell>
          <cell r="BF20">
            <v>22461.331999999999</v>
          </cell>
          <cell r="BG20">
            <v>0</v>
          </cell>
          <cell r="BH20"/>
          <cell r="BI20"/>
          <cell r="BJ20">
            <v>40151.273999999998</v>
          </cell>
          <cell r="BK20"/>
          <cell r="BL20"/>
          <cell r="BM20"/>
          <cell r="BN20"/>
          <cell r="BO20"/>
        </row>
        <row r="21">
          <cell r="F21">
            <v>-659049.36801000091</v>
          </cell>
          <cell r="G21">
            <v>88057.685000000449</v>
          </cell>
          <cell r="H21">
            <v>-127149.74199999994</v>
          </cell>
          <cell r="I21">
            <v>-106545.14699999988</v>
          </cell>
          <cell r="J21">
            <v>-107336.8960000001</v>
          </cell>
          <cell r="K21">
            <v>26931.239000000103</v>
          </cell>
          <cell r="L21">
            <v>35159.032999999923</v>
          </cell>
          <cell r="M21">
            <v>-64487.721000000056</v>
          </cell>
          <cell r="N21">
            <v>94408.489999999903</v>
          </cell>
          <cell r="O21">
            <v>-50209.25199999992</v>
          </cell>
          <cell r="P21">
            <v>7209.1169999999693</v>
          </cell>
          <cell r="Q21">
            <v>22030.70199999999</v>
          </cell>
          <cell r="R21">
            <v>57724.488000000027</v>
          </cell>
          <cell r="S21">
            <v>-30781.557000000066</v>
          </cell>
          <cell r="T21">
            <v>-4029.7040000000197</v>
          </cell>
          <cell r="U21">
            <v>10057.20000000001</v>
          </cell>
          <cell r="V21">
            <v>103704.16099999986</v>
          </cell>
          <cell r="W21">
            <v>68396.145000000033</v>
          </cell>
          <cell r="X21"/>
          <cell r="Y21"/>
          <cell r="Z21">
            <v>23138.241000000213</v>
          </cell>
          <cell r="AA21">
            <v>43737.339</v>
          </cell>
          <cell r="AB21">
            <v>-281.00400000000002</v>
          </cell>
          <cell r="AC21">
            <v>9048.48</v>
          </cell>
          <cell r="AD21">
            <v>19800.46</v>
          </cell>
          <cell r="AE21"/>
          <cell r="AF21"/>
          <cell r="AG21"/>
          <cell r="AH21">
            <v>72305.274999999994</v>
          </cell>
          <cell r="AI21">
            <v>95443.515999998315</v>
          </cell>
          <cell r="AJ21">
            <v>24174.15399999998</v>
          </cell>
          <cell r="AK21">
            <v>-118857.599</v>
          </cell>
          <cell r="AL21">
            <v>-135834.09701</v>
          </cell>
          <cell r="AM21"/>
          <cell r="AN21">
            <v>-230517.54200999986</v>
          </cell>
          <cell r="AO21">
            <v>1697.2489999996233</v>
          </cell>
          <cell r="AP21">
            <v>0</v>
          </cell>
          <cell r="AQ21"/>
          <cell r="AR21"/>
          <cell r="AS21">
            <v>1697.2489999996233</v>
          </cell>
          <cell r="AT21">
            <v>4056.6040000000003</v>
          </cell>
          <cell r="AU21">
            <v>-2825.8600000000006</v>
          </cell>
          <cell r="AV21">
            <v>63370.249000000003</v>
          </cell>
          <cell r="AW21"/>
          <cell r="AX21"/>
          <cell r="AY21"/>
          <cell r="AZ21"/>
          <cell r="BA21">
            <v>64600.993000000002</v>
          </cell>
          <cell r="BB21">
            <v>0</v>
          </cell>
          <cell r="BC21">
            <v>-16010.091999999999</v>
          </cell>
          <cell r="BD21">
            <v>0</v>
          </cell>
          <cell r="BE21">
            <v>0</v>
          </cell>
          <cell r="BF21">
            <v>-33071.712</v>
          </cell>
          <cell r="BG21">
            <v>-541191.78</v>
          </cell>
          <cell r="BH21"/>
          <cell r="BI21"/>
          <cell r="BJ21">
            <v>-590273.58400000003</v>
          </cell>
          <cell r="BK21"/>
          <cell r="BL21"/>
          <cell r="BM21"/>
          <cell r="BN21"/>
          <cell r="BO21"/>
        </row>
        <row r="22">
          <cell r="F22">
            <v>1904912.3079957718</v>
          </cell>
          <cell r="G22">
            <v>241066.64423464346</v>
          </cell>
          <cell r="H22">
            <v>142726.59126064536</v>
          </cell>
          <cell r="I22">
            <v>71366.048023152616</v>
          </cell>
          <cell r="J22">
            <v>46872.875413757451</v>
          </cell>
          <cell r="K22">
            <v>135198.79755959311</v>
          </cell>
          <cell r="L22">
            <v>114033.51365058828</v>
          </cell>
          <cell r="M22">
            <v>46055.134055822331</v>
          </cell>
          <cell r="N22">
            <v>155676.54071875688</v>
          </cell>
          <cell r="O22">
            <v>50426.127140559569</v>
          </cell>
          <cell r="P22">
            <v>85574.003570705216</v>
          </cell>
          <cell r="Q22">
            <v>87133.195520816851</v>
          </cell>
          <cell r="R22">
            <v>91500.580154775147</v>
          </cell>
          <cell r="S22">
            <v>153147.17910852935</v>
          </cell>
          <cell r="T22">
            <v>22124.324860716362</v>
          </cell>
          <cell r="U22">
            <v>26149.449023353005</v>
          </cell>
          <cell r="V22">
            <v>103539.45602183526</v>
          </cell>
          <cell r="W22">
            <v>64600.52481460433</v>
          </cell>
          <cell r="X22"/>
          <cell r="Y22"/>
          <cell r="Z22">
            <v>1637190.9851328547</v>
          </cell>
          <cell r="AA22">
            <v>0</v>
          </cell>
          <cell r="AB22">
            <v>0</v>
          </cell>
          <cell r="AC22">
            <v>0</v>
          </cell>
          <cell r="AD22">
            <v>0</v>
          </cell>
          <cell r="AE22"/>
          <cell r="AF22"/>
          <cell r="AG22"/>
          <cell r="AH22">
            <v>0</v>
          </cell>
          <cell r="AI22">
            <v>1637190.9851328547</v>
          </cell>
          <cell r="AJ22">
            <v>26952.699272872214</v>
          </cell>
          <cell r="AK22">
            <v>542.00627004488877</v>
          </cell>
          <cell r="AL22">
            <v>22075.208409999999</v>
          </cell>
          <cell r="AM22"/>
          <cell r="AN22">
            <v>49569.913952917101</v>
          </cell>
          <cell r="AO22">
            <v>0</v>
          </cell>
          <cell r="AP22">
            <v>0</v>
          </cell>
          <cell r="AQ22"/>
          <cell r="AR22"/>
          <cell r="AS22">
            <v>0</v>
          </cell>
          <cell r="AT22">
            <v>0</v>
          </cell>
          <cell r="AU22">
            <v>0</v>
          </cell>
          <cell r="AV22">
            <v>0</v>
          </cell>
          <cell r="AW22"/>
          <cell r="AX22"/>
          <cell r="AY22"/>
          <cell r="AZ22"/>
          <cell r="BA22">
            <v>0</v>
          </cell>
          <cell r="BB22">
            <v>0</v>
          </cell>
          <cell r="BC22">
            <v>0</v>
          </cell>
          <cell r="BD22">
            <v>0</v>
          </cell>
          <cell r="BE22">
            <v>0</v>
          </cell>
          <cell r="BF22">
            <v>0</v>
          </cell>
          <cell r="BG22">
            <v>218151.40891</v>
          </cell>
          <cell r="BH22"/>
          <cell r="BI22"/>
          <cell r="BJ22">
            <v>218151.40891</v>
          </cell>
          <cell r="BK22"/>
          <cell r="BL22"/>
          <cell r="BM22"/>
          <cell r="BN22"/>
          <cell r="BO22"/>
        </row>
        <row r="23">
          <cell r="F23">
            <v>268277.95799577172</v>
          </cell>
          <cell r="G23">
            <v>27496.256804934041</v>
          </cell>
          <cell r="H23">
            <v>16279.510666667256</v>
          </cell>
          <cell r="I23">
            <v>8140.069273490386</v>
          </cell>
          <cell r="J23">
            <v>5346.3581560784733</v>
          </cell>
          <cell r="K23">
            <v>21066.317436623525</v>
          </cell>
          <cell r="L23">
            <v>17768.399130310019</v>
          </cell>
          <cell r="M23">
            <v>7176.188628294216</v>
          </cell>
          <cell r="N23">
            <v>24257.104969970045</v>
          </cell>
          <cell r="O23">
            <v>7857.2651578082705</v>
          </cell>
          <cell r="P23">
            <v>13333.913881509352</v>
          </cell>
          <cell r="Q23">
            <v>13576.863028680587</v>
          </cell>
          <cell r="R23">
            <v>14257.377298981277</v>
          </cell>
          <cell r="S23">
            <v>17468.091361576258</v>
          </cell>
          <cell r="T23">
            <v>2523.5184234527137</v>
          </cell>
          <cell r="U23">
            <v>2982.6273474558011</v>
          </cell>
          <cell r="V23">
            <v>11809.794263566657</v>
          </cell>
          <cell r="W23">
            <v>7368.388213455738</v>
          </cell>
          <cell r="X23"/>
          <cell r="Y23"/>
          <cell r="Z23">
            <v>218708.0440428546</v>
          </cell>
          <cell r="AA23">
            <v>0</v>
          </cell>
          <cell r="AB23">
            <v>0</v>
          </cell>
          <cell r="AC23">
            <v>0</v>
          </cell>
          <cell r="AD23">
            <v>0</v>
          </cell>
          <cell r="AE23"/>
          <cell r="AF23"/>
          <cell r="AG23"/>
          <cell r="AH23">
            <v>0</v>
          </cell>
          <cell r="AI23">
            <v>218708.0440428546</v>
          </cell>
          <cell r="AJ23">
            <v>26952.699272872214</v>
          </cell>
          <cell r="AK23">
            <v>542.00627004488877</v>
          </cell>
          <cell r="AL23">
            <v>22075.208409999999</v>
          </cell>
          <cell r="AM23"/>
          <cell r="AN23">
            <v>49569.913952917101</v>
          </cell>
          <cell r="AO23">
            <v>0</v>
          </cell>
          <cell r="AP23">
            <v>0</v>
          </cell>
          <cell r="AQ23"/>
          <cell r="AR23"/>
          <cell r="AS23">
            <v>0</v>
          </cell>
          <cell r="AT23">
            <v>0</v>
          </cell>
          <cell r="AU23">
            <v>0</v>
          </cell>
          <cell r="AV23">
            <v>0</v>
          </cell>
          <cell r="AW23"/>
          <cell r="AX23"/>
          <cell r="AY23"/>
          <cell r="AZ23"/>
          <cell r="BA23">
            <v>0</v>
          </cell>
          <cell r="BB23">
            <v>0</v>
          </cell>
          <cell r="BC23">
            <v>0</v>
          </cell>
          <cell r="BD23">
            <v>0</v>
          </cell>
          <cell r="BE23">
            <v>0</v>
          </cell>
          <cell r="BF23">
            <v>0</v>
          </cell>
          <cell r="BG23">
            <v>0</v>
          </cell>
          <cell r="BH23"/>
          <cell r="BI23"/>
          <cell r="BJ23">
            <v>0</v>
          </cell>
          <cell r="BK23"/>
          <cell r="BL23"/>
          <cell r="BM23"/>
          <cell r="BN23"/>
          <cell r="BO23"/>
        </row>
        <row r="24">
          <cell r="F24">
            <v>522917.45699999988</v>
          </cell>
          <cell r="G24">
            <v>78731.777908750009</v>
          </cell>
          <cell r="H24">
            <v>46614.156514612463</v>
          </cell>
          <cell r="I24">
            <v>23307.977182089842</v>
          </cell>
          <cell r="J24">
            <v>15308.56676060254</v>
          </cell>
          <cell r="K24">
            <v>42074.433564315659</v>
          </cell>
          <cell r="L24">
            <v>35487.708328784043</v>
          </cell>
          <cell r="M24">
            <v>14332.551125487838</v>
          </cell>
          <cell r="N24">
            <v>48447.193231187572</v>
          </cell>
          <cell r="O24">
            <v>15692.822529327781</v>
          </cell>
          <cell r="P24">
            <v>26630.989276965462</v>
          </cell>
          <cell r="Q24">
            <v>27116.216359625509</v>
          </cell>
          <cell r="R24">
            <v>28475.364798429451</v>
          </cell>
          <cell r="S24">
            <v>50017.49508400679</v>
          </cell>
          <cell r="T24">
            <v>7225.7505257321382</v>
          </cell>
          <cell r="U24">
            <v>8540.3462576882775</v>
          </cell>
          <cell r="V24">
            <v>33815.733745267891</v>
          </cell>
          <cell r="W24">
            <v>21098.373807126656</v>
          </cell>
          <cell r="X24"/>
          <cell r="Y24"/>
          <cell r="Z24">
            <v>522917.45699999988</v>
          </cell>
          <cell r="AA24">
            <v>0</v>
          </cell>
          <cell r="AB24">
            <v>0</v>
          </cell>
          <cell r="AC24">
            <v>0</v>
          </cell>
          <cell r="AD24">
            <v>0</v>
          </cell>
          <cell r="AE24"/>
          <cell r="AF24"/>
          <cell r="AG24"/>
          <cell r="AH24">
            <v>0</v>
          </cell>
          <cell r="AI24">
            <v>522917.45699999988</v>
          </cell>
          <cell r="AJ24">
            <v>0</v>
          </cell>
          <cell r="AK24">
            <v>0</v>
          </cell>
          <cell r="AL24">
            <v>0</v>
          </cell>
          <cell r="AM24"/>
          <cell r="AN24">
            <v>0</v>
          </cell>
          <cell r="AO24">
            <v>0</v>
          </cell>
          <cell r="AP24">
            <v>0</v>
          </cell>
          <cell r="AQ24"/>
          <cell r="AR24"/>
          <cell r="AS24">
            <v>0</v>
          </cell>
          <cell r="AT24">
            <v>0</v>
          </cell>
          <cell r="AU24">
            <v>0</v>
          </cell>
          <cell r="AV24">
            <v>0</v>
          </cell>
          <cell r="AW24"/>
          <cell r="AX24"/>
          <cell r="AY24"/>
          <cell r="AZ24"/>
          <cell r="BA24">
            <v>0</v>
          </cell>
          <cell r="BB24">
            <v>0</v>
          </cell>
          <cell r="BC24">
            <v>0</v>
          </cell>
          <cell r="BD24">
            <v>0</v>
          </cell>
          <cell r="BE24">
            <v>0</v>
          </cell>
          <cell r="BF24">
            <v>0</v>
          </cell>
          <cell r="BG24">
            <v>0</v>
          </cell>
          <cell r="BH24"/>
          <cell r="BI24"/>
          <cell r="BJ24">
            <v>0</v>
          </cell>
          <cell r="BK24"/>
          <cell r="BL24"/>
          <cell r="BM24"/>
          <cell r="BN24"/>
          <cell r="BO24"/>
        </row>
        <row r="25">
          <cell r="F25">
            <v>1113716.8930000002</v>
          </cell>
          <cell r="G25">
            <v>134838.60952095941</v>
          </cell>
          <cell r="H25">
            <v>79832.924079365635</v>
          </cell>
          <cell r="I25">
            <v>39918.001567572384</v>
          </cell>
          <cell r="J25">
            <v>26217.950497076439</v>
          </cell>
          <cell r="K25">
            <v>72058.046558653907</v>
          </cell>
          <cell r="L25">
            <v>60777.406191494221</v>
          </cell>
          <cell r="M25">
            <v>24546.394302040277</v>
          </cell>
          <cell r="N25">
            <v>82972.242517599254</v>
          </cell>
          <cell r="O25">
            <v>26876.039453423517</v>
          </cell>
          <cell r="P25">
            <v>45609.100412230408</v>
          </cell>
          <cell r="Q25">
            <v>46440.116132510753</v>
          </cell>
          <cell r="R25">
            <v>48767.838057364417</v>
          </cell>
          <cell r="S25">
            <v>85661.592662946321</v>
          </cell>
          <cell r="T25">
            <v>12375.055911531512</v>
          </cell>
          <cell r="U25">
            <v>14626.475418208927</v>
          </cell>
          <cell r="V25">
            <v>57913.92801300071</v>
          </cell>
          <cell r="W25">
            <v>36133.762794021932</v>
          </cell>
          <cell r="X25"/>
          <cell r="Y25"/>
          <cell r="Z25">
            <v>895565.48409000016</v>
          </cell>
          <cell r="AA25">
            <v>0</v>
          </cell>
          <cell r="AB25">
            <v>0</v>
          </cell>
          <cell r="AC25">
            <v>0</v>
          </cell>
          <cell r="AD25">
            <v>0</v>
          </cell>
          <cell r="AE25"/>
          <cell r="AF25"/>
          <cell r="AG25"/>
          <cell r="AH25">
            <v>0</v>
          </cell>
          <cell r="AI25">
            <v>895565.48409000016</v>
          </cell>
          <cell r="AJ25">
            <v>0</v>
          </cell>
          <cell r="AK25">
            <v>0</v>
          </cell>
          <cell r="AL25">
            <v>0</v>
          </cell>
          <cell r="AM25"/>
          <cell r="AN25">
            <v>0</v>
          </cell>
          <cell r="AO25">
            <v>0</v>
          </cell>
          <cell r="AP25">
            <v>0</v>
          </cell>
          <cell r="AQ25"/>
          <cell r="AR25"/>
          <cell r="AS25">
            <v>0</v>
          </cell>
          <cell r="AT25">
            <v>0</v>
          </cell>
          <cell r="AU25">
            <v>0</v>
          </cell>
          <cell r="AV25">
            <v>0</v>
          </cell>
          <cell r="AW25"/>
          <cell r="AX25"/>
          <cell r="AY25"/>
          <cell r="AZ25"/>
          <cell r="BA25">
            <v>0</v>
          </cell>
          <cell r="BB25">
            <v>0</v>
          </cell>
          <cell r="BC25">
            <v>0</v>
          </cell>
          <cell r="BD25">
            <v>0</v>
          </cell>
          <cell r="BE25">
            <v>0</v>
          </cell>
          <cell r="BF25">
            <v>0</v>
          </cell>
          <cell r="BG25">
            <v>218151.40891</v>
          </cell>
          <cell r="BH25"/>
          <cell r="BI25"/>
          <cell r="BJ25">
            <v>218151.40891</v>
          </cell>
          <cell r="BK25"/>
          <cell r="BL25"/>
          <cell r="BM25"/>
          <cell r="BN25"/>
          <cell r="BO25"/>
        </row>
        <row r="26">
          <cell r="F26">
            <v>-2563961.6760057728</v>
          </cell>
          <cell r="G26">
            <v>-153008.95923464303</v>
          </cell>
          <cell r="H26">
            <v>-269876.33326064528</v>
          </cell>
          <cell r="I26">
            <v>-177911.19502315251</v>
          </cell>
          <cell r="J26">
            <v>-154209.77141375755</v>
          </cell>
          <cell r="K26">
            <v>-108267.558559593</v>
          </cell>
          <cell r="L26">
            <v>-78874.480650588361</v>
          </cell>
          <cell r="M26">
            <v>-110542.85505582238</v>
          </cell>
          <cell r="N26">
            <v>-61268.050718756975</v>
          </cell>
          <cell r="O26">
            <v>-100635.3791405595</v>
          </cell>
          <cell r="P26">
            <v>-78364.886570705246</v>
          </cell>
          <cell r="Q26">
            <v>-65102.493520816861</v>
          </cell>
          <cell r="R26">
            <v>-33776.09215477512</v>
          </cell>
          <cell r="S26">
            <v>-183928.73610852941</v>
          </cell>
          <cell r="T26">
            <v>-26154.028860716382</v>
          </cell>
          <cell r="U26">
            <v>-16092.249023352995</v>
          </cell>
          <cell r="V26">
            <v>164.70497816460556</v>
          </cell>
          <cell r="W26">
            <v>3795.6201853957027</v>
          </cell>
          <cell r="X26"/>
          <cell r="Y26"/>
          <cell r="Z26">
            <v>-1614052.7441328545</v>
          </cell>
          <cell r="AA26">
            <v>43737.339</v>
          </cell>
          <cell r="AB26">
            <v>-281.00400000000002</v>
          </cell>
          <cell r="AC26">
            <v>9048.48</v>
          </cell>
          <cell r="AD26">
            <v>19800.46</v>
          </cell>
          <cell r="AE26"/>
          <cell r="AF26"/>
          <cell r="AG26"/>
          <cell r="AH26">
            <v>72305.274999999994</v>
          </cell>
          <cell r="AI26">
            <v>-1541747.4691328565</v>
          </cell>
          <cell r="AJ26">
            <v>-2778.5452728722339</v>
          </cell>
          <cell r="AK26">
            <v>-119399.60527004489</v>
          </cell>
          <cell r="AL26">
            <v>-157909.30541999999</v>
          </cell>
          <cell r="AM26"/>
          <cell r="AN26">
            <v>-280087.45596291695</v>
          </cell>
          <cell r="AO26">
            <v>1697.2489999996233</v>
          </cell>
          <cell r="AP26">
            <v>0</v>
          </cell>
          <cell r="AQ26"/>
          <cell r="AR26"/>
          <cell r="AS26">
            <v>1697.2489999996233</v>
          </cell>
          <cell r="AT26">
            <v>4056.6040000000003</v>
          </cell>
          <cell r="AU26">
            <v>-2825.8600000000006</v>
          </cell>
          <cell r="AV26">
            <v>63370.249000000003</v>
          </cell>
          <cell r="AW26"/>
          <cell r="AX26"/>
          <cell r="AY26"/>
          <cell r="AZ26"/>
          <cell r="BA26">
            <v>64600.993000000002</v>
          </cell>
          <cell r="BB26">
            <v>0</v>
          </cell>
          <cell r="BC26">
            <v>-16010.091999999999</v>
          </cell>
          <cell r="BD26">
            <v>0</v>
          </cell>
          <cell r="BE26">
            <v>0</v>
          </cell>
          <cell r="BF26">
            <v>-33071.712</v>
          </cell>
          <cell r="BG26">
            <v>-759343.18891000003</v>
          </cell>
          <cell r="BH26"/>
          <cell r="BI26"/>
          <cell r="BJ26">
            <v>-808424.99291000003</v>
          </cell>
          <cell r="BK26"/>
          <cell r="BL26"/>
          <cell r="BM26"/>
          <cell r="BN26"/>
          <cell r="BO26"/>
        </row>
        <row r="27">
          <cell r="F27">
            <v>-2563961.6760057723</v>
          </cell>
          <cell r="G27">
            <v>-153008.959234643</v>
          </cell>
          <cell r="H27">
            <v>-269876.33326064528</v>
          </cell>
          <cell r="I27">
            <v>-177911.19502315248</v>
          </cell>
          <cell r="J27">
            <v>-154209.77141375755</v>
          </cell>
          <cell r="K27">
            <v>-108267.558559593</v>
          </cell>
          <cell r="L27">
            <v>-78874.480650588375</v>
          </cell>
          <cell r="M27">
            <v>-110542.85505582239</v>
          </cell>
          <cell r="N27">
            <v>-61268.050718756975</v>
          </cell>
          <cell r="O27">
            <v>-100635.3791405595</v>
          </cell>
          <cell r="P27">
            <v>-78364.886570705261</v>
          </cell>
          <cell r="Q27">
            <v>-65102.493520816861</v>
          </cell>
          <cell r="R27">
            <v>-33776.09215477512</v>
          </cell>
          <cell r="S27">
            <v>-183928.73610852944</v>
          </cell>
          <cell r="T27">
            <v>-26154.028860716389</v>
          </cell>
          <cell r="U27">
            <v>-16092.249023352995</v>
          </cell>
          <cell r="V27">
            <v>164.70497816460625</v>
          </cell>
          <cell r="W27">
            <v>3795.6201853956964</v>
          </cell>
          <cell r="X27"/>
          <cell r="Y27"/>
          <cell r="Z27">
            <v>-1614052.7441328543</v>
          </cell>
          <cell r="AA27">
            <v>43737.339</v>
          </cell>
          <cell r="AB27">
            <v>-281.00400000000002</v>
          </cell>
          <cell r="AC27">
            <v>9048.48</v>
          </cell>
          <cell r="AD27">
            <v>19800.46</v>
          </cell>
          <cell r="AE27"/>
          <cell r="AF27"/>
          <cell r="AG27"/>
          <cell r="AH27">
            <v>72305.274999999994</v>
          </cell>
          <cell r="AI27">
            <v>-1541747.4691328544</v>
          </cell>
          <cell r="AJ27">
            <v>-2778.5452728722339</v>
          </cell>
          <cell r="AK27">
            <v>-119399.60527004489</v>
          </cell>
          <cell r="AL27">
            <v>-157909.30541999999</v>
          </cell>
          <cell r="AM27"/>
          <cell r="AN27">
            <v>-280087.45596291713</v>
          </cell>
          <cell r="AO27">
            <v>1697.2489999996305</v>
          </cell>
          <cell r="AP27">
            <v>0</v>
          </cell>
          <cell r="AQ27"/>
          <cell r="AR27"/>
          <cell r="AS27">
            <v>1697.2489999996305</v>
          </cell>
          <cell r="AT27">
            <v>4056.6040000000003</v>
          </cell>
          <cell r="AU27">
            <v>-2825.8600000000006</v>
          </cell>
          <cell r="AV27">
            <v>63370.249000000003</v>
          </cell>
          <cell r="AW27"/>
          <cell r="AX27"/>
          <cell r="AY27"/>
          <cell r="AZ27"/>
          <cell r="BA27">
            <v>64600.993000000002</v>
          </cell>
          <cell r="BB27">
            <v>0</v>
          </cell>
          <cell r="BC27">
            <v>-16010.091999999999</v>
          </cell>
          <cell r="BD27">
            <v>0</v>
          </cell>
          <cell r="BE27">
            <v>0</v>
          </cell>
          <cell r="BF27">
            <v>-33071.712</v>
          </cell>
          <cell r="BG27">
            <v>-759343.18891000003</v>
          </cell>
          <cell r="BH27"/>
          <cell r="BI27"/>
          <cell r="BJ27">
            <v>-808424.99291000003</v>
          </cell>
          <cell r="BK27"/>
          <cell r="BL27"/>
          <cell r="BM27"/>
          <cell r="BN27"/>
          <cell r="BO27"/>
        </row>
        <row r="28">
          <cell r="F28">
            <v>0</v>
          </cell>
          <cell r="G28">
            <v>0</v>
          </cell>
          <cell r="H28">
            <v>0</v>
          </cell>
          <cell r="I28">
            <v>0</v>
          </cell>
          <cell r="J28">
            <v>0</v>
          </cell>
          <cell r="K28">
            <v>0</v>
          </cell>
          <cell r="L28">
            <v>0</v>
          </cell>
          <cell r="M28">
            <v>0</v>
          </cell>
          <cell r="N28">
            <v>0</v>
          </cell>
          <cell r="O28">
            <v>0</v>
          </cell>
          <cell r="P28">
            <v>0</v>
          </cell>
          <cell r="Q28">
            <v>0</v>
          </cell>
          <cell r="R28">
            <v>0</v>
          </cell>
          <cell r="S28">
            <v>0</v>
          </cell>
          <cell r="T28">
            <v>0</v>
          </cell>
          <cell r="U28">
            <v>0</v>
          </cell>
          <cell r="V28">
            <v>-6.8212102632969618E-13</v>
          </cell>
          <cell r="W28">
            <v>6.3664629124104977E-12</v>
          </cell>
          <cell r="X28"/>
          <cell r="Y28"/>
          <cell r="Z28">
            <v>0</v>
          </cell>
          <cell r="AA28">
            <v>0</v>
          </cell>
          <cell r="AB28">
            <v>0</v>
          </cell>
          <cell r="AC28">
            <v>0</v>
          </cell>
          <cell r="AD28">
            <v>0</v>
          </cell>
          <cell r="AE28"/>
          <cell r="AF28"/>
          <cell r="AG28"/>
          <cell r="AH28">
            <v>0</v>
          </cell>
          <cell r="AI28">
            <v>-2.0954757928848267E-9</v>
          </cell>
          <cell r="AJ28">
            <v>0</v>
          </cell>
          <cell r="AK28">
            <v>0</v>
          </cell>
          <cell r="AL28">
            <v>0</v>
          </cell>
          <cell r="AM28"/>
          <cell r="AN28">
            <v>0</v>
          </cell>
          <cell r="AO28">
            <v>-7.2759576141834259E-12</v>
          </cell>
          <cell r="AP28">
            <v>0</v>
          </cell>
          <cell r="AQ28"/>
          <cell r="AR28"/>
          <cell r="AS28">
            <v>-7.2759576141834259E-12</v>
          </cell>
          <cell r="AT28">
            <v>0</v>
          </cell>
          <cell r="AU28">
            <v>0</v>
          </cell>
          <cell r="AV28">
            <v>0</v>
          </cell>
          <cell r="AW28"/>
          <cell r="AX28"/>
          <cell r="AY28"/>
          <cell r="AZ28"/>
          <cell r="BA28">
            <v>0</v>
          </cell>
          <cell r="BB28">
            <v>0</v>
          </cell>
          <cell r="BC28">
            <v>0</v>
          </cell>
          <cell r="BD28">
            <v>0</v>
          </cell>
          <cell r="BE28">
            <v>0</v>
          </cell>
          <cell r="BF28">
            <v>0</v>
          </cell>
          <cell r="BG28">
            <v>0</v>
          </cell>
          <cell r="BH28"/>
          <cell r="BI28"/>
          <cell r="BJ28">
            <v>0</v>
          </cell>
        </row>
        <row r="29">
          <cell r="F29"/>
          <cell r="G29"/>
          <cell r="H29"/>
          <cell r="I29"/>
          <cell r="J29"/>
          <cell r="K29"/>
          <cell r="L29"/>
          <cell r="M29"/>
          <cell r="N29"/>
          <cell r="O29"/>
          <cell r="P29"/>
          <cell r="Q29"/>
          <cell r="R29"/>
          <cell r="S29"/>
          <cell r="T29"/>
          <cell r="U29"/>
          <cell r="V29"/>
          <cell r="W29"/>
          <cell r="X29"/>
          <cell r="Y29"/>
          <cell r="Z29"/>
          <cell r="AA29"/>
          <cell r="AB29"/>
          <cell r="AC29"/>
          <cell r="AD29"/>
          <cell r="AE29"/>
          <cell r="AF29"/>
          <cell r="AG29"/>
          <cell r="AH29"/>
          <cell r="AI29"/>
          <cell r="AJ29"/>
          <cell r="AK29"/>
          <cell r="AL29"/>
          <cell r="AM29"/>
          <cell r="AN29"/>
          <cell r="AO29"/>
          <cell r="AP29"/>
          <cell r="AQ29"/>
          <cell r="AR29"/>
          <cell r="AS29"/>
          <cell r="AT29"/>
          <cell r="AU29"/>
          <cell r="AV29"/>
          <cell r="AW29"/>
          <cell r="AX29"/>
          <cell r="AY29"/>
          <cell r="AZ29"/>
          <cell r="BA29"/>
          <cell r="BB29"/>
          <cell r="BC29"/>
          <cell r="BD29"/>
          <cell r="BE29"/>
          <cell r="BF29"/>
          <cell r="BG29"/>
          <cell r="BH29"/>
          <cell r="BI29"/>
          <cell r="BJ29"/>
        </row>
        <row r="30">
          <cell r="F30"/>
          <cell r="G30"/>
          <cell r="H30"/>
          <cell r="I30"/>
          <cell r="J30"/>
          <cell r="K30"/>
          <cell r="L30"/>
          <cell r="M30"/>
          <cell r="N30"/>
          <cell r="O30"/>
          <cell r="P30"/>
          <cell r="Q30"/>
          <cell r="R30"/>
          <cell r="S30"/>
          <cell r="T30"/>
          <cell r="U30"/>
          <cell r="V30"/>
          <cell r="W30"/>
          <cell r="X30"/>
          <cell r="Y30"/>
          <cell r="Z30"/>
          <cell r="AA30"/>
          <cell r="AB30"/>
          <cell r="AC30"/>
          <cell r="AD30"/>
          <cell r="AE30"/>
          <cell r="AF30"/>
          <cell r="AG30"/>
          <cell r="AH30"/>
          <cell r="AI30"/>
          <cell r="AJ30"/>
          <cell r="AK30"/>
          <cell r="AL30"/>
          <cell r="AM30"/>
          <cell r="AN30"/>
          <cell r="AO30"/>
          <cell r="AP30"/>
          <cell r="AQ30"/>
          <cell r="AR30"/>
          <cell r="AS30"/>
          <cell r="AT30"/>
          <cell r="AU30"/>
          <cell r="AV30"/>
          <cell r="AW30"/>
          <cell r="AX30"/>
          <cell r="AY30"/>
          <cell r="AZ30"/>
          <cell r="BA30"/>
          <cell r="BB30"/>
          <cell r="BC30"/>
          <cell r="BD30"/>
          <cell r="BE30"/>
          <cell r="BF30"/>
          <cell r="BG30"/>
          <cell r="BH30"/>
          <cell r="BI30"/>
          <cell r="BJ30"/>
        </row>
        <row r="31">
          <cell r="F31"/>
          <cell r="G31">
            <v>27197</v>
          </cell>
          <cell r="H31">
            <v>15904</v>
          </cell>
          <cell r="I31">
            <v>8443</v>
          </cell>
          <cell r="J31">
            <v>5384.5</v>
          </cell>
          <cell r="K31">
            <v>13731</v>
          </cell>
          <cell r="L31">
            <v>12446</v>
          </cell>
          <cell r="M31">
            <v>5217</v>
          </cell>
          <cell r="N31">
            <v>16167</v>
          </cell>
          <cell r="O31">
            <v>5826</v>
          </cell>
          <cell r="P31">
            <v>9070</v>
          </cell>
          <cell r="Q31">
            <v>9533</v>
          </cell>
          <cell r="R31">
            <v>9133</v>
          </cell>
          <cell r="S31">
            <v>16996</v>
          </cell>
          <cell r="T31">
            <v>2178</v>
          </cell>
          <cell r="U31">
            <v>2625.5</v>
          </cell>
          <cell r="V31">
            <v>12050</v>
          </cell>
          <cell r="W31">
            <v>5978.5</v>
          </cell>
          <cell r="X31">
            <v>0</v>
          </cell>
          <cell r="Y31">
            <v>0</v>
          </cell>
          <cell r="Z31">
            <v>177879.5</v>
          </cell>
          <cell r="AA31">
            <v>0</v>
          </cell>
          <cell r="AB31">
            <v>0</v>
          </cell>
          <cell r="AC31">
            <v>0</v>
          </cell>
          <cell r="AD31">
            <v>0</v>
          </cell>
          <cell r="AE31"/>
          <cell r="AF31"/>
          <cell r="AG31"/>
          <cell r="AH31">
            <v>0</v>
          </cell>
          <cell r="AI31">
            <v>177879.5</v>
          </cell>
          <cell r="AJ31">
            <v>20580</v>
          </cell>
          <cell r="AK31">
            <v>1000</v>
          </cell>
          <cell r="AL31">
            <v>26672</v>
          </cell>
          <cell r="AM31"/>
          <cell r="AN31">
            <v>48252</v>
          </cell>
          <cell r="AO31">
            <v>8735.5020000000004</v>
          </cell>
          <cell r="AP31">
            <v>0</v>
          </cell>
          <cell r="AQ31"/>
          <cell r="AR31"/>
          <cell r="AS31">
            <v>8735.5020000000004</v>
          </cell>
          <cell r="AT31">
            <v>0</v>
          </cell>
          <cell r="AU31">
            <v>0</v>
          </cell>
          <cell r="AV31">
            <v>0</v>
          </cell>
          <cell r="AW31"/>
          <cell r="AX31"/>
          <cell r="AY31"/>
          <cell r="AZ31"/>
          <cell r="BA31">
            <v>0</v>
          </cell>
          <cell r="BB31">
            <v>0</v>
          </cell>
          <cell r="BC31">
            <v>0</v>
          </cell>
          <cell r="BD31">
            <v>0</v>
          </cell>
          <cell r="BE31">
            <v>0</v>
          </cell>
          <cell r="BF31">
            <v>0</v>
          </cell>
          <cell r="BG31">
            <v>0</v>
          </cell>
          <cell r="BH31"/>
          <cell r="BI31"/>
          <cell r="BJ31">
            <v>0</v>
          </cell>
        </row>
        <row r="32">
          <cell r="F32">
            <v>26673512.355000004</v>
          </cell>
          <cell r="G32">
            <v>2706270.0350000001</v>
          </cell>
          <cell r="H32">
            <v>1602281.8019999999</v>
          </cell>
          <cell r="I32">
            <v>801171.8</v>
          </cell>
          <cell r="J32">
            <v>526205.76599999995</v>
          </cell>
          <cell r="K32">
            <v>1446236.6</v>
          </cell>
          <cell r="L32">
            <v>1219829.2</v>
          </cell>
          <cell r="M32">
            <v>492656.9</v>
          </cell>
          <cell r="N32">
            <v>1665289.3</v>
          </cell>
          <cell r="O32">
            <v>539413.9</v>
          </cell>
          <cell r="P32">
            <v>915394.65</v>
          </cell>
          <cell r="Q32">
            <v>932073.5</v>
          </cell>
          <cell r="R32">
            <v>978791.9</v>
          </cell>
          <cell r="S32">
            <v>1719265.737</v>
          </cell>
          <cell r="T32">
            <v>248372.8</v>
          </cell>
          <cell r="U32">
            <v>293559.777</v>
          </cell>
          <cell r="V32">
            <v>1162357.9369999999</v>
          </cell>
          <cell r="W32">
            <v>725220.46799999999</v>
          </cell>
          <cell r="X32">
            <v>0</v>
          </cell>
          <cell r="Y32">
            <v>0</v>
          </cell>
          <cell r="Z32">
            <v>17974392.072000001</v>
          </cell>
          <cell r="AA32">
            <v>50000</v>
          </cell>
          <cell r="AB32">
            <v>0</v>
          </cell>
          <cell r="AC32">
            <v>12500</v>
          </cell>
          <cell r="AD32">
            <v>28340</v>
          </cell>
          <cell r="AE32"/>
          <cell r="AF32"/>
          <cell r="AG32"/>
          <cell r="AH32">
            <v>90840</v>
          </cell>
          <cell r="AI32">
            <v>18065232.072000001</v>
          </cell>
          <cell r="AJ32">
            <v>571868</v>
          </cell>
          <cell r="AK32">
            <v>11500</v>
          </cell>
          <cell r="AL32">
            <v>468380</v>
          </cell>
          <cell r="AM32"/>
          <cell r="AN32">
            <v>1051748</v>
          </cell>
          <cell r="AO32">
            <v>7480119.6840000004</v>
          </cell>
          <cell r="AP32">
            <v>0</v>
          </cell>
          <cell r="AQ32"/>
          <cell r="AR32"/>
          <cell r="AS32">
            <v>7480119.6840000004</v>
          </cell>
          <cell r="AT32">
            <v>5512.5</v>
          </cell>
          <cell r="AU32">
            <v>5850</v>
          </cell>
          <cell r="AV32">
            <v>63370.249000000003</v>
          </cell>
          <cell r="AW32"/>
          <cell r="AX32"/>
          <cell r="AY32"/>
          <cell r="AZ32"/>
          <cell r="BA32">
            <v>74732.749000000011</v>
          </cell>
          <cell r="BB32">
            <v>0</v>
          </cell>
          <cell r="BC32">
            <v>1679.85</v>
          </cell>
          <cell r="BD32">
            <v>0</v>
          </cell>
          <cell r="BE32">
            <v>0</v>
          </cell>
          <cell r="BF32">
            <v>0</v>
          </cell>
          <cell r="BG32">
            <v>0</v>
          </cell>
          <cell r="BH32"/>
          <cell r="BI32"/>
          <cell r="BJ32">
            <v>1679.85</v>
          </cell>
        </row>
        <row r="33">
          <cell r="F33">
            <v>26188390.488009997</v>
          </cell>
          <cell r="G33">
            <v>2544612.6049999995</v>
          </cell>
          <cell r="H33">
            <v>1657572.4529999997</v>
          </cell>
          <cell r="I33">
            <v>851733.67499999993</v>
          </cell>
          <cell r="J33">
            <v>594813.97000000009</v>
          </cell>
          <cell r="K33">
            <v>1364350.1939999999</v>
          </cell>
          <cell r="L33">
            <v>1129211.0620000002</v>
          </cell>
          <cell r="M33">
            <v>510835.9420000001</v>
          </cell>
          <cell r="N33">
            <v>1526417.3950000003</v>
          </cell>
          <cell r="O33">
            <v>551414.48499999999</v>
          </cell>
          <cell r="P33">
            <v>863404.87000000011</v>
          </cell>
          <cell r="Q33">
            <v>876331.24899999995</v>
          </cell>
          <cell r="R33">
            <v>892056.04599999997</v>
          </cell>
          <cell r="S33">
            <v>1701457.8800000001</v>
          </cell>
          <cell r="T33">
            <v>240811.98</v>
          </cell>
          <cell r="U33">
            <v>271279.837</v>
          </cell>
          <cell r="V33">
            <v>1025415.3180000001</v>
          </cell>
          <cell r="W33">
            <v>639006.43599999999</v>
          </cell>
          <cell r="X33">
            <v>0</v>
          </cell>
          <cell r="Y33">
            <v>0</v>
          </cell>
          <cell r="Z33">
            <v>17240725.396999996</v>
          </cell>
          <cell r="AA33">
            <v>6262.6610000000001</v>
          </cell>
          <cell r="AB33">
            <v>0</v>
          </cell>
          <cell r="AC33">
            <v>3451.52</v>
          </cell>
          <cell r="AD33">
            <v>8539.5400000000009</v>
          </cell>
          <cell r="AE33"/>
          <cell r="AF33"/>
          <cell r="AG33"/>
          <cell r="AH33">
            <v>18253.721000000001</v>
          </cell>
          <cell r="AI33">
            <v>17258979.117999997</v>
          </cell>
          <cell r="AJ33">
            <v>547693.84600000002</v>
          </cell>
          <cell r="AK33">
            <v>130357.599</v>
          </cell>
          <cell r="AL33">
            <v>604214.09701000003</v>
          </cell>
          <cell r="AM33"/>
          <cell r="AN33">
            <v>1282265.54201</v>
          </cell>
          <cell r="AO33">
            <v>7334209.1920000007</v>
          </cell>
          <cell r="AP33">
            <v>0</v>
          </cell>
          <cell r="AQ33"/>
          <cell r="AR33"/>
          <cell r="AS33">
            <v>7334209.1920000007</v>
          </cell>
          <cell r="AT33">
            <v>1455.896</v>
          </cell>
          <cell r="AU33">
            <v>8675.86</v>
          </cell>
          <cell r="AV33">
            <v>0</v>
          </cell>
          <cell r="AW33"/>
          <cell r="AX33"/>
          <cell r="AY33"/>
          <cell r="AZ33"/>
          <cell r="BA33">
            <v>10131.756000000001</v>
          </cell>
          <cell r="BB33">
            <v>0</v>
          </cell>
          <cell r="BC33">
            <v>0</v>
          </cell>
          <cell r="BD33">
            <v>0</v>
          </cell>
          <cell r="BE33">
            <v>0</v>
          </cell>
          <cell r="BF33">
            <v>0</v>
          </cell>
          <cell r="BG33">
            <v>302804.88</v>
          </cell>
          <cell r="BH33"/>
          <cell r="BI33"/>
          <cell r="BJ33">
            <v>302804.88</v>
          </cell>
        </row>
        <row r="34">
          <cell r="F34">
            <v>485121.86699000746</v>
          </cell>
          <cell r="G34">
            <v>161657.43000000063</v>
          </cell>
          <cell r="H34">
            <v>-55290.650999999838</v>
          </cell>
          <cell r="I34">
            <v>-50561.874999999884</v>
          </cell>
          <cell r="J34">
            <v>-68608.204000000143</v>
          </cell>
          <cell r="K34">
            <v>81886.406000000192</v>
          </cell>
          <cell r="L34">
            <v>90618.137999999803</v>
          </cell>
          <cell r="M34">
            <v>-18179.042000000074</v>
          </cell>
          <cell r="N34">
            <v>138871.9049999998</v>
          </cell>
          <cell r="O34">
            <v>-12000.584999999963</v>
          </cell>
          <cell r="P34">
            <v>51989.779999999912</v>
          </cell>
          <cell r="Q34">
            <v>55742.251000000047</v>
          </cell>
          <cell r="R34">
            <v>86735.85400000005</v>
          </cell>
          <cell r="S34">
            <v>17807.856999999844</v>
          </cell>
          <cell r="T34">
            <v>7560.8199999999779</v>
          </cell>
          <cell r="U34">
            <v>22279.940000000002</v>
          </cell>
          <cell r="V34">
            <v>136942.61899999983</v>
          </cell>
          <cell r="W34">
            <v>86214.032000000007</v>
          </cell>
          <cell r="X34">
            <v>0</v>
          </cell>
          <cell r="Y34">
            <v>0</v>
          </cell>
          <cell r="Z34">
            <v>733666.67500000447</v>
          </cell>
          <cell r="AA34">
            <v>43737.339</v>
          </cell>
          <cell r="AB34">
            <v>0</v>
          </cell>
          <cell r="AC34">
            <v>9048.48</v>
          </cell>
          <cell r="AD34">
            <v>19800.46</v>
          </cell>
          <cell r="AE34"/>
          <cell r="AF34"/>
          <cell r="AG34"/>
          <cell r="AH34">
            <v>72586.278999999995</v>
          </cell>
          <cell r="AI34">
            <v>806252.95400000364</v>
          </cell>
          <cell r="AJ34">
            <v>24174.15399999998</v>
          </cell>
          <cell r="AK34">
            <v>-118857.599</v>
          </cell>
          <cell r="AL34">
            <v>-135834.09701000003</v>
          </cell>
          <cell r="AM34"/>
          <cell r="AN34">
            <v>-230517.54200999998</v>
          </cell>
          <cell r="AO34">
            <v>145910.49199999962</v>
          </cell>
          <cell r="AP34">
            <v>0</v>
          </cell>
          <cell r="AQ34"/>
          <cell r="AR34"/>
          <cell r="AS34">
            <v>145910.49199999962</v>
          </cell>
          <cell r="AT34">
            <v>4056.6040000000003</v>
          </cell>
          <cell r="AU34">
            <v>-2825.8600000000006</v>
          </cell>
          <cell r="AV34">
            <v>63370.249000000003</v>
          </cell>
          <cell r="AW34"/>
          <cell r="AX34"/>
          <cell r="AY34"/>
          <cell r="AZ34"/>
          <cell r="BA34">
            <v>64600.993000000009</v>
          </cell>
          <cell r="BB34">
            <v>0</v>
          </cell>
          <cell r="BC34">
            <v>1679.85</v>
          </cell>
          <cell r="BD34">
            <v>0</v>
          </cell>
          <cell r="BE34">
            <v>0</v>
          </cell>
          <cell r="BF34">
            <v>0</v>
          </cell>
          <cell r="BG34">
            <v>-302804.88</v>
          </cell>
          <cell r="BH34"/>
          <cell r="BI34"/>
          <cell r="BJ34">
            <v>-301125.03000000003</v>
          </cell>
        </row>
        <row r="35">
          <cell r="F35">
            <v>3049083.5429957723</v>
          </cell>
          <cell r="G35">
            <v>314666.38923464349</v>
          </cell>
          <cell r="H35">
            <v>214585.68226064535</v>
          </cell>
          <cell r="I35">
            <v>127349.32002315263</v>
          </cell>
          <cell r="J35">
            <v>85601.567413757453</v>
          </cell>
          <cell r="K35">
            <v>190153.96455959309</v>
          </cell>
          <cell r="L35">
            <v>169492.61865058827</v>
          </cell>
          <cell r="M35">
            <v>92363.813055822335</v>
          </cell>
          <cell r="N35">
            <v>200139.95571875689</v>
          </cell>
          <cell r="O35">
            <v>88634.794140559563</v>
          </cell>
          <cell r="P35">
            <v>130354.66657070522</v>
          </cell>
          <cell r="Q35">
            <v>120844.74452081685</v>
          </cell>
          <cell r="R35">
            <v>120511.94615477516</v>
          </cell>
          <cell r="S35">
            <v>201736.59310852934</v>
          </cell>
          <cell r="T35">
            <v>33714.848860716367</v>
          </cell>
          <cell r="U35">
            <v>38372.189023353007</v>
          </cell>
          <cell r="V35">
            <v>136777.91402183525</v>
          </cell>
          <cell r="W35">
            <v>82418.411814604333</v>
          </cell>
          <cell r="X35">
            <v>0</v>
          </cell>
          <cell r="Y35">
            <v>0</v>
          </cell>
          <cell r="Z35">
            <v>2347719.4191328548</v>
          </cell>
          <cell r="AA35">
            <v>0</v>
          </cell>
          <cell r="AB35">
            <v>281.00400000000002</v>
          </cell>
          <cell r="AC35">
            <v>0</v>
          </cell>
          <cell r="AD35">
            <v>0</v>
          </cell>
          <cell r="AE35"/>
          <cell r="AF35"/>
          <cell r="AG35"/>
          <cell r="AH35">
            <v>281.00400000000002</v>
          </cell>
          <cell r="AI35">
            <v>2348000.423132855</v>
          </cell>
          <cell r="AJ35">
            <v>26952.699272872214</v>
          </cell>
          <cell r="AK35">
            <v>542.00627004488877</v>
          </cell>
          <cell r="AL35">
            <v>22075.208409999999</v>
          </cell>
          <cell r="AM35"/>
          <cell r="AN35">
            <v>49569.913952917101</v>
          </cell>
          <cell r="AO35">
            <v>144213.24299999999</v>
          </cell>
          <cell r="AP35">
            <v>0</v>
          </cell>
          <cell r="AQ35"/>
          <cell r="AR35"/>
          <cell r="AS35">
            <v>144213.24299999999</v>
          </cell>
          <cell r="AT35">
            <v>0</v>
          </cell>
          <cell r="AU35">
            <v>0</v>
          </cell>
          <cell r="AV35">
            <v>0</v>
          </cell>
          <cell r="AW35"/>
          <cell r="AX35"/>
          <cell r="AY35"/>
          <cell r="AZ35"/>
          <cell r="BA35">
            <v>0</v>
          </cell>
          <cell r="BB35">
            <v>0</v>
          </cell>
          <cell r="BC35">
            <v>17689.941999999999</v>
          </cell>
          <cell r="BD35">
            <v>0</v>
          </cell>
          <cell r="BE35">
            <v>0</v>
          </cell>
          <cell r="BF35">
            <v>33071.712</v>
          </cell>
          <cell r="BG35">
            <v>456538.30891000002</v>
          </cell>
          <cell r="BH35"/>
          <cell r="BI35"/>
          <cell r="BJ35">
            <v>507299.96291</v>
          </cell>
        </row>
        <row r="36">
          <cell r="F36">
            <v>-2563961.6760057649</v>
          </cell>
          <cell r="G36">
            <v>-153008.95923464285</v>
          </cell>
          <cell r="H36">
            <v>-269876.33326064516</v>
          </cell>
          <cell r="I36">
            <v>-177911.19502315251</v>
          </cell>
          <cell r="J36">
            <v>-154209.77141375758</v>
          </cell>
          <cell r="K36">
            <v>-108267.5585595929</v>
          </cell>
          <cell r="L36">
            <v>-78874.480650588463</v>
          </cell>
          <cell r="M36">
            <v>-110542.85505582241</v>
          </cell>
          <cell r="N36">
            <v>-61268.050718757091</v>
          </cell>
          <cell r="O36">
            <v>-100635.37914055953</v>
          </cell>
          <cell r="P36">
            <v>-78364.886570705305</v>
          </cell>
          <cell r="Q36">
            <v>-65102.493520816803</v>
          </cell>
          <cell r="R36">
            <v>-33776.092154775106</v>
          </cell>
          <cell r="S36">
            <v>-183928.7361085295</v>
          </cell>
          <cell r="T36">
            <v>-26154.028860716389</v>
          </cell>
          <cell r="U36">
            <v>-16092.249023353004</v>
          </cell>
          <cell r="V36">
            <v>164.70497816457646</v>
          </cell>
          <cell r="W36">
            <v>3795.6201853956736</v>
          </cell>
          <cell r="X36">
            <v>0</v>
          </cell>
          <cell r="Y36">
            <v>0</v>
          </cell>
          <cell r="Z36">
            <v>-1614052.7441328503</v>
          </cell>
          <cell r="AA36">
            <v>43737.339</v>
          </cell>
          <cell r="AB36">
            <v>-281.00400000000002</v>
          </cell>
          <cell r="AC36">
            <v>9048.48</v>
          </cell>
          <cell r="AD36">
            <v>19800.46</v>
          </cell>
          <cell r="AE36"/>
          <cell r="AF36"/>
          <cell r="AG36"/>
          <cell r="AH36">
            <v>72305.274999999994</v>
          </cell>
          <cell r="AI36">
            <v>-1541747.4691328513</v>
          </cell>
          <cell r="AJ36">
            <v>-2778.5452728722339</v>
          </cell>
          <cell r="AK36">
            <v>-119399.60527004489</v>
          </cell>
          <cell r="AL36">
            <v>-157909.30542000002</v>
          </cell>
          <cell r="AM36"/>
          <cell r="AN36">
            <v>-280087.45596291707</v>
          </cell>
          <cell r="AO36">
            <v>1697.2489999996324</v>
          </cell>
          <cell r="AP36">
            <v>0</v>
          </cell>
          <cell r="AQ36"/>
          <cell r="AR36"/>
          <cell r="AS36">
            <v>1697.2489999996324</v>
          </cell>
          <cell r="AT36">
            <v>4056.6040000000003</v>
          </cell>
          <cell r="AU36">
            <v>-2825.8600000000006</v>
          </cell>
          <cell r="AV36">
            <v>63370.249000000003</v>
          </cell>
          <cell r="AW36"/>
          <cell r="AX36"/>
          <cell r="AY36"/>
          <cell r="AZ36"/>
          <cell r="BA36">
            <v>64600.993000000009</v>
          </cell>
          <cell r="BB36">
            <v>0</v>
          </cell>
          <cell r="BC36">
            <v>-16010.091999999999</v>
          </cell>
          <cell r="BD36">
            <v>0</v>
          </cell>
          <cell r="BE36">
            <v>0</v>
          </cell>
          <cell r="BF36">
            <v>-33071.712</v>
          </cell>
          <cell r="BG36">
            <v>-759343.18891000003</v>
          </cell>
          <cell r="BH36"/>
          <cell r="BI36"/>
          <cell r="BJ36">
            <v>-808424.99291000003</v>
          </cell>
        </row>
        <row r="38">
          <cell r="F38"/>
          <cell r="G38"/>
          <cell r="H38"/>
          <cell r="I38"/>
          <cell r="J38"/>
          <cell r="K38"/>
          <cell r="L38"/>
          <cell r="M38"/>
          <cell r="N38"/>
          <cell r="O38"/>
          <cell r="P38"/>
          <cell r="Q38"/>
          <cell r="R38"/>
          <cell r="S38"/>
          <cell r="T38"/>
          <cell r="U38"/>
          <cell r="V38"/>
          <cell r="W38"/>
          <cell r="X38"/>
          <cell r="Y38"/>
          <cell r="Z38">
            <v>0</v>
          </cell>
          <cell r="AA38"/>
          <cell r="AB38"/>
          <cell r="AC38"/>
          <cell r="AD38"/>
          <cell r="AE38"/>
          <cell r="AF38"/>
          <cell r="AG38"/>
          <cell r="AH38">
            <v>0</v>
          </cell>
          <cell r="AI38">
            <v>0</v>
          </cell>
          <cell r="AJ38">
            <v>-9972</v>
          </cell>
          <cell r="AK38">
            <v>0</v>
          </cell>
          <cell r="AL38">
            <v>-20288</v>
          </cell>
          <cell r="AM38"/>
          <cell r="AN38">
            <v>-30260</v>
          </cell>
          <cell r="AO38"/>
          <cell r="AP38"/>
          <cell r="AQ38"/>
          <cell r="AR38"/>
          <cell r="AS38">
            <v>0</v>
          </cell>
          <cell r="AT38"/>
          <cell r="AU38"/>
          <cell r="AV38"/>
          <cell r="AW38"/>
          <cell r="AX38"/>
          <cell r="AY38"/>
          <cell r="AZ38"/>
          <cell r="BA38">
            <v>0</v>
          </cell>
          <cell r="BB38"/>
          <cell r="BC38"/>
          <cell r="BD38"/>
          <cell r="BE38"/>
          <cell r="BF38"/>
          <cell r="BG38"/>
          <cell r="BH38"/>
          <cell r="BI38"/>
          <cell r="BJ38">
            <v>0</v>
          </cell>
        </row>
        <row r="39">
          <cell r="F39">
            <v>-647732</v>
          </cell>
          <cell r="G39"/>
          <cell r="H39"/>
          <cell r="I39"/>
          <cell r="J39"/>
          <cell r="K39"/>
          <cell r="L39"/>
          <cell r="M39"/>
          <cell r="N39"/>
          <cell r="O39"/>
          <cell r="P39"/>
          <cell r="Q39"/>
          <cell r="R39"/>
          <cell r="S39"/>
          <cell r="T39"/>
          <cell r="U39"/>
          <cell r="V39"/>
          <cell r="W39"/>
          <cell r="X39"/>
          <cell r="Y39"/>
          <cell r="Z39">
            <v>0</v>
          </cell>
          <cell r="AA39"/>
          <cell r="AB39"/>
          <cell r="AC39"/>
          <cell r="AD39"/>
          <cell r="AE39"/>
          <cell r="AF39"/>
          <cell r="AG39"/>
          <cell r="AH39">
            <v>0</v>
          </cell>
          <cell r="AI39">
            <v>0</v>
          </cell>
          <cell r="AJ39">
            <v>-290280</v>
          </cell>
          <cell r="AK39">
            <v>0</v>
          </cell>
          <cell r="AL39">
            <v>-357452</v>
          </cell>
          <cell r="AM39"/>
          <cell r="AN39">
            <v>-647732</v>
          </cell>
          <cell r="AO39"/>
          <cell r="AP39"/>
          <cell r="AQ39"/>
          <cell r="AR39"/>
          <cell r="AS39">
            <v>0</v>
          </cell>
          <cell r="AT39"/>
          <cell r="AU39"/>
          <cell r="AV39"/>
          <cell r="AW39"/>
          <cell r="AX39"/>
          <cell r="AY39"/>
          <cell r="AZ39"/>
          <cell r="BA39">
            <v>0</v>
          </cell>
          <cell r="BB39"/>
          <cell r="BC39"/>
          <cell r="BD39"/>
          <cell r="BE39"/>
          <cell r="BF39"/>
          <cell r="BG39"/>
          <cell r="BH39"/>
          <cell r="BI39"/>
          <cell r="BJ39">
            <v>0</v>
          </cell>
        </row>
        <row r="40">
          <cell r="F40">
            <v>-647732</v>
          </cell>
          <cell r="G40"/>
          <cell r="H40"/>
          <cell r="I40"/>
          <cell r="J40"/>
          <cell r="K40">
            <v>13826.505999999999</v>
          </cell>
          <cell r="L40">
            <v>63495.374000000003</v>
          </cell>
          <cell r="M40">
            <v>-1370.634</v>
          </cell>
          <cell r="N40">
            <v>2250.4879999999998</v>
          </cell>
          <cell r="O40">
            <v>0</v>
          </cell>
          <cell r="P40">
            <v>0</v>
          </cell>
          <cell r="Q40"/>
          <cell r="R40"/>
          <cell r="S40"/>
          <cell r="T40"/>
          <cell r="U40"/>
          <cell r="V40"/>
          <cell r="W40"/>
          <cell r="X40"/>
          <cell r="Y40"/>
          <cell r="Z40">
            <v>78201.733999999997</v>
          </cell>
          <cell r="AA40"/>
          <cell r="AB40"/>
          <cell r="AC40"/>
          <cell r="AD40"/>
          <cell r="AE40"/>
          <cell r="AF40"/>
          <cell r="AG40"/>
          <cell r="AH40">
            <v>0</v>
          </cell>
          <cell r="AI40">
            <v>78201.733999999997</v>
          </cell>
          <cell r="AJ40">
            <v>-265972.26899999997</v>
          </cell>
          <cell r="AK40">
            <v>0</v>
          </cell>
          <cell r="AL40">
            <v>-459961.46500000003</v>
          </cell>
          <cell r="AM40"/>
          <cell r="AN40">
            <v>-725933.73399999994</v>
          </cell>
          <cell r="AO40"/>
          <cell r="AP40"/>
          <cell r="AQ40"/>
          <cell r="AR40"/>
          <cell r="AS40">
            <v>0</v>
          </cell>
          <cell r="AT40"/>
          <cell r="AU40"/>
          <cell r="AV40"/>
          <cell r="AW40"/>
          <cell r="AX40"/>
          <cell r="AY40"/>
          <cell r="AZ40"/>
          <cell r="BA40">
            <v>0</v>
          </cell>
          <cell r="BB40"/>
          <cell r="BC40"/>
          <cell r="BD40"/>
          <cell r="BE40"/>
          <cell r="BF40"/>
          <cell r="BG40"/>
          <cell r="BH40"/>
          <cell r="BI40"/>
          <cell r="BJ40">
            <v>0</v>
          </cell>
        </row>
        <row r="41">
          <cell r="F41">
            <v>0</v>
          </cell>
          <cell r="G41">
            <v>0</v>
          </cell>
          <cell r="H41">
            <v>0</v>
          </cell>
          <cell r="I41">
            <v>0</v>
          </cell>
          <cell r="J41">
            <v>0</v>
          </cell>
          <cell r="K41">
            <v>-13826.505999999999</v>
          </cell>
          <cell r="L41">
            <v>-63495.374000000003</v>
          </cell>
          <cell r="M41">
            <v>1370.634</v>
          </cell>
          <cell r="N41">
            <v>-2250.4879999999998</v>
          </cell>
          <cell r="O41">
            <v>0</v>
          </cell>
          <cell r="P41">
            <v>0</v>
          </cell>
          <cell r="Q41">
            <v>0</v>
          </cell>
          <cell r="R41">
            <v>0</v>
          </cell>
          <cell r="S41">
            <v>0</v>
          </cell>
          <cell r="T41">
            <v>0</v>
          </cell>
          <cell r="U41">
            <v>0</v>
          </cell>
          <cell r="V41">
            <v>0</v>
          </cell>
          <cell r="W41">
            <v>0</v>
          </cell>
          <cell r="X41">
            <v>0</v>
          </cell>
          <cell r="Y41">
            <v>0</v>
          </cell>
          <cell r="Z41">
            <v>-78201.733999999997</v>
          </cell>
          <cell r="AA41">
            <v>0</v>
          </cell>
          <cell r="AB41">
            <v>0</v>
          </cell>
          <cell r="AC41">
            <v>0</v>
          </cell>
          <cell r="AD41">
            <v>0</v>
          </cell>
          <cell r="AE41"/>
          <cell r="AF41"/>
          <cell r="AG41"/>
          <cell r="AH41">
            <v>0</v>
          </cell>
          <cell r="AI41">
            <v>-78201.733999999997</v>
          </cell>
          <cell r="AJ41">
            <v>-24307.731000000029</v>
          </cell>
          <cell r="AK41">
            <v>0</v>
          </cell>
          <cell r="AL41">
            <v>102509.46500000003</v>
          </cell>
          <cell r="AM41"/>
          <cell r="AN41">
            <v>78201.733999999939</v>
          </cell>
          <cell r="AO41">
            <v>0</v>
          </cell>
          <cell r="AP41">
            <v>0</v>
          </cell>
          <cell r="AQ41"/>
          <cell r="AR41"/>
          <cell r="AS41">
            <v>0</v>
          </cell>
          <cell r="AT41">
            <v>0</v>
          </cell>
          <cell r="AU41">
            <v>0</v>
          </cell>
          <cell r="AV41">
            <v>0</v>
          </cell>
          <cell r="AW41"/>
          <cell r="AX41"/>
          <cell r="AY41"/>
          <cell r="AZ41"/>
          <cell r="BA41">
            <v>0</v>
          </cell>
          <cell r="BB41">
            <v>0</v>
          </cell>
          <cell r="BC41">
            <v>0</v>
          </cell>
          <cell r="BD41">
            <v>0</v>
          </cell>
          <cell r="BE41">
            <v>0</v>
          </cell>
          <cell r="BF41">
            <v>0</v>
          </cell>
          <cell r="BG41">
            <v>0</v>
          </cell>
          <cell r="BH41"/>
          <cell r="BI41"/>
          <cell r="BJ41">
            <v>0</v>
          </cell>
        </row>
        <row r="42">
          <cell r="F42">
            <v>0</v>
          </cell>
          <cell r="G42"/>
          <cell r="H42"/>
          <cell r="I42"/>
          <cell r="J42"/>
          <cell r="K42"/>
          <cell r="L42"/>
          <cell r="M42"/>
          <cell r="N42"/>
          <cell r="O42"/>
          <cell r="P42"/>
          <cell r="Q42"/>
          <cell r="R42"/>
          <cell r="S42"/>
          <cell r="T42"/>
          <cell r="U42"/>
          <cell r="V42"/>
          <cell r="W42"/>
          <cell r="X42"/>
          <cell r="Y42"/>
          <cell r="Z42">
            <v>0</v>
          </cell>
          <cell r="AA42"/>
          <cell r="AB42"/>
          <cell r="AC42"/>
          <cell r="AD42"/>
          <cell r="AE42"/>
          <cell r="AF42"/>
          <cell r="AG42"/>
          <cell r="AH42">
            <v>0</v>
          </cell>
          <cell r="AI42">
            <v>0</v>
          </cell>
          <cell r="AJ42"/>
          <cell r="AK42"/>
          <cell r="AL42"/>
          <cell r="AM42"/>
          <cell r="AN42">
            <v>0</v>
          </cell>
          <cell r="AO42"/>
          <cell r="AP42"/>
          <cell r="AQ42"/>
          <cell r="AR42"/>
          <cell r="AS42">
            <v>0</v>
          </cell>
          <cell r="AT42"/>
          <cell r="AU42"/>
          <cell r="AV42"/>
          <cell r="AW42"/>
          <cell r="AX42"/>
          <cell r="AY42"/>
          <cell r="AZ42"/>
          <cell r="BA42">
            <v>0</v>
          </cell>
          <cell r="BB42"/>
          <cell r="BC42"/>
          <cell r="BD42"/>
          <cell r="BE42"/>
          <cell r="BF42"/>
          <cell r="BG42"/>
          <cell r="BH42"/>
          <cell r="BI42"/>
          <cell r="BJ42">
            <v>0</v>
          </cell>
        </row>
        <row r="43">
          <cell r="F43">
            <v>0</v>
          </cell>
          <cell r="G43">
            <v>0</v>
          </cell>
          <cell r="H43">
            <v>0</v>
          </cell>
          <cell r="I43">
            <v>0</v>
          </cell>
          <cell r="J43">
            <v>0</v>
          </cell>
          <cell r="K43">
            <v>-13826.505999999999</v>
          </cell>
          <cell r="L43">
            <v>-63495.374000000003</v>
          </cell>
          <cell r="M43">
            <v>1370.634</v>
          </cell>
          <cell r="N43">
            <v>-2250.4879999999998</v>
          </cell>
          <cell r="O43">
            <v>0</v>
          </cell>
          <cell r="P43">
            <v>0</v>
          </cell>
          <cell r="Q43">
            <v>0</v>
          </cell>
          <cell r="R43">
            <v>0</v>
          </cell>
          <cell r="S43">
            <v>0</v>
          </cell>
          <cell r="T43">
            <v>0</v>
          </cell>
          <cell r="U43">
            <v>0</v>
          </cell>
          <cell r="V43">
            <v>0</v>
          </cell>
          <cell r="W43">
            <v>0</v>
          </cell>
          <cell r="X43">
            <v>0</v>
          </cell>
          <cell r="Y43">
            <v>0</v>
          </cell>
          <cell r="Z43">
            <v>-78201.733999999997</v>
          </cell>
          <cell r="AA43">
            <v>0</v>
          </cell>
          <cell r="AB43">
            <v>0</v>
          </cell>
          <cell r="AC43">
            <v>0</v>
          </cell>
          <cell r="AD43">
            <v>0</v>
          </cell>
          <cell r="AE43"/>
          <cell r="AF43"/>
          <cell r="AG43"/>
          <cell r="AH43">
            <v>0</v>
          </cell>
          <cell r="AI43">
            <v>-78201.733999999997</v>
          </cell>
          <cell r="AJ43">
            <v>-24307.731000000029</v>
          </cell>
          <cell r="AK43">
            <v>0</v>
          </cell>
          <cell r="AL43">
            <v>102509.46500000003</v>
          </cell>
          <cell r="AM43"/>
          <cell r="AN43">
            <v>78201.733999999939</v>
          </cell>
          <cell r="AO43">
            <v>0</v>
          </cell>
          <cell r="AP43">
            <v>0</v>
          </cell>
          <cell r="AQ43"/>
          <cell r="AR43"/>
          <cell r="AS43">
            <v>0</v>
          </cell>
          <cell r="AT43">
            <v>0</v>
          </cell>
          <cell r="AU43">
            <v>0</v>
          </cell>
          <cell r="AV43">
            <v>0</v>
          </cell>
          <cell r="AW43"/>
          <cell r="AX43"/>
          <cell r="AY43"/>
          <cell r="AZ43"/>
          <cell r="BA43">
            <v>0</v>
          </cell>
          <cell r="BB43">
            <v>0</v>
          </cell>
          <cell r="BC43">
            <v>0</v>
          </cell>
          <cell r="BD43">
            <v>0</v>
          </cell>
          <cell r="BE43">
            <v>0</v>
          </cell>
          <cell r="BF43">
            <v>0</v>
          </cell>
          <cell r="BG43">
            <v>0</v>
          </cell>
          <cell r="BH43"/>
          <cell r="BI43"/>
          <cell r="BJ43">
            <v>0</v>
          </cell>
        </row>
        <row r="45">
          <cell r="F45"/>
          <cell r="G45">
            <v>27197</v>
          </cell>
          <cell r="H45">
            <v>15904</v>
          </cell>
          <cell r="I45">
            <v>8443</v>
          </cell>
          <cell r="J45">
            <v>5384.5</v>
          </cell>
          <cell r="K45">
            <v>13731</v>
          </cell>
          <cell r="L45">
            <v>12446</v>
          </cell>
          <cell r="M45">
            <v>5217</v>
          </cell>
          <cell r="N45">
            <v>16167</v>
          </cell>
          <cell r="O45">
            <v>5826</v>
          </cell>
          <cell r="P45">
            <v>9070</v>
          </cell>
          <cell r="Q45">
            <v>9533</v>
          </cell>
          <cell r="R45">
            <v>9133</v>
          </cell>
          <cell r="S45">
            <v>16996</v>
          </cell>
          <cell r="T45">
            <v>2178</v>
          </cell>
          <cell r="U45">
            <v>2625.5</v>
          </cell>
          <cell r="V45">
            <v>12050</v>
          </cell>
          <cell r="W45">
            <v>5978.5</v>
          </cell>
          <cell r="X45">
            <v>0</v>
          </cell>
          <cell r="Y45">
            <v>0</v>
          </cell>
          <cell r="Z45">
            <v>177879.5</v>
          </cell>
          <cell r="AA45">
            <v>0</v>
          </cell>
          <cell r="AB45">
            <v>0</v>
          </cell>
          <cell r="AC45">
            <v>0</v>
          </cell>
          <cell r="AD45">
            <v>0</v>
          </cell>
          <cell r="AE45"/>
          <cell r="AF45"/>
          <cell r="AG45"/>
          <cell r="AH45">
            <v>0</v>
          </cell>
          <cell r="AI45">
            <v>177879.5</v>
          </cell>
          <cell r="AJ45">
            <v>10608</v>
          </cell>
          <cell r="AK45">
            <v>1000</v>
          </cell>
          <cell r="AL45">
            <v>6384</v>
          </cell>
          <cell r="AM45"/>
          <cell r="AN45">
            <v>17992</v>
          </cell>
          <cell r="AO45">
            <v>8735.5020000000004</v>
          </cell>
          <cell r="AP45">
            <v>0</v>
          </cell>
          <cell r="AQ45"/>
          <cell r="AR45"/>
          <cell r="AS45">
            <v>8735.5020000000004</v>
          </cell>
          <cell r="AT45">
            <v>0</v>
          </cell>
          <cell r="AU45">
            <v>0</v>
          </cell>
          <cell r="AV45">
            <v>0</v>
          </cell>
          <cell r="AW45"/>
          <cell r="AX45"/>
          <cell r="AY45"/>
          <cell r="AZ45"/>
          <cell r="BA45">
            <v>0</v>
          </cell>
          <cell r="BB45">
            <v>0</v>
          </cell>
          <cell r="BC45">
            <v>0</v>
          </cell>
          <cell r="BD45">
            <v>0</v>
          </cell>
          <cell r="BE45">
            <v>0</v>
          </cell>
          <cell r="BF45">
            <v>0</v>
          </cell>
          <cell r="BG45">
            <v>0</v>
          </cell>
          <cell r="BH45"/>
          <cell r="BI45"/>
          <cell r="BJ45">
            <v>0</v>
          </cell>
        </row>
        <row r="46">
          <cell r="F46">
            <v>26025780.355000004</v>
          </cell>
          <cell r="G46">
            <v>2706270.0350000001</v>
          </cell>
          <cell r="H46">
            <v>1602281.8019999999</v>
          </cell>
          <cell r="I46">
            <v>801171.8</v>
          </cell>
          <cell r="J46">
            <v>526205.76599999995</v>
          </cell>
          <cell r="K46">
            <v>1446236.6</v>
          </cell>
          <cell r="L46">
            <v>1219829.2</v>
          </cell>
          <cell r="M46">
            <v>492656.9</v>
          </cell>
          <cell r="N46">
            <v>1665289.3</v>
          </cell>
          <cell r="O46">
            <v>539413.9</v>
          </cell>
          <cell r="P46">
            <v>915394.65</v>
          </cell>
          <cell r="Q46">
            <v>932073.5</v>
          </cell>
          <cell r="R46">
            <v>978791.9</v>
          </cell>
          <cell r="S46">
            <v>1719265.737</v>
          </cell>
          <cell r="T46">
            <v>248372.8</v>
          </cell>
          <cell r="U46">
            <v>293559.777</v>
          </cell>
          <cell r="V46">
            <v>1162357.9369999999</v>
          </cell>
          <cell r="W46">
            <v>725220.46799999999</v>
          </cell>
          <cell r="X46">
            <v>0</v>
          </cell>
          <cell r="Y46">
            <v>0</v>
          </cell>
          <cell r="Z46">
            <v>17974392.072000001</v>
          </cell>
          <cell r="AA46">
            <v>50000</v>
          </cell>
          <cell r="AB46">
            <v>0</v>
          </cell>
          <cell r="AC46">
            <v>12500</v>
          </cell>
          <cell r="AD46">
            <v>28340</v>
          </cell>
          <cell r="AE46"/>
          <cell r="AF46"/>
          <cell r="AG46"/>
          <cell r="AH46">
            <v>90840</v>
          </cell>
          <cell r="AI46">
            <v>18065232.072000001</v>
          </cell>
          <cell r="AJ46">
            <v>281588</v>
          </cell>
          <cell r="AK46">
            <v>11500</v>
          </cell>
          <cell r="AL46">
            <v>110928</v>
          </cell>
          <cell r="AM46"/>
          <cell r="AN46">
            <v>404016</v>
          </cell>
          <cell r="AO46">
            <v>7480119.6840000004</v>
          </cell>
          <cell r="AP46">
            <v>0</v>
          </cell>
          <cell r="AQ46"/>
          <cell r="AR46"/>
          <cell r="AS46">
            <v>7480119.6840000004</v>
          </cell>
          <cell r="AT46">
            <v>5512.5</v>
          </cell>
          <cell r="AU46">
            <v>5850</v>
          </cell>
          <cell r="AV46">
            <v>63370.249000000003</v>
          </cell>
          <cell r="AW46"/>
          <cell r="AX46"/>
          <cell r="AY46"/>
          <cell r="AZ46"/>
          <cell r="BA46">
            <v>74732.749000000011</v>
          </cell>
          <cell r="BB46">
            <v>0</v>
          </cell>
          <cell r="BC46">
            <v>1679.85</v>
          </cell>
          <cell r="BD46">
            <v>0</v>
          </cell>
          <cell r="BE46">
            <v>0</v>
          </cell>
          <cell r="BF46">
            <v>0</v>
          </cell>
          <cell r="BG46">
            <v>0</v>
          </cell>
          <cell r="BH46"/>
          <cell r="BI46"/>
          <cell r="BJ46">
            <v>1679.85</v>
          </cell>
        </row>
        <row r="47">
          <cell r="F47">
            <v>25540658.48801</v>
          </cell>
          <cell r="G47">
            <v>2544612.6049999995</v>
          </cell>
          <cell r="H47">
            <v>1657572.4529999997</v>
          </cell>
          <cell r="I47">
            <v>851733.67499999993</v>
          </cell>
          <cell r="J47">
            <v>594813.97000000009</v>
          </cell>
          <cell r="K47">
            <v>1378176.7</v>
          </cell>
          <cell r="L47">
            <v>1192706.4360000002</v>
          </cell>
          <cell r="M47">
            <v>509465.30800000008</v>
          </cell>
          <cell r="N47">
            <v>1528667.8830000001</v>
          </cell>
          <cell r="O47">
            <v>551414.48499999999</v>
          </cell>
          <cell r="P47">
            <v>863404.87000000011</v>
          </cell>
          <cell r="Q47">
            <v>876331.24899999995</v>
          </cell>
          <cell r="R47">
            <v>892056.04599999997</v>
          </cell>
          <cell r="S47">
            <v>1701457.8800000001</v>
          </cell>
          <cell r="T47">
            <v>240811.98</v>
          </cell>
          <cell r="U47">
            <v>271279.837</v>
          </cell>
          <cell r="V47">
            <v>1025415.3180000001</v>
          </cell>
          <cell r="W47">
            <v>639006.43599999999</v>
          </cell>
          <cell r="X47">
            <v>0</v>
          </cell>
          <cell r="Y47">
            <v>0</v>
          </cell>
          <cell r="Z47">
            <v>17318927.130999997</v>
          </cell>
          <cell r="AA47">
            <v>6262.6610000000001</v>
          </cell>
          <cell r="AB47">
            <v>0</v>
          </cell>
          <cell r="AC47">
            <v>3451.52</v>
          </cell>
          <cell r="AD47">
            <v>8539.5400000000009</v>
          </cell>
          <cell r="AE47"/>
          <cell r="AF47"/>
          <cell r="AG47"/>
          <cell r="AH47">
            <v>18253.721000000001</v>
          </cell>
          <cell r="AI47">
            <v>17337180.851999998</v>
          </cell>
          <cell r="AJ47">
            <v>281721.57700000005</v>
          </cell>
          <cell r="AK47">
            <v>130357.599</v>
          </cell>
          <cell r="AL47">
            <v>144252.63201</v>
          </cell>
          <cell r="AM47"/>
          <cell r="AN47">
            <v>556331.80801000004</v>
          </cell>
          <cell r="AO47">
            <v>7334209.1920000007</v>
          </cell>
          <cell r="AP47">
            <v>0</v>
          </cell>
          <cell r="AQ47"/>
          <cell r="AR47"/>
          <cell r="AS47">
            <v>7334209.1920000007</v>
          </cell>
          <cell r="AT47">
            <v>1455.896</v>
          </cell>
          <cell r="AU47">
            <v>8675.86</v>
          </cell>
          <cell r="AV47">
            <v>0</v>
          </cell>
          <cell r="AW47"/>
          <cell r="AX47"/>
          <cell r="AY47"/>
          <cell r="AZ47"/>
          <cell r="BA47">
            <v>10131.756000000001</v>
          </cell>
          <cell r="BB47">
            <v>0</v>
          </cell>
          <cell r="BC47">
            <v>0</v>
          </cell>
          <cell r="BD47">
            <v>0</v>
          </cell>
          <cell r="BE47">
            <v>0</v>
          </cell>
          <cell r="BF47">
            <v>0</v>
          </cell>
          <cell r="BG47">
            <v>302804.88</v>
          </cell>
          <cell r="BH47"/>
          <cell r="BI47"/>
          <cell r="BJ47">
            <v>302804.88</v>
          </cell>
        </row>
        <row r="48">
          <cell r="F48">
            <v>485121.86699000373</v>
          </cell>
          <cell r="G48">
            <v>161657.43000000063</v>
          </cell>
          <cell r="H48">
            <v>-55290.650999999838</v>
          </cell>
          <cell r="I48">
            <v>-50561.874999999884</v>
          </cell>
          <cell r="J48">
            <v>-68608.204000000143</v>
          </cell>
          <cell r="K48">
            <v>68059.90000000014</v>
          </cell>
          <cell r="L48">
            <v>27122.763999999734</v>
          </cell>
          <cell r="M48">
            <v>-16808.408000000054</v>
          </cell>
          <cell r="N48">
            <v>136621.4169999999</v>
          </cell>
          <cell r="O48">
            <v>-12000.584999999963</v>
          </cell>
          <cell r="P48">
            <v>51989.779999999912</v>
          </cell>
          <cell r="Q48">
            <v>55742.251000000047</v>
          </cell>
          <cell r="R48">
            <v>86735.85400000005</v>
          </cell>
          <cell r="S48">
            <v>17807.856999999844</v>
          </cell>
          <cell r="T48">
            <v>7560.8199999999779</v>
          </cell>
          <cell r="U48">
            <v>22279.940000000002</v>
          </cell>
          <cell r="V48">
            <v>136942.61899999983</v>
          </cell>
          <cell r="W48">
            <v>86214.032000000007</v>
          </cell>
          <cell r="X48">
            <v>0</v>
          </cell>
          <cell r="Y48">
            <v>0</v>
          </cell>
          <cell r="Z48">
            <v>655464.94100000337</v>
          </cell>
          <cell r="AA48">
            <v>43737.339</v>
          </cell>
          <cell r="AB48">
            <v>0</v>
          </cell>
          <cell r="AC48">
            <v>9048.48</v>
          </cell>
          <cell r="AD48">
            <v>19800.46</v>
          </cell>
          <cell r="AE48"/>
          <cell r="AF48"/>
          <cell r="AG48"/>
          <cell r="AH48">
            <v>72586.278999999995</v>
          </cell>
          <cell r="AI48">
            <v>728051.22000000253</v>
          </cell>
          <cell r="AJ48">
            <v>-133.57700000004843</v>
          </cell>
          <cell r="AK48">
            <v>-118857.599</v>
          </cell>
          <cell r="AL48">
            <v>-33324.632010000001</v>
          </cell>
          <cell r="AM48"/>
          <cell r="AN48">
            <v>-152315.80801000004</v>
          </cell>
          <cell r="AO48">
            <v>145910.49199999962</v>
          </cell>
          <cell r="AP48">
            <v>0</v>
          </cell>
          <cell r="AQ48"/>
          <cell r="AR48"/>
          <cell r="AS48">
            <v>145910.49199999962</v>
          </cell>
          <cell r="AT48">
            <v>4056.6040000000003</v>
          </cell>
          <cell r="AU48">
            <v>-2825.8600000000006</v>
          </cell>
          <cell r="AV48">
            <v>63370.249000000003</v>
          </cell>
          <cell r="AW48"/>
          <cell r="AX48"/>
          <cell r="AY48"/>
          <cell r="AZ48"/>
          <cell r="BA48">
            <v>64600.993000000009</v>
          </cell>
          <cell r="BB48">
            <v>0</v>
          </cell>
          <cell r="BC48">
            <v>1679.85</v>
          </cell>
          <cell r="BD48">
            <v>0</v>
          </cell>
          <cell r="BE48">
            <v>0</v>
          </cell>
          <cell r="BF48">
            <v>0</v>
          </cell>
          <cell r="BG48">
            <v>-302804.88</v>
          </cell>
          <cell r="BH48"/>
          <cell r="BI48"/>
          <cell r="BJ48">
            <v>-301125.03000000003</v>
          </cell>
        </row>
        <row r="49">
          <cell r="F49">
            <v>3049083.5429957723</v>
          </cell>
          <cell r="G49">
            <v>314666.38923464349</v>
          </cell>
          <cell r="H49">
            <v>214585.68226064535</v>
          </cell>
          <cell r="I49">
            <v>127349.32002315263</v>
          </cell>
          <cell r="J49">
            <v>85601.567413757453</v>
          </cell>
          <cell r="K49">
            <v>190153.96455959309</v>
          </cell>
          <cell r="L49">
            <v>169492.61865058827</v>
          </cell>
          <cell r="M49">
            <v>92363.813055822335</v>
          </cell>
          <cell r="N49">
            <v>200139.95571875689</v>
          </cell>
          <cell r="O49">
            <v>88634.794140559563</v>
          </cell>
          <cell r="P49">
            <v>130354.66657070522</v>
          </cell>
          <cell r="Q49">
            <v>120844.74452081685</v>
          </cell>
          <cell r="R49">
            <v>120511.94615477516</v>
          </cell>
          <cell r="S49">
            <v>201736.59310852934</v>
          </cell>
          <cell r="T49">
            <v>33714.848860716367</v>
          </cell>
          <cell r="U49">
            <v>38372.189023353007</v>
          </cell>
          <cell r="V49">
            <v>136777.91402183525</v>
          </cell>
          <cell r="W49">
            <v>82418.411814604333</v>
          </cell>
          <cell r="X49">
            <v>0</v>
          </cell>
          <cell r="Y49">
            <v>0</v>
          </cell>
          <cell r="Z49">
            <v>2347719.4191328548</v>
          </cell>
          <cell r="AA49">
            <v>0</v>
          </cell>
          <cell r="AB49">
            <v>281.00400000000002</v>
          </cell>
          <cell r="AC49">
            <v>0</v>
          </cell>
          <cell r="AD49">
            <v>0</v>
          </cell>
          <cell r="AE49"/>
          <cell r="AF49"/>
          <cell r="AG49"/>
          <cell r="AH49">
            <v>281.00400000000002</v>
          </cell>
          <cell r="AI49">
            <v>2348000.423132855</v>
          </cell>
          <cell r="AJ49">
            <v>26952.699272872214</v>
          </cell>
          <cell r="AK49">
            <v>542.00627004488877</v>
          </cell>
          <cell r="AL49">
            <v>22075.208409999999</v>
          </cell>
          <cell r="AM49"/>
          <cell r="AN49">
            <v>49569.913952917101</v>
          </cell>
          <cell r="AO49">
            <v>144213.24299999999</v>
          </cell>
          <cell r="AP49">
            <v>0</v>
          </cell>
          <cell r="AQ49"/>
          <cell r="AR49"/>
          <cell r="AS49">
            <v>144213.24299999999</v>
          </cell>
          <cell r="AT49">
            <v>0</v>
          </cell>
          <cell r="AU49">
            <v>0</v>
          </cell>
          <cell r="AV49">
            <v>0</v>
          </cell>
          <cell r="AW49"/>
          <cell r="AX49"/>
          <cell r="AY49"/>
          <cell r="AZ49"/>
          <cell r="BA49">
            <v>0</v>
          </cell>
          <cell r="BB49">
            <v>0</v>
          </cell>
          <cell r="BC49">
            <v>17689.941999999999</v>
          </cell>
          <cell r="BD49">
            <v>0</v>
          </cell>
          <cell r="BE49">
            <v>0</v>
          </cell>
          <cell r="BF49">
            <v>33071.712</v>
          </cell>
          <cell r="BG49">
            <v>456538.30891000002</v>
          </cell>
          <cell r="BH49"/>
          <cell r="BI49"/>
          <cell r="BJ49">
            <v>507299.96291</v>
          </cell>
        </row>
        <row r="50">
          <cell r="F50">
            <v>-2563961.6760057686</v>
          </cell>
          <cell r="G50">
            <v>-153008.95923464285</v>
          </cell>
          <cell r="H50">
            <v>-269876.33326064516</v>
          </cell>
          <cell r="I50">
            <v>-177911.19502315251</v>
          </cell>
          <cell r="J50">
            <v>-154209.77141375758</v>
          </cell>
          <cell r="K50">
            <v>-122094.06455959295</v>
          </cell>
          <cell r="L50">
            <v>-142369.85465058853</v>
          </cell>
          <cell r="M50">
            <v>-109172.22105582239</v>
          </cell>
          <cell r="N50">
            <v>-63518.538718756987</v>
          </cell>
          <cell r="O50">
            <v>-100635.37914055953</v>
          </cell>
          <cell r="P50">
            <v>-78364.886570705305</v>
          </cell>
          <cell r="Q50">
            <v>-65102.493520816803</v>
          </cell>
          <cell r="R50">
            <v>-33776.092154775106</v>
          </cell>
          <cell r="S50">
            <v>-183928.7361085295</v>
          </cell>
          <cell r="T50">
            <v>-26154.028860716389</v>
          </cell>
          <cell r="U50">
            <v>-16092.249023353004</v>
          </cell>
          <cell r="V50">
            <v>164.70497816457646</v>
          </cell>
          <cell r="W50">
            <v>3795.6201853956736</v>
          </cell>
          <cell r="X50">
            <v>0</v>
          </cell>
          <cell r="Y50">
            <v>0</v>
          </cell>
          <cell r="Z50">
            <v>-1692254.4781328514</v>
          </cell>
          <cell r="AA50">
            <v>43737.339</v>
          </cell>
          <cell r="AB50">
            <v>-281.00400000000002</v>
          </cell>
          <cell r="AC50">
            <v>9048.48</v>
          </cell>
          <cell r="AD50">
            <v>19800.46</v>
          </cell>
          <cell r="AE50"/>
          <cell r="AF50"/>
          <cell r="AG50"/>
          <cell r="AH50">
            <v>72305.274999999994</v>
          </cell>
          <cell r="AI50">
            <v>-1619949.2031328524</v>
          </cell>
          <cell r="AJ50">
            <v>-27086.276272872263</v>
          </cell>
          <cell r="AK50">
            <v>-119399.60527004489</v>
          </cell>
          <cell r="AL50">
            <v>-55399.84042</v>
          </cell>
          <cell r="AM50"/>
          <cell r="AN50">
            <v>-201885.72196291713</v>
          </cell>
          <cell r="AO50">
            <v>1697.2489999996324</v>
          </cell>
          <cell r="AP50">
            <v>0</v>
          </cell>
          <cell r="AQ50"/>
          <cell r="AR50"/>
          <cell r="AS50">
            <v>1697.2489999996324</v>
          </cell>
          <cell r="AT50">
            <v>4056.6040000000003</v>
          </cell>
          <cell r="AU50">
            <v>-2825.8600000000006</v>
          </cell>
          <cell r="AV50">
            <v>63370.249000000003</v>
          </cell>
          <cell r="AW50"/>
          <cell r="AX50"/>
          <cell r="AY50"/>
          <cell r="AZ50"/>
          <cell r="BA50">
            <v>64600.993000000009</v>
          </cell>
          <cell r="BB50">
            <v>0</v>
          </cell>
          <cell r="BC50">
            <v>-16010.091999999999</v>
          </cell>
          <cell r="BD50">
            <v>0</v>
          </cell>
          <cell r="BE50">
            <v>0</v>
          </cell>
          <cell r="BF50">
            <v>-33071.712</v>
          </cell>
          <cell r="BG50">
            <v>-759343.18891000003</v>
          </cell>
          <cell r="BH50"/>
          <cell r="BI50"/>
          <cell r="BJ50">
            <v>-808424.99291000003</v>
          </cell>
        </row>
        <row r="53">
          <cell r="J53"/>
          <cell r="AA53">
            <v>119694</v>
          </cell>
        </row>
        <row r="54">
          <cell r="J54"/>
          <cell r="AA54">
            <v>117030</v>
          </cell>
        </row>
        <row r="55">
          <cell r="AA55">
            <v>10000</v>
          </cell>
        </row>
        <row r="56">
          <cell r="AA56">
            <v>55200</v>
          </cell>
        </row>
      </sheetData>
      <sheetData sheetId="7">
        <row r="6">
          <cell r="F6" t="str">
            <v>합계</v>
          </cell>
        </row>
      </sheetData>
      <sheetData sheetId="8">
        <row r="6">
          <cell r="F6" t="str">
            <v>합계</v>
          </cell>
        </row>
      </sheetData>
      <sheetData sheetId="9">
        <row r="6">
          <cell r="F6" t="str">
            <v>합계</v>
          </cell>
        </row>
      </sheetData>
      <sheetData sheetId="10">
        <row r="6">
          <cell r="F6" t="str">
            <v>합계</v>
          </cell>
        </row>
      </sheetData>
      <sheetData sheetId="11">
        <row r="6">
          <cell r="F6" t="str">
            <v>합계</v>
          </cell>
        </row>
      </sheetData>
      <sheetData sheetId="12"/>
      <sheetData sheetId="13">
        <row r="6">
          <cell r="F6" t="str">
            <v>합계</v>
          </cell>
        </row>
      </sheetData>
      <sheetData sheetId="14"/>
      <sheetData sheetId="15">
        <row r="6">
          <cell r="F6" t="str">
            <v>합계</v>
          </cell>
        </row>
      </sheetData>
      <sheetData sheetId="16"/>
      <sheetData sheetId="17">
        <row r="6">
          <cell r="F6" t="str">
            <v>합계</v>
          </cell>
        </row>
      </sheetData>
      <sheetData sheetId="18"/>
      <sheetData sheetId="19">
        <row r="6">
          <cell r="F6" t="str">
            <v>합계</v>
          </cell>
        </row>
      </sheetData>
      <sheetData sheetId="20"/>
      <sheetData sheetId="21">
        <row r="6">
          <cell r="F6" t="str">
            <v>합계</v>
          </cell>
        </row>
      </sheetData>
      <sheetData sheetId="22"/>
      <sheetData sheetId="23">
        <row r="6">
          <cell r="F6" t="str">
            <v>합계</v>
          </cell>
        </row>
      </sheetData>
      <sheetData sheetId="24"/>
      <sheetData sheetId="25">
        <row r="6">
          <cell r="F6" t="str">
            <v>합계</v>
          </cell>
        </row>
      </sheetData>
      <sheetData sheetId="26"/>
      <sheetData sheetId="27">
        <row r="6">
          <cell r="F6" t="str">
            <v>합계</v>
          </cell>
        </row>
      </sheetData>
      <sheetData sheetId="28">
        <row r="6">
          <cell r="F6" t="str">
            <v>합계</v>
          </cell>
        </row>
      </sheetData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합계"/>
      <sheetName val="수도권"/>
      <sheetName val="영남권"/>
      <sheetName val="부산권"/>
      <sheetName val="부산권외"/>
      <sheetName val="수도권(영남권대비)"/>
      <sheetName val="중부권"/>
      <sheetName val="안양"/>
      <sheetName val="인천"/>
      <sheetName val="파주"/>
      <sheetName val="김포"/>
      <sheetName val="부산"/>
      <sheetName val="서부산"/>
      <sheetName val="김해"/>
      <sheetName val="정관"/>
      <sheetName val="양산"/>
      <sheetName val="창원"/>
      <sheetName val="대구"/>
      <sheetName val="울산"/>
      <sheetName val="아산"/>
      <sheetName val="전주"/>
      <sheetName val="군산"/>
      <sheetName val="원주"/>
      <sheetName val="제주"/>
    </sheetNames>
    <sheetDataSet>
      <sheetData sheetId="0">
        <row r="5">
          <cell r="T5">
            <v>189000</v>
          </cell>
          <cell r="U5">
            <v>176120.5</v>
          </cell>
        </row>
        <row r="9">
          <cell r="E9">
            <v>307.45878058609463</v>
          </cell>
          <cell r="F9">
            <v>290.90667186445665</v>
          </cell>
          <cell r="G9">
            <v>97643.563361475695</v>
          </cell>
          <cell r="H9">
            <v>100512.31292060768</v>
          </cell>
        </row>
        <row r="10">
          <cell r="E10">
            <v>32.143101592043394</v>
          </cell>
          <cell r="F10">
            <v>44.7201871204432</v>
          </cell>
          <cell r="G10">
            <v>91575.640431801396</v>
          </cell>
          <cell r="H10">
            <v>95468.695493011415</v>
          </cell>
        </row>
        <row r="11">
          <cell r="E11">
            <v>0</v>
          </cell>
          <cell r="F11">
            <v>30.237036522508312</v>
          </cell>
        </row>
        <row r="12">
          <cell r="E12">
            <v>23.235372663463927</v>
          </cell>
          <cell r="F12">
            <v>23.729500955448326</v>
          </cell>
          <cell r="G12">
            <v>59695.81953919334</v>
          </cell>
          <cell r="H12">
            <v>60767.706503026755</v>
          </cell>
        </row>
        <row r="13">
          <cell r="E13">
            <v>21.506035676994852</v>
          </cell>
          <cell r="F13">
            <v>23.042774202328239</v>
          </cell>
          <cell r="G13">
            <v>35544.195882660701</v>
          </cell>
          <cell r="H13">
            <v>33678.686049966695</v>
          </cell>
        </row>
        <row r="14">
          <cell r="E14">
            <v>8.7292463578015261E-2</v>
          </cell>
          <cell r="F14">
            <v>0</v>
          </cell>
        </row>
        <row r="15">
          <cell r="E15">
            <v>384.43058298217477</v>
          </cell>
          <cell r="F15">
            <v>412.63617066518475</v>
          </cell>
        </row>
        <row r="16">
          <cell r="E16">
            <v>828.90477517455008</v>
          </cell>
          <cell r="F16">
            <v>820.49776873047301</v>
          </cell>
          <cell r="G16">
            <v>12906.290411739865</v>
          </cell>
          <cell r="H16">
            <v>12849.11855019185</v>
          </cell>
        </row>
        <row r="17">
          <cell r="E17">
            <v>893.84259502049554</v>
          </cell>
          <cell r="F17">
            <v>878.97360467687724</v>
          </cell>
          <cell r="G17">
            <v>15891.382069161125</v>
          </cell>
          <cell r="H17">
            <v>15694.057758248995</v>
          </cell>
        </row>
        <row r="19">
          <cell r="E19">
            <v>3.2682390056864503</v>
          </cell>
          <cell r="F19">
            <v>3.480646586185975</v>
          </cell>
        </row>
        <row r="20">
          <cell r="Q20">
            <v>62985.170520051128</v>
          </cell>
          <cell r="R20">
            <v>67262.044489302963</v>
          </cell>
        </row>
        <row r="21">
          <cell r="Q21">
            <v>19127.691872201653</v>
          </cell>
          <cell r="R21">
            <v>19939.906660920748</v>
          </cell>
        </row>
        <row r="22">
          <cell r="Q22">
            <v>432.08994708994709</v>
          </cell>
          <cell r="R22">
            <v>408.62329252595589</v>
          </cell>
        </row>
        <row r="50">
          <cell r="Q50">
            <v>95221.900434580821</v>
          </cell>
          <cell r="R50">
            <v>99207.79491599428</v>
          </cell>
        </row>
        <row r="56">
          <cell r="L56">
            <v>-593976.98805374256</v>
          </cell>
        </row>
        <row r="61">
          <cell r="T61">
            <v>100913.29116304117</v>
          </cell>
          <cell r="U61">
            <v>106420.85674162097</v>
          </cell>
        </row>
        <row r="80">
          <cell r="H80">
            <v>668912.25900000008</v>
          </cell>
          <cell r="I80">
            <v>628501.83600000001</v>
          </cell>
          <cell r="L80">
            <v>40410.423000000039</v>
          </cell>
        </row>
        <row r="85">
          <cell r="H85">
            <v>381613.10811176774</v>
          </cell>
          <cell r="I85">
            <v>500307.48400999996</v>
          </cell>
          <cell r="L85">
            <v>-118694.37589823225</v>
          </cell>
          <cell r="Q85">
            <v>100913.29116304117</v>
          </cell>
          <cell r="R85">
            <v>106420.85674162097</v>
          </cell>
        </row>
        <row r="86">
          <cell r="H86">
            <v>25147.480567232531</v>
          </cell>
          <cell r="I86">
            <v>248979.02200001007</v>
          </cell>
          <cell r="K86">
            <v>968698.17178850831</v>
          </cell>
          <cell r="M86">
            <v>-72605.689403756987</v>
          </cell>
        </row>
        <row r="89">
          <cell r="Q89">
            <v>82544.952339342723</v>
          </cell>
          <cell r="R89">
            <v>87610.574442749668</v>
          </cell>
        </row>
        <row r="90">
          <cell r="Q90">
            <v>18368.338823698447</v>
          </cell>
          <cell r="R90">
            <v>18810.282298871301</v>
          </cell>
        </row>
      </sheetData>
      <sheetData sheetId="1">
        <row r="5">
          <cell r="T5">
            <v>72000</v>
          </cell>
          <cell r="U5">
            <v>66817</v>
          </cell>
        </row>
        <row r="9">
          <cell r="E9">
            <v>332.98611111111109</v>
          </cell>
          <cell r="F9">
            <v>296.21720747943147</v>
          </cell>
          <cell r="G9">
            <v>97000</v>
          </cell>
          <cell r="H9">
            <v>100223.29219944871</v>
          </cell>
        </row>
        <row r="10">
          <cell r="E10">
            <v>17.083333333333332</v>
          </cell>
          <cell r="F10">
            <v>36.426583096484663</v>
          </cell>
          <cell r="G10">
            <v>95926.829268292684</v>
          </cell>
          <cell r="H10">
            <v>98333.825493105236</v>
          </cell>
        </row>
        <row r="11">
          <cell r="E11">
            <v>0</v>
          </cell>
          <cell r="F11">
            <v>52.785744203440537</v>
          </cell>
        </row>
        <row r="12">
          <cell r="E12">
            <v>27.858333333333331</v>
          </cell>
          <cell r="F12">
            <v>25.531064771877332</v>
          </cell>
          <cell r="G12">
            <v>60000</v>
          </cell>
          <cell r="H12">
            <v>60038.28453826395</v>
          </cell>
        </row>
        <row r="13">
          <cell r="E13">
            <v>22.275833333333335</v>
          </cell>
          <cell r="F13">
            <v>17.339564846671646</v>
          </cell>
          <cell r="G13">
            <v>39549.973189679891</v>
          </cell>
          <cell r="H13">
            <v>37606.787201493229</v>
          </cell>
        </row>
        <row r="14">
          <cell r="E14">
            <v>0</v>
          </cell>
          <cell r="F14">
            <v>0</v>
          </cell>
        </row>
        <row r="15">
          <cell r="E15">
            <v>400.20361111111106</v>
          </cell>
          <cell r="F15">
            <v>428.30016439790558</v>
          </cell>
        </row>
        <row r="16">
          <cell r="E16">
            <v>855.06944444444446</v>
          </cell>
          <cell r="F16">
            <v>844.39979057591609</v>
          </cell>
          <cell r="G16">
            <v>14859.682178727089</v>
          </cell>
          <cell r="H16">
            <v>14677.63376236795</v>
          </cell>
        </row>
        <row r="17">
          <cell r="E17">
            <v>876.55555555555554</v>
          </cell>
          <cell r="F17">
            <v>842.43293941660488</v>
          </cell>
          <cell r="G17">
            <v>13709.041510468316</v>
          </cell>
          <cell r="H17">
            <v>13702.958887356948</v>
          </cell>
        </row>
        <row r="19">
          <cell r="E19">
            <v>3.4464902777777775</v>
          </cell>
          <cell r="F19">
            <v>3.7193358264771872</v>
          </cell>
        </row>
        <row r="20">
          <cell r="Q20">
            <v>64231.990085305682</v>
          </cell>
          <cell r="R20">
            <v>69716.265175766632</v>
          </cell>
        </row>
        <row r="21">
          <cell r="Q21">
            <v>18756.263160846564</v>
          </cell>
          <cell r="R21">
            <v>19521.187180254299</v>
          </cell>
        </row>
        <row r="22">
          <cell r="Q22">
            <v>512.15277777777783</v>
          </cell>
          <cell r="R22">
            <v>546.28629768137625</v>
          </cell>
        </row>
        <row r="50">
          <cell r="Q50">
            <v>94273.573703328177</v>
          </cell>
          <cell r="R50">
            <v>99704.725445026168</v>
          </cell>
        </row>
        <row r="56">
          <cell r="L56">
            <v>-362595.03098062426</v>
          </cell>
        </row>
        <row r="61">
          <cell r="T61">
            <v>98950.865727146374</v>
          </cell>
          <cell r="U61">
            <v>104188.77459703996</v>
          </cell>
        </row>
        <row r="80">
          <cell r="H80">
            <v>226564.00099999999</v>
          </cell>
          <cell r="I80">
            <v>206638.82199999999</v>
          </cell>
          <cell r="L80">
            <v>19925.178999999989</v>
          </cell>
        </row>
        <row r="85">
          <cell r="H85">
            <v>110508.31299999999</v>
          </cell>
          <cell r="I85">
            <v>109354.77288000002</v>
          </cell>
          <cell r="L85">
            <v>1153.5401199999815</v>
          </cell>
          <cell r="Q85">
            <v>98950.865727146374</v>
          </cell>
          <cell r="R85">
            <v>104188.77459703996</v>
          </cell>
        </row>
        <row r="86">
          <cell r="H86">
            <v>-307.2882850903261</v>
          </cell>
          <cell r="I86">
            <v>-16389.475000000806</v>
          </cell>
          <cell r="K86">
            <v>349661.84451861592</v>
          </cell>
          <cell r="M86">
            <v>-24227.719372902589</v>
          </cell>
        </row>
        <row r="89">
          <cell r="Q89">
            <v>83500.406023930031</v>
          </cell>
          <cell r="R89">
            <v>89783.738653702312</v>
          </cell>
        </row>
        <row r="90">
          <cell r="Q90">
            <v>15450.459703216344</v>
          </cell>
          <cell r="R90">
            <v>14405.035943337643</v>
          </cell>
        </row>
      </sheetData>
      <sheetData sheetId="2">
        <row r="5">
          <cell r="T5">
            <v>90500</v>
          </cell>
          <cell r="U5">
            <v>78610.5</v>
          </cell>
        </row>
        <row r="9">
          <cell r="E9">
            <v>274.92416560934493</v>
          </cell>
          <cell r="F9">
            <v>259.71133521989879</v>
          </cell>
          <cell r="G9">
            <v>97000.000000000029</v>
          </cell>
          <cell r="H9">
            <v>100000.00063377932</v>
          </cell>
        </row>
        <row r="10">
          <cell r="E10">
            <v>53.13299669498565</v>
          </cell>
          <cell r="F10">
            <v>62.785367342158438</v>
          </cell>
          <cell r="G10">
            <v>90440.423723710104</v>
          </cell>
          <cell r="H10">
            <v>93889.888839318184</v>
          </cell>
        </row>
        <row r="11">
          <cell r="E11">
            <v>0</v>
          </cell>
          <cell r="F11">
            <v>22.83866129818497</v>
          </cell>
        </row>
        <row r="12">
          <cell r="E12">
            <v>22.763614395092045</v>
          </cell>
          <cell r="F12">
            <v>26.933746858361985</v>
          </cell>
          <cell r="G12">
            <v>59317.921839657683</v>
          </cell>
          <cell r="H12">
            <v>61304.471286210959</v>
          </cell>
        </row>
        <row r="13">
          <cell r="E13">
            <v>24.10630353717271</v>
          </cell>
          <cell r="F13">
            <v>31.440316664450922</v>
          </cell>
          <cell r="G13">
            <v>32472.768521924954</v>
          </cell>
          <cell r="H13">
            <v>32045.926648314591</v>
          </cell>
        </row>
        <row r="14">
          <cell r="E14">
            <v>0.18230138802480539</v>
          </cell>
          <cell r="F14">
            <v>0</v>
          </cell>
        </row>
        <row r="15">
          <cell r="E15">
            <v>375.10938162462014</v>
          </cell>
          <cell r="F15">
            <v>403.70942738305507</v>
          </cell>
        </row>
        <row r="16">
          <cell r="E16">
            <v>813.36212716011016</v>
          </cell>
          <cell r="F16">
            <v>815.16474528200376</v>
          </cell>
          <cell r="G16">
            <v>11060.892557907113</v>
          </cell>
          <cell r="H16">
            <v>11246.378808978454</v>
          </cell>
        </row>
        <row r="17">
          <cell r="E17">
            <v>898.51390009805164</v>
          </cell>
          <cell r="F17">
            <v>877.19276521122549</v>
          </cell>
          <cell r="G17">
            <v>17846.991561186816</v>
          </cell>
          <cell r="H17">
            <v>17852.005779540686</v>
          </cell>
        </row>
        <row r="19">
          <cell r="E19">
            <v>3.1947720671241888</v>
          </cell>
          <cell r="F19">
            <v>3.3753953874106575</v>
          </cell>
        </row>
        <row r="20">
          <cell r="Q20">
            <v>61614.441169416408</v>
          </cell>
          <cell r="R20">
            <v>65458.100215878803</v>
          </cell>
        </row>
        <row r="21">
          <cell r="Q21">
            <v>19840.191924199487</v>
          </cell>
          <cell r="R21">
            <v>20360.730581986467</v>
          </cell>
        </row>
        <row r="22">
          <cell r="Q22">
            <v>358.56353591160223</v>
          </cell>
          <cell r="R22">
            <v>320.37880715881965</v>
          </cell>
        </row>
        <row r="50">
          <cell r="Q50">
            <v>94255.371788827673</v>
          </cell>
          <cell r="R50">
            <v>97862.969378129783</v>
          </cell>
        </row>
        <row r="56">
          <cell r="L56">
            <v>-176072.14839436219</v>
          </cell>
        </row>
        <row r="61">
          <cell r="T61">
            <v>100438.34086647777</v>
          </cell>
          <cell r="U61">
            <v>107645.51524287467</v>
          </cell>
        </row>
        <row r="80">
          <cell r="H80">
            <v>318098.73600000003</v>
          </cell>
          <cell r="I80">
            <v>309379.84899999999</v>
          </cell>
          <cell r="L80">
            <v>8718.8870000000315</v>
          </cell>
        </row>
        <row r="85">
          <cell r="H85">
            <v>183787.47026953136</v>
          </cell>
          <cell r="I85">
            <v>303581.84759999992</v>
          </cell>
          <cell r="L85">
            <v>-119794.37733046859</v>
          </cell>
          <cell r="Q85">
            <v>100438.34086647777</v>
          </cell>
          <cell r="R85">
            <v>107645.51524287467</v>
          </cell>
        </row>
        <row r="86">
          <cell r="H86">
            <v>57672.495257803355</v>
          </cell>
          <cell r="I86">
            <v>263767.4269999988</v>
          </cell>
          <cell r="K86">
            <v>566559.58131574851</v>
          </cell>
          <cell r="M86">
            <v>-73317.010848721024</v>
          </cell>
        </row>
        <row r="89">
          <cell r="Q89">
            <v>81813.196629527491</v>
          </cell>
          <cell r="R89">
            <v>86139.209605024094</v>
          </cell>
        </row>
        <row r="90">
          <cell r="Q90">
            <v>18625.144236950277</v>
          </cell>
          <cell r="R90">
            <v>21506.305637850572</v>
          </cell>
        </row>
      </sheetData>
      <sheetData sheetId="3" refreshError="1"/>
      <sheetData sheetId="4" refreshError="1"/>
      <sheetData sheetId="5" refreshError="1"/>
      <sheetData sheetId="6">
        <row r="5">
          <cell r="T5">
            <v>26500</v>
          </cell>
          <cell r="U5">
            <v>30693</v>
          </cell>
        </row>
        <row r="9">
          <cell r="E9">
            <v>349.21028464627085</v>
          </cell>
          <cell r="F9">
            <v>359.98480746867574</v>
          </cell>
          <cell r="G9">
            <v>101041.16996335611</v>
          </cell>
          <cell r="H9">
            <v>101989.34108922775</v>
          </cell>
        </row>
        <row r="10">
          <cell r="E10">
            <v>1.3777358490566036</v>
          </cell>
          <cell r="F10">
            <v>16.144264679387437</v>
          </cell>
          <cell r="G10">
            <v>94500.000000000029</v>
          </cell>
          <cell r="H10">
            <v>97197.419694879529</v>
          </cell>
        </row>
        <row r="11">
          <cell r="E11">
            <v>0</v>
          </cell>
          <cell r="F11">
            <v>0</v>
          </cell>
        </row>
        <row r="12">
          <cell r="E12">
            <v>12.285974741088781</v>
          </cell>
          <cell r="F12">
            <v>11.494490541315209</v>
          </cell>
          <cell r="G12">
            <v>60213.005576458127</v>
          </cell>
          <cell r="H12">
            <v>61061.60575524412</v>
          </cell>
        </row>
        <row r="13">
          <cell r="E13">
            <v>10.534349918411191</v>
          </cell>
          <cell r="F13">
            <v>13.806047989517646</v>
          </cell>
          <cell r="G13">
            <v>36532.813669168521</v>
          </cell>
          <cell r="H13">
            <v>32494.985990860008</v>
          </cell>
        </row>
        <row r="14">
          <cell r="E14">
            <v>0</v>
          </cell>
          <cell r="F14">
            <v>0</v>
          </cell>
        </row>
        <row r="15">
          <cell r="E15">
            <v>373.40834515482743</v>
          </cell>
          <cell r="F15">
            <v>401.42961067889604</v>
          </cell>
        </row>
        <row r="16">
          <cell r="E16">
            <v>810.89547169811317</v>
          </cell>
          <cell r="F16">
            <v>781.95381213659812</v>
          </cell>
          <cell r="G16">
            <v>13631.220613471962</v>
          </cell>
          <cell r="H16">
            <v>12847.87090830982</v>
          </cell>
        </row>
        <row r="17">
          <cell r="E17">
            <v>924.85820754716985</v>
          </cell>
          <cell r="F17">
            <v>963.59872246335271</v>
          </cell>
          <cell r="G17">
            <v>15022.732775014609</v>
          </cell>
          <cell r="H17">
            <v>14423.632236049039</v>
          </cell>
        </row>
        <row r="19">
          <cell r="E19">
            <v>3.0348301886792455</v>
          </cell>
          <cell r="F19">
            <v>3.2302596019981986</v>
          </cell>
        </row>
        <row r="20">
          <cell r="Q20">
            <v>64278.755332659188</v>
          </cell>
          <cell r="R20">
            <v>66554.812120219474</v>
          </cell>
        </row>
        <row r="21">
          <cell r="Q21">
            <v>17703.601778305871</v>
          </cell>
          <cell r="R21">
            <v>19768.092211940053</v>
          </cell>
        </row>
        <row r="22">
          <cell r="Q22">
            <v>465.66037735849056</v>
          </cell>
          <cell r="R22">
            <v>335.46739824748181</v>
          </cell>
        </row>
        <row r="50">
          <cell r="Q50">
            <v>101099.27277763172</v>
          </cell>
          <cell r="R50">
            <v>101598.87976414707</v>
          </cell>
        </row>
        <row r="56">
          <cell r="L56">
            <v>-15227.020205846609</v>
          </cell>
        </row>
        <row r="61">
          <cell r="T61">
            <v>107867.16411486792</v>
          </cell>
          <cell r="U61">
            <v>108148.78762062354</v>
          </cell>
        </row>
        <row r="80">
          <cell r="H80">
            <v>124249.522</v>
          </cell>
          <cell r="I80">
            <v>112483.16500000001</v>
          </cell>
          <cell r="L80">
            <v>11766.356999999991</v>
          </cell>
        </row>
        <row r="85">
          <cell r="H85">
            <v>87317.32484223631</v>
          </cell>
          <cell r="I85">
            <v>87370.863530000017</v>
          </cell>
          <cell r="L85">
            <v>-53.538687763706548</v>
          </cell>
          <cell r="Q85">
            <v>107867.16411486792</v>
          </cell>
          <cell r="R85">
            <v>108148.78762062354</v>
          </cell>
        </row>
        <row r="86">
          <cell r="H86">
            <v>-32217.726405477108</v>
          </cell>
          <cell r="I86">
            <v>1601.0699999991193</v>
          </cell>
          <cell r="K86">
            <v>8594.7269604028479</v>
          </cell>
          <cell r="M86">
            <v>28738.271338683669</v>
          </cell>
        </row>
        <row r="89">
          <cell r="Q89">
            <v>82448.01748832356</v>
          </cell>
          <cell r="R89">
            <v>86658.371730407001</v>
          </cell>
        </row>
        <row r="90">
          <cell r="Q90">
            <v>25419.14662654436</v>
          </cell>
          <cell r="R90">
            <v>21490.415890216536</v>
          </cell>
        </row>
      </sheetData>
      <sheetData sheetId="7">
        <row r="2">
          <cell r="O2">
            <v>30862</v>
          </cell>
        </row>
        <row r="5">
          <cell r="T5">
            <v>29000</v>
          </cell>
          <cell r="U5">
            <v>30862</v>
          </cell>
        </row>
        <row r="9">
          <cell r="E9">
            <v>347.24137931034483</v>
          </cell>
          <cell r="F9">
            <v>279.75099229224668</v>
          </cell>
          <cell r="G9">
            <v>97000</v>
          </cell>
          <cell r="H9">
            <v>99983.144888571667</v>
          </cell>
        </row>
        <row r="10">
          <cell r="E10">
            <v>0</v>
          </cell>
          <cell r="F10">
            <v>7.6667863851285709</v>
          </cell>
          <cell r="G10">
            <v>0</v>
          </cell>
          <cell r="H10">
            <v>100499.98937630818</v>
          </cell>
        </row>
        <row r="11">
          <cell r="E11">
            <v>0</v>
          </cell>
          <cell r="F11">
            <v>101.69149556318415</v>
          </cell>
        </row>
        <row r="12">
          <cell r="E12">
            <v>25.793103448275861</v>
          </cell>
          <cell r="F12">
            <v>25.415235442710006</v>
          </cell>
          <cell r="G12">
            <v>60000</v>
          </cell>
          <cell r="H12">
            <v>60057.163890377109</v>
          </cell>
        </row>
        <row r="13">
          <cell r="E13">
            <v>20.137931034482758</v>
          </cell>
          <cell r="F13">
            <v>21.153142042878407</v>
          </cell>
          <cell r="G13">
            <v>38500</v>
          </cell>
          <cell r="H13">
            <v>37025.74895426396</v>
          </cell>
        </row>
        <row r="14">
          <cell r="E14">
            <v>0</v>
          </cell>
          <cell r="F14">
            <v>0</v>
          </cell>
        </row>
        <row r="15">
          <cell r="E15">
            <v>393.17241379310343</v>
          </cell>
          <cell r="F15">
            <v>435.67765172614781</v>
          </cell>
        </row>
        <row r="16">
          <cell r="E16">
            <v>845.44827586206895</v>
          </cell>
          <cell r="F16">
            <v>833.49653474965999</v>
          </cell>
          <cell r="G16">
            <v>14133.333333333332</v>
          </cell>
          <cell r="H16">
            <v>14000.004818021389</v>
          </cell>
        </row>
        <row r="17">
          <cell r="E17">
            <v>879.48275862068965</v>
          </cell>
          <cell r="F17">
            <v>803.12672452879167</v>
          </cell>
          <cell r="G17">
            <v>13548.387096774193</v>
          </cell>
          <cell r="H17">
            <v>13588.925126538623</v>
          </cell>
        </row>
        <row r="19">
          <cell r="E19">
            <v>3.53</v>
          </cell>
          <cell r="F19">
            <v>4.4487628732430862</v>
          </cell>
        </row>
        <row r="20">
          <cell r="Q20">
            <v>63117.485502410091</v>
          </cell>
          <cell r="R20">
            <v>70779.425545695951</v>
          </cell>
        </row>
        <row r="21">
          <cell r="Q21">
            <v>18441.908559735282</v>
          </cell>
          <cell r="R21">
            <v>19242.375089060173</v>
          </cell>
        </row>
        <row r="22">
          <cell r="Q22">
            <v>396.55172413793105</v>
          </cell>
          <cell r="R22">
            <v>358.81135436232921</v>
          </cell>
        </row>
        <row r="50">
          <cell r="Q50">
            <v>89568.559743179852</v>
          </cell>
          <cell r="R50">
            <v>97494.394811840131</v>
          </cell>
        </row>
        <row r="56">
          <cell r="L56">
            <v>-244697.33285598352</v>
          </cell>
        </row>
        <row r="80">
          <cell r="H80">
            <v>69187.902999999991</v>
          </cell>
          <cell r="I80">
            <v>65776.680000000008</v>
          </cell>
          <cell r="L80">
            <v>3411.2229999999931</v>
          </cell>
        </row>
        <row r="85">
          <cell r="H85">
            <v>30863.911666666663</v>
          </cell>
          <cell r="I85">
            <v>31209.994350000001</v>
          </cell>
          <cell r="L85">
            <v>-346.08268333333763</v>
          </cell>
          <cell r="Q85">
            <v>99033.952379310344</v>
          </cell>
          <cell r="R85">
            <v>108132.36054047047</v>
          </cell>
        </row>
        <row r="86">
          <cell r="H86">
            <v>174444.57178111785</v>
          </cell>
          <cell r="I86">
            <v>231232.0129999998</v>
          </cell>
          <cell r="K86">
            <v>280795.07266972389</v>
          </cell>
          <cell r="M86">
            <v>17624.561088474991</v>
          </cell>
        </row>
        <row r="89">
          <cell r="Q89">
            <v>81955.945786283308</v>
          </cell>
          <cell r="R89">
            <v>90380.611989118464</v>
          </cell>
        </row>
        <row r="92">
          <cell r="H92">
            <v>-88266.65478268484</v>
          </cell>
          <cell r="I92">
            <v>15073.584609052108</v>
          </cell>
        </row>
      </sheetData>
      <sheetData sheetId="8">
        <row r="2">
          <cell r="O2">
            <v>21869</v>
          </cell>
        </row>
        <row r="5">
          <cell r="T5">
            <v>25000</v>
          </cell>
          <cell r="U5">
            <v>21869</v>
          </cell>
        </row>
        <row r="9">
          <cell r="E9">
            <v>329.84000000000009</v>
          </cell>
          <cell r="F9">
            <v>322.17298824820529</v>
          </cell>
          <cell r="G9">
            <v>96999.999999999971</v>
          </cell>
          <cell r="H9">
            <v>100648.23894344014</v>
          </cell>
        </row>
        <row r="10">
          <cell r="E10">
            <v>39.6</v>
          </cell>
          <cell r="F10">
            <v>68.927477708171367</v>
          </cell>
          <cell r="G10">
            <v>97000</v>
          </cell>
          <cell r="H10">
            <v>99748.100507517374</v>
          </cell>
        </row>
        <row r="11">
          <cell r="E11">
            <v>0</v>
          </cell>
          <cell r="F11">
            <v>1.324203210023321</v>
          </cell>
        </row>
        <row r="12">
          <cell r="E12">
            <v>31.52</v>
          </cell>
          <cell r="F12">
            <v>29.321047601627864</v>
          </cell>
          <cell r="G12">
            <v>60000</v>
          </cell>
          <cell r="H12">
            <v>60035.400532661108</v>
          </cell>
        </row>
        <row r="13">
          <cell r="E13">
            <v>24.080000000000002</v>
          </cell>
          <cell r="F13">
            <v>14.780837258219396</v>
          </cell>
          <cell r="G13">
            <v>39000</v>
          </cell>
          <cell r="H13">
            <v>37586.3536105272</v>
          </cell>
        </row>
        <row r="14">
          <cell r="E14">
            <v>0</v>
          </cell>
          <cell r="F14">
            <v>0</v>
          </cell>
        </row>
        <row r="15">
          <cell r="E15">
            <v>425.04000000000008</v>
          </cell>
          <cell r="F15">
            <v>436.5265540262472</v>
          </cell>
        </row>
        <row r="16">
          <cell r="E16">
            <v>879.6</v>
          </cell>
          <cell r="F16">
            <v>853.7315377932232</v>
          </cell>
          <cell r="G16">
            <v>15333.333333333334</v>
          </cell>
          <cell r="H16">
            <v>15264.752998820853</v>
          </cell>
        </row>
        <row r="17">
          <cell r="E17">
            <v>850.19999999999993</v>
          </cell>
          <cell r="F17">
            <v>874.09209383145128</v>
          </cell>
          <cell r="G17">
            <v>13954.19202548429</v>
          </cell>
          <cell r="H17">
            <v>14377.586903207441</v>
          </cell>
        </row>
        <row r="19">
          <cell r="E19">
            <v>3.5903999999999998</v>
          </cell>
          <cell r="F19">
            <v>3.1564063285929835</v>
          </cell>
        </row>
        <row r="20">
          <cell r="Q20">
            <v>67032.990060066746</v>
          </cell>
          <cell r="R20">
            <v>70757.488179614971</v>
          </cell>
        </row>
        <row r="21">
          <cell r="Q21">
            <v>19241.540762924207</v>
          </cell>
          <cell r="R21">
            <v>18416.672733092506</v>
          </cell>
        </row>
        <row r="22">
          <cell r="Q22">
            <v>690</v>
          </cell>
          <cell r="R22">
            <v>751.79084548904848</v>
          </cell>
        </row>
        <row r="50">
          <cell r="Q50">
            <v>97133.748382990962</v>
          </cell>
          <cell r="R50">
            <v>98430.494947185507</v>
          </cell>
        </row>
        <row r="56">
          <cell r="L56">
            <v>-28358.530552370892</v>
          </cell>
        </row>
        <row r="80">
          <cell r="H80">
            <v>67863.024000000005</v>
          </cell>
          <cell r="I80">
            <v>61175.76</v>
          </cell>
          <cell r="L80">
            <v>6687.264000000001</v>
          </cell>
        </row>
        <row r="85">
          <cell r="H85">
            <v>36083.757555555552</v>
          </cell>
          <cell r="I85">
            <v>39514.624060000002</v>
          </cell>
          <cell r="L85">
            <v>-3430.8665044444497</v>
          </cell>
          <cell r="Q85">
            <v>100114.01941818156</v>
          </cell>
          <cell r="R85">
            <v>101637.02766473089</v>
          </cell>
        </row>
        <row r="86">
          <cell r="H86">
            <v>-29440.005675790162</v>
          </cell>
          <cell r="I86">
            <v>-30566.700000000121</v>
          </cell>
          <cell r="K86">
            <v>33306.667343787347</v>
          </cell>
          <cell r="M86">
            <v>-9331.2286111818976</v>
          </cell>
        </row>
        <row r="89">
          <cell r="Q89">
            <v>86964.530822990957</v>
          </cell>
          <cell r="R89">
            <v>89925.951758196519</v>
          </cell>
        </row>
        <row r="92">
          <cell r="H92">
            <v>-258385.14576798052</v>
          </cell>
          <cell r="I92">
            <v>-174537.13065718039</v>
          </cell>
        </row>
      </sheetData>
      <sheetData sheetId="9">
        <row r="2">
          <cell r="O2">
            <v>7392</v>
          </cell>
        </row>
        <row r="5">
          <cell r="T5">
            <v>10000</v>
          </cell>
          <cell r="U5">
            <v>7450</v>
          </cell>
        </row>
        <row r="9">
          <cell r="E9">
            <v>311.8</v>
          </cell>
          <cell r="F9">
            <v>315.58259799945938</v>
          </cell>
          <cell r="G9">
            <v>97000</v>
          </cell>
          <cell r="H9">
            <v>100000.01156475373</v>
          </cell>
        </row>
        <row r="10">
          <cell r="E10">
            <v>0</v>
          </cell>
          <cell r="F10">
            <v>0.13517707488510408</v>
          </cell>
          <cell r="G10">
            <v>0</v>
          </cell>
          <cell r="H10">
            <v>99050.037998480067</v>
          </cell>
        </row>
        <row r="11">
          <cell r="E11">
            <v>0</v>
          </cell>
          <cell r="F11">
            <v>48.626385509597178</v>
          </cell>
        </row>
        <row r="12">
          <cell r="E12">
            <v>30.98</v>
          </cell>
          <cell r="F12">
            <v>30.191947823736143</v>
          </cell>
          <cell r="G12">
            <v>60000</v>
          </cell>
          <cell r="H12">
            <v>60043.715072925093</v>
          </cell>
        </row>
        <row r="13">
          <cell r="E13">
            <v>25.886000000000003</v>
          </cell>
          <cell r="F13">
            <v>9.0128480670451427</v>
          </cell>
          <cell r="G13">
            <v>41999.999999999993</v>
          </cell>
          <cell r="H13">
            <v>40167.223954869049</v>
          </cell>
        </row>
        <row r="14">
          <cell r="E14">
            <v>0</v>
          </cell>
          <cell r="F14">
            <v>0</v>
          </cell>
        </row>
        <row r="15">
          <cell r="E15">
            <v>368.66600000000005</v>
          </cell>
          <cell r="F15">
            <v>403.54895647472296</v>
          </cell>
        </row>
        <row r="16">
          <cell r="E16">
            <v>827.5</v>
          </cell>
          <cell r="F16">
            <v>873.79832387131557</v>
          </cell>
          <cell r="G16">
            <v>15666.666666666666</v>
          </cell>
          <cell r="H16">
            <v>15704.892363667881</v>
          </cell>
        </row>
        <row r="17">
          <cell r="E17">
            <v>908.2</v>
          </cell>
          <cell r="F17">
            <v>843.95039199783764</v>
          </cell>
          <cell r="G17">
            <v>13225.806451612903</v>
          </cell>
          <cell r="H17">
            <v>11574.111182028793</v>
          </cell>
        </row>
        <row r="19">
          <cell r="E19">
            <v>2.9487300000000003</v>
          </cell>
          <cell r="F19">
            <v>2.6606582860232488</v>
          </cell>
        </row>
        <row r="20">
          <cell r="Q20">
            <v>60672.876586021506</v>
          </cell>
          <cell r="R20">
            <v>65858.731549067306</v>
          </cell>
        </row>
        <row r="21">
          <cell r="Q21">
            <v>18899.60728395062</v>
          </cell>
          <cell r="R21">
            <v>22843.969451203026</v>
          </cell>
        </row>
        <row r="22">
          <cell r="Q22">
            <v>464.5</v>
          </cell>
          <cell r="R22">
            <v>401.69559340362258</v>
          </cell>
        </row>
        <row r="50">
          <cell r="Q50">
            <v>95786.285053305459</v>
          </cell>
          <cell r="R50">
            <v>107966.88969991889</v>
          </cell>
        </row>
        <row r="56">
          <cell r="L56">
            <v>-90050.153785965973</v>
          </cell>
        </row>
        <row r="80">
          <cell r="H80">
            <v>50594.384000000005</v>
          </cell>
          <cell r="I80">
            <v>42984.794000000002</v>
          </cell>
          <cell r="L80">
            <v>7609.5900000000074</v>
          </cell>
        </row>
        <row r="85">
          <cell r="H85">
            <v>25076.642666666667</v>
          </cell>
          <cell r="I85">
            <v>20617.492100000003</v>
          </cell>
          <cell r="L85">
            <v>4459.1505666666653</v>
          </cell>
          <cell r="Q85">
            <v>94566.954529999988</v>
          </cell>
          <cell r="R85">
            <v>100634.00974025975</v>
          </cell>
        </row>
        <row r="86">
          <cell r="H86">
            <v>-87864.331899721466</v>
          </cell>
          <cell r="I86">
            <v>-117525.25900000005</v>
          </cell>
          <cell r="K86">
            <v>44847.672114240122</v>
          </cell>
          <cell r="M86">
            <v>3472.8140047806664</v>
          </cell>
        </row>
        <row r="89">
          <cell r="Q89">
            <v>80036.983869972129</v>
          </cell>
          <cell r="R89">
            <v>89104.396593673955</v>
          </cell>
        </row>
        <row r="92">
          <cell r="H92">
            <v>-174368.27921414006</v>
          </cell>
          <cell r="I92">
            <v>-166104.06696614562</v>
          </cell>
        </row>
      </sheetData>
      <sheetData sheetId="10">
        <row r="2">
          <cell r="O2">
            <v>6633</v>
          </cell>
        </row>
        <row r="5">
          <cell r="T5">
            <v>8000</v>
          </cell>
          <cell r="U5">
            <v>6636</v>
          </cell>
        </row>
        <row r="9">
          <cell r="E9">
            <v>317.625</v>
          </cell>
          <cell r="F9">
            <v>266.02357046979864</v>
          </cell>
          <cell r="G9">
            <v>97000</v>
          </cell>
          <cell r="H9">
            <v>99999.997757455392</v>
          </cell>
        </row>
        <row r="10">
          <cell r="E10">
            <v>30</v>
          </cell>
          <cell r="F10">
            <v>102.90932140193885</v>
          </cell>
          <cell r="G10">
            <v>91500</v>
          </cell>
          <cell r="H10">
            <v>94500.000724630314</v>
          </cell>
        </row>
        <row r="11">
          <cell r="E11">
            <v>0</v>
          </cell>
          <cell r="F11">
            <v>0</v>
          </cell>
        </row>
        <row r="12">
          <cell r="E12">
            <v>20</v>
          </cell>
          <cell r="F12">
            <v>8.5604802386278909</v>
          </cell>
          <cell r="G12">
            <v>60000</v>
          </cell>
          <cell r="H12">
            <v>59791.243670077813</v>
          </cell>
        </row>
        <row r="13">
          <cell r="E13">
            <v>19.875</v>
          </cell>
          <cell r="F13">
            <v>17.310068605518268</v>
          </cell>
          <cell r="G13">
            <v>41500</v>
          </cell>
          <cell r="H13">
            <v>39462.637901275346</v>
          </cell>
        </row>
        <row r="14">
          <cell r="E14">
            <v>0</v>
          </cell>
          <cell r="F14">
            <v>0</v>
          </cell>
        </row>
        <row r="15">
          <cell r="E15">
            <v>387.5</v>
          </cell>
          <cell r="F15">
            <v>394.80344071588371</v>
          </cell>
        </row>
        <row r="16">
          <cell r="E16">
            <v>847.75</v>
          </cell>
          <cell r="F16">
            <v>831.73825503355692</v>
          </cell>
          <cell r="G16">
            <v>14965.143025656149</v>
          </cell>
          <cell r="H16">
            <v>14648.531372353886</v>
          </cell>
        </row>
        <row r="17">
          <cell r="E17">
            <v>908.75</v>
          </cell>
          <cell r="F17">
            <v>918.51304996271404</v>
          </cell>
          <cell r="G17">
            <v>14159.59961626322</v>
          </cell>
          <cell r="H17">
            <v>14226.388336367023</v>
          </cell>
        </row>
        <row r="19">
          <cell r="E19">
            <v>3.3162500000000001</v>
          </cell>
          <cell r="F19">
            <v>3.3643102162565244</v>
          </cell>
        </row>
        <row r="20">
          <cell r="Q20">
            <v>63967.836151279196</v>
          </cell>
          <cell r="R20">
            <v>65680.360924683075</v>
          </cell>
        </row>
        <row r="21">
          <cell r="Q21">
            <v>18200.125929502272</v>
          </cell>
          <cell r="R21">
            <v>20741.4471290082</v>
          </cell>
        </row>
        <row r="22">
          <cell r="Q22">
            <v>435</v>
          </cell>
          <cell r="R22">
            <v>898.91185682326613</v>
          </cell>
        </row>
        <row r="50">
          <cell r="Q50">
            <v>100500.31424744813</v>
          </cell>
          <cell r="R50">
            <v>104923.70305741983</v>
          </cell>
        </row>
        <row r="56">
          <cell r="L56">
            <v>-29662.062226676433</v>
          </cell>
        </row>
        <row r="80">
          <cell r="H80">
            <v>38918.69</v>
          </cell>
          <cell r="I80">
            <v>36701.588000000003</v>
          </cell>
          <cell r="L80">
            <v>2217.1020000000035</v>
          </cell>
        </row>
        <row r="85">
          <cell r="H85">
            <v>18484.001111111113</v>
          </cell>
          <cell r="I85">
            <v>18012.662370000002</v>
          </cell>
          <cell r="L85">
            <v>471.33874111111072</v>
          </cell>
          <cell r="Q85">
            <v>100494.71032500001</v>
          </cell>
          <cell r="R85">
            <v>98214.709482888575</v>
          </cell>
        </row>
        <row r="86">
          <cell r="H86">
            <v>-57447.522490696196</v>
          </cell>
          <cell r="I86">
            <v>-99529.529000000082</v>
          </cell>
          <cell r="K86">
            <v>-15123.245585725132</v>
          </cell>
          <cell r="M86">
            <v>14.86056198659935</v>
          </cell>
        </row>
        <row r="89">
          <cell r="Q89">
            <v>82602.962080781464</v>
          </cell>
          <cell r="R89">
            <v>87320.719910514541</v>
          </cell>
        </row>
        <row r="92">
          <cell r="H92">
            <v>-130988.55314384063</v>
          </cell>
          <cell r="I92">
            <v>-141748.11592616129</v>
          </cell>
        </row>
      </sheetData>
      <sheetData sheetId="11">
        <row r="2">
          <cell r="O2">
            <v>21564</v>
          </cell>
        </row>
        <row r="5">
          <cell r="T5">
            <v>18000</v>
          </cell>
          <cell r="U5">
            <v>21564</v>
          </cell>
        </row>
        <row r="9">
          <cell r="E9">
            <v>232.54000000000002</v>
          </cell>
          <cell r="F9">
            <v>168.34121755654422</v>
          </cell>
          <cell r="G9">
            <v>97000.000000000015</v>
          </cell>
          <cell r="H9">
            <v>100000.00000000006</v>
          </cell>
        </row>
        <row r="10">
          <cell r="E10">
            <v>144.34</v>
          </cell>
          <cell r="F10">
            <v>162.94307424916582</v>
          </cell>
          <cell r="G10">
            <v>89600.000000000015</v>
          </cell>
          <cell r="H10">
            <v>94498.498641693033</v>
          </cell>
        </row>
        <row r="11">
          <cell r="E11">
            <v>0</v>
          </cell>
          <cell r="F11">
            <v>74.250834260289196</v>
          </cell>
        </row>
        <row r="12">
          <cell r="E12">
            <v>0</v>
          </cell>
          <cell r="F12">
            <v>0</v>
          </cell>
          <cell r="G12">
            <v>0</v>
          </cell>
          <cell r="H12">
            <v>0</v>
          </cell>
        </row>
        <row r="13">
          <cell r="E13">
            <v>24.060000000000002</v>
          </cell>
          <cell r="F13">
            <v>33.232277067111646</v>
          </cell>
          <cell r="G13">
            <v>34500</v>
          </cell>
          <cell r="H13">
            <v>32607.579589071454</v>
          </cell>
        </row>
        <row r="14">
          <cell r="E14">
            <v>0</v>
          </cell>
          <cell r="F14">
            <v>0</v>
          </cell>
        </row>
        <row r="15">
          <cell r="E15">
            <v>400.94</v>
          </cell>
          <cell r="F15">
            <v>438.76740313311086</v>
          </cell>
        </row>
        <row r="16">
          <cell r="E16">
            <v>850.39999999999986</v>
          </cell>
          <cell r="F16">
            <v>889.947163515017</v>
          </cell>
          <cell r="G16">
            <v>11712.935947712416</v>
          </cell>
          <cell r="H16">
            <v>11900.961331145998</v>
          </cell>
        </row>
        <row r="17">
          <cell r="E17">
            <v>870.19999999999993</v>
          </cell>
          <cell r="F17">
            <v>824.95133481646303</v>
          </cell>
          <cell r="G17">
            <v>18200.069930069931</v>
          </cell>
          <cell r="H17">
            <v>18216.937044746515</v>
          </cell>
        </row>
        <row r="19">
          <cell r="E19">
            <v>3.0582814588888891</v>
          </cell>
          <cell r="F19">
            <v>3.7656562847608468</v>
          </cell>
        </row>
        <row r="20">
          <cell r="Q20">
            <v>64850.629124203719</v>
          </cell>
          <cell r="R20">
            <v>72612.969595847244</v>
          </cell>
        </row>
        <row r="21">
          <cell r="Q21">
            <v>21484.23576388889</v>
          </cell>
          <cell r="R21">
            <v>21833.894419725624</v>
          </cell>
        </row>
        <row r="22">
          <cell r="Q22">
            <v>583.33333333333337</v>
          </cell>
          <cell r="R22">
            <v>401.64775676677789</v>
          </cell>
        </row>
        <row r="50">
          <cell r="Q50">
            <v>97063.752651981486</v>
          </cell>
          <cell r="R50">
            <v>101684.99517982945</v>
          </cell>
        </row>
        <row r="56">
          <cell r="L56">
            <v>-41054.738322671372</v>
          </cell>
        </row>
        <row r="80">
          <cell r="H80">
            <v>60247.097999999998</v>
          </cell>
          <cell r="I80">
            <v>56038.578999999998</v>
          </cell>
          <cell r="L80">
            <v>4208.5189999999993</v>
          </cell>
        </row>
        <row r="85">
          <cell r="H85">
            <v>47552.884999999995</v>
          </cell>
          <cell r="I85">
            <v>106645.41648999999</v>
          </cell>
          <cell r="L85">
            <v>-59092.531490000001</v>
          </cell>
          <cell r="Q85">
            <v>107841.99561666667</v>
          </cell>
          <cell r="R85">
            <v>119144.63457614541</v>
          </cell>
        </row>
        <row r="86">
          <cell r="H86">
            <v>86208.390364332838</v>
          </cell>
          <cell r="I86">
            <v>272413.40399999928</v>
          </cell>
          <cell r="K86">
            <v>243730.1065221997</v>
          </cell>
          <cell r="M86">
            <v>38413.657926137908</v>
          </cell>
        </row>
        <row r="89">
          <cell r="Q89">
            <v>86918.198221425933</v>
          </cell>
          <cell r="R89">
            <v>94848.51177233964</v>
          </cell>
        </row>
        <row r="92">
          <cell r="H92">
            <v>-99466.257659771058</v>
          </cell>
          <cell r="I92">
            <v>94701.169023672905</v>
          </cell>
        </row>
      </sheetData>
      <sheetData sheetId="12">
        <row r="2">
          <cell r="O2">
            <v>16480</v>
          </cell>
        </row>
        <row r="5">
          <cell r="T5">
            <v>18000</v>
          </cell>
          <cell r="U5">
            <v>16480</v>
          </cell>
        </row>
        <row r="9">
          <cell r="E9">
            <v>270.42026666666675</v>
          </cell>
          <cell r="F9">
            <v>312.37846012014512</v>
          </cell>
          <cell r="G9">
            <v>97000</v>
          </cell>
          <cell r="H9">
            <v>100000.00057120892</v>
          </cell>
        </row>
        <row r="10">
          <cell r="E10">
            <v>61.521913333333345</v>
          </cell>
          <cell r="F10">
            <v>40.763876167251539</v>
          </cell>
          <cell r="G10">
            <v>89100.000000000015</v>
          </cell>
          <cell r="H10">
            <v>92100.001597693365</v>
          </cell>
        </row>
        <row r="11">
          <cell r="E11">
            <v>0</v>
          </cell>
          <cell r="F11">
            <v>0</v>
          </cell>
        </row>
        <row r="12">
          <cell r="E12">
            <v>20.507306666666672</v>
          </cell>
          <cell r="F12">
            <v>16.092311306726927</v>
          </cell>
          <cell r="G12">
            <v>61000</v>
          </cell>
          <cell r="H12">
            <v>63000.01888675135</v>
          </cell>
        </row>
        <row r="13">
          <cell r="E13">
            <v>22.334180000000003</v>
          </cell>
          <cell r="F13">
            <v>26.624429905430329</v>
          </cell>
          <cell r="G13">
            <v>32500</v>
          </cell>
          <cell r="H13">
            <v>31558.645770964085</v>
          </cell>
        </row>
        <row r="14">
          <cell r="E14">
            <v>0</v>
          </cell>
          <cell r="F14">
            <v>0</v>
          </cell>
        </row>
        <row r="15">
          <cell r="E15">
            <v>374.78366666666682</v>
          </cell>
          <cell r="F15">
            <v>395.8590774995539</v>
          </cell>
        </row>
        <row r="16">
          <cell r="E16">
            <v>824.5</v>
          </cell>
          <cell r="F16">
            <v>806.94789746029892</v>
          </cell>
          <cell r="G16">
            <v>10666.666666666666</v>
          </cell>
          <cell r="H16">
            <v>10837.228790138575</v>
          </cell>
        </row>
        <row r="17">
          <cell r="E17">
            <v>907.3</v>
          </cell>
          <cell r="F17">
            <v>909.64967584607166</v>
          </cell>
          <cell r="G17">
            <v>17845.172021139711</v>
          </cell>
          <cell r="H17">
            <v>17062.339724099867</v>
          </cell>
        </row>
        <row r="19">
          <cell r="E19">
            <v>3.34</v>
          </cell>
          <cell r="F19">
            <v>3.1447891512520072</v>
          </cell>
        </row>
        <row r="20">
          <cell r="Q20">
            <v>61624.46614278006</v>
          </cell>
          <cell r="R20">
            <v>64148.439124487006</v>
          </cell>
        </row>
        <row r="21">
          <cell r="Q21">
            <v>16829.252741385193</v>
          </cell>
          <cell r="R21">
            <v>18020.711235353596</v>
          </cell>
        </row>
        <row r="22">
          <cell r="Q22">
            <v>200</v>
          </cell>
          <cell r="R22">
            <v>250.70362219710941</v>
          </cell>
        </row>
        <row r="50">
          <cell r="Q50">
            <v>87672.401661943033</v>
          </cell>
          <cell r="R50">
            <v>90866.233747695253</v>
          </cell>
        </row>
        <row r="56">
          <cell r="L56">
            <v>-13161.611521178531</v>
          </cell>
        </row>
        <row r="80">
          <cell r="H80">
            <v>55681.45900000001</v>
          </cell>
          <cell r="I80">
            <v>52973.938000000002</v>
          </cell>
          <cell r="L80">
            <v>2707.5210000000038</v>
          </cell>
        </row>
        <row r="85">
          <cell r="H85">
            <v>28639.063888888886</v>
          </cell>
          <cell r="I85">
            <v>75633.460090000008</v>
          </cell>
          <cell r="L85">
            <v>-46994.396201111114</v>
          </cell>
          <cell r="Q85">
            <v>100062.50004055555</v>
          </cell>
          <cell r="R85">
            <v>107459.8307038835</v>
          </cell>
        </row>
        <row r="86">
          <cell r="H86">
            <v>138701.24792613642</v>
          </cell>
          <cell r="I86">
            <v>184523.22099999993</v>
          </cell>
          <cell r="K86">
            <v>121908.00933164473</v>
          </cell>
          <cell r="M86">
            <v>-18637.549535491009</v>
          </cell>
        </row>
        <row r="89">
          <cell r="Q89">
            <v>78653.718884165253</v>
          </cell>
          <cell r="R89">
            <v>82419.853982037705</v>
          </cell>
        </row>
        <row r="92">
          <cell r="H92">
            <v>-33579.220078952087</v>
          </cell>
          <cell r="I92">
            <v>62015.124627674377</v>
          </cell>
        </row>
      </sheetData>
      <sheetData sheetId="13">
        <row r="2">
          <cell r="O2">
            <v>4548</v>
          </cell>
        </row>
        <row r="5">
          <cell r="T5">
            <v>7000</v>
          </cell>
          <cell r="U5">
            <v>4548</v>
          </cell>
        </row>
        <row r="9">
          <cell r="E9">
            <v>250.06690005251181</v>
          </cell>
          <cell r="F9">
            <v>218.06949648196996</v>
          </cell>
          <cell r="G9">
            <v>97000</v>
          </cell>
          <cell r="H9">
            <v>100000.00000000007</v>
          </cell>
        </row>
        <row r="10">
          <cell r="E10">
            <v>93.083108699457398</v>
          </cell>
          <cell r="F10">
            <v>86.932733069481074</v>
          </cell>
          <cell r="G10">
            <v>89100.000000000015</v>
          </cell>
          <cell r="H10">
            <v>92100.011515793332</v>
          </cell>
        </row>
        <row r="11">
          <cell r="E11">
            <v>0</v>
          </cell>
          <cell r="F11">
            <v>0</v>
          </cell>
        </row>
        <row r="12">
          <cell r="E12">
            <v>0</v>
          </cell>
          <cell r="F12">
            <v>16.671292875989455</v>
          </cell>
          <cell r="G12">
            <v>0</v>
          </cell>
          <cell r="H12">
            <v>62001.391698135478</v>
          </cell>
        </row>
        <row r="13">
          <cell r="E13">
            <v>22.449991248030798</v>
          </cell>
          <cell r="F13">
            <v>35.035184696569928</v>
          </cell>
          <cell r="G13">
            <v>32500</v>
          </cell>
          <cell r="H13">
            <v>32226.197787599111</v>
          </cell>
        </row>
        <row r="14">
          <cell r="E14">
            <v>0</v>
          </cell>
          <cell r="F14">
            <v>0</v>
          </cell>
        </row>
        <row r="15">
          <cell r="E15">
            <v>365.6</v>
          </cell>
          <cell r="F15">
            <v>356.7087071240104</v>
          </cell>
        </row>
        <row r="16">
          <cell r="E16">
            <v>796</v>
          </cell>
          <cell r="F16">
            <v>824.5382585751978</v>
          </cell>
          <cell r="G16">
            <v>9000</v>
          </cell>
          <cell r="H16">
            <v>9034.1701333333331</v>
          </cell>
        </row>
        <row r="17">
          <cell r="E17">
            <v>914</v>
          </cell>
          <cell r="F17">
            <v>878.781882145998</v>
          </cell>
          <cell r="G17">
            <v>16710.977594439159</v>
          </cell>
          <cell r="H17">
            <v>17263.584457177178</v>
          </cell>
        </row>
        <row r="19">
          <cell r="E19">
            <v>3.4622000000000002</v>
          </cell>
          <cell r="F19">
            <v>3.3364665787159189</v>
          </cell>
        </row>
        <row r="20">
          <cell r="Q20">
            <v>58833.632527093701</v>
          </cell>
          <cell r="R20">
            <v>57501.513632365873</v>
          </cell>
        </row>
        <row r="21">
          <cell r="Q21">
            <v>20783.031317423996</v>
          </cell>
          <cell r="R21">
            <v>21780.645558487246</v>
          </cell>
        </row>
        <row r="22">
          <cell r="Q22">
            <v>485.71428571428572</v>
          </cell>
          <cell r="R22">
            <v>698.63500439753739</v>
          </cell>
        </row>
        <row r="50">
          <cell r="Q50">
            <v>95803.318415946269</v>
          </cell>
          <cell r="R50">
            <v>100849.18557607739</v>
          </cell>
        </row>
        <row r="56">
          <cell r="L56">
            <v>-20986.338374276274</v>
          </cell>
        </row>
        <row r="80">
          <cell r="H80">
            <v>33569.441999999995</v>
          </cell>
          <cell r="I80">
            <v>31173.795000000002</v>
          </cell>
          <cell r="L80">
            <v>2395.6469999999977</v>
          </cell>
        </row>
        <row r="85">
          <cell r="H85">
            <v>13396.539666666667</v>
          </cell>
          <cell r="I85">
            <v>14923.628470000001</v>
          </cell>
          <cell r="L85">
            <v>-1527.0888033333335</v>
          </cell>
          <cell r="Q85">
            <v>94367.521045714297</v>
          </cell>
          <cell r="R85">
            <v>89614.555848724718</v>
          </cell>
        </row>
        <row r="86">
          <cell r="H86">
            <v>-57016.563258290378</v>
          </cell>
          <cell r="I86">
            <v>-95230.253999999914</v>
          </cell>
          <cell r="K86">
            <v>-21616.485715908602</v>
          </cell>
          <cell r="M86">
            <v>3520.5751518087927</v>
          </cell>
        </row>
        <row r="89">
          <cell r="Q89">
            <v>80102.378130231984</v>
          </cell>
          <cell r="R89">
            <v>79980.794195250666</v>
          </cell>
        </row>
        <row r="92">
          <cell r="H92">
            <v>-120201.38651349196</v>
          </cell>
          <cell r="I92">
            <v>-123421.38688263219</v>
          </cell>
        </row>
      </sheetData>
      <sheetData sheetId="14">
        <row r="2">
          <cell r="O2">
            <v>10089</v>
          </cell>
        </row>
        <row r="5">
          <cell r="T5">
            <v>19000</v>
          </cell>
          <cell r="U5">
            <v>10089</v>
          </cell>
        </row>
        <row r="9">
          <cell r="E9">
            <v>311.36559933042821</v>
          </cell>
          <cell r="F9">
            <v>282.92502030708295</v>
          </cell>
          <cell r="G9">
            <v>97000.000000000015</v>
          </cell>
          <cell r="H9">
            <v>100000.00280099476</v>
          </cell>
        </row>
        <row r="10">
          <cell r="E10">
            <v>0</v>
          </cell>
          <cell r="F10">
            <v>25.915012382367522</v>
          </cell>
          <cell r="G10">
            <v>0</v>
          </cell>
          <cell r="H10">
            <v>92100.016035194043</v>
          </cell>
        </row>
        <row r="11">
          <cell r="E11">
            <v>0</v>
          </cell>
          <cell r="F11">
            <v>19.985146111936601</v>
          </cell>
        </row>
        <row r="12">
          <cell r="E12">
            <v>39.590820145043701</v>
          </cell>
          <cell r="F12">
            <v>40.639537394749887</v>
          </cell>
          <cell r="G12">
            <v>58999.999999999993</v>
          </cell>
          <cell r="H12">
            <v>61227.319138412371</v>
          </cell>
        </row>
        <row r="13">
          <cell r="E13">
            <v>19.79541007252185</v>
          </cell>
          <cell r="F13">
            <v>27.229679049034171</v>
          </cell>
          <cell r="G13">
            <v>32500</v>
          </cell>
          <cell r="H13">
            <v>31749.117380988995</v>
          </cell>
        </row>
        <row r="14">
          <cell r="E14">
            <v>0.86833029559183617</v>
          </cell>
          <cell r="F14">
            <v>0</v>
          </cell>
        </row>
        <row r="15">
          <cell r="E15">
            <v>371.62015984358561</v>
          </cell>
          <cell r="F15">
            <v>396.69439524517117</v>
          </cell>
        </row>
        <row r="16">
          <cell r="E16">
            <v>824.25176469544056</v>
          </cell>
          <cell r="F16">
            <v>756.96978702327976</v>
          </cell>
          <cell r="G16">
            <v>11335.685397773901</v>
          </cell>
          <cell r="H16">
            <v>11157.873406258615</v>
          </cell>
        </row>
        <row r="17">
          <cell r="E17">
            <v>903.45410213490072</v>
          </cell>
          <cell r="F17">
            <v>943.675581971273</v>
          </cell>
          <cell r="G17">
            <v>18860.812984654851</v>
          </cell>
          <cell r="H17">
            <v>18732.736535975535</v>
          </cell>
        </row>
        <row r="19">
          <cell r="E19">
            <v>3.1587713586704775</v>
          </cell>
          <cell r="F19">
            <v>3.3958999504705298</v>
          </cell>
        </row>
        <row r="20">
          <cell r="Q20">
            <v>63227.319922961011</v>
          </cell>
          <cell r="R20">
            <v>66040.869539375926</v>
          </cell>
        </row>
        <row r="21">
          <cell r="Q21">
            <v>20371.226788124153</v>
          </cell>
          <cell r="R21">
            <v>20286.805745418522</v>
          </cell>
        </row>
        <row r="22">
          <cell r="Q22">
            <v>252.63157894736844</v>
          </cell>
          <cell r="R22">
            <v>363.79068845963349</v>
          </cell>
        </row>
        <row r="50">
          <cell r="Q50">
            <v>92856.530079506221</v>
          </cell>
          <cell r="R50">
            <v>100763.29697870233</v>
          </cell>
        </row>
        <row r="56">
          <cell r="L56">
            <v>-76219.51648786162</v>
          </cell>
        </row>
        <row r="80">
          <cell r="H80">
            <v>50794.011999999995</v>
          </cell>
          <cell r="I80">
            <v>48376.553</v>
          </cell>
          <cell r="L80">
            <v>2417.4589999999939</v>
          </cell>
        </row>
        <row r="85">
          <cell r="H85">
            <v>19006.002</v>
          </cell>
          <cell r="I85">
            <v>24484.595539999998</v>
          </cell>
          <cell r="L85">
            <v>-5478.5935399999998</v>
          </cell>
          <cell r="Q85">
            <v>99915.60124526314</v>
          </cell>
          <cell r="R85">
            <v>101084.0618495391</v>
          </cell>
        </row>
        <row r="86">
          <cell r="H86">
            <v>64322.33814938178</v>
          </cell>
          <cell r="I86">
            <v>-66073.09699999998</v>
          </cell>
          <cell r="K86">
            <v>11788.599036540112</v>
          </cell>
          <cell r="M86">
            <v>-62903.383158060024</v>
          </cell>
        </row>
        <row r="89">
          <cell r="Q89">
            <v>83851.178290032534</v>
          </cell>
          <cell r="R89">
            <v>86691.465973254075</v>
          </cell>
        </row>
        <row r="92">
          <cell r="H92">
            <v>-117262.29600692287</v>
          </cell>
          <cell r="I92">
            <v>-136614.5373146926</v>
          </cell>
        </row>
      </sheetData>
      <sheetData sheetId="15">
        <row r="2">
          <cell r="O2">
            <v>5181</v>
          </cell>
        </row>
        <row r="5">
          <cell r="T5">
            <v>6000</v>
          </cell>
          <cell r="U5">
            <v>5181</v>
          </cell>
        </row>
        <row r="9">
          <cell r="E9">
            <v>275.66666666666669</v>
          </cell>
          <cell r="F9">
            <v>277.34375796178335</v>
          </cell>
          <cell r="G9">
            <v>97000</v>
          </cell>
          <cell r="H9">
            <v>100000.00069593395</v>
          </cell>
        </row>
        <row r="10">
          <cell r="E10">
            <v>0</v>
          </cell>
          <cell r="F10">
            <v>0</v>
          </cell>
          <cell r="G10">
            <v>0</v>
          </cell>
          <cell r="H10">
            <v>0</v>
          </cell>
        </row>
        <row r="11">
          <cell r="E11">
            <v>0</v>
          </cell>
          <cell r="F11">
            <v>0</v>
          </cell>
        </row>
        <row r="12">
          <cell r="E12">
            <v>43.083333333333336</v>
          </cell>
          <cell r="F12">
            <v>56.449044585987274</v>
          </cell>
          <cell r="G12">
            <v>59000</v>
          </cell>
          <cell r="H12">
            <v>60924.986964140684</v>
          </cell>
        </row>
        <row r="13">
          <cell r="E13">
            <v>39.166666666666671</v>
          </cell>
          <cell r="F13">
            <v>25.163198224281032</v>
          </cell>
          <cell r="G13">
            <v>32000</v>
          </cell>
          <cell r="H13">
            <v>32056.715578282903</v>
          </cell>
        </row>
        <row r="14">
          <cell r="E14">
            <v>0</v>
          </cell>
          <cell r="F14">
            <v>0</v>
          </cell>
        </row>
        <row r="15">
          <cell r="E15">
            <v>357.91666666666669</v>
          </cell>
          <cell r="F15">
            <v>358.95600077205165</v>
          </cell>
        </row>
        <row r="16">
          <cell r="E16">
            <v>781.41666666666663</v>
          </cell>
          <cell r="F16">
            <v>763.45396641574996</v>
          </cell>
          <cell r="G16">
            <v>9400</v>
          </cell>
          <cell r="H16">
            <v>9382.4948078034013</v>
          </cell>
        </row>
        <row r="17">
          <cell r="E17">
            <v>897</v>
          </cell>
          <cell r="F17">
            <v>893.50125458405671</v>
          </cell>
          <cell r="G17">
            <v>17715.141188710855</v>
          </cell>
          <cell r="H17">
            <v>16895.578530338746</v>
          </cell>
        </row>
        <row r="19">
          <cell r="E19">
            <v>3.0233333333333334</v>
          </cell>
          <cell r="F19">
            <v>2.8521984172939607</v>
          </cell>
        </row>
        <row r="20">
          <cell r="Q20">
            <v>56059.214979606972</v>
          </cell>
          <cell r="R20">
            <v>56405.153445280834</v>
          </cell>
        </row>
        <row r="21">
          <cell r="Q21">
            <v>20715.408443984259</v>
          </cell>
          <cell r="R21">
            <v>23363.127581547964</v>
          </cell>
        </row>
        <row r="22">
          <cell r="Q22">
            <v>233.33333333333334</v>
          </cell>
          <cell r="R22">
            <v>0</v>
          </cell>
        </row>
        <row r="50">
          <cell r="Q50">
            <v>96178.466756924579</v>
          </cell>
          <cell r="R50">
            <v>95731.627871067365</v>
          </cell>
        </row>
        <row r="56">
          <cell r="L56">
            <v>2315.0752176261776</v>
          </cell>
        </row>
        <row r="80">
          <cell r="H80">
            <v>29188.300000000003</v>
          </cell>
          <cell r="I80">
            <v>27342.957000000002</v>
          </cell>
          <cell r="L80">
            <v>1845.3430000000044</v>
          </cell>
        </row>
        <row r="85">
          <cell r="H85">
            <v>12374.404555555557</v>
          </cell>
          <cell r="I85">
            <v>12667.416949999999</v>
          </cell>
          <cell r="L85">
            <v>-293.01239444444252</v>
          </cell>
          <cell r="Q85">
            <v>95739.469166666648</v>
          </cell>
          <cell r="R85">
            <v>97835.417872997481</v>
          </cell>
        </row>
        <row r="86">
          <cell r="H86">
            <v>-44196.690097102975</v>
          </cell>
          <cell r="I86">
            <v>-29110.635000000031</v>
          </cell>
          <cell r="K86">
            <v>10859.110247500048</v>
          </cell>
          <cell r="M86">
            <v>359.53902642123285</v>
          </cell>
        </row>
        <row r="89">
          <cell r="Q89">
            <v>77007.956756924556</v>
          </cell>
          <cell r="R89">
            <v>79768.281026828801</v>
          </cell>
        </row>
        <row r="92">
          <cell r="H92">
            <v>-99142.484135518956</v>
          </cell>
          <cell r="I92">
            <v>-64171.547312706702</v>
          </cell>
        </row>
      </sheetData>
      <sheetData sheetId="16">
        <row r="2">
          <cell r="O2">
            <v>7500</v>
          </cell>
        </row>
        <row r="5">
          <cell r="T5">
            <v>8499.9999999999945</v>
          </cell>
          <cell r="U5">
            <v>7500</v>
          </cell>
        </row>
        <row r="9">
          <cell r="E9">
            <v>250.4941176470588</v>
          </cell>
          <cell r="F9">
            <v>274.86760666666663</v>
          </cell>
          <cell r="G9">
            <v>97000</v>
          </cell>
          <cell r="H9">
            <v>100000.00048508204</v>
          </cell>
        </row>
        <row r="10">
          <cell r="E10">
            <v>53.110588235294109</v>
          </cell>
          <cell r="F10">
            <v>0</v>
          </cell>
          <cell r="G10">
            <v>100500</v>
          </cell>
          <cell r="H10">
            <v>0</v>
          </cell>
        </row>
        <row r="11">
          <cell r="E11">
            <v>0</v>
          </cell>
          <cell r="F11">
            <v>0</v>
          </cell>
        </row>
        <row r="12">
          <cell r="E12">
            <v>35.329411764705888</v>
          </cell>
          <cell r="F12">
            <v>66.750542666666689</v>
          </cell>
          <cell r="G12">
            <v>60999.999999999993</v>
          </cell>
          <cell r="H12">
            <v>62999.989193595946</v>
          </cell>
        </row>
        <row r="13">
          <cell r="E13">
            <v>28.670588235294119</v>
          </cell>
          <cell r="F13">
            <v>28.38574266666668</v>
          </cell>
          <cell r="G13">
            <v>29500</v>
          </cell>
          <cell r="H13">
            <v>29728.962055927881</v>
          </cell>
        </row>
        <row r="14">
          <cell r="E14">
            <v>0</v>
          </cell>
          <cell r="F14">
            <v>0</v>
          </cell>
        </row>
        <row r="15">
          <cell r="E15">
            <v>367.6047058823529</v>
          </cell>
          <cell r="F15">
            <v>370.00389200000001</v>
          </cell>
        </row>
        <row r="16">
          <cell r="E16">
            <v>832.92941176470595</v>
          </cell>
          <cell r="F16">
            <v>838.30933333333326</v>
          </cell>
          <cell r="G16">
            <v>11466.666666666666</v>
          </cell>
          <cell r="H16">
            <v>12081.964334565444</v>
          </cell>
        </row>
        <row r="17">
          <cell r="E17">
            <v>870.91764705882349</v>
          </cell>
          <cell r="F17">
            <v>842.01999999999964</v>
          </cell>
          <cell r="G17">
            <v>17046.397770425443</v>
          </cell>
          <cell r="H17">
            <v>16718.491088889423</v>
          </cell>
        </row>
        <row r="19">
          <cell r="E19">
            <v>3.0797647058823525</v>
          </cell>
          <cell r="F19">
            <v>2.9959800000000012</v>
          </cell>
        </row>
        <row r="20">
          <cell r="Q20">
            <v>60042.027852733969</v>
          </cell>
          <cell r="R20">
            <v>59238.760399999999</v>
          </cell>
        </row>
        <row r="21">
          <cell r="Q21">
            <v>18885.973463198061</v>
          </cell>
          <cell r="R21">
            <v>16713.781200000001</v>
          </cell>
        </row>
        <row r="22">
          <cell r="Q22">
            <v>352.94117647058846</v>
          </cell>
          <cell r="R22">
            <v>89.194666666666677</v>
          </cell>
        </row>
        <row r="50">
          <cell r="Q50">
            <v>95712.927433579112</v>
          </cell>
          <cell r="R50">
            <v>91410.795600000012</v>
          </cell>
        </row>
        <row r="56">
          <cell r="L56">
            <v>38402.54359184346</v>
          </cell>
        </row>
        <row r="80">
          <cell r="H80">
            <v>27873.470999999998</v>
          </cell>
          <cell r="I80">
            <v>36631.320999999996</v>
          </cell>
          <cell r="L80">
            <v>-8757.85</v>
          </cell>
        </row>
        <row r="85">
          <cell r="H85">
            <v>31230.495666666669</v>
          </cell>
          <cell r="I85">
            <v>37633.986839999998</v>
          </cell>
          <cell r="L85">
            <v>-6403.4911733333302</v>
          </cell>
          <cell r="Q85">
            <v>98552.755641910699</v>
          </cell>
          <cell r="R85">
            <v>101424.97333333334</v>
          </cell>
        </row>
        <row r="86">
          <cell r="H86">
            <v>-34965.426895848235</v>
          </cell>
          <cell r="I86">
            <v>6977.5800000001036</v>
          </cell>
          <cell r="K86">
            <v>21541.632685669829</v>
          </cell>
          <cell r="M86">
            <v>-2839.8282083315717</v>
          </cell>
        </row>
        <row r="89">
          <cell r="Q89">
            <v>79280.94249240261</v>
          </cell>
          <cell r="R89">
            <v>76041.73626666666</v>
          </cell>
        </row>
        <row r="92">
          <cell r="H92">
            <v>-115092.61201377885</v>
          </cell>
          <cell r="I92">
            <v>-45638.644464764606</v>
          </cell>
        </row>
      </sheetData>
      <sheetData sheetId="17">
        <row r="2">
          <cell r="O2">
            <v>2698.5</v>
          </cell>
        </row>
        <row r="5">
          <cell r="T5">
            <v>6500</v>
          </cell>
          <cell r="U5">
            <v>2698.5</v>
          </cell>
        </row>
        <row r="9">
          <cell r="E9">
            <v>299.67500000000001</v>
          </cell>
          <cell r="F9">
            <v>232.52437650546588</v>
          </cell>
          <cell r="G9">
            <v>97000</v>
          </cell>
          <cell r="H9">
            <v>100000.00000000006</v>
          </cell>
        </row>
        <row r="10">
          <cell r="E10">
            <v>0</v>
          </cell>
          <cell r="F10">
            <v>37.336290531776925</v>
          </cell>
          <cell r="G10">
            <v>0</v>
          </cell>
          <cell r="H10">
            <v>96499.999305224555</v>
          </cell>
        </row>
        <row r="11">
          <cell r="E11">
            <v>0</v>
          </cell>
          <cell r="F11">
            <v>0</v>
          </cell>
        </row>
        <row r="12">
          <cell r="E12">
            <v>16.5</v>
          </cell>
          <cell r="F12">
            <v>35.338910505836566</v>
          </cell>
          <cell r="G12">
            <v>57199.999999999985</v>
          </cell>
          <cell r="H12">
            <v>59174.021531626058</v>
          </cell>
        </row>
        <row r="13">
          <cell r="E13">
            <v>25.324999999999999</v>
          </cell>
          <cell r="F13">
            <v>36.536238651102472</v>
          </cell>
          <cell r="G13">
            <v>31000</v>
          </cell>
          <cell r="H13">
            <v>31226.950705648185</v>
          </cell>
        </row>
        <row r="14">
          <cell r="E14">
            <v>0</v>
          </cell>
          <cell r="F14">
            <v>0</v>
          </cell>
        </row>
        <row r="15">
          <cell r="E15">
            <v>341.5</v>
          </cell>
          <cell r="F15">
            <v>341.73581619418184</v>
          </cell>
        </row>
        <row r="16">
          <cell r="E16">
            <v>715.16753519640088</v>
          </cell>
          <cell r="F16">
            <v>709.8017417083563</v>
          </cell>
          <cell r="G16">
            <v>10933.333333333334</v>
          </cell>
          <cell r="H16">
            <v>10933.351258222829</v>
          </cell>
        </row>
        <row r="17">
          <cell r="E17">
            <v>987.61231050931542</v>
          </cell>
          <cell r="F17">
            <v>969.39410783768722</v>
          </cell>
          <cell r="G17">
            <v>14319.243604004449</v>
          </cell>
          <cell r="H17">
            <v>14383.281534915199</v>
          </cell>
        </row>
        <row r="19">
          <cell r="E19">
            <v>3.0735000000000001</v>
          </cell>
          <cell r="F19">
            <v>3.4016120066703723</v>
          </cell>
        </row>
        <row r="20">
          <cell r="Q20">
            <v>54909.826311977216</v>
          </cell>
          <cell r="R20">
            <v>54333.941078376876</v>
          </cell>
        </row>
        <row r="21">
          <cell r="Q21">
            <v>17874.175561280827</v>
          </cell>
          <cell r="R21">
            <v>20615.650546599962</v>
          </cell>
        </row>
        <row r="22">
          <cell r="Q22">
            <v>461.53846153846155</v>
          </cell>
          <cell r="R22">
            <v>542.65925514174535</v>
          </cell>
        </row>
        <row r="50">
          <cell r="Q50">
            <v>91608.039873258036</v>
          </cell>
          <cell r="R50">
            <v>111032.13711321104</v>
          </cell>
        </row>
        <row r="56">
          <cell r="L56">
            <v>-52415.92451201316</v>
          </cell>
        </row>
        <row r="80">
          <cell r="H80">
            <v>30591.449999999997</v>
          </cell>
          <cell r="I80">
            <v>28639.17</v>
          </cell>
          <cell r="L80">
            <v>1952.2800000000018</v>
          </cell>
        </row>
        <row r="85">
          <cell r="H85">
            <v>15870.410436470889</v>
          </cell>
          <cell r="I85">
            <v>15934.292890000001</v>
          </cell>
          <cell r="L85">
            <v>-63.882453529111444</v>
          </cell>
          <cell r="Q85">
            <v>91143.404376923078</v>
          </cell>
          <cell r="R85">
            <v>92786.535482675565</v>
          </cell>
        </row>
        <row r="86">
          <cell r="H86">
            <v>-49481.99116264825</v>
          </cell>
          <cell r="I86">
            <v>-93809.217000000004</v>
          </cell>
          <cell r="K86">
            <v>4433.9892888730865</v>
          </cell>
          <cell r="M86">
            <v>1766.3118393174373</v>
          </cell>
        </row>
        <row r="89">
          <cell r="Q89">
            <v>73245.540334796504</v>
          </cell>
          <cell r="R89">
            <v>75492.250880118576</v>
          </cell>
        </row>
        <row r="92">
          <cell r="H92">
            <v>-106149.06552408886</v>
          </cell>
          <cell r="I92">
            <v>-111128.14064384978</v>
          </cell>
        </row>
      </sheetData>
      <sheetData sheetId="18">
        <row r="2">
          <cell r="O2">
            <v>10550</v>
          </cell>
        </row>
        <row r="5">
          <cell r="T5">
            <v>7500</v>
          </cell>
          <cell r="U5">
            <v>10550</v>
          </cell>
        </row>
        <row r="9">
          <cell r="E9">
            <v>323.98</v>
          </cell>
          <cell r="F9">
            <v>345.75340651021963</v>
          </cell>
          <cell r="G9">
            <v>97000</v>
          </cell>
          <cell r="H9">
            <v>99999.999999999971</v>
          </cell>
        </row>
        <row r="10">
          <cell r="E10">
            <v>0</v>
          </cell>
          <cell r="F10">
            <v>0</v>
          </cell>
          <cell r="G10">
            <v>0</v>
          </cell>
          <cell r="H10">
            <v>0</v>
          </cell>
        </row>
        <row r="11">
          <cell r="E11">
            <v>0</v>
          </cell>
          <cell r="F11">
            <v>0</v>
          </cell>
        </row>
        <row r="12">
          <cell r="E12">
            <v>36.36</v>
          </cell>
          <cell r="F12">
            <v>45.621029523088559</v>
          </cell>
          <cell r="G12">
            <v>57199.999999999993</v>
          </cell>
          <cell r="H12">
            <v>59200.002140532437</v>
          </cell>
        </row>
        <row r="13">
          <cell r="E13">
            <v>22.66</v>
          </cell>
          <cell r="F13">
            <v>41.86261071158215</v>
          </cell>
          <cell r="G13">
            <v>33500</v>
          </cell>
          <cell r="H13">
            <v>33042.474044147006</v>
          </cell>
        </row>
        <row r="14">
          <cell r="E14">
            <v>0</v>
          </cell>
          <cell r="F14">
            <v>0</v>
          </cell>
        </row>
        <row r="15">
          <cell r="E15">
            <v>383.00000000000006</v>
          </cell>
          <cell r="F15">
            <v>433.23704674489034</v>
          </cell>
        </row>
        <row r="16">
          <cell r="E16">
            <v>774.83999999999992</v>
          </cell>
          <cell r="F16">
            <v>762.94511733535171</v>
          </cell>
          <cell r="G16">
            <v>12533.333333333334</v>
          </cell>
          <cell r="H16">
            <v>11825.911060221733</v>
          </cell>
        </row>
        <row r="17">
          <cell r="E17">
            <v>873.68000000000006</v>
          </cell>
          <cell r="F17">
            <v>861.4459689629067</v>
          </cell>
          <cell r="G17">
            <v>19929.696936609864</v>
          </cell>
          <cell r="H17">
            <v>20071.186622759542</v>
          </cell>
        </row>
        <row r="19">
          <cell r="E19">
            <v>3.3879999999999999</v>
          </cell>
          <cell r="F19">
            <v>3.4617429977289942</v>
          </cell>
        </row>
        <row r="20">
          <cell r="Q20">
            <v>64369.907619577309</v>
          </cell>
          <cell r="R20">
            <v>67494.084216502641</v>
          </cell>
        </row>
        <row r="21">
          <cell r="Q21">
            <v>22980.624213250525</v>
          </cell>
          <cell r="R21">
            <v>21586.606831945497</v>
          </cell>
        </row>
        <row r="22">
          <cell r="Q22">
            <v>366.66666666666663</v>
          </cell>
          <cell r="R22">
            <v>325.42969341408025</v>
          </cell>
        </row>
        <row r="50">
          <cell r="Q50">
            <v>104517.35012171672</v>
          </cell>
          <cell r="R50">
            <v>99396.727289931863</v>
          </cell>
        </row>
        <row r="56">
          <cell r="L56">
            <v>54063.35511411132</v>
          </cell>
        </row>
        <row r="80">
          <cell r="H80">
            <v>30153.504000000001</v>
          </cell>
          <cell r="I80">
            <v>28203.536</v>
          </cell>
          <cell r="L80">
            <v>1949.9680000000012</v>
          </cell>
        </row>
        <row r="85">
          <cell r="H85">
            <v>15717.669055282731</v>
          </cell>
          <cell r="I85">
            <v>15659.05033</v>
          </cell>
          <cell r="L85">
            <v>58.618725282730566</v>
          </cell>
          <cell r="Q85">
            <v>104513.66522666666</v>
          </cell>
          <cell r="R85">
            <v>111519.78199052133</v>
          </cell>
        </row>
        <row r="86">
          <cell r="H86">
            <v>-45898.809768158186</v>
          </cell>
          <cell r="I86">
            <v>84076.424999999901</v>
          </cell>
          <cell r="K86">
            <v>73914.531858666669</v>
          </cell>
          <cell r="M86">
            <v>-11.238929902669042</v>
          </cell>
        </row>
        <row r="89">
          <cell r="Q89">
            <v>87717.198499494509</v>
          </cell>
          <cell r="R89">
            <v>89406.120741862222</v>
          </cell>
        </row>
        <row r="92">
          <cell r="H92">
            <v>-120875.54577015503</v>
          </cell>
          <cell r="I92">
            <v>2696.387171630573</v>
          </cell>
        </row>
      </sheetData>
      <sheetData sheetId="19">
        <row r="2">
          <cell r="O2">
            <v>14503</v>
          </cell>
        </row>
        <row r="5">
          <cell r="T5">
            <v>10000</v>
          </cell>
          <cell r="U5">
            <v>14503</v>
          </cell>
        </row>
        <row r="9">
          <cell r="E9">
            <v>353.15325431261772</v>
          </cell>
          <cell r="F9">
            <v>386.10083810048923</v>
          </cell>
          <cell r="G9">
            <v>96999.999999999985</v>
          </cell>
          <cell r="H9">
            <v>99717.15801462435</v>
          </cell>
        </row>
        <row r="10">
          <cell r="E10">
            <v>0</v>
          </cell>
          <cell r="F10">
            <v>0</v>
          </cell>
          <cell r="G10">
            <v>0</v>
          </cell>
          <cell r="H10">
            <v>0</v>
          </cell>
        </row>
        <row r="11">
          <cell r="E11">
            <v>0</v>
          </cell>
          <cell r="F11">
            <v>0</v>
          </cell>
        </row>
        <row r="12">
          <cell r="E12">
            <v>11.082833063885269</v>
          </cell>
          <cell r="F12">
            <v>11.393481287476739</v>
          </cell>
          <cell r="G12">
            <v>60000</v>
          </cell>
          <cell r="H12">
            <v>60135.30982949285</v>
          </cell>
        </row>
        <row r="13">
          <cell r="E13">
            <v>19.016027283789658</v>
          </cell>
          <cell r="F13">
            <v>24.052661106899166</v>
          </cell>
          <cell r="G13">
            <v>37500</v>
          </cell>
          <cell r="H13">
            <v>32034.331703650922</v>
          </cell>
        </row>
        <row r="14">
          <cell r="E14">
            <v>0</v>
          </cell>
          <cell r="F14">
            <v>0</v>
          </cell>
        </row>
        <row r="15">
          <cell r="E15">
            <v>383.25211466029265</v>
          </cell>
          <cell r="F15">
            <v>421.54698049486512</v>
          </cell>
        </row>
        <row r="16">
          <cell r="E16">
            <v>860</v>
          </cell>
          <cell r="F16">
            <v>772.97539458267272</v>
          </cell>
          <cell r="G16">
            <v>10853.333333333334</v>
          </cell>
          <cell r="H16">
            <v>10859.103351731148</v>
          </cell>
        </row>
        <row r="17">
          <cell r="E17">
            <v>893.57024999999987</v>
          </cell>
          <cell r="F17">
            <v>996.14687435384951</v>
          </cell>
          <cell r="G17">
            <v>12554.838709677419</v>
          </cell>
          <cell r="H17">
            <v>12477.384532517081</v>
          </cell>
        </row>
        <row r="19">
          <cell r="E19">
            <v>3.0150999999999999</v>
          </cell>
          <cell r="F19">
            <v>3.6504514439313547</v>
          </cell>
        </row>
        <row r="20">
          <cell r="Q20">
            <v>59189.47330648193</v>
          </cell>
          <cell r="R20">
            <v>64483.888345165069</v>
          </cell>
        </row>
        <row r="21">
          <cell r="Q21">
            <v>20581.196955072464</v>
          </cell>
          <cell r="R21">
            <v>21912.891860224685</v>
          </cell>
        </row>
        <row r="22">
          <cell r="Q22">
            <v>300</v>
          </cell>
          <cell r="R22">
            <v>164.33289682266181</v>
          </cell>
        </row>
        <row r="50">
          <cell r="Q50">
            <v>96445.668569887726</v>
          </cell>
          <cell r="R50">
            <v>97877.325039630567</v>
          </cell>
        </row>
        <row r="56">
          <cell r="L56">
            <v>-20749.785390918405</v>
          </cell>
        </row>
        <row r="80">
          <cell r="H80">
            <v>50466.406999999999</v>
          </cell>
          <cell r="I80">
            <v>46190.296000000002</v>
          </cell>
          <cell r="L80">
            <v>4276.1109999999935</v>
          </cell>
        </row>
        <row r="85">
          <cell r="H85">
            <v>36510.137666666669</v>
          </cell>
          <cell r="I85">
            <v>36383.262340000008</v>
          </cell>
          <cell r="L85">
            <v>126.87532666666084</v>
          </cell>
          <cell r="Q85">
            <v>98718.315999999992</v>
          </cell>
          <cell r="R85">
            <v>103835.84534234295</v>
          </cell>
        </row>
        <row r="86">
          <cell r="H86">
            <v>-64250.070365544074</v>
          </cell>
          <cell r="I86">
            <v>3856.3899999998757</v>
          </cell>
          <cell r="K86">
            <v>74219.528051999863</v>
          </cell>
          <cell r="M86">
            <v>10233.731377795513</v>
          </cell>
        </row>
        <row r="89">
          <cell r="Q89">
            <v>80070.670261554391</v>
          </cell>
          <cell r="R89">
            <v>86561.113102212403</v>
          </cell>
        </row>
        <row r="92">
          <cell r="H92">
            <v>-154551.42403262324</v>
          </cell>
          <cell r="I92">
            <v>-93686.938991909177</v>
          </cell>
        </row>
      </sheetData>
      <sheetData sheetId="20">
        <row r="2">
          <cell r="O2">
            <v>8124.5</v>
          </cell>
        </row>
        <row r="5">
          <cell r="T5">
            <v>5000</v>
          </cell>
          <cell r="U5">
            <v>8160.5</v>
          </cell>
        </row>
        <row r="9">
          <cell r="E9">
            <v>326.5</v>
          </cell>
          <cell r="F9">
            <v>301.85759862145375</v>
          </cell>
          <cell r="G9">
            <v>97000</v>
          </cell>
          <cell r="H9">
            <v>99999.999999999971</v>
          </cell>
        </row>
        <row r="10">
          <cell r="E10">
            <v>7.3019999999999996</v>
          </cell>
          <cell r="F10">
            <v>56.71069358114346</v>
          </cell>
          <cell r="G10">
            <v>94500.000000000029</v>
          </cell>
          <cell r="H10">
            <v>97482.788945571578</v>
          </cell>
        </row>
        <row r="11">
          <cell r="E11">
            <v>0</v>
          </cell>
          <cell r="F11">
            <v>0</v>
          </cell>
        </row>
        <row r="12">
          <cell r="E12">
            <v>23.400000000000006</v>
          </cell>
          <cell r="F12">
            <v>11.982278294048871</v>
          </cell>
          <cell r="G12">
            <v>60000</v>
          </cell>
          <cell r="H12">
            <v>60812.519607083763</v>
          </cell>
        </row>
        <row r="13">
          <cell r="E13">
            <v>9.7999999999999972</v>
          </cell>
          <cell r="F13">
            <v>5.4693851929349471</v>
          </cell>
          <cell r="G13">
            <v>32500</v>
          </cell>
          <cell r="H13">
            <v>33007.096495140671</v>
          </cell>
        </row>
        <row r="14">
          <cell r="E14">
            <v>0</v>
          </cell>
          <cell r="F14">
            <v>0</v>
          </cell>
        </row>
        <row r="15">
          <cell r="E15">
            <v>367.00200000000001</v>
          </cell>
          <cell r="F15">
            <v>376.01995568958102</v>
          </cell>
        </row>
        <row r="16">
          <cell r="E16">
            <v>727.19799999999998</v>
          </cell>
          <cell r="F16">
            <v>738.04664902455522</v>
          </cell>
          <cell r="G16">
            <v>14733.333333333334</v>
          </cell>
          <cell r="H16">
            <v>13848.044447705741</v>
          </cell>
        </row>
        <row r="17">
          <cell r="E17">
            <v>997.80000000000007</v>
          </cell>
          <cell r="F17">
            <v>982.24998461443749</v>
          </cell>
          <cell r="G17">
            <v>16000</v>
          </cell>
          <cell r="H17">
            <v>15969.818765984701</v>
          </cell>
        </row>
        <row r="19">
          <cell r="E19">
            <v>2.98</v>
          </cell>
          <cell r="F19">
            <v>2.2393378054034097</v>
          </cell>
        </row>
        <row r="20">
          <cell r="Q20">
            <v>63265.089533333332</v>
          </cell>
          <cell r="R20">
            <v>64559.321312080741</v>
          </cell>
        </row>
        <row r="21">
          <cell r="Q21">
            <v>15763.722790656566</v>
          </cell>
          <cell r="R21">
            <v>19627.029478737153</v>
          </cell>
        </row>
        <row r="22">
          <cell r="Q22">
            <v>700</v>
          </cell>
          <cell r="R22">
            <v>379.28450981598866</v>
          </cell>
        </row>
        <row r="50">
          <cell r="Q50">
            <v>100003.88992398989</v>
          </cell>
          <cell r="R50">
            <v>97757.159825220006</v>
          </cell>
        </row>
        <row r="56">
          <cell r="L56">
            <v>18253.5646474561</v>
          </cell>
        </row>
        <row r="80">
          <cell r="H80">
            <v>32104.556</v>
          </cell>
          <cell r="I80">
            <v>28583.406999999999</v>
          </cell>
          <cell r="L80">
            <v>3521.1490000000013</v>
          </cell>
        </row>
        <row r="85">
          <cell r="H85">
            <v>21647.714333333337</v>
          </cell>
          <cell r="I85">
            <v>21726.920959999999</v>
          </cell>
          <cell r="L85">
            <v>-79.206626666662487</v>
          </cell>
          <cell r="Q85">
            <v>102030.89799999999</v>
          </cell>
          <cell r="R85">
            <v>101995.85820665887</v>
          </cell>
        </row>
        <row r="86">
          <cell r="H86">
            <v>-43617.229953282964</v>
          </cell>
          <cell r="I86">
            <v>-15873.016999999967</v>
          </cell>
          <cell r="K86">
            <v>-284.68080099988879</v>
          </cell>
          <cell r="M86">
            <v>6333.3867334935348</v>
          </cell>
        </row>
        <row r="89">
          <cell r="Q89">
            <v>79728.8123239899</v>
          </cell>
          <cell r="R89">
            <v>84565.63530063389</v>
          </cell>
        </row>
        <row r="92">
          <cell r="H92">
            <v>-90282.978411085263</v>
          </cell>
          <cell r="I92">
            <v>-69751.995563852266</v>
          </cell>
        </row>
      </sheetData>
      <sheetData sheetId="21">
        <row r="2">
          <cell r="O2">
            <v>2065</v>
          </cell>
        </row>
        <row r="5">
          <cell r="T5">
            <v>2500</v>
          </cell>
          <cell r="U5">
            <v>2067.5</v>
          </cell>
        </row>
        <row r="9">
          <cell r="E9">
            <v>336.4</v>
          </cell>
          <cell r="F9">
            <v>306.24214043583532</v>
          </cell>
          <cell r="G9">
            <v>97000</v>
          </cell>
          <cell r="H9">
            <v>99999.998418697374</v>
          </cell>
        </row>
        <row r="10">
          <cell r="E10">
            <v>0</v>
          </cell>
          <cell r="F10">
            <v>15.543830508474576</v>
          </cell>
          <cell r="G10">
            <v>0</v>
          </cell>
          <cell r="H10">
            <v>93101.129945438966</v>
          </cell>
        </row>
        <row r="11">
          <cell r="E11">
            <v>0</v>
          </cell>
          <cell r="F11">
            <v>0</v>
          </cell>
        </row>
        <row r="12">
          <cell r="E12">
            <v>27.74</v>
          </cell>
          <cell r="F12">
            <v>34.716711864406783</v>
          </cell>
          <cell r="G12">
            <v>61000.000000000007</v>
          </cell>
          <cell r="H12">
            <v>63575.343342817214</v>
          </cell>
        </row>
        <row r="13">
          <cell r="E13">
            <v>10.4</v>
          </cell>
          <cell r="F13">
            <v>7.2639370460048411</v>
          </cell>
          <cell r="G13">
            <v>32500</v>
          </cell>
          <cell r="H13">
            <v>28537.142925714154</v>
          </cell>
        </row>
        <row r="14">
          <cell r="E14">
            <v>0</v>
          </cell>
          <cell r="F14">
            <v>0</v>
          </cell>
        </row>
        <row r="15">
          <cell r="E15">
            <v>374.53999999999996</v>
          </cell>
          <cell r="F15">
            <v>363.76661985472151</v>
          </cell>
        </row>
        <row r="16">
          <cell r="E16">
            <v>859</v>
          </cell>
          <cell r="F16">
            <v>865.6222760290558</v>
          </cell>
          <cell r="G16">
            <v>15133.333333333332</v>
          </cell>
          <cell r="H16">
            <v>15155.526962086922</v>
          </cell>
        </row>
        <row r="17">
          <cell r="E17">
            <v>818</v>
          </cell>
          <cell r="F17">
            <v>805.39225181598067</v>
          </cell>
          <cell r="G17">
            <v>15310.067420741872</v>
          </cell>
          <cell r="H17">
            <v>15391.26889879655</v>
          </cell>
        </row>
        <row r="19">
          <cell r="E19">
            <v>2.8</v>
          </cell>
          <cell r="F19">
            <v>3.0356658595641646</v>
          </cell>
        </row>
        <row r="20">
          <cell r="Q20">
            <v>62256.668483500187</v>
          </cell>
          <cell r="R20">
            <v>62591.323002421304</v>
          </cell>
        </row>
        <row r="21">
          <cell r="Q21">
            <v>14460.272882640842</v>
          </cell>
          <cell r="R21">
            <v>15015.827602905569</v>
          </cell>
        </row>
        <row r="22">
          <cell r="Q22">
            <v>136</v>
          </cell>
          <cell r="R22">
            <v>104.91380145278451</v>
          </cell>
        </row>
        <row r="50">
          <cell r="Q50">
            <v>104022.21656614103</v>
          </cell>
          <cell r="R50">
            <v>106753.29249394672</v>
          </cell>
        </row>
        <row r="56">
          <cell r="L56">
            <v>-5639.6688509187607</v>
          </cell>
        </row>
        <row r="80">
          <cell r="H80">
            <v>12829.272999999999</v>
          </cell>
          <cell r="I80">
            <v>11205.422</v>
          </cell>
          <cell r="L80">
            <v>1623.8509999999997</v>
          </cell>
        </row>
        <row r="85">
          <cell r="H85">
            <v>10347.403</v>
          </cell>
          <cell r="I85">
            <v>10525.863939999999</v>
          </cell>
          <cell r="L85">
            <v>-178.46093999999903</v>
          </cell>
          <cell r="Q85">
            <v>115783.5576</v>
          </cell>
          <cell r="R85">
            <v>119136.61016949153</v>
          </cell>
        </row>
        <row r="86">
          <cell r="H86">
            <v>6226.6765846474209</v>
          </cell>
          <cell r="I86">
            <v>3845.7680000000128</v>
          </cell>
          <cell r="K86">
            <v>6924.0535560000026</v>
          </cell>
          <cell r="M86">
            <v>-5110.683349728657</v>
          </cell>
        </row>
        <row r="89">
          <cell r="Q89">
            <v>76852.941366141022</v>
          </cell>
          <cell r="R89">
            <v>77712.064406779653</v>
          </cell>
        </row>
        <row r="92">
          <cell r="H92">
            <v>-20251.216291053155</v>
          </cell>
          <cell r="I92">
            <v>-12104.515184244958</v>
          </cell>
        </row>
      </sheetData>
      <sheetData sheetId="22">
        <row r="2">
          <cell r="O2">
            <v>2145.5</v>
          </cell>
        </row>
        <row r="5">
          <cell r="T5">
            <v>3000</v>
          </cell>
          <cell r="U5">
            <v>2145.5</v>
          </cell>
        </row>
        <row r="9">
          <cell r="E9">
            <v>349.73333333333335</v>
          </cell>
          <cell r="F9">
            <v>430.42600792356097</v>
          </cell>
          <cell r="G9">
            <v>96999.999999999971</v>
          </cell>
          <cell r="H9">
            <v>99999.999999999985</v>
          </cell>
        </row>
        <row r="10">
          <cell r="E10">
            <v>0</v>
          </cell>
          <cell r="F10">
            <v>0</v>
          </cell>
          <cell r="G10">
            <v>0</v>
          </cell>
          <cell r="H10">
            <v>0</v>
          </cell>
        </row>
        <row r="11">
          <cell r="E11">
            <v>0</v>
          </cell>
          <cell r="F11">
            <v>0</v>
          </cell>
        </row>
        <row r="12">
          <cell r="E12">
            <v>9.4666666666666668</v>
          </cell>
          <cell r="F12">
            <v>7.7138242833838291</v>
          </cell>
          <cell r="G12">
            <v>60000</v>
          </cell>
          <cell r="H12">
            <v>60890.174688716179</v>
          </cell>
        </row>
        <row r="13">
          <cell r="E13">
            <v>4.666666666666667</v>
          </cell>
          <cell r="F13">
            <v>6.0815753903518992</v>
          </cell>
          <cell r="G13">
            <v>45000</v>
          </cell>
          <cell r="H13">
            <v>47621.478201290316</v>
          </cell>
        </row>
        <row r="14">
          <cell r="E14">
            <v>0</v>
          </cell>
          <cell r="F14">
            <v>0</v>
          </cell>
        </row>
        <row r="15">
          <cell r="E15">
            <v>363.86666666666667</v>
          </cell>
          <cell r="F15">
            <v>444.22140759729666</v>
          </cell>
        </row>
        <row r="16">
          <cell r="E16">
            <v>866.5333333333333</v>
          </cell>
          <cell r="F16">
            <v>862.13237007690509</v>
          </cell>
          <cell r="G16">
            <v>12466.666666666668</v>
          </cell>
          <cell r="H16">
            <v>11132.683319772614</v>
          </cell>
        </row>
        <row r="17">
          <cell r="E17">
            <v>880.66666666666674</v>
          </cell>
          <cell r="F17">
            <v>865.77487765089711</v>
          </cell>
          <cell r="G17">
            <v>12387.096774193547</v>
          </cell>
          <cell r="H17">
            <v>12379.090938455576</v>
          </cell>
        </row>
        <row r="19">
          <cell r="E19">
            <v>2.9813333333333332</v>
          </cell>
          <cell r="F19">
            <v>3.6380797017012361</v>
          </cell>
        </row>
        <row r="20">
          <cell r="Q20">
            <v>59069.28544802867</v>
          </cell>
          <cell r="R20">
            <v>68006.786762992298</v>
          </cell>
        </row>
        <row r="21">
          <cell r="Q21">
            <v>14795.962533354332</v>
          </cell>
          <cell r="R21">
            <v>14644.009787928222</v>
          </cell>
        </row>
        <row r="22">
          <cell r="Q22">
            <v>1000</v>
          </cell>
          <cell r="R22">
            <v>1243.5031461197857</v>
          </cell>
        </row>
        <row r="50">
          <cell r="Q50">
            <v>102520.89067582744</v>
          </cell>
          <cell r="R50">
            <v>113636.34397576321</v>
          </cell>
        </row>
        <row r="56">
          <cell r="L56">
            <v>-23848.209235012226</v>
          </cell>
        </row>
        <row r="80">
          <cell r="H80">
            <v>12436.725999999999</v>
          </cell>
          <cell r="I80">
            <v>10150.014999999999</v>
          </cell>
          <cell r="L80">
            <v>2286.7110000000007</v>
          </cell>
        </row>
        <row r="85">
          <cell r="H85">
            <v>6031.4589999999989</v>
          </cell>
          <cell r="I85">
            <v>6157.2078199999996</v>
          </cell>
          <cell r="L85">
            <v>-125.74882000000071</v>
          </cell>
          <cell r="Q85">
            <v>114772.52834799998</v>
          </cell>
          <cell r="R85">
            <v>124562.01351666277</v>
          </cell>
        </row>
        <row r="86">
          <cell r="H86">
            <v>18286.728016517591</v>
          </cell>
          <cell r="I86">
            <v>7133.7969999999877</v>
          </cell>
          <cell r="K86">
            <v>21003.340429366028</v>
          </cell>
          <cell r="M86">
            <v>-10469.024390871418</v>
          </cell>
        </row>
        <row r="89">
          <cell r="Q89">
            <v>74865.247981383</v>
          </cell>
          <cell r="R89">
            <v>83894.299697040304</v>
          </cell>
        </row>
        <row r="92">
          <cell r="H92">
            <v>-13209.295498361709</v>
          </cell>
          <cell r="I92">
            <v>-10176.581424053722</v>
          </cell>
        </row>
      </sheetData>
      <sheetData sheetId="23">
        <row r="2">
          <cell r="O2">
            <v>3680.5</v>
          </cell>
        </row>
        <row r="5">
          <cell r="T5">
            <v>6000</v>
          </cell>
          <cell r="U5">
            <v>3816.5</v>
          </cell>
        </row>
        <row r="9">
          <cell r="E9">
            <v>366.6400000000001</v>
          </cell>
          <cell r="F9">
            <v>374.42325777114132</v>
          </cell>
          <cell r="G9">
            <v>114000</v>
          </cell>
          <cell r="H9">
            <v>117000.00276249497</v>
          </cell>
        </row>
        <row r="10">
          <cell r="E10">
            <v>0</v>
          </cell>
          <cell r="F10">
            <v>0</v>
          </cell>
          <cell r="G10">
            <v>0</v>
          </cell>
          <cell r="H10">
            <v>0</v>
          </cell>
        </row>
        <row r="11">
          <cell r="E11">
            <v>0</v>
          </cell>
          <cell r="F11">
            <v>0</v>
          </cell>
        </row>
        <row r="12">
          <cell r="E12">
            <v>0</v>
          </cell>
          <cell r="F12">
            <v>0</v>
          </cell>
          <cell r="G12">
            <v>0</v>
          </cell>
          <cell r="H12">
            <v>0</v>
          </cell>
        </row>
        <row r="13">
          <cell r="E13">
            <v>0</v>
          </cell>
          <cell r="F13">
            <v>0</v>
          </cell>
          <cell r="G13">
            <v>0</v>
          </cell>
          <cell r="H13">
            <v>0</v>
          </cell>
        </row>
        <row r="14">
          <cell r="E14">
            <v>0</v>
          </cell>
          <cell r="F14">
            <v>0</v>
          </cell>
        </row>
        <row r="15">
          <cell r="E15">
            <v>366.6400000000001</v>
          </cell>
          <cell r="F15">
            <v>374.42325777114132</v>
          </cell>
        </row>
        <row r="16">
          <cell r="E16">
            <v>750.94</v>
          </cell>
          <cell r="F16">
            <v>820.55653590335248</v>
          </cell>
          <cell r="G16">
            <v>18000</v>
          </cell>
          <cell r="H16">
            <v>17927.923057581098</v>
          </cell>
        </row>
        <row r="17">
          <cell r="E17">
            <v>982.84</v>
          </cell>
          <cell r="F17">
            <v>939.92670014931434</v>
          </cell>
          <cell r="G17">
            <v>19016.691090978813</v>
          </cell>
          <cell r="H17">
            <v>19616.471512497763</v>
          </cell>
        </row>
        <row r="19">
          <cell r="E19">
            <v>3.238</v>
          </cell>
          <cell r="F19">
            <v>3.6323333785801544</v>
          </cell>
        </row>
        <row r="20">
          <cell r="Q20">
            <v>77052.884671857624</v>
          </cell>
          <cell r="R20">
            <v>80489.600108592364</v>
          </cell>
        </row>
        <row r="21">
          <cell r="Q21">
            <v>17329.382302405498</v>
          </cell>
          <cell r="R21">
            <v>17279.782543776299</v>
          </cell>
        </row>
        <row r="22">
          <cell r="Q22">
            <v>416.66666666666669</v>
          </cell>
          <cell r="R22">
            <v>513.26048595086195</v>
          </cell>
        </row>
        <row r="50">
          <cell r="Q50">
            <v>107839.39664092979</v>
          </cell>
          <cell r="R50">
            <v>114830.27636758516</v>
          </cell>
        </row>
        <row r="56">
          <cell r="L56">
            <v>-25740.595193057983</v>
          </cell>
        </row>
        <row r="80">
          <cell r="H80">
            <v>16412.559999999998</v>
          </cell>
          <cell r="I80">
            <v>16354.024999999998</v>
          </cell>
          <cell r="L80">
            <v>58.535000000000764</v>
          </cell>
        </row>
        <row r="85">
          <cell r="H85">
            <v>12780.610842236318</v>
          </cell>
          <cell r="I85">
            <v>12577.608470000001</v>
          </cell>
          <cell r="L85">
            <v>203.00237223631666</v>
          </cell>
          <cell r="Q85">
            <v>121227.62</v>
          </cell>
          <cell r="R85">
            <v>122993.4139383236</v>
          </cell>
        </row>
        <row r="86">
          <cell r="H86">
            <v>51136.169312184968</v>
          </cell>
          <cell r="I86">
            <v>2638.1320000000433</v>
          </cell>
          <cell r="K86">
            <v>6499.0045900000387</v>
          </cell>
          <cell r="M86">
            <v>-29517.984081363422</v>
          </cell>
        </row>
        <row r="89">
          <cell r="Q89">
            <v>94798.933640929798</v>
          </cell>
          <cell r="R89">
            <v>98282.643138319516</v>
          </cell>
        </row>
        <row r="92">
          <cell r="H92">
            <v>-15398.706674789632</v>
          </cell>
          <cell r="I92">
            <v>-27849.297360750148</v>
          </cell>
        </row>
      </sheetData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합계"/>
      <sheetName val="수도권"/>
      <sheetName val="영남권"/>
      <sheetName val="부산권"/>
      <sheetName val="부산권외"/>
      <sheetName val="중부권"/>
      <sheetName val="안양"/>
      <sheetName val="인천"/>
      <sheetName val="파주"/>
      <sheetName val="김포"/>
      <sheetName val="부산"/>
      <sheetName val="서부산"/>
      <sheetName val="김해"/>
      <sheetName val="정관"/>
      <sheetName val="양산"/>
      <sheetName val="창원"/>
      <sheetName val="대구"/>
      <sheetName val="울산"/>
      <sheetName val="아산"/>
      <sheetName val="원주"/>
      <sheetName val="군산"/>
      <sheetName val="전주"/>
      <sheetName val="제주"/>
    </sheetNames>
    <sheetDataSet>
      <sheetData sheetId="0">
        <row r="85">
          <cell r="Q85">
            <v>100932.18102189782</v>
          </cell>
        </row>
        <row r="89">
          <cell r="Q89">
            <v>82701.342048633815</v>
          </cell>
        </row>
        <row r="90">
          <cell r="Q90">
            <v>18230.838973264006</v>
          </cell>
        </row>
      </sheetData>
      <sheetData sheetId="1">
        <row r="5">
          <cell r="T5">
            <v>56928.5</v>
          </cell>
        </row>
        <row r="85">
          <cell r="Q85">
            <v>99000.138823260757</v>
          </cell>
        </row>
        <row r="89">
          <cell r="Q89">
            <v>85329.992208134077</v>
          </cell>
        </row>
        <row r="90">
          <cell r="Q90">
            <v>13670.14661512668</v>
          </cell>
        </row>
      </sheetData>
      <sheetData sheetId="2">
        <row r="5">
          <cell r="T5">
            <v>81123</v>
          </cell>
        </row>
        <row r="85">
          <cell r="Q85">
            <v>100960.81481298667</v>
          </cell>
        </row>
        <row r="89">
          <cell r="Q89">
            <v>80802.90899944905</v>
          </cell>
        </row>
        <row r="90">
          <cell r="Q90">
            <v>20157.905813537625</v>
          </cell>
        </row>
      </sheetData>
      <sheetData sheetId="3"/>
      <sheetData sheetId="4"/>
      <sheetData sheetId="5">
        <row r="5">
          <cell r="T5">
            <v>39828</v>
          </cell>
        </row>
        <row r="85">
          <cell r="Q85">
            <v>103685.34203595265</v>
          </cell>
        </row>
        <row r="89">
          <cell r="Q89">
            <v>82924.201451534595</v>
          </cell>
        </row>
        <row r="90">
          <cell r="Q90">
            <v>20761.140584418055</v>
          </cell>
        </row>
      </sheetData>
      <sheetData sheetId="6">
        <row r="2">
          <cell r="N2">
            <v>27197</v>
          </cell>
        </row>
        <row r="85">
          <cell r="Q85">
            <v>99506.196823179038</v>
          </cell>
        </row>
        <row r="86">
          <cell r="H86">
            <v>88057.685000000449</v>
          </cell>
        </row>
        <row r="89">
          <cell r="Q89">
            <v>84769.104460050745</v>
          </cell>
        </row>
        <row r="92">
          <cell r="H92">
            <v>-153008.95923464303</v>
          </cell>
        </row>
      </sheetData>
      <sheetData sheetId="7">
        <row r="2">
          <cell r="N2">
            <v>15635</v>
          </cell>
        </row>
        <row r="85">
          <cell r="Q85">
            <v>100747.09519617706</v>
          </cell>
        </row>
        <row r="86">
          <cell r="H86">
            <v>-127149.74199999994</v>
          </cell>
        </row>
        <row r="89">
          <cell r="Q89">
            <v>88700.836574654953</v>
          </cell>
        </row>
        <row r="92">
          <cell r="H92">
            <v>-269876.33326064528</v>
          </cell>
        </row>
      </sheetData>
      <sheetData sheetId="8">
        <row r="2">
          <cell r="N2">
            <v>8443</v>
          </cell>
        </row>
        <row r="85">
          <cell r="Q85">
            <v>94891.839393580478</v>
          </cell>
        </row>
        <row r="86">
          <cell r="H86">
            <v>-106545.14699999988</v>
          </cell>
        </row>
        <row r="89">
          <cell r="Q89">
            <v>79812.611314948517</v>
          </cell>
        </row>
        <row r="92">
          <cell r="H92">
            <v>-177911.19502315251</v>
          </cell>
        </row>
      </sheetData>
      <sheetData sheetId="9">
        <row r="2">
          <cell r="N2">
            <v>5384.5</v>
          </cell>
        </row>
        <row r="85">
          <cell r="Q85">
            <v>97726.022100473565</v>
          </cell>
        </row>
        <row r="86">
          <cell r="H86">
            <v>-107336.8960000001</v>
          </cell>
        </row>
        <row r="89">
          <cell r="Q89">
            <v>86838.29500602241</v>
          </cell>
        </row>
        <row r="92">
          <cell r="H92">
            <v>-154209.77141375755</v>
          </cell>
        </row>
      </sheetData>
      <sheetData sheetId="10">
        <row r="2">
          <cell r="N2">
            <v>13731</v>
          </cell>
        </row>
        <row r="85">
          <cell r="Q85">
            <v>105326.38555094313</v>
          </cell>
        </row>
        <row r="86">
          <cell r="H86">
            <v>26931.239000000103</v>
          </cell>
        </row>
        <row r="89">
          <cell r="Q89">
            <v>84695.366347409654</v>
          </cell>
        </row>
        <row r="92">
          <cell r="H92">
            <v>-108267.558559593</v>
          </cell>
        </row>
      </sheetData>
      <sheetData sheetId="11">
        <row r="2">
          <cell r="N2">
            <v>12446</v>
          </cell>
        </row>
        <row r="85">
          <cell r="Q85">
            <v>98009.738068455714</v>
          </cell>
        </row>
        <row r="86">
          <cell r="H86">
            <v>35159.032999999923</v>
          </cell>
        </row>
        <row r="89">
          <cell r="Q89">
            <v>77288.174797843662</v>
          </cell>
        </row>
        <row r="92">
          <cell r="H92">
            <v>-78874.480650588361</v>
          </cell>
        </row>
      </sheetData>
      <sheetData sheetId="12">
        <row r="2">
          <cell r="N2">
            <v>5131</v>
          </cell>
        </row>
        <row r="85">
          <cell r="Q85">
            <v>94432.371857337756</v>
          </cell>
        </row>
        <row r="86">
          <cell r="H86">
            <v>-64487.721000000056</v>
          </cell>
        </row>
        <row r="89">
          <cell r="Q89">
            <v>76391.454882089267</v>
          </cell>
        </row>
        <row r="92">
          <cell r="H92">
            <v>-110542.85505582238</v>
          </cell>
        </row>
      </sheetData>
      <sheetData sheetId="13">
        <row r="2">
          <cell r="N2">
            <v>16167</v>
          </cell>
        </row>
        <row r="85">
          <cell r="Q85">
            <v>103005.46174305685</v>
          </cell>
        </row>
        <row r="86">
          <cell r="H86">
            <v>94408.489999999903</v>
          </cell>
        </row>
        <row r="89">
          <cell r="Q89">
            <v>85293.934359354709</v>
          </cell>
        </row>
        <row r="92">
          <cell r="H92">
            <v>-61268.050718756975</v>
          </cell>
        </row>
      </sheetData>
      <sheetData sheetId="14">
        <row r="2">
          <cell r="N2">
            <v>5826</v>
          </cell>
        </row>
        <row r="85">
          <cell r="Q85">
            <v>92587.349811191219</v>
          </cell>
        </row>
        <row r="86">
          <cell r="H86">
            <v>-50209.25199999992</v>
          </cell>
        </row>
        <row r="89">
          <cell r="Q89">
            <v>75380.246481290756</v>
          </cell>
        </row>
        <row r="92">
          <cell r="H92">
            <v>-100635.3791405595</v>
          </cell>
        </row>
      </sheetData>
      <sheetData sheetId="15">
        <row r="2">
          <cell r="N2">
            <v>9070</v>
          </cell>
        </row>
        <row r="85">
          <cell r="Q85">
            <v>100925.54024255788</v>
          </cell>
        </row>
        <row r="86">
          <cell r="H86">
            <v>7209.1169999999693</v>
          </cell>
        </row>
        <row r="89">
          <cell r="Q89">
            <v>77749.250937155462</v>
          </cell>
        </row>
        <row r="92">
          <cell r="H92">
            <v>-78364.886570705246</v>
          </cell>
        </row>
      </sheetData>
      <sheetData sheetId="16">
        <row r="2">
          <cell r="N2">
            <v>9533</v>
          </cell>
        </row>
        <row r="85">
          <cell r="Q85">
            <v>97773.366201615441</v>
          </cell>
        </row>
        <row r="86">
          <cell r="H86">
            <v>22030.70199999999</v>
          </cell>
        </row>
        <row r="89">
          <cell r="Q89">
            <v>77456.301374173927</v>
          </cell>
        </row>
        <row r="92">
          <cell r="H92">
            <v>-65102.493520816861</v>
          </cell>
        </row>
      </sheetData>
      <sheetData sheetId="17">
        <row r="2">
          <cell r="N2">
            <v>9133</v>
          </cell>
        </row>
        <row r="85">
          <cell r="Q85">
            <v>107170.90769736121</v>
          </cell>
        </row>
        <row r="86">
          <cell r="H86">
            <v>57724.488000000027</v>
          </cell>
        </row>
        <row r="89">
          <cell r="Q89">
            <v>85147.593233329681</v>
          </cell>
        </row>
        <row r="92">
          <cell r="H92">
            <v>-33776.09215477512</v>
          </cell>
        </row>
      </sheetData>
      <sheetData sheetId="18">
        <row r="2">
          <cell r="N2">
            <v>16996</v>
          </cell>
        </row>
        <row r="85">
          <cell r="Q85">
            <v>101157.08031301483</v>
          </cell>
        </row>
        <row r="86">
          <cell r="H86">
            <v>-30781.557000000066</v>
          </cell>
        </row>
        <row r="89">
          <cell r="Q89">
            <v>88061.244120413932</v>
          </cell>
        </row>
        <row r="92">
          <cell r="H92">
            <v>-183928.73610852941</v>
          </cell>
        </row>
      </sheetData>
      <sheetData sheetId="19">
        <row r="2">
          <cell r="N2">
            <v>2178</v>
          </cell>
        </row>
        <row r="85">
          <cell r="Q85">
            <v>114037.09825528007</v>
          </cell>
        </row>
        <row r="86">
          <cell r="H86">
            <v>-4029.7040000000197</v>
          </cell>
        </row>
        <row r="89">
          <cell r="Q89">
            <v>75778.686868686869</v>
          </cell>
        </row>
        <row r="92">
          <cell r="H92">
            <v>-26154.028860716382</v>
          </cell>
        </row>
      </sheetData>
      <sheetData sheetId="20">
        <row r="2">
          <cell r="N2">
            <v>2625.5</v>
          </cell>
        </row>
        <row r="85">
          <cell r="Q85">
            <v>111810.99866692058</v>
          </cell>
        </row>
        <row r="86">
          <cell r="H86">
            <v>10057.20000000001</v>
          </cell>
        </row>
        <row r="89">
          <cell r="Q89">
            <v>76532.78461245478</v>
          </cell>
        </row>
        <row r="92">
          <cell r="H92">
            <v>-16092.249023352995</v>
          </cell>
        </row>
      </sheetData>
      <sheetData sheetId="21">
        <row r="2">
          <cell r="N2">
            <v>12050</v>
          </cell>
        </row>
        <row r="85">
          <cell r="Q85">
            <v>96461.239585062227</v>
          </cell>
        </row>
        <row r="86">
          <cell r="H86">
            <v>103704.16099999986</v>
          </cell>
        </row>
        <row r="89">
          <cell r="Q89">
            <v>74948.095921074448</v>
          </cell>
        </row>
        <row r="92">
          <cell r="H92">
            <v>164.70497816460556</v>
          </cell>
        </row>
      </sheetData>
      <sheetData sheetId="22">
        <row r="2">
          <cell r="N2">
            <v>5257.5</v>
          </cell>
        </row>
        <row r="85">
          <cell r="Q85">
            <v>120069.69472182597</v>
          </cell>
        </row>
        <row r="86">
          <cell r="H86">
            <v>68396.145000000033</v>
          </cell>
        </row>
        <row r="89">
          <cell r="Q89">
            <v>90756.927817403717</v>
          </cell>
        </row>
        <row r="92">
          <cell r="H92">
            <v>3795.6201853957027</v>
          </cell>
        </row>
      </sheetData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원가손익"/>
      <sheetName val="물량"/>
      <sheetName val="금액"/>
      <sheetName val="제품별제조원가raw"/>
      <sheetName val="수불부raw"/>
      <sheetName val="입고내역raw"/>
      <sheetName val="PFT"/>
      <sheetName val="PFTraw"/>
    </sheetNames>
    <sheetDataSet>
      <sheetData sheetId="0">
        <row r="10">
          <cell r="W10">
            <v>14753.480279720281</v>
          </cell>
          <cell r="X10">
            <v>11101</v>
          </cell>
        </row>
        <row r="14">
          <cell r="W14">
            <v>5000</v>
          </cell>
          <cell r="X14">
            <v>5253</v>
          </cell>
        </row>
      </sheetData>
      <sheetData sheetId="1"/>
      <sheetData sheetId="2"/>
      <sheetData sheetId="3"/>
      <sheetData sheetId="4"/>
      <sheetData sheetId="5"/>
      <sheetData sheetId="6"/>
      <sheetData sheetId="7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원가손익"/>
      <sheetName val="금액"/>
      <sheetName val="물량"/>
      <sheetName val="제조원가raw"/>
      <sheetName val="슬러지토사"/>
      <sheetName val="슬러지토사raw"/>
      <sheetName val="PTF손익"/>
      <sheetName val="PFTraw"/>
      <sheetName val="수불부raw"/>
      <sheetName val="입고내역"/>
      <sheetName val="입고내역raw"/>
    </sheetNames>
    <sheetDataSet>
      <sheetData sheetId="0">
        <row r="27">
          <cell r="U27">
            <v>16537.239999999998</v>
          </cell>
          <cell r="V27">
            <v>15739</v>
          </cell>
        </row>
        <row r="29">
          <cell r="U29">
            <v>1680</v>
          </cell>
          <cell r="V29">
            <v>1712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원가"/>
      <sheetName val="손익"/>
      <sheetName val="제조원가금액"/>
      <sheetName val="제조원가물량"/>
      <sheetName val="제조원가raw"/>
      <sheetName val="PFT손익"/>
      <sheetName val="PFTraw"/>
      <sheetName val="수불부raw"/>
      <sheetName val="입고내역"/>
      <sheetName val="입고내역raw"/>
    </sheetNames>
    <sheetDataSet>
      <sheetData sheetId="0"/>
      <sheetData sheetId="1">
        <row r="10">
          <cell r="F10">
            <v>16627.406666666666</v>
          </cell>
          <cell r="G10">
            <v>15912</v>
          </cell>
        </row>
        <row r="12">
          <cell r="F12">
            <v>20160</v>
          </cell>
          <cell r="G12">
            <v>5776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원가손익"/>
      <sheetName val="물량"/>
      <sheetName val="금액"/>
      <sheetName val="제품별제조원가raw"/>
      <sheetName val="수불부raw"/>
      <sheetName val="입고내역raw"/>
      <sheetName val="PFT"/>
      <sheetName val="PFTraw"/>
    </sheetNames>
    <sheetDataSet>
      <sheetData sheetId="0">
        <row r="10">
          <cell r="X10">
            <v>9972</v>
          </cell>
        </row>
        <row r="14">
          <cell r="X14">
            <v>10608</v>
          </cell>
        </row>
      </sheetData>
      <sheetData sheetId="1"/>
      <sheetData sheetId="2"/>
      <sheetData sheetId="3"/>
      <sheetData sheetId="4"/>
      <sheetData sheetId="5"/>
      <sheetData sheetId="6"/>
      <sheetData sheetId="7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원가손익"/>
      <sheetName val="금액"/>
      <sheetName val="물량"/>
      <sheetName val="제조원가raw"/>
      <sheetName val="슬러지토사"/>
      <sheetName val="슬러지토사raw"/>
      <sheetName val="PTF손익"/>
      <sheetName val="PFTraw"/>
      <sheetName val="수불부raw"/>
      <sheetName val="입고내역"/>
      <sheetName val="입고내역raw"/>
    </sheetNames>
    <sheetDataSet>
      <sheetData sheetId="0">
        <row r="27">
          <cell r="V27">
            <v>20288</v>
          </cell>
        </row>
        <row r="29">
          <cell r="V29">
            <v>6384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원가"/>
      <sheetName val="손익"/>
      <sheetName val="제조원가금액"/>
      <sheetName val="제조원가물량"/>
      <sheetName val="제조원가raw"/>
      <sheetName val="PFT손익"/>
      <sheetName val="PFTraw"/>
      <sheetName val="수불부raw"/>
      <sheetName val="입고내역"/>
      <sheetName val="입고내역raw"/>
    </sheetNames>
    <sheetDataSet>
      <sheetData sheetId="0"/>
      <sheetData sheetId="1">
        <row r="25">
          <cell r="Y25">
            <v>0</v>
          </cell>
        </row>
        <row r="27">
          <cell r="Y27">
            <v>1000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손익"/>
      <sheetName val="판매계획"/>
      <sheetName val="매입계획"/>
      <sheetName val="비율"/>
      <sheetName val="매출이익,매출이익률"/>
      <sheetName val="판매4"/>
      <sheetName val="판매6"/>
      <sheetName val="인별예산"/>
      <sheetName val="계정통제"/>
      <sheetName val="본사산출"/>
    </sheetNames>
    <sheetDataSet>
      <sheetData sheetId="0">
        <row r="5">
          <cell r="E5"/>
          <cell r="G5" t="str">
            <v>1월</v>
          </cell>
          <cell r="H5" t="str">
            <v>2월</v>
          </cell>
          <cell r="I5" t="str">
            <v>3월</v>
          </cell>
          <cell r="J5" t="str">
            <v>4월</v>
          </cell>
          <cell r="K5" t="str">
            <v>5월</v>
          </cell>
          <cell r="L5" t="str">
            <v>6월</v>
          </cell>
          <cell r="M5" t="str">
            <v>7월</v>
          </cell>
          <cell r="N5" t="str">
            <v>8월</v>
          </cell>
          <cell r="O5" t="str">
            <v>9월</v>
          </cell>
          <cell r="P5" t="str">
            <v>10월</v>
          </cell>
          <cell r="Q5" t="str">
            <v>11월</v>
          </cell>
          <cell r="R5" t="str">
            <v>12월</v>
          </cell>
          <cell r="S5" t="str">
            <v>금액</v>
          </cell>
          <cell r="T5" t="str">
            <v>단위당</v>
          </cell>
          <cell r="V5" t="str">
            <v>2월누계</v>
          </cell>
          <cell r="W5" t="str">
            <v>3월누계</v>
          </cell>
          <cell r="X5" t="str">
            <v>4월누계</v>
          </cell>
          <cell r="Y5" t="str">
            <v>5월누계</v>
          </cell>
          <cell r="Z5" t="str">
            <v>6월누계</v>
          </cell>
          <cell r="AA5" t="str">
            <v>7월누계</v>
          </cell>
          <cell r="AB5" t="str">
            <v>8월누계</v>
          </cell>
          <cell r="AC5" t="str">
            <v>9월누계</v>
          </cell>
          <cell r="AD5" t="str">
            <v>10월누계</v>
          </cell>
          <cell r="AE5" t="str">
            <v>11월누계</v>
          </cell>
          <cell r="AF5" t="str">
            <v>12월누계</v>
          </cell>
        </row>
        <row r="6">
          <cell r="G6">
            <v>8000</v>
          </cell>
          <cell r="H6">
            <v>7000</v>
          </cell>
          <cell r="I6">
            <v>8500</v>
          </cell>
          <cell r="J6">
            <v>9400</v>
          </cell>
          <cell r="K6">
            <v>8100</v>
          </cell>
          <cell r="L6">
            <v>8500</v>
          </cell>
          <cell r="M6">
            <v>9500</v>
          </cell>
          <cell r="N6">
            <v>10000</v>
          </cell>
          <cell r="O6">
            <v>11000</v>
          </cell>
          <cell r="P6">
            <v>11600</v>
          </cell>
          <cell r="Q6">
            <v>11600</v>
          </cell>
          <cell r="R6">
            <v>10800</v>
          </cell>
          <cell r="S6">
            <v>114000</v>
          </cell>
          <cell r="T6"/>
          <cell r="U6"/>
          <cell r="V6">
            <v>15000</v>
          </cell>
          <cell r="W6">
            <v>23500</v>
          </cell>
          <cell r="X6">
            <v>32900</v>
          </cell>
          <cell r="Y6">
            <v>41000</v>
          </cell>
          <cell r="Z6">
            <v>49500</v>
          </cell>
          <cell r="AA6">
            <v>59000</v>
          </cell>
          <cell r="AB6">
            <v>69000</v>
          </cell>
          <cell r="AC6">
            <v>80000</v>
          </cell>
          <cell r="AD6">
            <v>91600</v>
          </cell>
          <cell r="AE6">
            <v>103200</v>
          </cell>
          <cell r="AF6">
            <v>114000</v>
          </cell>
        </row>
        <row r="7">
          <cell r="G7">
            <v>7664843.438000001</v>
          </cell>
          <cell r="H7">
            <v>6724612.3420000011</v>
          </cell>
          <cell r="I7">
            <v>8197613.5220000008</v>
          </cell>
          <cell r="J7">
            <v>9270292.1250000019</v>
          </cell>
          <cell r="K7">
            <v>8182096.0099999998</v>
          </cell>
          <cell r="L7">
            <v>8768426.0300000012</v>
          </cell>
          <cell r="M7">
            <v>9997633.0600000005</v>
          </cell>
          <cell r="N7">
            <v>10755852.659999998</v>
          </cell>
          <cell r="O7">
            <v>12095400.806</v>
          </cell>
          <cell r="P7">
            <v>13010178.374</v>
          </cell>
          <cell r="Q7">
            <v>13245843.674000001</v>
          </cell>
          <cell r="R7">
            <v>12087608.564999999</v>
          </cell>
          <cell r="S7">
            <v>120000400.60599999</v>
          </cell>
          <cell r="T7">
            <v>1052635.0930350877</v>
          </cell>
          <cell r="U7"/>
          <cell r="V7">
            <v>14389455.780000001</v>
          </cell>
          <cell r="W7">
            <v>22587069.302000001</v>
          </cell>
          <cell r="X7">
            <v>31857361.427000001</v>
          </cell>
          <cell r="Y7">
            <v>40039457.436999999</v>
          </cell>
          <cell r="Z7">
            <v>48807883.467</v>
          </cell>
          <cell r="AA7">
            <v>58805516.527000003</v>
          </cell>
          <cell r="AB7">
            <v>69561369.187000006</v>
          </cell>
          <cell r="AC7">
            <v>81656769.993000001</v>
          </cell>
          <cell r="AD7">
            <v>94666948.366999999</v>
          </cell>
          <cell r="AE7">
            <v>107912792.04099999</v>
          </cell>
          <cell r="AF7">
            <v>120000400.60599999</v>
          </cell>
        </row>
        <row r="8">
          <cell r="G8">
            <v>958105.42975000013</v>
          </cell>
          <cell r="H8">
            <v>960658.90600000008</v>
          </cell>
          <cell r="I8">
            <v>964425.12023529422</v>
          </cell>
          <cell r="J8">
            <v>986201.28989361716</v>
          </cell>
          <cell r="K8">
            <v>1010135.3098765431</v>
          </cell>
          <cell r="L8">
            <v>1031579.5329411767</v>
          </cell>
          <cell r="M8">
            <v>1052382.4273684211</v>
          </cell>
          <cell r="N8">
            <v>1075585.2659999998</v>
          </cell>
          <cell r="O8">
            <v>1099581.8914545455</v>
          </cell>
          <cell r="P8">
            <v>1121567.1012068966</v>
          </cell>
          <cell r="Q8">
            <v>1141883.0753448275</v>
          </cell>
          <cell r="R8">
            <v>1119223.0152777776</v>
          </cell>
          <cell r="S8">
            <v>12521328.365349099</v>
          </cell>
          <cell r="T8">
            <v>109836.21373113245</v>
          </cell>
          <cell r="U8"/>
          <cell r="V8"/>
          <cell r="W8"/>
          <cell r="X8"/>
          <cell r="Y8"/>
          <cell r="Z8"/>
          <cell r="AA8"/>
          <cell r="AB8"/>
          <cell r="AC8"/>
          <cell r="AD8"/>
          <cell r="AE8"/>
          <cell r="AF8"/>
        </row>
        <row r="9">
          <cell r="G9">
            <v>7497045.0560000008</v>
          </cell>
          <cell r="H9">
            <v>6587018.6040000003</v>
          </cell>
          <cell r="I9">
            <v>8020259.3359999992</v>
          </cell>
          <cell r="J9">
            <v>9047355.0950000007</v>
          </cell>
          <cell r="K9">
            <v>7960224.5199999986</v>
          </cell>
          <cell r="L9">
            <v>8509567.8339999989</v>
          </cell>
          <cell r="M9">
            <v>9686395.1279999986</v>
          </cell>
          <cell r="N9">
            <v>10399756.106000002</v>
          </cell>
          <cell r="O9">
            <v>11655315.384</v>
          </cell>
          <cell r="P9">
            <v>12510523.375999996</v>
          </cell>
          <cell r="Q9">
            <v>12713703.596000001</v>
          </cell>
          <cell r="R9">
            <v>11610766.225000001</v>
          </cell>
          <cell r="S9">
            <v>116197930.25999999</v>
          </cell>
          <cell r="T9">
            <v>1019280.09</v>
          </cell>
          <cell r="U9"/>
          <cell r="V9">
            <v>14084063.66</v>
          </cell>
          <cell r="W9">
            <v>22104322.995999999</v>
          </cell>
          <cell r="X9">
            <v>31151678.090999998</v>
          </cell>
          <cell r="Y9">
            <v>39111902.610999994</v>
          </cell>
          <cell r="Z9">
            <v>47621470.444999993</v>
          </cell>
          <cell r="AA9">
            <v>57307865.572999991</v>
          </cell>
          <cell r="AB9">
            <v>67707621.67899999</v>
          </cell>
          <cell r="AC9">
            <v>79362937.062999994</v>
          </cell>
          <cell r="AD9">
            <v>91873460.438999996</v>
          </cell>
          <cell r="AE9">
            <v>104587164.035</v>
          </cell>
          <cell r="AF9">
            <v>116197930.25999999</v>
          </cell>
        </row>
        <row r="10">
          <cell r="G10">
            <v>937130.6320000001</v>
          </cell>
          <cell r="H10">
            <v>941002.65771428577</v>
          </cell>
          <cell r="I10">
            <v>943559.92188235279</v>
          </cell>
          <cell r="J10">
            <v>962484.5845744682</v>
          </cell>
          <cell r="K10">
            <v>982743.76790123433</v>
          </cell>
          <cell r="L10">
            <v>1001125.6275294117</v>
          </cell>
          <cell r="M10">
            <v>1019620.5397894736</v>
          </cell>
          <cell r="N10">
            <v>1039975.6106000002</v>
          </cell>
          <cell r="O10">
            <v>1059574.1258181818</v>
          </cell>
          <cell r="P10">
            <v>1078493.3944827584</v>
          </cell>
          <cell r="Q10">
            <v>1096008.9306896552</v>
          </cell>
          <cell r="R10">
            <v>1075070.9467592593</v>
          </cell>
          <cell r="S10">
            <v>12136790.739741081</v>
          </cell>
          <cell r="T10">
            <v>106463.07666439544</v>
          </cell>
          <cell r="U10"/>
          <cell r="V10"/>
          <cell r="W10"/>
          <cell r="X10"/>
          <cell r="Y10"/>
          <cell r="Z10"/>
          <cell r="AA10"/>
          <cell r="AB10"/>
          <cell r="AC10"/>
          <cell r="AD10"/>
          <cell r="AE10"/>
          <cell r="AF10"/>
        </row>
        <row r="11">
          <cell r="G11">
            <v>167798.38200000022</v>
          </cell>
          <cell r="H11">
            <v>137593.73800000083</v>
          </cell>
          <cell r="I11">
            <v>177354.18600000162</v>
          </cell>
          <cell r="J11">
            <v>222937.03000000119</v>
          </cell>
          <cell r="K11">
            <v>221871.49000000115</v>
          </cell>
          <cell r="L11">
            <v>258858.19600000232</v>
          </cell>
          <cell r="M11">
            <v>311237.93200000189</v>
          </cell>
          <cell r="N11">
            <v>356096.55399999581</v>
          </cell>
          <cell r="O11">
            <v>440085.42200000025</v>
          </cell>
          <cell r="P11">
            <v>499654.9980000034</v>
          </cell>
          <cell r="Q11">
            <v>532140.07799999975</v>
          </cell>
          <cell r="R11">
            <v>476842.33999999799</v>
          </cell>
          <cell r="S11">
            <v>3802470.3460000064</v>
          </cell>
          <cell r="T11">
            <v>33355.003035087779</v>
          </cell>
          <cell r="U11"/>
          <cell r="V11">
            <v>305392.12000000104</v>
          </cell>
          <cell r="W11">
            <v>482746.30600000173</v>
          </cell>
          <cell r="X11">
            <v>705683.33600000292</v>
          </cell>
          <cell r="Y11">
            <v>927554.82600000501</v>
          </cell>
          <cell r="Z11">
            <v>1186413.0220000073</v>
          </cell>
          <cell r="AA11">
            <v>1497650.9540000111</v>
          </cell>
          <cell r="AB11">
            <v>1853747.5080000162</v>
          </cell>
          <cell r="AC11">
            <v>2293832.9300000072</v>
          </cell>
          <cell r="AD11">
            <v>2793487.9280000031</v>
          </cell>
          <cell r="AE11">
            <v>3325628.0059999973</v>
          </cell>
          <cell r="AF11">
            <v>3802470.3460000008</v>
          </cell>
        </row>
        <row r="12">
          <cell r="G12">
            <v>20974.797750000027</v>
          </cell>
          <cell r="H12">
            <v>19656.248285714406</v>
          </cell>
          <cell r="I12">
            <v>20865.198352941366</v>
          </cell>
          <cell r="J12">
            <v>23716.705319149063</v>
          </cell>
          <cell r="K12">
            <v>27391.541975308784</v>
          </cell>
          <cell r="L12">
            <v>30453.905411764979</v>
          </cell>
          <cell r="M12">
            <v>32761.887578947564</v>
          </cell>
          <cell r="N12">
            <v>35609.655399999581</v>
          </cell>
          <cell r="O12">
            <v>40007.765636363656</v>
          </cell>
          <cell r="P12">
            <v>43073.706724138225</v>
          </cell>
          <cell r="Q12">
            <v>45874.144655172393</v>
          </cell>
          <cell r="R12">
            <v>44152.068518518332</v>
          </cell>
          <cell r="S12">
            <v>384537.62560801837</v>
          </cell>
          <cell r="T12">
            <v>3373.1370667370034</v>
          </cell>
          <cell r="U12"/>
          <cell r="V12"/>
          <cell r="W12"/>
          <cell r="X12"/>
          <cell r="Y12"/>
          <cell r="Z12"/>
          <cell r="AA12"/>
          <cell r="AB12"/>
          <cell r="AC12"/>
          <cell r="AD12"/>
          <cell r="AE12"/>
          <cell r="AF12"/>
        </row>
        <row r="13">
          <cell r="G13">
            <v>2.189195165658649E-2</v>
          </cell>
          <cell r="H13">
            <v>2.046121486299363E-2</v>
          </cell>
          <cell r="I13">
            <v>2.1634855744788989E-2</v>
          </cell>
          <cell r="J13">
            <v>2.4048544209171956E-2</v>
          </cell>
          <cell r="K13">
            <v>2.7116705759604152E-2</v>
          </cell>
          <cell r="L13">
            <v>2.9521626243336433E-2</v>
          </cell>
          <cell r="M13">
            <v>3.1131161759201619E-2</v>
          </cell>
          <cell r="N13">
            <v>3.3107236149141885E-2</v>
          </cell>
          <cell r="O13">
            <v>3.6384525743181087E-2</v>
          </cell>
          <cell r="P13">
            <v>3.8404930634812172E-2</v>
          </cell>
          <cell r="Q13">
            <v>4.0174117337993864E-2</v>
          </cell>
          <cell r="R13">
            <v>3.9448856855003399E-2</v>
          </cell>
          <cell r="S13">
            <v>3.1687147099489631E-2</v>
          </cell>
          <cell r="T13"/>
          <cell r="U13"/>
          <cell r="V13"/>
          <cell r="W13"/>
          <cell r="X13"/>
          <cell r="Y13"/>
          <cell r="Z13"/>
          <cell r="AA13"/>
          <cell r="AB13"/>
          <cell r="AC13"/>
          <cell r="AD13"/>
          <cell r="AE13"/>
          <cell r="AF13"/>
        </row>
        <row r="14">
          <cell r="G14">
            <v>162117.92599999998</v>
          </cell>
          <cell r="H14">
            <v>137838.93599999999</v>
          </cell>
          <cell r="I14">
            <v>142380.815</v>
          </cell>
          <cell r="J14">
            <v>162462.32500000001</v>
          </cell>
          <cell r="K14">
            <v>132151.32500000001</v>
          </cell>
          <cell r="L14">
            <v>133701.32500000001</v>
          </cell>
          <cell r="M14">
            <v>160201.32500000001</v>
          </cell>
          <cell r="N14">
            <v>130201.32500000001</v>
          </cell>
          <cell r="O14">
            <v>151849.35500000001</v>
          </cell>
          <cell r="P14">
            <v>161241.32500000001</v>
          </cell>
          <cell r="Q14">
            <v>145201.32500000001</v>
          </cell>
          <cell r="R14">
            <v>150901.32500000001</v>
          </cell>
          <cell r="S14">
            <v>1770248.6319999998</v>
          </cell>
          <cell r="T14">
            <v>15528.496771929822</v>
          </cell>
          <cell r="U14"/>
          <cell r="V14">
            <v>299956.86199999996</v>
          </cell>
          <cell r="W14">
            <v>442337.67699999997</v>
          </cell>
          <cell r="X14">
            <v>604800.00199999998</v>
          </cell>
          <cell r="Y14">
            <v>736951.32700000005</v>
          </cell>
          <cell r="Z14">
            <v>870652.652</v>
          </cell>
          <cell r="AA14">
            <v>1030853.9770000001</v>
          </cell>
          <cell r="AB14">
            <v>1161055.3020000001</v>
          </cell>
          <cell r="AC14">
            <v>1312904.6570000001</v>
          </cell>
          <cell r="AD14">
            <v>1474145.9820000003</v>
          </cell>
          <cell r="AE14">
            <v>1619347.3070000003</v>
          </cell>
          <cell r="AF14">
            <v>1770248.6320000002</v>
          </cell>
        </row>
        <row r="15">
          <cell r="D15">
            <v>11</v>
          </cell>
          <cell r="G15">
            <v>93613.635999999984</v>
          </cell>
          <cell r="H15">
            <v>93613.635999999984</v>
          </cell>
          <cell r="I15">
            <v>95152.545000000013</v>
          </cell>
          <cell r="J15">
            <v>95152.545000000013</v>
          </cell>
          <cell r="K15">
            <v>95152.545000000013</v>
          </cell>
          <cell r="L15">
            <v>95152.545000000013</v>
          </cell>
          <cell r="M15">
            <v>95152.545000000013</v>
          </cell>
          <cell r="N15">
            <v>95152.545000000013</v>
          </cell>
          <cell r="O15">
            <v>95152.545000000013</v>
          </cell>
          <cell r="P15">
            <v>95152.545000000013</v>
          </cell>
          <cell r="Q15">
            <v>95152.545000000013</v>
          </cell>
          <cell r="R15">
            <v>95152.545000000013</v>
          </cell>
          <cell r="S15">
            <v>1138752.7220000003</v>
          </cell>
          <cell r="T15">
            <v>9989.058964912283</v>
          </cell>
          <cell r="U15"/>
          <cell r="V15">
            <v>187227.27199999997</v>
          </cell>
          <cell r="W15">
            <v>282379.81699999998</v>
          </cell>
          <cell r="X15">
            <v>377532.36199999996</v>
          </cell>
          <cell r="Y15">
            <v>472684.90700000001</v>
          </cell>
          <cell r="Z15">
            <v>567837.45200000005</v>
          </cell>
          <cell r="AA15">
            <v>662989.99700000009</v>
          </cell>
          <cell r="AB15">
            <v>758142.54200000013</v>
          </cell>
          <cell r="AC15">
            <v>853295.08700000017</v>
          </cell>
          <cell r="AD15">
            <v>948447.63200000022</v>
          </cell>
          <cell r="AE15">
            <v>1043600.1770000003</v>
          </cell>
          <cell r="AF15">
            <v>1138752.7220000003</v>
          </cell>
        </row>
        <row r="16">
          <cell r="D16">
            <v>12</v>
          </cell>
          <cell r="G16">
            <v>68504.289999999994</v>
          </cell>
          <cell r="H16">
            <v>44225.3</v>
          </cell>
          <cell r="I16">
            <v>47228.27</v>
          </cell>
          <cell r="J16">
            <v>67309.78</v>
          </cell>
          <cell r="K16">
            <v>36998.78</v>
          </cell>
          <cell r="L16">
            <v>38548.78</v>
          </cell>
          <cell r="M16">
            <v>65048.78</v>
          </cell>
          <cell r="N16">
            <v>35048.78</v>
          </cell>
          <cell r="O16">
            <v>56696.81</v>
          </cell>
          <cell r="P16">
            <v>66088.78</v>
          </cell>
          <cell r="Q16">
            <v>50048.78</v>
          </cell>
          <cell r="R16">
            <v>55748.78</v>
          </cell>
          <cell r="S16">
            <v>631495.91</v>
          </cell>
          <cell r="T16">
            <v>5539.4378070175435</v>
          </cell>
          <cell r="U16"/>
          <cell r="V16">
            <v>112729.59</v>
          </cell>
          <cell r="W16">
            <v>159957.85999999999</v>
          </cell>
          <cell r="X16">
            <v>227267.63999999998</v>
          </cell>
          <cell r="Y16">
            <v>264266.42</v>
          </cell>
          <cell r="Z16">
            <v>302815.19999999995</v>
          </cell>
          <cell r="AA16">
            <v>367863.98</v>
          </cell>
          <cell r="AB16">
            <v>402912.76</v>
          </cell>
          <cell r="AC16">
            <v>459609.57</v>
          </cell>
          <cell r="AD16">
            <v>525698.35</v>
          </cell>
          <cell r="AE16">
            <v>575747.13</v>
          </cell>
          <cell r="AF16">
            <v>631495.91</v>
          </cell>
        </row>
        <row r="17">
          <cell r="G17">
            <v>5680.4560000002384</v>
          </cell>
          <cell r="H17">
            <v>-245.19799999915995</v>
          </cell>
          <cell r="I17">
            <v>34973.371000001614</v>
          </cell>
          <cell r="J17">
            <v>60474.70500000118</v>
          </cell>
          <cell r="K17">
            <v>89720.165000001143</v>
          </cell>
          <cell r="L17">
            <v>125156.87100000231</v>
          </cell>
          <cell r="M17">
            <v>151036.60700000188</v>
          </cell>
          <cell r="N17">
            <v>225895.2289999958</v>
          </cell>
          <cell r="O17">
            <v>288236.06700000027</v>
          </cell>
          <cell r="P17">
            <v>338413.67300000339</v>
          </cell>
          <cell r="Q17">
            <v>386938.75299999974</v>
          </cell>
          <cell r="R17">
            <v>325941.01499999798</v>
          </cell>
          <cell r="S17">
            <v>2032221.7140000064</v>
          </cell>
          <cell r="T17">
            <v>17826.506263157953</v>
          </cell>
          <cell r="U17"/>
          <cell r="V17">
            <v>5435.2580000010785</v>
          </cell>
          <cell r="W17">
            <v>40408.629000001762</v>
          </cell>
          <cell r="X17">
            <v>100883.33400000294</v>
          </cell>
          <cell r="Y17">
            <v>190603.49900000496</v>
          </cell>
          <cell r="Z17">
            <v>315760.37000000733</v>
          </cell>
          <cell r="AA17">
            <v>466796.97700001101</v>
          </cell>
          <cell r="AB17">
            <v>692692.20600001607</v>
          </cell>
          <cell r="AC17">
            <v>980928.27300000703</v>
          </cell>
          <cell r="AD17">
            <v>1319341.9460000028</v>
          </cell>
          <cell r="AE17">
            <v>1706280.698999997</v>
          </cell>
          <cell r="AF17">
            <v>2032221.7140000006</v>
          </cell>
        </row>
        <row r="18">
          <cell r="G18">
            <v>7.4110528753114997E-4</v>
          </cell>
          <cell r="H18">
            <v>-3.6462771016215097E-5</v>
          </cell>
          <cell r="I18">
            <v>4.2662868780216703E-3</v>
          </cell>
          <cell r="J18">
            <v>6.5234950727079887E-3</v>
          </cell>
          <cell r="K18">
            <v>1.0965425593924452E-2</v>
          </cell>
          <cell r="L18">
            <v>1.4273584628734366E-2</v>
          </cell>
          <cell r="M18">
            <v>1.510723649223448E-2</v>
          </cell>
          <cell r="N18">
            <v>2.1002075441222699E-2</v>
          </cell>
          <cell r="O18">
            <v>2.3830220397245451E-2</v>
          </cell>
          <cell r="P18">
            <v>2.6011455283065237E-2</v>
          </cell>
          <cell r="Q18">
            <v>2.9212088148036504E-2</v>
          </cell>
          <cell r="R18">
            <v>2.69648883190815E-2</v>
          </cell>
          <cell r="S18">
            <v>1.6935124414062964E-2</v>
          </cell>
          <cell r="T18"/>
          <cell r="U18"/>
          <cell r="V18"/>
          <cell r="W18"/>
          <cell r="X18"/>
          <cell r="Y18"/>
          <cell r="Z18"/>
          <cell r="AA18"/>
          <cell r="AB18"/>
          <cell r="AC18"/>
          <cell r="AD18"/>
          <cell r="AE18"/>
          <cell r="AF18"/>
        </row>
        <row r="19">
          <cell r="D19">
            <v>15</v>
          </cell>
          <cell r="G19">
            <v>5186.2629999999999</v>
          </cell>
          <cell r="H19">
            <v>5186.2629999999999</v>
          </cell>
          <cell r="I19">
            <v>5186.2629999999999</v>
          </cell>
          <cell r="J19">
            <v>5186.2629999999999</v>
          </cell>
          <cell r="K19">
            <v>5186.2629999999999</v>
          </cell>
          <cell r="L19">
            <v>5186.2629999999999</v>
          </cell>
          <cell r="M19">
            <v>5186.2629999999999</v>
          </cell>
          <cell r="N19">
            <v>5186.2629999999999</v>
          </cell>
          <cell r="O19">
            <v>5186.2629999999999</v>
          </cell>
          <cell r="P19">
            <v>5186.2629999999999</v>
          </cell>
          <cell r="Q19">
            <v>5186.2629999999999</v>
          </cell>
          <cell r="R19">
            <v>5186.2629999999999</v>
          </cell>
          <cell r="S19">
            <v>62235.155999999995</v>
          </cell>
          <cell r="T19">
            <v>545.92242105263153</v>
          </cell>
          <cell r="U19"/>
          <cell r="V19">
            <v>10372.526</v>
          </cell>
          <cell r="W19">
            <v>15558.789000000001</v>
          </cell>
          <cell r="X19">
            <v>20745.052</v>
          </cell>
          <cell r="Y19">
            <v>25931.314999999999</v>
          </cell>
          <cell r="Z19">
            <v>31117.577999999998</v>
          </cell>
          <cell r="AA19">
            <v>36303.841</v>
          </cell>
          <cell r="AB19">
            <v>41490.103999999999</v>
          </cell>
          <cell r="AC19">
            <v>46676.366999999998</v>
          </cell>
          <cell r="AD19">
            <v>51862.63</v>
          </cell>
          <cell r="AE19">
            <v>57048.892999999996</v>
          </cell>
          <cell r="AF19">
            <v>62235.155999999995</v>
          </cell>
        </row>
        <row r="20">
          <cell r="G20">
            <v>5186.2629999999999</v>
          </cell>
          <cell r="H20">
            <v>5186.2629999999999</v>
          </cell>
          <cell r="I20">
            <v>5186.2629999999999</v>
          </cell>
          <cell r="J20">
            <v>5186.2629999999999</v>
          </cell>
          <cell r="K20">
            <v>5186.2629999999999</v>
          </cell>
          <cell r="L20">
            <v>5186.2629999999999</v>
          </cell>
          <cell r="M20">
            <v>5186.2629999999999</v>
          </cell>
          <cell r="N20">
            <v>5186.2629999999999</v>
          </cell>
          <cell r="O20">
            <v>5186.2629999999999</v>
          </cell>
          <cell r="P20">
            <v>5186.2629999999999</v>
          </cell>
          <cell r="Q20">
            <v>5186.2629999999999</v>
          </cell>
          <cell r="R20">
            <v>5186.2629999999999</v>
          </cell>
          <cell r="S20">
            <v>62235.155999999995</v>
          </cell>
          <cell r="T20">
            <v>545.92242105263153</v>
          </cell>
          <cell r="U20"/>
          <cell r="V20">
            <v>10372.526</v>
          </cell>
          <cell r="W20">
            <v>15558.789000000001</v>
          </cell>
          <cell r="X20">
            <v>20745.052</v>
          </cell>
          <cell r="Y20">
            <v>25931.314999999999</v>
          </cell>
          <cell r="Z20">
            <v>31117.577999999998</v>
          </cell>
          <cell r="AA20">
            <v>36303.841</v>
          </cell>
          <cell r="AB20">
            <v>41490.103999999999</v>
          </cell>
          <cell r="AC20">
            <v>46676.366999999998</v>
          </cell>
          <cell r="AD20">
            <v>51862.63</v>
          </cell>
          <cell r="AE20">
            <v>57048.892999999996</v>
          </cell>
          <cell r="AF20">
            <v>62235.155999999995</v>
          </cell>
        </row>
        <row r="21">
          <cell r="G21">
            <v>494.1930000002385</v>
          </cell>
          <cell r="H21">
            <v>-5431.4609999991599</v>
          </cell>
          <cell r="I21">
            <v>29787.108000001615</v>
          </cell>
          <cell r="J21">
            <v>55288.442000001181</v>
          </cell>
          <cell r="K21">
            <v>84533.902000001137</v>
          </cell>
          <cell r="L21">
            <v>119970.60800000231</v>
          </cell>
          <cell r="M21">
            <v>145850.34400000187</v>
          </cell>
          <cell r="N21">
            <v>220708.96599999579</v>
          </cell>
          <cell r="O21">
            <v>283049.80400000029</v>
          </cell>
          <cell r="P21">
            <v>333227.41000000341</v>
          </cell>
          <cell r="Q21">
            <v>381752.48999999976</v>
          </cell>
          <cell r="R21">
            <v>320754.751999998</v>
          </cell>
          <cell r="S21">
            <v>1969986.5580000065</v>
          </cell>
          <cell r="T21">
            <v>17280.583842105319</v>
          </cell>
          <cell r="U21"/>
          <cell r="V21">
            <v>-4937.2679999989214</v>
          </cell>
          <cell r="W21">
            <v>24849.840000001761</v>
          </cell>
          <cell r="X21">
            <v>80138.282000002946</v>
          </cell>
          <cell r="Y21">
            <v>164672.18400000496</v>
          </cell>
          <cell r="Z21">
            <v>284642.79200000735</v>
          </cell>
          <cell r="AA21">
            <v>430493.136000011</v>
          </cell>
          <cell r="AB21">
            <v>651202.10200001602</v>
          </cell>
          <cell r="AC21">
            <v>934251.90600000706</v>
          </cell>
          <cell r="AD21">
            <v>1267479.3160000029</v>
          </cell>
          <cell r="AE21">
            <v>1649231.8059999971</v>
          </cell>
          <cell r="AF21">
            <v>1969986.5580000007</v>
          </cell>
        </row>
        <row r="22">
          <cell r="G22">
            <v>6.4475289547360801E-5</v>
          </cell>
          <cell r="H22">
            <v>-8.0769875254753517E-4</v>
          </cell>
          <cell r="I22">
            <v>3.6336316563426313E-3</v>
          </cell>
          <cell r="J22">
            <v>5.9640452808277788E-3</v>
          </cell>
          <cell r="K22">
            <v>1.0331570528711156E-2</v>
          </cell>
          <cell r="L22">
            <v>1.3682114394252612E-2</v>
          </cell>
          <cell r="M22">
            <v>1.4588487407438603E-2</v>
          </cell>
          <cell r="N22">
            <v>2.0519894886696581E-2</v>
          </cell>
          <cell r="O22">
            <v>2.3401440641767874E-2</v>
          </cell>
          <cell r="P22">
            <v>2.5612824084405857E-2</v>
          </cell>
          <cell r="Q22">
            <v>2.8820549252693811E-2</v>
          </cell>
          <cell r="R22">
            <v>2.6535832152006653E-2</v>
          </cell>
          <cell r="S22">
            <v>1.6416499845430581E-2</v>
          </cell>
          <cell r="T22"/>
          <cell r="U22"/>
          <cell r="V22"/>
          <cell r="W22"/>
          <cell r="X22"/>
          <cell r="Y22"/>
          <cell r="Z22"/>
          <cell r="AA22"/>
          <cell r="AB22"/>
          <cell r="AC22"/>
          <cell r="AD22"/>
          <cell r="AE22"/>
          <cell r="AF22"/>
        </row>
        <row r="23">
          <cell r="D23">
            <v>19</v>
          </cell>
          <cell r="G23">
            <v>46711.785891015665</v>
          </cell>
          <cell r="H23">
            <v>31064.681835606094</v>
          </cell>
          <cell r="I23">
            <v>32500.88350237425</v>
          </cell>
          <cell r="J23">
            <v>53262.669134276592</v>
          </cell>
          <cell r="K23">
            <v>40928.836279637973</v>
          </cell>
          <cell r="L23">
            <v>36973.36228764063</v>
          </cell>
          <cell r="M23">
            <v>39636.337685581108</v>
          </cell>
          <cell r="N23">
            <v>38609.148357060745</v>
          </cell>
          <cell r="O23">
            <v>34777.95497231694</v>
          </cell>
          <cell r="P23">
            <v>35414.757381865682</v>
          </cell>
          <cell r="Q23">
            <v>35208.407481104048</v>
          </cell>
          <cell r="R23">
            <v>44414.015062429309</v>
          </cell>
          <cell r="S23">
            <v>469502.83987090905</v>
          </cell>
          <cell r="T23">
            <v>4118.4459637799046</v>
          </cell>
          <cell r="U23"/>
          <cell r="V23">
            <v>77776.467726621762</v>
          </cell>
          <cell r="W23">
            <v>110277.35122899601</v>
          </cell>
          <cell r="X23">
            <v>163540.0203632726</v>
          </cell>
          <cell r="Y23">
            <v>204468.85664291057</v>
          </cell>
          <cell r="Z23">
            <v>241442.2189305512</v>
          </cell>
          <cell r="AA23">
            <v>281078.55661613232</v>
          </cell>
          <cell r="AB23">
            <v>319687.70497319306</v>
          </cell>
          <cell r="AC23">
            <v>354465.65994550998</v>
          </cell>
          <cell r="AD23">
            <v>389880.41732737568</v>
          </cell>
          <cell r="AE23">
            <v>425088.82480847975</v>
          </cell>
          <cell r="AF23">
            <v>469502.83987090905</v>
          </cell>
        </row>
        <row r="24">
          <cell r="G24">
            <v>-46217.592891015425</v>
          </cell>
          <cell r="H24">
            <v>-36496.142835605257</v>
          </cell>
          <cell r="I24">
            <v>-2713.7755023726349</v>
          </cell>
          <cell r="J24">
            <v>2025.7728657245898</v>
          </cell>
          <cell r="K24">
            <v>43605.065720363164</v>
          </cell>
          <cell r="L24">
            <v>82997.245712361677</v>
          </cell>
          <cell r="M24">
            <v>106214.00631442077</v>
          </cell>
          <cell r="N24">
            <v>182099.81764293506</v>
          </cell>
          <cell r="O24">
            <v>248271.84902768335</v>
          </cell>
          <cell r="P24">
            <v>297812.65261813771</v>
          </cell>
          <cell r="Q24">
            <v>346544.08251889574</v>
          </cell>
          <cell r="R24">
            <v>276340.7369375687</v>
          </cell>
          <cell r="S24">
            <v>1500483.7181290977</v>
          </cell>
          <cell r="T24">
            <v>13162.137878325419</v>
          </cell>
          <cell r="U24"/>
          <cell r="V24">
            <v>-82713.735726620682</v>
          </cell>
          <cell r="W24">
            <v>-85427.511228994248</v>
          </cell>
          <cell r="X24">
            <v>-83401.738363269658</v>
          </cell>
          <cell r="Y24">
            <v>-39796.672642905614</v>
          </cell>
          <cell r="Z24">
            <v>43200.57306945615</v>
          </cell>
          <cell r="AA24">
            <v>149414.57938387868</v>
          </cell>
          <cell r="AB24">
            <v>331514.39702682296</v>
          </cell>
          <cell r="AC24">
            <v>579786.24605449708</v>
          </cell>
          <cell r="AD24">
            <v>877598.89867262729</v>
          </cell>
          <cell r="AE24">
            <v>1224142.9811915173</v>
          </cell>
          <cell r="AF24">
            <v>1500483.7181290917</v>
          </cell>
        </row>
        <row r="25">
          <cell r="G25">
            <v>-6.0298156465769968E-3</v>
          </cell>
          <cell r="H25">
            <v>-5.4272485876488089E-3</v>
          </cell>
          <cell r="I25">
            <v>-3.3104457719184419E-4</v>
          </cell>
          <cell r="J25">
            <v>2.1852308842150854E-4</v>
          </cell>
          <cell r="K25">
            <v>5.329327065713956E-3</v>
          </cell>
          <cell r="L25">
            <v>9.4654668270448602E-3</v>
          </cell>
          <cell r="M25">
            <v>1.0623915248437889E-2</v>
          </cell>
          <cell r="N25">
            <v>1.6930300497713872E-2</v>
          </cell>
          <cell r="O25">
            <v>2.0526136587762062E-2</v>
          </cell>
          <cell r="P25">
            <v>2.2890743236333871E-2</v>
          </cell>
          <cell r="Q25">
            <v>2.6162477154937299E-2</v>
          </cell>
          <cell r="R25">
            <v>2.2861489553667451E-2</v>
          </cell>
          <cell r="S25">
            <v>1.2503989241299866E-2</v>
          </cell>
          <cell r="T25"/>
          <cell r="U25"/>
          <cell r="V25"/>
          <cell r="W25"/>
          <cell r="X25"/>
          <cell r="Y25"/>
          <cell r="Z25"/>
          <cell r="AA25"/>
          <cell r="AB25"/>
          <cell r="AC25"/>
          <cell r="AD25"/>
          <cell r="AE25"/>
          <cell r="AF25"/>
        </row>
        <row r="26">
          <cell r="G26">
            <v>214015.97489101565</v>
          </cell>
          <cell r="H26">
            <v>174089.88083560608</v>
          </cell>
          <cell r="I26">
            <v>180067.96150237427</v>
          </cell>
          <cell r="J26">
            <v>220911.25713427662</v>
          </cell>
          <cell r="K26">
            <v>178266.42427963798</v>
          </cell>
          <cell r="L26">
            <v>175860.95028764065</v>
          </cell>
          <cell r="M26">
            <v>205023.92568558111</v>
          </cell>
          <cell r="N26">
            <v>173996.73635706076</v>
          </cell>
          <cell r="O26">
            <v>191813.57297231696</v>
          </cell>
          <cell r="P26">
            <v>201842.34538186569</v>
          </cell>
          <cell r="Q26">
            <v>185595.99548110407</v>
          </cell>
          <cell r="R26">
            <v>200501.60306242932</v>
          </cell>
          <cell r="S26">
            <v>2301986.6278709089</v>
          </cell>
          <cell r="T26">
            <v>20192.86515676236</v>
          </cell>
          <cell r="U26"/>
          <cell r="V26"/>
          <cell r="W26"/>
          <cell r="X26"/>
          <cell r="Y26"/>
          <cell r="Z26"/>
          <cell r="AA26"/>
          <cell r="AB26"/>
          <cell r="AC26"/>
          <cell r="AD26"/>
          <cell r="AE26"/>
          <cell r="AF26"/>
        </row>
        <row r="27">
          <cell r="G27"/>
          <cell r="H27"/>
          <cell r="I27"/>
          <cell r="J27"/>
          <cell r="K27"/>
          <cell r="L27"/>
          <cell r="M27"/>
          <cell r="N27"/>
          <cell r="O27"/>
          <cell r="P27"/>
          <cell r="Q27"/>
          <cell r="R27"/>
          <cell r="S27"/>
          <cell r="T27"/>
          <cell r="U27"/>
          <cell r="V27"/>
          <cell r="W27"/>
          <cell r="X27"/>
          <cell r="Y27"/>
          <cell r="Z27"/>
          <cell r="AA27"/>
          <cell r="AB27"/>
          <cell r="AC27"/>
          <cell r="AD27"/>
          <cell r="AE27"/>
          <cell r="AF27"/>
        </row>
        <row r="28">
          <cell r="S28"/>
        </row>
        <row r="29">
          <cell r="D29">
            <v>25</v>
          </cell>
          <cell r="G29">
            <v>8000</v>
          </cell>
          <cell r="H29">
            <v>7000</v>
          </cell>
          <cell r="I29">
            <v>8500</v>
          </cell>
          <cell r="J29">
            <v>9400</v>
          </cell>
          <cell r="K29">
            <v>8100</v>
          </cell>
          <cell r="L29">
            <v>8500</v>
          </cell>
          <cell r="M29">
            <v>9500</v>
          </cell>
          <cell r="N29">
            <v>10000</v>
          </cell>
          <cell r="O29">
            <v>11000</v>
          </cell>
          <cell r="P29">
            <v>11600</v>
          </cell>
          <cell r="Q29">
            <v>11600</v>
          </cell>
          <cell r="R29">
            <v>10800</v>
          </cell>
          <cell r="S29">
            <v>114000</v>
          </cell>
          <cell r="T29"/>
          <cell r="U29"/>
          <cell r="V29">
            <v>15000</v>
          </cell>
          <cell r="W29">
            <v>23500</v>
          </cell>
          <cell r="X29">
            <v>32900</v>
          </cell>
          <cell r="Y29">
            <v>41000</v>
          </cell>
          <cell r="Z29">
            <v>49500</v>
          </cell>
          <cell r="AA29">
            <v>59000</v>
          </cell>
          <cell r="AB29">
            <v>69000</v>
          </cell>
          <cell r="AC29">
            <v>80000</v>
          </cell>
          <cell r="AD29">
            <v>91600</v>
          </cell>
          <cell r="AE29">
            <v>103200</v>
          </cell>
          <cell r="AF29">
            <v>114000</v>
          </cell>
        </row>
        <row r="30">
          <cell r="D30">
            <v>26</v>
          </cell>
          <cell r="G30">
            <v>743250</v>
          </cell>
          <cell r="H30">
            <v>742142.85714285716</v>
          </cell>
          <cell r="I30">
            <v>745617.6470588235</v>
          </cell>
          <cell r="J30">
            <v>766053.19148936169</v>
          </cell>
          <cell r="K30">
            <v>784722.22222222213</v>
          </cell>
          <cell r="L30">
            <v>802811.76470588229</v>
          </cell>
          <cell r="M30">
            <v>822568.42105263157</v>
          </cell>
          <cell r="N30">
            <v>844000</v>
          </cell>
          <cell r="O30">
            <v>861454.54545454553</v>
          </cell>
          <cell r="P30">
            <v>880801.72413793101</v>
          </cell>
          <cell r="Q30">
            <v>899637.93103448278</v>
          </cell>
          <cell r="R30">
            <v>880185.18518518517</v>
          </cell>
          <cell r="S30">
            <v>822362.28070175438</v>
          </cell>
          <cell r="T30"/>
          <cell r="U30"/>
          <cell r="V30">
            <v>742733.33333333337</v>
          </cell>
          <cell r="W30">
            <v>743776.59574468085</v>
          </cell>
          <cell r="X30">
            <v>750141.33738601825</v>
          </cell>
          <cell r="Y30">
            <v>756973.17073170736</v>
          </cell>
          <cell r="Z30">
            <v>764844.44444444438</v>
          </cell>
          <cell r="AA30">
            <v>774138.98305084754</v>
          </cell>
          <cell r="AB30">
            <v>784263.76811594202</v>
          </cell>
          <cell r="AC30">
            <v>794877.5</v>
          </cell>
          <cell r="AD30">
            <v>805758.73362445412</v>
          </cell>
          <cell r="AE30">
            <v>816311.04651162785</v>
          </cell>
          <cell r="AF30">
            <v>822362.28070175438</v>
          </cell>
        </row>
        <row r="31">
          <cell r="D31">
            <v>27</v>
          </cell>
          <cell r="G31">
            <v>5946000</v>
          </cell>
          <cell r="H31">
            <v>5195000</v>
          </cell>
          <cell r="I31">
            <v>6337750</v>
          </cell>
          <cell r="J31">
            <v>7200900</v>
          </cell>
          <cell r="K31">
            <v>6356250</v>
          </cell>
          <cell r="L31">
            <v>6823900</v>
          </cell>
          <cell r="M31">
            <v>7814400</v>
          </cell>
          <cell r="N31">
            <v>8440000</v>
          </cell>
          <cell r="O31">
            <v>9476000</v>
          </cell>
          <cell r="P31">
            <v>10217300</v>
          </cell>
          <cell r="Q31">
            <v>10435800</v>
          </cell>
          <cell r="R31">
            <v>9506000</v>
          </cell>
          <cell r="S31">
            <v>93749300</v>
          </cell>
          <cell r="T31"/>
          <cell r="U31"/>
          <cell r="V31">
            <v>11141000</v>
          </cell>
          <cell r="W31">
            <v>17478750</v>
          </cell>
          <cell r="X31">
            <v>24679650</v>
          </cell>
          <cell r="Y31">
            <v>31035900</v>
          </cell>
          <cell r="Z31">
            <v>37859800</v>
          </cell>
          <cell r="AA31">
            <v>45674200</v>
          </cell>
          <cell r="AB31">
            <v>54114200</v>
          </cell>
          <cell r="AC31">
            <v>63590200</v>
          </cell>
          <cell r="AD31">
            <v>73807500</v>
          </cell>
          <cell r="AE31">
            <v>84243300</v>
          </cell>
          <cell r="AF31">
            <v>93749300</v>
          </cell>
        </row>
        <row r="32">
          <cell r="D32">
            <v>28</v>
          </cell>
          <cell r="G32">
            <v>1718843.438000001</v>
          </cell>
          <cell r="H32">
            <v>1529612.3420000011</v>
          </cell>
          <cell r="I32">
            <v>1859863.5220000008</v>
          </cell>
          <cell r="J32">
            <v>2069392.1250000019</v>
          </cell>
          <cell r="K32">
            <v>1825846.0099999998</v>
          </cell>
          <cell r="L32">
            <v>1944526.0300000012</v>
          </cell>
          <cell r="M32">
            <v>2183233.0600000005</v>
          </cell>
          <cell r="N32">
            <v>2315852.6599999983</v>
          </cell>
          <cell r="O32">
            <v>2619400.8059999999</v>
          </cell>
          <cell r="P32">
            <v>2792878.3739999998</v>
          </cell>
          <cell r="Q32">
            <v>2810043.6740000006</v>
          </cell>
          <cell r="R32">
            <v>2581608.5649999995</v>
          </cell>
          <cell r="S32">
            <v>26251100.606000006</v>
          </cell>
          <cell r="T32"/>
          <cell r="U32"/>
          <cell r="V32">
            <v>3248455.7800000021</v>
          </cell>
          <cell r="W32">
            <v>5108319.3020000029</v>
          </cell>
          <cell r="X32">
            <v>7177711.4270000048</v>
          </cell>
          <cell r="Y32">
            <v>9003557.4370000046</v>
          </cell>
          <cell r="Z32">
            <v>10948083.467000006</v>
          </cell>
          <cell r="AA32">
            <v>13131316.527000006</v>
          </cell>
          <cell r="AB32">
            <v>15447169.187000005</v>
          </cell>
          <cell r="AC32">
            <v>18066569.993000004</v>
          </cell>
          <cell r="AD32">
            <v>20859448.367000006</v>
          </cell>
          <cell r="AE32">
            <v>23669492.041000009</v>
          </cell>
          <cell r="AF32">
            <v>26251100.606000006</v>
          </cell>
        </row>
        <row r="33">
          <cell r="G33">
            <v>7664843.438000001</v>
          </cell>
          <cell r="H33">
            <v>6724612.3420000011</v>
          </cell>
          <cell r="I33">
            <v>8197613.5220000008</v>
          </cell>
          <cell r="J33">
            <v>9270292.1250000019</v>
          </cell>
          <cell r="K33">
            <v>8182096.0099999998</v>
          </cell>
          <cell r="L33">
            <v>8768426.0300000012</v>
          </cell>
          <cell r="M33">
            <v>9997633.0600000005</v>
          </cell>
          <cell r="N33">
            <v>10755852.659999998</v>
          </cell>
          <cell r="O33">
            <v>12095400.806</v>
          </cell>
          <cell r="P33">
            <v>13010178.374</v>
          </cell>
          <cell r="Q33">
            <v>13245843.674000001</v>
          </cell>
          <cell r="R33">
            <v>12087608.564999999</v>
          </cell>
          <cell r="S33">
            <v>120000400.60599999</v>
          </cell>
          <cell r="T33"/>
          <cell r="U33"/>
          <cell r="V33">
            <v>14389455.780000001</v>
          </cell>
          <cell r="W33">
            <v>22587069.302000001</v>
          </cell>
          <cell r="X33">
            <v>31857361.427000005</v>
          </cell>
          <cell r="Y33">
            <v>40039457.437000006</v>
          </cell>
          <cell r="Z33">
            <v>48807883.467000008</v>
          </cell>
          <cell r="AA33">
            <v>58805516.52700001</v>
          </cell>
          <cell r="AB33">
            <v>69561369.187000006</v>
          </cell>
          <cell r="AC33">
            <v>81656769.993000001</v>
          </cell>
          <cell r="AD33">
            <v>94666948.367000014</v>
          </cell>
          <cell r="AE33">
            <v>107912792.04100001</v>
          </cell>
          <cell r="AF33">
            <v>120000400.60600001</v>
          </cell>
        </row>
        <row r="34">
          <cell r="D34">
            <v>30</v>
          </cell>
          <cell r="G34">
            <v>5848200</v>
          </cell>
          <cell r="H34">
            <v>5121500</v>
          </cell>
          <cell r="I34">
            <v>6228300</v>
          </cell>
          <cell r="J34">
            <v>7056700</v>
          </cell>
          <cell r="K34">
            <v>6207750</v>
          </cell>
          <cell r="L34">
            <v>6644300</v>
          </cell>
          <cell r="M34">
            <v>7589800</v>
          </cell>
          <cell r="N34">
            <v>8177200</v>
          </cell>
          <cell r="O34">
            <v>9145000</v>
          </cell>
          <cell r="P34">
            <v>9834400</v>
          </cell>
          <cell r="Q34">
            <v>10031500</v>
          </cell>
          <cell r="R34">
            <v>9149200</v>
          </cell>
          <cell r="S34">
            <v>91033850</v>
          </cell>
          <cell r="T34"/>
          <cell r="U34"/>
          <cell r="V34">
            <v>10969700</v>
          </cell>
          <cell r="W34">
            <v>17198000</v>
          </cell>
          <cell r="X34">
            <v>24254700</v>
          </cell>
          <cell r="Y34">
            <v>30462450</v>
          </cell>
          <cell r="Z34">
            <v>37106750</v>
          </cell>
          <cell r="AA34">
            <v>44696550</v>
          </cell>
          <cell r="AB34">
            <v>52873750</v>
          </cell>
          <cell r="AC34">
            <v>62018750</v>
          </cell>
          <cell r="AD34">
            <v>71853150</v>
          </cell>
          <cell r="AE34">
            <v>81884650</v>
          </cell>
          <cell r="AF34">
            <v>91033850</v>
          </cell>
        </row>
        <row r="35">
          <cell r="D35">
            <v>31</v>
          </cell>
          <cell r="G35">
            <v>1648845.0560000008</v>
          </cell>
          <cell r="H35">
            <v>1465518.6040000003</v>
          </cell>
          <cell r="I35">
            <v>1791959.3359999992</v>
          </cell>
          <cell r="J35">
            <v>1990655.0950000007</v>
          </cell>
          <cell r="K35">
            <v>1752474.5199999986</v>
          </cell>
          <cell r="L35">
            <v>1865267.8339999989</v>
          </cell>
          <cell r="M35">
            <v>2096595.1279999986</v>
          </cell>
          <cell r="N35">
            <v>2222556.1060000025</v>
          </cell>
          <cell r="O35">
            <v>2510315.3839999996</v>
          </cell>
          <cell r="P35">
            <v>2676123.3759999964</v>
          </cell>
          <cell r="Q35">
            <v>2682203.5960000008</v>
          </cell>
          <cell r="R35">
            <v>2461566.2250000015</v>
          </cell>
          <cell r="S35">
            <v>25164080.259999998</v>
          </cell>
          <cell r="T35"/>
          <cell r="U35"/>
          <cell r="V35">
            <v>3114363.6600000011</v>
          </cell>
          <cell r="W35">
            <v>4906322.9960000003</v>
          </cell>
          <cell r="X35">
            <v>6896978.0910000009</v>
          </cell>
          <cell r="Y35">
            <v>8649452.6109999996</v>
          </cell>
          <cell r="Z35">
            <v>10514720.444999998</v>
          </cell>
          <cell r="AA35">
            <v>12611315.572999997</v>
          </cell>
          <cell r="AB35">
            <v>14833871.679</v>
          </cell>
          <cell r="AC35">
            <v>17344187.063000001</v>
          </cell>
          <cell r="AD35">
            <v>20020310.438999996</v>
          </cell>
          <cell r="AE35">
            <v>22702514.034999996</v>
          </cell>
          <cell r="AF35">
            <v>25164080.259999998</v>
          </cell>
        </row>
        <row r="36">
          <cell r="G36">
            <v>7497045.0560000008</v>
          </cell>
          <cell r="H36">
            <v>6587018.6040000003</v>
          </cell>
          <cell r="I36">
            <v>8020259.3359999992</v>
          </cell>
          <cell r="J36">
            <v>9047355.0950000007</v>
          </cell>
          <cell r="K36">
            <v>7960224.5199999986</v>
          </cell>
          <cell r="L36">
            <v>8509567.8339999989</v>
          </cell>
          <cell r="M36">
            <v>9686395.1279999986</v>
          </cell>
          <cell r="N36">
            <v>10399756.106000002</v>
          </cell>
          <cell r="O36">
            <v>11655315.384</v>
          </cell>
          <cell r="P36">
            <v>12510523.375999996</v>
          </cell>
          <cell r="Q36">
            <v>12713703.596000001</v>
          </cell>
          <cell r="R36">
            <v>11610766.225000001</v>
          </cell>
          <cell r="S36">
            <v>116197930.25999999</v>
          </cell>
          <cell r="T36"/>
          <cell r="U36"/>
          <cell r="V36">
            <v>14084063.66</v>
          </cell>
          <cell r="W36">
            <v>22104322.995999999</v>
          </cell>
          <cell r="X36">
            <v>31151678.091000002</v>
          </cell>
          <cell r="Y36">
            <v>39111902.611000001</v>
          </cell>
          <cell r="Z36">
            <v>47621470.445</v>
          </cell>
          <cell r="AA36">
            <v>57307865.572999999</v>
          </cell>
          <cell r="AB36">
            <v>67707621.679000005</v>
          </cell>
          <cell r="AC36">
            <v>79362937.062999994</v>
          </cell>
          <cell r="AD36">
            <v>91873460.438999996</v>
          </cell>
          <cell r="AE36">
            <v>104587164.035</v>
          </cell>
          <cell r="AF36">
            <v>116197930.25999999</v>
          </cell>
        </row>
        <row r="37">
          <cell r="G37">
            <v>97800</v>
          </cell>
          <cell r="H37">
            <v>73500</v>
          </cell>
          <cell r="I37">
            <v>109450</v>
          </cell>
          <cell r="J37">
            <v>144200</v>
          </cell>
          <cell r="K37">
            <v>148500</v>
          </cell>
          <cell r="L37">
            <v>179600</v>
          </cell>
          <cell r="M37">
            <v>224600</v>
          </cell>
          <cell r="N37">
            <v>262800</v>
          </cell>
          <cell r="O37">
            <v>331000</v>
          </cell>
          <cell r="P37">
            <v>382900</v>
          </cell>
          <cell r="Q37">
            <v>404300</v>
          </cell>
          <cell r="R37">
            <v>356800</v>
          </cell>
          <cell r="S37">
            <v>2715450</v>
          </cell>
          <cell r="T37"/>
          <cell r="U37"/>
          <cell r="V37">
            <v>171300</v>
          </cell>
          <cell r="W37">
            <v>280750</v>
          </cell>
          <cell r="X37">
            <v>424950</v>
          </cell>
          <cell r="Y37">
            <v>573450</v>
          </cell>
          <cell r="Z37">
            <v>753050</v>
          </cell>
          <cell r="AA37">
            <v>977650</v>
          </cell>
          <cell r="AB37">
            <v>1240450</v>
          </cell>
          <cell r="AC37">
            <v>1571450</v>
          </cell>
          <cell r="AD37">
            <v>1954350</v>
          </cell>
          <cell r="AE37">
            <v>2358650</v>
          </cell>
          <cell r="AF37">
            <v>2715450</v>
          </cell>
        </row>
        <row r="38">
          <cell r="G38">
            <v>1.644803229061554E-2</v>
          </cell>
          <cell r="H38">
            <v>1.4148219441770934E-2</v>
          </cell>
          <cell r="I38">
            <v>1.7269535718512089E-2</v>
          </cell>
          <cell r="J38">
            <v>2.0025274618450471E-2</v>
          </cell>
          <cell r="K38">
            <v>2.3362831858407079E-2</v>
          </cell>
          <cell r="L38">
            <v>2.631926024707279E-2</v>
          </cell>
          <cell r="M38">
            <v>2.8741809991809992E-2</v>
          </cell>
          <cell r="N38">
            <v>3.113744075829384E-2</v>
          </cell>
          <cell r="O38">
            <v>3.4930350358801182E-2</v>
          </cell>
          <cell r="P38">
            <v>3.7475654037759487E-2</v>
          </cell>
          <cell r="Q38">
            <v>3.8741639356829373E-2</v>
          </cell>
          <cell r="R38">
            <v>3.7534188933305283E-2</v>
          </cell>
          <cell r="S38">
            <v>2.8965016272121499E-2</v>
          </cell>
          <cell r="T38"/>
          <cell r="U38"/>
          <cell r="V38">
            <v>1.5375639529665201E-2</v>
          </cell>
          <cell r="W38">
            <v>1.6062361438890081E-2</v>
          </cell>
          <cell r="X38">
            <v>1.7218639648455308E-2</v>
          </cell>
          <cell r="Y38">
            <v>1.8476989550810514E-2</v>
          </cell>
          <cell r="Z38">
            <v>1.9890490705180692E-2</v>
          </cell>
          <cell r="AA38">
            <v>2.1404863139365331E-2</v>
          </cell>
          <cell r="AB38">
            <v>2.2922818779544E-2</v>
          </cell>
          <cell r="AC38">
            <v>2.47121411789867E-2</v>
          </cell>
          <cell r="AD38">
            <v>2.6479016360126003E-2</v>
          </cell>
          <cell r="AE38">
            <v>2.7998072250256103E-2</v>
          </cell>
          <cell r="AF38">
            <v>2.8965016272121499E-2</v>
          </cell>
        </row>
        <row r="39">
          <cell r="G39">
            <v>69998.382000000216</v>
          </cell>
          <cell r="H39">
            <v>64093.738000000827</v>
          </cell>
          <cell r="I39">
            <v>67904.186000001617</v>
          </cell>
          <cell r="J39">
            <v>78737.030000001192</v>
          </cell>
          <cell r="K39">
            <v>73371.490000001155</v>
          </cell>
          <cell r="L39">
            <v>79258.196000002325</v>
          </cell>
          <cell r="M39">
            <v>86637.932000001892</v>
          </cell>
          <cell r="N39">
            <v>93296.553999995813</v>
          </cell>
          <cell r="O39">
            <v>109085.42200000025</v>
          </cell>
          <cell r="P39">
            <v>116754.9980000034</v>
          </cell>
          <cell r="Q39">
            <v>127840.07799999975</v>
          </cell>
          <cell r="R39">
            <v>120042.33999999799</v>
          </cell>
          <cell r="S39">
            <v>1087020.3460000083</v>
          </cell>
          <cell r="T39"/>
          <cell r="U39"/>
          <cell r="V39">
            <v>134092.12000000104</v>
          </cell>
          <cell r="W39">
            <v>201996.30600000266</v>
          </cell>
          <cell r="X39">
            <v>280733.33600000385</v>
          </cell>
          <cell r="Y39">
            <v>354104.82600000501</v>
          </cell>
          <cell r="Z39">
            <v>433363.02200000733</v>
          </cell>
          <cell r="AA39">
            <v>520000.95400000922</v>
          </cell>
          <cell r="AB39">
            <v>613297.50800000504</v>
          </cell>
          <cell r="AC39">
            <v>722382.93000000343</v>
          </cell>
          <cell r="AD39">
            <v>839137.92800001055</v>
          </cell>
          <cell r="AE39">
            <v>966978.00600001216</v>
          </cell>
          <cell r="AF39">
            <v>1087020.3460000083</v>
          </cell>
        </row>
        <row r="40">
          <cell r="G40">
            <v>4.0724117422496847E-2</v>
          </cell>
          <cell r="H40">
            <v>4.1901948774940509E-2</v>
          </cell>
          <cell r="I40">
            <v>3.6510305835226541E-2</v>
          </cell>
          <cell r="J40">
            <v>3.8048385827312028E-2</v>
          </cell>
          <cell r="K40">
            <v>4.0184927753026206E-2</v>
          </cell>
          <cell r="L40">
            <v>4.0759647737912914E-2</v>
          </cell>
          <cell r="M40">
            <v>3.9683318097061916E-2</v>
          </cell>
          <cell r="N40">
            <v>4.0286049113329982E-2</v>
          </cell>
          <cell r="O40">
            <v>4.1645181504918673E-2</v>
          </cell>
          <cell r="P40">
            <v>4.1804540823159889E-2</v>
          </cell>
          <cell r="Q40">
            <v>4.5493982596371461E-2</v>
          </cell>
          <cell r="R40">
            <v>4.6499047774889148E-2</v>
          </cell>
          <cell r="S40">
            <v>4.1408562723330412E-2</v>
          </cell>
          <cell r="T40"/>
          <cell r="U40"/>
          <cell r="V40">
            <v>4.1278727211118436E-2</v>
          </cell>
          <cell r="W40">
            <v>3.9542615498000942E-2</v>
          </cell>
          <cell r="X40">
            <v>3.9111817026243854E-2</v>
          </cell>
          <cell r="Y40">
            <v>3.9329434890348534E-2</v>
          </cell>
          <cell r="Z40">
            <v>3.9583459817991093E-2</v>
          </cell>
          <cell r="AA40">
            <v>3.9600062410407005E-2</v>
          </cell>
          <cell r="AB40">
            <v>3.9702906116684644E-2</v>
          </cell>
          <cell r="AC40">
            <v>3.9984508973197171E-2</v>
          </cell>
          <cell r="AD40">
            <v>4.0228193633708005E-2</v>
          </cell>
          <cell r="AE40">
            <v>4.0853348450614169E-2</v>
          </cell>
          <cell r="AF40">
            <v>4.1408562723330412E-2</v>
          </cell>
        </row>
        <row r="41">
          <cell r="G41">
            <v>167798.38200000022</v>
          </cell>
          <cell r="H41">
            <v>137593.73800000083</v>
          </cell>
          <cell r="I41">
            <v>177354.18600000162</v>
          </cell>
          <cell r="J41">
            <v>222937.03000000119</v>
          </cell>
          <cell r="K41">
            <v>221871.49000000115</v>
          </cell>
          <cell r="L41">
            <v>258858.19600000232</v>
          </cell>
          <cell r="M41">
            <v>311237.93200000189</v>
          </cell>
          <cell r="N41">
            <v>356096.55399999581</v>
          </cell>
          <cell r="O41">
            <v>440085.42200000025</v>
          </cell>
          <cell r="P41">
            <v>499654.9980000034</v>
          </cell>
          <cell r="Q41">
            <v>532140.07799999975</v>
          </cell>
          <cell r="R41">
            <v>476842.33999999799</v>
          </cell>
          <cell r="S41">
            <v>3802470.3460000083</v>
          </cell>
          <cell r="T41"/>
          <cell r="U41"/>
          <cell r="V41">
            <v>305392.12000000104</v>
          </cell>
          <cell r="W41">
            <v>482746.30600000266</v>
          </cell>
          <cell r="X41">
            <v>705683.33600000385</v>
          </cell>
          <cell r="Y41">
            <v>927554.82600000501</v>
          </cell>
          <cell r="Z41">
            <v>1186413.0220000073</v>
          </cell>
          <cell r="AA41">
            <v>1497650.9540000092</v>
          </cell>
          <cell r="AB41">
            <v>1853747.508000005</v>
          </cell>
          <cell r="AC41">
            <v>2293832.9300000034</v>
          </cell>
          <cell r="AD41">
            <v>2793487.9280000106</v>
          </cell>
          <cell r="AE41">
            <v>3325628.0060000122</v>
          </cell>
          <cell r="AF41">
            <v>3802470.3460000083</v>
          </cell>
        </row>
        <row r="42">
          <cell r="G42">
            <v>2.189195165658649E-2</v>
          </cell>
          <cell r="H42">
            <v>2.046121486299363E-2</v>
          </cell>
          <cell r="I42">
            <v>2.1634855744788989E-2</v>
          </cell>
          <cell r="J42">
            <v>2.4048544209171956E-2</v>
          </cell>
          <cell r="K42">
            <v>2.7116705759604152E-2</v>
          </cell>
          <cell r="L42">
            <v>2.9521626243336433E-2</v>
          </cell>
          <cell r="M42">
            <v>3.1131161759201619E-2</v>
          </cell>
          <cell r="N42">
            <v>3.3107236149141885E-2</v>
          </cell>
          <cell r="O42">
            <v>3.6384525743181087E-2</v>
          </cell>
          <cell r="P42">
            <v>3.8404930634812172E-2</v>
          </cell>
          <cell r="Q42">
            <v>4.0174117337993864E-2</v>
          </cell>
          <cell r="R42">
            <v>3.9448856855003399E-2</v>
          </cell>
          <cell r="S42">
            <v>3.1687147099489645E-2</v>
          </cell>
          <cell r="T42"/>
          <cell r="U42"/>
          <cell r="V42">
            <v>2.122332662674203E-2</v>
          </cell>
          <cell r="W42">
            <v>2.1372684501271586E-2</v>
          </cell>
          <cell r="X42">
            <v>2.2151342873045269E-2</v>
          </cell>
          <cell r="Y42">
            <v>2.3166018856760586E-2</v>
          </cell>
          <cell r="Z42">
            <v>2.4307815412691784E-2</v>
          </cell>
          <cell r="AA42">
            <v>2.5467864963185496E-2</v>
          </cell>
          <cell r="AB42">
            <v>2.6649094600432952E-2</v>
          </cell>
          <cell r="AC42">
            <v>2.8091154354949889E-2</v>
          </cell>
          <cell r="AD42">
            <v>2.9508587486842382E-2</v>
          </cell>
          <cell r="AE42">
            <v>3.0817736647352101E-2</v>
          </cell>
          <cell r="AF42">
            <v>3.1687147099489645E-2</v>
          </cell>
        </row>
      </sheetData>
      <sheetData sheetId="1">
        <row r="5">
          <cell r="E5"/>
        </row>
      </sheetData>
      <sheetData sheetId="2">
        <row r="5">
          <cell r="E5"/>
        </row>
      </sheetData>
      <sheetData sheetId="3"/>
      <sheetData sheetId="4"/>
      <sheetData sheetId="5">
        <row r="4">
          <cell r="E4" t="str">
            <v>계정</v>
          </cell>
        </row>
      </sheetData>
      <sheetData sheetId="6"/>
      <sheetData sheetId="7"/>
      <sheetData sheetId="8"/>
      <sheetData sheetId="9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월별"/>
      <sheetName val="1월"/>
      <sheetName val="2월"/>
      <sheetName val="3월"/>
      <sheetName val="4월"/>
      <sheetName val="5월"/>
      <sheetName val="6월"/>
      <sheetName val="7월"/>
      <sheetName val="8월"/>
      <sheetName val="9월"/>
      <sheetName val="10월"/>
      <sheetName val="11월"/>
      <sheetName val="12월"/>
    </sheetNames>
    <sheetDataSet>
      <sheetData sheetId="0" refreshError="1"/>
      <sheetData sheetId="1">
        <row r="8">
          <cell r="G8">
            <v>4969.8379999999997</v>
          </cell>
          <cell r="Q8">
            <v>4969.8379999999997</v>
          </cell>
        </row>
        <row r="9">
          <cell r="G9">
            <v>3959972.79</v>
          </cell>
          <cell r="J9">
            <v>1139913.9539999999</v>
          </cell>
          <cell r="Q9">
            <v>3959972.79</v>
          </cell>
          <cell r="T9">
            <v>1139913.9539999999</v>
          </cell>
        </row>
        <row r="10">
          <cell r="F10">
            <v>743250</v>
          </cell>
          <cell r="G10">
            <v>796801.18144696066</v>
          </cell>
        </row>
        <row r="11">
          <cell r="G11">
            <v>3878311.7489999998</v>
          </cell>
          <cell r="J11">
            <v>1093644.9170000004</v>
          </cell>
          <cell r="Q11">
            <v>3878311.7489999998</v>
          </cell>
          <cell r="T11">
            <v>1093644.9170000004</v>
          </cell>
        </row>
        <row r="15">
          <cell r="F15">
            <v>1.644803229061554E-2</v>
          </cell>
          <cell r="G15">
            <v>2.0621616695502647E-2</v>
          </cell>
        </row>
        <row r="19">
          <cell r="M19">
            <v>92161.065999999992</v>
          </cell>
          <cell r="W19">
            <v>92161.065999999992</v>
          </cell>
        </row>
        <row r="37">
          <cell r="M37">
            <v>36067.168000000005</v>
          </cell>
          <cell r="W37">
            <v>36067.168000000005</v>
          </cell>
        </row>
        <row r="40">
          <cell r="M40">
            <v>4738.5259999999998</v>
          </cell>
          <cell r="W40">
            <v>4738.5259999999998</v>
          </cell>
        </row>
        <row r="43">
          <cell r="M43">
            <v>33778.718999999997</v>
          </cell>
          <cell r="W43">
            <v>33778.718999999997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월별"/>
      <sheetName val="1월"/>
      <sheetName val="2월"/>
      <sheetName val="3월"/>
      <sheetName val="4월"/>
      <sheetName val="5월"/>
      <sheetName val="6월"/>
      <sheetName val="7월"/>
      <sheetName val="8월"/>
      <sheetName val="9월"/>
      <sheetName val="10월"/>
      <sheetName val="11월"/>
      <sheetName val="12월"/>
      <sheetName val="Sheet1"/>
    </sheetNames>
    <sheetDataSet>
      <sheetData sheetId="0"/>
      <sheetData sheetId="1">
        <row r="8">
          <cell r="G8">
            <v>8735.5020000000004</v>
          </cell>
          <cell r="Q8">
            <v>8735.5020000000004</v>
          </cell>
        </row>
        <row r="9">
          <cell r="G9">
            <v>6607708.5209999997</v>
          </cell>
          <cell r="J9">
            <v>872411.16300000064</v>
          </cell>
          <cell r="Q9">
            <v>6607708.5209999997</v>
          </cell>
          <cell r="T9">
            <v>872411.16300000064</v>
          </cell>
        </row>
        <row r="10">
          <cell r="G10">
            <v>756420.01123690419</v>
          </cell>
        </row>
        <row r="11">
          <cell r="G11">
            <v>6490572.2549999999</v>
          </cell>
          <cell r="J11">
            <v>843636.93700000085</v>
          </cell>
          <cell r="Q11">
            <v>6490572.2549999999</v>
          </cell>
          <cell r="T11">
            <v>843636.93700000085</v>
          </cell>
        </row>
        <row r="15">
          <cell r="G15">
            <v>1.7727214453804725E-2</v>
          </cell>
        </row>
        <row r="19">
          <cell r="M19">
            <v>95383.024999999994</v>
          </cell>
          <cell r="W19">
            <v>95383.024999999994</v>
          </cell>
        </row>
        <row r="37">
          <cell r="M37">
            <v>43035.871999999996</v>
          </cell>
          <cell r="W37">
            <v>43035.871999999996</v>
          </cell>
        </row>
        <row r="40">
          <cell r="M40">
            <v>5794.3459999999995</v>
          </cell>
          <cell r="W40">
            <v>5794.3459999999995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</sheetDataSet>
  </externalBook>
</externalLink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tabColor theme="0"/>
  </sheetPr>
  <dimension ref="A6:M25"/>
  <sheetViews>
    <sheetView showGridLines="0" view="pageBreakPreview" zoomScale="85" zoomScaleNormal="100" zoomScaleSheetLayoutView="85" workbookViewId="0">
      <selection activeCell="A6" sqref="A6:M14"/>
    </sheetView>
  </sheetViews>
  <sheetFormatPr defaultRowHeight="16.5" x14ac:dyDescent="0.3"/>
  <cols>
    <col min="13" max="13" width="15.75" customWidth="1"/>
  </cols>
  <sheetData>
    <row r="6" spans="1:13" x14ac:dyDescent="0.3">
      <c r="A6" s="613" t="s">
        <v>168</v>
      </c>
      <c r="B6" s="614"/>
      <c r="C6" s="614"/>
      <c r="D6" s="614"/>
      <c r="E6" s="614"/>
      <c r="F6" s="614"/>
      <c r="G6" s="614"/>
      <c r="H6" s="614"/>
      <c r="I6" s="614"/>
      <c r="J6" s="614"/>
      <c r="K6" s="614"/>
      <c r="L6" s="614"/>
      <c r="M6" s="615"/>
    </row>
    <row r="7" spans="1:13" x14ac:dyDescent="0.3">
      <c r="A7" s="616"/>
      <c r="B7" s="617"/>
      <c r="C7" s="617"/>
      <c r="D7" s="617"/>
      <c r="E7" s="617"/>
      <c r="F7" s="617"/>
      <c r="G7" s="617"/>
      <c r="H7" s="617"/>
      <c r="I7" s="617"/>
      <c r="J7" s="617"/>
      <c r="K7" s="617"/>
      <c r="L7" s="617"/>
      <c r="M7" s="618"/>
    </row>
    <row r="8" spans="1:13" x14ac:dyDescent="0.3">
      <c r="A8" s="616"/>
      <c r="B8" s="617"/>
      <c r="C8" s="617"/>
      <c r="D8" s="617"/>
      <c r="E8" s="617"/>
      <c r="F8" s="617"/>
      <c r="G8" s="617"/>
      <c r="H8" s="617"/>
      <c r="I8" s="617"/>
      <c r="J8" s="617"/>
      <c r="K8" s="617"/>
      <c r="L8" s="617"/>
      <c r="M8" s="618"/>
    </row>
    <row r="9" spans="1:13" x14ac:dyDescent="0.3">
      <c r="A9" s="616"/>
      <c r="B9" s="617"/>
      <c r="C9" s="617"/>
      <c r="D9" s="617"/>
      <c r="E9" s="617"/>
      <c r="F9" s="617"/>
      <c r="G9" s="617"/>
      <c r="H9" s="617"/>
      <c r="I9" s="617"/>
      <c r="J9" s="617"/>
      <c r="K9" s="617"/>
      <c r="L9" s="617"/>
      <c r="M9" s="618"/>
    </row>
    <row r="10" spans="1:13" x14ac:dyDescent="0.3">
      <c r="A10" s="616"/>
      <c r="B10" s="617"/>
      <c r="C10" s="617"/>
      <c r="D10" s="617"/>
      <c r="E10" s="617"/>
      <c r="F10" s="617"/>
      <c r="G10" s="617"/>
      <c r="H10" s="617"/>
      <c r="I10" s="617"/>
      <c r="J10" s="617"/>
      <c r="K10" s="617"/>
      <c r="L10" s="617"/>
      <c r="M10" s="618"/>
    </row>
    <row r="11" spans="1:13" x14ac:dyDescent="0.3">
      <c r="A11" s="616"/>
      <c r="B11" s="617"/>
      <c r="C11" s="617"/>
      <c r="D11" s="617"/>
      <c r="E11" s="617"/>
      <c r="F11" s="617"/>
      <c r="G11" s="617"/>
      <c r="H11" s="617"/>
      <c r="I11" s="617"/>
      <c r="J11" s="617"/>
      <c r="K11" s="617"/>
      <c r="L11" s="617"/>
      <c r="M11" s="618"/>
    </row>
    <row r="12" spans="1:13" x14ac:dyDescent="0.3">
      <c r="A12" s="616"/>
      <c r="B12" s="617"/>
      <c r="C12" s="617"/>
      <c r="D12" s="617"/>
      <c r="E12" s="617"/>
      <c r="F12" s="617"/>
      <c r="G12" s="617"/>
      <c r="H12" s="617"/>
      <c r="I12" s="617"/>
      <c r="J12" s="617"/>
      <c r="K12" s="617"/>
      <c r="L12" s="617"/>
      <c r="M12" s="618"/>
    </row>
    <row r="13" spans="1:13" x14ac:dyDescent="0.3">
      <c r="A13" s="616"/>
      <c r="B13" s="617"/>
      <c r="C13" s="617"/>
      <c r="D13" s="617"/>
      <c r="E13" s="617"/>
      <c r="F13" s="617"/>
      <c r="G13" s="617"/>
      <c r="H13" s="617"/>
      <c r="I13" s="617"/>
      <c r="J13" s="617"/>
      <c r="K13" s="617"/>
      <c r="L13" s="617"/>
      <c r="M13" s="618"/>
    </row>
    <row r="14" spans="1:13" x14ac:dyDescent="0.3">
      <c r="A14" s="619"/>
      <c r="B14" s="620"/>
      <c r="C14" s="620"/>
      <c r="D14" s="620"/>
      <c r="E14" s="620"/>
      <c r="F14" s="620"/>
      <c r="G14" s="620"/>
      <c r="H14" s="620"/>
      <c r="I14" s="620"/>
      <c r="J14" s="620"/>
      <c r="K14" s="620"/>
      <c r="L14" s="620"/>
      <c r="M14" s="621"/>
    </row>
    <row r="24" spans="1:13" x14ac:dyDescent="0.3">
      <c r="A24" s="622" t="s">
        <v>169</v>
      </c>
      <c r="B24" s="622"/>
      <c r="C24" s="622"/>
      <c r="D24" s="622"/>
      <c r="E24" s="622"/>
      <c r="F24" s="622"/>
      <c r="G24" s="622"/>
      <c r="H24" s="622"/>
      <c r="I24" s="622"/>
      <c r="J24" s="622"/>
      <c r="K24" s="622"/>
      <c r="L24" s="622"/>
      <c r="M24" s="622"/>
    </row>
    <row r="25" spans="1:13" x14ac:dyDescent="0.3">
      <c r="A25" s="622"/>
      <c r="B25" s="622"/>
      <c r="C25" s="622"/>
      <c r="D25" s="622"/>
      <c r="E25" s="622"/>
      <c r="F25" s="622"/>
      <c r="G25" s="622"/>
      <c r="H25" s="622"/>
      <c r="I25" s="622"/>
      <c r="J25" s="622"/>
      <c r="K25" s="622"/>
      <c r="L25" s="622"/>
      <c r="M25" s="622"/>
    </row>
  </sheetData>
  <mergeCells count="2">
    <mergeCell ref="A6:M14"/>
    <mergeCell ref="A24:M25"/>
  </mergeCells>
  <phoneticPr fontId="1" type="noConversion"/>
  <pageMargins left="0.7" right="0.48" top="0.75" bottom="0.75" header="0.3" footer="0.3"/>
  <pageSetup paperSize="9" scale="99" orientation="landscape" r:id="rId1"/>
  <headerFooter>
    <oddFooter>2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tabColor theme="1" tint="0.34998626667073579"/>
    <pageSetUpPr fitToPage="1"/>
  </sheetPr>
  <dimension ref="A1:AE42"/>
  <sheetViews>
    <sheetView showGridLines="0" zoomScale="70" zoomScaleNormal="70" zoomScaleSheetLayoutView="70" workbookViewId="0">
      <selection activeCell="A6" sqref="A5:M14"/>
    </sheetView>
  </sheetViews>
  <sheetFormatPr defaultRowHeight="16.5" x14ac:dyDescent="0.3"/>
  <cols>
    <col min="3" max="3" width="9.875" customWidth="1"/>
    <col min="4" max="4" width="11" bestFit="1" customWidth="1"/>
    <col min="5" max="14" width="10.625" customWidth="1"/>
    <col min="15" max="16" width="1.625" customWidth="1"/>
    <col min="19" max="19" width="11.5" bestFit="1" customWidth="1"/>
    <col min="20" max="20" width="12.125" bestFit="1" customWidth="1"/>
    <col min="21" max="21" width="10.5" bestFit="1" customWidth="1"/>
    <col min="22" max="22" width="11.375" bestFit="1" customWidth="1"/>
    <col min="23" max="23" width="10.5" bestFit="1" customWidth="1"/>
    <col min="24" max="24" width="1.625" customWidth="1"/>
    <col min="26" max="27" width="9.125" customWidth="1"/>
    <col min="28" max="28" width="11.375" bestFit="1" customWidth="1"/>
    <col min="29" max="37" width="9.125" customWidth="1"/>
  </cols>
  <sheetData>
    <row r="1" spans="1:29" ht="20.100000000000001" customHeight="1" x14ac:dyDescent="0.3"/>
    <row r="2" spans="1:29" ht="20.100000000000001" customHeight="1" x14ac:dyDescent="0.3"/>
    <row r="3" spans="1:29" ht="20.100000000000001" customHeight="1" x14ac:dyDescent="0.3">
      <c r="C3" s="2" t="s">
        <v>170</v>
      </c>
    </row>
    <row r="4" spans="1:29" ht="20.100000000000001" customHeight="1" x14ac:dyDescent="0.3">
      <c r="H4" s="213"/>
      <c r="X4" s="3" t="s">
        <v>99</v>
      </c>
    </row>
    <row r="5" spans="1:29" ht="27" customHeight="1" thickBot="1" x14ac:dyDescent="0.35">
      <c r="C5" s="625" t="s">
        <v>61</v>
      </c>
      <c r="D5" s="626"/>
      <c r="E5" s="528" t="s">
        <v>171</v>
      </c>
      <c r="F5" s="529"/>
      <c r="G5" s="529"/>
      <c r="H5" s="529"/>
      <c r="I5" s="530"/>
      <c r="J5" s="529" t="s">
        <v>172</v>
      </c>
      <c r="K5" s="529"/>
      <c r="L5" s="529"/>
      <c r="M5" s="529"/>
      <c r="N5" s="530"/>
      <c r="O5" s="115"/>
      <c r="P5" s="625" t="s">
        <v>173</v>
      </c>
      <c r="Q5" s="626"/>
      <c r="R5" s="626"/>
      <c r="S5" s="626"/>
      <c r="T5" s="626"/>
      <c r="U5" s="626"/>
      <c r="V5" s="626"/>
      <c r="W5" s="626"/>
      <c r="X5" s="629"/>
    </row>
    <row r="6" spans="1:29" ht="27" customHeight="1" thickTop="1" x14ac:dyDescent="0.3">
      <c r="C6" s="627"/>
      <c r="D6" s="628"/>
      <c r="E6" s="531" t="s">
        <v>62</v>
      </c>
      <c r="F6" s="532" t="s">
        <v>63</v>
      </c>
      <c r="G6" s="533" t="s">
        <v>64</v>
      </c>
      <c r="H6" s="534" t="s">
        <v>65</v>
      </c>
      <c r="I6" s="535" t="s">
        <v>66</v>
      </c>
      <c r="J6" s="531" t="s">
        <v>62</v>
      </c>
      <c r="K6" s="532" t="s">
        <v>63</v>
      </c>
      <c r="L6" s="533" t="s">
        <v>64</v>
      </c>
      <c r="M6" s="534" t="s">
        <v>65</v>
      </c>
      <c r="N6" s="535" t="s">
        <v>66</v>
      </c>
      <c r="O6" s="115"/>
      <c r="P6" s="627"/>
      <c r="Q6" s="628"/>
      <c r="R6" s="628"/>
      <c r="S6" s="628"/>
      <c r="T6" s="628"/>
      <c r="U6" s="628"/>
      <c r="V6" s="628"/>
      <c r="W6" s="628"/>
      <c r="X6" s="630"/>
    </row>
    <row r="7" spans="1:29" ht="21.75" customHeight="1" x14ac:dyDescent="0.3">
      <c r="A7" s="213"/>
      <c r="B7" s="213"/>
      <c r="C7" s="84" t="s">
        <v>0</v>
      </c>
      <c r="D7" s="85" t="s">
        <v>40</v>
      </c>
      <c r="E7" s="293">
        <f>+'[1]1월'!$Z$7/1000</f>
        <v>189</v>
      </c>
      <c r="F7" s="294">
        <f>+'[2]1월'!$Z$7/1000</f>
        <v>176.12049999999999</v>
      </c>
      <c r="G7" s="269">
        <f t="shared" ref="G7:G30" si="0">+F7-E7</f>
        <v>-12.879500000000007</v>
      </c>
      <c r="H7" s="270">
        <f>+'[3]1월'!$Z$7/1000</f>
        <v>177.87950000000001</v>
      </c>
      <c r="I7" s="271">
        <f t="shared" ref="I7:I30" si="1">+F7-H7</f>
        <v>-1.7590000000000146</v>
      </c>
      <c r="J7" s="293">
        <f>+'[1]1월'!$Z$7/1000</f>
        <v>189</v>
      </c>
      <c r="K7" s="294">
        <f>+'[2]1월'!$Z$7/1000</f>
        <v>176.12049999999999</v>
      </c>
      <c r="L7" s="269">
        <f t="shared" ref="L7" si="2">+K7-J7</f>
        <v>-12.879500000000007</v>
      </c>
      <c r="M7" s="270">
        <f>+'[3]1월'!$Z$7/1000</f>
        <v>177.87950000000001</v>
      </c>
      <c r="N7" s="271">
        <f t="shared" ref="N7" si="3">+K7-M7</f>
        <v>-1.7590000000000146</v>
      </c>
      <c r="O7" s="83"/>
      <c r="P7" s="521"/>
      <c r="Q7" s="522" t="s">
        <v>83</v>
      </c>
      <c r="R7" s="522"/>
      <c r="S7" s="523"/>
      <c r="T7" s="523"/>
      <c r="U7" s="523"/>
      <c r="V7" s="523"/>
      <c r="W7" s="523"/>
      <c r="X7" s="524"/>
      <c r="Y7" s="213"/>
    </row>
    <row r="8" spans="1:29" ht="21.75" customHeight="1" x14ac:dyDescent="0.3">
      <c r="B8" s="213"/>
      <c r="C8" s="84"/>
      <c r="D8" s="88" t="s">
        <v>1</v>
      </c>
      <c r="E8" s="295">
        <f>+'[1]1월'!$AE$7/1000</f>
        <v>74.758126946386938</v>
      </c>
      <c r="F8" s="296">
        <f>+'[2]1월'!$AN$7/1000</f>
        <v>55.493000000000002</v>
      </c>
      <c r="G8" s="272">
        <f t="shared" si="0"/>
        <v>-19.265126946386935</v>
      </c>
      <c r="H8" s="273">
        <f>+'[3]1월'!$AN$7/1000</f>
        <v>48.252000000000002</v>
      </c>
      <c r="I8" s="274">
        <f t="shared" si="1"/>
        <v>7.2409999999999997</v>
      </c>
      <c r="J8" s="295">
        <f>+'[1]1월'!$AE$7/1000</f>
        <v>74.758126946386938</v>
      </c>
      <c r="K8" s="296">
        <f>+'[2]1월'!$AN$7/1000</f>
        <v>55.493000000000002</v>
      </c>
      <c r="L8" s="272">
        <f t="shared" ref="L8:L30" si="4">+K8-J8</f>
        <v>-19.265126946386935</v>
      </c>
      <c r="M8" s="273">
        <f>+'[3]1월'!$AN$7/1000</f>
        <v>48.252000000000002</v>
      </c>
      <c r="N8" s="274">
        <f t="shared" ref="N8:N30" si="5">+K8-M8</f>
        <v>7.2409999999999997</v>
      </c>
      <c r="O8" s="83"/>
      <c r="P8" s="86"/>
      <c r="Q8" s="198" t="s">
        <v>55</v>
      </c>
      <c r="R8" s="199"/>
      <c r="S8" s="200" t="s">
        <v>12</v>
      </c>
      <c r="T8" s="201" t="s">
        <v>67</v>
      </c>
      <c r="U8" s="202" t="s">
        <v>56</v>
      </c>
      <c r="V8" s="201" t="s">
        <v>39</v>
      </c>
      <c r="W8" s="203" t="s">
        <v>57</v>
      </c>
      <c r="X8" s="87"/>
      <c r="Y8" s="213"/>
    </row>
    <row r="9" spans="1:29" ht="21.75" customHeight="1" x14ac:dyDescent="0.3">
      <c r="B9" s="213"/>
      <c r="C9" s="91" t="s">
        <v>2</v>
      </c>
      <c r="D9" s="92" t="s">
        <v>40</v>
      </c>
      <c r="E9" s="297">
        <f>+'[1]1월'!$Z$8/1000</f>
        <v>19072.61202981478</v>
      </c>
      <c r="F9" s="298">
        <f>+'[2]1월'!$Z$8/1000</f>
        <v>18745.854938000004</v>
      </c>
      <c r="G9" s="299">
        <f t="shared" si="0"/>
        <v>-326.75709181477578</v>
      </c>
      <c r="H9" s="300">
        <f>+'[3]1월'!$Z$8/1000</f>
        <v>17974.392072000002</v>
      </c>
      <c r="I9" s="301">
        <f t="shared" si="1"/>
        <v>771.46286600000167</v>
      </c>
      <c r="J9" s="297">
        <f>+'[1]1월'!$Z$8/1000</f>
        <v>19072.61202981478</v>
      </c>
      <c r="K9" s="298">
        <f>+'[2]1월'!$Z$8/1000</f>
        <v>18745.854938000004</v>
      </c>
      <c r="L9" s="299">
        <f t="shared" si="4"/>
        <v>-326.75709181477578</v>
      </c>
      <c r="M9" s="300">
        <f>+'[3]1월'!$Z$8/1000</f>
        <v>17974.392072000002</v>
      </c>
      <c r="N9" s="301">
        <f t="shared" si="5"/>
        <v>771.46286600000167</v>
      </c>
      <c r="O9" s="83"/>
      <c r="P9" s="86"/>
      <c r="Q9" s="89" t="s">
        <v>51</v>
      </c>
      <c r="R9" s="163" t="s">
        <v>16</v>
      </c>
      <c r="S9" s="176">
        <f>+[4]수도권!$T$5/1000</f>
        <v>72</v>
      </c>
      <c r="T9" s="90">
        <f>+[4]수도권!$U$5/1000</f>
        <v>66.816999999999993</v>
      </c>
      <c r="U9" s="269">
        <f>+T9-S9</f>
        <v>-5.1830000000000069</v>
      </c>
      <c r="V9" s="270">
        <f>+[5]수도권!$T$5/1000</f>
        <v>56.9285</v>
      </c>
      <c r="W9" s="271">
        <f>+T9-V9</f>
        <v>9.8884999999999934</v>
      </c>
      <c r="X9" s="87"/>
      <c r="Y9" s="213"/>
    </row>
    <row r="10" spans="1:29" ht="21.75" customHeight="1" x14ac:dyDescent="0.3">
      <c r="B10" s="213"/>
      <c r="C10" s="84"/>
      <c r="D10" s="88" t="s">
        <v>1</v>
      </c>
      <c r="E10" s="295">
        <f>+'[1]1월'!$AE$8/1000</f>
        <v>1407.6886000699303</v>
      </c>
      <c r="F10" s="296">
        <f>+'[2]1월'!$AN$8/1000</f>
        <v>1129.7403999999999</v>
      </c>
      <c r="G10" s="272">
        <f t="shared" si="0"/>
        <v>-277.94820006993041</v>
      </c>
      <c r="H10" s="273">
        <f>+'[3]1월'!$AN$8/1000</f>
        <v>1051.748</v>
      </c>
      <c r="I10" s="274">
        <f t="shared" si="1"/>
        <v>77.992399999999861</v>
      </c>
      <c r="J10" s="295">
        <f>+'[1]1월'!$AE$8/1000</f>
        <v>1407.6886000699303</v>
      </c>
      <c r="K10" s="296">
        <f>+'[2]1월'!$AN$8/1000</f>
        <v>1129.7403999999999</v>
      </c>
      <c r="L10" s="272">
        <f t="shared" si="4"/>
        <v>-277.94820006993041</v>
      </c>
      <c r="M10" s="273">
        <f>+'[3]1월'!$AN$8/1000</f>
        <v>1051.748</v>
      </c>
      <c r="N10" s="274">
        <f t="shared" si="5"/>
        <v>77.992399999999861</v>
      </c>
      <c r="O10" s="83"/>
      <c r="P10" s="86"/>
      <c r="Q10" s="93"/>
      <c r="R10" s="164" t="s">
        <v>17</v>
      </c>
      <c r="S10" s="177">
        <f>+[4]영남권!$T$5/1000</f>
        <v>90.5</v>
      </c>
      <c r="T10" s="94">
        <f>+[4]영남권!$U$5/1000</f>
        <v>78.610500000000002</v>
      </c>
      <c r="U10" s="272">
        <f t="shared" ref="U10:U20" si="6">+T10-S10</f>
        <v>-11.889499999999998</v>
      </c>
      <c r="V10" s="273">
        <f>+[5]영남권!$T$5/1000</f>
        <v>81.123000000000005</v>
      </c>
      <c r="W10" s="274">
        <f t="shared" ref="W10:W20" si="7">+T10-V10</f>
        <v>-2.5125000000000028</v>
      </c>
      <c r="X10" s="87"/>
      <c r="Y10" s="213"/>
    </row>
    <row r="11" spans="1:29" ht="21.75" customHeight="1" x14ac:dyDescent="0.3">
      <c r="B11" s="213"/>
      <c r="C11" s="84"/>
      <c r="D11" s="98" t="s">
        <v>4</v>
      </c>
      <c r="E11" s="302">
        <f>+'[1]1월'!$E$8/1000-E9-E33-E10</f>
        <v>118.83333333333144</v>
      </c>
      <c r="F11" s="303">
        <f>+('[2]1월'!$BJ$8+'[2]1월'!$BA$8+'[2]1월'!$AP$8+'[2]1월'!$AH$8)/1000</f>
        <v>52.334877999999996</v>
      </c>
      <c r="G11" s="275">
        <f t="shared" si="0"/>
        <v>-66.498455333331435</v>
      </c>
      <c r="H11" s="276">
        <f>+'[3]1월'!$F$8/1000-H9-H33-H10</f>
        <v>167.25259899999992</v>
      </c>
      <c r="I11" s="277">
        <f t="shared" si="1"/>
        <v>-114.91772099999991</v>
      </c>
      <c r="J11" s="302">
        <f>+'[1]1월'!$E$8/1000-J9-J33-J10</f>
        <v>118.83333333333144</v>
      </c>
      <c r="K11" s="303">
        <f>+('[2]1월'!$BJ$8+'[2]1월'!$BA$8+'[2]1월'!$AP$8+'[2]1월'!$AH$8)/1000</f>
        <v>52.334877999999996</v>
      </c>
      <c r="L11" s="275">
        <f t="shared" si="4"/>
        <v>-66.498455333331435</v>
      </c>
      <c r="M11" s="276">
        <f>+'[3]1월'!$F$8/1000-M9-M33-M10</f>
        <v>167.25259899999992</v>
      </c>
      <c r="N11" s="277">
        <f t="shared" si="5"/>
        <v>-114.91772099999991</v>
      </c>
      <c r="O11" s="83"/>
      <c r="P11" s="86"/>
      <c r="Q11" s="93"/>
      <c r="R11" s="165" t="s">
        <v>104</v>
      </c>
      <c r="S11" s="178">
        <f>+[4]중부권!$T$5/1000</f>
        <v>26.5</v>
      </c>
      <c r="T11" s="95">
        <f>+[4]중부권!$U$5/1000</f>
        <v>30.693000000000001</v>
      </c>
      <c r="U11" s="275">
        <f t="shared" si="6"/>
        <v>4.1930000000000014</v>
      </c>
      <c r="V11" s="276">
        <f>+[5]중부권!$T$5/1000</f>
        <v>39.828000000000003</v>
      </c>
      <c r="W11" s="277">
        <f t="shared" si="7"/>
        <v>-9.1350000000000016</v>
      </c>
      <c r="X11" s="87"/>
      <c r="Y11" s="213"/>
    </row>
    <row r="12" spans="1:29" ht="21.75" customHeight="1" x14ac:dyDescent="0.3">
      <c r="B12" s="213"/>
      <c r="C12" s="99" t="s">
        <v>8</v>
      </c>
      <c r="D12" s="100"/>
      <c r="E12" s="302">
        <f>SUM(E9:E11)</f>
        <v>20599.133963218042</v>
      </c>
      <c r="F12" s="303">
        <f>SUM(F9:F11)</f>
        <v>19927.930216000004</v>
      </c>
      <c r="G12" s="275">
        <f t="shared" si="0"/>
        <v>-671.20374721803819</v>
      </c>
      <c r="H12" s="276">
        <f>SUM(H9:H11)</f>
        <v>19193.392671000001</v>
      </c>
      <c r="I12" s="277">
        <f t="shared" si="1"/>
        <v>734.53754500000286</v>
      </c>
      <c r="J12" s="302">
        <f>SUM(J9:J11)</f>
        <v>20599.133963218042</v>
      </c>
      <c r="K12" s="303">
        <f>SUM(K9:K11)</f>
        <v>19927.930216000004</v>
      </c>
      <c r="L12" s="275">
        <f t="shared" si="4"/>
        <v>-671.20374721803819</v>
      </c>
      <c r="M12" s="276">
        <f>SUM(M9:M11)</f>
        <v>19193.392671000001</v>
      </c>
      <c r="N12" s="277">
        <f t="shared" si="5"/>
        <v>734.53754500000286</v>
      </c>
      <c r="O12" s="83"/>
      <c r="P12" s="86"/>
      <c r="Q12" s="96" t="s">
        <v>58</v>
      </c>
      <c r="R12" s="166"/>
      <c r="S12" s="179">
        <f>SUM(S9:S11)</f>
        <v>189</v>
      </c>
      <c r="T12" s="97">
        <f>SUM(T9:T11)</f>
        <v>176.12050000000002</v>
      </c>
      <c r="U12" s="278">
        <f t="shared" si="6"/>
        <v>-12.879499999999979</v>
      </c>
      <c r="V12" s="279">
        <f>SUM(V9:V11)</f>
        <v>177.87950000000001</v>
      </c>
      <c r="W12" s="280">
        <f t="shared" si="7"/>
        <v>-1.7589999999999861</v>
      </c>
      <c r="X12" s="87"/>
      <c r="AA12" s="462"/>
      <c r="AB12" s="462"/>
      <c r="AC12" s="213"/>
    </row>
    <row r="13" spans="1:29" ht="21.75" customHeight="1" x14ac:dyDescent="0.3">
      <c r="B13" s="213"/>
      <c r="C13" s="84" t="s">
        <v>5</v>
      </c>
      <c r="D13" s="92" t="s">
        <v>40</v>
      </c>
      <c r="E13" s="297">
        <f>+('[1]1월'!$Z$10+'[1]1월'!$Z$19)/1000</f>
        <v>18357.159676247549</v>
      </c>
      <c r="F13" s="298">
        <f>+('[2]1월'!$Z$10+'[2]1월'!$Z$19)/1000</f>
        <v>17847.351865999997</v>
      </c>
      <c r="G13" s="299">
        <f t="shared" si="0"/>
        <v>-509.80781024755197</v>
      </c>
      <c r="H13" s="300">
        <f>+('[3]1월'!$Z$10+'[3]1월'!$Z$19)/1000</f>
        <v>17240.725397000002</v>
      </c>
      <c r="I13" s="301">
        <f t="shared" si="1"/>
        <v>606.62646899999527</v>
      </c>
      <c r="J13" s="297">
        <f>+('[1]1월'!$Z$10+'[1]1월'!$Z$19)/1000</f>
        <v>18357.159676247549</v>
      </c>
      <c r="K13" s="298">
        <f>+('[2]1월'!$Z$10+'[2]1월'!$Z$19)/1000</f>
        <v>17847.351865999997</v>
      </c>
      <c r="L13" s="299">
        <f t="shared" si="4"/>
        <v>-509.80781024755197</v>
      </c>
      <c r="M13" s="300">
        <f>+('[3]1월'!$Z$10+'[3]1월'!$Z$19)/1000</f>
        <v>17240.725397000002</v>
      </c>
      <c r="N13" s="301">
        <f t="shared" si="5"/>
        <v>606.62646899999527</v>
      </c>
      <c r="O13" s="83"/>
      <c r="P13" s="86"/>
      <c r="Q13" s="89" t="s">
        <v>59</v>
      </c>
      <c r="R13" s="163" t="s">
        <v>16</v>
      </c>
      <c r="S13" s="176">
        <f>+[4]수도권!$T$61</f>
        <v>98950.865727146374</v>
      </c>
      <c r="T13" s="90">
        <f>+[4]수도권!$U$61</f>
        <v>104188.77459703996</v>
      </c>
      <c r="U13" s="269">
        <f t="shared" si="6"/>
        <v>5237.9088698935811</v>
      </c>
      <c r="V13" s="270">
        <f>+[5]수도권!$Q$85</f>
        <v>99000.138823260757</v>
      </c>
      <c r="W13" s="271">
        <f t="shared" si="7"/>
        <v>5188.6357737791986</v>
      </c>
      <c r="X13" s="87"/>
      <c r="AA13" s="462"/>
      <c r="AB13" s="462"/>
      <c r="AC13" s="213"/>
    </row>
    <row r="14" spans="1:29" ht="21.75" customHeight="1" x14ac:dyDescent="0.3">
      <c r="A14" s="213"/>
      <c r="B14" s="213"/>
      <c r="C14" s="84"/>
      <c r="D14" s="88" t="s">
        <v>1</v>
      </c>
      <c r="E14" s="295">
        <f>+('[1]1월'!$AE$10+'[1]1월'!$AE$19)/1000</f>
        <v>1446.0693317106361</v>
      </c>
      <c r="F14" s="296">
        <f>+('[2]1월'!$AN$10+'[2]1월'!$AN$19)/1000</f>
        <v>1253.2515000000001</v>
      </c>
      <c r="G14" s="272">
        <f t="shared" si="0"/>
        <v>-192.81783171063603</v>
      </c>
      <c r="H14" s="273">
        <f>+('[3]1월'!$AN$10+'[3]1월'!$AN$19)/1000</f>
        <v>1282.26554201</v>
      </c>
      <c r="I14" s="274">
        <f t="shared" si="1"/>
        <v>-29.014042009999912</v>
      </c>
      <c r="J14" s="295">
        <f>+('[1]1월'!$AE$10+'[1]1월'!$AE$19)/1000</f>
        <v>1446.0693317106361</v>
      </c>
      <c r="K14" s="296">
        <f>+('[2]1월'!$AN$10+'[2]1월'!$AN$19)/1000</f>
        <v>1253.2515000000001</v>
      </c>
      <c r="L14" s="272">
        <f t="shared" si="4"/>
        <v>-192.81783171063603</v>
      </c>
      <c r="M14" s="273">
        <f>+('[3]1월'!$AN$10+'[3]1월'!$AN$19)/1000</f>
        <v>1282.26554201</v>
      </c>
      <c r="N14" s="274">
        <f t="shared" si="5"/>
        <v>-29.014042009999912</v>
      </c>
      <c r="O14" s="83"/>
      <c r="P14" s="86"/>
      <c r="Q14" s="93"/>
      <c r="R14" s="164" t="s">
        <v>17</v>
      </c>
      <c r="S14" s="177">
        <f>+[4]영남권!$T$61</f>
        <v>100438.34086647777</v>
      </c>
      <c r="T14" s="94">
        <f>+[4]영남권!$U$61</f>
        <v>107645.51524287467</v>
      </c>
      <c r="U14" s="272">
        <f t="shared" si="6"/>
        <v>7207.1743763968989</v>
      </c>
      <c r="V14" s="273">
        <f>+[5]영남권!$Q$85</f>
        <v>100960.81481298667</v>
      </c>
      <c r="W14" s="274">
        <f t="shared" si="7"/>
        <v>6684.700429887991</v>
      </c>
      <c r="X14" s="87"/>
      <c r="Y14" s="213"/>
      <c r="AB14" s="462"/>
      <c r="AC14" s="213"/>
    </row>
    <row r="15" spans="1:29" ht="21.75" customHeight="1" x14ac:dyDescent="0.3">
      <c r="C15" s="84"/>
      <c r="D15" s="98" t="s">
        <v>4</v>
      </c>
      <c r="E15" s="302">
        <f>+('[1]1월'!$AL$10+'[1]1월'!$AL$19+'[1]1월'!$AV$10+'[1]1월'!$AV$19)/1000</f>
        <v>19.286963</v>
      </c>
      <c r="F15" s="303">
        <f>+('[2]1월'!$AH$10+'[2]1월'!$AH$19+'[2]1월'!$AP$10+'[2]1월'!$AP$19+'[2]1월'!$BA$10+'[2]1월'!$BA$19+'[2]1월'!$BJ$10+'[2]1월'!$BJ$19)/1000</f>
        <v>19.263580999999999</v>
      </c>
      <c r="G15" s="275">
        <f t="shared" si="0"/>
        <v>-2.3382000000001568E-2</v>
      </c>
      <c r="H15" s="276">
        <f>+('[3]1월'!$F$10+'[3]1월'!$F$19)/1000-H13-H14-('[3]1월'!$AO$10+'[3]1월'!$AO$19)/1000</f>
        <v>331.19035700000222</v>
      </c>
      <c r="I15" s="277">
        <f t="shared" si="1"/>
        <v>-311.92677600000223</v>
      </c>
      <c r="J15" s="302">
        <f>+('[1]1월'!$AL$10+'[1]1월'!$AL$19+'[1]1월'!$AV$10+'[1]1월'!$AV$19)/1000</f>
        <v>19.286963</v>
      </c>
      <c r="K15" s="303">
        <f>+('[2]1월'!$AH$10+'[2]1월'!$AH$19+'[2]1월'!$AP$10+'[2]1월'!$AP$19+'[2]1월'!$BA$10+'[2]1월'!$BA$19+'[2]1월'!$BJ$10+'[2]1월'!$BJ$19)/1000</f>
        <v>19.263580999999999</v>
      </c>
      <c r="L15" s="275">
        <f t="shared" si="4"/>
        <v>-2.3382000000001568E-2</v>
      </c>
      <c r="M15" s="276">
        <f>+('[3]1월'!$F$10+'[3]1월'!$F$19)/1000-M13-M14-('[3]1월'!$AO$10+'[3]1월'!$AO$19)/1000</f>
        <v>331.19035700000222</v>
      </c>
      <c r="N15" s="277">
        <f t="shared" si="5"/>
        <v>-311.92677600000223</v>
      </c>
      <c r="O15" s="83"/>
      <c r="P15" s="86"/>
      <c r="Q15" s="93"/>
      <c r="R15" s="165" t="s">
        <v>103</v>
      </c>
      <c r="S15" s="178">
        <f>+[4]중부권!$T$61</f>
        <v>107867.16411486792</v>
      </c>
      <c r="T15" s="95">
        <f>+[4]중부권!$U$61</f>
        <v>108148.78762062354</v>
      </c>
      <c r="U15" s="275">
        <f t="shared" si="6"/>
        <v>281.62350575561868</v>
      </c>
      <c r="V15" s="276">
        <f>+[5]중부권!$Q$85</f>
        <v>103685.34203595265</v>
      </c>
      <c r="W15" s="277">
        <f t="shared" si="7"/>
        <v>4463.4455846708879</v>
      </c>
      <c r="X15" s="87"/>
      <c r="AB15" s="462"/>
    </row>
    <row r="16" spans="1:29" ht="21.75" customHeight="1" x14ac:dyDescent="0.3">
      <c r="C16" s="84" t="s">
        <v>8</v>
      </c>
      <c r="D16" s="103"/>
      <c r="E16" s="295">
        <f>SUM(E13:E15)</f>
        <v>19822.515970958186</v>
      </c>
      <c r="F16" s="296">
        <f>SUM(F13:F15)</f>
        <v>19119.866946999995</v>
      </c>
      <c r="G16" s="272">
        <f t="shared" si="0"/>
        <v>-702.64902395819081</v>
      </c>
      <c r="H16" s="273">
        <f>SUM(H13:H15)</f>
        <v>18854.181296010003</v>
      </c>
      <c r="I16" s="274">
        <f t="shared" si="1"/>
        <v>265.6856509899917</v>
      </c>
      <c r="J16" s="295">
        <f>SUM(J13:J15)</f>
        <v>19822.515970958186</v>
      </c>
      <c r="K16" s="296">
        <f>SUM(K13:K15)</f>
        <v>19119.866946999995</v>
      </c>
      <c r="L16" s="272">
        <f t="shared" si="4"/>
        <v>-702.64902395819081</v>
      </c>
      <c r="M16" s="273">
        <f>SUM(M13:M15)</f>
        <v>18854.181296010003</v>
      </c>
      <c r="N16" s="274">
        <f t="shared" si="5"/>
        <v>265.6856509899917</v>
      </c>
      <c r="O16" s="83"/>
      <c r="P16" s="86"/>
      <c r="Q16" s="96" t="s">
        <v>58</v>
      </c>
      <c r="R16" s="166"/>
      <c r="S16" s="179">
        <f>+[4]합계!$T$61</f>
        <v>100913.29116304117</v>
      </c>
      <c r="T16" s="97">
        <f>+[4]합계!$U$61</f>
        <v>106420.85674162097</v>
      </c>
      <c r="U16" s="278">
        <f>+T16-S16</f>
        <v>5507.5655785798008</v>
      </c>
      <c r="V16" s="279">
        <f>+[5]합계!$Q$85</f>
        <v>100932.18102189782</v>
      </c>
      <c r="W16" s="280">
        <f>+T16-V16</f>
        <v>5488.6757197231491</v>
      </c>
      <c r="X16" s="87"/>
    </row>
    <row r="17" spans="2:27" ht="21.75" customHeight="1" x14ac:dyDescent="0.3">
      <c r="C17" s="91" t="s">
        <v>15</v>
      </c>
      <c r="D17" s="92" t="s">
        <v>40</v>
      </c>
      <c r="E17" s="297">
        <f t="shared" ref="E17:F19" si="8">+E9-E13</f>
        <v>715.4523535672306</v>
      </c>
      <c r="F17" s="298">
        <f t="shared" si="8"/>
        <v>898.5030720000068</v>
      </c>
      <c r="G17" s="299">
        <f t="shared" si="0"/>
        <v>183.05071843277619</v>
      </c>
      <c r="H17" s="300">
        <f>+H9-H13</f>
        <v>733.6666750000004</v>
      </c>
      <c r="I17" s="301">
        <f t="shared" si="1"/>
        <v>164.8363970000064</v>
      </c>
      <c r="J17" s="297">
        <f t="shared" ref="J17:K17" si="9">+J9-J13</f>
        <v>715.4523535672306</v>
      </c>
      <c r="K17" s="298">
        <f t="shared" si="9"/>
        <v>898.5030720000068</v>
      </c>
      <c r="L17" s="299">
        <f t="shared" si="4"/>
        <v>183.05071843277619</v>
      </c>
      <c r="M17" s="300">
        <f>+M9-M13</f>
        <v>733.6666750000004</v>
      </c>
      <c r="N17" s="301">
        <f t="shared" si="5"/>
        <v>164.8363970000064</v>
      </c>
      <c r="O17" s="83"/>
      <c r="P17" s="86"/>
      <c r="Q17" s="160" t="s">
        <v>60</v>
      </c>
      <c r="R17" s="167" t="s">
        <v>16</v>
      </c>
      <c r="S17" s="180">
        <f>+[4]수도권!$Q$90</f>
        <v>15450.459703216344</v>
      </c>
      <c r="T17" s="101">
        <f>+[4]수도권!$R$90</f>
        <v>14405.035943337643</v>
      </c>
      <c r="U17" s="281">
        <f t="shared" si="6"/>
        <v>-1045.4237598787004</v>
      </c>
      <c r="V17" s="282">
        <f>+[5]수도권!$Q$90</f>
        <v>13670.14661512668</v>
      </c>
      <c r="W17" s="283">
        <f t="shared" si="7"/>
        <v>734.88932821096387</v>
      </c>
      <c r="X17" s="87"/>
    </row>
    <row r="18" spans="2:27" ht="21.75" customHeight="1" x14ac:dyDescent="0.3">
      <c r="C18" s="84"/>
      <c r="D18" s="88" t="s">
        <v>1</v>
      </c>
      <c r="E18" s="295">
        <f t="shared" si="8"/>
        <v>-38.38073164070579</v>
      </c>
      <c r="F18" s="296">
        <f t="shared" si="8"/>
        <v>-123.51110000000017</v>
      </c>
      <c r="G18" s="272">
        <f t="shared" si="0"/>
        <v>-85.13036835929438</v>
      </c>
      <c r="H18" s="273">
        <f>+H10-H14</f>
        <v>-230.51754200999994</v>
      </c>
      <c r="I18" s="274">
        <f t="shared" si="1"/>
        <v>107.00644200999977</v>
      </c>
      <c r="J18" s="295">
        <f t="shared" ref="J18:K18" si="10">+J10-J14</f>
        <v>-38.38073164070579</v>
      </c>
      <c r="K18" s="296">
        <f t="shared" si="10"/>
        <v>-123.51110000000017</v>
      </c>
      <c r="L18" s="272">
        <f t="shared" si="4"/>
        <v>-85.13036835929438</v>
      </c>
      <c r="M18" s="273">
        <f>+M10-M14</f>
        <v>-230.51754200999994</v>
      </c>
      <c r="N18" s="274">
        <f t="shared" si="5"/>
        <v>107.00644200999977</v>
      </c>
      <c r="O18" s="83"/>
      <c r="P18" s="86"/>
      <c r="Q18" s="161"/>
      <c r="R18" s="168" t="s">
        <v>17</v>
      </c>
      <c r="S18" s="181">
        <f>+[4]영남권!$Q$90</f>
        <v>18625.144236950277</v>
      </c>
      <c r="T18" s="102">
        <f>+[4]영남권!$R$90</f>
        <v>21506.305637850572</v>
      </c>
      <c r="U18" s="284">
        <f t="shared" si="6"/>
        <v>2881.1614009002951</v>
      </c>
      <c r="V18" s="285">
        <f>+[5]영남권!$Q$90</f>
        <v>20157.905813537625</v>
      </c>
      <c r="W18" s="286">
        <f t="shared" si="7"/>
        <v>1348.3998243129463</v>
      </c>
      <c r="X18" s="87"/>
    </row>
    <row r="19" spans="2:27" ht="21.75" customHeight="1" x14ac:dyDescent="0.3">
      <c r="C19" s="84"/>
      <c r="D19" s="98" t="s">
        <v>4</v>
      </c>
      <c r="E19" s="302">
        <f t="shared" si="8"/>
        <v>99.546370333331438</v>
      </c>
      <c r="F19" s="303">
        <f t="shared" si="8"/>
        <v>33.071297000000001</v>
      </c>
      <c r="G19" s="275">
        <f t="shared" si="0"/>
        <v>-66.475073333331437</v>
      </c>
      <c r="H19" s="276">
        <f>+H11-H15</f>
        <v>-163.9377580000023</v>
      </c>
      <c r="I19" s="277">
        <f t="shared" si="1"/>
        <v>197.00905500000232</v>
      </c>
      <c r="J19" s="302">
        <f t="shared" ref="J19:K19" si="11">+J11-J15</f>
        <v>99.546370333331438</v>
      </c>
      <c r="K19" s="303">
        <f t="shared" si="11"/>
        <v>33.071297000000001</v>
      </c>
      <c r="L19" s="275">
        <f t="shared" si="4"/>
        <v>-66.475073333331437</v>
      </c>
      <c r="M19" s="276">
        <f>+M11-M15</f>
        <v>-163.9377580000023</v>
      </c>
      <c r="N19" s="277">
        <f t="shared" si="5"/>
        <v>197.00905500000232</v>
      </c>
      <c r="O19" s="83"/>
      <c r="P19" s="86"/>
      <c r="Q19" s="161"/>
      <c r="R19" s="169" t="s">
        <v>103</v>
      </c>
      <c r="S19" s="182">
        <f>+[4]중부권!$Q$90</f>
        <v>25419.14662654436</v>
      </c>
      <c r="T19" s="104">
        <f>+[4]중부권!$R$90</f>
        <v>21490.415890216536</v>
      </c>
      <c r="U19" s="287">
        <f t="shared" si="6"/>
        <v>-3928.7307363278233</v>
      </c>
      <c r="V19" s="288">
        <f>+[5]중부권!$Q$90</f>
        <v>20761.140584418055</v>
      </c>
      <c r="W19" s="289">
        <f t="shared" si="7"/>
        <v>729.27530579848099</v>
      </c>
      <c r="X19" s="87"/>
    </row>
    <row r="20" spans="2:27" ht="21.75" customHeight="1" x14ac:dyDescent="0.3">
      <c r="C20" s="99" t="s">
        <v>8</v>
      </c>
      <c r="D20" s="100"/>
      <c r="E20" s="302">
        <f>SUM(E17:E19)</f>
        <v>776.61799225985624</v>
      </c>
      <c r="F20" s="303">
        <f>SUM(F17:F19)</f>
        <v>808.06326900000658</v>
      </c>
      <c r="G20" s="275">
        <f t="shared" si="0"/>
        <v>31.445276740150348</v>
      </c>
      <c r="H20" s="276">
        <f>SUM(H17:H19)</f>
        <v>339.21137498999815</v>
      </c>
      <c r="I20" s="277">
        <f t="shared" si="1"/>
        <v>468.85189401000844</v>
      </c>
      <c r="J20" s="302">
        <f>SUM(J17:J19)</f>
        <v>776.61799225985624</v>
      </c>
      <c r="K20" s="303">
        <f>SUM(K17:K19)</f>
        <v>808.06326900000658</v>
      </c>
      <c r="L20" s="275">
        <f t="shared" si="4"/>
        <v>31.445276740150348</v>
      </c>
      <c r="M20" s="276">
        <f>SUM(M17:M19)</f>
        <v>339.21137498999815</v>
      </c>
      <c r="N20" s="277">
        <f t="shared" si="5"/>
        <v>468.85189401000844</v>
      </c>
      <c r="O20" s="83"/>
      <c r="P20" s="86"/>
      <c r="Q20" s="162" t="s">
        <v>58</v>
      </c>
      <c r="R20" s="170"/>
      <c r="S20" s="183">
        <f>+[4]합계!$Q$90</f>
        <v>18368.338823698447</v>
      </c>
      <c r="T20" s="105">
        <f>+[4]합계!$R$90</f>
        <v>18810.282298871301</v>
      </c>
      <c r="U20" s="290">
        <f t="shared" si="6"/>
        <v>441.94347517285496</v>
      </c>
      <c r="V20" s="291">
        <f>+[5]합계!$Q$90</f>
        <v>18230.838973264006</v>
      </c>
      <c r="W20" s="292">
        <f t="shared" si="7"/>
        <v>579.44332560729526</v>
      </c>
      <c r="X20" s="87"/>
    </row>
    <row r="21" spans="2:27" ht="21.75" customHeight="1" x14ac:dyDescent="0.3">
      <c r="C21" s="91" t="s">
        <v>6</v>
      </c>
      <c r="D21" s="92" t="s">
        <v>40</v>
      </c>
      <c r="E21" s="297">
        <f>+('[1]1월'!$Z$13+'[1]1월'!$Z$20+'[1]1월'!$Z$22)/1000</f>
        <v>2472.9234750864748</v>
      </c>
      <c r="F21" s="298">
        <f>+('[2]1월'!$Z$13+'[2]1월'!$Z$20+'[2]1월'!$Z$22)/1000</f>
        <v>1900.9497052609122</v>
      </c>
      <c r="G21" s="299">
        <f t="shared" si="0"/>
        <v>-571.97376982556261</v>
      </c>
      <c r="H21" s="300">
        <f>+('[3]1월'!$Z$13+'[3]1월'!$Z$20+'[3]1월'!$Z$22)/1000</f>
        <v>2347.7194191328549</v>
      </c>
      <c r="I21" s="301">
        <f t="shared" si="1"/>
        <v>-446.76971387194271</v>
      </c>
      <c r="J21" s="297">
        <f>+('[1]1월'!$Z$13+'[1]1월'!$Z$20+'[1]1월'!$Z$22)/1000</f>
        <v>2472.9234750864748</v>
      </c>
      <c r="K21" s="298">
        <f>+('[2]1월'!$Z$13+'[2]1월'!$Z$20+'[2]1월'!$Z$22)/1000</f>
        <v>1900.9497052609122</v>
      </c>
      <c r="L21" s="299">
        <f t="shared" si="4"/>
        <v>-571.97376982556261</v>
      </c>
      <c r="M21" s="300">
        <f>+('[3]1월'!$Z$13+'[3]1월'!$Z$20+'[3]1월'!$Z$22)/1000</f>
        <v>2347.7194191328549</v>
      </c>
      <c r="N21" s="301">
        <f t="shared" si="5"/>
        <v>-446.76971387194271</v>
      </c>
      <c r="O21" s="83"/>
      <c r="P21" s="86"/>
      <c r="Q21" s="134" t="s">
        <v>87</v>
      </c>
      <c r="R21" s="139"/>
      <c r="S21" s="67"/>
      <c r="T21" s="140"/>
      <c r="U21" s="67"/>
      <c r="V21" s="525"/>
      <c r="W21" s="525"/>
      <c r="X21" s="87"/>
    </row>
    <row r="22" spans="2:27" ht="21.75" customHeight="1" x14ac:dyDescent="0.3">
      <c r="C22" s="84"/>
      <c r="D22" s="88" t="s">
        <v>1</v>
      </c>
      <c r="E22" s="295">
        <f>+('[1]1월'!$AE$13+'[1]1월'!$AE$20+'[1]1월'!$AE$22)/1000</f>
        <v>50.115379780470207</v>
      </c>
      <c r="F22" s="296">
        <f>+('[2]1월'!$AN$13+'[2]1월'!$AN$20+'[2]1월'!$AN$22)/1000</f>
        <v>46.76561874101931</v>
      </c>
      <c r="G22" s="272">
        <f t="shared" si="0"/>
        <v>-3.3497610394508968</v>
      </c>
      <c r="H22" s="273">
        <f>+('[3]1월'!$AN$13+'[3]1월'!$AN$20+'[3]1월'!$AN$22)/1000</f>
        <v>49.569913952917098</v>
      </c>
      <c r="I22" s="274">
        <f t="shared" si="1"/>
        <v>-2.804295211897788</v>
      </c>
      <c r="J22" s="295">
        <f>+('[1]1월'!$AE$13+'[1]1월'!$AE$20+'[1]1월'!$AE$22)/1000</f>
        <v>50.115379780470207</v>
      </c>
      <c r="K22" s="296">
        <f>+('[2]1월'!$AN$13+'[2]1월'!$AN$20+'[2]1월'!$AN$22)/1000</f>
        <v>46.76561874101931</v>
      </c>
      <c r="L22" s="272">
        <f t="shared" si="4"/>
        <v>-3.3497610394508968</v>
      </c>
      <c r="M22" s="273">
        <f>+('[3]1월'!$AN$13+'[3]1월'!$AN$20+'[3]1월'!$AN$22)/1000</f>
        <v>49.569913952917098</v>
      </c>
      <c r="N22" s="274">
        <f t="shared" si="5"/>
        <v>-2.804295211897788</v>
      </c>
      <c r="O22" s="83"/>
      <c r="P22" s="86"/>
      <c r="Q22" s="515" t="s">
        <v>11</v>
      </c>
      <c r="R22" s="516"/>
      <c r="S22" s="517" t="s">
        <v>12</v>
      </c>
      <c r="T22" s="518" t="s">
        <v>13</v>
      </c>
      <c r="U22" s="519" t="s">
        <v>91</v>
      </c>
      <c r="V22" s="518" t="s">
        <v>14</v>
      </c>
      <c r="W22" s="520" t="s">
        <v>92</v>
      </c>
      <c r="X22" s="87"/>
    </row>
    <row r="23" spans="2:27" ht="21.75" customHeight="1" x14ac:dyDescent="0.3">
      <c r="C23" s="84"/>
      <c r="D23" s="98" t="s">
        <v>4</v>
      </c>
      <c r="E23" s="302">
        <f>+('[1]1월'!$AL$13+'[1]1월'!$AV$13+'[1]1월'!$AL$20+'[1]1월'!$AV$20+'[1]1월'!$AL$22+'[1]1월'!$AV$22)/1000</f>
        <v>61.885058999999991</v>
      </c>
      <c r="F23" s="303">
        <f>+('[2]1월'!$F$13+'[2]1월'!$F$20+'[2]1월'!$F$22)/1000-F21-F22-('[2]1월'!$AO$13+'[2]1월'!$AO$20+'[2]1월'!$AO$22)/1000</f>
        <v>63.174248999999918</v>
      </c>
      <c r="G23" s="275">
        <f t="shared" si="0"/>
        <v>1.2891899999999268</v>
      </c>
      <c r="H23" s="276">
        <f>+('[3]1월'!$F$13+'[3]1월'!$F$20+'[3]1월'!$F$22)/1000-H21-H22-('[3]1월'!$AO$13+'[3]1월'!$AO$20+'[3]1월'!$AO$22)/1000</f>
        <v>507.58096690999952</v>
      </c>
      <c r="I23" s="277">
        <f t="shared" si="1"/>
        <v>-444.4067179099996</v>
      </c>
      <c r="J23" s="302">
        <f>+('[1]1월'!$AL$13+'[1]1월'!$AV$13+'[1]1월'!$AL$20+'[1]1월'!$AV$20+'[1]1월'!$AL$22+'[1]1월'!$AV$22)/1000</f>
        <v>61.885058999999991</v>
      </c>
      <c r="K23" s="303">
        <f>+('[2]1월'!$F$13+'[2]1월'!$F$20+'[2]1월'!$F$22)/1000-K21-K22-('[2]1월'!$AO$13+'[2]1월'!$AO$20+'[2]1월'!$AO$22)/1000</f>
        <v>63.174248999999918</v>
      </c>
      <c r="L23" s="275">
        <f t="shared" si="4"/>
        <v>1.2891899999999268</v>
      </c>
      <c r="M23" s="276">
        <f>+('[3]1월'!$F$13+'[3]1월'!$F$20+'[3]1월'!$F$22)/1000-M21-M22-('[3]1월'!$AO$13+'[3]1월'!$AO$20+'[3]1월'!$AO$22)/1000</f>
        <v>507.58096690999952</v>
      </c>
      <c r="N23" s="277">
        <f t="shared" si="5"/>
        <v>-444.4067179099996</v>
      </c>
      <c r="O23" s="83"/>
      <c r="P23" s="86"/>
      <c r="Q23" s="545" t="s">
        <v>88</v>
      </c>
      <c r="R23" s="546" t="s">
        <v>89</v>
      </c>
      <c r="S23" s="190">
        <f>+[6]원가손익!$W$10+[7]원가손익!$U$27+[8]손익!$F$10</f>
        <v>47918.126946386939</v>
      </c>
      <c r="T23" s="196">
        <f>+[6]원가손익!$X$10+[7]원가손익!$V$27+[8]손익!$G$10</f>
        <v>42752</v>
      </c>
      <c r="U23" s="193">
        <f>+T23-S23</f>
        <v>-5166.1269463869394</v>
      </c>
      <c r="V23" s="174">
        <f>+[9]원가손익!$X$10+[10]원가손익!$V$27+[11]손익!$Y$25</f>
        <v>30260</v>
      </c>
      <c r="W23" s="171">
        <f>+T23-V23</f>
        <v>12492</v>
      </c>
      <c r="X23" s="87"/>
    </row>
    <row r="24" spans="2:27" ht="21.75" customHeight="1" x14ac:dyDescent="0.3">
      <c r="C24" s="99" t="s">
        <v>8</v>
      </c>
      <c r="D24" s="100"/>
      <c r="E24" s="302">
        <f>SUM(E21:E23)</f>
        <v>2584.923913866945</v>
      </c>
      <c r="F24" s="303">
        <f>SUM(F21:F23)</f>
        <v>2010.8895730019315</v>
      </c>
      <c r="G24" s="275">
        <f t="shared" si="0"/>
        <v>-574.03434086501352</v>
      </c>
      <c r="H24" s="276">
        <f>SUM(H21:H23)</f>
        <v>2904.8702999957713</v>
      </c>
      <c r="I24" s="277">
        <f t="shared" si="1"/>
        <v>-893.98072699383988</v>
      </c>
      <c r="J24" s="302">
        <f>SUM(J21:J23)</f>
        <v>2584.923913866945</v>
      </c>
      <c r="K24" s="303">
        <f>SUM(K21:K23)</f>
        <v>2010.8895730019315</v>
      </c>
      <c r="L24" s="275">
        <f t="shared" si="4"/>
        <v>-574.03434086501352</v>
      </c>
      <c r="M24" s="276">
        <f>SUM(M21:M23)</f>
        <v>2904.8702999957713</v>
      </c>
      <c r="N24" s="277">
        <f t="shared" si="5"/>
        <v>-893.98072699383988</v>
      </c>
      <c r="O24" s="83"/>
      <c r="P24" s="86"/>
      <c r="Q24" s="547"/>
      <c r="R24" s="548" t="s">
        <v>90</v>
      </c>
      <c r="S24" s="192">
        <f>+[6]원가손익!$W$14+[7]원가손익!$U$29+[8]손익!$F$12</f>
        <v>26840</v>
      </c>
      <c r="T24" s="131">
        <f>+[6]원가손익!$X$14+[7]원가손익!$V$29+[8]손익!$G$12</f>
        <v>12741</v>
      </c>
      <c r="U24" s="195">
        <f>+T24-S24</f>
        <v>-14099</v>
      </c>
      <c r="V24" s="66">
        <f>+[9]원가손익!$X$14+[10]원가손익!$V$29+[11]손익!$Y$27</f>
        <v>17992</v>
      </c>
      <c r="W24" s="173">
        <f>+T24-V24</f>
        <v>-5251</v>
      </c>
      <c r="X24" s="87"/>
    </row>
    <row r="25" spans="2:27" ht="21.75" customHeight="1" x14ac:dyDescent="0.3">
      <c r="C25" s="84" t="s">
        <v>7</v>
      </c>
      <c r="D25" s="92" t="s">
        <v>40</v>
      </c>
      <c r="E25" s="297">
        <f>+E17-E21</f>
        <v>-1757.4711215192442</v>
      </c>
      <c r="F25" s="304">
        <f>+F17-F21</f>
        <v>-1002.4466332609054</v>
      </c>
      <c r="G25" s="299">
        <f t="shared" si="0"/>
        <v>755.02448825833881</v>
      </c>
      <c r="H25" s="300">
        <f>+H17-H21</f>
        <v>-1614.0527441328545</v>
      </c>
      <c r="I25" s="301">
        <f t="shared" si="1"/>
        <v>611.60611087194911</v>
      </c>
      <c r="J25" s="297">
        <f>+J17-J21</f>
        <v>-1757.4711215192442</v>
      </c>
      <c r="K25" s="304">
        <f>+K17-K21</f>
        <v>-1002.4466332609054</v>
      </c>
      <c r="L25" s="299">
        <f t="shared" si="4"/>
        <v>755.02448825833881</v>
      </c>
      <c r="M25" s="300">
        <f>+M17-M21</f>
        <v>-1614.0527441328545</v>
      </c>
      <c r="N25" s="301">
        <f t="shared" si="5"/>
        <v>611.60611087194911</v>
      </c>
      <c r="O25" s="83"/>
      <c r="P25" s="86"/>
      <c r="Q25" s="513" t="s">
        <v>98</v>
      </c>
      <c r="R25" s="514"/>
      <c r="S25" s="192">
        <f>SUM(S23:S24)</f>
        <v>74758.126946386939</v>
      </c>
      <c r="T25" s="131">
        <f>SUM(T23:T24)</f>
        <v>55493</v>
      </c>
      <c r="U25" s="195">
        <f>+T25-S25</f>
        <v>-19265.126946386939</v>
      </c>
      <c r="V25" s="66">
        <f>SUM(V23:V24)</f>
        <v>48252</v>
      </c>
      <c r="W25" s="173">
        <f>+T25-V25</f>
        <v>7241</v>
      </c>
      <c r="X25" s="87"/>
    </row>
    <row r="26" spans="2:27" ht="21.75" customHeight="1" x14ac:dyDescent="0.3">
      <c r="C26" s="84"/>
      <c r="D26" s="106" t="s">
        <v>10</v>
      </c>
      <c r="E26" s="184">
        <f>+E25/E9</f>
        <v>-9.2146325777084009E-2</v>
      </c>
      <c r="F26" s="188">
        <f>+F25/F9</f>
        <v>-5.3475642299398718E-2</v>
      </c>
      <c r="G26" s="186">
        <f t="shared" si="0"/>
        <v>3.8670683477685291E-2</v>
      </c>
      <c r="H26" s="107">
        <f>+H25/H9</f>
        <v>-8.9797348231163823E-2</v>
      </c>
      <c r="I26" s="108">
        <f t="shared" si="1"/>
        <v>3.6321705931765105E-2</v>
      </c>
      <c r="J26" s="184">
        <f>+J25/J9</f>
        <v>-9.2146325777084009E-2</v>
      </c>
      <c r="K26" s="188">
        <f>+K25/K9</f>
        <v>-5.3475642299398718E-2</v>
      </c>
      <c r="L26" s="186">
        <f t="shared" si="4"/>
        <v>3.8670683477685291E-2</v>
      </c>
      <c r="M26" s="107">
        <f>+M25/M9</f>
        <v>-8.9797348231163823E-2</v>
      </c>
      <c r="N26" s="108">
        <f t="shared" si="5"/>
        <v>3.6321705931765105E-2</v>
      </c>
      <c r="O26" s="83"/>
      <c r="P26" s="86"/>
      <c r="Q26" s="134" t="s">
        <v>110</v>
      </c>
      <c r="R26" s="525"/>
      <c r="S26" s="525"/>
      <c r="T26" s="525"/>
      <c r="U26" s="525"/>
      <c r="V26" s="525"/>
      <c r="W26" s="525"/>
      <c r="X26" s="87"/>
    </row>
    <row r="27" spans="2:27" ht="21.75" customHeight="1" x14ac:dyDescent="0.3">
      <c r="C27" s="84"/>
      <c r="D27" s="88" t="s">
        <v>1</v>
      </c>
      <c r="E27" s="295">
        <f>+E18-E22</f>
        <v>-88.496111421175996</v>
      </c>
      <c r="F27" s="296">
        <f>+F18-F22</f>
        <v>-170.27671874101947</v>
      </c>
      <c r="G27" s="272">
        <f t="shared" si="0"/>
        <v>-81.780607319843469</v>
      </c>
      <c r="H27" s="273">
        <f>+H18-H22</f>
        <v>-280.08745596291703</v>
      </c>
      <c r="I27" s="274">
        <f t="shared" si="1"/>
        <v>109.81073722189757</v>
      </c>
      <c r="J27" s="295">
        <f>+J18-J22</f>
        <v>-88.496111421175996</v>
      </c>
      <c r="K27" s="296">
        <f>+K18-K22</f>
        <v>-170.27671874101947</v>
      </c>
      <c r="L27" s="272">
        <f t="shared" si="4"/>
        <v>-81.780607319843469</v>
      </c>
      <c r="M27" s="273">
        <f>+M18-M22</f>
        <v>-280.08745596291703</v>
      </c>
      <c r="N27" s="274">
        <f t="shared" si="5"/>
        <v>109.81073722189757</v>
      </c>
      <c r="O27" s="83"/>
      <c r="P27" s="86"/>
      <c r="Q27" s="515" t="s">
        <v>11</v>
      </c>
      <c r="R27" s="516"/>
      <c r="S27" s="517" t="s">
        <v>12</v>
      </c>
      <c r="T27" s="518" t="s">
        <v>13</v>
      </c>
      <c r="U27" s="519" t="s">
        <v>91</v>
      </c>
      <c r="V27" s="518" t="s">
        <v>14</v>
      </c>
      <c r="W27" s="520" t="s">
        <v>92</v>
      </c>
      <c r="X27" s="87"/>
    </row>
    <row r="28" spans="2:27" ht="21.75" customHeight="1" x14ac:dyDescent="0.3">
      <c r="B28" s="81"/>
      <c r="C28" s="84"/>
      <c r="D28" s="98" t="s">
        <v>4</v>
      </c>
      <c r="E28" s="302">
        <f>+E19-E23</f>
        <v>37.661311333331447</v>
      </c>
      <c r="F28" s="303">
        <f>+F19-F23</f>
        <v>-30.102951999999917</v>
      </c>
      <c r="G28" s="275">
        <f t="shared" si="0"/>
        <v>-67.764263333331371</v>
      </c>
      <c r="H28" s="276">
        <f>+H19-H23</f>
        <v>-671.51872491000177</v>
      </c>
      <c r="I28" s="277">
        <f t="shared" si="1"/>
        <v>641.41577291000181</v>
      </c>
      <c r="J28" s="302">
        <f>+J19-J23</f>
        <v>37.661311333331447</v>
      </c>
      <c r="K28" s="303">
        <f>+K19-K23</f>
        <v>-30.102951999999917</v>
      </c>
      <c r="L28" s="275">
        <f t="shared" si="4"/>
        <v>-67.764263333331371</v>
      </c>
      <c r="M28" s="276">
        <f>+M19-M23</f>
        <v>-671.51872491000177</v>
      </c>
      <c r="N28" s="277">
        <f t="shared" si="5"/>
        <v>641.41577291000181</v>
      </c>
      <c r="O28" s="83"/>
      <c r="P28" s="86"/>
      <c r="Q28" s="595" t="s">
        <v>102</v>
      </c>
      <c r="R28" s="596"/>
      <c r="S28" s="217">
        <f>+'사업장별(당월)'!T32</f>
        <v>29.628697666666667</v>
      </c>
      <c r="T28" s="218">
        <f>+'사업장별(당월)'!U32</f>
        <v>23.441662000000008</v>
      </c>
      <c r="U28" s="219">
        <f>+T28-S28</f>
        <v>-6.1870356666666595</v>
      </c>
      <c r="V28" s="220">
        <f>+'사업장별(당월)'!W32</f>
        <v>72.305274999999995</v>
      </c>
      <c r="W28" s="221">
        <f>+T28-V28</f>
        <v>-48.863612999999987</v>
      </c>
      <c r="X28" s="87"/>
    </row>
    <row r="29" spans="2:27" ht="21.75" customHeight="1" x14ac:dyDescent="0.3">
      <c r="C29" s="84" t="s">
        <v>8</v>
      </c>
      <c r="D29" s="103"/>
      <c r="E29" s="295">
        <f>+E25+E27+E28</f>
        <v>-1808.3059216070887</v>
      </c>
      <c r="F29" s="305">
        <f>+F25+F27+F28</f>
        <v>-1202.8263040019249</v>
      </c>
      <c r="G29" s="272">
        <f t="shared" si="0"/>
        <v>605.47961760516387</v>
      </c>
      <c r="H29" s="273">
        <f>+H25+H27+H28</f>
        <v>-2565.6589250057732</v>
      </c>
      <c r="I29" s="274">
        <f t="shared" si="1"/>
        <v>1362.8326210038483</v>
      </c>
      <c r="J29" s="295">
        <f>+J25+J27+J28</f>
        <v>-1808.3059216070887</v>
      </c>
      <c r="K29" s="305">
        <f>+K25+K27+K28</f>
        <v>-1202.8263040019249</v>
      </c>
      <c r="L29" s="272">
        <f t="shared" si="4"/>
        <v>605.47961760516387</v>
      </c>
      <c r="M29" s="273">
        <f>+M25+M27+M28</f>
        <v>-2565.6589250057732</v>
      </c>
      <c r="N29" s="274">
        <f t="shared" si="5"/>
        <v>1362.8326210038483</v>
      </c>
      <c r="O29" s="83"/>
      <c r="P29" s="86"/>
      <c r="Q29" s="597" t="s">
        <v>44</v>
      </c>
      <c r="R29" s="598"/>
      <c r="S29" s="157">
        <f>+'사업장별(당월)'!T33</f>
        <v>68.147672666666665</v>
      </c>
      <c r="T29" s="227">
        <f>+'사업장별(당월)'!U33</f>
        <v>0.10410900000000038</v>
      </c>
      <c r="U29" s="158">
        <f>+T29-S29</f>
        <v>-68.043563666666671</v>
      </c>
      <c r="V29" s="228">
        <f>+'사업장별(당월)'!W33</f>
        <v>64.600993000000003</v>
      </c>
      <c r="W29" s="159">
        <f>+T29-V29</f>
        <v>-64.496884000000009</v>
      </c>
      <c r="X29" s="87"/>
    </row>
    <row r="30" spans="2:27" ht="21.75" customHeight="1" thickBot="1" x14ac:dyDescent="0.35">
      <c r="B30" s="213"/>
      <c r="C30" s="109"/>
      <c r="D30" s="110" t="s">
        <v>9</v>
      </c>
      <c r="E30" s="185">
        <f>+E29/E12</f>
        <v>-8.7785531412923112E-2</v>
      </c>
      <c r="F30" s="189">
        <f>+F29/F12</f>
        <v>-6.0358817547252523E-2</v>
      </c>
      <c r="G30" s="187">
        <f t="shared" si="0"/>
        <v>2.7426713865670589E-2</v>
      </c>
      <c r="H30" s="111">
        <f>+H29/H12</f>
        <v>-0.13367407049835026</v>
      </c>
      <c r="I30" s="112">
        <f t="shared" si="1"/>
        <v>7.3315252951097726E-2</v>
      </c>
      <c r="J30" s="185">
        <f>+J29/J12</f>
        <v>-8.7785531412923112E-2</v>
      </c>
      <c r="K30" s="189">
        <f>+K29/K12</f>
        <v>-6.0358817547252523E-2</v>
      </c>
      <c r="L30" s="187">
        <f t="shared" si="4"/>
        <v>2.7426713865670589E-2</v>
      </c>
      <c r="M30" s="111">
        <f>+M29/M12</f>
        <v>-0.13367407049835026</v>
      </c>
      <c r="N30" s="112">
        <f t="shared" si="5"/>
        <v>7.3315252951097726E-2</v>
      </c>
      <c r="O30" s="83"/>
      <c r="P30" s="86"/>
      <c r="Q30" s="599" t="s">
        <v>29</v>
      </c>
      <c r="R30" s="600"/>
      <c r="S30" s="234">
        <f>+'사업장별(당월)'!T34</f>
        <v>-1782.6186020864748</v>
      </c>
      <c r="T30" s="235">
        <f>+'사업장별(당월)'!U34</f>
        <v>-1251.4256552609122</v>
      </c>
      <c r="U30" s="236">
        <f>+T30-S30</f>
        <v>531.19294682556256</v>
      </c>
      <c r="V30" s="237">
        <f>+'사업장별(당월)'!W34</f>
        <v>-1637.1909851328546</v>
      </c>
      <c r="W30" s="238">
        <f>+T30-V30</f>
        <v>385.76532987194241</v>
      </c>
      <c r="X30" s="87"/>
      <c r="Z30" s="213"/>
      <c r="AA30" s="213"/>
    </row>
    <row r="31" spans="2:27" ht="21.75" customHeight="1" thickTop="1" thickBot="1" x14ac:dyDescent="0.35">
      <c r="B31" s="213"/>
      <c r="C31" s="544" t="s">
        <v>181</v>
      </c>
      <c r="O31" s="83"/>
      <c r="P31" s="86"/>
      <c r="Q31" s="601" t="s">
        <v>101</v>
      </c>
      <c r="R31" s="602"/>
      <c r="S31" s="229">
        <f>+S32-S28-S29-S30</f>
        <v>-60.11505900000293</v>
      </c>
      <c r="T31" s="230">
        <f>+T32-T28-T29-T30</f>
        <v>-53.648722999992515</v>
      </c>
      <c r="U31" s="231">
        <f>+T31-S31</f>
        <v>6.4663360000104149</v>
      </c>
      <c r="V31" s="232">
        <f>+V32-V28-V29-V30</f>
        <v>-808.42499291000104</v>
      </c>
      <c r="W31" s="233">
        <f>+T31-V31</f>
        <v>754.77626991000852</v>
      </c>
      <c r="X31" s="87"/>
    </row>
    <row r="32" spans="2:27" ht="21.75" customHeight="1" thickTop="1" x14ac:dyDescent="0.3">
      <c r="B32" s="213"/>
      <c r="C32" s="536" t="s">
        <v>177</v>
      </c>
      <c r="D32" s="538"/>
      <c r="E32" s="539">
        <f>+IFERROR(HLOOKUP($E$5,[12]손익!$G$5:$AI$54,2,),)</f>
        <v>8000</v>
      </c>
      <c r="F32" s="543">
        <f>+'[2]1월'!$AO$7</f>
        <v>4969.8379999999997</v>
      </c>
      <c r="G32" s="540">
        <f t="shared" ref="G32:G33" si="12">+F32-E32</f>
        <v>-3030.1620000000003</v>
      </c>
      <c r="H32" s="541">
        <f>+'[3]1월'!$AO$7</f>
        <v>8735.5020000000004</v>
      </c>
      <c r="I32" s="542">
        <f t="shared" ref="I32:I33" si="13">+F32-H32</f>
        <v>-3765.6640000000007</v>
      </c>
      <c r="J32" s="539">
        <f>+'[1]1월'!$AA$7</f>
        <v>8000</v>
      </c>
      <c r="K32" s="543">
        <f>+'[2]1월'!$AO$7</f>
        <v>4969.8379999999997</v>
      </c>
      <c r="L32" s="540">
        <f t="shared" ref="L32:L33" si="14">+K32-J32</f>
        <v>-3030.1620000000003</v>
      </c>
      <c r="M32" s="541">
        <f>+'[3]1월'!$AO$7</f>
        <v>8735.5020000000004</v>
      </c>
      <c r="N32" s="542">
        <f t="shared" ref="N32:N33" si="15">+K32-M32</f>
        <v>-3765.6640000000007</v>
      </c>
      <c r="O32" s="83"/>
      <c r="P32" s="86"/>
      <c r="Q32" s="623" t="s">
        <v>100</v>
      </c>
      <c r="R32" s="624"/>
      <c r="S32" s="222">
        <f>+'사업장별(당월)'!T40</f>
        <v>-1744.9572907531442</v>
      </c>
      <c r="T32" s="223">
        <f>+'사업장별(당월)'!U40</f>
        <v>-1281.5286072609047</v>
      </c>
      <c r="U32" s="224">
        <f>+T32-S32</f>
        <v>463.42868349223954</v>
      </c>
      <c r="V32" s="225">
        <f>+'사업장별(당월)'!W40</f>
        <v>-2308.7097100428555</v>
      </c>
      <c r="W32" s="226">
        <f>+T32-V32</f>
        <v>1027.1811027819508</v>
      </c>
      <c r="X32" s="87"/>
      <c r="Z32" s="213"/>
      <c r="AA32" s="213"/>
    </row>
    <row r="33" spans="2:31" ht="21.75" customHeight="1" x14ac:dyDescent="0.3">
      <c r="B33" s="213"/>
      <c r="C33" s="536" t="s">
        <v>178</v>
      </c>
      <c r="D33" s="537"/>
      <c r="E33" s="295">
        <f>+IFERROR(HLOOKUP($E$5,[12]손익!$G$5:$AI$54,3,),)/1000</f>
        <v>7664.8434380000008</v>
      </c>
      <c r="F33" s="296">
        <f>+'[2]1월'!$AO$8/1000</f>
        <v>5099.8867440000004</v>
      </c>
      <c r="G33" s="272">
        <f t="shared" si="12"/>
        <v>-2564.9566940000004</v>
      </c>
      <c r="H33" s="273">
        <f>+'[3]1월'!$AO$8/1000</f>
        <v>7480.1196840000002</v>
      </c>
      <c r="I33" s="274">
        <f t="shared" si="13"/>
        <v>-2380.2329399999999</v>
      </c>
      <c r="J33" s="295">
        <f>+'[1]1월'!$AA$8/1000</f>
        <v>7664.8434380000008</v>
      </c>
      <c r="K33" s="296">
        <f>+'[2]1월'!$AO$8/1000</f>
        <v>5099.8867440000004</v>
      </c>
      <c r="L33" s="272">
        <f t="shared" si="14"/>
        <v>-2564.9566940000004</v>
      </c>
      <c r="M33" s="273">
        <f>+'[3]1월'!$AO$8/1000</f>
        <v>7480.1196840000002</v>
      </c>
      <c r="N33" s="274">
        <f t="shared" si="15"/>
        <v>-2380.2329399999999</v>
      </c>
      <c r="O33" s="83"/>
      <c r="P33" s="86"/>
      <c r="X33" s="87"/>
      <c r="Z33" s="213"/>
      <c r="AA33" s="213"/>
    </row>
    <row r="34" spans="2:31" ht="21.75" customHeight="1" x14ac:dyDescent="0.3">
      <c r="B34" s="213"/>
      <c r="C34" s="536" t="s">
        <v>179</v>
      </c>
      <c r="D34" s="603"/>
      <c r="E34" s="293">
        <f>+IFERROR(HLOOKUP($E$5,[12]손익!$G$5:$AI$54,7,),)/1000</f>
        <v>167.7983820000002</v>
      </c>
      <c r="F34" s="294">
        <f>+'[2]1월'!$AO$12/1000</f>
        <v>127.93007799999975</v>
      </c>
      <c r="G34" s="269">
        <f>+F34-E34</f>
        <v>-39.86830400000045</v>
      </c>
      <c r="H34" s="270">
        <f>+'[3]1월'!$AO$12/1000</f>
        <v>145.91049199999961</v>
      </c>
      <c r="I34" s="271">
        <f>+F34-H34</f>
        <v>-17.980413999999854</v>
      </c>
      <c r="J34" s="293">
        <f>+'[1]1월'!$AA$12/1000</f>
        <v>167.7983820000002</v>
      </c>
      <c r="K34" s="294">
        <f>+'[2]1월'!$AO$12/1000</f>
        <v>127.93007799999975</v>
      </c>
      <c r="L34" s="269">
        <f>+K34-J34</f>
        <v>-39.86830400000045</v>
      </c>
      <c r="M34" s="270">
        <f>+'[3]1월'!$AO$12/1000</f>
        <v>145.91049199999961</v>
      </c>
      <c r="N34" s="271">
        <f>+K34-M34</f>
        <v>-17.980413999999854</v>
      </c>
      <c r="O34" s="83"/>
      <c r="P34" s="86"/>
      <c r="Q34" s="134" t="s">
        <v>84</v>
      </c>
      <c r="R34" s="139"/>
      <c r="S34" s="67"/>
      <c r="T34" s="140"/>
      <c r="U34" s="67"/>
      <c r="V34" s="525"/>
      <c r="W34" s="525"/>
      <c r="X34" s="87"/>
      <c r="Z34" s="213"/>
      <c r="AA34" s="213"/>
    </row>
    <row r="35" spans="2:31" ht="21.75" customHeight="1" x14ac:dyDescent="0.3">
      <c r="B35" s="213"/>
      <c r="C35" s="604" t="s">
        <v>190</v>
      </c>
      <c r="D35" s="605"/>
      <c r="E35" s="606">
        <f>+E34/E33</f>
        <v>2.189195165658649E-2</v>
      </c>
      <c r="F35" s="607">
        <f t="shared" ref="F35" si="16">+F34/F33</f>
        <v>2.5084886081148578E-2</v>
      </c>
      <c r="G35" s="608">
        <f t="shared" ref="G35:G37" si="17">+F35-E35</f>
        <v>3.1929344245620883E-3</v>
      </c>
      <c r="H35" s="609">
        <f>+H34/H33</f>
        <v>1.9506438153937912E-2</v>
      </c>
      <c r="I35" s="610">
        <f>+I34/I33</f>
        <v>7.5540564529788645E-3</v>
      </c>
      <c r="J35" s="606">
        <f>+J34/J33</f>
        <v>2.189195165658649E-2</v>
      </c>
      <c r="K35" s="607">
        <f t="shared" ref="K35" si="18">+K34/K33</f>
        <v>2.5084886081148578E-2</v>
      </c>
      <c r="L35" s="608">
        <f>+K35-J35</f>
        <v>3.1929344245620883E-3</v>
      </c>
      <c r="M35" s="609">
        <f>+M34/M33</f>
        <v>1.9506438153937912E-2</v>
      </c>
      <c r="N35" s="610">
        <f>+K35-M35</f>
        <v>5.5784479272106662E-3</v>
      </c>
      <c r="O35" s="83"/>
      <c r="P35" s="86"/>
      <c r="Q35" s="204" t="s">
        <v>11</v>
      </c>
      <c r="R35" s="205"/>
      <c r="S35" s="206" t="s">
        <v>12</v>
      </c>
      <c r="T35" s="207" t="s">
        <v>13</v>
      </c>
      <c r="U35" s="208" t="s">
        <v>91</v>
      </c>
      <c r="V35" s="207" t="s">
        <v>14</v>
      </c>
      <c r="W35" s="209" t="s">
        <v>92</v>
      </c>
      <c r="X35" s="87"/>
      <c r="Z35" s="213"/>
      <c r="AA35" s="213"/>
      <c r="AD35" s="82"/>
      <c r="AE35" s="213"/>
    </row>
    <row r="36" spans="2:31" ht="21.75" customHeight="1" x14ac:dyDescent="0.3">
      <c r="B36" s="213"/>
      <c r="C36" s="536" t="s">
        <v>180</v>
      </c>
      <c r="D36" s="603"/>
      <c r="E36" s="293">
        <f>+IFERROR(HLOOKUP($E$5,[12]손익!$G$5:$AI$54,20,),)/1000</f>
        <v>-46.217592891015428</v>
      </c>
      <c r="F36" s="294">
        <f>+'[2]1월'!$AO$26/1000</f>
        <v>-38.815401000000243</v>
      </c>
      <c r="G36" s="269">
        <f t="shared" si="17"/>
        <v>7.4021918910151854</v>
      </c>
      <c r="H36" s="270">
        <f>+'[3]1월'!$AO$26/1000</f>
        <v>1.6972489999996232</v>
      </c>
      <c r="I36" s="271">
        <f>+F36-H36</f>
        <v>-40.512649999999866</v>
      </c>
      <c r="J36" s="293">
        <f>+'[1]1월'!$AA$26/1000</f>
        <v>-46.217592891015428</v>
      </c>
      <c r="K36" s="294">
        <f>+'[2]1월'!$AO$26/1000</f>
        <v>-38.815401000000243</v>
      </c>
      <c r="L36" s="269">
        <f>+K36-J36</f>
        <v>7.4021918910151854</v>
      </c>
      <c r="M36" s="270">
        <f>+'[3]1월'!$AO$26/1000</f>
        <v>1.6972489999996232</v>
      </c>
      <c r="N36" s="271">
        <f>+K36-M36</f>
        <v>-40.512649999999866</v>
      </c>
      <c r="O36" s="83"/>
      <c r="P36" s="86"/>
      <c r="Q36" s="135" t="s">
        <v>85</v>
      </c>
      <c r="R36" s="136"/>
      <c r="S36" s="190">
        <f>+'[13]1월'!$F$10</f>
        <v>743250</v>
      </c>
      <c r="T36" s="196">
        <f>+'[13]1월'!$G$10</f>
        <v>796801.18144696066</v>
      </c>
      <c r="U36" s="193">
        <f>+T36-S36</f>
        <v>53551.181446960662</v>
      </c>
      <c r="V36" s="174">
        <f>+'[14]1월'!$G$10</f>
        <v>756420.01123690419</v>
      </c>
      <c r="W36" s="171">
        <f>+T36-V36</f>
        <v>40381.170210056473</v>
      </c>
      <c r="X36" s="87"/>
      <c r="AA36" s="213"/>
    </row>
    <row r="37" spans="2:31" ht="20.100000000000001" customHeight="1" thickBot="1" x14ac:dyDescent="0.35">
      <c r="C37" s="604" t="s">
        <v>190</v>
      </c>
      <c r="D37" s="605"/>
      <c r="E37" s="606">
        <f>+E36/E33</f>
        <v>-6.0298156465769968E-3</v>
      </c>
      <c r="F37" s="612">
        <f t="shared" ref="F37" si="19">+F36/F33</f>
        <v>-7.6110319598109571E-3</v>
      </c>
      <c r="G37" s="608">
        <f t="shared" si="17"/>
        <v>-1.5812163132339603E-3</v>
      </c>
      <c r="H37" s="609">
        <f>+H36/H33</f>
        <v>2.2690131598162048E-4</v>
      </c>
      <c r="I37" s="610">
        <f>+F37-H37</f>
        <v>-7.8379332757925781E-3</v>
      </c>
      <c r="J37" s="606">
        <f>+J36/J33</f>
        <v>-6.0298156465769968E-3</v>
      </c>
      <c r="K37" s="612">
        <f t="shared" ref="K37" si="20">+K36/K33</f>
        <v>-7.6110319598109571E-3</v>
      </c>
      <c r="L37" s="608">
        <f>+K37-J37</f>
        <v>-1.5812163132339603E-3</v>
      </c>
      <c r="M37" s="609">
        <f>+M36/M33</f>
        <v>2.2690131598162048E-4</v>
      </c>
      <c r="N37" s="610">
        <f>+K37-M37</f>
        <v>-7.8379332757925781E-3</v>
      </c>
      <c r="P37" s="526"/>
      <c r="Q37" s="137" t="s">
        <v>86</v>
      </c>
      <c r="R37" s="138"/>
      <c r="S37" s="191">
        <f>+'[13]1월'!$F$15</f>
        <v>1.644803229061554E-2</v>
      </c>
      <c r="T37" s="197">
        <f>+'[13]1월'!$G$15</f>
        <v>2.0621616695502647E-2</v>
      </c>
      <c r="U37" s="194">
        <f>+T37-S37</f>
        <v>4.1735844048871075E-3</v>
      </c>
      <c r="V37" s="175">
        <f>+'[14]1월'!$G$15</f>
        <v>1.7727214453804725E-2</v>
      </c>
      <c r="W37" s="172">
        <f>+T37-V37</f>
        <v>2.8944022416979229E-3</v>
      </c>
      <c r="X37" s="527"/>
    </row>
    <row r="38" spans="2:31" ht="17.25" thickTop="1" x14ac:dyDescent="0.3">
      <c r="N38" s="215"/>
      <c r="O38" s="215"/>
      <c r="P38" s="525"/>
      <c r="Q38" s="525"/>
      <c r="R38" s="525"/>
      <c r="S38" s="525"/>
      <c r="T38" s="525"/>
      <c r="U38" s="525"/>
      <c r="V38" s="525"/>
      <c r="W38" s="525"/>
      <c r="X38" s="525"/>
    </row>
    <row r="39" spans="2:31" x14ac:dyDescent="0.3">
      <c r="E39" s="456">
        <f>+'[1]1월'!$E$26/1000</f>
        <v>-1854.5235144981029</v>
      </c>
      <c r="F39" s="462">
        <f>+'[2]1월'!$F$26/1000</f>
        <v>-1241.6417050019256</v>
      </c>
      <c r="G39" s="462"/>
      <c r="H39" s="462">
        <f>+'[3]1월'!$F$26/1000</f>
        <v>-2563.9616760057729</v>
      </c>
      <c r="I39" s="462"/>
      <c r="J39" s="611">
        <f>+'[1]1월'!$E$26/1000</f>
        <v>-1854.5235144981029</v>
      </c>
      <c r="K39" s="611">
        <f>+'[2]1월'!$F$26/1000</f>
        <v>-1241.6417050019256</v>
      </c>
      <c r="L39" s="611"/>
      <c r="M39" s="611">
        <f>+'[3]1월'!$F$26/1000</f>
        <v>-2563.9616760057729</v>
      </c>
      <c r="P39" s="525"/>
      <c r="Q39" s="525"/>
      <c r="R39" s="525"/>
      <c r="S39" s="525"/>
      <c r="T39" s="525"/>
      <c r="U39" s="525"/>
      <c r="V39" s="525"/>
      <c r="W39" s="525"/>
      <c r="X39" s="525"/>
    </row>
    <row r="40" spans="2:31" x14ac:dyDescent="0.3">
      <c r="E40" s="216">
        <f>+(E29+E36)-E39</f>
        <v>0</v>
      </c>
      <c r="F40" s="216">
        <f>+(F29+F36)-F39</f>
        <v>0</v>
      </c>
      <c r="G40" s="214"/>
      <c r="H40" s="216">
        <f>+(H29+H36)-H39</f>
        <v>0</v>
      </c>
      <c r="I40" s="214"/>
      <c r="J40" s="216">
        <f>+(J29+J36)-J39</f>
        <v>0</v>
      </c>
      <c r="K40" s="216">
        <f>+(K29+K36)-K39</f>
        <v>0</v>
      </c>
      <c r="L40" s="214"/>
      <c r="M40" s="216">
        <f>+(M29+M36)-M39</f>
        <v>0</v>
      </c>
      <c r="N40" s="214"/>
      <c r="O40" s="82"/>
      <c r="P40" s="82"/>
    </row>
    <row r="42" spans="2:31" x14ac:dyDescent="0.3">
      <c r="E42" s="81"/>
      <c r="F42" s="81"/>
      <c r="G42" s="81"/>
    </row>
  </sheetData>
  <mergeCells count="3">
    <mergeCell ref="Q32:R32"/>
    <mergeCell ref="C5:D6"/>
    <mergeCell ref="P5:X6"/>
  </mergeCells>
  <phoneticPr fontId="1" type="noConversion"/>
  <printOptions horizontalCentered="1"/>
  <pageMargins left="0.15748031496062992" right="0.15748031496062992" top="0.39370078740157483" bottom="0.35433070866141736" header="0.31496062992125984" footer="0.31496062992125984"/>
  <pageSetup paperSize="9" scale="65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A22EEB-C23D-41DE-BA19-19AA9A3A8795}">
  <sheetPr>
    <tabColor theme="0"/>
    <pageSetUpPr fitToPage="1"/>
  </sheetPr>
  <dimension ref="A1:AF28"/>
  <sheetViews>
    <sheetView showGridLines="0" showZeros="0" topLeftCell="E1" zoomScale="85" zoomScaleNormal="85" zoomScaleSheetLayoutView="85" workbookViewId="0">
      <selection activeCell="A6" sqref="A5:M14"/>
    </sheetView>
  </sheetViews>
  <sheetFormatPr defaultRowHeight="16.5" x14ac:dyDescent="0.3"/>
  <cols>
    <col min="1" max="1" width="9" hidden="1" customWidth="1"/>
    <col min="2" max="2" width="13" hidden="1" customWidth="1"/>
    <col min="3" max="3" width="11" hidden="1" customWidth="1"/>
    <col min="4" max="4" width="9" hidden="1" customWidth="1"/>
    <col min="5" max="5" width="0.25" customWidth="1"/>
    <col min="6" max="6" width="9" customWidth="1"/>
    <col min="7" max="7" width="9" style="3"/>
    <col min="8" max="8" width="7.5" customWidth="1"/>
    <col min="9" max="9" width="11" bestFit="1" customWidth="1"/>
    <col min="10" max="14" width="8.625" customWidth="1"/>
    <col min="15" max="24" width="9.125" customWidth="1"/>
    <col min="25" max="29" width="8.625" customWidth="1"/>
    <col min="30" max="30" width="9.25" bestFit="1" customWidth="1"/>
    <col min="31" max="31" width="8.25" customWidth="1"/>
    <col min="32" max="32" width="12" bestFit="1" customWidth="1"/>
    <col min="33" max="33" width="13.25" bestFit="1" customWidth="1"/>
    <col min="34" max="35" width="9.875" bestFit="1" customWidth="1"/>
  </cols>
  <sheetData>
    <row r="1" spans="1:32" ht="18" customHeight="1" x14ac:dyDescent="0.3">
      <c r="H1" s="2"/>
      <c r="K1" s="4"/>
      <c r="L1" s="4"/>
      <c r="P1" s="4"/>
      <c r="Q1" s="4"/>
    </row>
    <row r="2" spans="1:32" ht="18" customHeight="1" x14ac:dyDescent="0.3">
      <c r="H2" s="5"/>
    </row>
    <row r="3" spans="1:32" ht="26.25" x14ac:dyDescent="0.3">
      <c r="H3" s="2" t="s">
        <v>176</v>
      </c>
    </row>
    <row r="4" spans="1:32" ht="18" customHeight="1" x14ac:dyDescent="0.3">
      <c r="H4" s="5"/>
    </row>
    <row r="5" spans="1:32" ht="18" customHeight="1" x14ac:dyDescent="0.3">
      <c r="H5" s="631" t="s">
        <v>11</v>
      </c>
      <c r="I5" s="632"/>
      <c r="J5" s="510" t="s">
        <v>166</v>
      </c>
      <c r="K5" s="511"/>
      <c r="L5" s="511"/>
      <c r="M5" s="511"/>
      <c r="N5" s="511"/>
      <c r="O5" s="511"/>
      <c r="P5" s="511"/>
      <c r="Q5" s="511"/>
      <c r="R5" s="511"/>
      <c r="S5" s="512"/>
      <c r="T5" s="510" t="s">
        <v>174</v>
      </c>
      <c r="U5" s="511"/>
      <c r="V5" s="511"/>
      <c r="W5" s="511"/>
      <c r="X5" s="511"/>
      <c r="Y5" s="511"/>
      <c r="Z5" s="511"/>
      <c r="AA5" s="511"/>
      <c r="AB5" s="511"/>
      <c r="AC5" s="512"/>
    </row>
    <row r="6" spans="1:32" s="6" customFormat="1" ht="19.5" customHeight="1" x14ac:dyDescent="0.3">
      <c r="G6" s="306"/>
      <c r="H6" s="631"/>
      <c r="I6" s="632"/>
      <c r="J6" s="146" t="s">
        <v>97</v>
      </c>
      <c r="K6" s="147"/>
      <c r="L6" s="147"/>
      <c r="M6" s="147"/>
      <c r="N6" s="148"/>
      <c r="O6" s="146" t="s">
        <v>167</v>
      </c>
      <c r="P6" s="147"/>
      <c r="Q6" s="147"/>
      <c r="R6" s="147"/>
      <c r="S6" s="148"/>
      <c r="T6" s="146" t="s">
        <v>97</v>
      </c>
      <c r="U6" s="147"/>
      <c r="V6" s="147"/>
      <c r="W6" s="147"/>
      <c r="X6" s="148"/>
      <c r="Y6" s="146" t="s">
        <v>97</v>
      </c>
      <c r="Z6" s="147"/>
      <c r="AA6" s="147"/>
      <c r="AB6" s="147"/>
      <c r="AC6" s="148"/>
    </row>
    <row r="7" spans="1:32" s="6" customFormat="1" ht="19.5" customHeight="1" x14ac:dyDescent="0.3">
      <c r="A7" s="6" t="s">
        <v>175</v>
      </c>
      <c r="G7" s="306"/>
      <c r="H7" s="633"/>
      <c r="I7" s="634"/>
      <c r="J7" s="149" t="s">
        <v>12</v>
      </c>
      <c r="K7" s="150" t="s">
        <v>13</v>
      </c>
      <c r="L7" s="151" t="s">
        <v>28</v>
      </c>
      <c r="M7" s="150" t="s">
        <v>14</v>
      </c>
      <c r="N7" s="152" t="s">
        <v>28</v>
      </c>
      <c r="O7" s="149" t="s">
        <v>12</v>
      </c>
      <c r="P7" s="150" t="s">
        <v>13</v>
      </c>
      <c r="Q7" s="151" t="s">
        <v>28</v>
      </c>
      <c r="R7" s="150" t="s">
        <v>14</v>
      </c>
      <c r="S7" s="152" t="s">
        <v>28</v>
      </c>
      <c r="T7" s="149" t="s">
        <v>12</v>
      </c>
      <c r="U7" s="150" t="s">
        <v>13</v>
      </c>
      <c r="V7" s="151" t="s">
        <v>28</v>
      </c>
      <c r="W7" s="150" t="s">
        <v>14</v>
      </c>
      <c r="X7" s="152" t="s">
        <v>28</v>
      </c>
      <c r="Y7" s="149" t="s">
        <v>12</v>
      </c>
      <c r="Z7" s="150" t="s">
        <v>13</v>
      </c>
      <c r="AA7" s="151" t="s">
        <v>28</v>
      </c>
      <c r="AB7" s="150" t="s">
        <v>14</v>
      </c>
      <c r="AC7" s="152" t="s">
        <v>28</v>
      </c>
    </row>
    <row r="8" spans="1:32" s="6" customFormat="1" ht="22.5" customHeight="1" x14ac:dyDescent="0.3">
      <c r="B8" s="6" t="s">
        <v>18</v>
      </c>
      <c r="G8" s="307"/>
      <c r="H8" s="68" t="s">
        <v>40</v>
      </c>
      <c r="I8" s="69" t="s">
        <v>18</v>
      </c>
      <c r="J8" s="31">
        <f>+[4]안양!$H$86/1000</f>
        <v>174.44457178111784</v>
      </c>
      <c r="K8" s="32">
        <f>+[4]안양!$I$86/1000</f>
        <v>231.2320129999998</v>
      </c>
      <c r="L8" s="36">
        <f>+K8-J8</f>
        <v>56.787441218881952</v>
      </c>
      <c r="M8" s="37">
        <f>+[5]안양!$H$86/1000</f>
        <v>88.057685000000447</v>
      </c>
      <c r="N8" s="35">
        <f>+K8-M8</f>
        <v>143.17432799999935</v>
      </c>
      <c r="O8" s="31">
        <f>+[4]안양!$H$92/1000</f>
        <v>-88.266654782684839</v>
      </c>
      <c r="P8" s="32">
        <f>+[4]안양!$I$92/1000</f>
        <v>15.073584609052109</v>
      </c>
      <c r="Q8" s="36">
        <f>+P8-O8</f>
        <v>103.34023939173694</v>
      </c>
      <c r="R8" s="37">
        <f>+[5]안양!$H$92/1000</f>
        <v>-153.00895923464302</v>
      </c>
      <c r="S8" s="35">
        <f>+P8-R8</f>
        <v>168.08254384369513</v>
      </c>
      <c r="T8" s="31">
        <f>+[4]안양!$H$86/1000</f>
        <v>174.44457178111784</v>
      </c>
      <c r="U8" s="32">
        <f>+[4]안양!$I$86/1000</f>
        <v>231.2320129999998</v>
      </c>
      <c r="V8" s="36">
        <f>+U8-T8</f>
        <v>56.787441218881952</v>
      </c>
      <c r="W8" s="37">
        <f>+[5]안양!$H$86/1000</f>
        <v>88.057685000000447</v>
      </c>
      <c r="X8" s="35">
        <f>+U8-W8</f>
        <v>143.17432799999935</v>
      </c>
      <c r="Y8" s="31">
        <f>+[4]안양!$H$92/1000</f>
        <v>-88.266654782684839</v>
      </c>
      <c r="Z8" s="32">
        <f>+[4]안양!$I$92/1000</f>
        <v>15.073584609052109</v>
      </c>
      <c r="AA8" s="36">
        <f>+Z8-Y8</f>
        <v>103.34023939173694</v>
      </c>
      <c r="AB8" s="37">
        <f>+[5]안양!$H$92/1000</f>
        <v>-153.00895923464302</v>
      </c>
      <c r="AC8" s="35">
        <f>+Z8-AB8</f>
        <v>168.08254384369513</v>
      </c>
    </row>
    <row r="9" spans="1:32" s="6" customFormat="1" ht="22.5" customHeight="1" x14ac:dyDescent="0.3">
      <c r="B9" s="6" t="s">
        <v>19</v>
      </c>
      <c r="G9" s="308"/>
      <c r="H9" s="70" t="s">
        <v>41</v>
      </c>
      <c r="I9" s="71" t="s">
        <v>19</v>
      </c>
      <c r="J9" s="41">
        <f>+[4]인천!$H$86/1000</f>
        <v>-29.440005675790161</v>
      </c>
      <c r="K9" s="42">
        <f>+[4]인천!$I$86/1000</f>
        <v>-30.566700000000122</v>
      </c>
      <c r="L9" s="43">
        <f t="shared" ref="L9:L28" si="0">+K9-J9</f>
        <v>-1.1266943242099607</v>
      </c>
      <c r="M9" s="44">
        <f>+[5]인천!$H$86/1000</f>
        <v>-127.14974199999995</v>
      </c>
      <c r="N9" s="45">
        <f t="shared" ref="N9:N28" si="1">+K9-M9</f>
        <v>96.583041999999821</v>
      </c>
      <c r="O9" s="41">
        <f>+[4]인천!$H$92/1000</f>
        <v>-258.38514576798053</v>
      </c>
      <c r="P9" s="42">
        <f>+[4]인천!$I$92/1000</f>
        <v>-174.5371306571804</v>
      </c>
      <c r="Q9" s="43">
        <f t="shared" ref="Q9:Q28" si="2">+P9-O9</f>
        <v>83.848015110800134</v>
      </c>
      <c r="R9" s="44">
        <f>+[5]인천!$H$92/1000</f>
        <v>-269.87633326064525</v>
      </c>
      <c r="S9" s="45">
        <f t="shared" ref="S9:S28" si="3">+P9-R9</f>
        <v>95.339202603464855</v>
      </c>
      <c r="T9" s="41">
        <f>+[4]인천!$H$86/1000</f>
        <v>-29.440005675790161</v>
      </c>
      <c r="U9" s="42">
        <f>+[4]인천!$I$86/1000</f>
        <v>-30.566700000000122</v>
      </c>
      <c r="V9" s="43">
        <f t="shared" ref="V9:V24" si="4">+U9-T9</f>
        <v>-1.1266943242099607</v>
      </c>
      <c r="W9" s="44">
        <f>+[5]인천!$H$86/1000</f>
        <v>-127.14974199999995</v>
      </c>
      <c r="X9" s="45">
        <f t="shared" ref="X9:X24" si="5">+U9-W9</f>
        <v>96.583041999999821</v>
      </c>
      <c r="Y9" s="41">
        <f>+[4]인천!$H$92/1000</f>
        <v>-258.38514576798053</v>
      </c>
      <c r="Z9" s="42">
        <f>+[4]인천!$I$92/1000</f>
        <v>-174.5371306571804</v>
      </c>
      <c r="AA9" s="43">
        <f t="shared" ref="AA9:AA24" si="6">+Z9-Y9</f>
        <v>83.848015110800134</v>
      </c>
      <c r="AB9" s="44">
        <f>+[5]인천!$H$92/1000</f>
        <v>-269.87633326064525</v>
      </c>
      <c r="AC9" s="45">
        <f t="shared" ref="AC9:AC24" si="7">+Z9-AB9</f>
        <v>95.339202603464855</v>
      </c>
    </row>
    <row r="10" spans="1:32" s="6" customFormat="1" ht="22.5" customHeight="1" x14ac:dyDescent="0.3">
      <c r="B10" s="6" t="s">
        <v>20</v>
      </c>
      <c r="G10" s="308"/>
      <c r="H10" s="70"/>
      <c r="I10" s="71" t="s">
        <v>20</v>
      </c>
      <c r="J10" s="41">
        <f>+[4]파주!$H$86/1000</f>
        <v>-87.864331899721464</v>
      </c>
      <c r="K10" s="42">
        <f>+[4]파주!$I$86/1000</f>
        <v>-117.52525900000005</v>
      </c>
      <c r="L10" s="43">
        <f t="shared" si="0"/>
        <v>-29.660927100278585</v>
      </c>
      <c r="M10" s="44">
        <f>+[5]파주!$H$86/1000</f>
        <v>-106.54514699999989</v>
      </c>
      <c r="N10" s="45">
        <f t="shared" si="1"/>
        <v>-10.980112000000162</v>
      </c>
      <c r="O10" s="41">
        <f>+[4]파주!$H$92/1000</f>
        <v>-174.36827921414005</v>
      </c>
      <c r="P10" s="42">
        <f>+[4]파주!$I$92/1000</f>
        <v>-166.10406696614561</v>
      </c>
      <c r="Q10" s="43">
        <f t="shared" si="2"/>
        <v>8.2642122479944362</v>
      </c>
      <c r="R10" s="44">
        <f>+[5]파주!$H$92/1000</f>
        <v>-177.91119502315252</v>
      </c>
      <c r="S10" s="45">
        <f t="shared" si="3"/>
        <v>11.807128057006906</v>
      </c>
      <c r="T10" s="41">
        <f>+[4]파주!$H$86/1000</f>
        <v>-87.864331899721464</v>
      </c>
      <c r="U10" s="42">
        <f>+[4]파주!$I$86/1000</f>
        <v>-117.52525900000005</v>
      </c>
      <c r="V10" s="43">
        <f t="shared" si="4"/>
        <v>-29.660927100278585</v>
      </c>
      <c r="W10" s="44">
        <f>+[5]파주!$H$86/1000</f>
        <v>-106.54514699999989</v>
      </c>
      <c r="X10" s="45">
        <f t="shared" si="5"/>
        <v>-10.980112000000162</v>
      </c>
      <c r="Y10" s="41">
        <f>+[4]파주!$H$92/1000</f>
        <v>-174.36827921414005</v>
      </c>
      <c r="Z10" s="42">
        <f>+[4]파주!$I$92/1000</f>
        <v>-166.10406696614561</v>
      </c>
      <c r="AA10" s="43">
        <f t="shared" si="6"/>
        <v>8.2642122479944362</v>
      </c>
      <c r="AB10" s="44">
        <f>+[5]파주!$H$92/1000</f>
        <v>-177.91119502315252</v>
      </c>
      <c r="AC10" s="45">
        <f t="shared" si="7"/>
        <v>11.807128057006906</v>
      </c>
    </row>
    <row r="11" spans="1:32" s="6" customFormat="1" ht="22.5" customHeight="1" x14ac:dyDescent="0.3">
      <c r="B11" s="6" t="s">
        <v>107</v>
      </c>
      <c r="G11" s="308"/>
      <c r="H11" s="70"/>
      <c r="I11" s="71" t="s">
        <v>106</v>
      </c>
      <c r="J11" s="41">
        <f>+[4]김포!$H$86/1000</f>
        <v>-57.447522490696194</v>
      </c>
      <c r="K11" s="42">
        <f>+[4]김포!$I$86/1000</f>
        <v>-99.529529000000082</v>
      </c>
      <c r="L11" s="43">
        <f t="shared" si="0"/>
        <v>-42.082006509303888</v>
      </c>
      <c r="M11" s="44">
        <f>+[5]김포!$H$86/1000</f>
        <v>-107.3368960000001</v>
      </c>
      <c r="N11" s="45">
        <f t="shared" si="1"/>
        <v>7.8073670000000135</v>
      </c>
      <c r="O11" s="41">
        <f>+[4]김포!$H$92/1000</f>
        <v>-130.98855314384062</v>
      </c>
      <c r="P11" s="42">
        <f>+[4]김포!$I$92/1000</f>
        <v>-141.74811592616129</v>
      </c>
      <c r="Q11" s="43">
        <f t="shared" si="2"/>
        <v>-10.759562782320671</v>
      </c>
      <c r="R11" s="44">
        <f>+[5]김포!$H$92/1000</f>
        <v>-154.20977141375755</v>
      </c>
      <c r="S11" s="45">
        <f t="shared" si="3"/>
        <v>12.461655487596261</v>
      </c>
      <c r="T11" s="41">
        <f>+[4]김포!$H$86/1000</f>
        <v>-57.447522490696194</v>
      </c>
      <c r="U11" s="42">
        <f>+[4]김포!$I$86/1000</f>
        <v>-99.529529000000082</v>
      </c>
      <c r="V11" s="43">
        <f t="shared" si="4"/>
        <v>-42.082006509303888</v>
      </c>
      <c r="W11" s="44">
        <f>+[5]김포!$H$86/1000</f>
        <v>-107.3368960000001</v>
      </c>
      <c r="X11" s="45">
        <f t="shared" si="5"/>
        <v>7.8073670000000135</v>
      </c>
      <c r="Y11" s="41">
        <f>+[4]김포!$H$92/1000</f>
        <v>-130.98855314384062</v>
      </c>
      <c r="Z11" s="42">
        <f>+[4]김포!$I$92/1000</f>
        <v>-141.74811592616129</v>
      </c>
      <c r="AA11" s="43">
        <f t="shared" si="6"/>
        <v>-10.759562782320671</v>
      </c>
      <c r="AB11" s="44">
        <f>+[5]김포!$H$92/1000</f>
        <v>-154.20977141375755</v>
      </c>
      <c r="AC11" s="45">
        <f t="shared" si="7"/>
        <v>12.461655487596261</v>
      </c>
    </row>
    <row r="12" spans="1:32" s="6" customFormat="1" ht="22.5" customHeight="1" x14ac:dyDescent="0.3">
      <c r="B12" s="6" t="s">
        <v>21</v>
      </c>
      <c r="G12" s="306"/>
      <c r="H12" s="70"/>
      <c r="I12" s="72" t="s">
        <v>21</v>
      </c>
      <c r="J12" s="58">
        <f>+[4]부산!$H$86/1000</f>
        <v>86.208390364332843</v>
      </c>
      <c r="K12" s="59">
        <f>+[4]부산!$I$86/1000</f>
        <v>272.41340399999928</v>
      </c>
      <c r="L12" s="60">
        <f t="shared" si="0"/>
        <v>186.20501363566643</v>
      </c>
      <c r="M12" s="61">
        <f>+[5]부산!$H$86/1000</f>
        <v>26.931239000000105</v>
      </c>
      <c r="N12" s="62">
        <f t="shared" si="1"/>
        <v>245.48216499999916</v>
      </c>
      <c r="O12" s="58">
        <f>+[4]부산!$H$92/1000</f>
        <v>-99.46625765977106</v>
      </c>
      <c r="P12" s="59">
        <f>+[4]부산!$I$92/1000</f>
        <v>94.701169023672904</v>
      </c>
      <c r="Q12" s="60">
        <f t="shared" si="2"/>
        <v>194.16742668344398</v>
      </c>
      <c r="R12" s="61">
        <f>+[5]부산!$H$92/1000</f>
        <v>-108.267558559593</v>
      </c>
      <c r="S12" s="62">
        <f t="shared" si="3"/>
        <v>202.96872758326589</v>
      </c>
      <c r="T12" s="58">
        <f>+[4]부산!$H$86/1000</f>
        <v>86.208390364332843</v>
      </c>
      <c r="U12" s="59">
        <f>+[4]부산!$I$86/1000</f>
        <v>272.41340399999928</v>
      </c>
      <c r="V12" s="60">
        <f t="shared" si="4"/>
        <v>186.20501363566643</v>
      </c>
      <c r="W12" s="61">
        <f>+[5]부산!$H$86/1000</f>
        <v>26.931239000000105</v>
      </c>
      <c r="X12" s="62">
        <f t="shared" si="5"/>
        <v>245.48216499999916</v>
      </c>
      <c r="Y12" s="58">
        <f>+[4]부산!$H$92/1000</f>
        <v>-99.46625765977106</v>
      </c>
      <c r="Z12" s="59">
        <f>+[4]부산!$I$92/1000</f>
        <v>94.701169023672904</v>
      </c>
      <c r="AA12" s="60">
        <f t="shared" si="6"/>
        <v>194.16742668344398</v>
      </c>
      <c r="AB12" s="61">
        <f>+[5]부산!$H$92/1000</f>
        <v>-108.267558559593</v>
      </c>
      <c r="AC12" s="62">
        <f t="shared" si="7"/>
        <v>202.96872758326589</v>
      </c>
      <c r="AD12" s="459"/>
      <c r="AE12" s="82"/>
    </row>
    <row r="13" spans="1:32" s="6" customFormat="1" ht="22.5" customHeight="1" x14ac:dyDescent="0.3">
      <c r="B13" s="6" t="s">
        <v>22</v>
      </c>
      <c r="G13" s="306"/>
      <c r="H13" s="70"/>
      <c r="I13" s="71" t="s">
        <v>22</v>
      </c>
      <c r="J13" s="41">
        <f>+[4]서부산!$H$86/1000</f>
        <v>138.70124792613643</v>
      </c>
      <c r="K13" s="42">
        <f>+[4]서부산!$I$86/1000</f>
        <v>184.52322099999992</v>
      </c>
      <c r="L13" s="43">
        <f t="shared" si="0"/>
        <v>45.821973073863489</v>
      </c>
      <c r="M13" s="44">
        <f>+[5]서부산!$H$86/1000</f>
        <v>35.159032999999923</v>
      </c>
      <c r="N13" s="45">
        <f t="shared" si="1"/>
        <v>149.36418800000001</v>
      </c>
      <c r="O13" s="41">
        <f>+[4]서부산!$H$92/1000</f>
        <v>-33.579220078952083</v>
      </c>
      <c r="P13" s="42">
        <f>+[4]서부산!$I$92/1000</f>
        <v>62.015124627674375</v>
      </c>
      <c r="Q13" s="43">
        <f t="shared" si="2"/>
        <v>95.594344706626458</v>
      </c>
      <c r="R13" s="44">
        <f>+[5]서부산!$H$92/1000</f>
        <v>-78.874480650588367</v>
      </c>
      <c r="S13" s="45">
        <f t="shared" si="3"/>
        <v>140.88960527826274</v>
      </c>
      <c r="T13" s="41">
        <f>+[4]서부산!$H$86/1000</f>
        <v>138.70124792613643</v>
      </c>
      <c r="U13" s="42">
        <f>+[4]서부산!$I$86/1000</f>
        <v>184.52322099999992</v>
      </c>
      <c r="V13" s="43">
        <f t="shared" si="4"/>
        <v>45.821973073863489</v>
      </c>
      <c r="W13" s="44">
        <f>+[5]서부산!$H$86/1000</f>
        <v>35.159032999999923</v>
      </c>
      <c r="X13" s="45">
        <f t="shared" si="5"/>
        <v>149.36418800000001</v>
      </c>
      <c r="Y13" s="41">
        <f>+[4]서부산!$H$92/1000</f>
        <v>-33.579220078952083</v>
      </c>
      <c r="Z13" s="42">
        <f>+[4]서부산!$I$92/1000</f>
        <v>62.015124627674375</v>
      </c>
      <c r="AA13" s="43">
        <f t="shared" si="6"/>
        <v>95.594344706626458</v>
      </c>
      <c r="AB13" s="44">
        <f>+[5]서부산!$H$92/1000</f>
        <v>-78.874480650588367</v>
      </c>
      <c r="AC13" s="45">
        <f t="shared" si="7"/>
        <v>140.88960527826274</v>
      </c>
    </row>
    <row r="14" spans="1:32" s="6" customFormat="1" ht="22.5" customHeight="1" x14ac:dyDescent="0.3">
      <c r="B14" s="6" t="s">
        <v>23</v>
      </c>
      <c r="G14" s="306"/>
      <c r="H14" s="70"/>
      <c r="I14" s="71" t="s">
        <v>23</v>
      </c>
      <c r="J14" s="41">
        <f>+[4]김해!$H$86/1000</f>
        <v>-57.016563258290375</v>
      </c>
      <c r="K14" s="42">
        <f>+[4]김해!$I$86/1000</f>
        <v>-95.230253999999917</v>
      </c>
      <c r="L14" s="43">
        <f t="shared" si="0"/>
        <v>-38.213690741709541</v>
      </c>
      <c r="M14" s="44">
        <f>+[5]김해!$H$86/1000</f>
        <v>-64.48772100000005</v>
      </c>
      <c r="N14" s="45">
        <f t="shared" si="1"/>
        <v>-30.742532999999867</v>
      </c>
      <c r="O14" s="41">
        <f>+[4]김해!$H$92/1000</f>
        <v>-120.20138651349197</v>
      </c>
      <c r="P14" s="42">
        <f>+[4]김해!$I$92/1000</f>
        <v>-123.42138688263219</v>
      </c>
      <c r="Q14" s="43">
        <f t="shared" si="2"/>
        <v>-3.220000369140223</v>
      </c>
      <c r="R14" s="44">
        <f>+[5]김해!$H$92/1000</f>
        <v>-110.54285505582239</v>
      </c>
      <c r="S14" s="45">
        <f t="shared" si="3"/>
        <v>-12.878531826809805</v>
      </c>
      <c r="T14" s="41">
        <f>+[4]김해!$H$86/1000</f>
        <v>-57.016563258290375</v>
      </c>
      <c r="U14" s="42">
        <f>+[4]김해!$I$86/1000</f>
        <v>-95.230253999999917</v>
      </c>
      <c r="V14" s="43">
        <f t="shared" si="4"/>
        <v>-38.213690741709541</v>
      </c>
      <c r="W14" s="44">
        <f>+[5]김해!$H$86/1000</f>
        <v>-64.48772100000005</v>
      </c>
      <c r="X14" s="45">
        <f t="shared" si="5"/>
        <v>-30.742532999999867</v>
      </c>
      <c r="Y14" s="41">
        <f>+[4]김해!$H$92/1000</f>
        <v>-120.20138651349197</v>
      </c>
      <c r="Z14" s="42">
        <f>+[4]김해!$I$92/1000</f>
        <v>-123.42138688263219</v>
      </c>
      <c r="AA14" s="43">
        <f t="shared" si="6"/>
        <v>-3.220000369140223</v>
      </c>
      <c r="AB14" s="44">
        <f>+[5]김해!$H$92/1000</f>
        <v>-110.54285505582239</v>
      </c>
      <c r="AC14" s="45">
        <f t="shared" si="7"/>
        <v>-12.878531826809805</v>
      </c>
      <c r="AF14" s="455"/>
    </row>
    <row r="15" spans="1:32" s="6" customFormat="1" ht="22.5" customHeight="1" x14ac:dyDescent="0.3">
      <c r="B15" s="6" t="s">
        <v>24</v>
      </c>
      <c r="G15" s="306"/>
      <c r="H15" s="70"/>
      <c r="I15" s="71" t="s">
        <v>24</v>
      </c>
      <c r="J15" s="41">
        <f>+[4]정관!$H$86/1000</f>
        <v>64.322338149381778</v>
      </c>
      <c r="K15" s="42">
        <f>+[4]정관!$I$86/1000</f>
        <v>-66.073096999999976</v>
      </c>
      <c r="L15" s="43">
        <f t="shared" si="0"/>
        <v>-130.39543514938174</v>
      </c>
      <c r="M15" s="44">
        <f>+[5]정관!$H$86/1000</f>
        <v>94.408489999999901</v>
      </c>
      <c r="N15" s="45">
        <f t="shared" si="1"/>
        <v>-160.48158699999988</v>
      </c>
      <c r="O15" s="41">
        <f>+[4]정관!$H$92/1000</f>
        <v>-117.26229600692287</v>
      </c>
      <c r="P15" s="42">
        <f>+[4]정관!$I$92/1000</f>
        <v>-136.6145373146926</v>
      </c>
      <c r="Q15" s="43">
        <f t="shared" si="2"/>
        <v>-19.352241307769731</v>
      </c>
      <c r="R15" s="44">
        <f>+[5]정관!$H$92/1000</f>
        <v>-61.268050718756975</v>
      </c>
      <c r="S15" s="45">
        <f t="shared" si="3"/>
        <v>-75.34648659593563</v>
      </c>
      <c r="T15" s="41">
        <f>+[4]정관!$H$86/1000</f>
        <v>64.322338149381778</v>
      </c>
      <c r="U15" s="42">
        <f>+[4]정관!$I$86/1000</f>
        <v>-66.073096999999976</v>
      </c>
      <c r="V15" s="43">
        <f t="shared" si="4"/>
        <v>-130.39543514938174</v>
      </c>
      <c r="W15" s="44">
        <f>+[5]정관!$H$86/1000</f>
        <v>94.408489999999901</v>
      </c>
      <c r="X15" s="45">
        <f t="shared" si="5"/>
        <v>-160.48158699999988</v>
      </c>
      <c r="Y15" s="41">
        <f>+[4]정관!$H$92/1000</f>
        <v>-117.26229600692287</v>
      </c>
      <c r="Z15" s="42">
        <f>+[4]정관!$I$92/1000</f>
        <v>-136.6145373146926</v>
      </c>
      <c r="AA15" s="43">
        <f t="shared" si="6"/>
        <v>-19.352241307769731</v>
      </c>
      <c r="AB15" s="44">
        <f>+[5]정관!$H$92/1000</f>
        <v>-61.268050718756975</v>
      </c>
      <c r="AC15" s="45">
        <f t="shared" si="7"/>
        <v>-75.34648659593563</v>
      </c>
      <c r="AF15" s="455"/>
    </row>
    <row r="16" spans="1:32" s="6" customFormat="1" ht="22.5" customHeight="1" x14ac:dyDescent="0.3">
      <c r="B16" s="6" t="s">
        <v>25</v>
      </c>
      <c r="G16" s="306"/>
      <c r="H16" s="70"/>
      <c r="I16" s="71" t="s">
        <v>25</v>
      </c>
      <c r="J16" s="41">
        <f>+[4]양산!$H$86/1000</f>
        <v>-44.196690097102973</v>
      </c>
      <c r="K16" s="42">
        <f>+[4]양산!$I$86/1000</f>
        <v>-29.11063500000003</v>
      </c>
      <c r="L16" s="43">
        <f t="shared" si="0"/>
        <v>15.086055097102943</v>
      </c>
      <c r="M16" s="44">
        <f>+[5]양산!$H$86/1000</f>
        <v>-50.209251999999921</v>
      </c>
      <c r="N16" s="45">
        <f t="shared" si="1"/>
        <v>21.098616999999891</v>
      </c>
      <c r="O16" s="41">
        <f>+[4]양산!$H$92/1000</f>
        <v>-99.142484135518956</v>
      </c>
      <c r="P16" s="42">
        <f>+[4]양산!$I$92/1000</f>
        <v>-64.171547312706707</v>
      </c>
      <c r="Q16" s="43">
        <f t="shared" si="2"/>
        <v>34.970936822812249</v>
      </c>
      <c r="R16" s="44">
        <f>+[5]양산!$H$92/1000</f>
        <v>-100.63537914055949</v>
      </c>
      <c r="S16" s="45">
        <f t="shared" si="3"/>
        <v>36.463831827852786</v>
      </c>
      <c r="T16" s="41">
        <f>+[4]양산!$H$86/1000</f>
        <v>-44.196690097102973</v>
      </c>
      <c r="U16" s="42">
        <f>+[4]양산!$I$86/1000</f>
        <v>-29.11063500000003</v>
      </c>
      <c r="V16" s="43">
        <f t="shared" si="4"/>
        <v>15.086055097102943</v>
      </c>
      <c r="W16" s="44">
        <f>+[5]양산!$H$86/1000</f>
        <v>-50.209251999999921</v>
      </c>
      <c r="X16" s="45">
        <f t="shared" si="5"/>
        <v>21.098616999999891</v>
      </c>
      <c r="Y16" s="41">
        <f>+[4]양산!$H$92/1000</f>
        <v>-99.142484135518956</v>
      </c>
      <c r="Z16" s="42">
        <f>+[4]양산!$I$92/1000</f>
        <v>-64.171547312706707</v>
      </c>
      <c r="AA16" s="43">
        <f t="shared" si="6"/>
        <v>34.970936822812249</v>
      </c>
      <c r="AB16" s="44">
        <f>+[5]양산!$H$92/1000</f>
        <v>-100.63537914055949</v>
      </c>
      <c r="AC16" s="45">
        <f t="shared" si="7"/>
        <v>36.463831827852786</v>
      </c>
      <c r="AF16" s="455"/>
    </row>
    <row r="17" spans="2:30" s="6" customFormat="1" ht="22.5" customHeight="1" x14ac:dyDescent="0.3">
      <c r="B17" s="6" t="s">
        <v>26</v>
      </c>
      <c r="G17" s="306"/>
      <c r="H17" s="70"/>
      <c r="I17" s="71" t="s">
        <v>26</v>
      </c>
      <c r="J17" s="41">
        <f>+[4]창원!$H$86/1000</f>
        <v>-34.965426895848232</v>
      </c>
      <c r="K17" s="42">
        <f>+[4]창원!$I$86/1000</f>
        <v>6.9775800000001036</v>
      </c>
      <c r="L17" s="43">
        <f t="shared" si="0"/>
        <v>41.943006895848335</v>
      </c>
      <c r="M17" s="44">
        <f>+[5]창원!$H$86/1000</f>
        <v>7.2091169999999689</v>
      </c>
      <c r="N17" s="45">
        <f t="shared" si="1"/>
        <v>-0.23153699999986532</v>
      </c>
      <c r="O17" s="41">
        <f>+[4]창원!$H$92/1000</f>
        <v>-115.09261201377885</v>
      </c>
      <c r="P17" s="42">
        <f>+[4]창원!$I$92/1000</f>
        <v>-45.638644464764603</v>
      </c>
      <c r="Q17" s="43">
        <f t="shared" si="2"/>
        <v>69.453967549014237</v>
      </c>
      <c r="R17" s="44">
        <f>+[5]창원!$H$92/1000</f>
        <v>-78.364886570705252</v>
      </c>
      <c r="S17" s="45">
        <f t="shared" si="3"/>
        <v>32.726242105940649</v>
      </c>
      <c r="T17" s="41">
        <f>+[4]창원!$H$86/1000</f>
        <v>-34.965426895848232</v>
      </c>
      <c r="U17" s="42">
        <f>+[4]창원!$I$86/1000</f>
        <v>6.9775800000001036</v>
      </c>
      <c r="V17" s="43">
        <f t="shared" si="4"/>
        <v>41.943006895848335</v>
      </c>
      <c r="W17" s="44">
        <f>+[5]창원!$H$86/1000</f>
        <v>7.2091169999999689</v>
      </c>
      <c r="X17" s="45">
        <f t="shared" si="5"/>
        <v>-0.23153699999986532</v>
      </c>
      <c r="Y17" s="41">
        <f>+[4]창원!$H$92/1000</f>
        <v>-115.09261201377885</v>
      </c>
      <c r="Z17" s="42">
        <f>+[4]창원!$I$92/1000</f>
        <v>-45.638644464764603</v>
      </c>
      <c r="AA17" s="43">
        <f t="shared" si="6"/>
        <v>69.453967549014237</v>
      </c>
      <c r="AB17" s="44">
        <f>+[5]창원!$H$92/1000</f>
        <v>-78.364886570705252</v>
      </c>
      <c r="AC17" s="45">
        <f t="shared" si="7"/>
        <v>32.726242105940649</v>
      </c>
    </row>
    <row r="18" spans="2:30" s="6" customFormat="1" ht="22.5" customHeight="1" x14ac:dyDescent="0.3">
      <c r="B18" s="6" t="s">
        <v>69</v>
      </c>
      <c r="G18" s="306"/>
      <c r="H18" s="70"/>
      <c r="I18" s="71" t="s">
        <v>69</v>
      </c>
      <c r="J18" s="41">
        <f>+[4]대구!$H$86/1000</f>
        <v>-49.481991162648249</v>
      </c>
      <c r="K18" s="42">
        <f>+[4]대구!$I$86/1000</f>
        <v>-93.809217000000004</v>
      </c>
      <c r="L18" s="43">
        <f t="shared" si="0"/>
        <v>-44.327225837351754</v>
      </c>
      <c r="M18" s="44">
        <f>+[5]대구!$H$86/1000</f>
        <v>22.030701999999991</v>
      </c>
      <c r="N18" s="45">
        <f t="shared" si="1"/>
        <v>-115.83991899999999</v>
      </c>
      <c r="O18" s="41">
        <f>+[4]대구!$H$92/1000</f>
        <v>-106.14906552408885</v>
      </c>
      <c r="P18" s="42">
        <f>+[4]대구!$I$92/1000</f>
        <v>-111.12814064384978</v>
      </c>
      <c r="Q18" s="43">
        <f t="shared" si="2"/>
        <v>-4.9790751197609211</v>
      </c>
      <c r="R18" s="44">
        <f>+[5]대구!$H$92/1000</f>
        <v>-65.102493520816864</v>
      </c>
      <c r="S18" s="45">
        <f t="shared" si="3"/>
        <v>-46.025647123032911</v>
      </c>
      <c r="T18" s="41">
        <f>+[4]대구!$H$86/1000</f>
        <v>-49.481991162648249</v>
      </c>
      <c r="U18" s="42">
        <f>+[4]대구!$I$86/1000</f>
        <v>-93.809217000000004</v>
      </c>
      <c r="V18" s="43">
        <f t="shared" si="4"/>
        <v>-44.327225837351754</v>
      </c>
      <c r="W18" s="44">
        <f>+[5]대구!$H$86/1000</f>
        <v>22.030701999999991</v>
      </c>
      <c r="X18" s="45">
        <f t="shared" si="5"/>
        <v>-115.83991899999999</v>
      </c>
      <c r="Y18" s="41">
        <f>+[4]대구!$H$92/1000</f>
        <v>-106.14906552408885</v>
      </c>
      <c r="Z18" s="42">
        <f>+[4]대구!$I$92/1000</f>
        <v>-111.12814064384978</v>
      </c>
      <c r="AA18" s="43">
        <f t="shared" si="6"/>
        <v>-4.9790751197609211</v>
      </c>
      <c r="AB18" s="44">
        <f>+[5]대구!$H$92/1000</f>
        <v>-65.102493520816864</v>
      </c>
      <c r="AC18" s="45">
        <f t="shared" si="7"/>
        <v>-46.025647123032911</v>
      </c>
    </row>
    <row r="19" spans="2:30" s="6" customFormat="1" ht="22.5" customHeight="1" x14ac:dyDescent="0.3">
      <c r="B19" s="6" t="s">
        <v>70</v>
      </c>
      <c r="G19" s="308"/>
      <c r="H19" s="70"/>
      <c r="I19" s="73" t="s">
        <v>70</v>
      </c>
      <c r="J19" s="7">
        <f>+[4]울산!$H$86/1000</f>
        <v>-45.898809768158188</v>
      </c>
      <c r="K19" s="8">
        <f>+[4]울산!$I$86/1000</f>
        <v>84.076424999999901</v>
      </c>
      <c r="L19" s="9">
        <f t="shared" si="0"/>
        <v>129.97523476815809</v>
      </c>
      <c r="M19" s="10">
        <f>+[5]울산!$H$86/1000</f>
        <v>57.724488000000029</v>
      </c>
      <c r="N19" s="11">
        <f t="shared" si="1"/>
        <v>26.351936999999872</v>
      </c>
      <c r="O19" s="7">
        <f>+[4]울산!$H$92/1000</f>
        <v>-120.87554577015503</v>
      </c>
      <c r="P19" s="8">
        <f>+[4]울산!$I$92/1000</f>
        <v>2.696387171630573</v>
      </c>
      <c r="Q19" s="9">
        <f t="shared" si="2"/>
        <v>123.5719329417856</v>
      </c>
      <c r="R19" s="10">
        <f>+[5]울산!$H$92/1000</f>
        <v>-33.776092154775121</v>
      </c>
      <c r="S19" s="11">
        <f t="shared" si="3"/>
        <v>36.472479326405697</v>
      </c>
      <c r="T19" s="7">
        <f>+[4]울산!$H$86/1000</f>
        <v>-45.898809768158188</v>
      </c>
      <c r="U19" s="8">
        <f>+[4]울산!$I$86/1000</f>
        <v>84.076424999999901</v>
      </c>
      <c r="V19" s="9">
        <f t="shared" si="4"/>
        <v>129.97523476815809</v>
      </c>
      <c r="W19" s="10">
        <f>+[5]울산!$H$86/1000</f>
        <v>57.724488000000029</v>
      </c>
      <c r="X19" s="11">
        <f t="shared" si="5"/>
        <v>26.351936999999872</v>
      </c>
      <c r="Y19" s="7">
        <f>+[4]울산!$H$92/1000</f>
        <v>-120.87554577015503</v>
      </c>
      <c r="Z19" s="8">
        <f>+[4]울산!$I$92/1000</f>
        <v>2.696387171630573</v>
      </c>
      <c r="AA19" s="9">
        <f t="shared" si="6"/>
        <v>123.5719329417856</v>
      </c>
      <c r="AB19" s="10">
        <f>+[5]울산!$H$92/1000</f>
        <v>-33.776092154775121</v>
      </c>
      <c r="AC19" s="11">
        <f t="shared" si="7"/>
        <v>36.472479326405697</v>
      </c>
    </row>
    <row r="20" spans="2:30" s="6" customFormat="1" ht="22.5" customHeight="1" x14ac:dyDescent="0.3">
      <c r="B20" s="6" t="s">
        <v>75</v>
      </c>
      <c r="G20" s="308"/>
      <c r="H20" s="70"/>
      <c r="I20" s="71" t="s">
        <v>27</v>
      </c>
      <c r="J20" s="41">
        <f>+[4]아산!$H$86/1000</f>
        <v>-64.250070365544076</v>
      </c>
      <c r="K20" s="42">
        <f>+[4]아산!$I$86/1000</f>
        <v>3.8563899999998759</v>
      </c>
      <c r="L20" s="43">
        <f t="shared" si="0"/>
        <v>68.106460365543953</v>
      </c>
      <c r="M20" s="44">
        <f>+[5]아산!$H$86/1000</f>
        <v>-30.781557000000067</v>
      </c>
      <c r="N20" s="45">
        <f t="shared" si="1"/>
        <v>34.63794699999994</v>
      </c>
      <c r="O20" s="41">
        <f>+[4]아산!$H$92/1000</f>
        <v>-154.55142403262323</v>
      </c>
      <c r="P20" s="42">
        <f>+[4]아산!$I$92/1000</f>
        <v>-93.686938991909173</v>
      </c>
      <c r="Q20" s="43">
        <f t="shared" si="2"/>
        <v>60.864485040714058</v>
      </c>
      <c r="R20" s="44">
        <f>+[5]아산!$H$92/1000</f>
        <v>-183.92873610852942</v>
      </c>
      <c r="S20" s="45">
        <f t="shared" si="3"/>
        <v>90.241797116620248</v>
      </c>
      <c r="T20" s="41">
        <f>+[4]아산!$H$86/1000</f>
        <v>-64.250070365544076</v>
      </c>
      <c r="U20" s="42">
        <f>+[4]아산!$I$86/1000</f>
        <v>3.8563899999998759</v>
      </c>
      <c r="V20" s="43">
        <f t="shared" si="4"/>
        <v>68.106460365543953</v>
      </c>
      <c r="W20" s="44">
        <f>+[5]아산!$H$86/1000</f>
        <v>-30.781557000000067</v>
      </c>
      <c r="X20" s="45">
        <f t="shared" si="5"/>
        <v>34.63794699999994</v>
      </c>
      <c r="Y20" s="41">
        <f>+[4]아산!$H$92/1000</f>
        <v>-154.55142403262323</v>
      </c>
      <c r="Z20" s="42">
        <f>+[4]아산!$I$92/1000</f>
        <v>-93.686938991909173</v>
      </c>
      <c r="AA20" s="43">
        <f t="shared" si="6"/>
        <v>60.864485040714058</v>
      </c>
      <c r="AB20" s="44">
        <f>+[5]아산!$H$92/1000</f>
        <v>-183.92873610852942</v>
      </c>
      <c r="AC20" s="45">
        <f t="shared" si="7"/>
        <v>90.241797116620248</v>
      </c>
    </row>
    <row r="21" spans="2:30" s="6" customFormat="1" ht="22.5" customHeight="1" x14ac:dyDescent="0.3">
      <c r="B21" s="6" t="s">
        <v>71</v>
      </c>
      <c r="G21" s="308"/>
      <c r="H21" s="70"/>
      <c r="I21" s="71" t="s">
        <v>71</v>
      </c>
      <c r="J21" s="41">
        <f>+[4]전주!$H$86/1000</f>
        <v>-43.617229953282965</v>
      </c>
      <c r="K21" s="42">
        <f>+[4]전주!$I$86/1000</f>
        <v>-15.873016999999967</v>
      </c>
      <c r="L21" s="43">
        <f t="shared" si="0"/>
        <v>27.744212953282997</v>
      </c>
      <c r="M21" s="44">
        <f>+[5]전주!$H$86/1000</f>
        <v>103.70416099999986</v>
      </c>
      <c r="N21" s="45">
        <f t="shared" si="1"/>
        <v>-119.57717799999982</v>
      </c>
      <c r="O21" s="41">
        <f>+[4]전주!$H$92/1000</f>
        <v>-90.282978411085267</v>
      </c>
      <c r="P21" s="42">
        <f>+[4]전주!$I$92/1000</f>
        <v>-69.751995563852262</v>
      </c>
      <c r="Q21" s="43">
        <f t="shared" si="2"/>
        <v>20.530982847233005</v>
      </c>
      <c r="R21" s="44">
        <f>+[5]전주!$H$92/1000</f>
        <v>0.16470497816460555</v>
      </c>
      <c r="S21" s="45">
        <f t="shared" si="3"/>
        <v>-69.916700542016869</v>
      </c>
      <c r="T21" s="41">
        <f>+[4]전주!$H$86/1000</f>
        <v>-43.617229953282965</v>
      </c>
      <c r="U21" s="42">
        <f>+[4]전주!$I$86/1000</f>
        <v>-15.873016999999967</v>
      </c>
      <c r="V21" s="43">
        <f t="shared" si="4"/>
        <v>27.744212953282997</v>
      </c>
      <c r="W21" s="44">
        <f>+[5]전주!$H$86/1000</f>
        <v>103.70416099999986</v>
      </c>
      <c r="X21" s="45">
        <f t="shared" si="5"/>
        <v>-119.57717799999982</v>
      </c>
      <c r="Y21" s="41">
        <f>+[4]전주!$H$92/1000</f>
        <v>-90.282978411085267</v>
      </c>
      <c r="Z21" s="42">
        <f>+[4]전주!$I$92/1000</f>
        <v>-69.751995563852262</v>
      </c>
      <c r="AA21" s="43">
        <f t="shared" si="6"/>
        <v>20.530982847233005</v>
      </c>
      <c r="AB21" s="44">
        <f>+[5]전주!$H$92/1000</f>
        <v>0.16470497816460555</v>
      </c>
      <c r="AC21" s="45">
        <f t="shared" si="7"/>
        <v>-69.916700542016869</v>
      </c>
    </row>
    <row r="22" spans="2:30" s="6" customFormat="1" ht="22.5" customHeight="1" x14ac:dyDescent="0.3">
      <c r="B22" s="6" t="s">
        <v>72</v>
      </c>
      <c r="G22" s="308"/>
      <c r="H22" s="70"/>
      <c r="I22" s="71" t="s">
        <v>72</v>
      </c>
      <c r="J22" s="41">
        <f>+[4]군산!$H$86/1000</f>
        <v>6.2266765846474206</v>
      </c>
      <c r="K22" s="42">
        <f>+[4]군산!$I$86/1000</f>
        <v>3.845768000000013</v>
      </c>
      <c r="L22" s="43">
        <f t="shared" si="0"/>
        <v>-2.3809085846474076</v>
      </c>
      <c r="M22" s="44">
        <f>+[5]군산!$H$86/1000</f>
        <v>10.057200000000011</v>
      </c>
      <c r="N22" s="45">
        <f t="shared" si="1"/>
        <v>-6.2114319999999976</v>
      </c>
      <c r="O22" s="41">
        <f>+[4]군산!$H$92/1000</f>
        <v>-20.251216291053154</v>
      </c>
      <c r="P22" s="42">
        <f>+[4]군산!$I$92/1000</f>
        <v>-12.104515184244958</v>
      </c>
      <c r="Q22" s="43">
        <f t="shared" si="2"/>
        <v>8.1467011068081963</v>
      </c>
      <c r="R22" s="44">
        <f>+[5]군산!$H$92/1000</f>
        <v>-16.092249023352995</v>
      </c>
      <c r="S22" s="45">
        <f t="shared" si="3"/>
        <v>3.9877338391080368</v>
      </c>
      <c r="T22" s="41">
        <f>+[4]군산!$H$86/1000</f>
        <v>6.2266765846474206</v>
      </c>
      <c r="U22" s="42">
        <f>+[4]군산!$I$86/1000</f>
        <v>3.845768000000013</v>
      </c>
      <c r="V22" s="43">
        <f t="shared" si="4"/>
        <v>-2.3809085846474076</v>
      </c>
      <c r="W22" s="44">
        <f>+[5]군산!$H$86/1000</f>
        <v>10.057200000000011</v>
      </c>
      <c r="X22" s="45">
        <f t="shared" si="5"/>
        <v>-6.2114319999999976</v>
      </c>
      <c r="Y22" s="41">
        <f>+[4]군산!$H$92/1000</f>
        <v>-20.251216291053154</v>
      </c>
      <c r="Z22" s="42">
        <f>+[4]군산!$I$92/1000</f>
        <v>-12.104515184244958</v>
      </c>
      <c r="AA22" s="43">
        <f t="shared" si="6"/>
        <v>8.1467011068081963</v>
      </c>
      <c r="AB22" s="44">
        <f>+[5]군산!$H$92/1000</f>
        <v>-16.092249023352995</v>
      </c>
      <c r="AC22" s="45">
        <f t="shared" si="7"/>
        <v>3.9877338391080368</v>
      </c>
    </row>
    <row r="23" spans="2:30" s="6" customFormat="1" ht="22.5" customHeight="1" x14ac:dyDescent="0.3">
      <c r="B23" s="6" t="s">
        <v>73</v>
      </c>
      <c r="G23" s="308"/>
      <c r="H23" s="70"/>
      <c r="I23" s="71" t="s">
        <v>73</v>
      </c>
      <c r="J23" s="41">
        <f>+[4]원주!$H$86/1000</f>
        <v>18.286728016517589</v>
      </c>
      <c r="K23" s="42">
        <f>+[4]원주!$I$86/1000</f>
        <v>7.133796999999988</v>
      </c>
      <c r="L23" s="43">
        <f t="shared" si="0"/>
        <v>-11.152931016517602</v>
      </c>
      <c r="M23" s="44">
        <f>+[5]원주!$H$86/1000</f>
        <v>-4.0297040000000202</v>
      </c>
      <c r="N23" s="45">
        <f t="shared" si="1"/>
        <v>11.163501000000007</v>
      </c>
      <c r="O23" s="41">
        <f>+[4]원주!$H$92/1000</f>
        <v>-13.209295498361708</v>
      </c>
      <c r="P23" s="42">
        <f>+[4]원주!$I$92/1000</f>
        <v>-10.176581424053722</v>
      </c>
      <c r="Q23" s="43">
        <f t="shared" si="2"/>
        <v>3.0327140743079859</v>
      </c>
      <c r="R23" s="44">
        <f>+[5]원주!$H$92/1000</f>
        <v>-26.154028860716384</v>
      </c>
      <c r="S23" s="45">
        <f t="shared" si="3"/>
        <v>15.977447436662661</v>
      </c>
      <c r="T23" s="41">
        <f>+[4]원주!$H$86/1000</f>
        <v>18.286728016517589</v>
      </c>
      <c r="U23" s="42">
        <f>+[4]원주!$I$86/1000</f>
        <v>7.133796999999988</v>
      </c>
      <c r="V23" s="43">
        <f t="shared" si="4"/>
        <v>-11.152931016517602</v>
      </c>
      <c r="W23" s="44">
        <f>+[5]원주!$H$86/1000</f>
        <v>-4.0297040000000202</v>
      </c>
      <c r="X23" s="45">
        <f t="shared" si="5"/>
        <v>11.163501000000007</v>
      </c>
      <c r="Y23" s="41">
        <f>+[4]원주!$H$92/1000</f>
        <v>-13.209295498361708</v>
      </c>
      <c r="Z23" s="42">
        <f>+[4]원주!$I$92/1000</f>
        <v>-10.176581424053722</v>
      </c>
      <c r="AA23" s="43">
        <f t="shared" si="6"/>
        <v>3.0327140743079859</v>
      </c>
      <c r="AB23" s="44">
        <f>+[5]원주!$H$92/1000</f>
        <v>-26.154028860716384</v>
      </c>
      <c r="AC23" s="45">
        <f t="shared" si="7"/>
        <v>15.977447436662661</v>
      </c>
    </row>
    <row r="24" spans="2:30" s="6" customFormat="1" ht="22.5" customHeight="1" x14ac:dyDescent="0.3">
      <c r="B24" s="6" t="s">
        <v>74</v>
      </c>
      <c r="F24" s="80"/>
      <c r="G24" s="306"/>
      <c r="H24" s="70"/>
      <c r="I24" s="71" t="s">
        <v>74</v>
      </c>
      <c r="J24" s="41">
        <f>+[4]제주!$H$86/1000</f>
        <v>51.136169312184968</v>
      </c>
      <c r="K24" s="42">
        <f>+[4]제주!$I$86/1000</f>
        <v>2.6381320000000432</v>
      </c>
      <c r="L24" s="43">
        <f t="shared" si="0"/>
        <v>-48.498037312184927</v>
      </c>
      <c r="M24" s="44">
        <f>+[5]제주!$H$86/1000</f>
        <v>68.396145000000033</v>
      </c>
      <c r="N24" s="45">
        <f t="shared" si="1"/>
        <v>-65.758012999999991</v>
      </c>
      <c r="O24" s="41">
        <f>+[4]제주!$H$92/1000</f>
        <v>-15.398706674789631</v>
      </c>
      <c r="P24" s="42">
        <f>+[4]제주!$I$92/1000</f>
        <v>-27.84929736075015</v>
      </c>
      <c r="Q24" s="43">
        <f t="shared" si="2"/>
        <v>-12.450590685960519</v>
      </c>
      <c r="R24" s="44">
        <f>+[5]제주!$H$92/1000</f>
        <v>3.7956201853957028</v>
      </c>
      <c r="S24" s="45">
        <f t="shared" si="3"/>
        <v>-31.644917546145852</v>
      </c>
      <c r="T24" s="41">
        <f>+[4]제주!$H$86/1000</f>
        <v>51.136169312184968</v>
      </c>
      <c r="U24" s="42">
        <f>+[4]제주!$I$86/1000</f>
        <v>2.6381320000000432</v>
      </c>
      <c r="V24" s="43">
        <f t="shared" si="4"/>
        <v>-48.498037312184927</v>
      </c>
      <c r="W24" s="44">
        <f>+[5]제주!$H$86/1000</f>
        <v>68.396145000000033</v>
      </c>
      <c r="X24" s="45">
        <f t="shared" si="5"/>
        <v>-65.758012999999991</v>
      </c>
      <c r="Y24" s="41">
        <f>+[4]제주!$H$92/1000</f>
        <v>-15.398706674789631</v>
      </c>
      <c r="Z24" s="42">
        <f>+[4]제주!$I$92/1000</f>
        <v>-27.84929736075015</v>
      </c>
      <c r="AA24" s="43">
        <f t="shared" si="6"/>
        <v>-12.450590685960519</v>
      </c>
      <c r="AB24" s="44">
        <f>+[5]제주!$H$92/1000</f>
        <v>3.7956201853957028</v>
      </c>
      <c r="AC24" s="45">
        <f t="shared" si="7"/>
        <v>-31.644917546145852</v>
      </c>
    </row>
    <row r="25" spans="2:30" s="6" customFormat="1" ht="22.5" customHeight="1" x14ac:dyDescent="0.3">
      <c r="F25" s="465"/>
      <c r="G25" s="309"/>
      <c r="H25" s="70"/>
      <c r="I25" s="74" t="s">
        <v>42</v>
      </c>
      <c r="J25" s="20">
        <f>SUM(J8:J11)</f>
        <v>-0.30728828508997452</v>
      </c>
      <c r="K25" s="17">
        <f>SUM(K8:K11)</f>
        <v>-16.389475000000445</v>
      </c>
      <c r="L25" s="18">
        <f t="shared" si="0"/>
        <v>-16.08218671491047</v>
      </c>
      <c r="M25" s="22">
        <f>SUM(M8:M11)</f>
        <v>-252.97409999999945</v>
      </c>
      <c r="N25" s="19">
        <f t="shared" si="1"/>
        <v>236.58462499999899</v>
      </c>
      <c r="O25" s="20">
        <f>SUM(O8:O11)</f>
        <v>-652.00863290864595</v>
      </c>
      <c r="P25" s="17">
        <f>SUM(P8:P11)</f>
        <v>-467.31572894043518</v>
      </c>
      <c r="Q25" s="18">
        <f t="shared" si="2"/>
        <v>184.69290396821077</v>
      </c>
      <c r="R25" s="22">
        <f>SUM(R8:R11)</f>
        <v>-755.00625893219831</v>
      </c>
      <c r="S25" s="19">
        <f t="shared" si="3"/>
        <v>287.69052999176313</v>
      </c>
      <c r="T25" s="20">
        <f>SUM(T8:T11)</f>
        <v>-0.30728828508997452</v>
      </c>
      <c r="U25" s="17">
        <f>SUM(U8:U11)</f>
        <v>-16.389475000000445</v>
      </c>
      <c r="V25" s="18">
        <f>+U25-T25</f>
        <v>-16.08218671491047</v>
      </c>
      <c r="W25" s="22">
        <f>SUM(W8:W11)</f>
        <v>-252.97409999999945</v>
      </c>
      <c r="X25" s="19">
        <f>+U25-W25</f>
        <v>236.58462499999899</v>
      </c>
      <c r="Y25" s="20">
        <f>SUM(Y8:Y11)</f>
        <v>-652.00863290864595</v>
      </c>
      <c r="Z25" s="17">
        <f>SUM(Z8:Z11)</f>
        <v>-467.31572894043518</v>
      </c>
      <c r="AA25" s="18">
        <f>+Z25-Y25</f>
        <v>184.69290396821077</v>
      </c>
      <c r="AB25" s="22">
        <f>SUM(AB8:AB11)</f>
        <v>-755.00625893219831</v>
      </c>
      <c r="AC25" s="19">
        <f>+Z25-AB25</f>
        <v>287.69052999176313</v>
      </c>
    </row>
    <row r="26" spans="2:30" s="6" customFormat="1" ht="22.5" customHeight="1" x14ac:dyDescent="0.3">
      <c r="F26" s="465"/>
      <c r="G26" s="306"/>
      <c r="H26" s="70"/>
      <c r="I26" s="74" t="s">
        <v>43</v>
      </c>
      <c r="J26" s="20">
        <f>SUM(J12:J19)</f>
        <v>57.672495257803021</v>
      </c>
      <c r="K26" s="17">
        <f>SUM(K12:K19)</f>
        <v>263.76742699999937</v>
      </c>
      <c r="L26" s="18">
        <f t="shared" si="0"/>
        <v>206.09493174219637</v>
      </c>
      <c r="M26" s="22">
        <f>SUM(M12:M19)</f>
        <v>128.76609599999995</v>
      </c>
      <c r="N26" s="19">
        <f t="shared" si="1"/>
        <v>135.00133099999942</v>
      </c>
      <c r="O26" s="20">
        <f>SUM(O12:O19)</f>
        <v>-811.76886770267959</v>
      </c>
      <c r="P26" s="17">
        <f>SUM(P12:P19)</f>
        <v>-321.56157579566798</v>
      </c>
      <c r="Q26" s="18">
        <f t="shared" si="2"/>
        <v>490.20729190701161</v>
      </c>
      <c r="R26" s="22">
        <f>SUM(R12:R19)</f>
        <v>-636.83179637161754</v>
      </c>
      <c r="S26" s="19">
        <f t="shared" si="3"/>
        <v>315.27022057594957</v>
      </c>
      <c r="T26" s="20">
        <f>SUM(T12:T19)</f>
        <v>57.672495257803021</v>
      </c>
      <c r="U26" s="17">
        <f>SUM(U12:U19)</f>
        <v>263.76742699999937</v>
      </c>
      <c r="V26" s="18">
        <f>+U26-T26</f>
        <v>206.09493174219637</v>
      </c>
      <c r="W26" s="22">
        <f>SUM(W12:W19)</f>
        <v>128.76609599999995</v>
      </c>
      <c r="X26" s="19">
        <f>+U26-W26</f>
        <v>135.00133099999942</v>
      </c>
      <c r="Y26" s="20">
        <f>SUM(Y12:Y19)</f>
        <v>-811.76886770267959</v>
      </c>
      <c r="Z26" s="17">
        <f>SUM(Z12:Z19)</f>
        <v>-321.56157579566798</v>
      </c>
      <c r="AA26" s="18">
        <f>+Z26-Y26</f>
        <v>490.20729190701161</v>
      </c>
      <c r="AB26" s="22">
        <f>SUM(AB12:AB19)</f>
        <v>-636.83179637161754</v>
      </c>
      <c r="AC26" s="19">
        <f>+Z26-AB26</f>
        <v>315.27022057594957</v>
      </c>
    </row>
    <row r="27" spans="2:30" s="6" customFormat="1" ht="22.5" customHeight="1" x14ac:dyDescent="0.3">
      <c r="F27" s="465"/>
      <c r="G27" s="306"/>
      <c r="H27" s="70"/>
      <c r="I27" s="74" t="s">
        <v>104</v>
      </c>
      <c r="J27" s="20">
        <f>SUM(J20:J24)</f>
        <v>-32.217726405477059</v>
      </c>
      <c r="K27" s="17">
        <f>SUM(K20:K24)</f>
        <v>1.6010699999999529</v>
      </c>
      <c r="L27" s="18">
        <f t="shared" si="0"/>
        <v>33.818796405477009</v>
      </c>
      <c r="M27" s="22">
        <f>SUM(M20:M24)</f>
        <v>147.34624499999981</v>
      </c>
      <c r="N27" s="19">
        <f t="shared" si="1"/>
        <v>-145.74517499999985</v>
      </c>
      <c r="O27" s="20">
        <f>SUM(O20:O24)</f>
        <v>-293.69362090791299</v>
      </c>
      <c r="P27" s="17">
        <f>SUM(P20:P24)</f>
        <v>-213.56932852481023</v>
      </c>
      <c r="Q27" s="18">
        <f t="shared" si="2"/>
        <v>80.124292383102755</v>
      </c>
      <c r="R27" s="22">
        <f>SUM(R20:R24)</f>
        <v>-222.21468882903849</v>
      </c>
      <c r="S27" s="19">
        <f t="shared" si="3"/>
        <v>8.6453603042282623</v>
      </c>
      <c r="T27" s="20">
        <f>SUM(T20:T24)</f>
        <v>-32.217726405477059</v>
      </c>
      <c r="U27" s="17">
        <f>SUM(U20:U24)</f>
        <v>1.6010699999999529</v>
      </c>
      <c r="V27" s="18">
        <f>+U27-T27</f>
        <v>33.818796405477009</v>
      </c>
      <c r="W27" s="22">
        <f>SUM(W20:W24)</f>
        <v>147.34624499999981</v>
      </c>
      <c r="X27" s="19">
        <f>+U27-W27</f>
        <v>-145.74517499999985</v>
      </c>
      <c r="Y27" s="20">
        <f>SUM(Y20:Y24)</f>
        <v>-293.69362090791299</v>
      </c>
      <c r="Z27" s="17">
        <f>SUM(Z20:Z24)</f>
        <v>-213.56932852481023</v>
      </c>
      <c r="AA27" s="18">
        <f>+Z27-Y27</f>
        <v>80.124292383102755</v>
      </c>
      <c r="AB27" s="22">
        <f>SUM(AB20:AB24)</f>
        <v>-222.21468882903849</v>
      </c>
      <c r="AC27" s="19">
        <f>+Z27-AB27</f>
        <v>8.6453603042282623</v>
      </c>
    </row>
    <row r="28" spans="2:30" s="1" customFormat="1" ht="22.5" customHeight="1" x14ac:dyDescent="0.3">
      <c r="B28" s="23"/>
      <c r="F28" s="454"/>
      <c r="G28" s="308"/>
      <c r="H28" s="503" t="s">
        <v>93</v>
      </c>
      <c r="I28" s="504"/>
      <c r="J28" s="505">
        <f>SUM(J25:J27)</f>
        <v>25.147480567235988</v>
      </c>
      <c r="K28" s="506">
        <f>SUM(K25:K27)</f>
        <v>248.97902199999888</v>
      </c>
      <c r="L28" s="507">
        <f t="shared" si="0"/>
        <v>223.83154143276289</v>
      </c>
      <c r="M28" s="508">
        <f>SUM(M25:M27)</f>
        <v>23.138241000000306</v>
      </c>
      <c r="N28" s="509">
        <f t="shared" si="1"/>
        <v>225.84078099999857</v>
      </c>
      <c r="O28" s="505">
        <f>SUM(O25:O27)</f>
        <v>-1757.4711215192387</v>
      </c>
      <c r="P28" s="506">
        <f>SUM(P25:P27)</f>
        <v>-1002.4466332609134</v>
      </c>
      <c r="Q28" s="507">
        <f t="shared" si="2"/>
        <v>755.02448825832539</v>
      </c>
      <c r="R28" s="508">
        <f>SUM(R25:R27)</f>
        <v>-1614.0527441328545</v>
      </c>
      <c r="S28" s="509">
        <f t="shared" si="3"/>
        <v>611.60611087194115</v>
      </c>
      <c r="T28" s="505">
        <f>SUM(T25:T27)</f>
        <v>25.147480567235988</v>
      </c>
      <c r="U28" s="506">
        <f>SUM(U25:U27)</f>
        <v>248.97902199999888</v>
      </c>
      <c r="V28" s="507">
        <f>+U28-T28</f>
        <v>223.83154143276289</v>
      </c>
      <c r="W28" s="508">
        <f>SUM(W25:W27)</f>
        <v>23.138241000000306</v>
      </c>
      <c r="X28" s="509">
        <f>+U28-W28</f>
        <v>225.84078099999857</v>
      </c>
      <c r="Y28" s="505">
        <f>SUM(Y25:Y27)</f>
        <v>-1757.4711215192387</v>
      </c>
      <c r="Z28" s="506">
        <f>SUM(Z25:Z27)</f>
        <v>-1002.4466332609134</v>
      </c>
      <c r="AA28" s="507">
        <f>+Z28-Y28</f>
        <v>755.02448825832539</v>
      </c>
      <c r="AB28" s="508">
        <f>SUM(AB25:AB27)</f>
        <v>-1614.0527441328545</v>
      </c>
      <c r="AC28" s="509">
        <f>+Z28-AB28</f>
        <v>611.60611087194115</v>
      </c>
      <c r="AD28" s="23"/>
    </row>
  </sheetData>
  <mergeCells count="1">
    <mergeCell ref="H5:I7"/>
  </mergeCells>
  <phoneticPr fontId="1" type="noConversion"/>
  <printOptions horizontalCentered="1"/>
  <pageMargins left="0" right="0" top="0.39370078740157483" bottom="0.19685039370078741" header="0.31496062992125984" footer="0.31496062992125984"/>
  <pageSetup paperSize="9" scale="70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>
    <tabColor theme="0"/>
    <pageSetUpPr fitToPage="1"/>
  </sheetPr>
  <dimension ref="A1:AQ80"/>
  <sheetViews>
    <sheetView showGridLines="0" showZeros="0" tabSelected="1" topLeftCell="F19" zoomScale="85" zoomScaleNormal="85" zoomScaleSheetLayoutView="85" workbookViewId="0">
      <selection activeCell="U35" activeCellId="1" sqref="U32:U33 U35:U39"/>
    </sheetView>
  </sheetViews>
  <sheetFormatPr defaultRowHeight="16.5" x14ac:dyDescent="0.3"/>
  <cols>
    <col min="1" max="1" width="9" hidden="1" customWidth="1"/>
    <col min="2" max="2" width="13" hidden="1" customWidth="1"/>
    <col min="3" max="3" width="11" hidden="1" customWidth="1"/>
    <col min="4" max="4" width="9" hidden="1" customWidth="1"/>
    <col min="5" max="5" width="13.75" hidden="1" customWidth="1"/>
    <col min="6" max="6" width="6.75" bestFit="1" customWidth="1"/>
    <col min="7" max="7" width="9" style="3"/>
    <col min="8" max="8" width="7.5" customWidth="1"/>
    <col min="9" max="9" width="11" bestFit="1" customWidth="1"/>
    <col min="10" max="14" width="8.625" customWidth="1"/>
    <col min="15" max="24" width="9.125" customWidth="1"/>
    <col min="25" max="33" width="8.625" customWidth="1"/>
    <col min="34" max="34" width="0.75" customWidth="1"/>
    <col min="36" max="36" width="12.125" bestFit="1" customWidth="1"/>
    <col min="37" max="37" width="13.625" bestFit="1" customWidth="1"/>
    <col min="38" max="38" width="9.25" bestFit="1" customWidth="1"/>
    <col min="39" max="39" width="8.25" customWidth="1"/>
    <col min="41" max="41" width="13.25" bestFit="1" customWidth="1"/>
    <col min="42" max="43" width="9.875" bestFit="1" customWidth="1"/>
  </cols>
  <sheetData>
    <row r="1" spans="1:39" ht="18" customHeight="1" x14ac:dyDescent="0.3">
      <c r="H1" s="2"/>
      <c r="K1" s="4"/>
      <c r="L1" s="4"/>
      <c r="P1" s="4"/>
      <c r="Q1" s="4"/>
    </row>
    <row r="2" spans="1:39" ht="18" customHeight="1" x14ac:dyDescent="0.3">
      <c r="H2" s="5"/>
      <c r="AD2" s="3"/>
      <c r="AG2" s="3"/>
    </row>
    <row r="3" spans="1:39" ht="26.25" x14ac:dyDescent="0.3">
      <c r="H3" s="2" t="s">
        <v>188</v>
      </c>
      <c r="AD3" s="3"/>
      <c r="AG3" s="3"/>
    </row>
    <row r="4" spans="1:39" ht="18" customHeight="1" x14ac:dyDescent="0.3">
      <c r="H4" s="5"/>
      <c r="AD4" s="3"/>
      <c r="AG4" s="3" t="s">
        <v>76</v>
      </c>
    </row>
    <row r="5" spans="1:39" s="6" customFormat="1" ht="19.5" customHeight="1" x14ac:dyDescent="0.3">
      <c r="G5" s="306"/>
      <c r="H5" s="635" t="s">
        <v>35</v>
      </c>
      <c r="I5" s="636"/>
      <c r="J5" s="146" t="s">
        <v>51</v>
      </c>
      <c r="K5" s="147"/>
      <c r="L5" s="147"/>
      <c r="M5" s="147"/>
      <c r="N5" s="148"/>
      <c r="O5" s="146" t="s">
        <v>52</v>
      </c>
      <c r="P5" s="147"/>
      <c r="Q5" s="147"/>
      <c r="R5" s="147"/>
      <c r="S5" s="148"/>
      <c r="T5" s="146" t="s">
        <v>97</v>
      </c>
      <c r="U5" s="147"/>
      <c r="V5" s="147"/>
      <c r="W5" s="147"/>
      <c r="X5" s="148"/>
      <c r="Y5" s="146" t="s">
        <v>53</v>
      </c>
      <c r="Z5" s="147"/>
      <c r="AA5" s="148"/>
      <c r="AB5" s="146" t="s">
        <v>34</v>
      </c>
      <c r="AC5" s="147"/>
      <c r="AD5" s="148"/>
      <c r="AE5" s="146" t="s">
        <v>54</v>
      </c>
      <c r="AF5" s="147"/>
      <c r="AG5" s="148"/>
    </row>
    <row r="6" spans="1:39" s="6" customFormat="1" ht="19.5" customHeight="1" x14ac:dyDescent="0.3">
      <c r="A6" s="6" t="s">
        <v>175</v>
      </c>
      <c r="G6" s="306"/>
      <c r="H6" s="637"/>
      <c r="I6" s="634"/>
      <c r="J6" s="149" t="s">
        <v>36</v>
      </c>
      <c r="K6" s="150" t="s">
        <v>37</v>
      </c>
      <c r="L6" s="151" t="s">
        <v>38</v>
      </c>
      <c r="M6" s="150" t="s">
        <v>39</v>
      </c>
      <c r="N6" s="152" t="s">
        <v>38</v>
      </c>
      <c r="O6" s="149" t="s">
        <v>12</v>
      </c>
      <c r="P6" s="150" t="s">
        <v>13</v>
      </c>
      <c r="Q6" s="151" t="s">
        <v>28</v>
      </c>
      <c r="R6" s="150" t="s">
        <v>14</v>
      </c>
      <c r="S6" s="152" t="s">
        <v>28</v>
      </c>
      <c r="T6" s="149" t="s">
        <v>12</v>
      </c>
      <c r="U6" s="150" t="s">
        <v>13</v>
      </c>
      <c r="V6" s="151" t="s">
        <v>28</v>
      </c>
      <c r="W6" s="150" t="s">
        <v>14</v>
      </c>
      <c r="X6" s="152" t="s">
        <v>28</v>
      </c>
      <c r="Y6" s="153" t="s">
        <v>12</v>
      </c>
      <c r="Z6" s="154" t="s">
        <v>13</v>
      </c>
      <c r="AA6" s="155" t="s">
        <v>14</v>
      </c>
      <c r="AB6" s="156" t="s">
        <v>12</v>
      </c>
      <c r="AC6" s="154" t="s">
        <v>13</v>
      </c>
      <c r="AD6" s="152" t="s">
        <v>14</v>
      </c>
      <c r="AE6" s="156" t="s">
        <v>12</v>
      </c>
      <c r="AF6" s="154" t="s">
        <v>13</v>
      </c>
      <c r="AG6" s="152" t="s">
        <v>14</v>
      </c>
    </row>
    <row r="7" spans="1:39" s="6" customFormat="1" ht="22.5" customHeight="1" x14ac:dyDescent="0.3">
      <c r="B7" s="6" t="s">
        <v>18</v>
      </c>
      <c r="G7" s="307" t="str">
        <f>+I7</f>
        <v>안양</v>
      </c>
      <c r="H7" s="68" t="s">
        <v>40</v>
      </c>
      <c r="I7" s="69" t="s">
        <v>18</v>
      </c>
      <c r="J7" s="31">
        <f>+IFERROR(HLOOKUP($B7,'[1]1월'!$D$6:$BN$259,2,),)/1000</f>
        <v>29</v>
      </c>
      <c r="K7" s="32">
        <f>+IFERROR(HLOOKUP($B7,'[2]1월'!$F$6:$CP$99,2,),)/1000</f>
        <v>30.861999999999998</v>
      </c>
      <c r="L7" s="33">
        <f t="shared" ref="L7:L26" si="0">+K7-J7</f>
        <v>1.8619999999999983</v>
      </c>
      <c r="M7" s="34">
        <f>+IFERROR(HLOOKUP($B7,'[3]1월'!$F$6:$CC$57,2,),)/1000</f>
        <v>27.196999999999999</v>
      </c>
      <c r="N7" s="35">
        <f>+K7-M7</f>
        <v>3.6649999999999991</v>
      </c>
      <c r="O7" s="31">
        <f>+IFERROR(HLOOKUP($B7,'[1]1월'!$D$6:$BN$259,3,),)/1000</f>
        <v>2871.9846189999998</v>
      </c>
      <c r="P7" s="32">
        <f>+IFERROR(HLOOKUP($B7,'[2]1월'!$F$6:$CP$99,3,),)/1000</f>
        <v>3337.1809109999999</v>
      </c>
      <c r="Q7" s="33">
        <f>+P7-O7</f>
        <v>465.19629200000008</v>
      </c>
      <c r="R7" s="34">
        <f>+IFERROR(HLOOKUP($B7,'[3]1월'!$F$6:$CC$57,3,),)/1000</f>
        <v>2706.270035</v>
      </c>
      <c r="S7" s="35">
        <f>+P7-R7</f>
        <v>630.91087599999992</v>
      </c>
      <c r="T7" s="31">
        <f>+IFERROR(HLOOKUP($B7,'[1]1월'!$D$6:$BN$259,16,),)/1000</f>
        <v>174.44457178111784</v>
      </c>
      <c r="U7" s="32">
        <f>+IFERROR(HLOOKUP($B7,'[2]1월'!$F$6:$CP$99,16,),)/1000</f>
        <v>231.2320129999998</v>
      </c>
      <c r="V7" s="36">
        <f>+U7-T7</f>
        <v>56.787441218881952</v>
      </c>
      <c r="W7" s="37">
        <f>+IFERROR(HLOOKUP($B7,'[3]1월'!$F$6:$CC$57,16,),)/1000</f>
        <v>88.057685000000447</v>
      </c>
      <c r="X7" s="35">
        <f>+U7-W7</f>
        <v>143.17432799999935</v>
      </c>
      <c r="Y7" s="31">
        <f>+[4]안양!$Q$85</f>
        <v>99033.952379310344</v>
      </c>
      <c r="Z7" s="32">
        <f>+[4]안양!$R$85</f>
        <v>108132.36054047047</v>
      </c>
      <c r="AA7" s="38">
        <f>+[5]안양!$Q$85</f>
        <v>99506.196823179038</v>
      </c>
      <c r="AB7" s="39">
        <f>+[4]안양!$Q$89</f>
        <v>81955.945786283308</v>
      </c>
      <c r="AC7" s="32">
        <f>+[4]안양!$R$89</f>
        <v>90380.611989118464</v>
      </c>
      <c r="AD7" s="40">
        <f>+[5]안양!$Q$89</f>
        <v>84769.104460050745</v>
      </c>
      <c r="AE7" s="39">
        <f>+Y7-AB7</f>
        <v>17078.006593027036</v>
      </c>
      <c r="AF7" s="32">
        <f>+Z7-AC7</f>
        <v>17751.748551352008</v>
      </c>
      <c r="AG7" s="40">
        <f>+AA7-AD7</f>
        <v>14737.092363128293</v>
      </c>
      <c r="AH7" s="15"/>
      <c r="AI7" s="16"/>
      <c r="AJ7" s="455"/>
      <c r="AK7" s="455"/>
    </row>
    <row r="8" spans="1:39" s="6" customFormat="1" ht="22.5" customHeight="1" x14ac:dyDescent="0.3">
      <c r="B8" s="6" t="s">
        <v>19</v>
      </c>
      <c r="G8" s="308" t="str">
        <f t="shared" ref="G8:G26" si="1">+I8</f>
        <v>인천</v>
      </c>
      <c r="H8" s="70" t="s">
        <v>41</v>
      </c>
      <c r="I8" s="71" t="s">
        <v>19</v>
      </c>
      <c r="J8" s="41">
        <f>+IFERROR(HLOOKUP($B8,'[1]1월'!$D$6:$BN$259,2,),)/1000</f>
        <v>25</v>
      </c>
      <c r="K8" s="42">
        <f>+IFERROR(HLOOKUP($B8,'[2]1월'!$F$6:$CP$99,2,),)/1000</f>
        <v>21.869</v>
      </c>
      <c r="L8" s="43">
        <f t="shared" si="0"/>
        <v>-3.1310000000000002</v>
      </c>
      <c r="M8" s="44">
        <f>+IFERROR(HLOOKUP($B8,'[3]1월'!$F$6:$CC$57,2,),)/1000</f>
        <v>15.904</v>
      </c>
      <c r="N8" s="45">
        <f t="shared" ref="N8:N26" si="2">+K8-M8</f>
        <v>5.9649999999999999</v>
      </c>
      <c r="O8" s="41">
        <f>+IFERROR(HLOOKUP($B8,'[1]1월'!$D$6:$BN$259,3,),)/1000</f>
        <v>2502.850485454539</v>
      </c>
      <c r="P8" s="42">
        <f>+IFERROR(HLOOKUP($B8,'[2]1월'!$F$6:$CP$99,3,),)/1000</f>
        <v>2222.7001579999996</v>
      </c>
      <c r="Q8" s="43">
        <f t="shared" ref="Q8:Q26" si="3">+P8-O8</f>
        <v>-280.15032745453937</v>
      </c>
      <c r="R8" s="44">
        <f>+IFERROR(HLOOKUP($B8,'[3]1월'!$F$6:$CC$57,3,),)/1000</f>
        <v>1602.281802</v>
      </c>
      <c r="S8" s="45">
        <f t="shared" ref="S8:S26" si="4">+P8-R8</f>
        <v>620.41835599999968</v>
      </c>
      <c r="T8" s="41">
        <f>+IFERROR(HLOOKUP($B8,'[1]1월'!$D$6:$BN$259,16,),)/1000</f>
        <v>-29.440005675790161</v>
      </c>
      <c r="U8" s="42">
        <f>+IFERROR(HLOOKUP($B8,'[2]1월'!$F$6:$CP$99,16,),)/1000</f>
        <v>-30.566700000000122</v>
      </c>
      <c r="V8" s="43">
        <f t="shared" ref="V8:V26" si="5">+U8-T8</f>
        <v>-1.1266943242099607</v>
      </c>
      <c r="W8" s="44">
        <f>+IFERROR(HLOOKUP($B8,'[3]1월'!$F$6:$CC$57,16,),)/1000</f>
        <v>-127.14974199999995</v>
      </c>
      <c r="X8" s="45">
        <f t="shared" ref="X8:X26" si="6">+U8-W8</f>
        <v>96.583041999999821</v>
      </c>
      <c r="Y8" s="41">
        <f>+[4]인천!$Q$85</f>
        <v>100114.01941818156</v>
      </c>
      <c r="Z8" s="42">
        <f>+[4]인천!$R$85</f>
        <v>101637.02766473089</v>
      </c>
      <c r="AA8" s="46">
        <f>+[5]인천!$Q$85</f>
        <v>100747.09519617706</v>
      </c>
      <c r="AB8" s="47">
        <f>+[4]인천!$Q$89</f>
        <v>86964.530822990957</v>
      </c>
      <c r="AC8" s="42">
        <f>+[4]인천!$R$89</f>
        <v>89925.951758196519</v>
      </c>
      <c r="AD8" s="48">
        <f>+[5]인천!$Q$89</f>
        <v>88700.836574654953</v>
      </c>
      <c r="AE8" s="47">
        <f t="shared" ref="AE8:AE27" si="7">+Y8-AB8</f>
        <v>13149.488595190604</v>
      </c>
      <c r="AF8" s="42">
        <f t="shared" ref="AF8:AF27" si="8">+Z8-AC8</f>
        <v>11711.075906534374</v>
      </c>
      <c r="AG8" s="48">
        <f t="shared" ref="AG8:AG27" si="9">+AA8-AD8</f>
        <v>12046.258621522109</v>
      </c>
      <c r="AH8" s="15"/>
      <c r="AI8" s="16"/>
      <c r="AJ8" s="455"/>
      <c r="AK8" s="455"/>
    </row>
    <row r="9" spans="1:39" s="6" customFormat="1" ht="22.5" customHeight="1" x14ac:dyDescent="0.3">
      <c r="B9" s="6" t="s">
        <v>20</v>
      </c>
      <c r="G9" s="308" t="str">
        <f t="shared" si="1"/>
        <v>파주</v>
      </c>
      <c r="H9" s="70"/>
      <c r="I9" s="71" t="s">
        <v>20</v>
      </c>
      <c r="J9" s="41">
        <f>+IFERROR(HLOOKUP($B9,'[1]1월'!$D$6:$BN$259,2,),)/1000</f>
        <v>10</v>
      </c>
      <c r="K9" s="42">
        <f>+IFERROR(HLOOKUP($B9,'[2]1월'!$F$6:$CP$99,2,),)/1000</f>
        <v>7.45</v>
      </c>
      <c r="L9" s="43">
        <f t="shared" si="0"/>
        <v>-2.5499999999999998</v>
      </c>
      <c r="M9" s="44">
        <f>+IFERROR(HLOOKUP($B9,'[3]1월'!$F$6:$CC$57,2,),)/1000</f>
        <v>8.4429999999999996</v>
      </c>
      <c r="N9" s="45">
        <f t="shared" si="2"/>
        <v>-0.99299999999999944</v>
      </c>
      <c r="O9" s="41">
        <f>+IFERROR(HLOOKUP($B9,'[1]1월'!$D$6:$BN$259,3,),)/1000</f>
        <v>945.66954529999987</v>
      </c>
      <c r="P9" s="42">
        <f>+IFERROR(HLOOKUP($B9,'[2]1월'!$F$6:$CP$99,3,),)/1000</f>
        <v>749.98820000000001</v>
      </c>
      <c r="Q9" s="43">
        <f t="shared" si="3"/>
        <v>-195.68134529999986</v>
      </c>
      <c r="R9" s="44">
        <f>+IFERROR(HLOOKUP($B9,'[3]1월'!$F$6:$CC$57,3,),)/1000</f>
        <v>801.17180000000008</v>
      </c>
      <c r="S9" s="45">
        <f t="shared" si="4"/>
        <v>-51.183600000000069</v>
      </c>
      <c r="T9" s="41">
        <f>+IFERROR(HLOOKUP($B9,'[1]1월'!$D$6:$BN$259,16,),)/1000</f>
        <v>-87.864331899721464</v>
      </c>
      <c r="U9" s="42">
        <f>+IFERROR(HLOOKUP($B9,'[2]1월'!$F$6:$CP$99,16,),)/1000</f>
        <v>-117.52525900000005</v>
      </c>
      <c r="V9" s="43">
        <f t="shared" si="5"/>
        <v>-29.660927100278585</v>
      </c>
      <c r="W9" s="44">
        <f>+IFERROR(HLOOKUP($B9,'[3]1월'!$F$6:$CC$57,16,),)/1000</f>
        <v>-106.54514699999989</v>
      </c>
      <c r="X9" s="45">
        <f t="shared" si="6"/>
        <v>-10.980112000000162</v>
      </c>
      <c r="Y9" s="41">
        <f>+[4]파주!$Q$85</f>
        <v>94566.954529999988</v>
      </c>
      <c r="Z9" s="42">
        <f>+[4]파주!$R$85</f>
        <v>100634.00974025975</v>
      </c>
      <c r="AA9" s="46">
        <f>+[5]파주!$Q$85</f>
        <v>94891.839393580478</v>
      </c>
      <c r="AB9" s="47">
        <f>+[4]파주!$Q$89</f>
        <v>80036.983869972129</v>
      </c>
      <c r="AC9" s="42">
        <f>+[4]파주!$R$89</f>
        <v>89104.396593673955</v>
      </c>
      <c r="AD9" s="48">
        <f>+[5]파주!$Q$89</f>
        <v>79812.611314948517</v>
      </c>
      <c r="AE9" s="47">
        <f t="shared" si="7"/>
        <v>14529.970660027859</v>
      </c>
      <c r="AF9" s="42">
        <f t="shared" si="8"/>
        <v>11529.613146585791</v>
      </c>
      <c r="AG9" s="48">
        <f t="shared" si="9"/>
        <v>15079.228078631961</v>
      </c>
      <c r="AH9" s="15"/>
      <c r="AI9" s="16"/>
      <c r="AJ9" s="455"/>
      <c r="AK9" s="459"/>
    </row>
    <row r="10" spans="1:39" s="6" customFormat="1" ht="22.5" customHeight="1" x14ac:dyDescent="0.3">
      <c r="B10" s="6" t="s">
        <v>107</v>
      </c>
      <c r="G10" s="308" t="str">
        <f t="shared" si="1"/>
        <v>김포</v>
      </c>
      <c r="H10" s="70"/>
      <c r="I10" s="71" t="s">
        <v>106</v>
      </c>
      <c r="J10" s="41">
        <f>+IFERROR(HLOOKUP($B10,'[1]1월'!$D$6:$BN$259,2,),)/1000</f>
        <v>8</v>
      </c>
      <c r="K10" s="42">
        <f>+IFERROR(HLOOKUP($B10,'[2]1월'!$F$6:$CP$99,2,),)/1000</f>
        <v>6.6360000000000001</v>
      </c>
      <c r="L10" s="43">
        <f t="shared" si="0"/>
        <v>-1.3639999999999999</v>
      </c>
      <c r="M10" s="44">
        <f>+IFERROR(HLOOKUP($B10,'[3]1월'!$F$6:$CC$57,2,),)/1000</f>
        <v>5.3845000000000001</v>
      </c>
      <c r="N10" s="45">
        <f t="shared" si="2"/>
        <v>1.2515000000000001</v>
      </c>
      <c r="O10" s="41">
        <f>+IFERROR(HLOOKUP($B10,'[1]1월'!$D$6:$BN$259,3,),)/1000</f>
        <v>803.95768260000011</v>
      </c>
      <c r="P10" s="42">
        <f>+IFERROR(HLOOKUP($B10,'[2]1월'!$F$6:$CP$99,3,),)/1000</f>
        <v>651.79536799999994</v>
      </c>
      <c r="Q10" s="43">
        <f t="shared" si="3"/>
        <v>-152.16231460000017</v>
      </c>
      <c r="R10" s="44">
        <f>+IFERROR(HLOOKUP($B10,'[3]1월'!$F$6:$CC$57,3,),)/1000</f>
        <v>526.20576599999993</v>
      </c>
      <c r="S10" s="45">
        <f t="shared" si="4"/>
        <v>125.58960200000001</v>
      </c>
      <c r="T10" s="41">
        <f>+IFERROR(HLOOKUP($B10,'[1]1월'!$D$6:$BN$259,16,),)/1000</f>
        <v>-57.447522490696194</v>
      </c>
      <c r="U10" s="42">
        <f>+IFERROR(HLOOKUP($B10,'[2]1월'!$F$6:$CP$99,16,),)/1000</f>
        <v>-99.529529000000082</v>
      </c>
      <c r="V10" s="43">
        <f t="shared" si="5"/>
        <v>-42.082006509303888</v>
      </c>
      <c r="W10" s="44">
        <f>+IFERROR(HLOOKUP($B10,'[3]1월'!$F$6:$CC$57,16,),)/1000</f>
        <v>-107.3368960000001</v>
      </c>
      <c r="X10" s="45">
        <f t="shared" si="6"/>
        <v>7.8073670000000135</v>
      </c>
      <c r="Y10" s="41">
        <f>+[4]김포!$Q$85</f>
        <v>100494.71032500001</v>
      </c>
      <c r="Z10" s="42">
        <f>+[4]김포!$R$85</f>
        <v>98214.709482888575</v>
      </c>
      <c r="AA10" s="46">
        <f>+[5]김포!$Q$85</f>
        <v>97726.022100473565</v>
      </c>
      <c r="AB10" s="47">
        <f>+[4]김포!$Q$89</f>
        <v>82602.962080781464</v>
      </c>
      <c r="AC10" s="42">
        <f>+[4]김포!$R$89</f>
        <v>87320.719910514541</v>
      </c>
      <c r="AD10" s="48">
        <f>+[5]김포!$Q$89</f>
        <v>86838.29500602241</v>
      </c>
      <c r="AE10" s="47">
        <f t="shared" si="7"/>
        <v>17891.748244218543</v>
      </c>
      <c r="AF10" s="42">
        <f t="shared" si="8"/>
        <v>10893.989572374034</v>
      </c>
      <c r="AG10" s="48">
        <f t="shared" si="9"/>
        <v>10887.727094451155</v>
      </c>
      <c r="AH10" s="15"/>
      <c r="AI10" s="16"/>
      <c r="AJ10" s="455"/>
      <c r="AK10" s="459"/>
    </row>
    <row r="11" spans="1:39" s="6" customFormat="1" ht="22.5" customHeight="1" x14ac:dyDescent="0.3">
      <c r="B11" s="6" t="s">
        <v>21</v>
      </c>
      <c r="G11" s="306" t="str">
        <f t="shared" si="1"/>
        <v>부산</v>
      </c>
      <c r="H11" s="70"/>
      <c r="I11" s="72" t="s">
        <v>21</v>
      </c>
      <c r="J11" s="58">
        <f>+IFERROR(HLOOKUP($B11,'[1]1월'!$D$6:$BN$259,2,),)/1000</f>
        <v>18</v>
      </c>
      <c r="K11" s="59">
        <f>+IFERROR(HLOOKUP($B11,'[2]1월'!$F$6:$CP$99,2,),)/1000</f>
        <v>21.564</v>
      </c>
      <c r="L11" s="60">
        <f t="shared" si="0"/>
        <v>3.5640000000000001</v>
      </c>
      <c r="M11" s="61">
        <f>+IFERROR(HLOOKUP($B11,'[3]1월'!$F$6:$CC$57,2,),)/1000</f>
        <v>13.731</v>
      </c>
      <c r="N11" s="62">
        <f t="shared" si="2"/>
        <v>7.8330000000000002</v>
      </c>
      <c r="O11" s="58">
        <f>+IFERROR(HLOOKUP($B11,'[1]1월'!$D$6:$BN$259,3,),)/1000</f>
        <v>1941.1559210999999</v>
      </c>
      <c r="P11" s="59">
        <f>+IFERROR(HLOOKUP($B11,'[2]1월'!$F$6:$CP$99,3,),)/1000</f>
        <v>2569.2348999999999</v>
      </c>
      <c r="Q11" s="60">
        <f t="shared" si="3"/>
        <v>628.07897890000004</v>
      </c>
      <c r="R11" s="61">
        <f>+IFERROR(HLOOKUP($B11,'[3]1월'!$F$6:$CC$57,3,),)/1000</f>
        <v>1446.2366000000002</v>
      </c>
      <c r="S11" s="62">
        <f t="shared" si="4"/>
        <v>1122.9982999999997</v>
      </c>
      <c r="T11" s="58">
        <f>+IFERROR(HLOOKUP($B11,'[1]1월'!$D$6:$BN$259,16,),)/1000</f>
        <v>86.208390364332843</v>
      </c>
      <c r="U11" s="59">
        <f>+IFERROR(HLOOKUP($B11,'[2]1월'!$F$6:$CP$99,16,),)/1000</f>
        <v>272.41340399999928</v>
      </c>
      <c r="V11" s="60">
        <f t="shared" si="5"/>
        <v>186.20501363566643</v>
      </c>
      <c r="W11" s="61">
        <f>+IFERROR(HLOOKUP($B11,'[3]1월'!$F$6:$CC$57,16,),)/1000</f>
        <v>26.931239000000105</v>
      </c>
      <c r="X11" s="62">
        <f t="shared" si="6"/>
        <v>245.48216499999916</v>
      </c>
      <c r="Y11" s="58">
        <f>+[4]부산!$Q$85</f>
        <v>107841.99561666667</v>
      </c>
      <c r="Z11" s="59">
        <f>+[4]부산!$R$85</f>
        <v>119144.63457614541</v>
      </c>
      <c r="AA11" s="63">
        <f>+[5]부산!$Q$85</f>
        <v>105326.38555094313</v>
      </c>
      <c r="AB11" s="64">
        <f>+[4]부산!$Q$89</f>
        <v>86918.198221425933</v>
      </c>
      <c r="AC11" s="59">
        <f>+[4]부산!$R$89</f>
        <v>94848.51177233964</v>
      </c>
      <c r="AD11" s="65">
        <f>+[5]부산!$Q$89</f>
        <v>84695.366347409654</v>
      </c>
      <c r="AE11" s="64">
        <f t="shared" si="7"/>
        <v>20923.797395240734</v>
      </c>
      <c r="AF11" s="59">
        <f t="shared" si="8"/>
        <v>24296.122803805774</v>
      </c>
      <c r="AG11" s="65">
        <f t="shared" si="9"/>
        <v>20631.019203533477</v>
      </c>
      <c r="AH11" s="15"/>
      <c r="AI11" s="16"/>
      <c r="AJ11" s="461"/>
      <c r="AK11" s="455"/>
      <c r="AL11" s="459"/>
      <c r="AM11" s="82"/>
    </row>
    <row r="12" spans="1:39" s="6" customFormat="1" ht="22.5" customHeight="1" x14ac:dyDescent="0.3">
      <c r="B12" s="6" t="s">
        <v>22</v>
      </c>
      <c r="G12" s="306" t="str">
        <f t="shared" si="1"/>
        <v>서부산</v>
      </c>
      <c r="H12" s="70"/>
      <c r="I12" s="71" t="s">
        <v>22</v>
      </c>
      <c r="J12" s="41">
        <f>+IFERROR(HLOOKUP($B12,'[1]1월'!$D$6:$BN$259,2,),)/1000</f>
        <v>18</v>
      </c>
      <c r="K12" s="42">
        <f>+IFERROR(HLOOKUP($B12,'[2]1월'!$F$6:$CP$99,2,),)/1000</f>
        <v>16.48</v>
      </c>
      <c r="L12" s="43">
        <f t="shared" si="0"/>
        <v>-1.5199999999999996</v>
      </c>
      <c r="M12" s="44">
        <f>+IFERROR(HLOOKUP($B12,'[3]1월'!$F$6:$CC$57,2,),)/1000</f>
        <v>12.446</v>
      </c>
      <c r="N12" s="45">
        <f t="shared" si="2"/>
        <v>4.0340000000000007</v>
      </c>
      <c r="O12" s="41">
        <f>+IFERROR(HLOOKUP($B12,'[1]1월'!$D$6:$BN$259,3,),)/1000</f>
        <v>1801.12500073</v>
      </c>
      <c r="P12" s="42">
        <f>+IFERROR(HLOOKUP($B12,'[2]1월'!$F$6:$CP$99,3,),)/1000</f>
        <v>1771.1334099999999</v>
      </c>
      <c r="Q12" s="43">
        <f t="shared" si="3"/>
        <v>-29.991590730000098</v>
      </c>
      <c r="R12" s="44">
        <f>+IFERROR(HLOOKUP($B12,'[3]1월'!$F$6:$CC$57,3,),)/1000</f>
        <v>1219.8291999999999</v>
      </c>
      <c r="S12" s="45">
        <f t="shared" si="4"/>
        <v>551.30421000000001</v>
      </c>
      <c r="T12" s="41">
        <f>+IFERROR(HLOOKUP($B12,'[1]1월'!$D$6:$BN$259,16,),)/1000</f>
        <v>138.70124792613643</v>
      </c>
      <c r="U12" s="42">
        <f>+IFERROR(HLOOKUP($B12,'[2]1월'!$F$6:$CP$99,16,),)/1000</f>
        <v>184.52322099999992</v>
      </c>
      <c r="V12" s="43">
        <f t="shared" si="5"/>
        <v>45.821973073863489</v>
      </c>
      <c r="W12" s="44">
        <f>+IFERROR(HLOOKUP($B12,'[3]1월'!$F$6:$CC$57,16,),)/1000</f>
        <v>35.159032999999923</v>
      </c>
      <c r="X12" s="45">
        <f t="shared" si="6"/>
        <v>149.36418800000001</v>
      </c>
      <c r="Y12" s="41">
        <f>+[4]서부산!$Q$85</f>
        <v>100062.50004055555</v>
      </c>
      <c r="Z12" s="42">
        <f>+[4]서부산!$R$85</f>
        <v>107459.8307038835</v>
      </c>
      <c r="AA12" s="46">
        <f>+[5]서부산!$Q$85</f>
        <v>98009.738068455714</v>
      </c>
      <c r="AB12" s="47">
        <f>+[4]서부산!$Q$89</f>
        <v>78653.718884165253</v>
      </c>
      <c r="AC12" s="42">
        <f>+[4]서부산!$R$89</f>
        <v>82419.853982037705</v>
      </c>
      <c r="AD12" s="48">
        <f>+[5]서부산!$Q$89</f>
        <v>77288.174797843662</v>
      </c>
      <c r="AE12" s="47">
        <f t="shared" si="7"/>
        <v>21408.781156390294</v>
      </c>
      <c r="AF12" s="42">
        <f t="shared" si="8"/>
        <v>25039.9767218458</v>
      </c>
      <c r="AG12" s="48">
        <f t="shared" si="9"/>
        <v>20721.563270612052</v>
      </c>
      <c r="AH12" s="15"/>
      <c r="AI12" s="16"/>
      <c r="AJ12" s="455"/>
      <c r="AK12" s="459"/>
    </row>
    <row r="13" spans="1:39" s="6" customFormat="1" ht="22.5" customHeight="1" x14ac:dyDescent="0.3">
      <c r="B13" s="6" t="s">
        <v>23</v>
      </c>
      <c r="G13" s="306" t="str">
        <f t="shared" si="1"/>
        <v>김해</v>
      </c>
      <c r="H13" s="70"/>
      <c r="I13" s="71" t="s">
        <v>23</v>
      </c>
      <c r="J13" s="41">
        <f>+IFERROR(HLOOKUP($B13,'[1]1월'!$D$6:$BN$259,2,),)/1000</f>
        <v>7</v>
      </c>
      <c r="K13" s="42">
        <f>+IFERROR(HLOOKUP($B13,'[2]1월'!$F$6:$CP$99,2,),)/1000</f>
        <v>4.548</v>
      </c>
      <c r="L13" s="43">
        <f t="shared" si="0"/>
        <v>-2.452</v>
      </c>
      <c r="M13" s="44">
        <f>+IFERROR(HLOOKUP($B13,'[3]1월'!$F$6:$CC$57,2,),)/1000</f>
        <v>5.2169999999999996</v>
      </c>
      <c r="N13" s="45">
        <f t="shared" si="2"/>
        <v>-0.66899999999999959</v>
      </c>
      <c r="O13" s="41">
        <f>+IFERROR(HLOOKUP($B13,'[1]1월'!$D$6:$BN$259,3,),)/1000</f>
        <v>660.5726473200001</v>
      </c>
      <c r="P13" s="42">
        <f>+IFERROR(HLOOKUP($B13,'[2]1월'!$F$6:$CP$99,3,),)/1000</f>
        <v>407.56700000000001</v>
      </c>
      <c r="Q13" s="43">
        <f t="shared" si="3"/>
        <v>-253.00564732000009</v>
      </c>
      <c r="R13" s="44">
        <f>+IFERROR(HLOOKUP($B13,'[3]1월'!$F$6:$CC$57,3,),)/1000</f>
        <v>492.65690000000001</v>
      </c>
      <c r="S13" s="45">
        <f t="shared" si="4"/>
        <v>-85.0899</v>
      </c>
      <c r="T13" s="41">
        <f>+IFERROR(HLOOKUP($B13,'[1]1월'!$D$6:$BN$259,16,),)/1000</f>
        <v>-57.016563258290375</v>
      </c>
      <c r="U13" s="42">
        <f>+IFERROR(HLOOKUP($B13,'[2]1월'!$F$6:$CP$99,16,),)/1000</f>
        <v>-95.230253999999917</v>
      </c>
      <c r="V13" s="43">
        <f t="shared" si="5"/>
        <v>-38.213690741709541</v>
      </c>
      <c r="W13" s="44">
        <f>+IFERROR(HLOOKUP($B13,'[3]1월'!$F$6:$CC$57,16,),)/1000</f>
        <v>-64.48772100000005</v>
      </c>
      <c r="X13" s="45">
        <f t="shared" si="6"/>
        <v>-30.742532999999867</v>
      </c>
      <c r="Y13" s="41">
        <f>+[4]김해!$Q$85</f>
        <v>94367.521045714297</v>
      </c>
      <c r="Z13" s="42">
        <f>+[4]김해!$R$85</f>
        <v>89614.555848724718</v>
      </c>
      <c r="AA13" s="46">
        <f>+[5]김해!$Q$85</f>
        <v>94432.371857337756</v>
      </c>
      <c r="AB13" s="47">
        <f>+[4]김해!$Q$89</f>
        <v>80102.378130231984</v>
      </c>
      <c r="AC13" s="42">
        <f>+[4]김해!$R$89</f>
        <v>79980.794195250666</v>
      </c>
      <c r="AD13" s="48">
        <f>+[5]김해!$Q$89</f>
        <v>76391.454882089267</v>
      </c>
      <c r="AE13" s="47">
        <f t="shared" si="7"/>
        <v>14265.142915482313</v>
      </c>
      <c r="AF13" s="42">
        <f t="shared" si="8"/>
        <v>9633.7616534740519</v>
      </c>
      <c r="AG13" s="48">
        <f t="shared" si="9"/>
        <v>18040.916975248489</v>
      </c>
      <c r="AH13" s="15"/>
      <c r="AI13" s="16"/>
      <c r="AJ13" s="455"/>
      <c r="AK13" s="459"/>
    </row>
    <row r="14" spans="1:39" s="6" customFormat="1" ht="22.5" customHeight="1" x14ac:dyDescent="0.3">
      <c r="B14" s="6" t="s">
        <v>24</v>
      </c>
      <c r="G14" s="306" t="str">
        <f t="shared" si="1"/>
        <v>정관</v>
      </c>
      <c r="H14" s="70"/>
      <c r="I14" s="71" t="s">
        <v>24</v>
      </c>
      <c r="J14" s="41">
        <f>+IFERROR(HLOOKUP($B14,'[1]1월'!$D$6:$BN$259,2,),)/1000</f>
        <v>19</v>
      </c>
      <c r="K14" s="42">
        <f>+IFERROR(HLOOKUP($B14,'[2]1월'!$F$6:$CP$99,2,),)/1000</f>
        <v>10.089</v>
      </c>
      <c r="L14" s="43">
        <f t="shared" si="0"/>
        <v>-8.9109999999999996</v>
      </c>
      <c r="M14" s="44">
        <f>+IFERROR(HLOOKUP($B14,'[3]1월'!$F$6:$CC$57,2,),)/1000</f>
        <v>16.167000000000002</v>
      </c>
      <c r="N14" s="45">
        <f t="shared" si="2"/>
        <v>-6.0780000000000012</v>
      </c>
      <c r="O14" s="41">
        <f>+IFERROR(HLOOKUP($B14,'[1]1월'!$D$6:$BN$259,3,),)/1000</f>
        <v>1898.3964236599998</v>
      </c>
      <c r="P14" s="42">
        <f>+IFERROR(HLOOKUP($B14,'[2]1월'!$F$6:$CP$99,3,),)/1000</f>
        <v>1019.8371</v>
      </c>
      <c r="Q14" s="43">
        <f t="shared" si="3"/>
        <v>-878.55932365999979</v>
      </c>
      <c r="R14" s="44">
        <f>+IFERROR(HLOOKUP($B14,'[3]1월'!$F$6:$CC$57,3,),)/1000</f>
        <v>1665.2893000000001</v>
      </c>
      <c r="S14" s="45">
        <f t="shared" si="4"/>
        <v>-645.45220000000018</v>
      </c>
      <c r="T14" s="41">
        <f>+IFERROR(HLOOKUP($B14,'[1]1월'!$D$6:$BN$259,16,),)/1000</f>
        <v>64.322338149381778</v>
      </c>
      <c r="U14" s="42">
        <f>+IFERROR(HLOOKUP($B14,'[2]1월'!$F$6:$CP$99,16,),)/1000</f>
        <v>-66.073096999999976</v>
      </c>
      <c r="V14" s="43">
        <f t="shared" si="5"/>
        <v>-130.39543514938174</v>
      </c>
      <c r="W14" s="44">
        <f>+IFERROR(HLOOKUP($B14,'[3]1월'!$F$6:$CC$57,16,),)/1000</f>
        <v>94.408489999999901</v>
      </c>
      <c r="X14" s="45">
        <f t="shared" si="6"/>
        <v>-160.48158699999988</v>
      </c>
      <c r="Y14" s="41">
        <f>+[4]정관!$Q$85</f>
        <v>99915.60124526314</v>
      </c>
      <c r="Z14" s="42">
        <f>+[4]정관!$R$85</f>
        <v>101084.0618495391</v>
      </c>
      <c r="AA14" s="46">
        <f>+[5]정관!$Q$85</f>
        <v>103005.46174305685</v>
      </c>
      <c r="AB14" s="47">
        <f>+[4]정관!$Q$89</f>
        <v>83851.178290032534</v>
      </c>
      <c r="AC14" s="42">
        <f>+[4]정관!$R$89</f>
        <v>86691.465973254075</v>
      </c>
      <c r="AD14" s="48">
        <f>+[5]정관!$Q$89</f>
        <v>85293.934359354709</v>
      </c>
      <c r="AE14" s="47">
        <f t="shared" si="7"/>
        <v>16064.422955230606</v>
      </c>
      <c r="AF14" s="42">
        <f t="shared" si="8"/>
        <v>14392.59587628502</v>
      </c>
      <c r="AG14" s="48">
        <f t="shared" si="9"/>
        <v>17711.527383702138</v>
      </c>
      <c r="AH14" s="15"/>
      <c r="AI14" s="16"/>
      <c r="AJ14" s="455"/>
      <c r="AK14" s="459"/>
    </row>
    <row r="15" spans="1:39" s="6" customFormat="1" ht="22.5" customHeight="1" x14ac:dyDescent="0.3">
      <c r="B15" s="6" t="s">
        <v>25</v>
      </c>
      <c r="G15" s="306" t="str">
        <f t="shared" si="1"/>
        <v>양산</v>
      </c>
      <c r="H15" s="70"/>
      <c r="I15" s="71" t="s">
        <v>25</v>
      </c>
      <c r="J15" s="41">
        <f>+IFERROR(HLOOKUP($B15,'[1]1월'!$D$6:$BN$259,2,),)/1000</f>
        <v>6</v>
      </c>
      <c r="K15" s="42">
        <f>+IFERROR(HLOOKUP($B15,'[2]1월'!$F$6:$CP$99,2,),)/1000</f>
        <v>5.181</v>
      </c>
      <c r="L15" s="43">
        <f t="shared" si="0"/>
        <v>-0.81899999999999995</v>
      </c>
      <c r="M15" s="44">
        <f>+IFERROR(HLOOKUP($B15,'[3]1월'!$F$6:$CC$57,2,),)/1000</f>
        <v>5.8259999999999996</v>
      </c>
      <c r="N15" s="45">
        <f t="shared" si="2"/>
        <v>-0.64499999999999957</v>
      </c>
      <c r="O15" s="41">
        <f>+IFERROR(HLOOKUP($B15,'[1]1월'!$D$6:$BN$259,3,),)/1000</f>
        <v>574.43681499999991</v>
      </c>
      <c r="P15" s="42">
        <f>+IFERROR(HLOOKUP($B15,'[2]1월'!$F$6:$CP$99,3,),)/1000</f>
        <v>506.88529999999997</v>
      </c>
      <c r="Q15" s="43">
        <f t="shared" si="3"/>
        <v>-67.551514999999938</v>
      </c>
      <c r="R15" s="44">
        <f>+IFERROR(HLOOKUP($B15,'[3]1월'!$F$6:$CC$57,3,),)/1000</f>
        <v>539.41390000000001</v>
      </c>
      <c r="S15" s="45">
        <f t="shared" si="4"/>
        <v>-32.52860000000004</v>
      </c>
      <c r="T15" s="41">
        <f>+IFERROR(HLOOKUP($B15,'[1]1월'!$D$6:$BN$259,16,),)/1000</f>
        <v>-44.196690097102973</v>
      </c>
      <c r="U15" s="42">
        <f>+IFERROR(HLOOKUP($B15,'[2]1월'!$F$6:$CP$99,16,),)/1000</f>
        <v>-29.11063500000003</v>
      </c>
      <c r="V15" s="43">
        <f t="shared" si="5"/>
        <v>15.086055097102943</v>
      </c>
      <c r="W15" s="44">
        <f>+IFERROR(HLOOKUP($B15,'[3]1월'!$F$6:$CC$57,16,),)/1000</f>
        <v>-50.209251999999921</v>
      </c>
      <c r="X15" s="45">
        <f t="shared" si="6"/>
        <v>21.098616999999891</v>
      </c>
      <c r="Y15" s="41">
        <f>+[4]양산!$Q$85</f>
        <v>95739.469166666648</v>
      </c>
      <c r="Z15" s="42">
        <f>+[4]양산!$R$85</f>
        <v>97835.417872997481</v>
      </c>
      <c r="AA15" s="46">
        <f>+[5]양산!$Q$85</f>
        <v>92587.349811191219</v>
      </c>
      <c r="AB15" s="47">
        <f>+[4]양산!$Q$89</f>
        <v>77007.956756924556</v>
      </c>
      <c r="AC15" s="42">
        <f>+[4]양산!$R$89</f>
        <v>79768.281026828801</v>
      </c>
      <c r="AD15" s="48">
        <f>+[5]양산!$Q$89</f>
        <v>75380.246481290756</v>
      </c>
      <c r="AE15" s="47">
        <f t="shared" si="7"/>
        <v>18731.512409742092</v>
      </c>
      <c r="AF15" s="42">
        <f t="shared" si="8"/>
        <v>18067.13684616868</v>
      </c>
      <c r="AG15" s="48">
        <f t="shared" si="9"/>
        <v>17207.103329900463</v>
      </c>
      <c r="AH15" s="15"/>
      <c r="AI15" s="16"/>
      <c r="AJ15" s="455"/>
      <c r="AK15" s="459"/>
    </row>
    <row r="16" spans="1:39" s="6" customFormat="1" ht="22.5" customHeight="1" x14ac:dyDescent="0.3">
      <c r="B16" s="6" t="s">
        <v>26</v>
      </c>
      <c r="G16" s="306" t="str">
        <f t="shared" si="1"/>
        <v>창원</v>
      </c>
      <c r="H16" s="70"/>
      <c r="I16" s="71" t="s">
        <v>26</v>
      </c>
      <c r="J16" s="41">
        <f>+IFERROR(HLOOKUP($B16,'[1]1월'!$D$6:$BN$259,2,),)/1000</f>
        <v>8.4999999999999947</v>
      </c>
      <c r="K16" s="42">
        <f>+IFERROR(HLOOKUP($B16,'[2]1월'!$F$6:$CP$99,2,),)/1000</f>
        <v>7.5</v>
      </c>
      <c r="L16" s="43">
        <f t="shared" si="0"/>
        <v>-0.99999999999999467</v>
      </c>
      <c r="M16" s="44">
        <f>+IFERROR(HLOOKUP($B16,'[3]1월'!$F$6:$CC$57,2,),)/1000</f>
        <v>9.07</v>
      </c>
      <c r="N16" s="45">
        <f t="shared" si="2"/>
        <v>-1.5700000000000003</v>
      </c>
      <c r="O16" s="41">
        <f>+IFERROR(HLOOKUP($B16,'[1]1월'!$D$6:$BN$259,3,),)/1000</f>
        <v>837.69842295624039</v>
      </c>
      <c r="P16" s="42">
        <f>+IFERROR(HLOOKUP($B16,'[2]1월'!$F$6:$CP$99,3,),)/1000</f>
        <v>760.68730000000005</v>
      </c>
      <c r="Q16" s="43">
        <f t="shared" si="3"/>
        <v>-77.011122956240342</v>
      </c>
      <c r="R16" s="44">
        <f>+IFERROR(HLOOKUP($B16,'[3]1월'!$F$6:$CC$57,3,),)/1000</f>
        <v>915.39465000000007</v>
      </c>
      <c r="S16" s="45">
        <f t="shared" si="4"/>
        <v>-154.70735000000002</v>
      </c>
      <c r="T16" s="41">
        <f>+IFERROR(HLOOKUP($B16,'[1]1월'!$D$6:$BN$259,16,),)/1000</f>
        <v>-34.965426895848232</v>
      </c>
      <c r="U16" s="42">
        <f>+IFERROR(HLOOKUP($B16,'[2]1월'!$F$6:$CP$99,16,),)/1000</f>
        <v>6.9775800000001036</v>
      </c>
      <c r="V16" s="43">
        <f t="shared" si="5"/>
        <v>41.943006895848335</v>
      </c>
      <c r="W16" s="44">
        <f>+IFERROR(HLOOKUP($B16,'[3]1월'!$F$6:$CC$57,16,),)/1000</f>
        <v>7.2091169999999689</v>
      </c>
      <c r="X16" s="45">
        <f t="shared" si="6"/>
        <v>-0.23153699999986532</v>
      </c>
      <c r="Y16" s="41">
        <f>+[4]창원!$Q$85</f>
        <v>98552.755641910699</v>
      </c>
      <c r="Z16" s="42">
        <f>+[4]창원!$R$85</f>
        <v>101424.97333333334</v>
      </c>
      <c r="AA16" s="46">
        <f>+[5]창원!$Q$85</f>
        <v>100925.54024255788</v>
      </c>
      <c r="AB16" s="47">
        <f>+[4]창원!$Q$89</f>
        <v>79280.94249240261</v>
      </c>
      <c r="AC16" s="42">
        <f>+[4]창원!$R$89</f>
        <v>76041.73626666666</v>
      </c>
      <c r="AD16" s="48">
        <f>+[5]창원!$Q$89</f>
        <v>77749.250937155462</v>
      </c>
      <c r="AE16" s="47">
        <f t="shared" si="7"/>
        <v>19271.813149508089</v>
      </c>
      <c r="AF16" s="42">
        <f t="shared" si="8"/>
        <v>25383.237066666683</v>
      </c>
      <c r="AG16" s="48">
        <f t="shared" si="9"/>
        <v>23176.289305402417</v>
      </c>
      <c r="AH16" s="15"/>
      <c r="AI16" s="16"/>
      <c r="AJ16" s="455"/>
      <c r="AK16" s="459"/>
    </row>
    <row r="17" spans="2:39" s="6" customFormat="1" ht="22.5" customHeight="1" x14ac:dyDescent="0.3">
      <c r="B17" s="6" t="s">
        <v>77</v>
      </c>
      <c r="G17" s="306" t="str">
        <f t="shared" si="1"/>
        <v>대구</v>
      </c>
      <c r="H17" s="70"/>
      <c r="I17" s="71" t="s">
        <v>69</v>
      </c>
      <c r="J17" s="41">
        <f>+IFERROR(HLOOKUP($B17,'[1]1월'!$D$6:$BN$259,2,),)/1000</f>
        <v>6.5</v>
      </c>
      <c r="K17" s="42">
        <f>+IFERROR(HLOOKUP($B17,'[2]1월'!$F$6:$CP$99,2,),)/1000</f>
        <v>2.6985000000000001</v>
      </c>
      <c r="L17" s="43">
        <f t="shared" si="0"/>
        <v>-3.8014999999999999</v>
      </c>
      <c r="M17" s="44">
        <f>+IFERROR(HLOOKUP($B17,'[3]1월'!$F$6:$CC$57,2,),)/1000</f>
        <v>9.5329999999999995</v>
      </c>
      <c r="N17" s="45">
        <f t="shared" si="2"/>
        <v>-6.8344999999999994</v>
      </c>
      <c r="O17" s="41">
        <f>+IFERROR(HLOOKUP($B17,'[1]1월'!$D$6:$BN$259,3,),)/1000</f>
        <v>592.43212844999994</v>
      </c>
      <c r="P17" s="42">
        <f>+IFERROR(HLOOKUP($B17,'[2]1월'!$F$6:$CP$99,3,),)/1000</f>
        <v>250.38446599999997</v>
      </c>
      <c r="Q17" s="43">
        <f t="shared" si="3"/>
        <v>-342.04766244999996</v>
      </c>
      <c r="R17" s="44">
        <f>+IFERROR(HLOOKUP($B17,'[3]1월'!$F$6:$CC$57,3,),)/1000</f>
        <v>932.07349999999997</v>
      </c>
      <c r="S17" s="45">
        <f t="shared" si="4"/>
        <v>-681.68903399999999</v>
      </c>
      <c r="T17" s="41">
        <f>+IFERROR(HLOOKUP($B17,'[1]1월'!$D$6:$BN$259,16,),)/1000</f>
        <v>-49.481991162648249</v>
      </c>
      <c r="U17" s="42">
        <f>+IFERROR(HLOOKUP($B17,'[2]1월'!$F$6:$CP$99,16,),)/1000</f>
        <v>-93.809217000000004</v>
      </c>
      <c r="V17" s="43">
        <f t="shared" si="5"/>
        <v>-44.327225837351754</v>
      </c>
      <c r="W17" s="44">
        <f>+IFERROR(HLOOKUP($B17,'[3]1월'!$F$6:$CC$57,16,),)/1000</f>
        <v>22.030701999999991</v>
      </c>
      <c r="X17" s="45">
        <f t="shared" si="6"/>
        <v>-115.83991899999999</v>
      </c>
      <c r="Y17" s="41">
        <f>+[4]대구!$Q$85</f>
        <v>91143.404376923078</v>
      </c>
      <c r="Z17" s="42">
        <f>+[4]대구!$R$85</f>
        <v>92786.535482675565</v>
      </c>
      <c r="AA17" s="46">
        <f>+[5]대구!$Q$85</f>
        <v>97773.366201615441</v>
      </c>
      <c r="AB17" s="47">
        <f>+[4]대구!$Q$89</f>
        <v>73245.540334796504</v>
      </c>
      <c r="AC17" s="42">
        <f>+[4]대구!$R$89</f>
        <v>75492.250880118576</v>
      </c>
      <c r="AD17" s="48">
        <f>+[5]대구!$Q$89</f>
        <v>77456.301374173927</v>
      </c>
      <c r="AE17" s="47">
        <f t="shared" si="7"/>
        <v>17897.864042126574</v>
      </c>
      <c r="AF17" s="42">
        <f t="shared" si="8"/>
        <v>17294.284602556989</v>
      </c>
      <c r="AG17" s="48">
        <f t="shared" si="9"/>
        <v>20317.064827441514</v>
      </c>
      <c r="AH17" s="15"/>
      <c r="AI17" s="16"/>
      <c r="AJ17" s="455"/>
      <c r="AK17" s="459"/>
    </row>
    <row r="18" spans="2:39" s="6" customFormat="1" ht="22.5" customHeight="1" x14ac:dyDescent="0.3">
      <c r="B18" s="6" t="s">
        <v>78</v>
      </c>
      <c r="G18" s="308" t="str">
        <f t="shared" si="1"/>
        <v>울산</v>
      </c>
      <c r="H18" s="70"/>
      <c r="I18" s="73" t="s">
        <v>70</v>
      </c>
      <c r="J18" s="7">
        <f>+IFERROR(HLOOKUP($B18,'[1]1월'!$D$6:$BN$259,2,),)/1000</f>
        <v>7.5</v>
      </c>
      <c r="K18" s="8">
        <f>+IFERROR(HLOOKUP($B18,'[2]1월'!$F$6:$CP$99,2,),)/1000</f>
        <v>10.55</v>
      </c>
      <c r="L18" s="9">
        <f t="shared" si="0"/>
        <v>3.0500000000000007</v>
      </c>
      <c r="M18" s="10">
        <f>+IFERROR(HLOOKUP($B18,'[3]1월'!$F$6:$CC$57,2,),)/1000</f>
        <v>9.1329999999999991</v>
      </c>
      <c r="N18" s="11">
        <f t="shared" si="2"/>
        <v>1.4170000000000016</v>
      </c>
      <c r="O18" s="7">
        <f>+IFERROR(HLOOKUP($B18,'[1]1월'!$D$6:$BN$259,3,),)/1000</f>
        <v>783.85248919999992</v>
      </c>
      <c r="P18" s="8">
        <f>+IFERROR(HLOOKUP($B18,'[2]1월'!$F$6:$CP$99,3,),)/1000</f>
        <v>1176.5337</v>
      </c>
      <c r="Q18" s="9">
        <f t="shared" si="3"/>
        <v>392.68121080000003</v>
      </c>
      <c r="R18" s="10">
        <f>+IFERROR(HLOOKUP($B18,'[3]1월'!$F$6:$CC$57,3,),)/1000</f>
        <v>978.79190000000006</v>
      </c>
      <c r="S18" s="11">
        <f t="shared" si="4"/>
        <v>197.7417999999999</v>
      </c>
      <c r="T18" s="7">
        <f>+IFERROR(HLOOKUP($B18,'[1]1월'!$D$6:$BN$259,16,),)/1000</f>
        <v>-45.898809768158188</v>
      </c>
      <c r="U18" s="8">
        <f>+IFERROR(HLOOKUP($B18,'[2]1월'!$F$6:$CP$99,16,),)/1000</f>
        <v>84.076424999999901</v>
      </c>
      <c r="V18" s="9">
        <f t="shared" si="5"/>
        <v>129.97523476815809</v>
      </c>
      <c r="W18" s="10">
        <f>+IFERROR(HLOOKUP($B18,'[3]1월'!$F$6:$CC$57,16,),)/1000</f>
        <v>57.724488000000029</v>
      </c>
      <c r="X18" s="11">
        <f t="shared" si="6"/>
        <v>26.351936999999872</v>
      </c>
      <c r="Y18" s="7">
        <f>+[4]울산!$Q$85</f>
        <v>104513.66522666666</v>
      </c>
      <c r="Z18" s="8">
        <f>+[4]울산!$R$85</f>
        <v>111519.78199052133</v>
      </c>
      <c r="AA18" s="12">
        <f>+[5]울산!$Q$85</f>
        <v>107170.90769736121</v>
      </c>
      <c r="AB18" s="13">
        <f>+[4]울산!$Q$89</f>
        <v>87717.198499494509</v>
      </c>
      <c r="AC18" s="8">
        <f>+[4]울산!$R$89</f>
        <v>89406.120741862222</v>
      </c>
      <c r="AD18" s="14">
        <f>+[5]울산!$Q$89</f>
        <v>85147.593233329681</v>
      </c>
      <c r="AE18" s="13">
        <f t="shared" si="7"/>
        <v>16796.466727172156</v>
      </c>
      <c r="AF18" s="8">
        <f t="shared" si="8"/>
        <v>22113.661248659104</v>
      </c>
      <c r="AG18" s="14">
        <f t="shared" si="9"/>
        <v>22023.314464031529</v>
      </c>
      <c r="AH18" s="15"/>
      <c r="AI18" s="16"/>
      <c r="AJ18" s="455"/>
      <c r="AK18" s="459"/>
    </row>
    <row r="19" spans="2:39" s="6" customFormat="1" ht="22.5" customHeight="1" x14ac:dyDescent="0.3">
      <c r="B19" s="6" t="s">
        <v>75</v>
      </c>
      <c r="G19" s="308" t="str">
        <f t="shared" si="1"/>
        <v>아산</v>
      </c>
      <c r="H19" s="70"/>
      <c r="I19" s="71" t="s">
        <v>27</v>
      </c>
      <c r="J19" s="41">
        <f>+IFERROR(HLOOKUP($B19,'[1]1월'!$D$6:$BN$259,2,),)/1000</f>
        <v>10</v>
      </c>
      <c r="K19" s="42">
        <f>+IFERROR(HLOOKUP($B19,'[2]1월'!$F$6:$CP$99,2,),)/1000</f>
        <v>14.503</v>
      </c>
      <c r="L19" s="43">
        <f t="shared" si="0"/>
        <v>4.5030000000000001</v>
      </c>
      <c r="M19" s="44">
        <f>+IFERROR(HLOOKUP($B19,'[3]1월'!$F$6:$CC$57,2,),)/1000</f>
        <v>16.995999999999999</v>
      </c>
      <c r="N19" s="45">
        <f t="shared" si="2"/>
        <v>-2.4929999999999986</v>
      </c>
      <c r="O19" s="41">
        <f>+IFERROR(HLOOKUP($B19,'[1]1월'!$D$6:$BN$259,3,),)/1000</f>
        <v>987.18315999999993</v>
      </c>
      <c r="P19" s="42">
        <f>+IFERROR(HLOOKUP($B19,'[2]1월'!$F$6:$CP$99,3,),)/1000</f>
        <v>1505.9312649999999</v>
      </c>
      <c r="Q19" s="43">
        <f t="shared" si="3"/>
        <v>518.74810500000001</v>
      </c>
      <c r="R19" s="44">
        <f>+IFERROR(HLOOKUP($B19,'[3]1월'!$F$6:$CC$57,3,),)/1000</f>
        <v>1719.2657369999999</v>
      </c>
      <c r="S19" s="45">
        <f t="shared" si="4"/>
        <v>-213.33447200000001</v>
      </c>
      <c r="T19" s="41">
        <f>+IFERROR(HLOOKUP($B19,'[1]1월'!$D$6:$BN$259,16,),)/1000</f>
        <v>-64.250070365544076</v>
      </c>
      <c r="U19" s="42">
        <f>+IFERROR(HLOOKUP($B19,'[2]1월'!$F$6:$CP$99,16,),)/1000</f>
        <v>3.8563899999998759</v>
      </c>
      <c r="V19" s="43">
        <f t="shared" si="5"/>
        <v>68.106460365543953</v>
      </c>
      <c r="W19" s="44">
        <f>+IFERROR(HLOOKUP($B19,'[3]1월'!$F$6:$CC$57,16,),)/1000</f>
        <v>-30.781557000000067</v>
      </c>
      <c r="X19" s="45">
        <f t="shared" si="6"/>
        <v>34.63794699999994</v>
      </c>
      <c r="Y19" s="41">
        <f>+[4]아산!$Q$85</f>
        <v>98718.315999999992</v>
      </c>
      <c r="Z19" s="42">
        <f>+[4]아산!$R$85</f>
        <v>103835.84534234295</v>
      </c>
      <c r="AA19" s="46">
        <f>+[5]아산!$Q$85</f>
        <v>101157.08031301483</v>
      </c>
      <c r="AB19" s="47">
        <f>+[4]아산!$Q$89</f>
        <v>80070.670261554391</v>
      </c>
      <c r="AC19" s="42">
        <f>+[4]아산!$R$89</f>
        <v>86561.113102212403</v>
      </c>
      <c r="AD19" s="48">
        <f>+[5]아산!$Q$89</f>
        <v>88061.244120413932</v>
      </c>
      <c r="AE19" s="47">
        <f t="shared" si="7"/>
        <v>18647.645738445601</v>
      </c>
      <c r="AF19" s="42">
        <f t="shared" si="8"/>
        <v>17274.732240130543</v>
      </c>
      <c r="AG19" s="48">
        <f t="shared" si="9"/>
        <v>13095.836192600895</v>
      </c>
      <c r="AH19" s="15"/>
      <c r="AI19" s="16"/>
      <c r="AJ19" s="455"/>
      <c r="AK19" s="459"/>
    </row>
    <row r="20" spans="2:39" s="6" customFormat="1" ht="22.5" customHeight="1" x14ac:dyDescent="0.3">
      <c r="B20" s="6" t="s">
        <v>71</v>
      </c>
      <c r="G20" s="308" t="str">
        <f t="shared" si="1"/>
        <v>전주</v>
      </c>
      <c r="H20" s="70"/>
      <c r="I20" s="71" t="s">
        <v>71</v>
      </c>
      <c r="J20" s="41">
        <f>+IFERROR(HLOOKUP($B20,'[1]1월'!$D$6:$BN$259,2,),)/1000</f>
        <v>5</v>
      </c>
      <c r="K20" s="42">
        <f>+IFERROR(HLOOKUP($B20,'[2]1월'!$F$6:$CP$99,2,),)/1000</f>
        <v>8.1605000000000008</v>
      </c>
      <c r="L20" s="43">
        <f t="shared" si="0"/>
        <v>3.1605000000000008</v>
      </c>
      <c r="M20" s="44">
        <f>+IFERROR(HLOOKUP($B20,'[3]1월'!$F$6:$CC$57,2,),)/1000</f>
        <v>12.05</v>
      </c>
      <c r="N20" s="45">
        <f t="shared" si="2"/>
        <v>-3.8895</v>
      </c>
      <c r="O20" s="41">
        <f>+IFERROR(HLOOKUP($B20,'[1]1월'!$D$6:$BN$259,3,),)/1000</f>
        <v>510.1544899999999</v>
      </c>
      <c r="P20" s="42">
        <f>+IFERROR(HLOOKUP($B20,'[2]1월'!$F$6:$CP$99,3,),)/1000</f>
        <v>831.81534999999997</v>
      </c>
      <c r="Q20" s="43">
        <f t="shared" si="3"/>
        <v>321.66086000000007</v>
      </c>
      <c r="R20" s="44">
        <f>+IFERROR(HLOOKUP($B20,'[3]1월'!$F$6:$CC$57,3,),)/1000</f>
        <v>1162.357937</v>
      </c>
      <c r="S20" s="45">
        <f t="shared" si="4"/>
        <v>-330.54258700000003</v>
      </c>
      <c r="T20" s="41">
        <f>+IFERROR(HLOOKUP($B20,'[1]1월'!$D$6:$BN$259,16,),)/1000</f>
        <v>-43.617229953282965</v>
      </c>
      <c r="U20" s="42">
        <f>+IFERROR(HLOOKUP($B20,'[2]1월'!$F$6:$CP$99,16,),)/1000</f>
        <v>-15.873016999999967</v>
      </c>
      <c r="V20" s="43">
        <f t="shared" si="5"/>
        <v>27.744212953282997</v>
      </c>
      <c r="W20" s="44">
        <f>+IFERROR(HLOOKUP($B20,'[3]1월'!$F$6:$CC$57,16,),)/1000</f>
        <v>103.70416099999986</v>
      </c>
      <c r="X20" s="45">
        <f t="shared" si="6"/>
        <v>-119.57717799999982</v>
      </c>
      <c r="Y20" s="41">
        <f>+[4]전주!$Q$85</f>
        <v>102030.89799999999</v>
      </c>
      <c r="Z20" s="42">
        <f>+[4]전주!$R$85</f>
        <v>101995.85820665887</v>
      </c>
      <c r="AA20" s="46">
        <f>+[5]전주!$Q$85</f>
        <v>96461.239585062227</v>
      </c>
      <c r="AB20" s="47">
        <f>+[4]전주!$Q$89</f>
        <v>79728.8123239899</v>
      </c>
      <c r="AC20" s="42">
        <f>+[4]전주!$R$89</f>
        <v>84565.63530063389</v>
      </c>
      <c r="AD20" s="48">
        <f>+[5]전주!$Q$89</f>
        <v>74948.095921074448</v>
      </c>
      <c r="AE20" s="47">
        <f t="shared" si="7"/>
        <v>22302.085676010087</v>
      </c>
      <c r="AF20" s="42">
        <f t="shared" si="8"/>
        <v>17430.222906024981</v>
      </c>
      <c r="AG20" s="48">
        <f t="shared" si="9"/>
        <v>21513.143663987779</v>
      </c>
      <c r="AH20" s="15"/>
      <c r="AI20" s="16"/>
      <c r="AJ20" s="455"/>
      <c r="AK20" s="459"/>
    </row>
    <row r="21" spans="2:39" s="6" customFormat="1" ht="22.5" customHeight="1" x14ac:dyDescent="0.3">
      <c r="B21" s="6" t="s">
        <v>72</v>
      </c>
      <c r="G21" s="308" t="str">
        <f t="shared" si="1"/>
        <v>군산</v>
      </c>
      <c r="H21" s="70"/>
      <c r="I21" s="71" t="s">
        <v>72</v>
      </c>
      <c r="J21" s="41">
        <f>+IFERROR(HLOOKUP($B21,'[1]1월'!$D$6:$BN$259,2,),)/1000</f>
        <v>2.5</v>
      </c>
      <c r="K21" s="42">
        <f>+IFERROR(HLOOKUP($B21,'[2]1월'!$F$6:$CP$99,2,),)/1000</f>
        <v>2.0674999999999999</v>
      </c>
      <c r="L21" s="43">
        <f t="shared" si="0"/>
        <v>-0.43250000000000011</v>
      </c>
      <c r="M21" s="44">
        <f>+IFERROR(HLOOKUP($B21,'[3]1월'!$F$6:$CC$57,2,),)/1000</f>
        <v>2.6255000000000002</v>
      </c>
      <c r="N21" s="45">
        <f t="shared" si="2"/>
        <v>-0.55800000000000027</v>
      </c>
      <c r="O21" s="41">
        <f>+IFERROR(HLOOKUP($B21,'[1]1월'!$D$6:$BN$259,3,),)/1000</f>
        <v>289.45889399999999</v>
      </c>
      <c r="P21" s="42">
        <f>+IFERROR(HLOOKUP($B21,'[2]1월'!$F$6:$CP$99,3,),)/1000</f>
        <v>246.24985000000001</v>
      </c>
      <c r="Q21" s="43">
        <f t="shared" si="3"/>
        <v>-43.209043999999977</v>
      </c>
      <c r="R21" s="44">
        <f>+IFERROR(HLOOKUP($B21,'[3]1월'!$F$6:$CC$57,3,),)/1000</f>
        <v>293.559777</v>
      </c>
      <c r="S21" s="45">
        <f t="shared" si="4"/>
        <v>-47.309926999999988</v>
      </c>
      <c r="T21" s="41">
        <f>+IFERROR(HLOOKUP($B21,'[1]1월'!$D$6:$BN$259,16,),)/1000</f>
        <v>6.2266765846474206</v>
      </c>
      <c r="U21" s="42">
        <f>+IFERROR(HLOOKUP($B21,'[2]1월'!$F$6:$CP$99,16,),)/1000</f>
        <v>3.845768000000013</v>
      </c>
      <c r="V21" s="43">
        <f t="shared" si="5"/>
        <v>-2.3809085846474076</v>
      </c>
      <c r="W21" s="44">
        <f>+IFERROR(HLOOKUP($B21,'[3]1월'!$F$6:$CC$57,16,),)/1000</f>
        <v>10.057200000000011</v>
      </c>
      <c r="X21" s="45">
        <f t="shared" si="6"/>
        <v>-6.2114319999999976</v>
      </c>
      <c r="Y21" s="41">
        <f>+[4]군산!$Q$85</f>
        <v>115783.5576</v>
      </c>
      <c r="Z21" s="42">
        <f>+[4]군산!$R$85</f>
        <v>119136.61016949153</v>
      </c>
      <c r="AA21" s="46">
        <f>+[5]군산!$Q$85</f>
        <v>111810.99866692058</v>
      </c>
      <c r="AB21" s="47">
        <f>+[4]군산!$Q$89</f>
        <v>76852.941366141022</v>
      </c>
      <c r="AC21" s="42">
        <f>+[4]군산!$R$89</f>
        <v>77712.064406779653</v>
      </c>
      <c r="AD21" s="48">
        <f>+[5]군산!$Q$89</f>
        <v>76532.78461245478</v>
      </c>
      <c r="AE21" s="47">
        <f t="shared" si="7"/>
        <v>38930.616233858978</v>
      </c>
      <c r="AF21" s="42">
        <f t="shared" si="8"/>
        <v>41424.545762711874</v>
      </c>
      <c r="AG21" s="48">
        <f t="shared" si="9"/>
        <v>35278.214054465803</v>
      </c>
      <c r="AH21" s="15"/>
      <c r="AI21" s="16"/>
      <c r="AJ21" s="455"/>
      <c r="AK21" s="459"/>
    </row>
    <row r="22" spans="2:39" s="6" customFormat="1" ht="22.5" customHeight="1" x14ac:dyDescent="0.3">
      <c r="B22" s="6" t="s">
        <v>73</v>
      </c>
      <c r="G22" s="308" t="str">
        <f t="shared" si="1"/>
        <v>원주</v>
      </c>
      <c r="H22" s="70"/>
      <c r="I22" s="71" t="s">
        <v>73</v>
      </c>
      <c r="J22" s="41">
        <f>+IFERROR(HLOOKUP($B22,'[1]1월'!$D$6:$BN$259,2,),)/1000</f>
        <v>3</v>
      </c>
      <c r="K22" s="42">
        <f>+IFERROR(HLOOKUP($B22,'[2]1월'!$F$6:$CP$99,2,),)/1000</f>
        <v>2.1455000000000002</v>
      </c>
      <c r="L22" s="43">
        <f t="shared" si="0"/>
        <v>-0.85449999999999982</v>
      </c>
      <c r="M22" s="44">
        <f>+IFERROR(HLOOKUP($B22,'[3]1월'!$F$6:$CC$57,2,),)/1000</f>
        <v>2.1779999999999999</v>
      </c>
      <c r="N22" s="45">
        <f t="shared" si="2"/>
        <v>-3.2499999999999751E-2</v>
      </c>
      <c r="O22" s="41">
        <f>+IFERROR(HLOOKUP($B22,'[1]1월'!$D$6:$BN$259,3,),)/1000</f>
        <v>344.31758504399994</v>
      </c>
      <c r="P22" s="42">
        <f>+IFERROR(HLOOKUP($B22,'[2]1월'!$F$6:$CP$99,3,),)/1000</f>
        <v>267.24779999999998</v>
      </c>
      <c r="Q22" s="43">
        <f t="shared" si="3"/>
        <v>-77.069785043999957</v>
      </c>
      <c r="R22" s="44">
        <f>+IFERROR(HLOOKUP($B22,'[3]1월'!$F$6:$CC$57,3,),)/1000</f>
        <v>248.37279999999998</v>
      </c>
      <c r="S22" s="45">
        <f t="shared" si="4"/>
        <v>18.875</v>
      </c>
      <c r="T22" s="41">
        <f>+IFERROR(HLOOKUP($B22,'[1]1월'!$D$6:$BN$259,16,),)/1000</f>
        <v>18.286728016517589</v>
      </c>
      <c r="U22" s="42">
        <f>+IFERROR(HLOOKUP($B22,'[2]1월'!$F$6:$CP$99,16,),)/1000</f>
        <v>7.133796999999988</v>
      </c>
      <c r="V22" s="43">
        <f t="shared" si="5"/>
        <v>-11.152931016517602</v>
      </c>
      <c r="W22" s="44">
        <f>+IFERROR(HLOOKUP($B22,'[3]1월'!$F$6:$CC$57,16,),)/1000</f>
        <v>-4.0297040000000202</v>
      </c>
      <c r="X22" s="45">
        <f t="shared" si="6"/>
        <v>11.163501000000007</v>
      </c>
      <c r="Y22" s="41">
        <f>+[4]원주!$Q$85</f>
        <v>114772.52834799998</v>
      </c>
      <c r="Z22" s="42">
        <f>+[4]원주!$R$85</f>
        <v>124562.01351666277</v>
      </c>
      <c r="AA22" s="46">
        <f>+[5]원주!$Q$85</f>
        <v>114037.09825528007</v>
      </c>
      <c r="AB22" s="47">
        <f>+[4]원주!$Q$89</f>
        <v>74865.247981383</v>
      </c>
      <c r="AC22" s="42">
        <f>+[4]원주!$R$89</f>
        <v>83894.299697040304</v>
      </c>
      <c r="AD22" s="48">
        <f>+[5]원주!$Q$89</f>
        <v>75778.686868686869</v>
      </c>
      <c r="AE22" s="47">
        <f t="shared" si="7"/>
        <v>39907.280366616978</v>
      </c>
      <c r="AF22" s="42">
        <f t="shared" si="8"/>
        <v>40667.71381962247</v>
      </c>
      <c r="AG22" s="48">
        <f t="shared" si="9"/>
        <v>38258.411386593201</v>
      </c>
      <c r="AH22" s="15"/>
      <c r="AI22" s="16"/>
      <c r="AJ22" s="455"/>
      <c r="AK22" s="459"/>
    </row>
    <row r="23" spans="2:39" s="6" customFormat="1" ht="22.5" customHeight="1" x14ac:dyDescent="0.3">
      <c r="B23" s="6" t="s">
        <v>74</v>
      </c>
      <c r="F23" s="80">
        <f>+K27-J27</f>
        <v>-12.879500000000007</v>
      </c>
      <c r="G23" s="306" t="str">
        <f t="shared" si="1"/>
        <v>제주</v>
      </c>
      <c r="H23" s="70"/>
      <c r="I23" s="71" t="s">
        <v>74</v>
      </c>
      <c r="J23" s="41">
        <f>+IFERROR(HLOOKUP($B23,'[1]1월'!$D$6:$BN$259,2,),)/1000</f>
        <v>6</v>
      </c>
      <c r="K23" s="42">
        <f>+IFERROR(HLOOKUP($B23,'[2]1월'!$F$6:$CP$99,2,),)/1000</f>
        <v>3.8165</v>
      </c>
      <c r="L23" s="43">
        <f t="shared" si="0"/>
        <v>-2.1835</v>
      </c>
      <c r="M23" s="44">
        <f>+IFERROR(HLOOKUP($B23,'[3]1월'!$F$6:$CC$57,2,),)/1000</f>
        <v>5.9785000000000004</v>
      </c>
      <c r="N23" s="45">
        <f t="shared" si="2"/>
        <v>-2.1620000000000004</v>
      </c>
      <c r="O23" s="41">
        <f>+IFERROR(HLOOKUP($B23,'[1]1월'!$D$6:$BN$259,3,),)/1000</f>
        <v>727.36572000000001</v>
      </c>
      <c r="P23" s="42">
        <f>+IFERROR(HLOOKUP($B23,'[2]1월'!$F$6:$CP$99,3,),)/1000</f>
        <v>470.68286000000001</v>
      </c>
      <c r="Q23" s="43">
        <f t="shared" si="3"/>
        <v>-256.68286000000001</v>
      </c>
      <c r="R23" s="44">
        <f>+IFERROR(HLOOKUP($B23,'[3]1월'!$F$6:$CC$57,3,),)/1000</f>
        <v>725.22046799999998</v>
      </c>
      <c r="S23" s="45">
        <f t="shared" si="4"/>
        <v>-254.53760799999998</v>
      </c>
      <c r="T23" s="41">
        <f>+IFERROR(HLOOKUP($B23,'[1]1월'!$D$6:$BN$259,16,),)/1000</f>
        <v>51.136169312184968</v>
      </c>
      <c r="U23" s="42">
        <f>+IFERROR(HLOOKUP($B23,'[2]1월'!$F$6:$CP$99,16,),)/1000</f>
        <v>2.6381320000000432</v>
      </c>
      <c r="V23" s="43">
        <f t="shared" si="5"/>
        <v>-48.498037312184927</v>
      </c>
      <c r="W23" s="44">
        <f>+IFERROR(HLOOKUP($B23,'[3]1월'!$F$6:$CC$57,16,),)/1000</f>
        <v>68.396145000000033</v>
      </c>
      <c r="X23" s="45">
        <f t="shared" si="6"/>
        <v>-65.758012999999991</v>
      </c>
      <c r="Y23" s="41">
        <f>+[4]제주!$Q$85</f>
        <v>121227.62</v>
      </c>
      <c r="Z23" s="42">
        <f>+[4]제주!$R$85</f>
        <v>122993.4139383236</v>
      </c>
      <c r="AA23" s="46">
        <f>+[5]제주!$Q$85</f>
        <v>120069.69472182597</v>
      </c>
      <c r="AB23" s="47">
        <f>+[4]제주!$Q$89</f>
        <v>94798.933640929798</v>
      </c>
      <c r="AC23" s="42">
        <f>+[4]제주!$R$89</f>
        <v>98282.643138319516</v>
      </c>
      <c r="AD23" s="48">
        <f>+[5]제주!$Q$89</f>
        <v>90756.927817403717</v>
      </c>
      <c r="AE23" s="47">
        <f t="shared" si="7"/>
        <v>26428.686359070198</v>
      </c>
      <c r="AF23" s="42">
        <f t="shared" si="8"/>
        <v>24710.770800004088</v>
      </c>
      <c r="AG23" s="48">
        <f t="shared" si="9"/>
        <v>29312.766904422257</v>
      </c>
      <c r="AH23" s="15"/>
      <c r="AI23" s="16"/>
      <c r="AJ23" s="455"/>
      <c r="AK23" s="459"/>
    </row>
    <row r="24" spans="2:39" s="6" customFormat="1" ht="22.5" customHeight="1" x14ac:dyDescent="0.3">
      <c r="F24" s="465">
        <f>+K24/J24</f>
        <v>0.9280138888888888</v>
      </c>
      <c r="G24" s="309" t="str">
        <f t="shared" si="1"/>
        <v>수도권</v>
      </c>
      <c r="H24" s="70"/>
      <c r="I24" s="74" t="s">
        <v>42</v>
      </c>
      <c r="J24" s="20">
        <f>SUM(J7:J10)</f>
        <v>72</v>
      </c>
      <c r="K24" s="17">
        <f>SUM(K7:K10)</f>
        <v>66.816999999999993</v>
      </c>
      <c r="L24" s="18">
        <f t="shared" si="0"/>
        <v>-5.1830000000000069</v>
      </c>
      <c r="M24" s="22">
        <f>SUM(M7:M10)</f>
        <v>56.9285</v>
      </c>
      <c r="N24" s="19">
        <f t="shared" si="2"/>
        <v>9.8884999999999934</v>
      </c>
      <c r="O24" s="20">
        <f>SUM(O7:O10)</f>
        <v>7124.4623323545393</v>
      </c>
      <c r="P24" s="17">
        <f>SUM(P7:P10)</f>
        <v>6961.6646369999989</v>
      </c>
      <c r="Q24" s="18">
        <f t="shared" si="3"/>
        <v>-162.79769535454034</v>
      </c>
      <c r="R24" s="22">
        <f>SUM(R7:R10)</f>
        <v>5635.9294030000001</v>
      </c>
      <c r="S24" s="19">
        <f t="shared" si="4"/>
        <v>1325.7352339999989</v>
      </c>
      <c r="T24" s="20">
        <f>SUM(T7:T10)</f>
        <v>-0.30728828508997452</v>
      </c>
      <c r="U24" s="17">
        <f>SUM(U7:U10)</f>
        <v>-16.389475000000445</v>
      </c>
      <c r="V24" s="18">
        <f t="shared" si="5"/>
        <v>-16.08218671491047</v>
      </c>
      <c r="W24" s="22">
        <f>SUM(W7:W10)</f>
        <v>-252.97409999999945</v>
      </c>
      <c r="X24" s="19">
        <f t="shared" si="6"/>
        <v>236.58462499999899</v>
      </c>
      <c r="Y24" s="20">
        <f>+[4]수도권!$Q$85</f>
        <v>98950.865727146374</v>
      </c>
      <c r="Z24" s="17">
        <f>+[4]수도권!$R$85</f>
        <v>104188.77459703996</v>
      </c>
      <c r="AA24" s="21">
        <f>+[5]수도권!$Q$85</f>
        <v>99000.138823260757</v>
      </c>
      <c r="AB24" s="26">
        <f>+[4]수도권!$Q$89</f>
        <v>83500.406023930031</v>
      </c>
      <c r="AC24" s="17">
        <f>+[4]수도권!$R$89</f>
        <v>89783.738653702312</v>
      </c>
      <c r="AD24" s="27">
        <f>+[5]수도권!$Q$89</f>
        <v>85329.992208134077</v>
      </c>
      <c r="AE24" s="26">
        <f t="shared" si="7"/>
        <v>15450.459703216344</v>
      </c>
      <c r="AF24" s="17">
        <f t="shared" si="8"/>
        <v>14405.035943337643</v>
      </c>
      <c r="AG24" s="27">
        <f t="shared" si="9"/>
        <v>13670.14661512668</v>
      </c>
      <c r="AH24" s="15"/>
      <c r="AI24" s="16"/>
      <c r="AJ24" s="455"/>
      <c r="AK24" s="459"/>
    </row>
    <row r="25" spans="2:39" s="6" customFormat="1" ht="22.5" customHeight="1" x14ac:dyDescent="0.3">
      <c r="F25" s="465">
        <f>+K25/J25</f>
        <v>0.86862430939226509</v>
      </c>
      <c r="G25" s="306" t="str">
        <f t="shared" si="1"/>
        <v>영남권</v>
      </c>
      <c r="H25" s="70"/>
      <c r="I25" s="74" t="s">
        <v>43</v>
      </c>
      <c r="J25" s="20">
        <f>SUM(J11:J18)</f>
        <v>90.5</v>
      </c>
      <c r="K25" s="17">
        <f>SUM(K11:K18)</f>
        <v>78.610499999999988</v>
      </c>
      <c r="L25" s="18">
        <f t="shared" si="0"/>
        <v>-11.889500000000012</v>
      </c>
      <c r="M25" s="22">
        <f>SUM(M11:M18)</f>
        <v>81.12299999999999</v>
      </c>
      <c r="N25" s="19">
        <f t="shared" si="2"/>
        <v>-2.5125000000000028</v>
      </c>
      <c r="O25" s="20">
        <f>SUM(O11:O18)</f>
        <v>9089.6698484162407</v>
      </c>
      <c r="P25" s="17">
        <f>SUM(P11:P18)</f>
        <v>8462.2631759999986</v>
      </c>
      <c r="Q25" s="18">
        <f t="shared" si="3"/>
        <v>-627.40667241624215</v>
      </c>
      <c r="R25" s="22">
        <f>SUM(R11:R18)</f>
        <v>8189.685950000001</v>
      </c>
      <c r="S25" s="19">
        <f t="shared" si="4"/>
        <v>272.57722599999761</v>
      </c>
      <c r="T25" s="20">
        <f>SUM(T11:T18)</f>
        <v>57.672495257803021</v>
      </c>
      <c r="U25" s="17">
        <f>SUM(U11:U18)</f>
        <v>263.76742699999937</v>
      </c>
      <c r="V25" s="18">
        <f t="shared" si="5"/>
        <v>206.09493174219637</v>
      </c>
      <c r="W25" s="22">
        <f>SUM(W11:W18)</f>
        <v>128.76609599999995</v>
      </c>
      <c r="X25" s="19">
        <f t="shared" si="6"/>
        <v>135.00133099999942</v>
      </c>
      <c r="Y25" s="20">
        <f>+[4]영남권!$Q$85</f>
        <v>100438.34086647777</v>
      </c>
      <c r="Z25" s="17">
        <f>+[4]영남권!$R$85</f>
        <v>107645.51524287467</v>
      </c>
      <c r="AA25" s="21">
        <f>+[5]영남권!$Q$85</f>
        <v>100960.81481298667</v>
      </c>
      <c r="AB25" s="26">
        <f>+[4]영남권!$Q$89</f>
        <v>81813.196629527491</v>
      </c>
      <c r="AC25" s="17">
        <f>+[4]영남권!$R$89</f>
        <v>86139.209605024094</v>
      </c>
      <c r="AD25" s="27">
        <f>+[5]영남권!$Q$89</f>
        <v>80802.90899944905</v>
      </c>
      <c r="AE25" s="26">
        <f t="shared" si="7"/>
        <v>18625.144236950277</v>
      </c>
      <c r="AF25" s="17">
        <f t="shared" si="8"/>
        <v>21506.305637850572</v>
      </c>
      <c r="AG25" s="27">
        <f t="shared" si="9"/>
        <v>20157.905813537625</v>
      </c>
      <c r="AH25" s="15"/>
      <c r="AI25" s="16"/>
      <c r="AJ25" s="455"/>
      <c r="AK25" s="459"/>
    </row>
    <row r="26" spans="2:39" s="6" customFormat="1" ht="22.5" customHeight="1" x14ac:dyDescent="0.3">
      <c r="F26" s="465">
        <f>+K26/J26</f>
        <v>1.1582264150943398</v>
      </c>
      <c r="G26" s="306" t="str">
        <f t="shared" si="1"/>
        <v>중부권</v>
      </c>
      <c r="H26" s="70"/>
      <c r="I26" s="74" t="s">
        <v>105</v>
      </c>
      <c r="J26" s="20">
        <f>SUM(J19:J23)</f>
        <v>26.5</v>
      </c>
      <c r="K26" s="17">
        <f>SUM(K19:K23)</f>
        <v>30.693000000000001</v>
      </c>
      <c r="L26" s="18">
        <f t="shared" si="0"/>
        <v>4.1930000000000014</v>
      </c>
      <c r="M26" s="22">
        <f>SUM(M19:M23)</f>
        <v>39.828000000000003</v>
      </c>
      <c r="N26" s="19">
        <f t="shared" si="2"/>
        <v>-9.1350000000000016</v>
      </c>
      <c r="O26" s="20">
        <f>SUM(O19:O23)</f>
        <v>2858.4798490439998</v>
      </c>
      <c r="P26" s="17">
        <f>SUM(P19:P23)</f>
        <v>3321.9271250000002</v>
      </c>
      <c r="Q26" s="18">
        <f t="shared" si="3"/>
        <v>463.44727595600034</v>
      </c>
      <c r="R26" s="22">
        <f>SUM(R19:R23)</f>
        <v>4148.7767189999995</v>
      </c>
      <c r="S26" s="19">
        <f t="shared" si="4"/>
        <v>-826.84959399999934</v>
      </c>
      <c r="T26" s="20">
        <f>SUM(T19:T23)</f>
        <v>-32.217726405477059</v>
      </c>
      <c r="U26" s="17">
        <f>SUM(U19:U23)</f>
        <v>1.6010699999999529</v>
      </c>
      <c r="V26" s="18">
        <f t="shared" si="5"/>
        <v>33.818796405477009</v>
      </c>
      <c r="W26" s="22">
        <f>SUM(W19:W23)</f>
        <v>147.34624499999981</v>
      </c>
      <c r="X26" s="19">
        <f t="shared" si="6"/>
        <v>-145.74517499999985</v>
      </c>
      <c r="Y26" s="20">
        <f>+[4]중부권!$Q$85</f>
        <v>107867.16411486792</v>
      </c>
      <c r="Z26" s="17">
        <f>+[4]중부권!$R$85</f>
        <v>108148.78762062354</v>
      </c>
      <c r="AA26" s="21">
        <f>+[5]중부권!$Q$85</f>
        <v>103685.34203595265</v>
      </c>
      <c r="AB26" s="26">
        <f>+[4]중부권!$Q$89</f>
        <v>82448.01748832356</v>
      </c>
      <c r="AC26" s="17">
        <f>+[4]중부권!$R$89</f>
        <v>86658.371730407001</v>
      </c>
      <c r="AD26" s="27">
        <f>+[5]중부권!$Q$89</f>
        <v>82924.201451534595</v>
      </c>
      <c r="AE26" s="26">
        <f t="shared" si="7"/>
        <v>25419.14662654436</v>
      </c>
      <c r="AF26" s="17">
        <f t="shared" si="8"/>
        <v>21490.415890216536</v>
      </c>
      <c r="AG26" s="27">
        <f t="shared" si="9"/>
        <v>20761.140584418055</v>
      </c>
      <c r="AH26" s="15"/>
      <c r="AI26" s="16"/>
      <c r="AJ26" s="455"/>
      <c r="AK26" s="459"/>
    </row>
    <row r="27" spans="2:39" s="1" customFormat="1" ht="22.5" customHeight="1" x14ac:dyDescent="0.3">
      <c r="B27" s="23"/>
      <c r="F27" s="454">
        <f>+K27/M27</f>
        <v>0.99011128320014397</v>
      </c>
      <c r="G27" s="308">
        <f>+K27/J27</f>
        <v>0.93185449735449732</v>
      </c>
      <c r="H27" s="240" t="s">
        <v>93</v>
      </c>
      <c r="I27" s="241"/>
      <c r="J27" s="242">
        <f>SUM(J24:J26)</f>
        <v>189</v>
      </c>
      <c r="K27" s="243">
        <f>SUM(K24:K26)</f>
        <v>176.12049999999999</v>
      </c>
      <c r="L27" s="244">
        <f t="shared" ref="L27" si="10">+K27-J27</f>
        <v>-12.879500000000007</v>
      </c>
      <c r="M27" s="245">
        <f>SUM(M24:M26)</f>
        <v>177.87949999999998</v>
      </c>
      <c r="N27" s="246">
        <f t="shared" ref="N27" si="11">+K27-M27</f>
        <v>-1.7589999999999861</v>
      </c>
      <c r="O27" s="242">
        <f>SUM(O24:O26)</f>
        <v>19072.61202981478</v>
      </c>
      <c r="P27" s="243">
        <f>SUM(P24:P26)</f>
        <v>18745.854937999997</v>
      </c>
      <c r="Q27" s="244">
        <f t="shared" ref="Q27" si="12">+P27-O27</f>
        <v>-326.75709181478305</v>
      </c>
      <c r="R27" s="245">
        <f>SUM(R24:R26)</f>
        <v>17974.392072000002</v>
      </c>
      <c r="S27" s="246">
        <f t="shared" ref="S27" si="13">+P27-R27</f>
        <v>771.46286599999439</v>
      </c>
      <c r="T27" s="242">
        <f>SUM(T24:T26)</f>
        <v>25.147480567235988</v>
      </c>
      <c r="U27" s="243">
        <f>SUM(U24:U26)</f>
        <v>248.97902199999888</v>
      </c>
      <c r="V27" s="244">
        <f t="shared" ref="V27" si="14">+U27-T27</f>
        <v>223.83154143276289</v>
      </c>
      <c r="W27" s="245">
        <f>SUM(W24:W26)</f>
        <v>23.138241000000306</v>
      </c>
      <c r="X27" s="246">
        <f t="shared" ref="X27" si="15">+U27-W27</f>
        <v>225.84078099999857</v>
      </c>
      <c r="Y27" s="242">
        <f>+[4]합계!$Q$85</f>
        <v>100913.29116304117</v>
      </c>
      <c r="Z27" s="243">
        <f>+[4]합계!$R$85</f>
        <v>106420.85674162097</v>
      </c>
      <c r="AA27" s="247">
        <f>+[5]합계!$Q$85</f>
        <v>100932.18102189782</v>
      </c>
      <c r="AB27" s="248">
        <f>+[4]합계!$Q$89</f>
        <v>82544.952339342723</v>
      </c>
      <c r="AC27" s="243">
        <f>+[4]합계!$R$89</f>
        <v>87610.574442749668</v>
      </c>
      <c r="AD27" s="249">
        <f>+[5]합계!$Q$89</f>
        <v>82701.342048633815</v>
      </c>
      <c r="AE27" s="248">
        <f t="shared" si="7"/>
        <v>18368.338823698447</v>
      </c>
      <c r="AF27" s="243">
        <f t="shared" si="8"/>
        <v>18810.282298871301</v>
      </c>
      <c r="AG27" s="249">
        <f t="shared" si="9"/>
        <v>18230.838973264006</v>
      </c>
      <c r="AH27" s="24"/>
      <c r="AI27" s="463">
        <f>+AF27-AE27</f>
        <v>441.94347517285496</v>
      </c>
      <c r="AJ27" s="464">
        <f>+AF27-AG27</f>
        <v>579.44332560729526</v>
      </c>
      <c r="AK27" s="459"/>
      <c r="AL27" s="23"/>
    </row>
    <row r="28" spans="2:39" s="6" customFormat="1" ht="22.5" customHeight="1" x14ac:dyDescent="0.3">
      <c r="B28" s="6" t="s">
        <v>111</v>
      </c>
      <c r="E28" s="6" t="s">
        <v>189</v>
      </c>
      <c r="G28" s="306" t="s">
        <v>3</v>
      </c>
      <c r="H28" s="76" t="s">
        <v>45</v>
      </c>
      <c r="I28" s="69" t="s">
        <v>112</v>
      </c>
      <c r="J28" s="51">
        <f>+IFERROR(HLOOKUP($B29,'[1]1월'!$D$6:$BN$259,2,),)/1000</f>
        <v>19.753480279720279</v>
      </c>
      <c r="K28" s="52">
        <f>+IFERROR(HLOOKUP($C29,'[2]1월'!$F$6:$CP$99,2,),)/1000</f>
        <v>16.353999999999999</v>
      </c>
      <c r="L28" s="33">
        <f t="shared" ref="L28:L34" si="16">+K28-J28</f>
        <v>-3.3994802797202794</v>
      </c>
      <c r="M28" s="33">
        <f>+IFERROR(HLOOKUP($C29,'[3]1월'!$F$6:$CC$57,2,),)/1000</f>
        <v>20.58</v>
      </c>
      <c r="N28" s="53">
        <f>+K28-M28</f>
        <v>-4.2259999999999991</v>
      </c>
      <c r="O28" s="51">
        <f>+IFERROR(HLOOKUP($B29,'[1]1월'!$D$6:$BN$259,3,),)/1000</f>
        <v>562.76833006993013</v>
      </c>
      <c r="P28" s="52">
        <f>+IFERROR(HLOOKUP($C29,'[2]1월'!$F$6:$CP$99,3,),)/1000</f>
        <v>471.3175</v>
      </c>
      <c r="Q28" s="33">
        <f t="shared" ref="Q28:Q37" si="17">+P28-O28</f>
        <v>-91.450830069930134</v>
      </c>
      <c r="R28" s="33">
        <f>+IFERROR(HLOOKUP($C29,'[3]1월'!$F$6:$CC$57,3,),)/1000</f>
        <v>571.86800000000005</v>
      </c>
      <c r="S28" s="53">
        <f t="shared" ref="S28:S37" si="18">+P28-R28</f>
        <v>-100.55050000000006</v>
      </c>
      <c r="T28" s="51">
        <f>+IFERROR(HLOOKUP($B29,'[1]1월'!$D$6:$BN$259,21,),)/1000</f>
        <v>2.7747477194381318</v>
      </c>
      <c r="U28" s="52">
        <f>+IFERROR(HLOOKUP($C29,'[2]1월'!$F$6:$CP$99,21,),)/1000</f>
        <v>25.856170879244594</v>
      </c>
      <c r="V28" s="33">
        <f>+U28-T28</f>
        <v>23.081423159806462</v>
      </c>
      <c r="W28" s="33">
        <f>+IFERROR(HLOOKUP($C29,'[3]1월'!$F$6:$CC$57,21,),)/1000</f>
        <v>-2.778545272872234</v>
      </c>
      <c r="X28" s="53">
        <f>+U28-W28</f>
        <v>28.634716152116827</v>
      </c>
      <c r="Y28" s="260"/>
      <c r="Z28" s="261"/>
      <c r="AA28" s="261"/>
      <c r="AB28" s="261"/>
      <c r="AC28" s="261"/>
      <c r="AD28" s="261"/>
      <c r="AE28" s="261"/>
      <c r="AF28" s="261"/>
      <c r="AG28" s="262"/>
      <c r="AH28" s="15"/>
      <c r="AI28" s="16"/>
      <c r="AJ28" s="455"/>
      <c r="AK28" s="459"/>
    </row>
    <row r="29" spans="2:39" s="6" customFormat="1" ht="22.5" customHeight="1" x14ac:dyDescent="0.3">
      <c r="B29" s="6" t="s">
        <v>112</v>
      </c>
      <c r="C29" s="69" t="s">
        <v>46</v>
      </c>
      <c r="G29" s="307" t="str">
        <f>+I28</f>
        <v>부산모래장</v>
      </c>
      <c r="H29" s="75"/>
      <c r="I29" s="71" t="s">
        <v>120</v>
      </c>
      <c r="J29" s="49">
        <f>+IFERROR(HLOOKUP($B30,'[1]1월'!$D$6:$BN$259,2,),)/1000</f>
        <v>36.787406666666662</v>
      </c>
      <c r="K29" s="54">
        <f>+IFERROR(HLOOKUP($C30,'[2]1월'!$F$6:$CP$99,2,),)/1000</f>
        <v>21.687999999999999</v>
      </c>
      <c r="L29" s="43">
        <f t="shared" si="16"/>
        <v>-15.099406666666663</v>
      </c>
      <c r="M29" s="43">
        <f>+IFERROR(HLOOKUP($C30,'[3]1월'!$F$6:$CC$57,2,),)/1000</f>
        <v>1</v>
      </c>
      <c r="N29" s="55">
        <f>+K29-M29</f>
        <v>20.687999999999999</v>
      </c>
      <c r="O29" s="49">
        <f>+IFERROR(HLOOKUP($B30,'[1]1월'!$D$6:$BN$259,3,),)/1000</f>
        <v>477.21191000000005</v>
      </c>
      <c r="P29" s="54">
        <f>+IFERROR(HLOOKUP($C30,'[2]1월'!$F$6:$CP$99,3,),)/1000</f>
        <v>314.32</v>
      </c>
      <c r="Q29" s="43">
        <f t="shared" si="17"/>
        <v>-162.89191000000005</v>
      </c>
      <c r="R29" s="43">
        <f>+IFERROR(HLOOKUP($C30,'[3]1월'!$F$6:$CC$57,3,),)/1000</f>
        <v>11.5</v>
      </c>
      <c r="S29" s="55">
        <f t="shared" si="18"/>
        <v>302.82</v>
      </c>
      <c r="T29" s="49">
        <f>+IFERROR(HLOOKUP($B30,'[1]1월'!$D$6:$BN$259,21,),)/1000</f>
        <v>9.5038903919157782</v>
      </c>
      <c r="U29" s="54">
        <f>+IFERROR(HLOOKUP($C30,'[2]1월'!$F$6:$CP$99,21,),)/1000</f>
        <v>-89.060437540263948</v>
      </c>
      <c r="V29" s="43">
        <f>+U29-T29</f>
        <v>-98.564327932179722</v>
      </c>
      <c r="W29" s="43">
        <f>+IFERROR(HLOOKUP($C30,'[3]1월'!$F$6:$CC$57,21,),)/1000</f>
        <v>-119.39960527004489</v>
      </c>
      <c r="X29" s="55">
        <f>+U29-W29</f>
        <v>30.339167729780939</v>
      </c>
      <c r="Y29" s="466"/>
      <c r="Z29" s="211"/>
      <c r="AA29" s="211"/>
      <c r="AB29" s="313"/>
      <c r="AC29" s="211"/>
      <c r="AD29" s="211"/>
      <c r="AE29" s="211"/>
      <c r="AF29" s="211"/>
      <c r="AG29" s="46"/>
      <c r="AH29" s="15"/>
      <c r="AI29" s="16"/>
      <c r="AJ29" s="455"/>
      <c r="AK29" s="459"/>
    </row>
    <row r="30" spans="2:39" s="6" customFormat="1" ht="22.5" customHeight="1" x14ac:dyDescent="0.3">
      <c r="B30" s="6" t="s">
        <v>113</v>
      </c>
      <c r="C30" s="71" t="s">
        <v>47</v>
      </c>
      <c r="G30" s="307" t="str">
        <f>+I29</f>
        <v>서부산CR</v>
      </c>
      <c r="H30" s="75"/>
      <c r="I30" s="73" t="s">
        <v>121</v>
      </c>
      <c r="J30" s="49">
        <f>+IFERROR(HLOOKUP($B31,'[1]1월'!$D$6:$BN$259,2,),)/1000</f>
        <v>18.217239999999997</v>
      </c>
      <c r="K30" s="54">
        <f>+IFERROR(HLOOKUP($C31,'[2]1월'!$F$6:$CP$99,2,),)/1000</f>
        <v>17.451000000000001</v>
      </c>
      <c r="L30" s="43">
        <f t="shared" si="16"/>
        <v>-0.76623999999999626</v>
      </c>
      <c r="M30" s="43">
        <f>+IFERROR(HLOOKUP($C31,'[3]1월'!$F$6:$CC$57,2,),)/1000</f>
        <v>26.672000000000001</v>
      </c>
      <c r="N30" s="55">
        <f>+K30-M30</f>
        <v>-9.2210000000000001</v>
      </c>
      <c r="O30" s="49">
        <f>+IFERROR(HLOOKUP($B31,'[1]1월'!$D$6:$BN$259,3,),)/1000</f>
        <v>367.70835999999997</v>
      </c>
      <c r="P30" s="54">
        <f>+IFERROR(HLOOKUP($C31,'[2]1월'!$F$6:$CP$99,3,),)/1000</f>
        <v>344.10290000000003</v>
      </c>
      <c r="Q30" s="43">
        <f t="shared" si="17"/>
        <v>-23.605459999999937</v>
      </c>
      <c r="R30" s="43">
        <f>+IFERROR(HLOOKUP($C31,'[3]1월'!$F$6:$CC$57,3,),)/1000</f>
        <v>468.38</v>
      </c>
      <c r="S30" s="55">
        <f t="shared" si="18"/>
        <v>-124.27709999999996</v>
      </c>
      <c r="T30" s="49">
        <f>+IFERROR(HLOOKUP($B31,'[1]1월'!$D$6:$BN$259,21,),)/1000</f>
        <v>-100.77474953253017</v>
      </c>
      <c r="U30" s="54">
        <f>+IFERROR(HLOOKUP($C31,'[2]1월'!$F$6:$CP$99,21,),)/1000</f>
        <v>-107.07245208000002</v>
      </c>
      <c r="V30" s="43">
        <f>+U30-T30</f>
        <v>-6.2977025474698536</v>
      </c>
      <c r="W30" s="43">
        <f>+IFERROR(HLOOKUP($C31,'[3]1월'!$F$6:$CC$57,21,),)/1000</f>
        <v>-157.90930541999998</v>
      </c>
      <c r="X30" s="55">
        <f>+U30-W30</f>
        <v>50.836853339999962</v>
      </c>
      <c r="Y30" s="466"/>
      <c r="Z30" s="211"/>
      <c r="AA30" s="211"/>
      <c r="AB30" s="211"/>
      <c r="AC30" s="211"/>
      <c r="AD30" s="211"/>
      <c r="AE30" s="211"/>
      <c r="AF30" s="211"/>
      <c r="AG30" s="46"/>
      <c r="AH30" s="15"/>
      <c r="AI30" s="16"/>
      <c r="AJ30" s="456"/>
      <c r="AK30" s="459"/>
      <c r="AL30" s="82"/>
    </row>
    <row r="31" spans="2:39" s="6" customFormat="1" ht="22.5" customHeight="1" x14ac:dyDescent="0.3">
      <c r="B31" s="6" t="s">
        <v>108</v>
      </c>
      <c r="C31" s="73" t="s">
        <v>108</v>
      </c>
      <c r="G31" s="307" t="str">
        <f>+I30</f>
        <v>부산CR</v>
      </c>
      <c r="H31" s="124" t="s">
        <v>33</v>
      </c>
      <c r="I31" s="125"/>
      <c r="J31" s="126">
        <f>SUM(J28:J30)</f>
        <v>74.758126946386938</v>
      </c>
      <c r="K31" s="130">
        <f>SUM(K28:K30)</f>
        <v>55.493000000000002</v>
      </c>
      <c r="L31" s="128">
        <f t="shared" si="16"/>
        <v>-19.265126946386935</v>
      </c>
      <c r="M31" s="128">
        <f>SUM(M28:M30)</f>
        <v>48.251999999999995</v>
      </c>
      <c r="N31" s="129">
        <f>+K31-M31</f>
        <v>7.2410000000000068</v>
      </c>
      <c r="O31" s="126">
        <f>SUM(O28:O30)</f>
        <v>1407.6886000699301</v>
      </c>
      <c r="P31" s="130">
        <f>SUM(P28:P30)</f>
        <v>1129.7404000000001</v>
      </c>
      <c r="Q31" s="128">
        <f t="shared" si="17"/>
        <v>-277.94820006992995</v>
      </c>
      <c r="R31" s="128">
        <f>SUM(R28:R30)</f>
        <v>1051.748</v>
      </c>
      <c r="S31" s="129">
        <f t="shared" si="18"/>
        <v>77.992400000000089</v>
      </c>
      <c r="T31" s="126">
        <f>SUM(T28:T30)</f>
        <v>-88.496111421176252</v>
      </c>
      <c r="U31" s="130">
        <f>SUM(U28:U30)</f>
        <v>-170.27671874101938</v>
      </c>
      <c r="V31" s="128">
        <f>+U31-T31</f>
        <v>-81.780607319843128</v>
      </c>
      <c r="W31" s="128">
        <f>SUM(W28:W30)</f>
        <v>-280.08745596291709</v>
      </c>
      <c r="X31" s="129">
        <f>+U31-W31</f>
        <v>109.81073722189771</v>
      </c>
      <c r="Y31" s="466"/>
      <c r="Z31" s="211"/>
      <c r="AA31" s="211"/>
      <c r="AB31" s="211"/>
      <c r="AC31" s="211"/>
      <c r="AD31" s="211"/>
      <c r="AE31" s="211"/>
      <c r="AF31" s="211"/>
      <c r="AG31" s="46"/>
      <c r="AH31" s="15"/>
      <c r="AI31" s="16"/>
      <c r="AJ31" s="456"/>
      <c r="AK31" s="459"/>
      <c r="AL31" s="82"/>
    </row>
    <row r="32" spans="2:39" s="1" customFormat="1" ht="22.5" customHeight="1" x14ac:dyDescent="0.3">
      <c r="G32" s="310"/>
      <c r="H32" s="79" t="s">
        <v>49</v>
      </c>
      <c r="I32" s="78" t="s">
        <v>79</v>
      </c>
      <c r="J32" s="41"/>
      <c r="K32" s="42"/>
      <c r="L32" s="44">
        <f t="shared" si="16"/>
        <v>0</v>
      </c>
      <c r="M32" s="43"/>
      <c r="N32" s="55">
        <f>+K32-M32</f>
        <v>0</v>
      </c>
      <c r="O32" s="41">
        <f>(IFERROR(HLOOKUP($B33,'[1]1월'!$D$6:$BN$259,3,),)++IFERROR(HLOOKUP($C33,'[1]1월'!$D$6:$BN$259,3,),)+IFERROR(HLOOKUP($D33,'[1]1월'!$D$6:$BN$259,3,),))/1000</f>
        <v>41.666666666666671</v>
      </c>
      <c r="P32" s="42">
        <f>+IFERROR(HLOOKUP($E33,'[2]1월'!$F$6:$CP$99,3,),)/1000</f>
        <v>43.34</v>
      </c>
      <c r="Q32" s="44">
        <f t="shared" si="17"/>
        <v>1.673333333333332</v>
      </c>
      <c r="R32" s="43">
        <f>+IFERROR(HLOOKUP($E33,'[3]1월'!$F$6:$CC$57,3,),)/1000</f>
        <v>90.84</v>
      </c>
      <c r="S32" s="55">
        <f t="shared" si="18"/>
        <v>-47.5</v>
      </c>
      <c r="T32" s="41">
        <f>(IFERROR(HLOOKUP($B33,'[1]1월'!$D$6:$BN$259,21,),)++IFERROR(HLOOKUP($C33,'[1]1월'!$D$6:$BN$259,21,),)+IFERROR(HLOOKUP($D33,'[1]1월'!$D$6:$BN$259,21,),))/1000</f>
        <v>29.628697666666667</v>
      </c>
      <c r="U32" s="42">
        <f>+IFERROR(HLOOKUP($E33,'[2]1월'!$F$6:$CP$99,16,),)/1000</f>
        <v>23.441662000000008</v>
      </c>
      <c r="V32" s="44">
        <f t="shared" ref="V32:V38" si="19">+U32-T32</f>
        <v>-6.1870356666666595</v>
      </c>
      <c r="W32" s="43">
        <f>+IFERROR(HLOOKUP($E33,'[3]1월'!$F$6:$CC$57,16,),)/1000</f>
        <v>72.305274999999995</v>
      </c>
      <c r="X32" s="55">
        <f t="shared" ref="X32:X40" si="20">+U32-W32</f>
        <v>-48.863612999999987</v>
      </c>
      <c r="Y32" s="466"/>
      <c r="Z32" s="211"/>
      <c r="AA32" s="211"/>
      <c r="AB32" s="211"/>
      <c r="AC32" s="211"/>
      <c r="AD32" s="211"/>
      <c r="AE32" s="211"/>
      <c r="AF32" s="211"/>
      <c r="AG32" s="46"/>
      <c r="AH32" s="24"/>
      <c r="AI32" s="25"/>
      <c r="AJ32" s="457"/>
      <c r="AK32" s="455"/>
      <c r="AL32" s="460"/>
      <c r="AM32" s="457"/>
    </row>
    <row r="33" spans="2:43" s="6" customFormat="1" ht="22.5" customHeight="1" x14ac:dyDescent="0.3">
      <c r="B33" s="6" t="s">
        <v>116</v>
      </c>
      <c r="C33" s="6" t="s">
        <v>115</v>
      </c>
      <c r="D33" t="s">
        <v>114</v>
      </c>
      <c r="E33" t="s">
        <v>80</v>
      </c>
      <c r="F33"/>
      <c r="G33" s="306" t="str">
        <f t="shared" ref="G33:G40" si="21">+I32</f>
        <v>레미콘임대</v>
      </c>
      <c r="H33" s="79"/>
      <c r="I33" s="78" t="s">
        <v>44</v>
      </c>
      <c r="J33" s="41"/>
      <c r="K33" s="42"/>
      <c r="L33" s="44">
        <f t="shared" si="16"/>
        <v>0</v>
      </c>
      <c r="M33" s="43">
        <v>0</v>
      </c>
      <c r="N33" s="55">
        <f t="shared" ref="N33:N40" si="22">+K33-M33</f>
        <v>0</v>
      </c>
      <c r="O33" s="41">
        <f>(+IFERROR(HLOOKUP($B34,'[1]1월'!$D$6:$BN$259,3,),)+IFERROR(HLOOKUP($C34,'[1]1월'!$D$6:$BN$259,3,),))/1000</f>
        <v>75.396666666666675</v>
      </c>
      <c r="P33" s="42">
        <f>+IFERROR(HLOOKUP($E34,'[2]1월'!$F$6:$CP$99,3,),)/1000</f>
        <v>7.3535779999999997</v>
      </c>
      <c r="Q33" s="44">
        <f t="shared" si="17"/>
        <v>-68.043088666666677</v>
      </c>
      <c r="R33" s="43">
        <f>+IFERROR(HLOOKUP($E34,'[3]1월'!$F$6:$CC$57,3,),)/1000</f>
        <v>74.732749000000013</v>
      </c>
      <c r="S33" s="55">
        <f t="shared" si="18"/>
        <v>-67.379171000000014</v>
      </c>
      <c r="T33" s="41">
        <f>(+IFERROR(HLOOKUP($B34,'[1]1월'!$D$6:$BN$259,21,),)+IFERROR(HLOOKUP($C34,'[1]1월'!$D$6:$BN$259,21,),))/1000</f>
        <v>68.147672666666665</v>
      </c>
      <c r="U33" s="42">
        <f>+IFERROR(HLOOKUP($E34,'[2]1월'!$F$6:$CP$99,16,),)/1000</f>
        <v>0.10410900000000038</v>
      </c>
      <c r="V33" s="44">
        <f t="shared" si="19"/>
        <v>-68.043563666666671</v>
      </c>
      <c r="W33" s="43">
        <f>+IFERROR(HLOOKUP($E34,'[3]1월'!$F$6:$CC$57,16,),)/1000</f>
        <v>64.600993000000003</v>
      </c>
      <c r="X33" s="55">
        <f t="shared" si="20"/>
        <v>-64.496884000000009</v>
      </c>
      <c r="Y33" s="239"/>
      <c r="Z33" s="211"/>
      <c r="AA33" s="211"/>
      <c r="AB33" s="211"/>
      <c r="AC33" s="211"/>
      <c r="AD33" s="211"/>
      <c r="AE33" s="211"/>
      <c r="AF33" s="211"/>
      <c r="AG33" s="46"/>
      <c r="AH33" s="15"/>
      <c r="AI33" s="16"/>
      <c r="AJ33" s="455"/>
      <c r="AK33" s="459"/>
    </row>
    <row r="34" spans="2:43" s="6" customFormat="1" ht="22.5" customHeight="1" x14ac:dyDescent="0.3">
      <c r="B34" s="6" t="s">
        <v>117</v>
      </c>
      <c r="C34" s="6" t="s">
        <v>118</v>
      </c>
      <c r="D34"/>
      <c r="E34" t="s">
        <v>31</v>
      </c>
      <c r="F34"/>
      <c r="G34" s="306" t="str">
        <f t="shared" si="21"/>
        <v>임대</v>
      </c>
      <c r="H34" s="77"/>
      <c r="I34" s="78" t="s">
        <v>50</v>
      </c>
      <c r="J34" s="41"/>
      <c r="K34" s="42"/>
      <c r="L34" s="44">
        <f t="shared" si="16"/>
        <v>0</v>
      </c>
      <c r="M34" s="43"/>
      <c r="N34" s="55">
        <f t="shared" si="22"/>
        <v>0</v>
      </c>
      <c r="O34" s="41"/>
      <c r="P34" s="42"/>
      <c r="Q34" s="44">
        <f t="shared" si="17"/>
        <v>0</v>
      </c>
      <c r="R34" s="43"/>
      <c r="S34" s="55">
        <f t="shared" si="18"/>
        <v>0</v>
      </c>
      <c r="T34" s="41">
        <f>-'[1]1월'!$Z$22/1000</f>
        <v>-1782.6186020864748</v>
      </c>
      <c r="U34" s="42">
        <f>+-'[2]1월'!$Z$22/1000</f>
        <v>-1251.4256552609122</v>
      </c>
      <c r="V34" s="44">
        <f t="shared" si="19"/>
        <v>531.19294682556256</v>
      </c>
      <c r="W34" s="43">
        <f>+-'[3]1월'!$Z$22/1000</f>
        <v>-1637.1909851328546</v>
      </c>
      <c r="X34" s="55">
        <f t="shared" si="20"/>
        <v>385.76532987194241</v>
      </c>
      <c r="Y34" s="239"/>
      <c r="Z34" s="211"/>
      <c r="AA34" s="211"/>
      <c r="AB34" s="211"/>
      <c r="AC34" s="211"/>
      <c r="AD34" s="211"/>
      <c r="AE34" s="211"/>
      <c r="AF34" s="211"/>
      <c r="AG34" s="46"/>
      <c r="AH34" s="15"/>
      <c r="AI34" s="16"/>
      <c r="AJ34" s="455"/>
      <c r="AK34" s="459"/>
    </row>
    <row r="35" spans="2:43" s="6" customFormat="1" ht="22.5" customHeight="1" x14ac:dyDescent="0.3">
      <c r="B35" s="6" t="s">
        <v>119</v>
      </c>
      <c r="D35"/>
      <c r="E35"/>
      <c r="F35"/>
      <c r="G35" s="306" t="str">
        <f t="shared" si="21"/>
        <v>공통비</v>
      </c>
      <c r="H35" s="77"/>
      <c r="I35" s="78" t="s">
        <v>94</v>
      </c>
      <c r="J35" s="41"/>
      <c r="K35" s="42"/>
      <c r="L35" s="44"/>
      <c r="M35" s="43"/>
      <c r="N35" s="55">
        <f t="shared" si="22"/>
        <v>0</v>
      </c>
      <c r="O35" s="41"/>
      <c r="P35" s="42"/>
      <c r="Q35" s="44">
        <f t="shared" si="17"/>
        <v>0</v>
      </c>
      <c r="R35" s="43"/>
      <c r="S35" s="55">
        <f t="shared" si="18"/>
        <v>0</v>
      </c>
      <c r="T35" s="41"/>
      <c r="U35" s="42">
        <f>'[2]1월'!$BD$26/1000</f>
        <v>0</v>
      </c>
      <c r="V35" s="44">
        <f t="shared" si="19"/>
        <v>0</v>
      </c>
      <c r="W35" s="43">
        <f>'[3]1월'!$BD$26/1000</f>
        <v>0</v>
      </c>
      <c r="X35" s="55">
        <f t="shared" si="20"/>
        <v>0</v>
      </c>
      <c r="Y35" s="451"/>
      <c r="Z35" s="211"/>
      <c r="AA35" s="211"/>
      <c r="AB35" s="211"/>
      <c r="AC35" s="211"/>
      <c r="AD35" s="211"/>
      <c r="AE35" s="211"/>
      <c r="AF35" s="211"/>
      <c r="AG35" s="46"/>
      <c r="AH35" s="15"/>
      <c r="AI35" s="16"/>
      <c r="AJ35" s="455"/>
      <c r="AK35" s="459"/>
      <c r="AL35" s="82"/>
    </row>
    <row r="36" spans="2:43" s="6" customFormat="1" ht="22.5" customHeight="1" x14ac:dyDescent="0.3">
      <c r="D36"/>
      <c r="E36"/>
      <c r="F36"/>
      <c r="G36" s="306" t="str">
        <f t="shared" si="21"/>
        <v>OPC 소급분</v>
      </c>
      <c r="H36" s="77"/>
      <c r="I36" s="78" t="s">
        <v>95</v>
      </c>
      <c r="J36" s="41"/>
      <c r="K36" s="42"/>
      <c r="L36" s="44"/>
      <c r="M36" s="43"/>
      <c r="N36" s="55">
        <f t="shared" si="22"/>
        <v>0</v>
      </c>
      <c r="O36" s="41"/>
      <c r="P36" s="42"/>
      <c r="Q36" s="44">
        <f t="shared" si="17"/>
        <v>0</v>
      </c>
      <c r="R36" s="43"/>
      <c r="S36" s="55">
        <f t="shared" si="18"/>
        <v>0</v>
      </c>
      <c r="T36" s="41"/>
      <c r="U36" s="42">
        <f>'[2]1월'!$BE$26/1000</f>
        <v>0</v>
      </c>
      <c r="V36" s="44">
        <f t="shared" si="19"/>
        <v>0</v>
      </c>
      <c r="W36" s="43">
        <f>'[3]1월'!$BE$26/1000</f>
        <v>0</v>
      </c>
      <c r="X36" s="55">
        <f t="shared" si="20"/>
        <v>0</v>
      </c>
      <c r="Y36" s="239"/>
      <c r="Z36" s="211"/>
      <c r="AA36" s="211"/>
      <c r="AB36" s="211"/>
      <c r="AC36" s="211"/>
      <c r="AD36" s="211"/>
      <c r="AE36" s="211"/>
      <c r="AF36" s="211"/>
      <c r="AG36" s="46"/>
      <c r="AH36" s="15"/>
      <c r="AI36" s="16"/>
      <c r="AJ36" s="455"/>
      <c r="AK36" s="459"/>
      <c r="AL36" s="82"/>
    </row>
    <row r="37" spans="2:43" s="6" customFormat="1" ht="22.5" customHeight="1" x14ac:dyDescent="0.3">
      <c r="D37"/>
      <c r="E37"/>
      <c r="F37"/>
      <c r="G37" s="306" t="str">
        <f t="shared" si="21"/>
        <v>대손</v>
      </c>
      <c r="H37" s="77"/>
      <c r="I37" s="78" t="s">
        <v>109</v>
      </c>
      <c r="J37" s="41"/>
      <c r="K37" s="42"/>
      <c r="L37" s="44"/>
      <c r="M37" s="43">
        <f>SUM(M56:M61)</f>
        <v>0</v>
      </c>
      <c r="N37" s="55">
        <f t="shared" si="22"/>
        <v>0</v>
      </c>
      <c r="O37" s="41"/>
      <c r="P37" s="42"/>
      <c r="Q37" s="44">
        <f t="shared" si="17"/>
        <v>0</v>
      </c>
      <c r="R37" s="43">
        <f>+IFERROR(HLOOKUP($I$37,'[3]1월'!$F$6:$BJ$50,3,),)/1000</f>
        <v>0</v>
      </c>
      <c r="S37" s="55">
        <f t="shared" si="18"/>
        <v>0</v>
      </c>
      <c r="T37" s="41">
        <f>SUM('[1]1월'!$AM$26:$AQ$26)/1000</f>
        <v>-12.762081</v>
      </c>
      <c r="U37" s="42">
        <f>+'[2]1월'!$BF$26/1000</f>
        <v>-37.148223999999999</v>
      </c>
      <c r="V37" s="44">
        <f t="shared" si="19"/>
        <v>-24.386142999999997</v>
      </c>
      <c r="W37" s="43">
        <f>+'[3]1월'!$BF$26/1000</f>
        <v>-33.071711999999998</v>
      </c>
      <c r="X37" s="55">
        <f t="shared" si="20"/>
        <v>-4.076512000000001</v>
      </c>
      <c r="Y37" s="210"/>
      <c r="Z37" s="211"/>
      <c r="AA37" s="211"/>
      <c r="AB37" s="211"/>
      <c r="AC37" s="211"/>
      <c r="AD37" s="211"/>
      <c r="AE37" s="211"/>
      <c r="AF37" s="211"/>
      <c r="AG37" s="46"/>
      <c r="AH37" s="15"/>
      <c r="AI37" s="16"/>
      <c r="AJ37" s="455"/>
      <c r="AK37" s="459"/>
      <c r="AL37" s="82"/>
      <c r="AO37" s="455"/>
      <c r="AP37" s="455"/>
      <c r="AQ37" s="455"/>
    </row>
    <row r="38" spans="2:43" s="6" customFormat="1" ht="22.5" customHeight="1" x14ac:dyDescent="0.3">
      <c r="D38"/>
      <c r="E38"/>
      <c r="F38"/>
      <c r="G38" s="306" t="str">
        <f t="shared" si="21"/>
        <v>미운영 공장</v>
      </c>
      <c r="H38" s="77"/>
      <c r="I38" s="78" t="s">
        <v>156</v>
      </c>
      <c r="J38" s="41"/>
      <c r="K38" s="42"/>
      <c r="L38" s="44"/>
      <c r="M38" s="43"/>
      <c r="N38" s="55"/>
      <c r="O38" s="41"/>
      <c r="P38" s="42"/>
      <c r="Q38" s="44"/>
      <c r="R38" s="43"/>
      <c r="S38" s="55"/>
      <c r="T38" s="41"/>
      <c r="U38" s="42">
        <f>+'[2]1월'!$BG$26/1000</f>
        <v>0</v>
      </c>
      <c r="V38" s="44">
        <f t="shared" si="19"/>
        <v>0</v>
      </c>
      <c r="W38" s="43"/>
      <c r="X38" s="55">
        <f t="shared" si="20"/>
        <v>0</v>
      </c>
      <c r="Y38" s="210"/>
      <c r="Z38" s="211"/>
      <c r="AA38" s="211"/>
      <c r="AB38" s="211"/>
      <c r="AC38" s="211"/>
      <c r="AD38" s="211"/>
      <c r="AE38" s="211"/>
      <c r="AF38" s="211"/>
      <c r="AG38" s="46"/>
      <c r="AH38" s="15"/>
      <c r="AI38" s="16"/>
      <c r="AJ38" s="455"/>
      <c r="AK38" s="459"/>
      <c r="AL38" s="82"/>
      <c r="AQ38" s="455"/>
    </row>
    <row r="39" spans="2:43" s="6" customFormat="1" ht="22.5" customHeight="1" x14ac:dyDescent="0.3">
      <c r="B39" t="s">
        <v>30</v>
      </c>
      <c r="D39"/>
      <c r="G39" s="306" t="str">
        <f t="shared" si="21"/>
        <v>퇴직위로금</v>
      </c>
      <c r="H39" s="77"/>
      <c r="I39" s="78" t="s">
        <v>4</v>
      </c>
      <c r="J39" s="41"/>
      <c r="K39" s="42"/>
      <c r="L39" s="50">
        <f>+K39-J39</f>
        <v>0</v>
      </c>
      <c r="M39" s="56"/>
      <c r="N39" s="57">
        <f>+K39-M39</f>
        <v>0</v>
      </c>
      <c r="O39" s="41">
        <f>IFERROR(HLOOKUP($B39,'[1]1월'!$D$6:$BN$259,3,),)/1000</f>
        <v>1.77</v>
      </c>
      <c r="P39" s="42">
        <f>+('[2]1월'!$F$8-SUM('[2]1월'!$Z$8,'[2]1월'!$AH$8,'[2]1월'!$AN$8,'[2]1월'!$AO$8,'[2]1월'!$BA$8,'[2]1월'!$BD$8,'[2]1월'!$BE$8,'[2]1월'!$BF$8))/1000</f>
        <v>1.6413000000007452</v>
      </c>
      <c r="Q39" s="50">
        <f>+P39-O39</f>
        <v>-0.12869999999925485</v>
      </c>
      <c r="R39" s="56">
        <f>+('[3]1월'!$F$8-SUM('[3]1월'!$Z$8,'[3]1월'!$AH$8,'[3]1월'!$AN$8,'[3]1월'!$AO$8,'[3]1월'!$BA$8,'[3]1월'!$BD$8,'[3]1월'!$BE$8,'[3]1월'!$BF$8))/1000</f>
        <v>1.6798500000014902</v>
      </c>
      <c r="S39" s="57">
        <f>+P39-R39</f>
        <v>-3.8550000000745044E-2</v>
      </c>
      <c r="T39" s="41">
        <f>+('[1]1월'!$E$26-'[1]1월'!$Z$26-'[1]1월'!$AA$26-'[1]1월'!$AE$26-'[1]1월'!$AL$26-'[1]1월'!$AM$26-'[1]1월'!$AN$26-'[1]1월'!$AO$26-'[1]1월'!$AP$26-'[1]1월'!$AQ$26-'[1]1월'!$AS$26+'[1]1월'!$AS$26)/1000</f>
        <v>-47.352978000002523</v>
      </c>
      <c r="U39" s="42">
        <f>+('[2]1월'!$F$26-SUM('[2]1월'!$Z$26,'[2]1월'!$AH$26,'[2]1월'!$AN$26,'[2]1월'!$AO$26,'[2]1월'!$BA$26,'[2]1월'!$BD$26,'[2]1월'!$BE$26,'[2]1월'!$BF$26))/1000-U38</f>
        <v>-16.500498999992384</v>
      </c>
      <c r="V39" s="44">
        <f>+U39-T39</f>
        <v>30.852479000010138</v>
      </c>
      <c r="W39" s="56">
        <f>+('[3]1월'!$F$26-SUM('[3]1월'!$Z$26,'[3]1월'!$AH$26,'[3]1월'!$AN$26,'[3]1월'!$AO$26,'[3]1월'!$BA$26,'[3]1월'!$BD$26,'[3]1월'!$BE$26,'[3]1월'!$BF$26))/1000</f>
        <v>-775.35328091000088</v>
      </c>
      <c r="X39" s="55">
        <f t="shared" si="20"/>
        <v>758.8527819100085</v>
      </c>
      <c r="Y39" s="212"/>
      <c r="Z39" s="211"/>
      <c r="AA39" s="211"/>
      <c r="AB39" s="211"/>
      <c r="AC39" s="211"/>
      <c r="AD39" s="211"/>
      <c r="AE39" s="211"/>
      <c r="AF39" s="211"/>
      <c r="AG39" s="46"/>
      <c r="AH39" s="15"/>
      <c r="AI39" s="16"/>
      <c r="AJ39" s="455"/>
      <c r="AK39" s="459"/>
    </row>
    <row r="40" spans="2:43" s="6" customFormat="1" ht="22.5" customHeight="1" x14ac:dyDescent="0.3">
      <c r="G40" s="306" t="str">
        <f t="shared" si="21"/>
        <v>기타</v>
      </c>
      <c r="H40" s="124" t="s">
        <v>96</v>
      </c>
      <c r="I40" s="125"/>
      <c r="J40" s="257">
        <f>SUM(J32:J39)</f>
        <v>0</v>
      </c>
      <c r="K40" s="258">
        <f>SUM(K32:K39)</f>
        <v>0</v>
      </c>
      <c r="L40" s="258">
        <f>+K40-J40</f>
        <v>0</v>
      </c>
      <c r="M40" s="258">
        <f>SUM(M32:M39)</f>
        <v>0</v>
      </c>
      <c r="N40" s="259">
        <f t="shared" si="22"/>
        <v>0</v>
      </c>
      <c r="O40" s="126">
        <f>SUM(O32:O39)</f>
        <v>118.83333333333334</v>
      </c>
      <c r="P40" s="127">
        <f>SUM(P32:P39)</f>
        <v>52.334878000000749</v>
      </c>
      <c r="Q40" s="131">
        <f>+P40-O40</f>
        <v>-66.498455333332601</v>
      </c>
      <c r="R40" s="132">
        <f>SUM(R32:R39)</f>
        <v>167.25259900000151</v>
      </c>
      <c r="S40" s="133">
        <f>+P40-R40</f>
        <v>-114.91772100000077</v>
      </c>
      <c r="T40" s="126">
        <f>SUM(T32:T39)</f>
        <v>-1744.9572907531442</v>
      </c>
      <c r="U40" s="127">
        <f>SUM(U32:U39)</f>
        <v>-1281.5286072609047</v>
      </c>
      <c r="V40" s="131">
        <f>+U40-T40</f>
        <v>463.42868349223954</v>
      </c>
      <c r="W40" s="132">
        <f>SUM(W32:W39)</f>
        <v>-2308.7097100428555</v>
      </c>
      <c r="X40" s="133">
        <f t="shared" si="20"/>
        <v>1027.1811027819508</v>
      </c>
      <c r="Y40" s="210"/>
      <c r="Z40" s="211"/>
      <c r="AA40" s="211"/>
      <c r="AB40" s="211"/>
      <c r="AC40" s="211"/>
      <c r="AD40" s="211"/>
      <c r="AE40" s="211"/>
      <c r="AF40" s="211"/>
      <c r="AG40" s="46"/>
      <c r="AH40" s="28"/>
      <c r="AJ40" s="455"/>
      <c r="AK40" s="459"/>
    </row>
    <row r="41" spans="2:43" s="1" customFormat="1" ht="22.5" customHeight="1" x14ac:dyDescent="0.3">
      <c r="D41" s="266"/>
      <c r="G41" s="310"/>
      <c r="H41" s="250" t="s">
        <v>32</v>
      </c>
      <c r="I41" s="251"/>
      <c r="J41" s="263"/>
      <c r="K41" s="264"/>
      <c r="L41" s="264"/>
      <c r="M41" s="264"/>
      <c r="N41" s="265"/>
      <c r="O41" s="252">
        <f>+O27+O31+O40</f>
        <v>20599.133963218042</v>
      </c>
      <c r="P41" s="253">
        <f>+P27+P31+P40</f>
        <v>19927.930215999997</v>
      </c>
      <c r="Q41" s="254">
        <f>+P41-O41</f>
        <v>-671.20374721804546</v>
      </c>
      <c r="R41" s="255">
        <f>+R27+R31+R40</f>
        <v>19193.392671000005</v>
      </c>
      <c r="S41" s="256">
        <f>+P41-R41</f>
        <v>734.53754499999195</v>
      </c>
      <c r="T41" s="252">
        <f>+T27+T31+T40</f>
        <v>-1808.3059216070844</v>
      </c>
      <c r="U41" s="253">
        <f>+U27+U31+U40</f>
        <v>-1202.8263040019251</v>
      </c>
      <c r="V41" s="254">
        <f>+U41-T41</f>
        <v>605.47961760515932</v>
      </c>
      <c r="W41" s="255">
        <f>+W27+W31+W40</f>
        <v>-2565.6589250057723</v>
      </c>
      <c r="X41" s="256">
        <f>+U41-W41</f>
        <v>1362.8326210038472</v>
      </c>
      <c r="Y41" s="639"/>
      <c r="Z41" s="640"/>
      <c r="AA41" s="640"/>
      <c r="AB41" s="640"/>
      <c r="AC41" s="640"/>
      <c r="AD41" s="640"/>
      <c r="AE41" s="640"/>
      <c r="AF41" s="640"/>
      <c r="AG41" s="641"/>
      <c r="AH41" s="23"/>
      <c r="AJ41" s="457"/>
      <c r="AK41" s="459"/>
    </row>
    <row r="42" spans="2:43" s="6" customFormat="1" ht="19.5" customHeight="1" x14ac:dyDescent="0.3">
      <c r="G42" s="311">
        <f>+P41/O41</f>
        <v>0.96741592396959253</v>
      </c>
      <c r="AH42" s="28"/>
      <c r="AJ42" s="455"/>
      <c r="AK42" s="459"/>
      <c r="AO42" s="455"/>
    </row>
    <row r="43" spans="2:43" s="1" customFormat="1" ht="22.5" customHeight="1" x14ac:dyDescent="0.3">
      <c r="H43" s="552" t="s">
        <v>48</v>
      </c>
      <c r="I43" s="553"/>
      <c r="J43" s="141">
        <f>+IFERROR(HLOOKUP($B28,'[1]1월'!$D$6:$BN$259,2,),)</f>
        <v>8000</v>
      </c>
      <c r="K43" s="142">
        <f>+IFERROR(HLOOKUP($E28,'[2]1월'!$F$6:$CP$99,2,),)</f>
        <v>4969.8379999999997</v>
      </c>
      <c r="L43" s="143">
        <f>+K43-J43</f>
        <v>-3030.1620000000003</v>
      </c>
      <c r="M43" s="144">
        <f>+IFERROR(HLOOKUP($E28,'[3]1월'!$F$6:$CC$57,2,),)</f>
        <v>8735.5020000000004</v>
      </c>
      <c r="N43" s="145">
        <f>+K43-M43</f>
        <v>-3765.6640000000007</v>
      </c>
      <c r="O43" s="141">
        <f>+IFERROR(HLOOKUP($B28,'[1]1월'!$D$6:$BN$259,3,),)/1000</f>
        <v>7664.8434380000008</v>
      </c>
      <c r="P43" s="142">
        <f>+IFERROR(HLOOKUP($E28,'[2]1월'!$F$6:$CP$99,3,),)/1000</f>
        <v>5099.8867440000004</v>
      </c>
      <c r="Q43" s="143">
        <f>+P43-O43</f>
        <v>-2564.9566940000004</v>
      </c>
      <c r="R43" s="144">
        <f>+IFERROR(HLOOKUP($E28,'[3]1월'!$F$6:$CC$57,3,),)/1000</f>
        <v>7480.1196840000002</v>
      </c>
      <c r="S43" s="145">
        <f>+P43-R43</f>
        <v>-2380.2329399999999</v>
      </c>
      <c r="T43" s="141">
        <f>+IFERROR(HLOOKUP($B28,'[1]1월'!$D$6:$BN$259,21,),)/1000</f>
        <v>-46.217592891015428</v>
      </c>
      <c r="U43" s="142">
        <f>+IFERROR(HLOOKUP($E28,'[2]1월'!$F$6:$CP$99,21,),)/1000</f>
        <v>-38.815401000000243</v>
      </c>
      <c r="V43" s="143">
        <f>+U43-T43</f>
        <v>7.4021918910151854</v>
      </c>
      <c r="W43" s="144">
        <f>+IFERROR(HLOOKUP($E28,'[3]1월'!$F$6:$CC$57,16,),)/1000</f>
        <v>1.6972489999996232</v>
      </c>
      <c r="X43" s="145">
        <f>+U43-W43</f>
        <v>-40.512649999999866</v>
      </c>
      <c r="Y43" s="549"/>
      <c r="Z43" s="550"/>
      <c r="AA43" s="550"/>
      <c r="AB43" s="550"/>
      <c r="AC43" s="550"/>
      <c r="AD43" s="550"/>
      <c r="AE43" s="550"/>
      <c r="AF43" s="550"/>
      <c r="AG43" s="551"/>
      <c r="AH43" s="23"/>
      <c r="AJ43" s="457"/>
      <c r="AK43" s="459"/>
      <c r="AO43" s="457"/>
    </row>
    <row r="44" spans="2:43" s="1" customFormat="1" ht="22.5" customHeight="1" x14ac:dyDescent="0.3">
      <c r="H44" s="250" t="s">
        <v>32</v>
      </c>
      <c r="I44" s="251"/>
      <c r="J44" s="263"/>
      <c r="K44" s="264"/>
      <c r="L44" s="264"/>
      <c r="M44" s="264"/>
      <c r="N44" s="265"/>
      <c r="O44" s="252">
        <f>+O41+O43</f>
        <v>28263.977401218042</v>
      </c>
      <c r="P44" s="253">
        <f>+P41+P43</f>
        <v>25027.816959999996</v>
      </c>
      <c r="Q44" s="254">
        <f>+P44-O44</f>
        <v>-3236.1604412180459</v>
      </c>
      <c r="R44" s="255">
        <f>+R41+R43</f>
        <v>26673.512355000006</v>
      </c>
      <c r="S44" s="256">
        <f>+P44-R44</f>
        <v>-1645.6953950000097</v>
      </c>
      <c r="T44" s="252">
        <f>+T41+T43</f>
        <v>-1854.5235144980998</v>
      </c>
      <c r="U44" s="253">
        <f>+U41+U43</f>
        <v>-1241.6417050019254</v>
      </c>
      <c r="V44" s="254">
        <f>+U44-T44</f>
        <v>612.88180949617436</v>
      </c>
      <c r="W44" s="255">
        <f>+W41+W43</f>
        <v>-2563.9616760057725</v>
      </c>
      <c r="X44" s="256">
        <f>+U44-W44</f>
        <v>1322.3199710038471</v>
      </c>
      <c r="Y44" s="639"/>
      <c r="Z44" s="640"/>
      <c r="AA44" s="640"/>
      <c r="AB44" s="640"/>
      <c r="AC44" s="640"/>
      <c r="AD44" s="640"/>
      <c r="AE44" s="640"/>
      <c r="AF44" s="640"/>
      <c r="AG44" s="641"/>
      <c r="AH44" s="23"/>
      <c r="AJ44" s="457"/>
      <c r="AK44" s="459"/>
      <c r="AO44" s="457"/>
    </row>
    <row r="45" spans="2:43" s="1" customFormat="1" ht="22.5" customHeight="1" x14ac:dyDescent="0.3">
      <c r="K45" s="454"/>
      <c r="L45" s="454"/>
      <c r="M45" s="454"/>
      <c r="AH45" s="23"/>
      <c r="AJ45" s="457"/>
      <c r="AK45" s="459"/>
      <c r="AO45" s="457"/>
    </row>
    <row r="46" spans="2:43" s="29" customFormat="1" x14ac:dyDescent="0.3">
      <c r="G46" s="308"/>
      <c r="P46" s="268"/>
      <c r="R46" s="268"/>
      <c r="T46" s="268"/>
      <c r="U46" s="268"/>
      <c r="AC46" s="30"/>
      <c r="AF46" s="30"/>
      <c r="AJ46" s="458"/>
      <c r="AK46" s="459"/>
    </row>
    <row r="47" spans="2:43" s="29" customFormat="1" ht="17.25" thickBot="1" x14ac:dyDescent="0.35">
      <c r="G47" s="312"/>
      <c r="AC47" s="30"/>
      <c r="AF47" s="30"/>
      <c r="AJ47" s="458"/>
    </row>
    <row r="48" spans="2:43" s="29" customFormat="1" x14ac:dyDescent="0.3">
      <c r="F48" s="268">
        <f>+K43/M43</f>
        <v>0.56892414425639182</v>
      </c>
      <c r="G48" s="308">
        <f>+K43/J43</f>
        <v>0.62122974999999991</v>
      </c>
      <c r="I48" s="638" t="s">
        <v>81</v>
      </c>
      <c r="J48" s="116">
        <f>+'[1]1월'!$Z$7/1000</f>
        <v>189</v>
      </c>
      <c r="K48" s="117">
        <f>+'[2]1월'!$AI$7/1000</f>
        <v>176.12049999999999</v>
      </c>
      <c r="L48" s="117"/>
      <c r="M48" s="117">
        <f>+'[3]1월'!$Z$7/1000</f>
        <v>177.87950000000001</v>
      </c>
      <c r="N48" s="117"/>
      <c r="O48" s="117">
        <f>+'[1]1월'!$E$8/1000</f>
        <v>28263.977401218042</v>
      </c>
      <c r="P48" s="117">
        <f>+'[2]1월'!$F$8/1000</f>
        <v>25027.816960000004</v>
      </c>
      <c r="Q48" s="117"/>
      <c r="R48" s="117">
        <f>+'[3]1월'!$F$8/1000</f>
        <v>26673.512355000003</v>
      </c>
      <c r="S48" s="117"/>
      <c r="T48" s="122">
        <f>+'[1]1월'!$E$26/1000</f>
        <v>-1854.5235144981029</v>
      </c>
      <c r="U48" s="117">
        <f>+'[2]1월'!$F$26/1000</f>
        <v>-1241.6417050019256</v>
      </c>
      <c r="V48" s="117"/>
      <c r="W48" s="117">
        <f>+'[3]1월'!$F$26/1000</f>
        <v>-2563.9616760057729</v>
      </c>
      <c r="X48" s="118"/>
      <c r="AC48" s="30"/>
      <c r="AF48" s="30"/>
      <c r="AJ48" s="458"/>
    </row>
    <row r="49" spans="6:36" s="29" customFormat="1" ht="17.25" thickBot="1" x14ac:dyDescent="0.35">
      <c r="F49" s="268">
        <f>+K31/M31</f>
        <v>1.1500663184945703</v>
      </c>
      <c r="G49" s="308">
        <f>+K31/J31</f>
        <v>0.74230056673031697</v>
      </c>
      <c r="I49" s="638"/>
      <c r="J49" s="121">
        <f>+J48-J27</f>
        <v>0</v>
      </c>
      <c r="K49" s="119">
        <f>+K48-K27</f>
        <v>0</v>
      </c>
      <c r="L49" s="119"/>
      <c r="M49" s="119">
        <f>+M48-M27</f>
        <v>0</v>
      </c>
      <c r="N49" s="119"/>
      <c r="O49" s="123">
        <f>+O48-O44</f>
        <v>0</v>
      </c>
      <c r="P49" s="123">
        <f>+P48-P44</f>
        <v>0</v>
      </c>
      <c r="Q49" s="119"/>
      <c r="R49" s="123">
        <f>+R48-R44</f>
        <v>0</v>
      </c>
      <c r="S49" s="119"/>
      <c r="T49" s="123">
        <f>+T48-T44</f>
        <v>-3.1832314562052488E-12</v>
      </c>
      <c r="U49" s="123">
        <f>+U48-U44</f>
        <v>0</v>
      </c>
      <c r="V49" s="119"/>
      <c r="W49" s="119">
        <f>+W48-W44</f>
        <v>0</v>
      </c>
      <c r="X49" s="120"/>
      <c r="AC49" s="30"/>
      <c r="AF49" s="30"/>
      <c r="AG49" s="29" t="s">
        <v>82</v>
      </c>
      <c r="AJ49" s="458"/>
    </row>
    <row r="50" spans="6:36" x14ac:dyDescent="0.3">
      <c r="T50" s="267"/>
      <c r="U50" s="267"/>
      <c r="V50" s="267"/>
    </row>
    <row r="51" spans="6:36" x14ac:dyDescent="0.3">
      <c r="O51" s="462">
        <f>+O41-O43</f>
        <v>12934.290525218043</v>
      </c>
      <c r="P51" s="462">
        <f>+P41-P43</f>
        <v>14828.043471999998</v>
      </c>
      <c r="Q51" s="462">
        <f>+P51-O51</f>
        <v>1893.752946781955</v>
      </c>
      <c r="T51" s="267"/>
      <c r="U51" s="267"/>
      <c r="V51" s="267"/>
      <c r="AC51" s="30"/>
      <c r="AD51" s="29"/>
      <c r="AE51" s="29"/>
      <c r="AF51" s="30"/>
    </row>
    <row r="52" spans="6:36" x14ac:dyDescent="0.3">
      <c r="O52" s="462">
        <f>+O51/100</f>
        <v>129.34290525218043</v>
      </c>
      <c r="P52" s="462">
        <f>+P51/100</f>
        <v>148.28043471999999</v>
      </c>
      <c r="Q52" s="462">
        <f>+P52-O52</f>
        <v>18.937529467819559</v>
      </c>
      <c r="S52" t="s">
        <v>40</v>
      </c>
      <c r="T52" s="214">
        <f>(+T27+T34)/100</f>
        <v>-17.574711215192387</v>
      </c>
      <c r="U52" s="214">
        <f>(+U27+U34)/100</f>
        <v>-10.024466332609133</v>
      </c>
      <c r="V52" s="214">
        <f>+U52-T52</f>
        <v>7.5502448825832538</v>
      </c>
      <c r="W52" s="213">
        <f>+U52/T52-1</f>
        <v>-0.42960847493508036</v>
      </c>
      <c r="AC52" s="30"/>
      <c r="AD52" s="29"/>
      <c r="AE52" s="29"/>
      <c r="AF52" s="30"/>
      <c r="AJ52" s="462"/>
    </row>
    <row r="53" spans="6:36" x14ac:dyDescent="0.3">
      <c r="Q53" s="213">
        <f>+P52/O52</f>
        <v>1.1464133609098772</v>
      </c>
      <c r="S53" t="s">
        <v>1</v>
      </c>
      <c r="T53" s="4">
        <f>+T31/100</f>
        <v>-0.88496111421176249</v>
      </c>
      <c r="U53" s="4">
        <f>+U31/100</f>
        <v>-1.7027671874101937</v>
      </c>
      <c r="V53" s="214">
        <f>+U53-T53</f>
        <v>-0.81780607319843124</v>
      </c>
      <c r="AC53" s="30"/>
      <c r="AD53" s="29"/>
      <c r="AE53" s="29"/>
      <c r="AF53" s="30"/>
    </row>
    <row r="54" spans="6:36" x14ac:dyDescent="0.3">
      <c r="S54" t="s">
        <v>44</v>
      </c>
      <c r="T54" s="4">
        <f>(T32+T33)/100</f>
        <v>0.97776370333333329</v>
      </c>
      <c r="U54" s="4">
        <f>(U32+U33)/100</f>
        <v>0.2354577100000001</v>
      </c>
      <c r="V54" s="267">
        <f>+U54-T54</f>
        <v>-0.74230599333333314</v>
      </c>
      <c r="AC54" s="30"/>
      <c r="AD54" s="29"/>
      <c r="AE54" s="29"/>
      <c r="AF54" s="30"/>
      <c r="AJ54" s="462"/>
    </row>
    <row r="55" spans="6:36" x14ac:dyDescent="0.3">
      <c r="S55" s="214" t="s">
        <v>4</v>
      </c>
      <c r="T55" s="214">
        <f>((T48-T43)/100)-T52-T53-T54</f>
        <v>-0.60115059000005899</v>
      </c>
      <c r="U55" s="214">
        <f>((U48-U43)/100)-U52-U53-U54</f>
        <v>-0.53648722999992571</v>
      </c>
      <c r="V55" s="214">
        <f>+U55-T55</f>
        <v>6.4663360000133285E-2</v>
      </c>
      <c r="AC55" s="30"/>
      <c r="AD55" s="29"/>
      <c r="AE55" s="29"/>
      <c r="AF55" s="30"/>
      <c r="AJ55" s="462"/>
    </row>
    <row r="56" spans="6:36" x14ac:dyDescent="0.3">
      <c r="J56" s="214"/>
      <c r="K56" s="214"/>
      <c r="L56" s="214"/>
      <c r="M56" s="214"/>
      <c r="N56" s="214"/>
      <c r="O56" s="214"/>
      <c r="P56" s="214"/>
      <c r="Q56" s="214"/>
      <c r="R56" s="214"/>
      <c r="S56" s="214"/>
      <c r="T56" s="214">
        <f>SUM(T54:T55)</f>
        <v>0.3766131133332743</v>
      </c>
      <c r="U56" s="214">
        <f>SUM(U54:U55)</f>
        <v>-0.30102951999992561</v>
      </c>
      <c r="V56" s="214">
        <f>SUM(V54:V55)</f>
        <v>-0.67764263333319985</v>
      </c>
      <c r="W56" s="214"/>
      <c r="X56" s="214"/>
      <c r="Y56" s="214"/>
      <c r="Z56" s="214"/>
      <c r="AA56" s="214"/>
      <c r="AB56" s="214"/>
      <c r="AC56" s="214"/>
      <c r="AD56" s="214"/>
      <c r="AE56" s="214"/>
      <c r="AF56" s="214"/>
      <c r="AG56" s="214"/>
      <c r="AJ56" s="462"/>
    </row>
    <row r="57" spans="6:36" x14ac:dyDescent="0.3">
      <c r="J57" s="214"/>
      <c r="K57" s="214"/>
      <c r="L57" s="214"/>
      <c r="M57" s="214"/>
      <c r="N57" s="214"/>
      <c r="O57" s="214"/>
      <c r="P57" s="214"/>
      <c r="Q57" s="214"/>
      <c r="R57" s="214"/>
      <c r="S57" s="214"/>
      <c r="T57" s="214">
        <f>SUM(T52:T55)</f>
        <v>-18.083059216070875</v>
      </c>
      <c r="U57" s="214">
        <f>SUM(U52:U55)</f>
        <v>-12.028263040019253</v>
      </c>
      <c r="V57" s="214">
        <f>+U57-T57</f>
        <v>6.0547961760516227</v>
      </c>
      <c r="W57" s="214"/>
      <c r="X57" s="214"/>
      <c r="Y57" s="214"/>
      <c r="Z57" s="214"/>
      <c r="AA57" s="214"/>
      <c r="AB57" s="214"/>
      <c r="AC57" s="214"/>
      <c r="AD57" s="214"/>
      <c r="AE57" s="214"/>
      <c r="AF57" s="214"/>
      <c r="AG57" s="214"/>
      <c r="AJ57" s="462"/>
    </row>
    <row r="58" spans="6:36" x14ac:dyDescent="0.3">
      <c r="J58" s="214"/>
      <c r="K58" s="214"/>
      <c r="L58" s="214"/>
      <c r="M58" s="214"/>
      <c r="N58" s="214"/>
      <c r="O58" s="214"/>
      <c r="P58" s="214"/>
      <c r="Q58" s="214"/>
      <c r="R58" s="214"/>
      <c r="W58" s="214"/>
      <c r="X58" s="214"/>
      <c r="Y58" s="214"/>
      <c r="Z58" s="214"/>
      <c r="AA58" s="214"/>
      <c r="AB58" s="214"/>
      <c r="AC58" s="214"/>
      <c r="AD58" s="214"/>
      <c r="AE58" s="214"/>
      <c r="AF58" s="214"/>
      <c r="AG58" s="214"/>
      <c r="AJ58" s="462"/>
    </row>
    <row r="59" spans="6:36" x14ac:dyDescent="0.3">
      <c r="J59" s="214"/>
      <c r="K59" s="214"/>
      <c r="L59" s="214"/>
      <c r="M59" s="214"/>
      <c r="N59" s="214"/>
      <c r="O59" s="214"/>
      <c r="P59" s="214"/>
      <c r="Q59" s="214"/>
      <c r="R59" s="214"/>
      <c r="S59" s="214"/>
      <c r="T59" s="214"/>
      <c r="U59" s="214"/>
      <c r="V59" s="214"/>
      <c r="W59" s="214"/>
      <c r="X59" s="214"/>
      <c r="Y59" s="214"/>
      <c r="Z59" s="214"/>
      <c r="AA59" s="214"/>
      <c r="AB59" s="214"/>
      <c r="AC59" s="214"/>
      <c r="AD59" s="214"/>
      <c r="AE59" s="214"/>
      <c r="AF59" s="214"/>
      <c r="AG59" s="214"/>
    </row>
    <row r="60" spans="6:36" x14ac:dyDescent="0.3">
      <c r="J60" s="214"/>
      <c r="K60" s="214"/>
      <c r="L60" s="214"/>
      <c r="M60" s="214"/>
      <c r="N60" s="214"/>
      <c r="O60" s="214"/>
      <c r="P60" s="214"/>
      <c r="Q60" s="214"/>
      <c r="R60" s="214"/>
      <c r="S60" s="214" t="s">
        <v>44</v>
      </c>
      <c r="T60" s="267">
        <f>+(T32+T33)/100</f>
        <v>0.97776370333333329</v>
      </c>
      <c r="U60" s="267">
        <f>+(U32+U33)/100</f>
        <v>0.2354577100000001</v>
      </c>
      <c r="V60" s="214">
        <f>+U60-T60</f>
        <v>-0.74230599333333314</v>
      </c>
      <c r="W60" s="214"/>
      <c r="X60" s="214"/>
      <c r="Y60" s="214"/>
      <c r="Z60" s="214"/>
      <c r="AA60" s="214"/>
      <c r="AB60" s="214"/>
      <c r="AC60" s="214"/>
      <c r="AD60" s="214"/>
      <c r="AE60" s="214"/>
      <c r="AF60" s="214"/>
      <c r="AG60" s="214"/>
      <c r="AJ60" s="462"/>
    </row>
    <row r="61" spans="6:36" x14ac:dyDescent="0.3">
      <c r="J61" s="214"/>
      <c r="K61" s="214"/>
      <c r="L61" s="214"/>
      <c r="M61" s="214"/>
      <c r="N61" s="214"/>
      <c r="O61" s="214"/>
      <c r="P61" s="214"/>
      <c r="Q61" s="214"/>
      <c r="R61" s="214"/>
      <c r="S61" s="214" t="str">
        <f>+I35</f>
        <v>OPC 소급분</v>
      </c>
      <c r="T61" s="214">
        <f t="shared" ref="T61:U63" si="23">+T35/100</f>
        <v>0</v>
      </c>
      <c r="U61" s="214">
        <f t="shared" si="23"/>
        <v>0</v>
      </c>
      <c r="V61" s="214">
        <f>+U61-T61</f>
        <v>0</v>
      </c>
      <c r="W61" s="214"/>
      <c r="X61" s="214"/>
      <c r="Y61" s="214"/>
      <c r="Z61" s="214"/>
      <c r="AA61" s="214"/>
      <c r="AB61" s="214"/>
      <c r="AC61" s="214"/>
      <c r="AD61" s="214"/>
      <c r="AE61" s="214"/>
      <c r="AF61" s="214"/>
      <c r="AG61" s="214"/>
      <c r="AJ61" s="462"/>
    </row>
    <row r="62" spans="6:36" x14ac:dyDescent="0.3">
      <c r="S62" s="214" t="str">
        <f>+I36</f>
        <v>대손</v>
      </c>
      <c r="T62" s="214">
        <f t="shared" si="23"/>
        <v>0</v>
      </c>
      <c r="U62" s="214">
        <f t="shared" si="23"/>
        <v>0</v>
      </c>
      <c r="V62" s="214">
        <f>+U62-T62</f>
        <v>0</v>
      </c>
      <c r="AC62" s="214"/>
      <c r="AD62" s="214"/>
      <c r="AE62" s="214"/>
      <c r="AF62" s="214"/>
      <c r="AJ62" s="462"/>
    </row>
    <row r="63" spans="6:36" x14ac:dyDescent="0.3">
      <c r="S63" s="214" t="str">
        <f>+I37</f>
        <v>미운영 공장</v>
      </c>
      <c r="T63" s="214">
        <f t="shared" si="23"/>
        <v>-0.12762081</v>
      </c>
      <c r="U63" s="214">
        <f t="shared" si="23"/>
        <v>-0.37148223999999996</v>
      </c>
      <c r="V63" s="214">
        <f>+U63-T63</f>
        <v>-0.24386142999999996</v>
      </c>
      <c r="AC63" s="214"/>
      <c r="AD63" s="214"/>
      <c r="AE63" s="214"/>
      <c r="AJ63" s="462"/>
    </row>
    <row r="64" spans="6:36" x14ac:dyDescent="0.3">
      <c r="S64" s="214" t="str">
        <f>+I39</f>
        <v>기타</v>
      </c>
      <c r="T64" s="214">
        <f>+T39/100</f>
        <v>-0.47352978000002521</v>
      </c>
      <c r="U64" s="214">
        <f>+U39/100</f>
        <v>-0.16500498999992386</v>
      </c>
      <c r="V64" s="214">
        <f>+U64-T64</f>
        <v>0.30852479000010136</v>
      </c>
      <c r="AC64" s="214"/>
      <c r="AD64" s="214"/>
      <c r="AE64" s="214"/>
    </row>
    <row r="65" spans="20:31" x14ac:dyDescent="0.3">
      <c r="T65" s="4">
        <f>SUM(T60:T64)</f>
        <v>0.37661311333330805</v>
      </c>
      <c r="U65" s="4">
        <f>SUM(U60:U64)</f>
        <v>-0.30102951999992372</v>
      </c>
      <c r="V65" s="4">
        <f>SUM(V60:V64)</f>
        <v>-0.67764263333323171</v>
      </c>
      <c r="AC65" s="214"/>
      <c r="AE65" s="214"/>
    </row>
    <row r="66" spans="20:31" x14ac:dyDescent="0.3">
      <c r="AC66" s="214"/>
      <c r="AE66" s="214"/>
    </row>
    <row r="67" spans="20:31" x14ac:dyDescent="0.3">
      <c r="AC67" s="214"/>
      <c r="AE67" s="214"/>
    </row>
    <row r="68" spans="20:31" x14ac:dyDescent="0.3">
      <c r="T68" s="4">
        <f>SUM(T32:T33,T35,T37:T39)</f>
        <v>37.661311333330815</v>
      </c>
      <c r="U68" s="4">
        <f>SUM(U32:U33,U35,U37:U39)</f>
        <v>-30.102951999992374</v>
      </c>
      <c r="V68" s="4">
        <f>+U68-T68</f>
        <v>-67.764263333323186</v>
      </c>
      <c r="AC68" s="214"/>
      <c r="AE68" s="214"/>
    </row>
    <row r="69" spans="20:31" x14ac:dyDescent="0.3">
      <c r="AC69" s="214"/>
      <c r="AE69" s="214"/>
    </row>
    <row r="70" spans="20:31" x14ac:dyDescent="0.3">
      <c r="T70" s="462">
        <f>+T41-T43</f>
        <v>-1762.0883287160691</v>
      </c>
      <c r="U70" s="462">
        <f>+U41-U43</f>
        <v>-1164.0109030019248</v>
      </c>
      <c r="V70" s="462"/>
      <c r="AC70" s="214"/>
      <c r="AE70" s="214"/>
    </row>
    <row r="71" spans="20:31" x14ac:dyDescent="0.3">
      <c r="T71" s="462">
        <f>+T70/100</f>
        <v>-17.620883287160691</v>
      </c>
      <c r="U71" s="462">
        <f>+U70/100</f>
        <v>-11.640109030019248</v>
      </c>
      <c r="V71" s="462">
        <f>+U71-T71</f>
        <v>5.9807742571414426</v>
      </c>
      <c r="AC71" s="214"/>
      <c r="AE71" s="214"/>
    </row>
    <row r="72" spans="20:31" x14ac:dyDescent="0.3">
      <c r="AC72" s="214"/>
      <c r="AE72" s="214"/>
    </row>
    <row r="73" spans="20:31" x14ac:dyDescent="0.3">
      <c r="AC73" s="214"/>
      <c r="AE73" s="214"/>
    </row>
    <row r="74" spans="20:31" x14ac:dyDescent="0.3">
      <c r="AC74" s="214"/>
      <c r="AE74" s="214"/>
    </row>
    <row r="75" spans="20:31" x14ac:dyDescent="0.3">
      <c r="AC75" s="214"/>
      <c r="AE75" s="214"/>
    </row>
    <row r="76" spans="20:31" x14ac:dyDescent="0.3">
      <c r="AC76" s="214"/>
      <c r="AE76" s="214"/>
    </row>
    <row r="77" spans="20:31" x14ac:dyDescent="0.3">
      <c r="AC77" s="214"/>
      <c r="AE77" s="214"/>
    </row>
    <row r="78" spans="20:31" x14ac:dyDescent="0.3">
      <c r="AC78" s="214"/>
      <c r="AE78" s="214"/>
    </row>
    <row r="79" spans="20:31" x14ac:dyDescent="0.3">
      <c r="AC79" s="214"/>
      <c r="AE79" s="214"/>
    </row>
    <row r="80" spans="20:31" x14ac:dyDescent="0.3">
      <c r="AC80" s="214"/>
    </row>
  </sheetData>
  <mergeCells count="4">
    <mergeCell ref="H5:I6"/>
    <mergeCell ref="I48:I49"/>
    <mergeCell ref="Y41:AG41"/>
    <mergeCell ref="Y44:AG44"/>
  </mergeCells>
  <phoneticPr fontId="1" type="noConversion"/>
  <printOptions horizontalCentered="1"/>
  <pageMargins left="0" right="0" top="0.39370078740157483" bottom="0.19685039370078741" header="0.31496062992125984" footer="0.31496062992125984"/>
  <pageSetup paperSize="9" scale="57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C3D905-614A-44EA-9ACC-3DB31372882A}">
  <sheetPr>
    <tabColor theme="0"/>
    <pageSetUpPr fitToPage="1"/>
  </sheetPr>
  <dimension ref="A1:Z52"/>
  <sheetViews>
    <sheetView showGridLines="0" showZeros="0" view="pageBreakPreview" zoomScale="85" zoomScaleNormal="85" zoomScaleSheetLayoutView="85" workbookViewId="0">
      <pane xSplit="4" ySplit="7" topLeftCell="E14" activePane="bottomRight" state="frozen"/>
      <selection activeCell="A6" sqref="A6:M14"/>
      <selection pane="topRight" activeCell="A6" sqref="A6:M14"/>
      <selection pane="bottomLeft" activeCell="A6" sqref="A6:M14"/>
      <selection pane="bottomRight" activeCell="A6" sqref="A6:M14"/>
    </sheetView>
  </sheetViews>
  <sheetFormatPr defaultRowHeight="16.5" x14ac:dyDescent="0.3"/>
  <cols>
    <col min="1" max="3" width="5.625" style="4" customWidth="1"/>
    <col min="4" max="4" width="9.875" style="4" customWidth="1"/>
    <col min="5" max="7" width="9.625" style="4" customWidth="1"/>
    <col min="8" max="10" width="8.625" style="4" customWidth="1"/>
    <col min="11" max="23" width="9.625" style="4" customWidth="1"/>
    <col min="24" max="16384" width="9" style="4"/>
  </cols>
  <sheetData>
    <row r="1" spans="1:26" ht="9.9499999999999993" customHeight="1" x14ac:dyDescent="0.3"/>
    <row r="2" spans="1:26" ht="9.9499999999999993" hidden="1" customHeight="1" x14ac:dyDescent="0.3"/>
    <row r="3" spans="1:26" ht="9.9499999999999993" customHeight="1" x14ac:dyDescent="0.3"/>
    <row r="4" spans="1:26" ht="31.5" x14ac:dyDescent="0.3">
      <c r="D4" s="370" t="s">
        <v>194</v>
      </c>
      <c r="F4" s="370"/>
      <c r="I4" s="370"/>
      <c r="J4" s="370"/>
    </row>
    <row r="5" spans="1:26" ht="21.95" customHeight="1" x14ac:dyDescent="0.3">
      <c r="W5" s="369" t="s">
        <v>135</v>
      </c>
    </row>
    <row r="6" spans="1:26" ht="24" customHeight="1" thickBot="1" x14ac:dyDescent="0.35">
      <c r="A6" s="4" t="s">
        <v>175</v>
      </c>
      <c r="D6" s="642" t="s">
        <v>11</v>
      </c>
      <c r="E6" s="368" t="s">
        <v>134</v>
      </c>
      <c r="F6" s="367"/>
      <c r="G6" s="366"/>
      <c r="H6" s="368" t="s">
        <v>133</v>
      </c>
      <c r="I6" s="367"/>
      <c r="J6" s="367"/>
      <c r="K6" s="366"/>
      <c r="L6" s="368" t="s">
        <v>132</v>
      </c>
      <c r="M6" s="367"/>
      <c r="N6" s="367"/>
      <c r="O6" s="366"/>
      <c r="P6" s="368" t="s">
        <v>131</v>
      </c>
      <c r="Q6" s="367"/>
      <c r="R6" s="367"/>
      <c r="S6" s="366"/>
      <c r="T6" s="368" t="s">
        <v>130</v>
      </c>
      <c r="U6" s="367"/>
      <c r="V6" s="367"/>
      <c r="W6" s="366"/>
    </row>
    <row r="7" spans="1:26" ht="24" customHeight="1" x14ac:dyDescent="0.3">
      <c r="D7" s="643"/>
      <c r="E7" s="364" t="s">
        <v>36</v>
      </c>
      <c r="F7" s="363" t="s">
        <v>37</v>
      </c>
      <c r="G7" s="365" t="s">
        <v>38</v>
      </c>
      <c r="H7" s="364" t="s">
        <v>12</v>
      </c>
      <c r="I7" s="363" t="s">
        <v>13</v>
      </c>
      <c r="J7" s="362" t="s">
        <v>38</v>
      </c>
      <c r="K7" s="361" t="s">
        <v>129</v>
      </c>
      <c r="L7" s="364" t="s">
        <v>12</v>
      </c>
      <c r="M7" s="363" t="s">
        <v>13</v>
      </c>
      <c r="N7" s="362" t="s">
        <v>38</v>
      </c>
      <c r="O7" s="361" t="s">
        <v>129</v>
      </c>
      <c r="P7" s="364" t="s">
        <v>12</v>
      </c>
      <c r="Q7" s="363" t="s">
        <v>13</v>
      </c>
      <c r="R7" s="362" t="s">
        <v>38</v>
      </c>
      <c r="S7" s="361" t="s">
        <v>129</v>
      </c>
      <c r="T7" s="364" t="s">
        <v>12</v>
      </c>
      <c r="U7" s="363" t="s">
        <v>13</v>
      </c>
      <c r="V7" s="362" t="s">
        <v>38</v>
      </c>
      <c r="W7" s="361" t="s">
        <v>129</v>
      </c>
    </row>
    <row r="8" spans="1:26" ht="24" customHeight="1" x14ac:dyDescent="0.3">
      <c r="D8" s="360" t="s">
        <v>32</v>
      </c>
      <c r="E8" s="358">
        <f>+[4]합계!$H$86/1000</f>
        <v>25.147480567232531</v>
      </c>
      <c r="F8" s="357">
        <f>+[4]합계!$I$86/1000</f>
        <v>248.97902200001008</v>
      </c>
      <c r="G8" s="356">
        <f t="shared" ref="G8:G28" si="0">+F8-E8</f>
        <v>223.83154143277756</v>
      </c>
      <c r="H8" s="358">
        <f>+[4]합계!$T$5/1000</f>
        <v>189</v>
      </c>
      <c r="I8" s="357">
        <f>+[4]합계!$U$5/1000</f>
        <v>176.12049999999999</v>
      </c>
      <c r="J8" s="356">
        <f t="shared" ref="J8:J28" si="1">+I8-H8</f>
        <v>-12.879500000000007</v>
      </c>
      <c r="K8" s="359">
        <f>+[4]합계!$M$86/1000</f>
        <v>-72.605689403756983</v>
      </c>
      <c r="L8" s="358">
        <f>+[4]합계!$Q$85</f>
        <v>100913.29116304117</v>
      </c>
      <c r="M8" s="357">
        <f>+[4]합계!$R$85</f>
        <v>106420.85674162097</v>
      </c>
      <c r="N8" s="356">
        <f t="shared" ref="N8:N28" si="2">+M8-L8</f>
        <v>5507.5655785798008</v>
      </c>
      <c r="O8" s="359">
        <f>+[4]합계!$K$86/1000</f>
        <v>968.69817178850826</v>
      </c>
      <c r="P8" s="358">
        <f>+[4]합계!$Q$50</f>
        <v>95221.900434580821</v>
      </c>
      <c r="Q8" s="357">
        <f>+[4]합계!$R$50</f>
        <v>99207.79491599428</v>
      </c>
      <c r="R8" s="356">
        <f t="shared" ref="R8:R28" si="3">+Q8-P8</f>
        <v>3985.8944814134593</v>
      </c>
      <c r="S8" s="359">
        <f>+[4]합계!$L$56/1000</f>
        <v>-593.97698805374262</v>
      </c>
      <c r="T8" s="358">
        <f>+([4]합계!$H$80+[4]합계!$H$85)/1000</f>
        <v>1050.5253671117678</v>
      </c>
      <c r="U8" s="357">
        <f>+([4]합계!$I$80+[4]합계!$I$85)/1000</f>
        <v>1128.80932001</v>
      </c>
      <c r="V8" s="356">
        <f t="shared" ref="V8:V28" si="4">+U8-T8</f>
        <v>78.283952898232201</v>
      </c>
      <c r="W8" s="355">
        <f>+([4]합계!$L$80+[4]합계!$L$85)/1000</f>
        <v>-78.283952898232215</v>
      </c>
      <c r="Y8" s="4">
        <f t="shared" ref="Y8:Y28" si="5">+G8-K8-O8-S8-W8</f>
        <v>1.1510792319313623E-12</v>
      </c>
      <c r="Z8" s="4">
        <f t="shared" ref="Z8:Z28" si="6">+Y8*1000000</f>
        <v>1.1510792319313623E-6</v>
      </c>
    </row>
    <row r="9" spans="1:26" ht="24" customHeight="1" x14ac:dyDescent="0.3">
      <c r="D9" s="354" t="s">
        <v>16</v>
      </c>
      <c r="E9" s="353">
        <f>+[4]수도권!$H$86/1000</f>
        <v>-0.30728828509032607</v>
      </c>
      <c r="F9" s="352">
        <f>+[4]수도권!$I$86/1000</f>
        <v>-16.389475000000807</v>
      </c>
      <c r="G9" s="351">
        <f t="shared" si="0"/>
        <v>-16.082186714910481</v>
      </c>
      <c r="H9" s="353">
        <f>+[4]수도권!$T$5/1000</f>
        <v>72</v>
      </c>
      <c r="I9" s="352">
        <f>+[4]수도권!$U$5/1000</f>
        <v>66.816999999999993</v>
      </c>
      <c r="J9" s="351">
        <f t="shared" si="1"/>
        <v>-5.1830000000000069</v>
      </c>
      <c r="K9" s="350">
        <f>+[4]수도권!$M$86/1000</f>
        <v>-24.227719372902591</v>
      </c>
      <c r="L9" s="353">
        <f>+[4]수도권!$Q$85</f>
        <v>98950.865727146374</v>
      </c>
      <c r="M9" s="352">
        <f>+[4]수도권!$R$85</f>
        <v>104188.77459703996</v>
      </c>
      <c r="N9" s="351">
        <f t="shared" si="2"/>
        <v>5237.9088698935811</v>
      </c>
      <c r="O9" s="350">
        <f>+[4]수도권!$K$86/1000</f>
        <v>349.66184451861591</v>
      </c>
      <c r="P9" s="353">
        <f>+[4]수도권!$Q$50</f>
        <v>94273.573703328177</v>
      </c>
      <c r="Q9" s="352">
        <f>+[4]수도권!$R$50</f>
        <v>99704.725445026168</v>
      </c>
      <c r="R9" s="351">
        <f t="shared" si="3"/>
        <v>5431.1517416979914</v>
      </c>
      <c r="S9" s="350">
        <f>+[4]수도권!$L$56/1000</f>
        <v>-362.59503098062424</v>
      </c>
      <c r="T9" s="353">
        <f>+([4]수도권!$H$80+[4]수도권!$H$85)/1000</f>
        <v>337.07231400000001</v>
      </c>
      <c r="U9" s="352">
        <f>+([4]수도권!$I$80+[4]수도권!$I$85)/1000</f>
        <v>315.99359487999999</v>
      </c>
      <c r="V9" s="351">
        <f t="shared" si="4"/>
        <v>-21.078719120000017</v>
      </c>
      <c r="W9" s="350">
        <f>+([4]수도권!$L$80+[4]수도권!$L$85)/1000</f>
        <v>21.078719119999974</v>
      </c>
      <c r="Y9" s="4">
        <f t="shared" si="5"/>
        <v>4.9737991503207013E-13</v>
      </c>
      <c r="Z9" s="4">
        <f t="shared" si="6"/>
        <v>4.9737991503207013E-7</v>
      </c>
    </row>
    <row r="10" spans="1:26" ht="24" customHeight="1" x14ac:dyDescent="0.3">
      <c r="D10" s="349" t="s">
        <v>17</v>
      </c>
      <c r="E10" s="348">
        <f>+[4]영남권!$H$86/1000</f>
        <v>57.672495257803355</v>
      </c>
      <c r="F10" s="347">
        <f>+[4]영남권!$I$86/1000</f>
        <v>263.7674269999988</v>
      </c>
      <c r="G10" s="346">
        <f t="shared" si="0"/>
        <v>206.09493174219546</v>
      </c>
      <c r="H10" s="348">
        <f>+[4]영남권!$T$5/1000</f>
        <v>90.5</v>
      </c>
      <c r="I10" s="347">
        <f>+[4]영남권!$U$5/1000</f>
        <v>78.610500000000002</v>
      </c>
      <c r="J10" s="346">
        <f t="shared" si="1"/>
        <v>-11.889499999999998</v>
      </c>
      <c r="K10" s="345">
        <f>+[4]영남권!$M$86/1000</f>
        <v>-73.317010848721026</v>
      </c>
      <c r="L10" s="348">
        <f>+[4]영남권!$Q$85</f>
        <v>100438.34086647777</v>
      </c>
      <c r="M10" s="347">
        <f>+[4]영남권!$R$85</f>
        <v>107645.51524287467</v>
      </c>
      <c r="N10" s="346">
        <f t="shared" si="2"/>
        <v>7207.1743763968989</v>
      </c>
      <c r="O10" s="345">
        <f>+[4]영남권!$K$86/1000</f>
        <v>566.55958131574846</v>
      </c>
      <c r="P10" s="348">
        <f>+[4]영남권!$Q$50</f>
        <v>94255.371788827673</v>
      </c>
      <c r="Q10" s="347">
        <f>+[4]영남권!$R$50</f>
        <v>97862.969378129783</v>
      </c>
      <c r="R10" s="346">
        <f t="shared" si="3"/>
        <v>3607.5975893021096</v>
      </c>
      <c r="S10" s="345">
        <f>+[4]영남권!$L$56/1000</f>
        <v>-176.07214839436219</v>
      </c>
      <c r="T10" s="348">
        <f>+([4]영남권!$H$80+[4]영남권!$H$85)/1000</f>
        <v>501.88620626953139</v>
      </c>
      <c r="U10" s="347">
        <f>+([4]영남권!$I$80+[4]영남권!$I$85)/1000</f>
        <v>612.96169659999987</v>
      </c>
      <c r="V10" s="346">
        <f t="shared" si="4"/>
        <v>111.07549033046848</v>
      </c>
      <c r="W10" s="345">
        <f>+([4]영남권!$L$80+[4]영남권!$L$85)/1000</f>
        <v>-111.07549033046855</v>
      </c>
      <c r="Y10" s="4">
        <f t="shared" si="5"/>
        <v>-1.2079226507921703E-12</v>
      </c>
      <c r="Z10" s="4">
        <f t="shared" si="6"/>
        <v>-1.2079226507921703E-6</v>
      </c>
    </row>
    <row r="11" spans="1:26" ht="24" customHeight="1" x14ac:dyDescent="0.3">
      <c r="D11" s="344" t="s">
        <v>128</v>
      </c>
      <c r="E11" s="343">
        <f>+[4]중부권!$H$86/1000</f>
        <v>-32.217726405477109</v>
      </c>
      <c r="F11" s="342">
        <f>+[4]중부권!$I$86/1000</f>
        <v>1.6010699999991194</v>
      </c>
      <c r="G11" s="341">
        <f t="shared" si="0"/>
        <v>33.818796405476228</v>
      </c>
      <c r="H11" s="343">
        <f>+[4]중부권!$T$5/1000</f>
        <v>26.5</v>
      </c>
      <c r="I11" s="342">
        <f>+[4]중부권!$U$5/1000</f>
        <v>30.693000000000001</v>
      </c>
      <c r="J11" s="341">
        <f t="shared" si="1"/>
        <v>4.1930000000000014</v>
      </c>
      <c r="K11" s="340">
        <f>+[4]중부권!$M$86/1000</f>
        <v>28.738271338683671</v>
      </c>
      <c r="L11" s="343">
        <f>+[4]중부권!$Q$85</f>
        <v>107867.16411486792</v>
      </c>
      <c r="M11" s="342">
        <f>+[4]중부권!$R$85</f>
        <v>108148.78762062354</v>
      </c>
      <c r="N11" s="341">
        <f t="shared" si="2"/>
        <v>281.62350575561868</v>
      </c>
      <c r="O11" s="340">
        <f>+[4]중부권!$K$86/1000</f>
        <v>8.5947269604028484</v>
      </c>
      <c r="P11" s="343">
        <f>+[4]중부권!$Q$50</f>
        <v>101099.27277763172</v>
      </c>
      <c r="Q11" s="342">
        <f>+[4]중부권!$R$50</f>
        <v>101598.87976414707</v>
      </c>
      <c r="R11" s="341">
        <f t="shared" si="3"/>
        <v>499.60698651535495</v>
      </c>
      <c r="S11" s="340">
        <f>+[4]중부권!$L$56/1000</f>
        <v>-15.227020205846609</v>
      </c>
      <c r="T11" s="343">
        <f>+([4]중부권!$H$80+[4]중부권!$H$85)/1000</f>
        <v>211.56684684223629</v>
      </c>
      <c r="U11" s="342">
        <f>+([4]중부권!$I$80+[4]중부권!$I$85)/1000</f>
        <v>199.85402853000002</v>
      </c>
      <c r="V11" s="341">
        <f t="shared" si="4"/>
        <v>-11.712818312236266</v>
      </c>
      <c r="W11" s="340">
        <f>+([4]중부권!$L$80+[4]중부권!$L$85)/1000</f>
        <v>11.712818312236283</v>
      </c>
      <c r="Y11" s="4">
        <f t="shared" si="5"/>
        <v>3.3750779948604759E-14</v>
      </c>
      <c r="Z11" s="4">
        <f t="shared" si="6"/>
        <v>3.3750779948604759E-8</v>
      </c>
    </row>
    <row r="12" spans="1:26" ht="24" customHeight="1" x14ac:dyDescent="0.3">
      <c r="D12" s="339" t="s">
        <v>18</v>
      </c>
      <c r="E12" s="337">
        <f>+[4]안양!$H$86/1000</f>
        <v>174.44457178111784</v>
      </c>
      <c r="F12" s="336">
        <f>+[4]안양!$I$86/1000</f>
        <v>231.2320129999998</v>
      </c>
      <c r="G12" s="338">
        <f t="shared" si="0"/>
        <v>56.787441218881952</v>
      </c>
      <c r="H12" s="337">
        <f>+[4]안양!$T$5/1000</f>
        <v>29</v>
      </c>
      <c r="I12" s="336">
        <f>+[4]안양!$U$5/1000</f>
        <v>30.861999999999998</v>
      </c>
      <c r="J12" s="335">
        <f t="shared" si="1"/>
        <v>1.8619999999999983</v>
      </c>
      <c r="K12" s="334">
        <f>+[4]안양!$M$86/1000</f>
        <v>17.624561088474991</v>
      </c>
      <c r="L12" s="337">
        <f>+[4]안양!$Q$85</f>
        <v>99033.952379310344</v>
      </c>
      <c r="M12" s="336">
        <f>+[4]안양!$R$85</f>
        <v>108132.36054047047</v>
      </c>
      <c r="N12" s="335">
        <f t="shared" si="2"/>
        <v>9098.4081611601287</v>
      </c>
      <c r="O12" s="334">
        <f>+[4]안양!$K$86/1000</f>
        <v>280.79507266972388</v>
      </c>
      <c r="P12" s="337">
        <f>+[4]안양!$Q$50</f>
        <v>89568.559743179852</v>
      </c>
      <c r="Q12" s="336">
        <f>+[4]안양!$R$50</f>
        <v>97494.394811840131</v>
      </c>
      <c r="R12" s="335">
        <f t="shared" si="3"/>
        <v>7925.8350686602789</v>
      </c>
      <c r="S12" s="334">
        <f>+[4]안양!$L$56/1000</f>
        <v>-244.69733285598352</v>
      </c>
      <c r="T12" s="337">
        <f>+([4]안양!$H$80+[4]안양!$H$85)/1000</f>
        <v>100.05181466666666</v>
      </c>
      <c r="U12" s="336">
        <f>+([4]안양!$I$80+[4]안양!$I$85)/1000</f>
        <v>96.986674350000015</v>
      </c>
      <c r="V12" s="335">
        <f t="shared" si="4"/>
        <v>-3.0651403166666427</v>
      </c>
      <c r="W12" s="334">
        <f>+([4]안양!$L$80+[4]안양!$L$85)/1000</f>
        <v>3.0651403166666555</v>
      </c>
      <c r="Y12" s="4">
        <f t="shared" si="5"/>
        <v>-5.5511151231257827E-14</v>
      </c>
      <c r="Z12" s="4">
        <f t="shared" si="6"/>
        <v>-5.5511151231257827E-8</v>
      </c>
    </row>
    <row r="13" spans="1:26" ht="24" customHeight="1" x14ac:dyDescent="0.3">
      <c r="D13" s="326" t="s">
        <v>19</v>
      </c>
      <c r="E13" s="323">
        <f>+[4]인천!$H$86/1000</f>
        <v>-29.440005675790161</v>
      </c>
      <c r="F13" s="322">
        <f>+[4]인천!$I$86/1000</f>
        <v>-30.566700000000122</v>
      </c>
      <c r="G13" s="324">
        <f t="shared" si="0"/>
        <v>-1.1266943242099607</v>
      </c>
      <c r="H13" s="323">
        <f>+[4]인천!$T$5/1000</f>
        <v>25</v>
      </c>
      <c r="I13" s="322">
        <f>+[4]인천!$U$5/1000</f>
        <v>21.869</v>
      </c>
      <c r="J13" s="140">
        <f t="shared" si="1"/>
        <v>-3.1310000000000002</v>
      </c>
      <c r="K13" s="321">
        <f>+[4]인천!$M$86/1000</f>
        <v>-9.3312286111818974</v>
      </c>
      <c r="L13" s="323">
        <f>+[4]인천!$Q$85</f>
        <v>100114.01941818156</v>
      </c>
      <c r="M13" s="322">
        <f>+[4]인천!$R$85</f>
        <v>101637.02766473089</v>
      </c>
      <c r="N13" s="140">
        <f t="shared" si="2"/>
        <v>1523.0082465493324</v>
      </c>
      <c r="O13" s="321">
        <f>+[4]인천!$K$86/1000</f>
        <v>33.306667343787346</v>
      </c>
      <c r="P13" s="323">
        <f>+[4]인천!$Q$50</f>
        <v>97133.748382990962</v>
      </c>
      <c r="Q13" s="322">
        <f>+[4]인천!$R$50</f>
        <v>98430.494947185507</v>
      </c>
      <c r="R13" s="140">
        <f t="shared" si="3"/>
        <v>1296.7465641945455</v>
      </c>
      <c r="S13" s="321">
        <f>+[4]인천!$L$56/1000</f>
        <v>-28.35853055237089</v>
      </c>
      <c r="T13" s="323">
        <f>+([4]인천!$H$80+[4]인천!$H$85)/1000</f>
        <v>103.94678155555556</v>
      </c>
      <c r="U13" s="322">
        <f>+([4]인천!$I$80+[4]인천!$I$85)/1000</f>
        <v>100.69038406000001</v>
      </c>
      <c r="V13" s="140">
        <f t="shared" si="4"/>
        <v>-3.2563974955555466</v>
      </c>
      <c r="W13" s="321">
        <f>+([4]인천!$L$80+[4]인천!$L$85)/1000</f>
        <v>3.2563974955555515</v>
      </c>
      <c r="Y13" s="4">
        <f t="shared" si="5"/>
        <v>-7.2386541205560206E-14</v>
      </c>
      <c r="Z13" s="4">
        <f t="shared" si="6"/>
        <v>-7.2386541205560206E-8</v>
      </c>
    </row>
    <row r="14" spans="1:26" ht="24" customHeight="1" x14ac:dyDescent="0.3">
      <c r="D14" s="326" t="s">
        <v>20</v>
      </c>
      <c r="E14" s="323">
        <f>+[4]파주!$H$86/1000</f>
        <v>-87.864331899721464</v>
      </c>
      <c r="F14" s="322">
        <f>+[4]파주!$I$86/1000</f>
        <v>-117.52525900000005</v>
      </c>
      <c r="G14" s="324">
        <f t="shared" si="0"/>
        <v>-29.660927100278585</v>
      </c>
      <c r="H14" s="323">
        <f>+[4]파주!$T$5/1000</f>
        <v>10</v>
      </c>
      <c r="I14" s="322">
        <f>+[4]파주!$U$5/1000</f>
        <v>7.45</v>
      </c>
      <c r="J14" s="140">
        <f t="shared" si="1"/>
        <v>-2.5499999999999998</v>
      </c>
      <c r="K14" s="321">
        <f>+[4]파주!$M$86/1000</f>
        <v>3.4728140047806666</v>
      </c>
      <c r="L14" s="323">
        <f>+[4]파주!$Q$85</f>
        <v>94566.954529999988</v>
      </c>
      <c r="M14" s="322">
        <f>+[4]파주!$R$85</f>
        <v>100634.00974025975</v>
      </c>
      <c r="N14" s="140">
        <f t="shared" si="2"/>
        <v>6067.0552102597576</v>
      </c>
      <c r="O14" s="321">
        <f>+[4]파주!$K$86/1000</f>
        <v>44.847672114240119</v>
      </c>
      <c r="P14" s="323">
        <f>+[4]파주!$Q$50</f>
        <v>95786.285053305459</v>
      </c>
      <c r="Q14" s="322">
        <f>+[4]파주!$R$50</f>
        <v>107966.88969991889</v>
      </c>
      <c r="R14" s="140">
        <f t="shared" si="3"/>
        <v>12180.604646613428</v>
      </c>
      <c r="S14" s="321">
        <f>+[4]파주!$L$56/1000</f>
        <v>-90.050153785965975</v>
      </c>
      <c r="T14" s="323">
        <f>+([4]파주!$H$80+[4]파주!$H$85)/1000</f>
        <v>75.671026666666677</v>
      </c>
      <c r="U14" s="322">
        <f>+([4]파주!$I$80+[4]파주!$I$85)/1000</f>
        <v>63.602286100000008</v>
      </c>
      <c r="V14" s="140">
        <f t="shared" si="4"/>
        <v>-12.068740566666669</v>
      </c>
      <c r="W14" s="321">
        <f>+([4]파주!$L$80+[4]파주!$L$85)/1000</f>
        <v>12.068740566666673</v>
      </c>
      <c r="Y14" s="4">
        <f t="shared" si="5"/>
        <v>-6.7501559897209518E-14</v>
      </c>
      <c r="Z14" s="4">
        <f t="shared" si="6"/>
        <v>-6.7501559897209518E-8</v>
      </c>
    </row>
    <row r="15" spans="1:26" ht="24" customHeight="1" x14ac:dyDescent="0.3">
      <c r="D15" s="326" t="s">
        <v>106</v>
      </c>
      <c r="E15" s="323">
        <f>+[4]김포!$H$86/1000</f>
        <v>-57.447522490696194</v>
      </c>
      <c r="F15" s="322">
        <f>+[4]김포!$I$86/1000</f>
        <v>-99.529529000000082</v>
      </c>
      <c r="G15" s="324">
        <f t="shared" si="0"/>
        <v>-42.082006509303888</v>
      </c>
      <c r="H15" s="323">
        <f>+[4]김포!$T$5/1000</f>
        <v>8</v>
      </c>
      <c r="I15" s="322">
        <f>+[4]김포!$U$5/1000</f>
        <v>6.6360000000000001</v>
      </c>
      <c r="J15" s="140">
        <f t="shared" si="1"/>
        <v>-1.3639999999999999</v>
      </c>
      <c r="K15" s="321">
        <f>+[4]김포!$M$86/1000</f>
        <v>1.486056198659935E-2</v>
      </c>
      <c r="L15" s="323">
        <f>+[4]김포!$Q$85</f>
        <v>100494.71032500001</v>
      </c>
      <c r="M15" s="322">
        <f>+[4]김포!$R$85</f>
        <v>98214.709482888575</v>
      </c>
      <c r="N15" s="140">
        <f t="shared" si="2"/>
        <v>-2280.0008421114326</v>
      </c>
      <c r="O15" s="321">
        <f>+[4]김포!$K$86/1000</f>
        <v>-15.123245585725131</v>
      </c>
      <c r="P15" s="323">
        <f>+[4]김포!$Q$50</f>
        <v>100500.31424744813</v>
      </c>
      <c r="Q15" s="333">
        <f>+[4]김포!$R$50</f>
        <v>104923.70305741983</v>
      </c>
      <c r="R15" s="140">
        <f t="shared" si="3"/>
        <v>4423.3888099717005</v>
      </c>
      <c r="S15" s="321">
        <f>+[4]김포!$L$56/1000</f>
        <v>-29.662062226676433</v>
      </c>
      <c r="T15" s="323">
        <f>+([4]김포!$H$80+[4]김포!$H$85)/1000</f>
        <v>57.40269111111111</v>
      </c>
      <c r="U15" s="322">
        <f>+([4]김포!$I$80+[4]김포!$I$85)/1000</f>
        <v>54.714250370000009</v>
      </c>
      <c r="V15" s="140">
        <f t="shared" si="4"/>
        <v>-2.6884407411111013</v>
      </c>
      <c r="W15" s="321">
        <f>+([4]김포!$L$80+[4]김포!$L$85)/1000</f>
        <v>2.6884407411111142</v>
      </c>
      <c r="Y15" s="4">
        <f t="shared" si="5"/>
        <v>-4.1300296516055823E-14</v>
      </c>
      <c r="Z15" s="4">
        <f t="shared" si="6"/>
        <v>-4.1300296516055823E-8</v>
      </c>
    </row>
    <row r="16" spans="1:26" ht="24" customHeight="1" x14ac:dyDescent="0.3">
      <c r="D16" s="332" t="s">
        <v>21</v>
      </c>
      <c r="E16" s="330">
        <f>+[4]부산!$H$86/1000</f>
        <v>86.208390364332843</v>
      </c>
      <c r="F16" s="329">
        <f>+[4]부산!$I$86/1000</f>
        <v>272.41340399999928</v>
      </c>
      <c r="G16" s="331">
        <f t="shared" si="0"/>
        <v>186.20501363566643</v>
      </c>
      <c r="H16" s="330">
        <f>+[4]부산!$T$5/1000</f>
        <v>18</v>
      </c>
      <c r="I16" s="329">
        <f>+[4]부산!$U$5/1000</f>
        <v>21.564</v>
      </c>
      <c r="J16" s="328">
        <f t="shared" si="1"/>
        <v>3.5640000000000001</v>
      </c>
      <c r="K16" s="327">
        <f>+[4]부산!$M$86/1000</f>
        <v>38.413657926137908</v>
      </c>
      <c r="L16" s="330">
        <f>+[4]부산!$Q$85</f>
        <v>107841.99561666667</v>
      </c>
      <c r="M16" s="329">
        <f>+[4]부산!$R$85</f>
        <v>119144.63457614541</v>
      </c>
      <c r="N16" s="328">
        <f t="shared" si="2"/>
        <v>11302.638959478747</v>
      </c>
      <c r="O16" s="327">
        <f>+[4]부산!$K$86/1000</f>
        <v>243.73010652219969</v>
      </c>
      <c r="P16" s="330">
        <f>+[4]부산!$Q$50</f>
        <v>97063.752651981486</v>
      </c>
      <c r="Q16" s="329">
        <f>+[4]부산!$R$50</f>
        <v>101684.99517982945</v>
      </c>
      <c r="R16" s="328">
        <f t="shared" si="3"/>
        <v>4621.2425278479641</v>
      </c>
      <c r="S16" s="327">
        <f>+[4]부산!$L$56/1000</f>
        <v>-41.054738322671369</v>
      </c>
      <c r="T16" s="330">
        <f>+([4]부산!$H$80+[4]부산!$H$85)/1000</f>
        <v>107.799983</v>
      </c>
      <c r="U16" s="329">
        <f>+([4]부산!$I$80+[4]부산!$I$85)/1000</f>
        <v>162.68399549</v>
      </c>
      <c r="V16" s="328">
        <f t="shared" si="4"/>
        <v>54.884012490000003</v>
      </c>
      <c r="W16" s="327">
        <f>+([4]부산!$L$80+[4]부산!$L$85)/1000</f>
        <v>-54.884012490000003</v>
      </c>
      <c r="Y16" s="4">
        <f t="shared" si="5"/>
        <v>1.9895196601282805E-13</v>
      </c>
      <c r="Z16" s="4">
        <f t="shared" si="6"/>
        <v>1.9895196601282805E-7</v>
      </c>
    </row>
    <row r="17" spans="4:26" ht="24" customHeight="1" x14ac:dyDescent="0.3">
      <c r="D17" s="326" t="s">
        <v>22</v>
      </c>
      <c r="E17" s="323">
        <f>+[4]서부산!$H$86/1000</f>
        <v>138.70124792613643</v>
      </c>
      <c r="F17" s="322">
        <f>+[4]서부산!$I$86/1000</f>
        <v>184.52322099999992</v>
      </c>
      <c r="G17" s="324">
        <f t="shared" si="0"/>
        <v>45.821973073863489</v>
      </c>
      <c r="H17" s="323">
        <f>+[4]서부산!$T$5/1000</f>
        <v>18</v>
      </c>
      <c r="I17" s="322">
        <f>+[4]서부산!$U$5/1000</f>
        <v>16.48</v>
      </c>
      <c r="J17" s="140">
        <f t="shared" si="1"/>
        <v>-1.5199999999999996</v>
      </c>
      <c r="K17" s="321">
        <f>+[4]서부산!$M$86/1000</f>
        <v>-18.637549535491008</v>
      </c>
      <c r="L17" s="323">
        <f>+[4]서부산!$Q$85</f>
        <v>100062.50004055555</v>
      </c>
      <c r="M17" s="322">
        <f>+[4]서부산!$R$85</f>
        <v>107459.8307038835</v>
      </c>
      <c r="N17" s="140">
        <f t="shared" si="2"/>
        <v>7397.3306633279572</v>
      </c>
      <c r="O17" s="321">
        <f>+[4]서부산!$K$86/1000</f>
        <v>121.90800933164473</v>
      </c>
      <c r="P17" s="323">
        <f>+[4]서부산!$Q$50</f>
        <v>87672.401661943033</v>
      </c>
      <c r="Q17" s="322">
        <f>+[4]서부산!$R$50</f>
        <v>90866.233747695253</v>
      </c>
      <c r="R17" s="140">
        <f t="shared" si="3"/>
        <v>3193.8320857522194</v>
      </c>
      <c r="S17" s="321">
        <f>+[4]서부산!$L$56/1000</f>
        <v>-13.16161152117853</v>
      </c>
      <c r="T17" s="323">
        <f>+([4]서부산!$H$80+[4]서부산!$H$85)/1000</f>
        <v>84.320522888888902</v>
      </c>
      <c r="U17" s="322">
        <f>+([4]서부산!$I$80+[4]서부산!$I$85)/1000</f>
        <v>128.60739809</v>
      </c>
      <c r="V17" s="140">
        <f t="shared" si="4"/>
        <v>44.286875201111101</v>
      </c>
      <c r="W17" s="321">
        <f>+([4]서부산!$L$80+[4]서부산!$L$85)/1000</f>
        <v>-44.286875201111116</v>
      </c>
      <c r="Y17" s="4">
        <f t="shared" si="5"/>
        <v>-5.9685589803848416E-13</v>
      </c>
      <c r="Z17" s="4">
        <f t="shared" si="6"/>
        <v>-5.9685589803848416E-7</v>
      </c>
    </row>
    <row r="18" spans="4:26" ht="24" customHeight="1" x14ac:dyDescent="0.3">
      <c r="D18" s="326" t="s">
        <v>23</v>
      </c>
      <c r="E18" s="323">
        <f>+[4]김해!$H$86/1000</f>
        <v>-57.016563258290375</v>
      </c>
      <c r="F18" s="322">
        <f>+[4]김해!$I$86/1000</f>
        <v>-95.230253999999917</v>
      </c>
      <c r="G18" s="324">
        <f t="shared" si="0"/>
        <v>-38.213690741709541</v>
      </c>
      <c r="H18" s="323">
        <f>+[4]김해!$T$5/1000</f>
        <v>7</v>
      </c>
      <c r="I18" s="322">
        <f>+[4]김해!$U$5/1000</f>
        <v>4.548</v>
      </c>
      <c r="J18" s="140">
        <f t="shared" si="1"/>
        <v>-2.452</v>
      </c>
      <c r="K18" s="321">
        <f>+[4]김해!$M$86/1000</f>
        <v>3.5205751518087927</v>
      </c>
      <c r="L18" s="323">
        <f>+[4]김해!$Q$85</f>
        <v>94367.521045714297</v>
      </c>
      <c r="M18" s="322">
        <f>+[4]김해!$R$85</f>
        <v>89614.555848724718</v>
      </c>
      <c r="N18" s="140">
        <f t="shared" si="2"/>
        <v>-4752.9651969895785</v>
      </c>
      <c r="O18" s="321">
        <f>+[4]김해!$K$86/1000</f>
        <v>-21.616485715908603</v>
      </c>
      <c r="P18" s="323">
        <f>+[4]김해!$Q$50</f>
        <v>95803.318415946269</v>
      </c>
      <c r="Q18" s="322">
        <f>+[4]김해!$R$50</f>
        <v>100849.18557607739</v>
      </c>
      <c r="R18" s="140">
        <f t="shared" si="3"/>
        <v>5045.8671601311216</v>
      </c>
      <c r="S18" s="321">
        <f>+[4]김해!$L$56/1000</f>
        <v>-20.986338374276276</v>
      </c>
      <c r="T18" s="323">
        <f>+([4]김해!$H$80+[4]김해!$H$85)/1000</f>
        <v>46.965981666666657</v>
      </c>
      <c r="U18" s="322">
        <f>+([4]김해!$I$80+[4]김해!$I$85)/1000</f>
        <v>46.097423470000003</v>
      </c>
      <c r="V18" s="140">
        <f t="shared" si="4"/>
        <v>-0.86855819666665468</v>
      </c>
      <c r="W18" s="321">
        <f>+([4]김해!$L$80+[4]김해!$L$85)/1000</f>
        <v>0.86855819666666412</v>
      </c>
      <c r="Y18" s="4">
        <f t="shared" si="5"/>
        <v>-1.1957101975212936E-13</v>
      </c>
      <c r="Z18" s="4">
        <f t="shared" si="6"/>
        <v>-1.1957101975212936E-7</v>
      </c>
    </row>
    <row r="19" spans="4:26" ht="24" customHeight="1" x14ac:dyDescent="0.3">
      <c r="D19" s="326" t="s">
        <v>24</v>
      </c>
      <c r="E19" s="323">
        <f>+[4]정관!$H$86/1000</f>
        <v>64.322338149381778</v>
      </c>
      <c r="F19" s="322">
        <f>+[4]정관!$I$86/1000</f>
        <v>-66.073096999999976</v>
      </c>
      <c r="G19" s="324">
        <f t="shared" si="0"/>
        <v>-130.39543514938174</v>
      </c>
      <c r="H19" s="323">
        <f>+[4]정관!$T$5/1000</f>
        <v>19</v>
      </c>
      <c r="I19" s="322">
        <f>+[4]정관!$U$5/1000</f>
        <v>10.089</v>
      </c>
      <c r="J19" s="140">
        <f t="shared" si="1"/>
        <v>-8.9109999999999996</v>
      </c>
      <c r="K19" s="321">
        <f>+[4]정관!$M$86/1000</f>
        <v>-62.903383158060024</v>
      </c>
      <c r="L19" s="323">
        <f>+[4]정관!$Q$85</f>
        <v>99915.60124526314</v>
      </c>
      <c r="M19" s="322">
        <f>+[4]정관!$R$85</f>
        <v>101084.0618495391</v>
      </c>
      <c r="N19" s="140">
        <f t="shared" si="2"/>
        <v>1168.4606042759551</v>
      </c>
      <c r="O19" s="321">
        <f>+[4]정관!$K$86/1000</f>
        <v>11.788599036540113</v>
      </c>
      <c r="P19" s="323">
        <f>+[4]정관!$Q$50</f>
        <v>92856.530079506221</v>
      </c>
      <c r="Q19" s="322">
        <f>+[4]정관!$R$50</f>
        <v>100763.29697870233</v>
      </c>
      <c r="R19" s="140">
        <f t="shared" si="3"/>
        <v>7906.7668991961109</v>
      </c>
      <c r="S19" s="321">
        <f>+[4]정관!$L$56/1000</f>
        <v>-76.219516487861625</v>
      </c>
      <c r="T19" s="323">
        <f>+([4]정관!$H$80+[4]정관!$H$85)/1000</f>
        <v>69.80001399999999</v>
      </c>
      <c r="U19" s="322">
        <f>+([4]정관!$I$80+[4]정관!$I$85)/1000</f>
        <v>72.861148539999988</v>
      </c>
      <c r="V19" s="140">
        <f t="shared" si="4"/>
        <v>3.0611345399999976</v>
      </c>
      <c r="W19" s="321">
        <f>+([4]정관!$L$80+[4]정관!$L$85)/1000</f>
        <v>-3.0611345400000061</v>
      </c>
      <c r="Y19" s="4">
        <f t="shared" si="5"/>
        <v>-2.0472512574087887E-13</v>
      </c>
      <c r="Z19" s="4">
        <f t="shared" si="6"/>
        <v>-2.0472512574087887E-7</v>
      </c>
    </row>
    <row r="20" spans="4:26" ht="24" customHeight="1" x14ac:dyDescent="0.3">
      <c r="D20" s="326" t="s">
        <v>25</v>
      </c>
      <c r="E20" s="323">
        <f>+[4]양산!$H$86/1000</f>
        <v>-44.196690097102973</v>
      </c>
      <c r="F20" s="322">
        <f>+[4]양산!$I$86/1000</f>
        <v>-29.11063500000003</v>
      </c>
      <c r="G20" s="324">
        <f t="shared" si="0"/>
        <v>15.086055097102943</v>
      </c>
      <c r="H20" s="323">
        <f>+[4]양산!$T$5/1000</f>
        <v>6</v>
      </c>
      <c r="I20" s="322">
        <f>+[4]양산!$U$5/1000</f>
        <v>5.181</v>
      </c>
      <c r="J20" s="140">
        <f t="shared" si="1"/>
        <v>-0.81899999999999995</v>
      </c>
      <c r="K20" s="321">
        <f>+[4]양산!$M$86/1000</f>
        <v>0.35953902642123287</v>
      </c>
      <c r="L20" s="323">
        <f>+[4]양산!$Q$85</f>
        <v>95739.469166666648</v>
      </c>
      <c r="M20" s="322">
        <f>+[4]양산!$R$85</f>
        <v>97835.417872997481</v>
      </c>
      <c r="N20" s="140">
        <f t="shared" si="2"/>
        <v>2095.9487063308334</v>
      </c>
      <c r="O20" s="321">
        <f>+[4]양산!$K$86/1000</f>
        <v>10.859110247500048</v>
      </c>
      <c r="P20" s="323">
        <f>+[4]양산!$Q$50</f>
        <v>96178.466756924579</v>
      </c>
      <c r="Q20" s="322">
        <f>+[4]양산!$R$50</f>
        <v>95731.627871067365</v>
      </c>
      <c r="R20" s="140">
        <f t="shared" si="3"/>
        <v>-446.83888585721434</v>
      </c>
      <c r="S20" s="321">
        <f>+[4]양산!$L$56/1000</f>
        <v>2.3150752176261777</v>
      </c>
      <c r="T20" s="323">
        <f>+([4]양산!$H$80+[4]양산!$H$85)/1000</f>
        <v>41.562704555555563</v>
      </c>
      <c r="U20" s="322">
        <f>+([4]양산!$I$80+[4]양산!$I$85)/1000</f>
        <v>40.010373950000002</v>
      </c>
      <c r="V20" s="140">
        <f t="shared" si="4"/>
        <v>-1.5523306055555608</v>
      </c>
      <c r="W20" s="321">
        <f>+([4]양산!$L$80+[4]양산!$L$85)/1000</f>
        <v>1.5523306055555617</v>
      </c>
      <c r="Y20" s="4">
        <f t="shared" si="5"/>
        <v>-7.815970093361102E-14</v>
      </c>
      <c r="Z20" s="4">
        <f t="shared" si="6"/>
        <v>-7.815970093361102E-8</v>
      </c>
    </row>
    <row r="21" spans="4:26" ht="24" customHeight="1" x14ac:dyDescent="0.3">
      <c r="D21" s="326" t="s">
        <v>26</v>
      </c>
      <c r="E21" s="323">
        <f>+[4]창원!$H$86/1000</f>
        <v>-34.965426895848232</v>
      </c>
      <c r="F21" s="322">
        <f>+[4]창원!$I$86/1000</f>
        <v>6.9775800000001036</v>
      </c>
      <c r="G21" s="324">
        <f t="shared" si="0"/>
        <v>41.943006895848335</v>
      </c>
      <c r="H21" s="323">
        <f>+[4]창원!$T$5/1000</f>
        <v>8.4999999999999947</v>
      </c>
      <c r="I21" s="322">
        <f>+[4]창원!$U$5/1000</f>
        <v>7.5</v>
      </c>
      <c r="J21" s="140">
        <f t="shared" si="1"/>
        <v>-0.99999999999999467</v>
      </c>
      <c r="K21" s="321">
        <f>+[4]창원!$M$86/1000</f>
        <v>-2.8398282083315718</v>
      </c>
      <c r="L21" s="323">
        <f>+[4]창원!$Q$85</f>
        <v>98552.755641910699</v>
      </c>
      <c r="M21" s="322">
        <f>+[4]창원!$R$85</f>
        <v>101424.97333333334</v>
      </c>
      <c r="N21" s="140">
        <f t="shared" si="2"/>
        <v>2872.2176914226438</v>
      </c>
      <c r="O21" s="321">
        <f>+[4]창원!$K$86/1000</f>
        <v>21.541632685669828</v>
      </c>
      <c r="P21" s="323">
        <f>+[4]창원!$Q$50</f>
        <v>95712.927433579112</v>
      </c>
      <c r="Q21" s="322">
        <f>+[4]창원!$R$50</f>
        <v>91410.795600000012</v>
      </c>
      <c r="R21" s="140">
        <f t="shared" si="3"/>
        <v>-4302.1318335791002</v>
      </c>
      <c r="S21" s="321">
        <f>+[4]창원!$L$56/1000</f>
        <v>38.402543591843461</v>
      </c>
      <c r="T21" s="323">
        <f>+([4]창원!$H$80+[4]창원!$H$85)/1000</f>
        <v>59.103966666666665</v>
      </c>
      <c r="U21" s="322">
        <f>+([4]창원!$I$80+[4]창원!$I$85)/1000</f>
        <v>74.265307839999991</v>
      </c>
      <c r="V21" s="140">
        <f t="shared" si="4"/>
        <v>15.161341173333327</v>
      </c>
      <c r="W21" s="321">
        <f>+([4]창원!$L$80+[4]창원!$L$85)/1000</f>
        <v>-15.16134117333333</v>
      </c>
      <c r="Y21" s="4">
        <f t="shared" si="5"/>
        <v>-4.9737991503207013E-14</v>
      </c>
      <c r="Z21" s="4">
        <f t="shared" si="6"/>
        <v>-4.9737991503207013E-8</v>
      </c>
    </row>
    <row r="22" spans="4:26" ht="24" customHeight="1" x14ac:dyDescent="0.3">
      <c r="D22" s="326" t="s">
        <v>127</v>
      </c>
      <c r="E22" s="323">
        <f>+[4]대구!$H$86/1000</f>
        <v>-49.481991162648249</v>
      </c>
      <c r="F22" s="322">
        <f>+[4]대구!$I$86/1000</f>
        <v>-93.809217000000004</v>
      </c>
      <c r="G22" s="324">
        <f t="shared" si="0"/>
        <v>-44.327225837351754</v>
      </c>
      <c r="H22" s="323">
        <f>+[4]대구!$T$5/1000</f>
        <v>6.5</v>
      </c>
      <c r="I22" s="322">
        <f>+[4]대구!$U$5/1000</f>
        <v>2.6985000000000001</v>
      </c>
      <c r="J22" s="140">
        <f t="shared" si="1"/>
        <v>-3.8014999999999999</v>
      </c>
      <c r="K22" s="321">
        <f>+[4]대구!$M$86/1000</f>
        <v>1.7663118393174373</v>
      </c>
      <c r="L22" s="323">
        <f>+[4]대구!$Q$85</f>
        <v>91143.404376923078</v>
      </c>
      <c r="M22" s="322">
        <f>+[4]대구!$R$85</f>
        <v>92786.535482675565</v>
      </c>
      <c r="N22" s="140">
        <f t="shared" si="2"/>
        <v>1643.1311057524872</v>
      </c>
      <c r="O22" s="321">
        <f>+[4]대구!$K$86/1000</f>
        <v>4.4339892888730867</v>
      </c>
      <c r="P22" s="323">
        <f>+[4]대구!$Q$50</f>
        <v>91608.039873258036</v>
      </c>
      <c r="Q22" s="322">
        <f>+[4]대구!$R$50</f>
        <v>111032.13711321104</v>
      </c>
      <c r="R22" s="140">
        <f t="shared" si="3"/>
        <v>19424.097239953</v>
      </c>
      <c r="S22" s="321">
        <f>+[4]대구!$L$56/1000</f>
        <v>-52.415924512013163</v>
      </c>
      <c r="T22" s="323">
        <f>+([4]대구!$H$80+[4]대구!$H$85)/1000</f>
        <v>46.461860436470886</v>
      </c>
      <c r="U22" s="322">
        <f>+([4]대구!$I$80+[4]대구!$I$85)/1000</f>
        <v>44.573462889999995</v>
      </c>
      <c r="V22" s="140">
        <f t="shared" si="4"/>
        <v>-1.8883975464708911</v>
      </c>
      <c r="W22" s="321">
        <f>+([4]대구!$L$80+[4]대구!$L$85)/1000</f>
        <v>1.8883975464708904</v>
      </c>
      <c r="Y22" s="4">
        <f t="shared" si="5"/>
        <v>-6.4392935428259079E-15</v>
      </c>
      <c r="Z22" s="4">
        <f t="shared" si="6"/>
        <v>-6.4392935428259079E-9</v>
      </c>
    </row>
    <row r="23" spans="4:26" ht="24" customHeight="1" x14ac:dyDescent="0.3">
      <c r="D23" s="326" t="s">
        <v>126</v>
      </c>
      <c r="E23" s="323">
        <f>+[4]울산!$H$86/1000</f>
        <v>-45.898809768158188</v>
      </c>
      <c r="F23" s="322">
        <f>+[4]울산!$I$86/1000</f>
        <v>84.076424999999901</v>
      </c>
      <c r="G23" s="324">
        <f t="shared" si="0"/>
        <v>129.97523476815809</v>
      </c>
      <c r="H23" s="323">
        <f>+[4]울산!$T$5/1000</f>
        <v>7.5</v>
      </c>
      <c r="I23" s="322">
        <f>+[4]울산!$U$5/1000</f>
        <v>10.55</v>
      </c>
      <c r="J23" s="140">
        <f t="shared" si="1"/>
        <v>3.0500000000000007</v>
      </c>
      <c r="K23" s="321">
        <f>+[4]울산!$M$86/1000</f>
        <v>-1.1238929902669042E-2</v>
      </c>
      <c r="L23" s="323">
        <f>+[4]울산!$Q$85</f>
        <v>104513.66522666666</v>
      </c>
      <c r="M23" s="322">
        <f>+[4]울산!$R$85</f>
        <v>111519.78199052133</v>
      </c>
      <c r="N23" s="140">
        <f t="shared" si="2"/>
        <v>7006.1167638546613</v>
      </c>
      <c r="O23" s="321">
        <f>+[4]울산!$K$86/1000</f>
        <v>73.914531858666663</v>
      </c>
      <c r="P23" s="323">
        <f>+[4]울산!$Q$50</f>
        <v>104517.35012171672</v>
      </c>
      <c r="Q23" s="322">
        <f>+[4]울산!$R$50</f>
        <v>99396.727289931863</v>
      </c>
      <c r="R23" s="140">
        <f t="shared" si="3"/>
        <v>-5120.6228317848581</v>
      </c>
      <c r="S23" s="321">
        <f>+[4]울산!$L$56/1000</f>
        <v>54.063355114111317</v>
      </c>
      <c r="T23" s="323">
        <f>+([4]울산!$H$80+[4]울산!$H$85)/1000</f>
        <v>45.871173055282739</v>
      </c>
      <c r="U23" s="322">
        <f>+([4]울산!$I$80+[4]울산!$I$85)/1000</f>
        <v>43.862586329999999</v>
      </c>
      <c r="V23" s="140">
        <f t="shared" si="4"/>
        <v>-2.0085867252827398</v>
      </c>
      <c r="W23" s="321">
        <f>+([4]울산!$L$80+[4]울산!$L$85)/1000</f>
        <v>2.0085867252827319</v>
      </c>
      <c r="Y23" s="4">
        <f t="shared" si="5"/>
        <v>5.0626169922907138E-14</v>
      </c>
      <c r="Z23" s="4">
        <f t="shared" si="6"/>
        <v>5.0626169922907138E-8</v>
      </c>
    </row>
    <row r="24" spans="4:26" ht="24" customHeight="1" x14ac:dyDescent="0.3">
      <c r="D24" s="332" t="s">
        <v>27</v>
      </c>
      <c r="E24" s="330">
        <f>+[4]아산!$H$86/1000</f>
        <v>-64.250070365544076</v>
      </c>
      <c r="F24" s="329">
        <f>+[4]아산!$I$86/1000</f>
        <v>3.8563899999998759</v>
      </c>
      <c r="G24" s="331">
        <f t="shared" si="0"/>
        <v>68.106460365543953</v>
      </c>
      <c r="H24" s="330">
        <f>+[4]아산!$T$5/1000</f>
        <v>10</v>
      </c>
      <c r="I24" s="329">
        <f>+[4]아산!$U$5/1000</f>
        <v>14.503</v>
      </c>
      <c r="J24" s="328">
        <f t="shared" si="1"/>
        <v>4.5030000000000001</v>
      </c>
      <c r="K24" s="327">
        <f>+[4]아산!$M$86/1000</f>
        <v>10.233731377795513</v>
      </c>
      <c r="L24" s="330">
        <f>+[4]아산!$Q$85</f>
        <v>98718.315999999992</v>
      </c>
      <c r="M24" s="329">
        <f>+[4]아산!$R$85</f>
        <v>103835.84534234295</v>
      </c>
      <c r="N24" s="328">
        <f t="shared" si="2"/>
        <v>5117.5293423429539</v>
      </c>
      <c r="O24" s="327">
        <f>+[4]아산!$K$86/1000</f>
        <v>74.219528051999859</v>
      </c>
      <c r="P24" s="330">
        <f>+[4]아산!$Q$50</f>
        <v>96445.668569887726</v>
      </c>
      <c r="Q24" s="329">
        <f>+[4]아산!$R$50</f>
        <v>97877.325039630567</v>
      </c>
      <c r="R24" s="328">
        <f t="shared" si="3"/>
        <v>1431.6564697428403</v>
      </c>
      <c r="S24" s="327">
        <f>+[4]아산!$L$56/1000</f>
        <v>-20.749785390918404</v>
      </c>
      <c r="T24" s="330">
        <f>+([4]아산!$H$80+[4]아산!$H$85)/1000</f>
        <v>86.976544666666669</v>
      </c>
      <c r="U24" s="329">
        <f>+([4]아산!$I$80+[4]아산!$I$85)/1000</f>
        <v>82.573558340000019</v>
      </c>
      <c r="V24" s="328">
        <f t="shared" si="4"/>
        <v>-4.4029863266666496</v>
      </c>
      <c r="W24" s="327">
        <f>+([4]아산!$L$80+[4]아산!$L$85)/1000</f>
        <v>4.402986326666654</v>
      </c>
      <c r="Y24" s="4">
        <f t="shared" si="5"/>
        <v>3.2951419370874646E-13</v>
      </c>
      <c r="Z24" s="4">
        <f t="shared" si="6"/>
        <v>3.2951419370874646E-7</v>
      </c>
    </row>
    <row r="25" spans="4:26" ht="24" customHeight="1" x14ac:dyDescent="0.3">
      <c r="D25" s="326" t="s">
        <v>125</v>
      </c>
      <c r="E25" s="323">
        <f>+[4]전주!$H$86/1000</f>
        <v>-43.617229953282965</v>
      </c>
      <c r="F25" s="322">
        <f>+[4]전주!$I$86/1000</f>
        <v>-15.873016999999967</v>
      </c>
      <c r="G25" s="324">
        <f t="shared" si="0"/>
        <v>27.744212953282997</v>
      </c>
      <c r="H25" s="323">
        <f>+[4]전주!$T$5/1000</f>
        <v>5</v>
      </c>
      <c r="I25" s="322">
        <f>+[4]전주!$U$5/1000</f>
        <v>8.1605000000000008</v>
      </c>
      <c r="J25" s="140">
        <f t="shared" si="1"/>
        <v>3.1605000000000008</v>
      </c>
      <c r="K25" s="321">
        <f>+[4]전주!$M$86/1000</f>
        <v>6.3333867334935352</v>
      </c>
      <c r="L25" s="323">
        <f>+[4]전주!$Q$85</f>
        <v>102030.89799999999</v>
      </c>
      <c r="M25" s="322">
        <f>+[4]전주!$R$85</f>
        <v>101995.85820665887</v>
      </c>
      <c r="N25" s="140">
        <f t="shared" si="2"/>
        <v>-35.039793341115001</v>
      </c>
      <c r="O25" s="321">
        <f>+[4]전주!$K$86/1000</f>
        <v>-0.28468080099988879</v>
      </c>
      <c r="P25" s="323">
        <f>+[4]전주!$Q$50</f>
        <v>100003.88992398989</v>
      </c>
      <c r="Q25" s="322">
        <f>+[4]전주!$R$50</f>
        <v>97757.159825220006</v>
      </c>
      <c r="R25" s="140">
        <f t="shared" si="3"/>
        <v>-2246.7300987698836</v>
      </c>
      <c r="S25" s="321">
        <f>+[4]전주!$L$56/1000</f>
        <v>18.253564647456098</v>
      </c>
      <c r="T25" s="323">
        <f>+([4]전주!$H$80+[4]전주!$H$85)/1000</f>
        <v>53.752270333333335</v>
      </c>
      <c r="U25" s="322">
        <f>+([4]전주!$I$80+[4]전주!$I$85)/1000</f>
        <v>50.310327959999995</v>
      </c>
      <c r="V25" s="140">
        <f t="shared" si="4"/>
        <v>-3.4419423733333403</v>
      </c>
      <c r="W25" s="321">
        <f>+([4]전주!$L$80+[4]전주!$L$85)/1000</f>
        <v>3.441942373333339</v>
      </c>
      <c r="Y25" s="4">
        <f t="shared" si="5"/>
        <v>-8.3932860661661834E-14</v>
      </c>
      <c r="Z25" s="4">
        <f t="shared" si="6"/>
        <v>-8.3932860661661834E-8</v>
      </c>
    </row>
    <row r="26" spans="4:26" ht="24" customHeight="1" x14ac:dyDescent="0.3">
      <c r="D26" s="325" t="s">
        <v>124</v>
      </c>
      <c r="E26" s="323">
        <f>+[4]군산!$H$86/1000</f>
        <v>6.2266765846474206</v>
      </c>
      <c r="F26" s="322">
        <f>+[4]군산!$I$86/1000</f>
        <v>3.845768000000013</v>
      </c>
      <c r="G26" s="324">
        <f t="shared" si="0"/>
        <v>-2.3809085846474076</v>
      </c>
      <c r="H26" s="323">
        <f>+[4]군산!$T$5/1000</f>
        <v>2.5</v>
      </c>
      <c r="I26" s="322">
        <f>+[4]군산!$U$5/1000</f>
        <v>2.0674999999999999</v>
      </c>
      <c r="J26" s="140">
        <f t="shared" si="1"/>
        <v>-0.43250000000000011</v>
      </c>
      <c r="K26" s="321">
        <f>+[4]군산!$M$86/1000</f>
        <v>-5.1106833497286575</v>
      </c>
      <c r="L26" s="323">
        <f>+[4]군산!$Q$85</f>
        <v>115783.5576</v>
      </c>
      <c r="M26" s="322">
        <f>+[4]군산!$R$85</f>
        <v>119136.61016949153</v>
      </c>
      <c r="N26" s="140">
        <f t="shared" si="2"/>
        <v>3353.0525694915268</v>
      </c>
      <c r="O26" s="321">
        <f>+[4]군산!$K$86/1000</f>
        <v>6.9240535560000023</v>
      </c>
      <c r="P26" s="323">
        <f>+[4]군산!$Q$50</f>
        <v>104022.21656614103</v>
      </c>
      <c r="Q26" s="322">
        <f>+[4]군산!$R$50</f>
        <v>106753.29249394672</v>
      </c>
      <c r="R26" s="140">
        <f t="shared" si="3"/>
        <v>2731.0759278056939</v>
      </c>
      <c r="S26" s="321">
        <f>+[4]군산!$L$56/1000</f>
        <v>-5.6396688509187607</v>
      </c>
      <c r="T26" s="323">
        <f>+([4]군산!$H$80+[4]군산!$H$85)/1000</f>
        <v>23.176676</v>
      </c>
      <c r="U26" s="322">
        <f>+([4]군산!$I$80+[4]군산!$I$85)/1000</f>
        <v>21.731285940000003</v>
      </c>
      <c r="V26" s="140">
        <f t="shared" si="4"/>
        <v>-1.4453900599999976</v>
      </c>
      <c r="W26" s="321">
        <f>+([4]군산!$L$80+[4]군산!$L$85)/1000</f>
        <v>1.4453900600000007</v>
      </c>
      <c r="Y26" s="4">
        <f t="shared" si="5"/>
        <v>7.5495165674510645E-15</v>
      </c>
      <c r="Z26" s="4">
        <f t="shared" si="6"/>
        <v>7.5495165674510645E-9</v>
      </c>
    </row>
    <row r="27" spans="4:26" ht="24" customHeight="1" x14ac:dyDescent="0.3">
      <c r="D27" s="325" t="s">
        <v>123</v>
      </c>
      <c r="E27" s="323">
        <f>+[4]원주!$H$86/1000</f>
        <v>18.286728016517589</v>
      </c>
      <c r="F27" s="322">
        <f>+[4]원주!$I$86/1000</f>
        <v>7.133796999999988</v>
      </c>
      <c r="G27" s="324">
        <f t="shared" si="0"/>
        <v>-11.152931016517602</v>
      </c>
      <c r="H27" s="323">
        <f>+[4]원주!$T$5/1000</f>
        <v>3</v>
      </c>
      <c r="I27" s="322">
        <f>+[4]원주!$U$5/1000</f>
        <v>2.1455000000000002</v>
      </c>
      <c r="J27" s="140">
        <f t="shared" si="1"/>
        <v>-0.85449999999999982</v>
      </c>
      <c r="K27" s="321">
        <f>+[4]원주!$M$86/1000</f>
        <v>-10.469024390871418</v>
      </c>
      <c r="L27" s="323">
        <f>+[4]원주!$Q$85</f>
        <v>114772.52834799998</v>
      </c>
      <c r="M27" s="322">
        <f>+[4]원주!$R$85</f>
        <v>124562.01351666277</v>
      </c>
      <c r="N27" s="140">
        <f t="shared" si="2"/>
        <v>9789.4851686627953</v>
      </c>
      <c r="O27" s="321">
        <f>+[4]원주!$K$86/1000</f>
        <v>21.003340429366027</v>
      </c>
      <c r="P27" s="323">
        <f>+[4]원주!$Q$50</f>
        <v>102520.89067582744</v>
      </c>
      <c r="Q27" s="322">
        <f>+[4]원주!$R$50</f>
        <v>113636.34397576321</v>
      </c>
      <c r="R27" s="140">
        <f t="shared" si="3"/>
        <v>11115.453299935776</v>
      </c>
      <c r="S27" s="321">
        <f>+[4]원주!$L$56/1000</f>
        <v>-23.848209235012227</v>
      </c>
      <c r="T27" s="323">
        <f>+([4]원주!$H$80+[4]원주!$H$85)/1000</f>
        <v>18.468184999999998</v>
      </c>
      <c r="U27" s="322">
        <f>+([4]원주!$I$80+[4]원주!$I$85)/1000</f>
        <v>16.30722282</v>
      </c>
      <c r="V27" s="140">
        <f t="shared" si="4"/>
        <v>-2.1609621799999985</v>
      </c>
      <c r="W27" s="321">
        <f>+([4]원주!$L$80+[4]원주!$L$85)/1000</f>
        <v>2.1609621799999998</v>
      </c>
      <c r="Y27" s="4">
        <f t="shared" si="5"/>
        <v>1.6431300764452317E-14</v>
      </c>
      <c r="Z27" s="4">
        <f t="shared" si="6"/>
        <v>1.6431300764452317E-8</v>
      </c>
    </row>
    <row r="28" spans="4:26" ht="24" customHeight="1" thickBot="1" x14ac:dyDescent="0.35">
      <c r="D28" s="320" t="s">
        <v>122</v>
      </c>
      <c r="E28" s="318">
        <f>+[4]제주!$H$86/1000</f>
        <v>51.136169312184968</v>
      </c>
      <c r="F28" s="317">
        <f>+[4]제주!$I$86/1000</f>
        <v>2.6381320000000432</v>
      </c>
      <c r="G28" s="319">
        <f t="shared" si="0"/>
        <v>-48.498037312184927</v>
      </c>
      <c r="H28" s="318">
        <f>+[4]제주!$T$5/1000</f>
        <v>6</v>
      </c>
      <c r="I28" s="317">
        <f>+[4]제주!$U$5/1000</f>
        <v>3.8165</v>
      </c>
      <c r="J28" s="316">
        <f t="shared" si="1"/>
        <v>-2.1835</v>
      </c>
      <c r="K28" s="315">
        <f>+[4]제주!$M$86/1000</f>
        <v>-29.517984081363423</v>
      </c>
      <c r="L28" s="318">
        <f>+[4]제주!$Q$85</f>
        <v>121227.62</v>
      </c>
      <c r="M28" s="317">
        <f>+[4]제주!$R$85</f>
        <v>122993.4139383236</v>
      </c>
      <c r="N28" s="316">
        <f t="shared" si="2"/>
        <v>1765.793938323608</v>
      </c>
      <c r="O28" s="315">
        <f>+[4]제주!$K$86/1000</f>
        <v>6.4990045900000384</v>
      </c>
      <c r="P28" s="318">
        <f>+[4]제주!$Q$50</f>
        <v>107839.39664092979</v>
      </c>
      <c r="Q28" s="317">
        <f>+[4]제주!$R$50</f>
        <v>114830.27636758516</v>
      </c>
      <c r="R28" s="316">
        <f t="shared" si="3"/>
        <v>6990.8797266553738</v>
      </c>
      <c r="S28" s="315">
        <f>+[4]제주!$L$56/1000</f>
        <v>-25.740595193057985</v>
      </c>
      <c r="T28" s="318">
        <f>+([4]제주!$H$80+[4]제주!$H$85)/1000</f>
        <v>29.193170842236317</v>
      </c>
      <c r="U28" s="317">
        <f>+([4]제주!$I$80+[4]제주!$I$85)/1000</f>
        <v>28.931633470000001</v>
      </c>
      <c r="V28" s="316">
        <f t="shared" si="4"/>
        <v>-0.26153737223631524</v>
      </c>
      <c r="W28" s="315">
        <f>+([4]제주!$L$80+[4]제주!$L$85)/1000</f>
        <v>0.2615373722363174</v>
      </c>
      <c r="Y28" s="4">
        <f t="shared" si="5"/>
        <v>1.2573275753879898E-13</v>
      </c>
      <c r="Z28" s="4">
        <f t="shared" si="6"/>
        <v>1.2573275753879898E-7</v>
      </c>
    </row>
    <row r="29" spans="4:26" ht="24" customHeight="1" x14ac:dyDescent="0.3">
      <c r="Y29" s="452"/>
    </row>
    <row r="30" spans="4:26" ht="24" customHeight="1" x14ac:dyDescent="0.3">
      <c r="Y30" s="452"/>
    </row>
    <row r="31" spans="4:26" ht="24" customHeight="1" x14ac:dyDescent="0.3">
      <c r="Y31" s="452"/>
    </row>
    <row r="32" spans="4:26" ht="21.95" customHeight="1" x14ac:dyDescent="0.3">
      <c r="F32" s="314"/>
      <c r="Y32" s="452"/>
    </row>
    <row r="33" spans="25:25" ht="21.95" customHeight="1" x14ac:dyDescent="0.3"/>
    <row r="34" spans="25:25" ht="21.95" customHeight="1" x14ac:dyDescent="0.3">
      <c r="Y34" s="453"/>
    </row>
    <row r="35" spans="25:25" ht="21.95" customHeight="1" x14ac:dyDescent="0.3">
      <c r="Y35" s="4" t="s">
        <v>155</v>
      </c>
    </row>
    <row r="36" spans="25:25" ht="21.95" customHeight="1" x14ac:dyDescent="0.3"/>
    <row r="37" spans="25:25" ht="21.95" customHeight="1" x14ac:dyDescent="0.3"/>
    <row r="38" spans="25:25" ht="21.95" customHeight="1" x14ac:dyDescent="0.3"/>
    <row r="39" spans="25:25" ht="21.95" customHeight="1" x14ac:dyDescent="0.3"/>
    <row r="40" spans="25:25" ht="21.95" customHeight="1" x14ac:dyDescent="0.3"/>
    <row r="41" spans="25:25" ht="21.95" customHeight="1" x14ac:dyDescent="0.3"/>
    <row r="42" spans="25:25" ht="21.95" customHeight="1" x14ac:dyDescent="0.3"/>
    <row r="43" spans="25:25" ht="21.95" customHeight="1" x14ac:dyDescent="0.3"/>
    <row r="44" spans="25:25" ht="21.95" customHeight="1" x14ac:dyDescent="0.3"/>
    <row r="45" spans="25:25" ht="21.95" customHeight="1" x14ac:dyDescent="0.3"/>
    <row r="46" spans="25:25" ht="21.95" customHeight="1" x14ac:dyDescent="0.3"/>
    <row r="47" spans="25:25" ht="21.95" customHeight="1" x14ac:dyDescent="0.3"/>
    <row r="48" spans="25:25" ht="21.95" customHeight="1" x14ac:dyDescent="0.3"/>
    <row r="49" ht="21.95" customHeight="1" x14ac:dyDescent="0.3"/>
    <row r="50" ht="21.95" customHeight="1" x14ac:dyDescent="0.3"/>
    <row r="51" ht="21.95" customHeight="1" x14ac:dyDescent="0.3"/>
    <row r="52" ht="21.95" customHeight="1" x14ac:dyDescent="0.3"/>
  </sheetData>
  <mergeCells count="1">
    <mergeCell ref="D6:D7"/>
  </mergeCells>
  <phoneticPr fontId="1" type="noConversion"/>
  <printOptions horizontalCentered="1"/>
  <pageMargins left="0.31496062992125984" right="0.31496062992125984" top="0.74803149606299213" bottom="0.35433070866141736" header="0.31496062992125984" footer="0.31496062992125984"/>
  <pageSetup paperSize="9" scale="68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2C9EA2-7FA8-4EF3-8BE8-88EBED6DB771}">
  <sheetPr>
    <tabColor theme="0"/>
    <pageSetUpPr fitToPage="1"/>
  </sheetPr>
  <dimension ref="A1:V52"/>
  <sheetViews>
    <sheetView showGridLines="0" showZeros="0" view="pageBreakPreview" zoomScale="85" zoomScaleNormal="85" zoomScaleSheetLayoutView="85" workbookViewId="0">
      <pane xSplit="4" ySplit="7" topLeftCell="E8" activePane="bottomRight" state="frozen"/>
      <selection activeCell="A6" sqref="A6:M14"/>
      <selection pane="topRight" activeCell="A6" sqref="A6:M14"/>
      <selection pane="bottomLeft" activeCell="A6" sqref="A6:M14"/>
      <selection pane="bottomRight" activeCell="A6" sqref="A6:M14"/>
    </sheetView>
  </sheetViews>
  <sheetFormatPr defaultRowHeight="16.5" x14ac:dyDescent="0.3"/>
  <cols>
    <col min="1" max="3" width="5.625" style="4" customWidth="1"/>
    <col min="4" max="4" width="9.875" style="4" customWidth="1"/>
    <col min="5" max="22" width="9.625" style="4" customWidth="1"/>
    <col min="23" max="16384" width="9" style="4"/>
  </cols>
  <sheetData>
    <row r="1" spans="1:22" ht="9.9499999999999993" customHeight="1" x14ac:dyDescent="0.3"/>
    <row r="2" spans="1:22" ht="9.9499999999999993" hidden="1" customHeight="1" x14ac:dyDescent="0.3"/>
    <row r="3" spans="1:22" ht="9.9499999999999993" customHeight="1" x14ac:dyDescent="0.3"/>
    <row r="4" spans="1:22" ht="31.5" x14ac:dyDescent="0.3">
      <c r="D4" s="370" t="s">
        <v>193</v>
      </c>
      <c r="F4" s="370"/>
      <c r="I4" s="370"/>
    </row>
    <row r="5" spans="1:22" ht="21.95" customHeight="1" x14ac:dyDescent="0.3">
      <c r="V5" s="369" t="s">
        <v>141</v>
      </c>
    </row>
    <row r="6" spans="1:22" ht="24" customHeight="1" thickBot="1" x14ac:dyDescent="0.35">
      <c r="A6" s="4" t="s">
        <v>175</v>
      </c>
      <c r="D6" s="642" t="s">
        <v>11</v>
      </c>
      <c r="E6" s="368" t="s">
        <v>53</v>
      </c>
      <c r="F6" s="367"/>
      <c r="G6" s="366"/>
      <c r="H6" s="368" t="s">
        <v>140</v>
      </c>
      <c r="I6" s="367"/>
      <c r="J6" s="366"/>
      <c r="K6" s="368" t="s">
        <v>139</v>
      </c>
      <c r="L6" s="367"/>
      <c r="M6" s="366"/>
      <c r="N6" s="368" t="s">
        <v>138</v>
      </c>
      <c r="O6" s="367"/>
      <c r="P6" s="366"/>
      <c r="Q6" s="368" t="s">
        <v>137</v>
      </c>
      <c r="R6" s="367"/>
      <c r="S6" s="366"/>
      <c r="T6" s="368" t="s">
        <v>54</v>
      </c>
      <c r="U6" s="367"/>
      <c r="V6" s="366"/>
    </row>
    <row r="7" spans="1:22" ht="24" customHeight="1" x14ac:dyDescent="0.3">
      <c r="D7" s="643"/>
      <c r="E7" s="364" t="s">
        <v>36</v>
      </c>
      <c r="F7" s="363" t="s">
        <v>37</v>
      </c>
      <c r="G7" s="365" t="s">
        <v>28</v>
      </c>
      <c r="H7" s="364" t="s">
        <v>12</v>
      </c>
      <c r="I7" s="363" t="s">
        <v>13</v>
      </c>
      <c r="J7" s="365" t="s">
        <v>28</v>
      </c>
      <c r="K7" s="364" t="s">
        <v>12</v>
      </c>
      <c r="L7" s="363" t="s">
        <v>13</v>
      </c>
      <c r="M7" s="365" t="s">
        <v>28</v>
      </c>
      <c r="N7" s="364" t="s">
        <v>12</v>
      </c>
      <c r="O7" s="363" t="s">
        <v>13</v>
      </c>
      <c r="P7" s="365" t="s">
        <v>28</v>
      </c>
      <c r="Q7" s="364" t="s">
        <v>12</v>
      </c>
      <c r="R7" s="363" t="s">
        <v>13</v>
      </c>
      <c r="S7" s="365" t="s">
        <v>28</v>
      </c>
      <c r="T7" s="364" t="s">
        <v>12</v>
      </c>
      <c r="U7" s="363" t="s">
        <v>13</v>
      </c>
      <c r="V7" s="365" t="s">
        <v>28</v>
      </c>
    </row>
    <row r="8" spans="1:22" ht="24" customHeight="1" x14ac:dyDescent="0.3">
      <c r="D8" s="360" t="s">
        <v>136</v>
      </c>
      <c r="E8" s="358">
        <f>+[4]합계!$Q$85</f>
        <v>100913.29116304117</v>
      </c>
      <c r="F8" s="357">
        <f>+[4]합계!$R$85</f>
        <v>106420.85674162097</v>
      </c>
      <c r="G8" s="388">
        <f t="shared" ref="G8:G28" si="0">+F8-E8</f>
        <v>5507.5655785798008</v>
      </c>
      <c r="H8" s="358">
        <f>+[4]합계!$Q$20</f>
        <v>62985.170520051128</v>
      </c>
      <c r="I8" s="357">
        <f>+[4]합계!$R$20</f>
        <v>67262.044489302963</v>
      </c>
      <c r="J8" s="388">
        <f t="shared" ref="J8:J28" si="1">+I8-H8</f>
        <v>4276.8739692518357</v>
      </c>
      <c r="K8" s="358">
        <f>+[4]합계!$Q$21</f>
        <v>19127.691872201653</v>
      </c>
      <c r="L8" s="357">
        <f>+[4]합계!$R$21</f>
        <v>19939.906660920748</v>
      </c>
      <c r="M8" s="388">
        <f t="shared" ref="M8:M28" si="2">+L8-K8</f>
        <v>812.21478871909494</v>
      </c>
      <c r="N8" s="358">
        <f>+[4]합계!$Q$22</f>
        <v>432.08994708994709</v>
      </c>
      <c r="O8" s="357">
        <f>+[4]합계!$R$22</f>
        <v>408.62329252595589</v>
      </c>
      <c r="P8" s="388">
        <f t="shared" ref="P8:P28" si="3">+O8-N8</f>
        <v>-23.466654563991199</v>
      </c>
      <c r="Q8" s="358">
        <f t="shared" ref="Q8:Q28" si="4">H8+K8+N8</f>
        <v>82544.952339342723</v>
      </c>
      <c r="R8" s="357">
        <f t="shared" ref="R8:R28" si="5">I8+L8+O8</f>
        <v>87610.574442749668</v>
      </c>
      <c r="S8" s="388">
        <f t="shared" ref="S8:S28" si="6">+R8-Q8</f>
        <v>5065.6221034069458</v>
      </c>
      <c r="T8" s="358">
        <f t="shared" ref="T8:T28" si="7">+E8-Q8</f>
        <v>18368.338823698447</v>
      </c>
      <c r="U8" s="357">
        <f t="shared" ref="U8:U28" si="8">+F8-R8</f>
        <v>18810.282298871301</v>
      </c>
      <c r="V8" s="388">
        <f t="shared" ref="V8:V28" si="9">+U8-T8</f>
        <v>441.94347517285496</v>
      </c>
    </row>
    <row r="9" spans="1:22" ht="24" customHeight="1" x14ac:dyDescent="0.3">
      <c r="D9" s="354" t="s">
        <v>16</v>
      </c>
      <c r="E9" s="353">
        <f>+[4]수도권!$Q$85</f>
        <v>98950.865727146374</v>
      </c>
      <c r="F9" s="352">
        <f>+[4]수도권!$R$85</f>
        <v>104188.77459703996</v>
      </c>
      <c r="G9" s="387">
        <f t="shared" si="0"/>
        <v>5237.9088698935811</v>
      </c>
      <c r="H9" s="353">
        <f>+[4]수도권!$Q$20</f>
        <v>64231.990085305682</v>
      </c>
      <c r="I9" s="352">
        <f>+[4]수도권!$R$20</f>
        <v>69716.265175766632</v>
      </c>
      <c r="J9" s="387">
        <f t="shared" si="1"/>
        <v>5484.2750904609493</v>
      </c>
      <c r="K9" s="353">
        <f>+[4]수도권!$Q$21</f>
        <v>18756.263160846564</v>
      </c>
      <c r="L9" s="352">
        <f>+[4]수도권!$R$21</f>
        <v>19521.187180254299</v>
      </c>
      <c r="M9" s="387">
        <f t="shared" si="2"/>
        <v>764.92401940773561</v>
      </c>
      <c r="N9" s="353">
        <f>+[4]수도권!$Q$22</f>
        <v>512.15277777777783</v>
      </c>
      <c r="O9" s="352">
        <f>+[4]수도권!$R$22</f>
        <v>546.28629768137625</v>
      </c>
      <c r="P9" s="387">
        <f t="shared" si="3"/>
        <v>34.133519903598426</v>
      </c>
      <c r="Q9" s="353">
        <f t="shared" si="4"/>
        <v>83500.406023930031</v>
      </c>
      <c r="R9" s="352">
        <f t="shared" si="5"/>
        <v>89783.738653702312</v>
      </c>
      <c r="S9" s="387">
        <f t="shared" si="6"/>
        <v>6283.3326297722815</v>
      </c>
      <c r="T9" s="353">
        <f t="shared" si="7"/>
        <v>15450.459703216344</v>
      </c>
      <c r="U9" s="352">
        <f t="shared" si="8"/>
        <v>14405.035943337643</v>
      </c>
      <c r="V9" s="387">
        <f t="shared" si="9"/>
        <v>-1045.4237598787004</v>
      </c>
    </row>
    <row r="10" spans="1:22" ht="24" customHeight="1" x14ac:dyDescent="0.3">
      <c r="D10" s="349" t="s">
        <v>17</v>
      </c>
      <c r="E10" s="348">
        <f>+[4]영남권!$Q$85</f>
        <v>100438.34086647777</v>
      </c>
      <c r="F10" s="347">
        <f>+[4]영남권!$R$85</f>
        <v>107645.51524287467</v>
      </c>
      <c r="G10" s="386">
        <f t="shared" si="0"/>
        <v>7207.1743763968989</v>
      </c>
      <c r="H10" s="348">
        <f>+[4]영남권!$Q$20</f>
        <v>61614.441169416408</v>
      </c>
      <c r="I10" s="347">
        <f>+[4]영남권!$R$20</f>
        <v>65458.100215878803</v>
      </c>
      <c r="J10" s="386">
        <f t="shared" si="1"/>
        <v>3843.6590464623951</v>
      </c>
      <c r="K10" s="348">
        <f>+[4]영남권!$Q$21</f>
        <v>19840.191924199487</v>
      </c>
      <c r="L10" s="347">
        <f>+[4]영남권!$R$21</f>
        <v>20360.730581986467</v>
      </c>
      <c r="M10" s="386">
        <f t="shared" si="2"/>
        <v>520.53865778697946</v>
      </c>
      <c r="N10" s="348">
        <f>+[4]영남권!$Q$22</f>
        <v>358.56353591160223</v>
      </c>
      <c r="O10" s="347">
        <f>+[4]영남권!$R$22</f>
        <v>320.37880715881965</v>
      </c>
      <c r="P10" s="386">
        <f t="shared" si="3"/>
        <v>-38.184728752782576</v>
      </c>
      <c r="Q10" s="348">
        <f t="shared" si="4"/>
        <v>81813.196629527491</v>
      </c>
      <c r="R10" s="347">
        <f t="shared" si="5"/>
        <v>86139.209605024094</v>
      </c>
      <c r="S10" s="386">
        <f t="shared" si="6"/>
        <v>4326.0129754966038</v>
      </c>
      <c r="T10" s="348">
        <f t="shared" si="7"/>
        <v>18625.144236950277</v>
      </c>
      <c r="U10" s="347">
        <f t="shared" si="8"/>
        <v>21506.305637850572</v>
      </c>
      <c r="V10" s="386">
        <f t="shared" si="9"/>
        <v>2881.1614009002951</v>
      </c>
    </row>
    <row r="11" spans="1:22" ht="24" customHeight="1" x14ac:dyDescent="0.3">
      <c r="D11" s="344" t="s">
        <v>128</v>
      </c>
      <c r="E11" s="343">
        <f>+[4]중부권!$Q$85</f>
        <v>107867.16411486792</v>
      </c>
      <c r="F11" s="342">
        <f>+[4]중부권!$R$85</f>
        <v>108148.78762062354</v>
      </c>
      <c r="G11" s="385">
        <f t="shared" si="0"/>
        <v>281.62350575561868</v>
      </c>
      <c r="H11" s="343">
        <f>+[4]중부권!$Q$20</f>
        <v>64278.755332659188</v>
      </c>
      <c r="I11" s="342">
        <f>+[4]중부권!$R$20</f>
        <v>66554.812120219474</v>
      </c>
      <c r="J11" s="385">
        <f t="shared" si="1"/>
        <v>2276.0567875602865</v>
      </c>
      <c r="K11" s="343">
        <f>+[4]중부권!$Q$21</f>
        <v>17703.601778305871</v>
      </c>
      <c r="L11" s="342">
        <f>+[4]중부권!$R$21</f>
        <v>19768.092211940053</v>
      </c>
      <c r="M11" s="385">
        <f t="shared" si="2"/>
        <v>2064.4904336341824</v>
      </c>
      <c r="N11" s="343">
        <f>+[4]중부권!$Q$22</f>
        <v>465.66037735849056</v>
      </c>
      <c r="O11" s="342">
        <f>+[4]중부권!$R$22</f>
        <v>335.46739824748181</v>
      </c>
      <c r="P11" s="385">
        <f t="shared" si="3"/>
        <v>-130.19297911100875</v>
      </c>
      <c r="Q11" s="343">
        <f t="shared" si="4"/>
        <v>82448.01748832356</v>
      </c>
      <c r="R11" s="342">
        <f t="shared" si="5"/>
        <v>86658.371730407001</v>
      </c>
      <c r="S11" s="385">
        <f t="shared" si="6"/>
        <v>4210.3542420834419</v>
      </c>
      <c r="T11" s="343">
        <f t="shared" si="7"/>
        <v>25419.14662654436</v>
      </c>
      <c r="U11" s="342">
        <f t="shared" si="8"/>
        <v>21490.415890216536</v>
      </c>
      <c r="V11" s="385">
        <f t="shared" si="9"/>
        <v>-3928.7307363278233</v>
      </c>
    </row>
    <row r="12" spans="1:22" ht="24" customHeight="1" x14ac:dyDescent="0.3">
      <c r="D12" s="384" t="s">
        <v>18</v>
      </c>
      <c r="E12" s="383">
        <f>+[4]안양!$Q$85</f>
        <v>99033.952379310344</v>
      </c>
      <c r="F12" s="382">
        <f>+[4]안양!$R$85</f>
        <v>108132.36054047047</v>
      </c>
      <c r="G12" s="381">
        <f t="shared" si="0"/>
        <v>9098.4081611601287</v>
      </c>
      <c r="H12" s="383">
        <f>+[4]안양!$Q$20</f>
        <v>63117.485502410091</v>
      </c>
      <c r="I12" s="382">
        <f>+[4]안양!$R$20</f>
        <v>70779.425545695951</v>
      </c>
      <c r="J12" s="381">
        <f t="shared" si="1"/>
        <v>7661.9400432858602</v>
      </c>
      <c r="K12" s="383">
        <f>+[4]안양!$Q$21</f>
        <v>18441.908559735282</v>
      </c>
      <c r="L12" s="382">
        <f>+[4]안양!$R$21</f>
        <v>19242.375089060173</v>
      </c>
      <c r="M12" s="381">
        <f t="shared" si="2"/>
        <v>800.46652932489087</v>
      </c>
      <c r="N12" s="383">
        <f>+[4]안양!$Q$22</f>
        <v>396.55172413793105</v>
      </c>
      <c r="O12" s="382">
        <f>+[4]안양!$R$22</f>
        <v>358.81135436232921</v>
      </c>
      <c r="P12" s="381">
        <f t="shared" si="3"/>
        <v>-37.740369775601835</v>
      </c>
      <c r="Q12" s="383">
        <f t="shared" si="4"/>
        <v>81955.945786283308</v>
      </c>
      <c r="R12" s="382">
        <f t="shared" si="5"/>
        <v>90380.611989118464</v>
      </c>
      <c r="S12" s="381">
        <f t="shared" si="6"/>
        <v>8424.6662028351566</v>
      </c>
      <c r="T12" s="383">
        <f t="shared" si="7"/>
        <v>17078.006593027036</v>
      </c>
      <c r="U12" s="382">
        <f t="shared" si="8"/>
        <v>17751.748551352008</v>
      </c>
      <c r="V12" s="381">
        <f t="shared" si="9"/>
        <v>673.74195832497207</v>
      </c>
    </row>
    <row r="13" spans="1:22" ht="24" customHeight="1" x14ac:dyDescent="0.3">
      <c r="D13" s="325" t="s">
        <v>19</v>
      </c>
      <c r="E13" s="376">
        <f>+[4]인천!$Q$85</f>
        <v>100114.01941818156</v>
      </c>
      <c r="F13" s="375">
        <f>+[4]인천!$R$85</f>
        <v>101637.02766473089</v>
      </c>
      <c r="G13" s="374">
        <f t="shared" si="0"/>
        <v>1523.0082465493324</v>
      </c>
      <c r="H13" s="376">
        <f>+[4]인천!$Q$20</f>
        <v>67032.990060066746</v>
      </c>
      <c r="I13" s="375">
        <f>+[4]인천!$R$20</f>
        <v>70757.488179614971</v>
      </c>
      <c r="J13" s="374">
        <f t="shared" si="1"/>
        <v>3724.4981195482251</v>
      </c>
      <c r="K13" s="376">
        <f>+[4]인천!$Q$21</f>
        <v>19241.540762924207</v>
      </c>
      <c r="L13" s="375">
        <f>+[4]인천!$R$21</f>
        <v>18416.672733092506</v>
      </c>
      <c r="M13" s="374">
        <f t="shared" si="2"/>
        <v>-824.86802983170128</v>
      </c>
      <c r="N13" s="376">
        <f>+[4]인천!$Q$22</f>
        <v>690</v>
      </c>
      <c r="O13" s="375">
        <f>+[4]인천!$R$22</f>
        <v>751.79084548904848</v>
      </c>
      <c r="P13" s="374">
        <f t="shared" si="3"/>
        <v>61.790845489048479</v>
      </c>
      <c r="Q13" s="376">
        <f t="shared" si="4"/>
        <v>86964.530822990957</v>
      </c>
      <c r="R13" s="375">
        <f t="shared" si="5"/>
        <v>89925.951758196519</v>
      </c>
      <c r="S13" s="374">
        <f t="shared" si="6"/>
        <v>2961.4209352055623</v>
      </c>
      <c r="T13" s="376">
        <f t="shared" si="7"/>
        <v>13149.488595190604</v>
      </c>
      <c r="U13" s="375">
        <f t="shared" si="8"/>
        <v>11711.075906534374</v>
      </c>
      <c r="V13" s="374">
        <f t="shared" si="9"/>
        <v>-1438.4126886562299</v>
      </c>
    </row>
    <row r="14" spans="1:22" ht="24" customHeight="1" x14ac:dyDescent="0.3">
      <c r="D14" s="325" t="s">
        <v>20</v>
      </c>
      <c r="E14" s="376">
        <f>+[4]파주!$Q$85</f>
        <v>94566.954529999988</v>
      </c>
      <c r="F14" s="375">
        <f>+[4]파주!$R$85</f>
        <v>100634.00974025975</v>
      </c>
      <c r="G14" s="374">
        <f t="shared" si="0"/>
        <v>6067.0552102597576</v>
      </c>
      <c r="H14" s="376">
        <f>+[4]파주!$Q$20</f>
        <v>60672.876586021506</v>
      </c>
      <c r="I14" s="375">
        <f>+[4]파주!$R$20</f>
        <v>65858.731549067306</v>
      </c>
      <c r="J14" s="374">
        <f t="shared" si="1"/>
        <v>5185.8549630458001</v>
      </c>
      <c r="K14" s="376">
        <f>+[4]파주!$Q$21</f>
        <v>18899.60728395062</v>
      </c>
      <c r="L14" s="375">
        <f>+[4]파주!$R$21</f>
        <v>22843.969451203026</v>
      </c>
      <c r="M14" s="374">
        <f t="shared" si="2"/>
        <v>3944.3621672524059</v>
      </c>
      <c r="N14" s="376">
        <f>+[4]파주!$Q$22</f>
        <v>464.5</v>
      </c>
      <c r="O14" s="375">
        <f>+[4]파주!$R$22</f>
        <v>401.69559340362258</v>
      </c>
      <c r="P14" s="374">
        <f t="shared" si="3"/>
        <v>-62.804406596377419</v>
      </c>
      <c r="Q14" s="376">
        <f t="shared" si="4"/>
        <v>80036.983869972129</v>
      </c>
      <c r="R14" s="375">
        <f t="shared" si="5"/>
        <v>89104.396593673955</v>
      </c>
      <c r="S14" s="374">
        <f t="shared" si="6"/>
        <v>9067.4127237018256</v>
      </c>
      <c r="T14" s="376">
        <f t="shared" si="7"/>
        <v>14529.970660027859</v>
      </c>
      <c r="U14" s="375">
        <f t="shared" si="8"/>
        <v>11529.613146585791</v>
      </c>
      <c r="V14" s="374">
        <f t="shared" si="9"/>
        <v>-3000.357513442068</v>
      </c>
    </row>
    <row r="15" spans="1:22" ht="24" customHeight="1" x14ac:dyDescent="0.3">
      <c r="D15" s="325" t="s">
        <v>106</v>
      </c>
      <c r="E15" s="376">
        <f>+[4]김포!$Q$85</f>
        <v>100494.71032500001</v>
      </c>
      <c r="F15" s="375">
        <f>+[4]김포!$R$85</f>
        <v>98214.709482888575</v>
      </c>
      <c r="G15" s="374">
        <f t="shared" si="0"/>
        <v>-2280.0008421114326</v>
      </c>
      <c r="H15" s="376">
        <f>+[4]김포!$Q$20</f>
        <v>63967.836151279196</v>
      </c>
      <c r="I15" s="375">
        <f>+[4]김포!$R$20</f>
        <v>65680.360924683075</v>
      </c>
      <c r="J15" s="374">
        <f t="shared" si="1"/>
        <v>1712.5247734038785</v>
      </c>
      <c r="K15" s="376">
        <f>+[4]김포!$Q$21</f>
        <v>18200.125929502272</v>
      </c>
      <c r="L15" s="375">
        <f>+[4]김포!$R$21</f>
        <v>20741.4471290082</v>
      </c>
      <c r="M15" s="374">
        <f t="shared" si="2"/>
        <v>2541.3211995059282</v>
      </c>
      <c r="N15" s="376">
        <f>+[4]김포!$Q$22</f>
        <v>435</v>
      </c>
      <c r="O15" s="375">
        <f>+[4]김포!$R$22</f>
        <v>898.91185682326613</v>
      </c>
      <c r="P15" s="374">
        <f t="shared" si="3"/>
        <v>463.91185682326613</v>
      </c>
      <c r="Q15" s="376">
        <f t="shared" si="4"/>
        <v>82602.962080781464</v>
      </c>
      <c r="R15" s="375">
        <f t="shared" si="5"/>
        <v>87320.719910514541</v>
      </c>
      <c r="S15" s="374">
        <f t="shared" si="6"/>
        <v>4717.7578297330765</v>
      </c>
      <c r="T15" s="376">
        <f t="shared" si="7"/>
        <v>17891.748244218543</v>
      </c>
      <c r="U15" s="375">
        <f t="shared" si="8"/>
        <v>10893.989572374034</v>
      </c>
      <c r="V15" s="374">
        <f t="shared" si="9"/>
        <v>-6997.7586718445091</v>
      </c>
    </row>
    <row r="16" spans="1:22" ht="24" customHeight="1" x14ac:dyDescent="0.3">
      <c r="D16" s="380" t="s">
        <v>21</v>
      </c>
      <c r="E16" s="379">
        <f>+[4]부산!$Q$85</f>
        <v>107841.99561666667</v>
      </c>
      <c r="F16" s="378">
        <f>+[4]부산!$R$85</f>
        <v>119144.63457614541</v>
      </c>
      <c r="G16" s="377">
        <f t="shared" si="0"/>
        <v>11302.638959478747</v>
      </c>
      <c r="H16" s="379">
        <f>+[4]부산!$Q$20</f>
        <v>64850.629124203719</v>
      </c>
      <c r="I16" s="378">
        <f>+[4]부산!$R$20</f>
        <v>72612.969595847244</v>
      </c>
      <c r="J16" s="377">
        <f t="shared" si="1"/>
        <v>7762.3404716435252</v>
      </c>
      <c r="K16" s="379">
        <f>+[4]부산!$Q$21</f>
        <v>21484.23576388889</v>
      </c>
      <c r="L16" s="378">
        <f>+[4]부산!$R$21</f>
        <v>21833.894419725624</v>
      </c>
      <c r="M16" s="377">
        <f t="shared" si="2"/>
        <v>349.6586558367344</v>
      </c>
      <c r="N16" s="379">
        <f>+[4]부산!$Q$22</f>
        <v>583.33333333333337</v>
      </c>
      <c r="O16" s="378">
        <f>+[4]부산!$R$22</f>
        <v>401.64775676677789</v>
      </c>
      <c r="P16" s="377">
        <f t="shared" si="3"/>
        <v>-181.68557656655548</v>
      </c>
      <c r="Q16" s="379">
        <f t="shared" si="4"/>
        <v>86918.198221425933</v>
      </c>
      <c r="R16" s="378">
        <f t="shared" si="5"/>
        <v>94848.51177233964</v>
      </c>
      <c r="S16" s="377">
        <f t="shared" si="6"/>
        <v>7930.3135509137064</v>
      </c>
      <c r="T16" s="379">
        <f t="shared" si="7"/>
        <v>20923.797395240734</v>
      </c>
      <c r="U16" s="378">
        <f t="shared" si="8"/>
        <v>24296.122803805774</v>
      </c>
      <c r="V16" s="377">
        <f t="shared" si="9"/>
        <v>3372.3254085650406</v>
      </c>
    </row>
    <row r="17" spans="4:22" ht="24" customHeight="1" x14ac:dyDescent="0.3">
      <c r="D17" s="325" t="s">
        <v>22</v>
      </c>
      <c r="E17" s="376">
        <f>+[4]서부산!$Q$85</f>
        <v>100062.50004055555</v>
      </c>
      <c r="F17" s="375">
        <f>+[4]서부산!$R$85</f>
        <v>107459.8307038835</v>
      </c>
      <c r="G17" s="374">
        <f t="shared" si="0"/>
        <v>7397.3306633279572</v>
      </c>
      <c r="H17" s="376">
        <f>+[4]서부산!$Q$20</f>
        <v>61624.46614278006</v>
      </c>
      <c r="I17" s="375">
        <f>+[4]서부산!$R$20</f>
        <v>64148.439124487006</v>
      </c>
      <c r="J17" s="374">
        <f t="shared" si="1"/>
        <v>2523.9729817069456</v>
      </c>
      <c r="K17" s="376">
        <f>+[4]서부산!$Q$21</f>
        <v>16829.252741385193</v>
      </c>
      <c r="L17" s="375">
        <f>+[4]서부산!$R$21</f>
        <v>18020.711235353596</v>
      </c>
      <c r="M17" s="374">
        <f t="shared" si="2"/>
        <v>1191.4584939684028</v>
      </c>
      <c r="N17" s="376">
        <f>+[4]서부산!$Q$22</f>
        <v>200</v>
      </c>
      <c r="O17" s="375">
        <f>+[4]서부산!$R$22</f>
        <v>250.70362219710941</v>
      </c>
      <c r="P17" s="374">
        <f t="shared" si="3"/>
        <v>50.703622197109411</v>
      </c>
      <c r="Q17" s="376">
        <f t="shared" si="4"/>
        <v>78653.718884165253</v>
      </c>
      <c r="R17" s="375">
        <f t="shared" si="5"/>
        <v>82419.853982037705</v>
      </c>
      <c r="S17" s="374">
        <f t="shared" si="6"/>
        <v>3766.1350978724513</v>
      </c>
      <c r="T17" s="376">
        <f t="shared" si="7"/>
        <v>21408.781156390294</v>
      </c>
      <c r="U17" s="375">
        <f t="shared" si="8"/>
        <v>25039.9767218458</v>
      </c>
      <c r="V17" s="374">
        <f t="shared" si="9"/>
        <v>3631.1955654555059</v>
      </c>
    </row>
    <row r="18" spans="4:22" ht="24" customHeight="1" x14ac:dyDescent="0.3">
      <c r="D18" s="325" t="s">
        <v>23</v>
      </c>
      <c r="E18" s="376">
        <f>+[4]김해!$Q$85</f>
        <v>94367.521045714297</v>
      </c>
      <c r="F18" s="375">
        <f>+[4]김해!$R$85</f>
        <v>89614.555848724718</v>
      </c>
      <c r="G18" s="374">
        <f t="shared" si="0"/>
        <v>-4752.9651969895785</v>
      </c>
      <c r="H18" s="376">
        <f>+[4]김해!$Q$20</f>
        <v>58833.632527093701</v>
      </c>
      <c r="I18" s="375">
        <f>+[4]김해!$R$20</f>
        <v>57501.513632365873</v>
      </c>
      <c r="J18" s="374">
        <f t="shared" si="1"/>
        <v>-1332.1188947278279</v>
      </c>
      <c r="K18" s="376">
        <f>+[4]김해!$Q$21</f>
        <v>20783.031317423996</v>
      </c>
      <c r="L18" s="375">
        <f>+[4]김해!$R$21</f>
        <v>21780.645558487246</v>
      </c>
      <c r="M18" s="374">
        <f t="shared" si="2"/>
        <v>997.61424106324921</v>
      </c>
      <c r="N18" s="376">
        <f>+[4]김해!$Q$22</f>
        <v>485.71428571428572</v>
      </c>
      <c r="O18" s="375">
        <f>+[4]김해!$R$22</f>
        <v>698.63500439753739</v>
      </c>
      <c r="P18" s="374">
        <f t="shared" si="3"/>
        <v>212.92071868325166</v>
      </c>
      <c r="Q18" s="376">
        <f t="shared" si="4"/>
        <v>80102.378130231984</v>
      </c>
      <c r="R18" s="375">
        <f t="shared" si="5"/>
        <v>79980.794195250666</v>
      </c>
      <c r="S18" s="374">
        <f t="shared" si="6"/>
        <v>-121.58393498131773</v>
      </c>
      <c r="T18" s="376">
        <f t="shared" si="7"/>
        <v>14265.142915482313</v>
      </c>
      <c r="U18" s="375">
        <f t="shared" si="8"/>
        <v>9633.7616534740519</v>
      </c>
      <c r="V18" s="374">
        <f t="shared" si="9"/>
        <v>-4631.3812620082608</v>
      </c>
    </row>
    <row r="19" spans="4:22" ht="24" customHeight="1" x14ac:dyDescent="0.3">
      <c r="D19" s="325" t="s">
        <v>24</v>
      </c>
      <c r="E19" s="376">
        <f>+[4]정관!$Q$85</f>
        <v>99915.60124526314</v>
      </c>
      <c r="F19" s="375">
        <f>+[4]정관!$R$85</f>
        <v>101084.0618495391</v>
      </c>
      <c r="G19" s="374">
        <f t="shared" si="0"/>
        <v>1168.4606042759551</v>
      </c>
      <c r="H19" s="376">
        <f>+[4]정관!$Q$20</f>
        <v>63227.319922961011</v>
      </c>
      <c r="I19" s="375">
        <f>+[4]정관!$R$20</f>
        <v>66040.869539375926</v>
      </c>
      <c r="J19" s="374">
        <f t="shared" si="1"/>
        <v>2813.5496164149154</v>
      </c>
      <c r="K19" s="376">
        <f>+[4]정관!$Q$21</f>
        <v>20371.226788124153</v>
      </c>
      <c r="L19" s="375">
        <f>+[4]정관!$R$21</f>
        <v>20286.805745418522</v>
      </c>
      <c r="M19" s="374">
        <f t="shared" si="2"/>
        <v>-84.421042705631407</v>
      </c>
      <c r="N19" s="376">
        <f>+[4]정관!$Q$22</f>
        <v>252.63157894736844</v>
      </c>
      <c r="O19" s="375">
        <f>+[4]정관!$R$22</f>
        <v>363.79068845963349</v>
      </c>
      <c r="P19" s="374">
        <f t="shared" si="3"/>
        <v>111.15910951226505</v>
      </c>
      <c r="Q19" s="376">
        <f t="shared" si="4"/>
        <v>83851.178290032534</v>
      </c>
      <c r="R19" s="375">
        <f t="shared" si="5"/>
        <v>86691.465973254075</v>
      </c>
      <c r="S19" s="374">
        <f t="shared" si="6"/>
        <v>2840.2876832215406</v>
      </c>
      <c r="T19" s="376">
        <f t="shared" si="7"/>
        <v>16064.422955230606</v>
      </c>
      <c r="U19" s="375">
        <f t="shared" si="8"/>
        <v>14392.59587628502</v>
      </c>
      <c r="V19" s="374">
        <f t="shared" si="9"/>
        <v>-1671.8270789455855</v>
      </c>
    </row>
    <row r="20" spans="4:22" ht="24" customHeight="1" x14ac:dyDescent="0.3">
      <c r="D20" s="325" t="s">
        <v>25</v>
      </c>
      <c r="E20" s="376">
        <f>+[4]양산!$Q$85</f>
        <v>95739.469166666648</v>
      </c>
      <c r="F20" s="375">
        <f>+[4]양산!$R$85</f>
        <v>97835.417872997481</v>
      </c>
      <c r="G20" s="374">
        <f t="shared" si="0"/>
        <v>2095.9487063308334</v>
      </c>
      <c r="H20" s="376">
        <f>+[4]양산!$Q$20</f>
        <v>56059.214979606972</v>
      </c>
      <c r="I20" s="375">
        <f>+[4]양산!$R$20</f>
        <v>56405.153445280834</v>
      </c>
      <c r="J20" s="374">
        <f t="shared" si="1"/>
        <v>345.93846567386208</v>
      </c>
      <c r="K20" s="376">
        <f>+[4]양산!$Q$21</f>
        <v>20715.408443984259</v>
      </c>
      <c r="L20" s="375">
        <f>+[4]양산!$R$21</f>
        <v>23363.127581547964</v>
      </c>
      <c r="M20" s="374">
        <f t="shared" si="2"/>
        <v>2647.7191375637049</v>
      </c>
      <c r="N20" s="376">
        <f>+[4]양산!$Q$22</f>
        <v>233.33333333333334</v>
      </c>
      <c r="O20" s="375">
        <f>+[4]양산!$R$22</f>
        <v>0</v>
      </c>
      <c r="P20" s="374">
        <f t="shared" si="3"/>
        <v>-233.33333333333334</v>
      </c>
      <c r="Q20" s="376">
        <f t="shared" si="4"/>
        <v>77007.956756924556</v>
      </c>
      <c r="R20" s="375">
        <f t="shared" si="5"/>
        <v>79768.281026828801</v>
      </c>
      <c r="S20" s="374">
        <f t="shared" si="6"/>
        <v>2760.3242699042457</v>
      </c>
      <c r="T20" s="376">
        <f t="shared" si="7"/>
        <v>18731.512409742092</v>
      </c>
      <c r="U20" s="375">
        <f t="shared" si="8"/>
        <v>18067.13684616868</v>
      </c>
      <c r="V20" s="374">
        <f t="shared" si="9"/>
        <v>-664.37556357341236</v>
      </c>
    </row>
    <row r="21" spans="4:22" ht="24" customHeight="1" x14ac:dyDescent="0.3">
      <c r="D21" s="325" t="s">
        <v>26</v>
      </c>
      <c r="E21" s="376">
        <f>+[4]창원!$Q$85</f>
        <v>98552.755641910699</v>
      </c>
      <c r="F21" s="375">
        <f>+[4]창원!$R$85</f>
        <v>101424.97333333334</v>
      </c>
      <c r="G21" s="374">
        <f t="shared" si="0"/>
        <v>2872.2176914226438</v>
      </c>
      <c r="H21" s="376">
        <f>+[4]창원!$Q$20</f>
        <v>60042.027852733969</v>
      </c>
      <c r="I21" s="375">
        <f>+[4]창원!$R$20</f>
        <v>59238.760399999999</v>
      </c>
      <c r="J21" s="374">
        <f t="shared" si="1"/>
        <v>-803.26745273396955</v>
      </c>
      <c r="K21" s="376">
        <f>+[4]창원!$Q$21</f>
        <v>18885.973463198061</v>
      </c>
      <c r="L21" s="375">
        <f>+[4]창원!$R$21</f>
        <v>16713.781200000001</v>
      </c>
      <c r="M21" s="374">
        <f t="shared" si="2"/>
        <v>-2172.1922631980597</v>
      </c>
      <c r="N21" s="376">
        <f>+[4]창원!$Q$22</f>
        <v>352.94117647058846</v>
      </c>
      <c r="O21" s="375">
        <f>+[4]창원!$R$22</f>
        <v>89.194666666666677</v>
      </c>
      <c r="P21" s="374">
        <f t="shared" si="3"/>
        <v>-263.74650980392175</v>
      </c>
      <c r="Q21" s="376">
        <f t="shared" si="4"/>
        <v>79280.94249240261</v>
      </c>
      <c r="R21" s="375">
        <f t="shared" si="5"/>
        <v>76041.73626666666</v>
      </c>
      <c r="S21" s="374">
        <f t="shared" si="6"/>
        <v>-3239.2062257359503</v>
      </c>
      <c r="T21" s="376">
        <f t="shared" si="7"/>
        <v>19271.813149508089</v>
      </c>
      <c r="U21" s="375">
        <f t="shared" si="8"/>
        <v>25383.237066666683</v>
      </c>
      <c r="V21" s="374">
        <f t="shared" si="9"/>
        <v>6111.4239171585941</v>
      </c>
    </row>
    <row r="22" spans="4:22" ht="24" customHeight="1" x14ac:dyDescent="0.3">
      <c r="D22" s="325" t="s">
        <v>127</v>
      </c>
      <c r="E22" s="376">
        <f>+[4]대구!$Q$85</f>
        <v>91143.404376923078</v>
      </c>
      <c r="F22" s="375">
        <f>+[4]대구!$R$85</f>
        <v>92786.535482675565</v>
      </c>
      <c r="G22" s="374">
        <f t="shared" si="0"/>
        <v>1643.1311057524872</v>
      </c>
      <c r="H22" s="376">
        <f>+[4]대구!$Q$20</f>
        <v>54909.826311977216</v>
      </c>
      <c r="I22" s="375">
        <f>+[4]대구!$R$20</f>
        <v>54333.941078376876</v>
      </c>
      <c r="J22" s="374">
        <f t="shared" si="1"/>
        <v>-575.88523360034014</v>
      </c>
      <c r="K22" s="376">
        <f>+[4]대구!$Q$21</f>
        <v>17874.175561280827</v>
      </c>
      <c r="L22" s="375">
        <f>+[4]대구!$R$21</f>
        <v>20615.650546599962</v>
      </c>
      <c r="M22" s="374">
        <f t="shared" si="2"/>
        <v>2741.4749853191352</v>
      </c>
      <c r="N22" s="376">
        <f>+[4]대구!$Q$22</f>
        <v>461.53846153846155</v>
      </c>
      <c r="O22" s="375">
        <f>+[4]대구!$R$22</f>
        <v>542.65925514174535</v>
      </c>
      <c r="P22" s="374">
        <f t="shared" si="3"/>
        <v>81.120793603283801</v>
      </c>
      <c r="Q22" s="376">
        <f t="shared" si="4"/>
        <v>73245.540334796504</v>
      </c>
      <c r="R22" s="375">
        <f t="shared" si="5"/>
        <v>75492.250880118576</v>
      </c>
      <c r="S22" s="374">
        <f t="shared" si="6"/>
        <v>2246.710545322072</v>
      </c>
      <c r="T22" s="376">
        <f t="shared" si="7"/>
        <v>17897.864042126574</v>
      </c>
      <c r="U22" s="375">
        <f t="shared" si="8"/>
        <v>17294.284602556989</v>
      </c>
      <c r="V22" s="374">
        <f t="shared" si="9"/>
        <v>-603.57943956958479</v>
      </c>
    </row>
    <row r="23" spans="4:22" ht="24" customHeight="1" x14ac:dyDescent="0.3">
      <c r="D23" s="325" t="s">
        <v>126</v>
      </c>
      <c r="E23" s="376">
        <f>+[4]울산!$Q$85</f>
        <v>104513.66522666666</v>
      </c>
      <c r="F23" s="375">
        <f>+[4]울산!$R$85</f>
        <v>111519.78199052133</v>
      </c>
      <c r="G23" s="374">
        <f t="shared" si="0"/>
        <v>7006.1167638546613</v>
      </c>
      <c r="H23" s="376">
        <f>+[4]울산!$Q$20</f>
        <v>64369.907619577309</v>
      </c>
      <c r="I23" s="375">
        <f>+[4]울산!$R$20</f>
        <v>67494.084216502641</v>
      </c>
      <c r="J23" s="374">
        <f t="shared" si="1"/>
        <v>3124.176596925332</v>
      </c>
      <c r="K23" s="376">
        <f>+[4]울산!$Q$21</f>
        <v>22980.624213250525</v>
      </c>
      <c r="L23" s="375">
        <f>+[4]울산!$R$21</f>
        <v>21586.606831945497</v>
      </c>
      <c r="M23" s="374">
        <f t="shared" si="2"/>
        <v>-1394.0173813050278</v>
      </c>
      <c r="N23" s="376">
        <f>+[4]울산!$Q$22</f>
        <v>366.66666666666663</v>
      </c>
      <c r="O23" s="375">
        <f>+[4]울산!$R$22</f>
        <v>325.42969341408025</v>
      </c>
      <c r="P23" s="374">
        <f t="shared" si="3"/>
        <v>-41.236973252586381</v>
      </c>
      <c r="Q23" s="376">
        <f t="shared" si="4"/>
        <v>87717.198499494509</v>
      </c>
      <c r="R23" s="375">
        <f t="shared" si="5"/>
        <v>89406.120741862222</v>
      </c>
      <c r="S23" s="374">
        <f t="shared" si="6"/>
        <v>1688.9222423677129</v>
      </c>
      <c r="T23" s="376">
        <f t="shared" si="7"/>
        <v>16796.466727172156</v>
      </c>
      <c r="U23" s="375">
        <f t="shared" si="8"/>
        <v>22113.661248659104</v>
      </c>
      <c r="V23" s="374">
        <f t="shared" si="9"/>
        <v>5317.1945214869484</v>
      </c>
    </row>
    <row r="24" spans="4:22" ht="24" customHeight="1" x14ac:dyDescent="0.3">
      <c r="D24" s="380" t="s">
        <v>27</v>
      </c>
      <c r="E24" s="379">
        <f>+[4]아산!$Q$85</f>
        <v>98718.315999999992</v>
      </c>
      <c r="F24" s="378">
        <f>+[4]아산!$R$85</f>
        <v>103835.84534234295</v>
      </c>
      <c r="G24" s="377">
        <f t="shared" si="0"/>
        <v>5117.5293423429539</v>
      </c>
      <c r="H24" s="379">
        <f>+[4]아산!$Q$20</f>
        <v>59189.47330648193</v>
      </c>
      <c r="I24" s="378">
        <f>+[4]아산!$R$20</f>
        <v>64483.888345165069</v>
      </c>
      <c r="J24" s="377">
        <f t="shared" si="1"/>
        <v>5294.4150386831388</v>
      </c>
      <c r="K24" s="379">
        <f>+[4]아산!$Q$21</f>
        <v>20581.196955072464</v>
      </c>
      <c r="L24" s="378">
        <f>+[4]아산!$R$21</f>
        <v>21912.891860224685</v>
      </c>
      <c r="M24" s="377">
        <f t="shared" si="2"/>
        <v>1331.6949051522206</v>
      </c>
      <c r="N24" s="379">
        <f>+[4]아산!$Q$22</f>
        <v>300</v>
      </c>
      <c r="O24" s="378">
        <f>+[4]아산!$R$22</f>
        <v>164.33289682266181</v>
      </c>
      <c r="P24" s="377">
        <f t="shared" si="3"/>
        <v>-135.66710317733819</v>
      </c>
      <c r="Q24" s="379">
        <f t="shared" si="4"/>
        <v>80070.670261554391</v>
      </c>
      <c r="R24" s="378">
        <f t="shared" si="5"/>
        <v>86561.113102212403</v>
      </c>
      <c r="S24" s="377">
        <f t="shared" si="6"/>
        <v>6490.4428406580118</v>
      </c>
      <c r="T24" s="379">
        <f t="shared" si="7"/>
        <v>18647.645738445601</v>
      </c>
      <c r="U24" s="378">
        <f t="shared" si="8"/>
        <v>17274.732240130543</v>
      </c>
      <c r="V24" s="377">
        <f t="shared" si="9"/>
        <v>-1372.913498315058</v>
      </c>
    </row>
    <row r="25" spans="4:22" ht="24" customHeight="1" x14ac:dyDescent="0.3">
      <c r="D25" s="325" t="s">
        <v>125</v>
      </c>
      <c r="E25" s="376">
        <f>+[4]전주!$Q$85</f>
        <v>102030.89799999999</v>
      </c>
      <c r="F25" s="375">
        <f>+[4]전주!$R$85</f>
        <v>101995.85820665887</v>
      </c>
      <c r="G25" s="374">
        <f t="shared" si="0"/>
        <v>-35.039793341115001</v>
      </c>
      <c r="H25" s="376">
        <f>+[4]전주!$Q$20</f>
        <v>63265.089533333332</v>
      </c>
      <c r="I25" s="375">
        <f>+[4]전주!$R$20</f>
        <v>64559.321312080741</v>
      </c>
      <c r="J25" s="374">
        <f t="shared" si="1"/>
        <v>1294.2317787474094</v>
      </c>
      <c r="K25" s="376">
        <f>+[4]전주!$Q$21</f>
        <v>15763.722790656566</v>
      </c>
      <c r="L25" s="375">
        <f>+[4]전주!$R$21</f>
        <v>19627.029478737153</v>
      </c>
      <c r="M25" s="374">
        <f t="shared" si="2"/>
        <v>3863.3066880805873</v>
      </c>
      <c r="N25" s="376">
        <f>+[4]전주!$Q$22</f>
        <v>700</v>
      </c>
      <c r="O25" s="375">
        <f>+[4]전주!$R$22</f>
        <v>379.28450981598866</v>
      </c>
      <c r="P25" s="374">
        <f t="shared" si="3"/>
        <v>-320.71549018401134</v>
      </c>
      <c r="Q25" s="376">
        <f t="shared" si="4"/>
        <v>79728.8123239899</v>
      </c>
      <c r="R25" s="375">
        <f t="shared" si="5"/>
        <v>84565.63530063389</v>
      </c>
      <c r="S25" s="374">
        <f t="shared" si="6"/>
        <v>4836.8229766439908</v>
      </c>
      <c r="T25" s="376">
        <f t="shared" si="7"/>
        <v>22302.085676010087</v>
      </c>
      <c r="U25" s="375">
        <f t="shared" si="8"/>
        <v>17430.222906024981</v>
      </c>
      <c r="V25" s="374">
        <f t="shared" si="9"/>
        <v>-4871.8627699851058</v>
      </c>
    </row>
    <row r="26" spans="4:22" ht="24" customHeight="1" x14ac:dyDescent="0.3">
      <c r="D26" s="325" t="s">
        <v>124</v>
      </c>
      <c r="E26" s="376">
        <f>+[4]군산!$Q$85</f>
        <v>115783.5576</v>
      </c>
      <c r="F26" s="375">
        <f>+[4]군산!$R$85</f>
        <v>119136.61016949153</v>
      </c>
      <c r="G26" s="374">
        <f t="shared" si="0"/>
        <v>3353.0525694915268</v>
      </c>
      <c r="H26" s="376">
        <f>+[4]군산!$Q$20</f>
        <v>62256.668483500187</v>
      </c>
      <c r="I26" s="375">
        <f>+[4]군산!$R$20</f>
        <v>62591.323002421304</v>
      </c>
      <c r="J26" s="374">
        <f t="shared" si="1"/>
        <v>334.65451892111741</v>
      </c>
      <c r="K26" s="376">
        <f>+[4]군산!$Q$21</f>
        <v>14460.272882640842</v>
      </c>
      <c r="L26" s="375">
        <f>+[4]군산!$R$21</f>
        <v>15015.827602905569</v>
      </c>
      <c r="M26" s="374">
        <f t="shared" si="2"/>
        <v>555.55472026472671</v>
      </c>
      <c r="N26" s="376">
        <f>+[4]군산!$Q$22</f>
        <v>136</v>
      </c>
      <c r="O26" s="375">
        <f>+[4]군산!$R$22</f>
        <v>104.91380145278451</v>
      </c>
      <c r="P26" s="374">
        <f t="shared" si="3"/>
        <v>-31.086198547215488</v>
      </c>
      <c r="Q26" s="376">
        <f t="shared" si="4"/>
        <v>76852.941366141022</v>
      </c>
      <c r="R26" s="375">
        <f t="shared" si="5"/>
        <v>77712.064406779653</v>
      </c>
      <c r="S26" s="374">
        <f t="shared" si="6"/>
        <v>859.12304063863121</v>
      </c>
      <c r="T26" s="376">
        <f t="shared" si="7"/>
        <v>38930.616233858978</v>
      </c>
      <c r="U26" s="375">
        <f t="shared" si="8"/>
        <v>41424.545762711874</v>
      </c>
      <c r="V26" s="374">
        <f t="shared" si="9"/>
        <v>2493.9295288528956</v>
      </c>
    </row>
    <row r="27" spans="4:22" ht="24" customHeight="1" x14ac:dyDescent="0.3">
      <c r="D27" s="325" t="s">
        <v>123</v>
      </c>
      <c r="E27" s="376">
        <f>+[4]원주!$Q$85</f>
        <v>114772.52834799998</v>
      </c>
      <c r="F27" s="375">
        <f>+[4]원주!$R$85</f>
        <v>124562.01351666277</v>
      </c>
      <c r="G27" s="374">
        <f t="shared" si="0"/>
        <v>9789.4851686627953</v>
      </c>
      <c r="H27" s="376">
        <f>+[4]원주!$Q$20</f>
        <v>59069.28544802867</v>
      </c>
      <c r="I27" s="375">
        <f>+[4]원주!$R$20</f>
        <v>68006.786762992298</v>
      </c>
      <c r="J27" s="374">
        <f t="shared" si="1"/>
        <v>8937.5013149636288</v>
      </c>
      <c r="K27" s="376">
        <f>+[4]원주!$Q$21</f>
        <v>14795.962533354332</v>
      </c>
      <c r="L27" s="375">
        <f>+[4]원주!$R$21</f>
        <v>14644.009787928222</v>
      </c>
      <c r="M27" s="374">
        <f t="shared" si="2"/>
        <v>-151.95274542610969</v>
      </c>
      <c r="N27" s="376">
        <f>+[4]원주!$Q$22</f>
        <v>1000</v>
      </c>
      <c r="O27" s="375">
        <f>+[4]원주!$R$22</f>
        <v>1243.5031461197857</v>
      </c>
      <c r="P27" s="374">
        <f t="shared" si="3"/>
        <v>243.5031461197857</v>
      </c>
      <c r="Q27" s="376">
        <f t="shared" si="4"/>
        <v>74865.247981383</v>
      </c>
      <c r="R27" s="375">
        <f t="shared" si="5"/>
        <v>83894.299697040304</v>
      </c>
      <c r="S27" s="374">
        <f t="shared" si="6"/>
        <v>9029.0517156573042</v>
      </c>
      <c r="T27" s="376">
        <f t="shared" si="7"/>
        <v>39907.280366616978</v>
      </c>
      <c r="U27" s="375">
        <f t="shared" si="8"/>
        <v>40667.71381962247</v>
      </c>
      <c r="V27" s="374">
        <f t="shared" si="9"/>
        <v>760.43345300549117</v>
      </c>
    </row>
    <row r="28" spans="4:22" ht="24" customHeight="1" x14ac:dyDescent="0.3">
      <c r="D28" s="320" t="s">
        <v>122</v>
      </c>
      <c r="E28" s="373">
        <f>+[4]제주!$Q$85</f>
        <v>121227.62</v>
      </c>
      <c r="F28" s="372">
        <f>+[4]제주!$R$85</f>
        <v>122993.4139383236</v>
      </c>
      <c r="G28" s="371">
        <f t="shared" si="0"/>
        <v>1765.793938323608</v>
      </c>
      <c r="H28" s="373">
        <f>+[4]제주!$Q$20</f>
        <v>77052.884671857624</v>
      </c>
      <c r="I28" s="372">
        <f>+[4]제주!$R$20</f>
        <v>80489.600108592364</v>
      </c>
      <c r="J28" s="371">
        <f t="shared" si="1"/>
        <v>3436.7154367347393</v>
      </c>
      <c r="K28" s="373">
        <f>+[4]제주!$Q$21</f>
        <v>17329.382302405498</v>
      </c>
      <c r="L28" s="372">
        <f>+[4]제주!$R$21</f>
        <v>17279.782543776299</v>
      </c>
      <c r="M28" s="371">
        <f t="shared" si="2"/>
        <v>-49.599758629199641</v>
      </c>
      <c r="N28" s="373">
        <f>+[4]제주!$Q$22</f>
        <v>416.66666666666669</v>
      </c>
      <c r="O28" s="372">
        <f>+[4]제주!$R$22</f>
        <v>513.26048595086195</v>
      </c>
      <c r="P28" s="371">
        <f t="shared" si="3"/>
        <v>96.593819284195263</v>
      </c>
      <c r="Q28" s="373">
        <f t="shared" si="4"/>
        <v>94798.933640929798</v>
      </c>
      <c r="R28" s="372">
        <f t="shared" si="5"/>
        <v>98282.643138319516</v>
      </c>
      <c r="S28" s="371">
        <f t="shared" si="6"/>
        <v>3483.7094973897183</v>
      </c>
      <c r="T28" s="373">
        <f t="shared" si="7"/>
        <v>26428.686359070198</v>
      </c>
      <c r="U28" s="372">
        <f t="shared" si="8"/>
        <v>24710.770800004088</v>
      </c>
      <c r="V28" s="371">
        <f t="shared" si="9"/>
        <v>-1717.9155590661103</v>
      </c>
    </row>
    <row r="29" spans="4:22" ht="24" customHeight="1" x14ac:dyDescent="0.3"/>
    <row r="30" spans="4:22" ht="24" customHeight="1" x14ac:dyDescent="0.3"/>
    <row r="31" spans="4:22" ht="24" customHeight="1" x14ac:dyDescent="0.3"/>
    <row r="32" spans="4:22" ht="21.95" customHeight="1" x14ac:dyDescent="0.3"/>
    <row r="33" ht="21.95" customHeight="1" x14ac:dyDescent="0.3"/>
    <row r="34" ht="21.95" customHeight="1" x14ac:dyDescent="0.3"/>
    <row r="35" ht="21.95" customHeight="1" x14ac:dyDescent="0.3"/>
    <row r="36" ht="21.95" customHeight="1" x14ac:dyDescent="0.3"/>
    <row r="37" ht="21.95" customHeight="1" x14ac:dyDescent="0.3"/>
    <row r="38" ht="21.95" customHeight="1" x14ac:dyDescent="0.3"/>
    <row r="39" ht="21.95" customHeight="1" x14ac:dyDescent="0.3"/>
    <row r="40" ht="21.95" customHeight="1" x14ac:dyDescent="0.3"/>
    <row r="41" ht="21.95" customHeight="1" x14ac:dyDescent="0.3"/>
    <row r="42" ht="21.95" customHeight="1" x14ac:dyDescent="0.3"/>
    <row r="43" ht="21.95" customHeight="1" x14ac:dyDescent="0.3"/>
    <row r="44" ht="21.95" customHeight="1" x14ac:dyDescent="0.3"/>
    <row r="45" ht="21.95" customHeight="1" x14ac:dyDescent="0.3"/>
    <row r="46" ht="21.95" customHeight="1" x14ac:dyDescent="0.3"/>
    <row r="47" ht="21.95" customHeight="1" x14ac:dyDescent="0.3"/>
    <row r="48" ht="21.95" customHeight="1" x14ac:dyDescent="0.3"/>
    <row r="49" ht="21.95" customHeight="1" x14ac:dyDescent="0.3"/>
    <row r="50" ht="21.95" customHeight="1" x14ac:dyDescent="0.3"/>
    <row r="51" ht="21.95" customHeight="1" x14ac:dyDescent="0.3"/>
    <row r="52" ht="21.95" customHeight="1" x14ac:dyDescent="0.3"/>
  </sheetData>
  <mergeCells count="1">
    <mergeCell ref="D6:D7"/>
  </mergeCells>
  <phoneticPr fontId="1" type="noConversion"/>
  <printOptions horizontalCentered="1"/>
  <pageMargins left="0.31496062992125984" right="0.31496062992125984" top="0.74803149606299213" bottom="0.35433070866141736" header="0.31496062992125984" footer="0.31496062992125984"/>
  <pageSetup paperSize="9" scale="70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396C93-3AD1-4759-9437-717A6F22A0F1}">
  <sheetPr>
    <tabColor theme="0"/>
    <pageSetUpPr fitToPage="1"/>
  </sheetPr>
  <dimension ref="A1:Y52"/>
  <sheetViews>
    <sheetView showGridLines="0" showZeros="0" view="pageBreakPreview" zoomScale="85" zoomScaleNormal="85" zoomScaleSheetLayoutView="85" workbookViewId="0">
      <pane xSplit="4" ySplit="7" topLeftCell="E8" activePane="bottomRight" state="frozen"/>
      <selection activeCell="A6" sqref="A6:M14"/>
      <selection pane="topRight" activeCell="A6" sqref="A6:M14"/>
      <selection pane="bottomLeft" activeCell="A6" sqref="A6:M14"/>
      <selection pane="bottomRight" activeCell="A6" sqref="A6:M14"/>
    </sheetView>
  </sheetViews>
  <sheetFormatPr defaultRowHeight="16.5" x14ac:dyDescent="0.3"/>
  <cols>
    <col min="1" max="3" width="5.625" style="4" customWidth="1"/>
    <col min="4" max="4" width="9.875" style="4" customWidth="1"/>
    <col min="5" max="22" width="9.625" style="4" customWidth="1"/>
    <col min="23" max="16384" width="9" style="4"/>
  </cols>
  <sheetData>
    <row r="1" spans="1:22" ht="9.9499999999999993" customHeight="1" x14ac:dyDescent="0.3"/>
    <row r="2" spans="1:22" ht="9.9499999999999993" hidden="1" customHeight="1" x14ac:dyDescent="0.3"/>
    <row r="3" spans="1:22" ht="9.9499999999999993" customHeight="1" x14ac:dyDescent="0.3"/>
    <row r="4" spans="1:22" ht="31.5" x14ac:dyDescent="0.3">
      <c r="D4" s="370" t="s">
        <v>192</v>
      </c>
      <c r="F4" s="370"/>
      <c r="I4" s="370"/>
    </row>
    <row r="5" spans="1:22" ht="21.95" customHeight="1" x14ac:dyDescent="0.3"/>
    <row r="6" spans="1:22" ht="24" customHeight="1" thickBot="1" x14ac:dyDescent="0.35">
      <c r="A6" s="4" t="s">
        <v>175</v>
      </c>
      <c r="D6" s="642" t="s">
        <v>11</v>
      </c>
      <c r="E6" s="368" t="s">
        <v>147</v>
      </c>
      <c r="F6" s="367"/>
      <c r="G6" s="366"/>
      <c r="H6" s="368" t="s">
        <v>146</v>
      </c>
      <c r="I6" s="367"/>
      <c r="J6" s="366"/>
      <c r="K6" s="368" t="s">
        <v>145</v>
      </c>
      <c r="L6" s="367"/>
      <c r="M6" s="366"/>
      <c r="N6" s="368" t="s">
        <v>144</v>
      </c>
      <c r="O6" s="367"/>
      <c r="P6" s="366"/>
      <c r="Q6" s="368" t="s">
        <v>143</v>
      </c>
      <c r="R6" s="367"/>
      <c r="S6" s="366"/>
      <c r="T6" s="368" t="s">
        <v>142</v>
      </c>
      <c r="U6" s="367"/>
      <c r="V6" s="366"/>
    </row>
    <row r="7" spans="1:22" ht="24" customHeight="1" x14ac:dyDescent="0.3">
      <c r="D7" s="643"/>
      <c r="E7" s="364" t="s">
        <v>36</v>
      </c>
      <c r="F7" s="363" t="s">
        <v>37</v>
      </c>
      <c r="G7" s="365" t="s">
        <v>28</v>
      </c>
      <c r="H7" s="364" t="s">
        <v>12</v>
      </c>
      <c r="I7" s="363" t="s">
        <v>13</v>
      </c>
      <c r="J7" s="365" t="s">
        <v>28</v>
      </c>
      <c r="K7" s="364" t="s">
        <v>12</v>
      </c>
      <c r="L7" s="363" t="s">
        <v>13</v>
      </c>
      <c r="M7" s="365" t="s">
        <v>28</v>
      </c>
      <c r="N7" s="364" t="s">
        <v>12</v>
      </c>
      <c r="O7" s="363" t="s">
        <v>13</v>
      </c>
      <c r="P7" s="365" t="s">
        <v>28</v>
      </c>
      <c r="Q7" s="364" t="s">
        <v>12</v>
      </c>
      <c r="R7" s="363" t="s">
        <v>13</v>
      </c>
      <c r="S7" s="365" t="s">
        <v>28</v>
      </c>
      <c r="T7" s="364" t="s">
        <v>12</v>
      </c>
      <c r="U7" s="363" t="s">
        <v>13</v>
      </c>
      <c r="V7" s="365" t="s">
        <v>28</v>
      </c>
    </row>
    <row r="8" spans="1:22" ht="24" customHeight="1" x14ac:dyDescent="0.3">
      <c r="D8" s="360" t="s">
        <v>136</v>
      </c>
      <c r="E8" s="413">
        <f>+[4]합계!$G$9</f>
        <v>97643.563361475695</v>
      </c>
      <c r="F8" s="412">
        <f>+[4]합계!$H$9</f>
        <v>100512.31292060768</v>
      </c>
      <c r="G8" s="411">
        <f t="shared" ref="G8:G28" si="0">+F8-E8</f>
        <v>2868.7495591319894</v>
      </c>
      <c r="H8" s="413">
        <f>+[4]합계!$G$10</f>
        <v>91575.640431801396</v>
      </c>
      <c r="I8" s="412">
        <f>+[4]합계!$H$10</f>
        <v>95468.695493011415</v>
      </c>
      <c r="J8" s="411">
        <f t="shared" ref="J8:J28" si="1">+I8-H8</f>
        <v>3893.0550612100196</v>
      </c>
      <c r="K8" s="413">
        <f>+[4]합계!$G$12</f>
        <v>59695.81953919334</v>
      </c>
      <c r="L8" s="412">
        <f>+[4]합계!$H$12</f>
        <v>60767.706503026755</v>
      </c>
      <c r="M8" s="411">
        <f t="shared" ref="M8:M28" si="2">+L8-K8</f>
        <v>1071.8869638334145</v>
      </c>
      <c r="N8" s="413">
        <f>+[4]합계!$G$13</f>
        <v>35544.195882660701</v>
      </c>
      <c r="O8" s="412">
        <f>+[4]합계!$H$13</f>
        <v>33678.686049966695</v>
      </c>
      <c r="P8" s="411">
        <f t="shared" ref="P8:P28" si="3">+O8-N8</f>
        <v>-1865.509832694006</v>
      </c>
      <c r="Q8" s="413">
        <f>+[4]합계!$G$16</f>
        <v>12906.290411739865</v>
      </c>
      <c r="R8" s="412">
        <f>+[4]합계!$H$16</f>
        <v>12849.11855019185</v>
      </c>
      <c r="S8" s="411">
        <f t="shared" ref="S8:S28" si="4">+R8-Q8</f>
        <v>-57.171861548014931</v>
      </c>
      <c r="T8" s="413">
        <f>+[4]합계!$G$17</f>
        <v>15891.382069161125</v>
      </c>
      <c r="U8" s="412">
        <f>+[4]합계!$H$17</f>
        <v>15694.057758248995</v>
      </c>
      <c r="V8" s="411">
        <f t="shared" ref="V8:V28" si="5">+U8-T8</f>
        <v>-197.32431091213039</v>
      </c>
    </row>
    <row r="9" spans="1:22" ht="24" customHeight="1" x14ac:dyDescent="0.3">
      <c r="D9" s="354" t="s">
        <v>16</v>
      </c>
      <c r="E9" s="410">
        <f>+[4]수도권!$G$9</f>
        <v>97000</v>
      </c>
      <c r="F9" s="409">
        <f>+[4]수도권!$H$9</f>
        <v>100223.29219944871</v>
      </c>
      <c r="G9" s="408">
        <f t="shared" si="0"/>
        <v>3223.2921994487115</v>
      </c>
      <c r="H9" s="410">
        <f>+[4]수도권!$G$10</f>
        <v>95926.829268292684</v>
      </c>
      <c r="I9" s="409">
        <f>+[4]수도권!$H$10</f>
        <v>98333.825493105236</v>
      </c>
      <c r="J9" s="408">
        <f t="shared" si="1"/>
        <v>2406.9962248125521</v>
      </c>
      <c r="K9" s="410">
        <f>+[4]수도권!$G$12</f>
        <v>60000</v>
      </c>
      <c r="L9" s="409">
        <f>+[4]수도권!$H$12</f>
        <v>60038.28453826395</v>
      </c>
      <c r="M9" s="408">
        <f t="shared" si="2"/>
        <v>38.284538263949798</v>
      </c>
      <c r="N9" s="410">
        <f>+[4]수도권!$G$13</f>
        <v>39549.973189679891</v>
      </c>
      <c r="O9" s="409">
        <f>+[4]수도권!$H$13</f>
        <v>37606.787201493229</v>
      </c>
      <c r="P9" s="408">
        <f t="shared" si="3"/>
        <v>-1943.1859881866621</v>
      </c>
      <c r="Q9" s="410">
        <f>+[4]수도권!$G$16</f>
        <v>14859.682178727089</v>
      </c>
      <c r="R9" s="409">
        <f>+[4]수도권!$H$16</f>
        <v>14677.63376236795</v>
      </c>
      <c r="S9" s="408">
        <f t="shared" si="4"/>
        <v>-182.04841635913908</v>
      </c>
      <c r="T9" s="410">
        <f>+[4]수도권!$G$17</f>
        <v>13709.041510468316</v>
      </c>
      <c r="U9" s="409">
        <f>+[4]수도권!$H$17</f>
        <v>13702.958887356948</v>
      </c>
      <c r="V9" s="408">
        <f t="shared" si="5"/>
        <v>-6.0826231113678659</v>
      </c>
    </row>
    <row r="10" spans="1:22" ht="24" customHeight="1" x14ac:dyDescent="0.3">
      <c r="D10" s="349" t="s">
        <v>17</v>
      </c>
      <c r="E10" s="407">
        <f>+[4]영남권!$G$9</f>
        <v>97000.000000000029</v>
      </c>
      <c r="F10" s="406">
        <f>+[4]영남권!$H$9</f>
        <v>100000.00063377932</v>
      </c>
      <c r="G10" s="405">
        <f t="shared" si="0"/>
        <v>3000.0006337792875</v>
      </c>
      <c r="H10" s="407">
        <f>+[4]영남권!$G$10</f>
        <v>90440.423723710104</v>
      </c>
      <c r="I10" s="406">
        <f>+[4]영남권!$H$10</f>
        <v>93889.888839318184</v>
      </c>
      <c r="J10" s="405">
        <f t="shared" si="1"/>
        <v>3449.4651156080799</v>
      </c>
      <c r="K10" s="407">
        <f>+[4]영남권!$G$12</f>
        <v>59317.921839657683</v>
      </c>
      <c r="L10" s="406">
        <f>+[4]영남권!$H$12</f>
        <v>61304.471286210959</v>
      </c>
      <c r="M10" s="405">
        <f t="shared" si="2"/>
        <v>1986.5494465532756</v>
      </c>
      <c r="N10" s="407">
        <f>+[4]영남권!$G$13</f>
        <v>32472.768521924954</v>
      </c>
      <c r="O10" s="406">
        <f>+[4]영남권!$H$13</f>
        <v>32045.926648314591</v>
      </c>
      <c r="P10" s="405">
        <f t="shared" si="3"/>
        <v>-426.84187361036311</v>
      </c>
      <c r="Q10" s="407">
        <f>+[4]영남권!$G$16</f>
        <v>11060.892557907113</v>
      </c>
      <c r="R10" s="406">
        <f>+[4]영남권!$H$16</f>
        <v>11246.378808978454</v>
      </c>
      <c r="S10" s="405">
        <f t="shared" si="4"/>
        <v>185.48625107134103</v>
      </c>
      <c r="T10" s="407">
        <f>+[4]영남권!$G$17</f>
        <v>17846.991561186816</v>
      </c>
      <c r="U10" s="406">
        <f>+[4]영남권!$H$17</f>
        <v>17852.005779540686</v>
      </c>
      <c r="V10" s="405">
        <f t="shared" si="5"/>
        <v>5.014218353870092</v>
      </c>
    </row>
    <row r="11" spans="1:22" ht="24" customHeight="1" x14ac:dyDescent="0.3">
      <c r="D11" s="344" t="s">
        <v>128</v>
      </c>
      <c r="E11" s="404">
        <f>+[4]중부권!$G$9</f>
        <v>101041.16996335611</v>
      </c>
      <c r="F11" s="403">
        <f>+[4]중부권!$H$9</f>
        <v>101989.34108922775</v>
      </c>
      <c r="G11" s="402">
        <f t="shared" si="0"/>
        <v>948.17112587163865</v>
      </c>
      <c r="H11" s="404">
        <f>+[4]중부권!$G$10</f>
        <v>94500.000000000029</v>
      </c>
      <c r="I11" s="403">
        <f>+[4]중부권!$H$10</f>
        <v>97197.419694879529</v>
      </c>
      <c r="J11" s="402">
        <f t="shared" si="1"/>
        <v>2697.4196948794997</v>
      </c>
      <c r="K11" s="404">
        <f>+[4]중부권!$G$12</f>
        <v>60213.005576458127</v>
      </c>
      <c r="L11" s="403">
        <f>+[4]중부권!$H$12</f>
        <v>61061.60575524412</v>
      </c>
      <c r="M11" s="402">
        <f t="shared" si="2"/>
        <v>848.60017878599319</v>
      </c>
      <c r="N11" s="404">
        <f>+[4]중부권!$G$13</f>
        <v>36532.813669168521</v>
      </c>
      <c r="O11" s="403">
        <f>+[4]중부권!$H$13</f>
        <v>32494.985990860008</v>
      </c>
      <c r="P11" s="402">
        <f t="shared" si="3"/>
        <v>-4037.827678308513</v>
      </c>
      <c r="Q11" s="404">
        <f>+[4]중부권!$G$16</f>
        <v>13631.220613471962</v>
      </c>
      <c r="R11" s="403">
        <f>+[4]중부권!$H$16</f>
        <v>12847.87090830982</v>
      </c>
      <c r="S11" s="402">
        <f t="shared" si="4"/>
        <v>-783.34970516214162</v>
      </c>
      <c r="T11" s="404">
        <f>+[4]중부권!$G$17</f>
        <v>15022.732775014609</v>
      </c>
      <c r="U11" s="403">
        <f>+[4]중부권!$H$17</f>
        <v>14423.632236049039</v>
      </c>
      <c r="V11" s="402">
        <f t="shared" si="5"/>
        <v>-599.10053896556929</v>
      </c>
    </row>
    <row r="12" spans="1:22" ht="24" customHeight="1" x14ac:dyDescent="0.3">
      <c r="D12" s="384" t="s">
        <v>18</v>
      </c>
      <c r="E12" s="401">
        <f>+[4]안양!$G$9</f>
        <v>97000</v>
      </c>
      <c r="F12" s="400">
        <f>+[4]안양!$H$9</f>
        <v>99983.144888571667</v>
      </c>
      <c r="G12" s="399">
        <f t="shared" si="0"/>
        <v>2983.1448885716673</v>
      </c>
      <c r="H12" s="401">
        <f>+[4]안양!$G$10</f>
        <v>0</v>
      </c>
      <c r="I12" s="400">
        <f>+[4]안양!$H$10</f>
        <v>100499.98937630818</v>
      </c>
      <c r="J12" s="399">
        <f t="shared" si="1"/>
        <v>100499.98937630818</v>
      </c>
      <c r="K12" s="401">
        <f>+[4]안양!$G$12</f>
        <v>60000</v>
      </c>
      <c r="L12" s="400">
        <f>+[4]안양!$H$12</f>
        <v>60057.163890377109</v>
      </c>
      <c r="M12" s="399">
        <f t="shared" si="2"/>
        <v>57.163890377109055</v>
      </c>
      <c r="N12" s="401">
        <f>+[4]안양!$G$13</f>
        <v>38500</v>
      </c>
      <c r="O12" s="400">
        <f>+[4]안양!$H$13</f>
        <v>37025.74895426396</v>
      </c>
      <c r="P12" s="399">
        <f t="shared" si="3"/>
        <v>-1474.2510457360404</v>
      </c>
      <c r="Q12" s="401">
        <f>+[4]안양!$G$16</f>
        <v>14133.333333333332</v>
      </c>
      <c r="R12" s="400">
        <f>+[4]안양!$H$16</f>
        <v>14000.004818021389</v>
      </c>
      <c r="S12" s="399">
        <f t="shared" si="4"/>
        <v>-133.32851531194319</v>
      </c>
      <c r="T12" s="401">
        <f>+[4]안양!$G$17</f>
        <v>13548.387096774193</v>
      </c>
      <c r="U12" s="400">
        <f>+[4]안양!$H$17</f>
        <v>13588.925126538623</v>
      </c>
      <c r="V12" s="399">
        <f t="shared" si="5"/>
        <v>40.538029764429666</v>
      </c>
    </row>
    <row r="13" spans="1:22" ht="24" customHeight="1" x14ac:dyDescent="0.3">
      <c r="D13" s="325" t="s">
        <v>19</v>
      </c>
      <c r="E13" s="394">
        <f>+[4]인천!$G$9</f>
        <v>96999.999999999971</v>
      </c>
      <c r="F13" s="393">
        <f>+[4]인천!$H$9</f>
        <v>100648.23894344014</v>
      </c>
      <c r="G13" s="392">
        <f t="shared" si="0"/>
        <v>3648.2389434401703</v>
      </c>
      <c r="H13" s="394">
        <f>+[4]인천!$G$10</f>
        <v>97000</v>
      </c>
      <c r="I13" s="393">
        <f>+[4]인천!$H$10</f>
        <v>99748.100507517374</v>
      </c>
      <c r="J13" s="392">
        <f t="shared" si="1"/>
        <v>2748.1005075173744</v>
      </c>
      <c r="K13" s="394">
        <f>+[4]인천!$G$12</f>
        <v>60000</v>
      </c>
      <c r="L13" s="393">
        <f>+[4]인천!$H$12</f>
        <v>60035.400532661108</v>
      </c>
      <c r="M13" s="392">
        <f t="shared" si="2"/>
        <v>35.400532661107718</v>
      </c>
      <c r="N13" s="394">
        <f>+[4]인천!$G$13</f>
        <v>39000</v>
      </c>
      <c r="O13" s="393">
        <f>+[4]인천!$H$13</f>
        <v>37586.3536105272</v>
      </c>
      <c r="P13" s="392">
        <f t="shared" si="3"/>
        <v>-1413.6463894728004</v>
      </c>
      <c r="Q13" s="394">
        <f>+[4]인천!$G$16</f>
        <v>15333.333333333334</v>
      </c>
      <c r="R13" s="393">
        <f>+[4]인천!$H$16</f>
        <v>15264.752998820853</v>
      </c>
      <c r="S13" s="392">
        <f t="shared" si="4"/>
        <v>-68.580334512480476</v>
      </c>
      <c r="T13" s="394">
        <f>+[4]인천!$G$17</f>
        <v>13954.19202548429</v>
      </c>
      <c r="U13" s="393">
        <f>+[4]인천!$H$17</f>
        <v>14377.586903207441</v>
      </c>
      <c r="V13" s="392">
        <f t="shared" si="5"/>
        <v>423.39487772315078</v>
      </c>
    </row>
    <row r="14" spans="1:22" ht="24" customHeight="1" x14ac:dyDescent="0.3">
      <c r="D14" s="325" t="s">
        <v>20</v>
      </c>
      <c r="E14" s="394">
        <f>+[4]파주!$G$9</f>
        <v>97000</v>
      </c>
      <c r="F14" s="393">
        <f>+[4]파주!$H$9</f>
        <v>100000.01156475373</v>
      </c>
      <c r="G14" s="392">
        <f t="shared" si="0"/>
        <v>3000.0115647537314</v>
      </c>
      <c r="H14" s="394">
        <f>+[4]파주!$G$10</f>
        <v>0</v>
      </c>
      <c r="I14" s="393">
        <f>+[4]파주!$H$10</f>
        <v>99050.037998480067</v>
      </c>
      <c r="J14" s="392">
        <f t="shared" si="1"/>
        <v>99050.037998480067</v>
      </c>
      <c r="K14" s="394">
        <f>+[4]파주!$G$12</f>
        <v>60000</v>
      </c>
      <c r="L14" s="393">
        <f>+[4]파주!$H$12</f>
        <v>60043.715072925093</v>
      </c>
      <c r="M14" s="392">
        <f t="shared" si="2"/>
        <v>43.715072925093409</v>
      </c>
      <c r="N14" s="394">
        <f>+[4]파주!$G$13</f>
        <v>41999.999999999993</v>
      </c>
      <c r="O14" s="393">
        <f>+[4]파주!$H$13</f>
        <v>40167.223954869049</v>
      </c>
      <c r="P14" s="392">
        <f t="shared" si="3"/>
        <v>-1832.7760451309441</v>
      </c>
      <c r="Q14" s="394">
        <f>+[4]파주!$G$16</f>
        <v>15666.666666666666</v>
      </c>
      <c r="R14" s="393">
        <f>+[4]파주!$H$16</f>
        <v>15704.892363667881</v>
      </c>
      <c r="S14" s="392">
        <f t="shared" si="4"/>
        <v>38.22569700121494</v>
      </c>
      <c r="T14" s="394">
        <f>+[4]파주!$G$17</f>
        <v>13225.806451612903</v>
      </c>
      <c r="U14" s="393">
        <f>+[4]파주!$H$17</f>
        <v>11574.111182028793</v>
      </c>
      <c r="V14" s="392">
        <f t="shared" si="5"/>
        <v>-1651.6952695841101</v>
      </c>
    </row>
    <row r="15" spans="1:22" ht="24" customHeight="1" x14ac:dyDescent="0.3">
      <c r="D15" s="325" t="s">
        <v>106</v>
      </c>
      <c r="E15" s="394">
        <f>+[4]김포!$G$9</f>
        <v>97000</v>
      </c>
      <c r="F15" s="393">
        <f>+[4]김포!$H$9</f>
        <v>99999.997757455392</v>
      </c>
      <c r="G15" s="392">
        <f t="shared" si="0"/>
        <v>2999.9977574553923</v>
      </c>
      <c r="H15" s="394">
        <f>+[4]김포!$G$10</f>
        <v>91500</v>
      </c>
      <c r="I15" s="393">
        <f>+[4]김포!$H$10</f>
        <v>94500.000724630314</v>
      </c>
      <c r="J15" s="392">
        <f t="shared" si="1"/>
        <v>3000.0007246303139</v>
      </c>
      <c r="K15" s="394">
        <f>+[4]김포!$G$12</f>
        <v>60000</v>
      </c>
      <c r="L15" s="393">
        <f>+[4]김포!$H$12</f>
        <v>59791.243670077813</v>
      </c>
      <c r="M15" s="392">
        <f t="shared" si="2"/>
        <v>-208.75632992218743</v>
      </c>
      <c r="N15" s="394">
        <f>+[4]김포!$G$13</f>
        <v>41500</v>
      </c>
      <c r="O15" s="393">
        <f>+[4]김포!$H$13</f>
        <v>39462.637901275346</v>
      </c>
      <c r="P15" s="392">
        <f t="shared" si="3"/>
        <v>-2037.3620987246541</v>
      </c>
      <c r="Q15" s="394">
        <f>+[4]김포!$G$16</f>
        <v>14965.143025656149</v>
      </c>
      <c r="R15" s="393">
        <f>+[4]김포!$H$16</f>
        <v>14648.531372353886</v>
      </c>
      <c r="S15" s="392">
        <f t="shared" si="4"/>
        <v>-316.61165330226322</v>
      </c>
      <c r="T15" s="394">
        <f>+[4]김포!$G$17</f>
        <v>14159.59961626322</v>
      </c>
      <c r="U15" s="393">
        <f>+[4]김포!$H$17</f>
        <v>14226.388336367023</v>
      </c>
      <c r="V15" s="392">
        <f t="shared" si="5"/>
        <v>66.788720103802916</v>
      </c>
    </row>
    <row r="16" spans="1:22" ht="24" customHeight="1" x14ac:dyDescent="0.3">
      <c r="D16" s="380" t="s">
        <v>21</v>
      </c>
      <c r="E16" s="397">
        <f>+[4]부산!$G$9</f>
        <v>97000.000000000015</v>
      </c>
      <c r="F16" s="396">
        <f>+[4]부산!$H$9</f>
        <v>100000.00000000006</v>
      </c>
      <c r="G16" s="395">
        <f t="shared" si="0"/>
        <v>3000.0000000000437</v>
      </c>
      <c r="H16" s="397">
        <f>+[4]부산!$G$10</f>
        <v>89600.000000000015</v>
      </c>
      <c r="I16" s="396">
        <f>+[4]부산!$H$10</f>
        <v>94498.498641693033</v>
      </c>
      <c r="J16" s="395">
        <f t="shared" si="1"/>
        <v>4898.4986416930187</v>
      </c>
      <c r="K16" s="397">
        <f>+[4]부산!$G$12</f>
        <v>0</v>
      </c>
      <c r="L16" s="396">
        <f>+[4]부산!$H$12</f>
        <v>0</v>
      </c>
      <c r="M16" s="395">
        <f t="shared" si="2"/>
        <v>0</v>
      </c>
      <c r="N16" s="397">
        <f>+[4]부산!$G$13</f>
        <v>34500</v>
      </c>
      <c r="O16" s="396">
        <f>+[4]부산!$H$13</f>
        <v>32607.579589071454</v>
      </c>
      <c r="P16" s="395">
        <f t="shared" si="3"/>
        <v>-1892.4204109285456</v>
      </c>
      <c r="Q16" s="397">
        <f>+[4]부산!$G$16</f>
        <v>11712.935947712416</v>
      </c>
      <c r="R16" s="396">
        <f>+[4]부산!$H$16</f>
        <v>11900.961331145998</v>
      </c>
      <c r="S16" s="395">
        <f t="shared" si="4"/>
        <v>188.02538343358174</v>
      </c>
      <c r="T16" s="397">
        <f>+[4]부산!$G$17</f>
        <v>18200.069930069931</v>
      </c>
      <c r="U16" s="396">
        <f>+[4]부산!$H$17</f>
        <v>18216.937044746515</v>
      </c>
      <c r="V16" s="395">
        <f t="shared" si="5"/>
        <v>16.867114676584606</v>
      </c>
    </row>
    <row r="17" spans="4:25" ht="24" customHeight="1" x14ac:dyDescent="0.3">
      <c r="D17" s="325" t="s">
        <v>22</v>
      </c>
      <c r="E17" s="394">
        <f>+[4]서부산!$G$9</f>
        <v>97000</v>
      </c>
      <c r="F17" s="393">
        <f>+[4]서부산!$H$9</f>
        <v>100000.00057120892</v>
      </c>
      <c r="G17" s="392">
        <f t="shared" si="0"/>
        <v>3000.0005712089187</v>
      </c>
      <c r="H17" s="394">
        <f>+[4]서부산!$G$10</f>
        <v>89100.000000000015</v>
      </c>
      <c r="I17" s="393">
        <f>+[4]서부산!$H$10</f>
        <v>92100.001597693365</v>
      </c>
      <c r="J17" s="392">
        <f t="shared" si="1"/>
        <v>3000.00159769335</v>
      </c>
      <c r="K17" s="394">
        <f>+[4]서부산!$G$12</f>
        <v>61000</v>
      </c>
      <c r="L17" s="393">
        <f>+[4]서부산!$H$12</f>
        <v>63000.01888675135</v>
      </c>
      <c r="M17" s="392">
        <f t="shared" si="2"/>
        <v>2000.0188867513498</v>
      </c>
      <c r="N17" s="394">
        <f>+[4]서부산!$G$13</f>
        <v>32500</v>
      </c>
      <c r="O17" s="393">
        <f>+[4]서부산!$H$13</f>
        <v>31558.645770964085</v>
      </c>
      <c r="P17" s="392">
        <f t="shared" si="3"/>
        <v>-941.35422903591461</v>
      </c>
      <c r="Q17" s="394">
        <f>+[4]서부산!$G$16</f>
        <v>10666.666666666666</v>
      </c>
      <c r="R17" s="393">
        <f>+[4]서부산!$H$16</f>
        <v>10837.228790138575</v>
      </c>
      <c r="S17" s="392">
        <f t="shared" si="4"/>
        <v>170.56212347190922</v>
      </c>
      <c r="T17" s="394">
        <f>+[4]서부산!$G$17</f>
        <v>17845.172021139711</v>
      </c>
      <c r="U17" s="393">
        <f>+[4]서부산!$H$17</f>
        <v>17062.339724099867</v>
      </c>
      <c r="V17" s="392">
        <f t="shared" si="5"/>
        <v>-782.83229703984398</v>
      </c>
    </row>
    <row r="18" spans="4:25" ht="24" customHeight="1" x14ac:dyDescent="0.3">
      <c r="D18" s="325" t="s">
        <v>23</v>
      </c>
      <c r="E18" s="394">
        <f>+[4]김해!$G$9</f>
        <v>97000</v>
      </c>
      <c r="F18" s="393">
        <f>+[4]김해!$H$9</f>
        <v>100000.00000000007</v>
      </c>
      <c r="G18" s="392">
        <f t="shared" si="0"/>
        <v>3000.0000000000728</v>
      </c>
      <c r="H18" s="394">
        <f>+[4]김해!$G$10</f>
        <v>89100.000000000015</v>
      </c>
      <c r="I18" s="393">
        <f>+[4]김해!$H$10</f>
        <v>92100.011515793332</v>
      </c>
      <c r="J18" s="392">
        <f t="shared" si="1"/>
        <v>3000.0115157933178</v>
      </c>
      <c r="K18" s="394">
        <f>+[4]김해!$G$12</f>
        <v>0</v>
      </c>
      <c r="L18" s="393">
        <f>+[4]김해!$H$12</f>
        <v>62001.391698135478</v>
      </c>
      <c r="M18" s="392">
        <f t="shared" si="2"/>
        <v>62001.391698135478</v>
      </c>
      <c r="N18" s="394">
        <f>+[4]김해!$G$13</f>
        <v>32500</v>
      </c>
      <c r="O18" s="393">
        <f>+[4]김해!$H$13</f>
        <v>32226.197787599111</v>
      </c>
      <c r="P18" s="392">
        <f t="shared" si="3"/>
        <v>-273.8022124008894</v>
      </c>
      <c r="Q18" s="394">
        <f>+[4]김해!$G$16</f>
        <v>9000</v>
      </c>
      <c r="R18" s="393">
        <f>+[4]김해!$H$16</f>
        <v>9034.1701333333331</v>
      </c>
      <c r="S18" s="392">
        <f t="shared" si="4"/>
        <v>34.170133333333069</v>
      </c>
      <c r="T18" s="394">
        <f>+[4]김해!$G$17</f>
        <v>16710.977594439159</v>
      </c>
      <c r="U18" s="393">
        <f>+[4]김해!$H$17</f>
        <v>17263.584457177178</v>
      </c>
      <c r="V18" s="392">
        <f t="shared" si="5"/>
        <v>552.60686273801912</v>
      </c>
    </row>
    <row r="19" spans="4:25" ht="24" customHeight="1" x14ac:dyDescent="0.3">
      <c r="D19" s="325" t="s">
        <v>24</v>
      </c>
      <c r="E19" s="394">
        <f>+[4]정관!$G$9</f>
        <v>97000.000000000015</v>
      </c>
      <c r="F19" s="393">
        <f>+[4]정관!$H$9</f>
        <v>100000.00280099476</v>
      </c>
      <c r="G19" s="392">
        <f t="shared" si="0"/>
        <v>3000.0028009947418</v>
      </c>
      <c r="H19" s="394">
        <f>+[4]정관!$G$10</f>
        <v>0</v>
      </c>
      <c r="I19" s="393">
        <f>+[4]정관!$H$10</f>
        <v>92100.016035194043</v>
      </c>
      <c r="J19" s="392">
        <f t="shared" si="1"/>
        <v>92100.016035194043</v>
      </c>
      <c r="K19" s="394">
        <f>+[4]정관!$G$12</f>
        <v>58999.999999999993</v>
      </c>
      <c r="L19" s="393">
        <f>+[4]정관!$H$12</f>
        <v>61227.319138412371</v>
      </c>
      <c r="M19" s="392">
        <f t="shared" si="2"/>
        <v>2227.3191384123784</v>
      </c>
      <c r="N19" s="394">
        <f>+[4]정관!$G$13</f>
        <v>32500</v>
      </c>
      <c r="O19" s="393">
        <f>+[4]정관!$H$13</f>
        <v>31749.117380988995</v>
      </c>
      <c r="P19" s="392">
        <f t="shared" si="3"/>
        <v>-750.88261901100486</v>
      </c>
      <c r="Q19" s="394">
        <f>+[4]정관!$G$16</f>
        <v>11335.685397773901</v>
      </c>
      <c r="R19" s="393">
        <f>+[4]정관!$H$16</f>
        <v>11157.873406258615</v>
      </c>
      <c r="S19" s="392">
        <f t="shared" si="4"/>
        <v>-177.81199151528563</v>
      </c>
      <c r="T19" s="394">
        <f>+[4]정관!$G$17</f>
        <v>18860.812984654851</v>
      </c>
      <c r="U19" s="393">
        <f>+[4]정관!$H$17</f>
        <v>18732.736535975535</v>
      </c>
      <c r="V19" s="392">
        <f t="shared" si="5"/>
        <v>-128.07644867931594</v>
      </c>
    </row>
    <row r="20" spans="4:25" ht="24" customHeight="1" x14ac:dyDescent="0.3">
      <c r="D20" s="325" t="s">
        <v>25</v>
      </c>
      <c r="E20" s="394">
        <f>+[4]양산!$G$9</f>
        <v>97000</v>
      </c>
      <c r="F20" s="393">
        <f>+[4]양산!$H$9</f>
        <v>100000.00069593395</v>
      </c>
      <c r="G20" s="392">
        <f t="shared" si="0"/>
        <v>3000.0006959339516</v>
      </c>
      <c r="H20" s="394">
        <f>+[4]양산!$G$10</f>
        <v>0</v>
      </c>
      <c r="I20" s="393">
        <f>+[4]양산!$H$10</f>
        <v>0</v>
      </c>
      <c r="J20" s="392">
        <f t="shared" si="1"/>
        <v>0</v>
      </c>
      <c r="K20" s="394">
        <f>+[4]양산!$G$12</f>
        <v>59000</v>
      </c>
      <c r="L20" s="393">
        <f>+[4]양산!$H$12</f>
        <v>60924.986964140684</v>
      </c>
      <c r="M20" s="392">
        <f t="shared" si="2"/>
        <v>1924.986964140684</v>
      </c>
      <c r="N20" s="394">
        <f>+[4]양산!$G$13</f>
        <v>32000</v>
      </c>
      <c r="O20" s="393">
        <f>+[4]양산!$H$13</f>
        <v>32056.715578282903</v>
      </c>
      <c r="P20" s="392">
        <f t="shared" si="3"/>
        <v>56.715578282903152</v>
      </c>
      <c r="Q20" s="394">
        <f>+[4]양산!$G$16</f>
        <v>9400</v>
      </c>
      <c r="R20" s="393">
        <f>+[4]양산!$H$16</f>
        <v>9382.4948078034013</v>
      </c>
      <c r="S20" s="392">
        <f t="shared" si="4"/>
        <v>-17.505192196598728</v>
      </c>
      <c r="T20" s="394">
        <f>+[4]양산!$G$17</f>
        <v>17715.141188710855</v>
      </c>
      <c r="U20" s="393">
        <f>+[4]양산!$H$17</f>
        <v>16895.578530338746</v>
      </c>
      <c r="V20" s="392">
        <f t="shared" si="5"/>
        <v>-819.56265837210958</v>
      </c>
    </row>
    <row r="21" spans="4:25" ht="24" customHeight="1" x14ac:dyDescent="0.3">
      <c r="D21" s="325" t="s">
        <v>26</v>
      </c>
      <c r="E21" s="394">
        <f>+[4]창원!$G$9</f>
        <v>97000</v>
      </c>
      <c r="F21" s="393">
        <f>+[4]창원!$H$9</f>
        <v>100000.00048508204</v>
      </c>
      <c r="G21" s="392">
        <f t="shared" si="0"/>
        <v>3000.0004850820405</v>
      </c>
      <c r="H21" s="394">
        <f>+[4]창원!$G$10</f>
        <v>100500</v>
      </c>
      <c r="I21" s="393">
        <f>+[4]창원!$H$10</f>
        <v>0</v>
      </c>
      <c r="J21" s="392">
        <f t="shared" si="1"/>
        <v>-100500</v>
      </c>
      <c r="K21" s="394">
        <f>+[4]창원!$G$12</f>
        <v>60999.999999999993</v>
      </c>
      <c r="L21" s="393">
        <f>+[4]창원!$H$12</f>
        <v>62999.989193595946</v>
      </c>
      <c r="M21" s="392">
        <f t="shared" si="2"/>
        <v>1999.9891935959531</v>
      </c>
      <c r="N21" s="394">
        <f>+[4]창원!$G$13</f>
        <v>29500</v>
      </c>
      <c r="O21" s="393">
        <f>+[4]창원!$H$13</f>
        <v>29728.962055927881</v>
      </c>
      <c r="P21" s="392">
        <f t="shared" si="3"/>
        <v>228.96205592788101</v>
      </c>
      <c r="Q21" s="394">
        <f>+[4]창원!$G$16</f>
        <v>11466.666666666666</v>
      </c>
      <c r="R21" s="393">
        <f>+[4]창원!$H$16</f>
        <v>12081.964334565444</v>
      </c>
      <c r="S21" s="392">
        <f t="shared" si="4"/>
        <v>615.29766789877795</v>
      </c>
      <c r="T21" s="394">
        <f>+[4]창원!$G$17</f>
        <v>17046.397770425443</v>
      </c>
      <c r="U21" s="393">
        <f>+[4]창원!$H$17</f>
        <v>16718.491088889423</v>
      </c>
      <c r="V21" s="392">
        <f t="shared" si="5"/>
        <v>-327.90668153602019</v>
      </c>
      <c r="Y21" s="398"/>
    </row>
    <row r="22" spans="4:25" ht="24" customHeight="1" x14ac:dyDescent="0.3">
      <c r="D22" s="325" t="s">
        <v>127</v>
      </c>
      <c r="E22" s="394">
        <f>+[4]대구!$G$9</f>
        <v>97000</v>
      </c>
      <c r="F22" s="393">
        <f>+[4]대구!$H$9</f>
        <v>100000.00000000006</v>
      </c>
      <c r="G22" s="392">
        <f t="shared" si="0"/>
        <v>3000.0000000000582</v>
      </c>
      <c r="H22" s="394">
        <f>+[4]대구!$G$10</f>
        <v>0</v>
      </c>
      <c r="I22" s="393">
        <f>+[4]대구!$H$10</f>
        <v>96499.999305224555</v>
      </c>
      <c r="J22" s="392">
        <f t="shared" si="1"/>
        <v>96499.999305224555</v>
      </c>
      <c r="K22" s="394">
        <f>+[4]대구!$G$12</f>
        <v>57199.999999999985</v>
      </c>
      <c r="L22" s="393">
        <f>+[4]대구!$H$12</f>
        <v>59174.021531626058</v>
      </c>
      <c r="M22" s="392">
        <f t="shared" si="2"/>
        <v>1974.0215316260728</v>
      </c>
      <c r="N22" s="394">
        <f>+[4]대구!$G$13</f>
        <v>31000</v>
      </c>
      <c r="O22" s="393">
        <f>+[4]대구!$H$13</f>
        <v>31226.950705648185</v>
      </c>
      <c r="P22" s="392">
        <f t="shared" si="3"/>
        <v>226.95070564818525</v>
      </c>
      <c r="Q22" s="394">
        <f>+[4]대구!$G$16</f>
        <v>10933.333333333334</v>
      </c>
      <c r="R22" s="393">
        <f>+[4]대구!$H$16</f>
        <v>10933.351258222829</v>
      </c>
      <c r="S22" s="392">
        <f t="shared" si="4"/>
        <v>1.7924889494679519E-2</v>
      </c>
      <c r="T22" s="394">
        <f>+[4]대구!$G$17</f>
        <v>14319.243604004449</v>
      </c>
      <c r="U22" s="393">
        <f>+[4]대구!$H$17</f>
        <v>14383.281534915199</v>
      </c>
      <c r="V22" s="392">
        <f t="shared" si="5"/>
        <v>64.037930910750219</v>
      </c>
    </row>
    <row r="23" spans="4:25" ht="24" customHeight="1" x14ac:dyDescent="0.3">
      <c r="D23" s="325" t="s">
        <v>126</v>
      </c>
      <c r="E23" s="394">
        <f>+[4]울산!$G$9</f>
        <v>97000</v>
      </c>
      <c r="F23" s="393">
        <f>+[4]울산!$H$9</f>
        <v>99999.999999999971</v>
      </c>
      <c r="G23" s="392">
        <f t="shared" si="0"/>
        <v>2999.9999999999709</v>
      </c>
      <c r="H23" s="394">
        <f>+[4]울산!$G$10</f>
        <v>0</v>
      </c>
      <c r="I23" s="393">
        <f>+[4]울산!$H$10</f>
        <v>0</v>
      </c>
      <c r="J23" s="392">
        <f t="shared" si="1"/>
        <v>0</v>
      </c>
      <c r="K23" s="394">
        <f>+[4]울산!$G$12</f>
        <v>57199.999999999993</v>
      </c>
      <c r="L23" s="393">
        <f>+[4]울산!$H$12</f>
        <v>59200.002140532437</v>
      </c>
      <c r="M23" s="392">
        <f t="shared" si="2"/>
        <v>2000.0021405324442</v>
      </c>
      <c r="N23" s="394">
        <f>+[4]울산!$G$13</f>
        <v>33500</v>
      </c>
      <c r="O23" s="393">
        <f>+[4]울산!$H$13</f>
        <v>33042.474044147006</v>
      </c>
      <c r="P23" s="392">
        <f t="shared" si="3"/>
        <v>-457.52595585299423</v>
      </c>
      <c r="Q23" s="394">
        <f>+[4]울산!$G$16</f>
        <v>12533.333333333334</v>
      </c>
      <c r="R23" s="393">
        <f>+[4]울산!$H$16</f>
        <v>11825.911060221733</v>
      </c>
      <c r="S23" s="392">
        <f t="shared" si="4"/>
        <v>-707.42227311160059</v>
      </c>
      <c r="T23" s="394">
        <f>+[4]울산!$G$17</f>
        <v>19929.696936609864</v>
      </c>
      <c r="U23" s="393">
        <f>+[4]울산!$H$17</f>
        <v>20071.186622759542</v>
      </c>
      <c r="V23" s="392">
        <f t="shared" si="5"/>
        <v>141.48968614967816</v>
      </c>
    </row>
    <row r="24" spans="4:25" ht="24" customHeight="1" x14ac:dyDescent="0.3">
      <c r="D24" s="380" t="s">
        <v>27</v>
      </c>
      <c r="E24" s="397">
        <f>+[4]아산!$G$9</f>
        <v>96999.999999999985</v>
      </c>
      <c r="F24" s="396">
        <f>+[4]아산!$H$9</f>
        <v>99717.15801462435</v>
      </c>
      <c r="G24" s="395">
        <f t="shared" si="0"/>
        <v>2717.158014624365</v>
      </c>
      <c r="H24" s="397">
        <f>+[4]아산!$G$10</f>
        <v>0</v>
      </c>
      <c r="I24" s="396">
        <f>+[4]아산!$H$10</f>
        <v>0</v>
      </c>
      <c r="J24" s="395">
        <f t="shared" si="1"/>
        <v>0</v>
      </c>
      <c r="K24" s="397">
        <f>+[4]아산!$G$12</f>
        <v>60000</v>
      </c>
      <c r="L24" s="396">
        <f>+[4]아산!$H$12</f>
        <v>60135.30982949285</v>
      </c>
      <c r="M24" s="395">
        <f t="shared" si="2"/>
        <v>135.30982949284953</v>
      </c>
      <c r="N24" s="397">
        <f>+[4]아산!$G$13</f>
        <v>37500</v>
      </c>
      <c r="O24" s="396">
        <f>+[4]아산!$H$13</f>
        <v>32034.331703650922</v>
      </c>
      <c r="P24" s="395">
        <f t="shared" si="3"/>
        <v>-5465.6682963490784</v>
      </c>
      <c r="Q24" s="397">
        <f>+[4]아산!$G$16</f>
        <v>10853.333333333334</v>
      </c>
      <c r="R24" s="396">
        <f>+[4]아산!$H$16</f>
        <v>10859.103351731148</v>
      </c>
      <c r="S24" s="395">
        <f t="shared" si="4"/>
        <v>5.7700183978140558</v>
      </c>
      <c r="T24" s="397">
        <f>+[4]아산!$G$17</f>
        <v>12554.838709677419</v>
      </c>
      <c r="U24" s="396">
        <f>+[4]아산!$H$17</f>
        <v>12477.384532517081</v>
      </c>
      <c r="V24" s="395">
        <f t="shared" si="5"/>
        <v>-77.454177160338077</v>
      </c>
    </row>
    <row r="25" spans="4:25" ht="24" customHeight="1" x14ac:dyDescent="0.3">
      <c r="D25" s="325" t="s">
        <v>125</v>
      </c>
      <c r="E25" s="394">
        <f>+[4]전주!$G$9</f>
        <v>97000</v>
      </c>
      <c r="F25" s="393">
        <f>+[4]전주!$H$9</f>
        <v>99999.999999999971</v>
      </c>
      <c r="G25" s="392">
        <f t="shared" si="0"/>
        <v>2999.9999999999709</v>
      </c>
      <c r="H25" s="394">
        <f>+[4]전주!$G$10</f>
        <v>94500.000000000029</v>
      </c>
      <c r="I25" s="393">
        <f>+[4]전주!$H$10</f>
        <v>97482.788945571578</v>
      </c>
      <c r="J25" s="392">
        <f t="shared" si="1"/>
        <v>2982.7889455715485</v>
      </c>
      <c r="K25" s="394">
        <f>+[4]전주!$G$12</f>
        <v>60000</v>
      </c>
      <c r="L25" s="393">
        <f>+[4]전주!$H$12</f>
        <v>60812.519607083763</v>
      </c>
      <c r="M25" s="392">
        <f t="shared" si="2"/>
        <v>812.51960708376282</v>
      </c>
      <c r="N25" s="394">
        <f>+[4]전주!$G$13</f>
        <v>32500</v>
      </c>
      <c r="O25" s="393">
        <f>+[4]전주!$H$13</f>
        <v>33007.096495140671</v>
      </c>
      <c r="P25" s="392">
        <f t="shared" si="3"/>
        <v>507.09649514067132</v>
      </c>
      <c r="Q25" s="394">
        <f>+[4]전주!$G$16</f>
        <v>14733.333333333334</v>
      </c>
      <c r="R25" s="393">
        <f>+[4]전주!$H$16</f>
        <v>13848.044447705741</v>
      </c>
      <c r="S25" s="392">
        <f t="shared" si="4"/>
        <v>-885.28888562759312</v>
      </c>
      <c r="T25" s="394">
        <f>+[4]전주!$G$17</f>
        <v>16000</v>
      </c>
      <c r="U25" s="393">
        <f>+[4]전주!$H$17</f>
        <v>15969.818765984701</v>
      </c>
      <c r="V25" s="392">
        <f t="shared" si="5"/>
        <v>-30.181234015299196</v>
      </c>
    </row>
    <row r="26" spans="4:25" ht="24" customHeight="1" x14ac:dyDescent="0.3">
      <c r="D26" s="325" t="s">
        <v>124</v>
      </c>
      <c r="E26" s="394">
        <f>+[4]군산!$G$9</f>
        <v>97000</v>
      </c>
      <c r="F26" s="393">
        <f>+[4]군산!$H$9</f>
        <v>99999.998418697374</v>
      </c>
      <c r="G26" s="392">
        <f t="shared" si="0"/>
        <v>2999.9984186973743</v>
      </c>
      <c r="H26" s="394">
        <f>+[4]군산!$G$10</f>
        <v>0</v>
      </c>
      <c r="I26" s="393">
        <f>+[4]군산!$H$10</f>
        <v>93101.129945438966</v>
      </c>
      <c r="J26" s="392">
        <f t="shared" si="1"/>
        <v>93101.129945438966</v>
      </c>
      <c r="K26" s="394">
        <f>+[4]군산!$G$12</f>
        <v>61000.000000000007</v>
      </c>
      <c r="L26" s="393">
        <f>+[4]군산!$H$12</f>
        <v>63575.343342817214</v>
      </c>
      <c r="M26" s="392">
        <f t="shared" si="2"/>
        <v>2575.3433428172066</v>
      </c>
      <c r="N26" s="394">
        <f>+[4]군산!$G$13</f>
        <v>32500</v>
      </c>
      <c r="O26" s="393">
        <f>+[4]군산!$H$13</f>
        <v>28537.142925714154</v>
      </c>
      <c r="P26" s="392">
        <f t="shared" si="3"/>
        <v>-3962.8570742858465</v>
      </c>
      <c r="Q26" s="394">
        <f>+[4]군산!$G$16</f>
        <v>15133.333333333332</v>
      </c>
      <c r="R26" s="393">
        <f>+[4]군산!$H$16</f>
        <v>15155.526962086922</v>
      </c>
      <c r="S26" s="392">
        <f t="shared" si="4"/>
        <v>22.193628753590019</v>
      </c>
      <c r="T26" s="394">
        <f>+[4]군산!$G$17</f>
        <v>15310.067420741872</v>
      </c>
      <c r="U26" s="393">
        <f>+[4]군산!$H$17</f>
        <v>15391.26889879655</v>
      </c>
      <c r="V26" s="392">
        <f t="shared" si="5"/>
        <v>81.201478054677864</v>
      </c>
    </row>
    <row r="27" spans="4:25" ht="24" customHeight="1" x14ac:dyDescent="0.3">
      <c r="D27" s="325" t="s">
        <v>123</v>
      </c>
      <c r="E27" s="394">
        <f>+[4]원주!$G$9</f>
        <v>96999.999999999971</v>
      </c>
      <c r="F27" s="393">
        <f>+[4]원주!$H$9</f>
        <v>99999.999999999985</v>
      </c>
      <c r="G27" s="392">
        <f t="shared" si="0"/>
        <v>3000.0000000000146</v>
      </c>
      <c r="H27" s="394">
        <f>+[4]원주!$G$10</f>
        <v>0</v>
      </c>
      <c r="I27" s="393">
        <f>+[4]원주!$H$10</f>
        <v>0</v>
      </c>
      <c r="J27" s="392">
        <f t="shared" si="1"/>
        <v>0</v>
      </c>
      <c r="K27" s="394">
        <f>+[4]원주!$G$12</f>
        <v>60000</v>
      </c>
      <c r="L27" s="393">
        <f>+[4]원주!$H$12</f>
        <v>60890.174688716179</v>
      </c>
      <c r="M27" s="392">
        <f t="shared" si="2"/>
        <v>890.17468871617893</v>
      </c>
      <c r="N27" s="394">
        <f>+[4]원주!$G$13</f>
        <v>45000</v>
      </c>
      <c r="O27" s="393">
        <f>+[4]원주!$H$13</f>
        <v>47621.478201290316</v>
      </c>
      <c r="P27" s="392">
        <f t="shared" si="3"/>
        <v>2621.4782012903161</v>
      </c>
      <c r="Q27" s="394">
        <f>+[4]원주!$G$16</f>
        <v>12466.666666666668</v>
      </c>
      <c r="R27" s="393">
        <f>+[4]원주!$H$16</f>
        <v>11132.683319772614</v>
      </c>
      <c r="S27" s="392">
        <f t="shared" si="4"/>
        <v>-1333.9833468940542</v>
      </c>
      <c r="T27" s="394">
        <f>+[4]원주!$G$17</f>
        <v>12387.096774193547</v>
      </c>
      <c r="U27" s="393">
        <f>+[4]원주!$H$17</f>
        <v>12379.090938455576</v>
      </c>
      <c r="V27" s="392">
        <f t="shared" si="5"/>
        <v>-8.0058357379712106</v>
      </c>
    </row>
    <row r="28" spans="4:25" ht="24" customHeight="1" x14ac:dyDescent="0.3">
      <c r="D28" s="320" t="s">
        <v>122</v>
      </c>
      <c r="E28" s="391">
        <f>+[4]제주!$G$9</f>
        <v>114000</v>
      </c>
      <c r="F28" s="390">
        <f>+[4]제주!$H$9</f>
        <v>117000.00276249497</v>
      </c>
      <c r="G28" s="389">
        <f t="shared" si="0"/>
        <v>3000.0027624949726</v>
      </c>
      <c r="H28" s="391">
        <f>+[4]제주!$G$10</f>
        <v>0</v>
      </c>
      <c r="I28" s="390">
        <f>+[4]제주!$H$10</f>
        <v>0</v>
      </c>
      <c r="J28" s="389">
        <f t="shared" si="1"/>
        <v>0</v>
      </c>
      <c r="K28" s="391">
        <f>+[4]제주!$G$12</f>
        <v>0</v>
      </c>
      <c r="L28" s="390">
        <f>+[4]제주!$H$12</f>
        <v>0</v>
      </c>
      <c r="M28" s="389">
        <f t="shared" si="2"/>
        <v>0</v>
      </c>
      <c r="N28" s="391">
        <f>+[4]제주!$G$13</f>
        <v>0</v>
      </c>
      <c r="O28" s="390">
        <f>+[4]제주!$H$13</f>
        <v>0</v>
      </c>
      <c r="P28" s="389">
        <f t="shared" si="3"/>
        <v>0</v>
      </c>
      <c r="Q28" s="391">
        <f>+[4]제주!$G$16</f>
        <v>18000</v>
      </c>
      <c r="R28" s="390">
        <f>+[4]제주!$H$16</f>
        <v>17927.923057581098</v>
      </c>
      <c r="S28" s="389">
        <f t="shared" si="4"/>
        <v>-72.076942418902036</v>
      </c>
      <c r="T28" s="391">
        <f>+[4]제주!$G$17</f>
        <v>19016.691090978813</v>
      </c>
      <c r="U28" s="390">
        <f>+[4]제주!$H$17</f>
        <v>19616.471512497763</v>
      </c>
      <c r="V28" s="389">
        <f t="shared" si="5"/>
        <v>599.78042151894988</v>
      </c>
    </row>
    <row r="29" spans="4:25" ht="24" customHeight="1" x14ac:dyDescent="0.3"/>
    <row r="30" spans="4:25" ht="24" customHeight="1" x14ac:dyDescent="0.3"/>
    <row r="31" spans="4:25" ht="24" customHeight="1" x14ac:dyDescent="0.3"/>
    <row r="32" spans="4:25" ht="21.95" customHeight="1" x14ac:dyDescent="0.3"/>
    <row r="33" ht="21.95" customHeight="1" x14ac:dyDescent="0.3"/>
    <row r="34" ht="21.95" customHeight="1" x14ac:dyDescent="0.3"/>
    <row r="35" ht="21.95" customHeight="1" x14ac:dyDescent="0.3"/>
    <row r="36" ht="21.95" customHeight="1" x14ac:dyDescent="0.3"/>
    <row r="37" ht="21.95" customHeight="1" x14ac:dyDescent="0.3"/>
    <row r="38" ht="21.95" customHeight="1" x14ac:dyDescent="0.3"/>
    <row r="39" ht="21.95" customHeight="1" x14ac:dyDescent="0.3"/>
    <row r="40" ht="21.95" customHeight="1" x14ac:dyDescent="0.3"/>
    <row r="41" ht="21.95" customHeight="1" x14ac:dyDescent="0.3"/>
    <row r="42" ht="21.95" customHeight="1" x14ac:dyDescent="0.3"/>
    <row r="43" ht="21.95" customHeight="1" x14ac:dyDescent="0.3"/>
    <row r="44" ht="21.95" customHeight="1" x14ac:dyDescent="0.3"/>
    <row r="45" ht="21.95" customHeight="1" x14ac:dyDescent="0.3"/>
    <row r="46" ht="21.95" customHeight="1" x14ac:dyDescent="0.3"/>
    <row r="47" ht="21.95" customHeight="1" x14ac:dyDescent="0.3"/>
    <row r="48" ht="21.95" customHeight="1" x14ac:dyDescent="0.3"/>
    <row r="49" ht="21.95" customHeight="1" x14ac:dyDescent="0.3"/>
    <row r="50" ht="21.95" customHeight="1" x14ac:dyDescent="0.3"/>
    <row r="51" ht="21.95" customHeight="1" x14ac:dyDescent="0.3"/>
    <row r="52" ht="21.95" customHeight="1" x14ac:dyDescent="0.3"/>
  </sheetData>
  <mergeCells count="1">
    <mergeCell ref="D6:D7"/>
  </mergeCells>
  <phoneticPr fontId="1" type="noConversion"/>
  <printOptions horizontalCentered="1"/>
  <pageMargins left="0.31496062992125984" right="0.31496062992125984" top="0.74803149606299213" bottom="0.35433070866141736" header="0.31496062992125984" footer="0.31496062992125984"/>
  <pageSetup paperSize="9" scale="70" orientation="landscape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BBEB6A-81D7-4E96-B8DE-9C67D6DAAE69}">
  <sheetPr>
    <tabColor theme="0"/>
    <pageSetUpPr fitToPage="1"/>
  </sheetPr>
  <dimension ref="A1:V52"/>
  <sheetViews>
    <sheetView showGridLines="0" showZeros="0" view="pageBreakPreview" zoomScale="85" zoomScaleNormal="85" zoomScaleSheetLayoutView="85" workbookViewId="0">
      <pane xSplit="4" ySplit="7" topLeftCell="E8" activePane="bottomRight" state="frozen"/>
      <selection activeCell="A6" sqref="A6:M14"/>
      <selection pane="topRight" activeCell="A6" sqref="A6:M14"/>
      <selection pane="bottomLeft" activeCell="A6" sqref="A6:M14"/>
      <selection pane="bottomRight" activeCell="A6" sqref="A6:M14"/>
    </sheetView>
  </sheetViews>
  <sheetFormatPr defaultRowHeight="16.5" x14ac:dyDescent="0.3"/>
  <cols>
    <col min="1" max="3" width="5.625" style="4" customWidth="1"/>
    <col min="4" max="4" width="9.875" style="4" customWidth="1"/>
    <col min="5" max="22" width="9.625" style="4" customWidth="1"/>
    <col min="23" max="16384" width="9" style="4"/>
  </cols>
  <sheetData>
    <row r="1" spans="1:22" ht="9.9499999999999993" customHeight="1" x14ac:dyDescent="0.3"/>
    <row r="2" spans="1:22" ht="9.9499999999999993" hidden="1" customHeight="1" x14ac:dyDescent="0.3"/>
    <row r="3" spans="1:22" ht="9.9499999999999993" customHeight="1" x14ac:dyDescent="0.3"/>
    <row r="4" spans="1:22" ht="31.5" x14ac:dyDescent="0.3">
      <c r="D4" s="370" t="s">
        <v>191</v>
      </c>
      <c r="F4" s="370"/>
      <c r="I4" s="370"/>
    </row>
    <row r="5" spans="1:22" ht="21.95" customHeight="1" x14ac:dyDescent="0.3">
      <c r="V5" s="369" t="s">
        <v>154</v>
      </c>
    </row>
    <row r="6" spans="1:22" ht="24" customHeight="1" thickBot="1" x14ac:dyDescent="0.35">
      <c r="A6" s="4" t="s">
        <v>175</v>
      </c>
      <c r="D6" s="642" t="s">
        <v>11</v>
      </c>
      <c r="E6" s="368" t="s">
        <v>153</v>
      </c>
      <c r="F6" s="367"/>
      <c r="G6" s="366"/>
      <c r="H6" s="368" t="s">
        <v>152</v>
      </c>
      <c r="I6" s="367"/>
      <c r="J6" s="366"/>
      <c r="K6" s="368" t="s">
        <v>151</v>
      </c>
      <c r="L6" s="367"/>
      <c r="M6" s="366"/>
      <c r="N6" s="368" t="s">
        <v>150</v>
      </c>
      <c r="O6" s="367"/>
      <c r="P6" s="366"/>
      <c r="Q6" s="368" t="s">
        <v>149</v>
      </c>
      <c r="R6" s="367"/>
      <c r="S6" s="366"/>
      <c r="T6" s="368" t="s">
        <v>148</v>
      </c>
      <c r="U6" s="367"/>
      <c r="V6" s="366"/>
    </row>
    <row r="7" spans="1:22" ht="24" customHeight="1" x14ac:dyDescent="0.3">
      <c r="D7" s="643"/>
      <c r="E7" s="364" t="s">
        <v>36</v>
      </c>
      <c r="F7" s="363" t="s">
        <v>37</v>
      </c>
      <c r="G7" s="365" t="s">
        <v>28</v>
      </c>
      <c r="H7" s="364" t="s">
        <v>12</v>
      </c>
      <c r="I7" s="363" t="s">
        <v>13</v>
      </c>
      <c r="J7" s="365" t="s">
        <v>28</v>
      </c>
      <c r="K7" s="364" t="s">
        <v>12</v>
      </c>
      <c r="L7" s="363" t="s">
        <v>13</v>
      </c>
      <c r="M7" s="365" t="s">
        <v>28</v>
      </c>
      <c r="N7" s="364" t="s">
        <v>12</v>
      </c>
      <c r="O7" s="363" t="s">
        <v>13</v>
      </c>
      <c r="P7" s="365" t="s">
        <v>28</v>
      </c>
      <c r="Q7" s="364" t="s">
        <v>12</v>
      </c>
      <c r="R7" s="363" t="s">
        <v>13</v>
      </c>
      <c r="S7" s="365" t="s">
        <v>28</v>
      </c>
      <c r="T7" s="364" t="s">
        <v>12</v>
      </c>
      <c r="U7" s="363" t="s">
        <v>13</v>
      </c>
      <c r="V7" s="365" t="s">
        <v>28</v>
      </c>
    </row>
    <row r="8" spans="1:22" ht="24" customHeight="1" x14ac:dyDescent="0.3">
      <c r="D8" s="360" t="s">
        <v>136</v>
      </c>
      <c r="E8" s="358">
        <f>+[4]합계!$E$9</f>
        <v>307.45878058609463</v>
      </c>
      <c r="F8" s="357">
        <f>+[4]합계!$F$9</f>
        <v>290.90667186445665</v>
      </c>
      <c r="G8" s="388">
        <f t="shared" ref="G8:G28" si="0">+F8-E8</f>
        <v>-16.552108721637978</v>
      </c>
      <c r="H8" s="358">
        <f>+[4]합계!$E$15</f>
        <v>384.43058298217477</v>
      </c>
      <c r="I8" s="357">
        <f>+[4]합계!$F$15</f>
        <v>412.63617066518475</v>
      </c>
      <c r="J8" s="388">
        <f t="shared" ref="J8:J28" si="1">+I8-H8</f>
        <v>28.205587683009981</v>
      </c>
      <c r="K8" s="450">
        <f>+([4]합계!$E$10*0.4+[4]합계!$E$11+[4]합계!$E$12+[4]합계!$E$13+[4]합계!$E$14)/[4]합계!$E$15</f>
        <v>0.150055547072666</v>
      </c>
      <c r="L8" s="449">
        <f>+([4]합계!$F$10*0.4+[4]합계!$F$11+[4]합계!$F$12+[4]합계!$F$13+[4]합계!$F$14)/[4]합계!$F$15</f>
        <v>0.22997835205644737</v>
      </c>
      <c r="M8" s="448">
        <f t="shared" ref="M8:M28" si="2">+L8-K8</f>
        <v>7.9922804983781376E-2</v>
      </c>
      <c r="N8" s="358">
        <f>+[4]합계!$E$16</f>
        <v>828.90477517455008</v>
      </c>
      <c r="O8" s="357">
        <f>+[4]합계!$F$16</f>
        <v>820.49776873047301</v>
      </c>
      <c r="P8" s="388">
        <f t="shared" ref="P8:P28" si="3">+O8-N8</f>
        <v>-8.4070064440770693</v>
      </c>
      <c r="Q8" s="358">
        <f>+[4]합계!$E$17</f>
        <v>893.84259502049554</v>
      </c>
      <c r="R8" s="357">
        <f>+[4]합계!$F$17</f>
        <v>878.97360467687724</v>
      </c>
      <c r="S8" s="388">
        <f t="shared" ref="S8:S28" si="4">+R8-Q8</f>
        <v>-14.868990343618293</v>
      </c>
      <c r="T8" s="358">
        <f>+[4]합계!$E$19</f>
        <v>3.2682390056864503</v>
      </c>
      <c r="U8" s="357">
        <f>+[4]합계!$F$19</f>
        <v>3.480646586185975</v>
      </c>
      <c r="V8" s="388">
        <f t="shared" ref="V8:V28" si="5">+U8-T8</f>
        <v>0.21240758049952468</v>
      </c>
    </row>
    <row r="9" spans="1:22" ht="24" customHeight="1" x14ac:dyDescent="0.3">
      <c r="D9" s="354" t="s">
        <v>16</v>
      </c>
      <c r="E9" s="353">
        <f>+[4]수도권!$E$9</f>
        <v>332.98611111111109</v>
      </c>
      <c r="F9" s="352">
        <f>+[4]수도권!$F$9</f>
        <v>296.21720747943147</v>
      </c>
      <c r="G9" s="387">
        <f t="shared" si="0"/>
        <v>-36.768903631679621</v>
      </c>
      <c r="H9" s="353">
        <f>+[4]수도권!$E$15</f>
        <v>400.20361111111106</v>
      </c>
      <c r="I9" s="352">
        <f>+[4]수도권!$F$15</f>
        <v>428.30016439790558</v>
      </c>
      <c r="J9" s="387">
        <f t="shared" si="1"/>
        <v>28.096553286794517</v>
      </c>
      <c r="K9" s="447">
        <f>+([4]수도권!$E$10*0.4+[4]수도권!$E$11+[4]수도권!$E$12+[4]수도권!$E$13+[4]수도권!$E$14)/[4]수도권!$E$15</f>
        <v>0.14234629178341859</v>
      </c>
      <c r="L9" s="446">
        <f>+([4]수도권!$F$10*0.4+[4]수도권!$F$11+[4]수도권!$F$12+[4]수도권!$F$13+[4]수도권!$F$14)/[4]수도권!$F$15</f>
        <v>0.25735924527495324</v>
      </c>
      <c r="M9" s="445">
        <f t="shared" si="2"/>
        <v>0.11501295349153465</v>
      </c>
      <c r="N9" s="353">
        <f>+[4]수도권!$E$16</f>
        <v>855.06944444444446</v>
      </c>
      <c r="O9" s="352">
        <f>+[4]수도권!$F$16</f>
        <v>844.39979057591609</v>
      </c>
      <c r="P9" s="387">
        <f t="shared" si="3"/>
        <v>-10.669653868528371</v>
      </c>
      <c r="Q9" s="353">
        <f>+[4]수도권!$E$17</f>
        <v>876.55555555555554</v>
      </c>
      <c r="R9" s="352">
        <f>+[4]수도권!$F$17</f>
        <v>842.43293941660488</v>
      </c>
      <c r="S9" s="387">
        <f t="shared" si="4"/>
        <v>-34.122616138950661</v>
      </c>
      <c r="T9" s="353">
        <f>+[4]수도권!$E$19</f>
        <v>3.4464902777777775</v>
      </c>
      <c r="U9" s="352">
        <f>+[4]수도권!$F$19</f>
        <v>3.7193358264771872</v>
      </c>
      <c r="V9" s="387">
        <f t="shared" si="5"/>
        <v>0.27284554869940969</v>
      </c>
    </row>
    <row r="10" spans="1:22" ht="24" customHeight="1" x14ac:dyDescent="0.3">
      <c r="D10" s="349" t="s">
        <v>17</v>
      </c>
      <c r="E10" s="348">
        <f>+[4]영남권!$E$9</f>
        <v>274.92416560934493</v>
      </c>
      <c r="F10" s="347">
        <f>+[4]영남권!$F$9</f>
        <v>259.71133521989879</v>
      </c>
      <c r="G10" s="386">
        <f t="shared" si="0"/>
        <v>-15.21283038944614</v>
      </c>
      <c r="H10" s="348">
        <f>+[4]영남권!$E$15</f>
        <v>375.10938162462014</v>
      </c>
      <c r="I10" s="347">
        <f>+[4]영남권!$F$15</f>
        <v>403.70942738305507</v>
      </c>
      <c r="J10" s="386">
        <f t="shared" si="1"/>
        <v>28.600045758434931</v>
      </c>
      <c r="K10" s="444">
        <f>+([4]영남권!$E$10*0.4+[4]영남권!$E$11+[4]영남권!$E$12+[4]영남권!$E$13+[4]영남권!$E$14)/[4]영남권!$E$15</f>
        <v>0.18209466716734507</v>
      </c>
      <c r="L10" s="443">
        <f>+([4]영남권!$F$10*0.4+[4]영남권!$F$11+[4]영남권!$F$12+[4]영남권!$F$13+[4]영남권!$F$14)/[4]영남권!$F$15</f>
        <v>0.26337475556887163</v>
      </c>
      <c r="M10" s="442">
        <f t="shared" si="2"/>
        <v>8.1280088401526562E-2</v>
      </c>
      <c r="N10" s="348">
        <f>+[4]영남권!$E$16</f>
        <v>813.36212716011016</v>
      </c>
      <c r="O10" s="347">
        <f>+[4]영남권!$F$16</f>
        <v>815.16474528200376</v>
      </c>
      <c r="P10" s="386">
        <f t="shared" si="3"/>
        <v>1.8026181218936017</v>
      </c>
      <c r="Q10" s="348">
        <f>+[4]영남권!$E$17</f>
        <v>898.51390009805164</v>
      </c>
      <c r="R10" s="347">
        <f>+[4]영남권!$F$17</f>
        <v>877.19276521122549</v>
      </c>
      <c r="S10" s="386">
        <f t="shared" si="4"/>
        <v>-21.321134886826144</v>
      </c>
      <c r="T10" s="348">
        <f>+[4]영남권!$E$19</f>
        <v>3.1947720671241888</v>
      </c>
      <c r="U10" s="347">
        <f>+[4]영남권!$F$19</f>
        <v>3.3753953874106575</v>
      </c>
      <c r="V10" s="386">
        <f t="shared" si="5"/>
        <v>0.18062332028646866</v>
      </c>
    </row>
    <row r="11" spans="1:22" ht="24" customHeight="1" x14ac:dyDescent="0.3">
      <c r="D11" s="344" t="s">
        <v>128</v>
      </c>
      <c r="E11" s="343">
        <f>+[4]중부권!$E$9</f>
        <v>349.21028464627085</v>
      </c>
      <c r="F11" s="342">
        <f>+[4]중부권!$F$9</f>
        <v>359.98480746867574</v>
      </c>
      <c r="G11" s="385">
        <f t="shared" si="0"/>
        <v>10.77452282240489</v>
      </c>
      <c r="H11" s="343">
        <f>+[4]중부권!$E$15</f>
        <v>373.40834515482743</v>
      </c>
      <c r="I11" s="342">
        <f>+[4]중부권!$F$15</f>
        <v>401.42961067889604</v>
      </c>
      <c r="J11" s="385">
        <f t="shared" si="1"/>
        <v>28.02126552406861</v>
      </c>
      <c r="K11" s="441">
        <f>+([4]중부권!$E$10*0.4+[4]중부권!$E$11+[4]중부권!$E$12+[4]중부권!$E$13+[4]중부권!$E$14)/[4]중부권!$E$15</f>
        <v>6.2589439423031787E-2</v>
      </c>
      <c r="L11" s="440">
        <f>+([4]중부권!$F$10*0.4+[4]중부권!$F$11+[4]중부권!$F$12+[4]중부권!$F$13+[4]중부권!$F$14)/[4]중부권!$F$15</f>
        <v>7.9112859534398616E-2</v>
      </c>
      <c r="M11" s="439">
        <f t="shared" si="2"/>
        <v>1.6523420111366829E-2</v>
      </c>
      <c r="N11" s="343">
        <f>+[4]중부권!$E$16</f>
        <v>810.89547169811317</v>
      </c>
      <c r="O11" s="342">
        <f>+[4]중부권!$F$16</f>
        <v>781.95381213659812</v>
      </c>
      <c r="P11" s="385">
        <f t="shared" si="3"/>
        <v>-28.941659561515053</v>
      </c>
      <c r="Q11" s="343">
        <f>+[4]중부권!$E$17</f>
        <v>924.85820754716985</v>
      </c>
      <c r="R11" s="342">
        <f>+[4]중부권!$F$17</f>
        <v>963.59872246335271</v>
      </c>
      <c r="S11" s="385">
        <f t="shared" si="4"/>
        <v>38.74051491618286</v>
      </c>
      <c r="T11" s="343">
        <f>+[4]중부권!$E$19</f>
        <v>3.0348301886792455</v>
      </c>
      <c r="U11" s="342">
        <f>+[4]중부권!$F$19</f>
        <v>3.2302596019981986</v>
      </c>
      <c r="V11" s="385">
        <f t="shared" si="5"/>
        <v>0.19542941331895314</v>
      </c>
    </row>
    <row r="12" spans="1:22" ht="24" customHeight="1" x14ac:dyDescent="0.3">
      <c r="D12" s="384" t="s">
        <v>18</v>
      </c>
      <c r="E12" s="337">
        <f>+[4]안양!$E$9</f>
        <v>347.24137931034483</v>
      </c>
      <c r="F12" s="336">
        <f>+[4]안양!$F$9</f>
        <v>279.75099229224668</v>
      </c>
      <c r="G12" s="338">
        <f t="shared" si="0"/>
        <v>-67.490387018098147</v>
      </c>
      <c r="H12" s="337">
        <f>+[4]안양!$E$15</f>
        <v>393.17241379310343</v>
      </c>
      <c r="I12" s="336">
        <f>+[4]안양!$F$15</f>
        <v>435.67765172614781</v>
      </c>
      <c r="J12" s="338">
        <f t="shared" si="1"/>
        <v>42.505237933044384</v>
      </c>
      <c r="K12" s="438">
        <f>+([4]안양!$E$10*0.4+[4]안양!$E$11+[4]안양!$E$12+[4]안양!$E$13+[4]안양!$E$14)/[4]안양!$E$15</f>
        <v>0.11682161024381688</v>
      </c>
      <c r="L12" s="437">
        <f>+([4]안양!$F$10*0.4+[4]안양!$F$11+[4]안양!$F$12+[4]안양!$F$13+[4]안양!$F$14)/[4]안양!$F$15</f>
        <v>0.34733612569584532</v>
      </c>
      <c r="M12" s="436">
        <f t="shared" si="2"/>
        <v>0.23051451545202845</v>
      </c>
      <c r="N12" s="337">
        <f>+[4]안양!$E$16</f>
        <v>845.44827586206895</v>
      </c>
      <c r="O12" s="336">
        <f>+[4]안양!$F$16</f>
        <v>833.49653474965999</v>
      </c>
      <c r="P12" s="338">
        <f t="shared" si="3"/>
        <v>-11.951741112408968</v>
      </c>
      <c r="Q12" s="337">
        <f>+[4]안양!$E$17</f>
        <v>879.48275862068965</v>
      </c>
      <c r="R12" s="336">
        <f>+[4]안양!$F$17</f>
        <v>803.12672452879167</v>
      </c>
      <c r="S12" s="338">
        <f t="shared" si="4"/>
        <v>-76.356034091897982</v>
      </c>
      <c r="T12" s="435">
        <f>+[4]안양!$E$19</f>
        <v>3.53</v>
      </c>
      <c r="U12" s="434">
        <f>+[4]안양!$F$19</f>
        <v>4.4487628732430862</v>
      </c>
      <c r="V12" s="433">
        <f t="shared" si="5"/>
        <v>0.91876287324308636</v>
      </c>
    </row>
    <row r="13" spans="1:22" ht="24" customHeight="1" x14ac:dyDescent="0.3">
      <c r="D13" s="325" t="s">
        <v>19</v>
      </c>
      <c r="E13" s="323">
        <f>+[4]인천!$E$9</f>
        <v>329.84000000000009</v>
      </c>
      <c r="F13" s="322">
        <f>+[4]인천!$F$9</f>
        <v>322.17298824820529</v>
      </c>
      <c r="G13" s="324">
        <f t="shared" si="0"/>
        <v>-7.6670117517948029</v>
      </c>
      <c r="H13" s="323">
        <f>+[4]인천!$E$15</f>
        <v>425.04000000000008</v>
      </c>
      <c r="I13" s="322">
        <f>+[4]인천!$F$15</f>
        <v>436.5265540262472</v>
      </c>
      <c r="J13" s="324">
        <f t="shared" si="1"/>
        <v>11.48655402624712</v>
      </c>
      <c r="K13" s="426">
        <f>+([4]인천!$E$10*0.4+[4]인천!$E$11+[4]인천!$E$12+[4]인천!$E$13+[4]인천!$E$14)/[4]인천!$E$15</f>
        <v>0.16807829851308109</v>
      </c>
      <c r="L13" s="425">
        <f>+([4]인천!$F$10*0.4+[4]인천!$F$11+[4]인천!$F$12+[4]인천!$F$13+[4]인천!$F$14)/[4]인천!$F$15</f>
        <v>0.16722254002616757</v>
      </c>
      <c r="M13" s="424">
        <f t="shared" si="2"/>
        <v>-8.5575848691352152E-4</v>
      </c>
      <c r="N13" s="323">
        <f>+[4]인천!$E$16</f>
        <v>879.6</v>
      </c>
      <c r="O13" s="322">
        <f>+[4]인천!$F$16</f>
        <v>853.7315377932232</v>
      </c>
      <c r="P13" s="324">
        <f t="shared" si="3"/>
        <v>-25.868462206776826</v>
      </c>
      <c r="Q13" s="323">
        <f>+[4]인천!$E$17</f>
        <v>850.19999999999993</v>
      </c>
      <c r="R13" s="322">
        <f>+[4]인천!$F$17</f>
        <v>874.09209383145128</v>
      </c>
      <c r="S13" s="324">
        <f t="shared" si="4"/>
        <v>23.892093831451348</v>
      </c>
      <c r="T13" s="423">
        <f>+[4]인천!$E$19</f>
        <v>3.5903999999999998</v>
      </c>
      <c r="U13" s="422">
        <f>+[4]인천!$F$19</f>
        <v>3.1564063285929835</v>
      </c>
      <c r="V13" s="421">
        <f t="shared" si="5"/>
        <v>-0.43399367140701628</v>
      </c>
    </row>
    <row r="14" spans="1:22" ht="24" customHeight="1" x14ac:dyDescent="0.3">
      <c r="D14" s="325" t="s">
        <v>20</v>
      </c>
      <c r="E14" s="323">
        <f>+[4]파주!$E$9</f>
        <v>311.8</v>
      </c>
      <c r="F14" s="322">
        <f>+[4]파주!$F$9</f>
        <v>315.58259799945938</v>
      </c>
      <c r="G14" s="324">
        <f t="shared" si="0"/>
        <v>3.7825979994593695</v>
      </c>
      <c r="H14" s="323">
        <f>+[4]파주!$E$15</f>
        <v>368.66600000000005</v>
      </c>
      <c r="I14" s="322">
        <f>+[4]파주!$F$15</f>
        <v>403.54895647472296</v>
      </c>
      <c r="J14" s="324">
        <f t="shared" si="1"/>
        <v>34.882956474722903</v>
      </c>
      <c r="K14" s="426">
        <f>+([4]파주!$E$10*0.4+[4]파주!$E$11+[4]파주!$E$12+[4]파주!$E$13+[4]파주!$E$14)/[4]파주!$E$15</f>
        <v>0.15424801853167905</v>
      </c>
      <c r="L14" s="425">
        <f>+([4]파주!$F$10*0.4+[4]파주!$F$11+[4]파주!$F$12+[4]파주!$F$13+[4]파주!$F$14)/[4]파주!$F$15</f>
        <v>0.21778089329748365</v>
      </c>
      <c r="M14" s="424">
        <f t="shared" si="2"/>
        <v>6.3532874765804603E-2</v>
      </c>
      <c r="N14" s="323">
        <f>+[4]파주!$E$16</f>
        <v>827.5</v>
      </c>
      <c r="O14" s="322">
        <f>+[4]파주!$F$16</f>
        <v>873.79832387131557</v>
      </c>
      <c r="P14" s="324">
        <f t="shared" si="3"/>
        <v>46.298323871315574</v>
      </c>
      <c r="Q14" s="323">
        <f>+[4]파주!$E$17</f>
        <v>908.2</v>
      </c>
      <c r="R14" s="322">
        <f>+[4]파주!$F$17</f>
        <v>843.95039199783764</v>
      </c>
      <c r="S14" s="324">
        <f t="shared" si="4"/>
        <v>-64.249608002162404</v>
      </c>
      <c r="T14" s="423">
        <f>+[4]파주!$E$19</f>
        <v>2.9487300000000003</v>
      </c>
      <c r="U14" s="422">
        <f>+[4]파주!$F$19</f>
        <v>2.6606582860232488</v>
      </c>
      <c r="V14" s="421">
        <f t="shared" si="5"/>
        <v>-0.28807171397675146</v>
      </c>
    </row>
    <row r="15" spans="1:22" ht="24" customHeight="1" x14ac:dyDescent="0.3">
      <c r="D15" s="325" t="s">
        <v>106</v>
      </c>
      <c r="E15" s="323">
        <f>+[4]김포!$E$9</f>
        <v>317.625</v>
      </c>
      <c r="F15" s="322">
        <f>+[4]김포!$F$9</f>
        <v>266.02357046979864</v>
      </c>
      <c r="G15" s="324">
        <f t="shared" si="0"/>
        <v>-51.601429530201358</v>
      </c>
      <c r="H15" s="323">
        <f>+[4]김포!$E$15</f>
        <v>387.5</v>
      </c>
      <c r="I15" s="322">
        <f>+[4]김포!$F$15</f>
        <v>394.80344071588371</v>
      </c>
      <c r="J15" s="324">
        <f t="shared" si="1"/>
        <v>7.3034407158837098</v>
      </c>
      <c r="K15" s="426">
        <f>+([4]김포!$E$10*0.4+[4]김포!$E$11+[4]김포!$E$12+[4]김포!$E$13+[4]김포!$E$14)/[4]김포!$E$15</f>
        <v>0.13387096774193549</v>
      </c>
      <c r="L15" s="425">
        <f>+([4]김포!$F$10*0.4+[4]김포!$F$11+[4]김포!$F$12+[4]김포!$F$13+[4]김포!$F$14)/[4]김포!$F$15</f>
        <v>0.16979152279770085</v>
      </c>
      <c r="M15" s="424">
        <f t="shared" si="2"/>
        <v>3.5920555055765357E-2</v>
      </c>
      <c r="N15" s="323">
        <f>+[4]김포!$E$16</f>
        <v>847.75</v>
      </c>
      <c r="O15" s="322">
        <f>+[4]김포!$F$16</f>
        <v>831.73825503355692</v>
      </c>
      <c r="P15" s="324">
        <f t="shared" si="3"/>
        <v>-16.011744966443075</v>
      </c>
      <c r="Q15" s="323">
        <f>+[4]김포!$E$17</f>
        <v>908.75</v>
      </c>
      <c r="R15" s="322">
        <f>+[4]김포!$F$17</f>
        <v>918.51304996271404</v>
      </c>
      <c r="S15" s="324">
        <f t="shared" si="4"/>
        <v>9.7630499627140352</v>
      </c>
      <c r="T15" s="423">
        <f>+[4]김포!$E$19</f>
        <v>3.3162500000000001</v>
      </c>
      <c r="U15" s="422">
        <f>+[4]김포!$F$19</f>
        <v>3.3643102162565244</v>
      </c>
      <c r="V15" s="421">
        <f t="shared" si="5"/>
        <v>4.8060216256524235E-2</v>
      </c>
    </row>
    <row r="16" spans="1:22" ht="24" customHeight="1" x14ac:dyDescent="0.3">
      <c r="D16" s="380" t="s">
        <v>21</v>
      </c>
      <c r="E16" s="330">
        <f>+[4]부산!$E$9</f>
        <v>232.54000000000002</v>
      </c>
      <c r="F16" s="329">
        <f>+[4]부산!$F$9</f>
        <v>168.34121755654422</v>
      </c>
      <c r="G16" s="331">
        <f t="shared" si="0"/>
        <v>-64.198782443455798</v>
      </c>
      <c r="H16" s="330">
        <f>+[4]부산!$E$15</f>
        <v>400.94</v>
      </c>
      <c r="I16" s="329">
        <f>+[4]부산!$F$15</f>
        <v>438.76740313311086</v>
      </c>
      <c r="J16" s="331">
        <f t="shared" si="1"/>
        <v>37.827403133110863</v>
      </c>
      <c r="K16" s="432">
        <f>+([4]부산!$E$10*0.4+[4]부산!$E$11+[4]부산!$E$12+[4]부산!$E$13+[4]부산!$E$14)/[4]부산!$E$15</f>
        <v>0.20401057514840126</v>
      </c>
      <c r="L16" s="431">
        <f>+([4]부산!$F$10*0.4+[4]부산!$F$11+[4]부산!$F$12+[4]부산!$F$13+[4]부산!$F$14)/[4]부산!$F$15</f>
        <v>0.3935122340314019</v>
      </c>
      <c r="M16" s="430">
        <f t="shared" si="2"/>
        <v>0.18950165888300063</v>
      </c>
      <c r="N16" s="330">
        <f>+[4]부산!$E$16</f>
        <v>850.39999999999986</v>
      </c>
      <c r="O16" s="329">
        <f>+[4]부산!$F$16</f>
        <v>889.947163515017</v>
      </c>
      <c r="P16" s="331">
        <f t="shared" si="3"/>
        <v>39.547163515017132</v>
      </c>
      <c r="Q16" s="330">
        <f>+[4]부산!$E$17</f>
        <v>870.19999999999993</v>
      </c>
      <c r="R16" s="329">
        <f>+[4]부산!$F$17</f>
        <v>824.95133481646303</v>
      </c>
      <c r="S16" s="331">
        <f t="shared" si="4"/>
        <v>-45.2486651835369</v>
      </c>
      <c r="T16" s="429">
        <f>+[4]부산!$E$19</f>
        <v>3.0582814588888891</v>
      </c>
      <c r="U16" s="428">
        <f>+[4]부산!$F$19</f>
        <v>3.7656562847608468</v>
      </c>
      <c r="V16" s="427">
        <f t="shared" si="5"/>
        <v>0.70737482587195766</v>
      </c>
    </row>
    <row r="17" spans="4:22" ht="24" customHeight="1" x14ac:dyDescent="0.3">
      <c r="D17" s="325" t="s">
        <v>22</v>
      </c>
      <c r="E17" s="323">
        <f>+[4]서부산!$E$9</f>
        <v>270.42026666666675</v>
      </c>
      <c r="F17" s="322">
        <f>+[4]서부산!$F$9</f>
        <v>312.37846012014512</v>
      </c>
      <c r="G17" s="324">
        <f t="shared" si="0"/>
        <v>41.958193453478373</v>
      </c>
      <c r="H17" s="323">
        <f>+[4]서부산!$E$15</f>
        <v>374.78366666666682</v>
      </c>
      <c r="I17" s="322">
        <f>+[4]서부산!$F$15</f>
        <v>395.8590774995539</v>
      </c>
      <c r="J17" s="324">
        <f t="shared" si="1"/>
        <v>21.075410832887087</v>
      </c>
      <c r="K17" s="426">
        <f>+([4]서부산!$E$10*0.4+[4]서부산!$E$11+[4]서부산!$E$12+[4]서부산!$E$13+[4]서부산!$E$14)/[4]서부산!$E$15</f>
        <v>0.17997116203036234</v>
      </c>
      <c r="L17" s="425">
        <f>+([4]서부산!$F$10*0.4+[4]서부산!$F$11+[4]서부산!$F$12+[4]서부산!$F$13+[4]서부산!$F$14)/[4]서부산!$F$15</f>
        <v>0.14909925029854693</v>
      </c>
      <c r="M17" s="424">
        <f t="shared" si="2"/>
        <v>-3.0871911731815416E-2</v>
      </c>
      <c r="N17" s="323">
        <f>+[4]서부산!$E$16</f>
        <v>824.5</v>
      </c>
      <c r="O17" s="322">
        <f>+[4]서부산!$F$16</f>
        <v>806.94789746029892</v>
      </c>
      <c r="P17" s="324">
        <f t="shared" si="3"/>
        <v>-17.552102539701082</v>
      </c>
      <c r="Q17" s="323">
        <f>+[4]서부산!$E$17</f>
        <v>907.3</v>
      </c>
      <c r="R17" s="322">
        <f>+[4]서부산!$F$17</f>
        <v>909.64967584607166</v>
      </c>
      <c r="S17" s="324">
        <f t="shared" si="4"/>
        <v>2.3496758460717047</v>
      </c>
      <c r="T17" s="423">
        <f>+[4]서부산!$E$19</f>
        <v>3.34</v>
      </c>
      <c r="U17" s="422">
        <f>+[4]서부산!$F$19</f>
        <v>3.1447891512520072</v>
      </c>
      <c r="V17" s="421">
        <f t="shared" si="5"/>
        <v>-0.19521084874799266</v>
      </c>
    </row>
    <row r="18" spans="4:22" ht="24" customHeight="1" x14ac:dyDescent="0.3">
      <c r="D18" s="325" t="s">
        <v>23</v>
      </c>
      <c r="E18" s="323">
        <f>+[4]김해!$E$9</f>
        <v>250.06690005251181</v>
      </c>
      <c r="F18" s="322">
        <f>+[4]김해!$F$9</f>
        <v>218.06949648196996</v>
      </c>
      <c r="G18" s="324">
        <f t="shared" si="0"/>
        <v>-31.997403570541849</v>
      </c>
      <c r="H18" s="323">
        <f>+[4]김해!$E$15</f>
        <v>365.6</v>
      </c>
      <c r="I18" s="322">
        <f>+[4]김해!$F$15</f>
        <v>356.7087071240104</v>
      </c>
      <c r="J18" s="324">
        <f t="shared" si="1"/>
        <v>-8.8912928759896204</v>
      </c>
      <c r="K18" s="426">
        <f>+([4]김해!$E$10*0.4+[4]김해!$E$11+[4]김해!$E$12+[4]김해!$E$13+[4]김해!$E$14)/[4]김해!$E$15</f>
        <v>0.16324735975879037</v>
      </c>
      <c r="L18" s="425">
        <f>+([4]김해!$F$10*0.4+[4]김해!$F$11+[4]김해!$F$12+[4]김해!$F$13+[4]김해!$F$14)/[4]김해!$F$15</f>
        <v>0.2424375101398549</v>
      </c>
      <c r="M18" s="424">
        <f t="shared" si="2"/>
        <v>7.9190150381064528E-2</v>
      </c>
      <c r="N18" s="323">
        <f>+[4]김해!$E$16</f>
        <v>796</v>
      </c>
      <c r="O18" s="322">
        <f>+[4]김해!$F$16</f>
        <v>824.5382585751978</v>
      </c>
      <c r="P18" s="324">
        <f t="shared" si="3"/>
        <v>28.538258575197801</v>
      </c>
      <c r="Q18" s="323">
        <f>+[4]김해!$E$17</f>
        <v>914</v>
      </c>
      <c r="R18" s="322">
        <f>+[4]김해!$F$17</f>
        <v>878.781882145998</v>
      </c>
      <c r="S18" s="324">
        <f t="shared" si="4"/>
        <v>-35.218117854002003</v>
      </c>
      <c r="T18" s="423">
        <f>+[4]김해!$E$19</f>
        <v>3.4622000000000002</v>
      </c>
      <c r="U18" s="422">
        <f>+[4]김해!$F$19</f>
        <v>3.3364665787159189</v>
      </c>
      <c r="V18" s="421">
        <f t="shared" si="5"/>
        <v>-0.12573342128408127</v>
      </c>
    </row>
    <row r="19" spans="4:22" ht="24" customHeight="1" x14ac:dyDescent="0.3">
      <c r="D19" s="325" t="s">
        <v>24</v>
      </c>
      <c r="E19" s="323">
        <f>+[4]정관!$E$9</f>
        <v>311.36559933042821</v>
      </c>
      <c r="F19" s="322">
        <f>+[4]정관!$F$9</f>
        <v>282.92502030708295</v>
      </c>
      <c r="G19" s="324">
        <f t="shared" si="0"/>
        <v>-28.440579023345265</v>
      </c>
      <c r="H19" s="323">
        <f>+[4]정관!$E$15</f>
        <v>371.62015984358561</v>
      </c>
      <c r="I19" s="322">
        <f>+[4]정관!$F$15</f>
        <v>396.69439524517117</v>
      </c>
      <c r="J19" s="324">
        <f t="shared" si="1"/>
        <v>25.074235401585554</v>
      </c>
      <c r="K19" s="426">
        <f>+([4]정관!$E$10*0.4+[4]정관!$E$11+[4]정관!$E$12+[4]정관!$E$13+[4]정관!$E$14)/[4]정관!$E$15</f>
        <v>0.16214018243390899</v>
      </c>
      <c r="L19" s="425">
        <f>+([4]정관!$F$10*0.4+[4]정관!$F$11+[4]정관!$F$12+[4]정관!$F$13+[4]정관!$F$14)/[4]정관!$F$15</f>
        <v>0.24759706385053415</v>
      </c>
      <c r="M19" s="424">
        <f t="shared" si="2"/>
        <v>8.5456881416625163E-2</v>
      </c>
      <c r="N19" s="323">
        <f>+[4]정관!$E$16</f>
        <v>824.25176469544056</v>
      </c>
      <c r="O19" s="322">
        <f>+[4]정관!$F$16</f>
        <v>756.96978702327976</v>
      </c>
      <c r="P19" s="324">
        <f t="shared" si="3"/>
        <v>-67.281977672160792</v>
      </c>
      <c r="Q19" s="323">
        <f>+[4]정관!$E$17</f>
        <v>903.45410213490072</v>
      </c>
      <c r="R19" s="322">
        <f>+[4]정관!$F$17</f>
        <v>943.675581971273</v>
      </c>
      <c r="S19" s="324">
        <f t="shared" si="4"/>
        <v>40.221479836372282</v>
      </c>
      <c r="T19" s="423">
        <f>+[4]정관!$E$19</f>
        <v>3.1587713586704775</v>
      </c>
      <c r="U19" s="422">
        <f>+[4]정관!$F$19</f>
        <v>3.3958999504705298</v>
      </c>
      <c r="V19" s="421">
        <f t="shared" si="5"/>
        <v>0.2371285918000523</v>
      </c>
    </row>
    <row r="20" spans="4:22" ht="24" customHeight="1" x14ac:dyDescent="0.3">
      <c r="D20" s="325" t="s">
        <v>25</v>
      </c>
      <c r="E20" s="323">
        <f>+[4]양산!$E$9</f>
        <v>275.66666666666669</v>
      </c>
      <c r="F20" s="322">
        <f>+[4]양산!$F$9</f>
        <v>277.34375796178335</v>
      </c>
      <c r="G20" s="324">
        <f t="shared" si="0"/>
        <v>1.6770912951166679</v>
      </c>
      <c r="H20" s="323">
        <f>+[4]양산!$E$15</f>
        <v>357.91666666666669</v>
      </c>
      <c r="I20" s="322">
        <f>+[4]양산!$F$15</f>
        <v>358.95600077205165</v>
      </c>
      <c r="J20" s="324">
        <f t="shared" si="1"/>
        <v>1.0393341053849667</v>
      </c>
      <c r="K20" s="426">
        <f>+([4]양산!$E$10*0.4+[4]양산!$E$11+[4]양산!$E$12+[4]양산!$E$13+[4]양산!$E$14)/[4]양산!$E$15</f>
        <v>0.22980209545983701</v>
      </c>
      <c r="L20" s="425">
        <f>+([4]양산!$F$10*0.4+[4]양산!$F$11+[4]양산!$F$12+[4]양산!$F$13+[4]양산!$F$14)/[4]양산!$F$15</f>
        <v>0.22736001803768324</v>
      </c>
      <c r="M20" s="424">
        <f t="shared" si="2"/>
        <v>-2.4420774221537711E-3</v>
      </c>
      <c r="N20" s="323">
        <f>+[4]양산!$E$16</f>
        <v>781.41666666666663</v>
      </c>
      <c r="O20" s="322">
        <f>+[4]양산!$F$16</f>
        <v>763.45396641574996</v>
      </c>
      <c r="P20" s="324">
        <f t="shared" si="3"/>
        <v>-17.962700250916669</v>
      </c>
      <c r="Q20" s="323">
        <f>+[4]양산!$E$17</f>
        <v>897</v>
      </c>
      <c r="R20" s="322">
        <f>+[4]양산!$F$17</f>
        <v>893.50125458405671</v>
      </c>
      <c r="S20" s="324">
        <f t="shared" si="4"/>
        <v>-3.49874541594329</v>
      </c>
      <c r="T20" s="423">
        <f>+[4]양산!$E$19</f>
        <v>3.0233333333333334</v>
      </c>
      <c r="U20" s="422">
        <f>+[4]양산!$F$19</f>
        <v>2.8521984172939607</v>
      </c>
      <c r="V20" s="421">
        <f t="shared" si="5"/>
        <v>-0.1711349160393727</v>
      </c>
    </row>
    <row r="21" spans="4:22" ht="24" customHeight="1" x14ac:dyDescent="0.3">
      <c r="D21" s="325" t="s">
        <v>26</v>
      </c>
      <c r="E21" s="323">
        <f>+[4]창원!$E$9</f>
        <v>250.4941176470588</v>
      </c>
      <c r="F21" s="322">
        <f>+[4]창원!$F$9</f>
        <v>274.86760666666663</v>
      </c>
      <c r="G21" s="324">
        <f t="shared" si="0"/>
        <v>24.373489019607831</v>
      </c>
      <c r="H21" s="323">
        <f>+[4]창원!$E$15</f>
        <v>367.6047058823529</v>
      </c>
      <c r="I21" s="322">
        <f>+[4]창원!$F$15</f>
        <v>370.00389200000001</v>
      </c>
      <c r="J21" s="324">
        <f t="shared" si="1"/>
        <v>2.3991861176471048</v>
      </c>
      <c r="K21" s="426">
        <f>+([4]창원!$E$10*0.4+[4]창원!$E$11+[4]창원!$E$12+[4]창원!$E$13+[4]창원!$E$14)/[4]창원!$E$15</f>
        <v>0.23189103384709925</v>
      </c>
      <c r="L21" s="425">
        <f>+([4]창원!$F$10*0.4+[4]창원!$F$11+[4]창원!$F$12+[4]창원!$F$13+[4]창원!$F$14)/[4]창원!$F$15</f>
        <v>0.25712239084591404</v>
      </c>
      <c r="M21" s="424">
        <f t="shared" si="2"/>
        <v>2.5231356998814791E-2</v>
      </c>
      <c r="N21" s="323">
        <f>+[4]창원!$E$16</f>
        <v>832.92941176470595</v>
      </c>
      <c r="O21" s="322">
        <f>+[4]창원!$F$16</f>
        <v>838.30933333333326</v>
      </c>
      <c r="P21" s="324">
        <f t="shared" si="3"/>
        <v>5.3799215686273101</v>
      </c>
      <c r="Q21" s="323">
        <f>+[4]창원!$E$17</f>
        <v>870.91764705882349</v>
      </c>
      <c r="R21" s="322">
        <f>+[4]창원!$F$17</f>
        <v>842.01999999999964</v>
      </c>
      <c r="S21" s="324">
        <f t="shared" si="4"/>
        <v>-28.89764705882385</v>
      </c>
      <c r="T21" s="423">
        <f>+[4]창원!$E$19</f>
        <v>3.0797647058823525</v>
      </c>
      <c r="U21" s="422">
        <f>+[4]창원!$F$19</f>
        <v>2.9959800000000012</v>
      </c>
      <c r="V21" s="421">
        <f t="shared" si="5"/>
        <v>-8.3784705882351318E-2</v>
      </c>
    </row>
    <row r="22" spans="4:22" ht="24" customHeight="1" x14ac:dyDescent="0.3">
      <c r="D22" s="325" t="s">
        <v>127</v>
      </c>
      <c r="E22" s="323">
        <f>+[4]대구!$E$9</f>
        <v>299.67500000000001</v>
      </c>
      <c r="F22" s="322">
        <f>+[4]대구!$F$9</f>
        <v>232.52437650546588</v>
      </c>
      <c r="G22" s="324">
        <f t="shared" si="0"/>
        <v>-67.15062349453413</v>
      </c>
      <c r="H22" s="323">
        <f>+[4]대구!$E$15</f>
        <v>341.5</v>
      </c>
      <c r="I22" s="322">
        <f>+[4]대구!$F$15</f>
        <v>341.73581619418184</v>
      </c>
      <c r="J22" s="324">
        <f t="shared" si="1"/>
        <v>0.23581619418183664</v>
      </c>
      <c r="K22" s="426">
        <f>+([4]대구!$E$10*0.4+[4]대구!$E$11+[4]대구!$E$12+[4]대구!$E$13+[4]대구!$E$14)/[4]대구!$E$15</f>
        <v>0.12247437774524159</v>
      </c>
      <c r="L22" s="425">
        <f>+([4]대구!$F$10*0.4+[4]대구!$F$11+[4]대구!$F$12+[4]대구!$F$13+[4]대구!$F$14)/[4]대구!$F$15</f>
        <v>0.25402565741111149</v>
      </c>
      <c r="M22" s="424">
        <f t="shared" si="2"/>
        <v>0.13155127966586991</v>
      </c>
      <c r="N22" s="323">
        <f>+[4]대구!$E$16</f>
        <v>715.16753519640088</v>
      </c>
      <c r="O22" s="322">
        <f>+[4]대구!$F$16</f>
        <v>709.8017417083563</v>
      </c>
      <c r="P22" s="324">
        <f t="shared" si="3"/>
        <v>-5.3657934880445737</v>
      </c>
      <c r="Q22" s="323">
        <f>+[4]대구!$E$17</f>
        <v>987.61231050931542</v>
      </c>
      <c r="R22" s="322">
        <f>+[4]대구!$F$17</f>
        <v>969.39410783768722</v>
      </c>
      <c r="S22" s="324">
        <f t="shared" si="4"/>
        <v>-18.218202671628205</v>
      </c>
      <c r="T22" s="423">
        <f>+[4]대구!$E$19</f>
        <v>3.0735000000000001</v>
      </c>
      <c r="U22" s="422">
        <f>+[4]대구!$F$19</f>
        <v>3.4016120066703723</v>
      </c>
      <c r="V22" s="421">
        <f t="shared" si="5"/>
        <v>0.32811200667037221</v>
      </c>
    </row>
    <row r="23" spans="4:22" ht="24" customHeight="1" x14ac:dyDescent="0.3">
      <c r="D23" s="325" t="s">
        <v>126</v>
      </c>
      <c r="E23" s="323">
        <f>+[4]울산!$E$9</f>
        <v>323.98</v>
      </c>
      <c r="F23" s="322">
        <f>+[4]울산!$F$9</f>
        <v>345.75340651021963</v>
      </c>
      <c r="G23" s="324">
        <f t="shared" si="0"/>
        <v>21.773406510219615</v>
      </c>
      <c r="H23" s="323">
        <f>+[4]울산!$E$15</f>
        <v>383.00000000000006</v>
      </c>
      <c r="I23" s="322">
        <f>+[4]울산!$F$15</f>
        <v>433.23704674489034</v>
      </c>
      <c r="J23" s="324">
        <f t="shared" si="1"/>
        <v>50.237046744890279</v>
      </c>
      <c r="K23" s="426">
        <f>+([4]울산!$E$10*0.4+[4]울산!$E$11+[4]울산!$E$12+[4]울산!$E$13+[4]울산!$E$14)/[4]울산!$E$15</f>
        <v>0.15409921671018273</v>
      </c>
      <c r="L23" s="425">
        <f>+([4]울산!$F$10*0.4+[4]울산!$F$11+[4]울산!$F$12+[4]울산!$F$13+[4]울산!$F$14)/[4]울산!$F$15</f>
        <v>0.2019301924707862</v>
      </c>
      <c r="M23" s="424">
        <f t="shared" si="2"/>
        <v>4.7830975760603467E-2</v>
      </c>
      <c r="N23" s="323">
        <f>+[4]울산!$E$16</f>
        <v>774.83999999999992</v>
      </c>
      <c r="O23" s="322">
        <f>+[4]울산!$F$16</f>
        <v>762.94511733535171</v>
      </c>
      <c r="P23" s="324">
        <f t="shared" si="3"/>
        <v>-11.894882664648208</v>
      </c>
      <c r="Q23" s="323">
        <f>+[4]울산!$E$17</f>
        <v>873.68000000000006</v>
      </c>
      <c r="R23" s="322">
        <f>+[4]울산!$F$17</f>
        <v>861.4459689629067</v>
      </c>
      <c r="S23" s="324">
        <f t="shared" si="4"/>
        <v>-12.234031037093359</v>
      </c>
      <c r="T23" s="423">
        <f>+[4]울산!$E$19</f>
        <v>3.3879999999999999</v>
      </c>
      <c r="U23" s="422">
        <f>+[4]울산!$F$19</f>
        <v>3.4617429977289942</v>
      </c>
      <c r="V23" s="421">
        <f t="shared" si="5"/>
        <v>7.3742997728994286E-2</v>
      </c>
    </row>
    <row r="24" spans="4:22" ht="24" customHeight="1" x14ac:dyDescent="0.3">
      <c r="D24" s="380" t="s">
        <v>27</v>
      </c>
      <c r="E24" s="330">
        <f>+[4]아산!$E$9</f>
        <v>353.15325431261772</v>
      </c>
      <c r="F24" s="329">
        <f>+[4]아산!$F$9</f>
        <v>386.10083810048923</v>
      </c>
      <c r="G24" s="331">
        <f t="shared" si="0"/>
        <v>32.947583787871508</v>
      </c>
      <c r="H24" s="330">
        <f>+[4]아산!$E$15</f>
        <v>383.25211466029265</v>
      </c>
      <c r="I24" s="329">
        <f>+[4]아산!$F$15</f>
        <v>421.54698049486512</v>
      </c>
      <c r="J24" s="331">
        <f t="shared" si="1"/>
        <v>38.294865834572477</v>
      </c>
      <c r="K24" s="432">
        <f>+([4]아산!$E$10*0.4+[4]아산!$E$11+[4]아산!$E$12+[4]아산!$E$13+[4]아산!$E$14)/[4]아산!$E$15</f>
        <v>7.8535405797705737E-2</v>
      </c>
      <c r="L24" s="431">
        <f>+([4]아산!$F$10*0.4+[4]아산!$F$11+[4]아산!$F$12+[4]아산!$F$13+[4]아산!$F$14)/[4]아산!$F$15</f>
        <v>8.4085864765926541E-2</v>
      </c>
      <c r="M24" s="430">
        <f t="shared" si="2"/>
        <v>5.5504589682208033E-3</v>
      </c>
      <c r="N24" s="330">
        <f>+[4]아산!$E$16</f>
        <v>860</v>
      </c>
      <c r="O24" s="329">
        <f>+[4]아산!$F$16</f>
        <v>772.97539458267272</v>
      </c>
      <c r="P24" s="331">
        <f t="shared" si="3"/>
        <v>-87.02460541732728</v>
      </c>
      <c r="Q24" s="330">
        <f>+[4]아산!$E$17</f>
        <v>893.57024999999987</v>
      </c>
      <c r="R24" s="329">
        <f>+[4]아산!$F$17</f>
        <v>996.14687435384951</v>
      </c>
      <c r="S24" s="331">
        <f t="shared" si="4"/>
        <v>102.57662435384964</v>
      </c>
      <c r="T24" s="429">
        <f>+[4]아산!$E$19</f>
        <v>3.0150999999999999</v>
      </c>
      <c r="U24" s="428">
        <f>+[4]아산!$F$19</f>
        <v>3.6504514439313547</v>
      </c>
      <c r="V24" s="427">
        <f t="shared" si="5"/>
        <v>0.63535144393135479</v>
      </c>
    </row>
    <row r="25" spans="4:22" ht="24" customHeight="1" x14ac:dyDescent="0.3">
      <c r="D25" s="325" t="s">
        <v>125</v>
      </c>
      <c r="E25" s="323">
        <f>+[4]전주!$E$9</f>
        <v>326.5</v>
      </c>
      <c r="F25" s="322">
        <f>+[4]전주!$F$9</f>
        <v>301.85759862145375</v>
      </c>
      <c r="G25" s="324">
        <f t="shared" si="0"/>
        <v>-24.642401378546253</v>
      </c>
      <c r="H25" s="323">
        <f>+[4]전주!$E$15</f>
        <v>367.00200000000001</v>
      </c>
      <c r="I25" s="322">
        <f>+[4]전주!$F$15</f>
        <v>376.01995568958102</v>
      </c>
      <c r="J25" s="324">
        <f t="shared" si="1"/>
        <v>9.0179556895810151</v>
      </c>
      <c r="K25" s="426">
        <f>+([4]전주!$E$10*0.4+[4]전주!$E$11+[4]전주!$E$12+[4]전주!$E$13+[4]전주!$E$14)/[4]전주!$E$15</f>
        <v>9.8421262009471336E-2</v>
      </c>
      <c r="L25" s="425">
        <f>+([4]전주!$F$10*0.4+[4]전주!$F$11+[4]전주!$F$12+[4]전주!$F$13+[4]전주!$F$14)/[4]전주!$F$15</f>
        <v>0.10673885870189022</v>
      </c>
      <c r="M25" s="424">
        <f t="shared" si="2"/>
        <v>8.3175966924188827E-3</v>
      </c>
      <c r="N25" s="323">
        <f>+[4]전주!$E$16</f>
        <v>727.19799999999998</v>
      </c>
      <c r="O25" s="322">
        <f>+[4]전주!$F$16</f>
        <v>738.04664902455522</v>
      </c>
      <c r="P25" s="324">
        <f t="shared" si="3"/>
        <v>10.848649024555243</v>
      </c>
      <c r="Q25" s="323">
        <f>+[4]전주!$E$17</f>
        <v>997.80000000000007</v>
      </c>
      <c r="R25" s="322">
        <f>+[4]전주!$F$17</f>
        <v>982.24998461443749</v>
      </c>
      <c r="S25" s="324">
        <f t="shared" si="4"/>
        <v>-15.550015385562574</v>
      </c>
      <c r="T25" s="423">
        <f>+[4]전주!$E$19</f>
        <v>2.98</v>
      </c>
      <c r="U25" s="422">
        <f>+[4]전주!$F$19</f>
        <v>2.2393378054034097</v>
      </c>
      <c r="V25" s="421">
        <f t="shared" si="5"/>
        <v>-0.74066219459659033</v>
      </c>
    </row>
    <row r="26" spans="4:22" ht="24" customHeight="1" x14ac:dyDescent="0.3">
      <c r="D26" s="325" t="s">
        <v>124</v>
      </c>
      <c r="E26" s="323">
        <f>+[4]군산!$E$9</f>
        <v>336.4</v>
      </c>
      <c r="F26" s="322">
        <f>+[4]군산!$F$9</f>
        <v>306.24214043583532</v>
      </c>
      <c r="G26" s="324">
        <f t="shared" si="0"/>
        <v>-30.157859564164653</v>
      </c>
      <c r="H26" s="323">
        <f>+[4]군산!$E$15</f>
        <v>374.53999999999996</v>
      </c>
      <c r="I26" s="322">
        <f>+[4]군산!$F$15</f>
        <v>363.76661985472151</v>
      </c>
      <c r="J26" s="324">
        <f t="shared" si="1"/>
        <v>-10.773380145278452</v>
      </c>
      <c r="K26" s="426">
        <f>+([4]군산!$E$10*0.4+[4]군산!$E$11+[4]군산!$E$12+[4]군산!$E$13+[4]군산!$E$14)/[4]군산!$E$15</f>
        <v>0.10183158007155445</v>
      </c>
      <c r="L26" s="425">
        <f>+([4]군산!$F$10*0.4+[4]군산!$F$11+[4]군산!$F$12+[4]군산!$F$13+[4]군산!$F$14)/[4]군산!$F$15</f>
        <v>0.13249753683570664</v>
      </c>
      <c r="M26" s="424">
        <f t="shared" si="2"/>
        <v>3.0665956764152194E-2</v>
      </c>
      <c r="N26" s="323">
        <f>+[4]군산!$E$16</f>
        <v>859</v>
      </c>
      <c r="O26" s="322">
        <f>+[4]군산!$F$16</f>
        <v>865.6222760290558</v>
      </c>
      <c r="P26" s="324">
        <f t="shared" si="3"/>
        <v>6.6222760290557972</v>
      </c>
      <c r="Q26" s="323">
        <f>+[4]군산!$E$17</f>
        <v>818</v>
      </c>
      <c r="R26" s="322">
        <f>+[4]군산!$F$17</f>
        <v>805.39225181598067</v>
      </c>
      <c r="S26" s="324">
        <f t="shared" si="4"/>
        <v>-12.607748184019329</v>
      </c>
      <c r="T26" s="423">
        <f>+[4]군산!$E$19</f>
        <v>2.8</v>
      </c>
      <c r="U26" s="422">
        <f>+[4]군산!$F$19</f>
        <v>3.0356658595641646</v>
      </c>
      <c r="V26" s="421">
        <f t="shared" si="5"/>
        <v>0.23566585956416475</v>
      </c>
    </row>
    <row r="27" spans="4:22" ht="24" customHeight="1" x14ac:dyDescent="0.3">
      <c r="D27" s="325" t="s">
        <v>123</v>
      </c>
      <c r="E27" s="323">
        <f>+[4]원주!$E$9</f>
        <v>349.73333333333335</v>
      </c>
      <c r="F27" s="322">
        <f>+[4]원주!$F$9</f>
        <v>430.42600792356097</v>
      </c>
      <c r="G27" s="324">
        <f t="shared" si="0"/>
        <v>80.692674590227625</v>
      </c>
      <c r="H27" s="323">
        <f>+[4]원주!$E$15</f>
        <v>363.86666666666667</v>
      </c>
      <c r="I27" s="322">
        <f>+[4]원주!$F$15</f>
        <v>444.22140759729666</v>
      </c>
      <c r="J27" s="324">
        <f t="shared" si="1"/>
        <v>80.354740930629987</v>
      </c>
      <c r="K27" s="426">
        <f>+([4]원주!$E$10*0.4+[4]원주!$E$11+[4]원주!$E$12+[4]원주!$E$13+[4]원주!$E$14)/[4]원주!$E$15</f>
        <v>3.8842066691095641E-2</v>
      </c>
      <c r="L27" s="425">
        <f>+([4]원주!$F$10*0.4+[4]원주!$F$11+[4]원주!$F$12+[4]원주!$F$13+[4]원주!$F$14)/[4]원주!$F$15</f>
        <v>3.1055233804134389E-2</v>
      </c>
      <c r="M27" s="424">
        <f t="shared" si="2"/>
        <v>-7.7868328869612514E-3</v>
      </c>
      <c r="N27" s="323">
        <f>+[4]원주!$E$16</f>
        <v>866.5333333333333</v>
      </c>
      <c r="O27" s="322">
        <f>+[4]원주!$F$16</f>
        <v>862.13237007690509</v>
      </c>
      <c r="P27" s="324">
        <f t="shared" si="3"/>
        <v>-4.4009632564282128</v>
      </c>
      <c r="Q27" s="323">
        <f>+[4]원주!$E$17</f>
        <v>880.66666666666674</v>
      </c>
      <c r="R27" s="322">
        <f>+[4]원주!$F$17</f>
        <v>865.77487765089711</v>
      </c>
      <c r="S27" s="324">
        <f t="shared" si="4"/>
        <v>-14.891789015769632</v>
      </c>
      <c r="T27" s="423">
        <f>+[4]원주!$E$19</f>
        <v>2.9813333333333332</v>
      </c>
      <c r="U27" s="422">
        <f>+[4]원주!$F$19</f>
        <v>3.6380797017012361</v>
      </c>
      <c r="V27" s="421">
        <f t="shared" si="5"/>
        <v>0.6567463683679029</v>
      </c>
    </row>
    <row r="28" spans="4:22" ht="24" customHeight="1" x14ac:dyDescent="0.3">
      <c r="D28" s="320" t="s">
        <v>122</v>
      </c>
      <c r="E28" s="318">
        <f>+[4]제주!$E$9</f>
        <v>366.6400000000001</v>
      </c>
      <c r="F28" s="417">
        <f>+[4]제주!$F$9</f>
        <v>374.42325777114132</v>
      </c>
      <c r="G28" s="319">
        <f t="shared" si="0"/>
        <v>7.7832577711412227</v>
      </c>
      <c r="H28" s="318">
        <f>+[4]제주!$E$15</f>
        <v>366.6400000000001</v>
      </c>
      <c r="I28" s="417">
        <f>+[4]제주!$F$15</f>
        <v>374.42325777114132</v>
      </c>
      <c r="J28" s="319">
        <f t="shared" si="1"/>
        <v>7.7832577711412227</v>
      </c>
      <c r="K28" s="420">
        <f>+([4]제주!$E$10*0.4+[4]제주!$E$11+[4]제주!$E$12+[4]제주!$E$13+[4]제주!$E$14)/[4]제주!$E$15</f>
        <v>0</v>
      </c>
      <c r="L28" s="419">
        <f>+([4]제주!$F$10*0.4+[4]제주!$F$11+[4]제주!$F$12+[4]제주!$F$13+[4]제주!$F$14)/[4]제주!$F$15</f>
        <v>0</v>
      </c>
      <c r="M28" s="418">
        <f t="shared" si="2"/>
        <v>0</v>
      </c>
      <c r="N28" s="318">
        <f>+[4]제주!$E$16</f>
        <v>750.94</v>
      </c>
      <c r="O28" s="417">
        <f>+[4]제주!$F$16</f>
        <v>820.55653590335248</v>
      </c>
      <c r="P28" s="319">
        <f t="shared" si="3"/>
        <v>69.616535903352428</v>
      </c>
      <c r="Q28" s="318">
        <f>+[4]제주!$E$17</f>
        <v>982.84</v>
      </c>
      <c r="R28" s="417">
        <f>+[4]제주!$F$17</f>
        <v>939.92670014931434</v>
      </c>
      <c r="S28" s="319">
        <f t="shared" si="4"/>
        <v>-42.913299850685689</v>
      </c>
      <c r="T28" s="416">
        <f>+[4]제주!$E$19</f>
        <v>3.238</v>
      </c>
      <c r="U28" s="415">
        <f>+[4]제주!$F$19</f>
        <v>3.6323333785801544</v>
      </c>
      <c r="V28" s="414">
        <f t="shared" si="5"/>
        <v>0.39433337858015438</v>
      </c>
    </row>
    <row r="29" spans="4:22" ht="24" customHeight="1" x14ac:dyDescent="0.3"/>
    <row r="30" spans="4:22" ht="24" customHeight="1" x14ac:dyDescent="0.3"/>
    <row r="31" spans="4:22" ht="24" customHeight="1" x14ac:dyDescent="0.3"/>
    <row r="32" spans="4:22" ht="21.95" customHeight="1" x14ac:dyDescent="0.3"/>
    <row r="33" ht="21.95" customHeight="1" x14ac:dyDescent="0.3"/>
    <row r="34" ht="21.95" customHeight="1" x14ac:dyDescent="0.3"/>
    <row r="35" ht="21.95" customHeight="1" x14ac:dyDescent="0.3"/>
    <row r="36" ht="21.95" customHeight="1" x14ac:dyDescent="0.3"/>
    <row r="37" ht="21.95" customHeight="1" x14ac:dyDescent="0.3"/>
    <row r="38" ht="21.95" customHeight="1" x14ac:dyDescent="0.3"/>
    <row r="39" ht="21.95" customHeight="1" x14ac:dyDescent="0.3"/>
    <row r="40" ht="21.95" customHeight="1" x14ac:dyDescent="0.3"/>
    <row r="41" ht="21.95" customHeight="1" x14ac:dyDescent="0.3"/>
    <row r="42" ht="21.95" customHeight="1" x14ac:dyDescent="0.3"/>
    <row r="43" ht="21.95" customHeight="1" x14ac:dyDescent="0.3"/>
    <row r="44" ht="21.95" customHeight="1" x14ac:dyDescent="0.3"/>
    <row r="45" ht="21.95" customHeight="1" x14ac:dyDescent="0.3"/>
    <row r="46" ht="21.95" customHeight="1" x14ac:dyDescent="0.3"/>
    <row r="47" ht="21.95" customHeight="1" x14ac:dyDescent="0.3"/>
    <row r="48" ht="21.95" customHeight="1" x14ac:dyDescent="0.3"/>
    <row r="49" ht="21.95" customHeight="1" x14ac:dyDescent="0.3"/>
    <row r="50" ht="21.95" customHeight="1" x14ac:dyDescent="0.3"/>
    <row r="51" ht="21.95" customHeight="1" x14ac:dyDescent="0.3"/>
    <row r="52" ht="21.95" customHeight="1" x14ac:dyDescent="0.3"/>
  </sheetData>
  <mergeCells count="1">
    <mergeCell ref="D6:D7"/>
  </mergeCells>
  <phoneticPr fontId="1" type="noConversion"/>
  <printOptions horizontalCentered="1"/>
  <pageMargins left="0.31496062992125984" right="0.31496062992125984" top="0.74803149606299213" bottom="0.35433070866141736" header="0.31496062992125984" footer="0.31496062992125984"/>
  <pageSetup paperSize="9" scale="70" orientation="landscape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3AE8E1-21AD-4CCE-8D71-F6C81079BE8B}">
  <sheetPr>
    <tabColor theme="0"/>
    <pageSetUpPr fitToPage="1"/>
  </sheetPr>
  <dimension ref="D3:Q56"/>
  <sheetViews>
    <sheetView showGridLines="0" topLeftCell="A4" zoomScale="70" zoomScaleNormal="70" workbookViewId="0">
      <pane ySplit="6" topLeftCell="A10" activePane="bottomLeft" state="frozenSplit"/>
      <selection activeCell="A6" sqref="A6:M14"/>
      <selection pane="bottomLeft" activeCell="L32" sqref="L32:L33"/>
    </sheetView>
  </sheetViews>
  <sheetFormatPr defaultRowHeight="16.5" x14ac:dyDescent="0.3"/>
  <cols>
    <col min="1" max="3" width="5.625" style="4" customWidth="1"/>
    <col min="4" max="5" width="13" style="4" customWidth="1"/>
    <col min="6" max="15" width="15.75" style="4" customWidth="1"/>
    <col min="16" max="17" width="3.25" style="467" customWidth="1"/>
    <col min="18" max="16384" width="9" style="4"/>
  </cols>
  <sheetData>
    <row r="3" spans="4:17" ht="9.9499999999999993" customHeight="1" x14ac:dyDescent="0.3"/>
    <row r="5" spans="4:17" ht="9.9499999999999993" customHeight="1" x14ac:dyDescent="0.3"/>
    <row r="6" spans="4:17" ht="31.5" x14ac:dyDescent="0.3">
      <c r="D6" s="370" t="s">
        <v>187</v>
      </c>
      <c r="F6" s="370"/>
      <c r="G6" s="370"/>
      <c r="H6" s="370"/>
      <c r="I6" s="370"/>
      <c r="J6" s="370"/>
      <c r="K6" s="370"/>
      <c r="L6" s="370"/>
      <c r="M6" s="370"/>
    </row>
    <row r="7" spans="4:17" ht="21.95" customHeight="1" x14ac:dyDescent="0.3">
      <c r="D7" s="468"/>
      <c r="O7" s="369" t="s">
        <v>157</v>
      </c>
    </row>
    <row r="8" spans="4:17" ht="25.5" customHeight="1" x14ac:dyDescent="0.3">
      <c r="D8" s="644" t="s">
        <v>11</v>
      </c>
      <c r="E8" s="645"/>
      <c r="F8" s="562" t="s">
        <v>166</v>
      </c>
      <c r="G8" s="113"/>
      <c r="H8" s="113"/>
      <c r="I8" s="113"/>
      <c r="J8" s="113"/>
      <c r="K8" s="590" t="s">
        <v>174</v>
      </c>
      <c r="L8" s="113"/>
      <c r="M8" s="113"/>
      <c r="N8" s="113"/>
      <c r="O8" s="114"/>
      <c r="P8" s="469"/>
      <c r="Q8" s="469"/>
    </row>
    <row r="9" spans="4:17" ht="25.5" customHeight="1" x14ac:dyDescent="0.3">
      <c r="D9" s="646"/>
      <c r="E9" s="647"/>
      <c r="F9" s="563" t="s">
        <v>36</v>
      </c>
      <c r="G9" s="470" t="s">
        <v>37</v>
      </c>
      <c r="H9" s="471" t="s">
        <v>56</v>
      </c>
      <c r="I9" s="470" t="s">
        <v>39</v>
      </c>
      <c r="J9" s="471" t="s">
        <v>57</v>
      </c>
      <c r="K9" s="470" t="s">
        <v>36</v>
      </c>
      <c r="L9" s="471" t="s">
        <v>37</v>
      </c>
      <c r="M9" s="470" t="s">
        <v>56</v>
      </c>
      <c r="N9" s="470" t="s">
        <v>39</v>
      </c>
      <c r="O9" s="472" t="s">
        <v>57</v>
      </c>
      <c r="P9" s="469"/>
      <c r="Q9" s="469"/>
    </row>
    <row r="10" spans="4:17" ht="25.5" customHeight="1" x14ac:dyDescent="0.3">
      <c r="D10" s="473" t="s">
        <v>88</v>
      </c>
      <c r="E10" s="474" t="s">
        <v>68</v>
      </c>
      <c r="F10" s="564">
        <f>+IFERROR(HLOOKUP($F$8,[12]손익!$G$5:$AF$55,[12]손익!$D29,),)</f>
        <v>8000</v>
      </c>
      <c r="G10" s="475">
        <f>+'[13]1월'!$G$8</f>
        <v>4969.8379999999997</v>
      </c>
      <c r="H10" s="476">
        <f>+G10-F10</f>
        <v>-3030.1620000000003</v>
      </c>
      <c r="I10" s="475">
        <f>+'[14]1월'!$G$8</f>
        <v>8735.5020000000004</v>
      </c>
      <c r="J10" s="476">
        <f>+G10-I10</f>
        <v>-3765.6640000000007</v>
      </c>
      <c r="K10" s="475">
        <f>+IFERROR(HLOOKUP($K$8,[12]손익!$G$5:$AF$55,[12]손익!$D29,),)</f>
        <v>0</v>
      </c>
      <c r="L10" s="476">
        <f>+'[13]1월'!$Q$8</f>
        <v>4969.8379999999997</v>
      </c>
      <c r="M10" s="475">
        <f>+L10-K10</f>
        <v>4969.8379999999997</v>
      </c>
      <c r="N10" s="475">
        <f>+'[14]1월'!$Q$8</f>
        <v>8735.5020000000004</v>
      </c>
      <c r="O10" s="565">
        <f>+L10-N10</f>
        <v>-3765.6640000000007</v>
      </c>
      <c r="P10" s="477"/>
      <c r="Q10" s="477"/>
    </row>
    <row r="11" spans="4:17" ht="25.5" customHeight="1" x14ac:dyDescent="0.3">
      <c r="D11" s="478" t="s">
        <v>53</v>
      </c>
      <c r="E11" s="479" t="s">
        <v>158</v>
      </c>
      <c r="F11" s="566">
        <f>+IFERROR(HLOOKUP($F$8,[12]손익!$G$5:$AF$55,[12]손익!$D30,),)</f>
        <v>743250</v>
      </c>
      <c r="G11" s="480">
        <f>+G12/G10*1000</f>
        <v>796801.18144696066</v>
      </c>
      <c r="H11" s="481">
        <f t="shared" ref="H11:H35" si="0">+G11-F11</f>
        <v>53551.181446960662</v>
      </c>
      <c r="I11" s="480">
        <f>+I12/I10*1000</f>
        <v>756420.01123690419</v>
      </c>
      <c r="J11" s="481">
        <f t="shared" ref="J11:J35" si="1">+G11-I11</f>
        <v>40381.170210056473</v>
      </c>
      <c r="K11" s="480">
        <f>+IFERROR(HLOOKUP($K$8,[12]손익!$G$5:$AF$55,[12]손익!$D30,),)</f>
        <v>0</v>
      </c>
      <c r="L11" s="481">
        <f>+L12/L10*1000</f>
        <v>796801.18144696066</v>
      </c>
      <c r="M11" s="480">
        <f t="shared" ref="M11:M35" si="2">+L11-K11</f>
        <v>796801.18144696066</v>
      </c>
      <c r="N11" s="480">
        <f>+N12/N10*1000</f>
        <v>756420.01123690419</v>
      </c>
      <c r="O11" s="567">
        <f t="shared" ref="O11:O35" si="3">+L11-N11</f>
        <v>40381.170210056473</v>
      </c>
      <c r="P11" s="477"/>
      <c r="Q11" s="477"/>
    </row>
    <row r="12" spans="4:17" ht="25.5" customHeight="1" x14ac:dyDescent="0.3">
      <c r="D12" s="482" t="s">
        <v>159</v>
      </c>
      <c r="E12" s="483" t="s">
        <v>158</v>
      </c>
      <c r="F12" s="568">
        <f>+IFERROR(HLOOKUP($F$8,[12]손익!$G$5:$AF$55,[12]손익!$D31,),)</f>
        <v>5946000</v>
      </c>
      <c r="G12" s="484">
        <f>+'[13]1월'!$G$9</f>
        <v>3959972.79</v>
      </c>
      <c r="H12" s="485">
        <f t="shared" si="0"/>
        <v>-1986027.21</v>
      </c>
      <c r="I12" s="484">
        <f>+'[14]1월'!$G$9</f>
        <v>6607708.5209999997</v>
      </c>
      <c r="J12" s="485">
        <f t="shared" si="1"/>
        <v>-2647735.7309999997</v>
      </c>
      <c r="K12" s="484">
        <f>+IFERROR(HLOOKUP($K$8,[12]손익!$G$5:$AF$55,[12]손익!$D31,),)</f>
        <v>0</v>
      </c>
      <c r="L12" s="485">
        <f>+'[13]1월'!$Q$9</f>
        <v>3959972.79</v>
      </c>
      <c r="M12" s="484">
        <f t="shared" si="2"/>
        <v>3959972.79</v>
      </c>
      <c r="N12" s="484">
        <f>+'[14]1월'!$Q$9</f>
        <v>6607708.5209999997</v>
      </c>
      <c r="O12" s="569">
        <f t="shared" si="3"/>
        <v>-2647735.7309999997</v>
      </c>
      <c r="P12" s="477"/>
      <c r="Q12" s="477"/>
    </row>
    <row r="13" spans="4:17" ht="25.5" customHeight="1" x14ac:dyDescent="0.3">
      <c r="D13" s="482"/>
      <c r="E13" s="486" t="s">
        <v>160</v>
      </c>
      <c r="F13" s="570">
        <f>+IFERROR(HLOOKUP($F$8,[12]손익!$G$5:$AF$55,[12]손익!$D32,),)</f>
        <v>1718843.438000001</v>
      </c>
      <c r="G13" s="487">
        <f>+'[13]1월'!$J$9</f>
        <v>1139913.9539999999</v>
      </c>
      <c r="H13" s="488">
        <f t="shared" si="0"/>
        <v>-578929.4840000011</v>
      </c>
      <c r="I13" s="487">
        <f>+'[14]1월'!$J$9</f>
        <v>872411.16300000064</v>
      </c>
      <c r="J13" s="488">
        <f t="shared" si="1"/>
        <v>267502.79099999927</v>
      </c>
      <c r="K13" s="487">
        <f>+IFERROR(HLOOKUP($K$8,[12]손익!$G$5:$AF$55,[12]손익!$D32,),)</f>
        <v>0</v>
      </c>
      <c r="L13" s="488">
        <f>+'[13]1월'!$T$9</f>
        <v>1139913.9539999999</v>
      </c>
      <c r="M13" s="487">
        <f t="shared" si="2"/>
        <v>1139913.9539999999</v>
      </c>
      <c r="N13" s="487">
        <f>+'[14]1월'!$T$9</f>
        <v>872411.16300000064</v>
      </c>
      <c r="O13" s="571">
        <f t="shared" si="3"/>
        <v>267502.79099999927</v>
      </c>
      <c r="P13" s="477"/>
      <c r="Q13" s="477"/>
    </row>
    <row r="14" spans="4:17" ht="25.5" customHeight="1" x14ac:dyDescent="0.3">
      <c r="D14" s="482"/>
      <c r="E14" s="489" t="s">
        <v>161</v>
      </c>
      <c r="F14" s="157">
        <f>SUM(F12:F13)</f>
        <v>7664843.438000001</v>
      </c>
      <c r="G14" s="490">
        <f>SUM(G12:G13)</f>
        <v>5099886.7439999999</v>
      </c>
      <c r="H14" s="158">
        <f t="shared" si="0"/>
        <v>-2564956.6940000011</v>
      </c>
      <c r="I14" s="490">
        <f>SUM(I12:I13)</f>
        <v>7480119.6840000004</v>
      </c>
      <c r="J14" s="158">
        <f t="shared" si="1"/>
        <v>-2380232.9400000004</v>
      </c>
      <c r="K14" s="490">
        <f>SUM(K12:K13)</f>
        <v>0</v>
      </c>
      <c r="L14" s="158">
        <f>SUM(L12:L13)</f>
        <v>5099886.7439999999</v>
      </c>
      <c r="M14" s="490">
        <f t="shared" si="2"/>
        <v>5099886.7439999999</v>
      </c>
      <c r="N14" s="490">
        <f>SUM(N12:N13)</f>
        <v>7480119.6840000004</v>
      </c>
      <c r="O14" s="159">
        <f t="shared" si="3"/>
        <v>-2380232.9400000004</v>
      </c>
      <c r="P14" s="477"/>
      <c r="Q14" s="477"/>
    </row>
    <row r="15" spans="4:17" ht="25.5" customHeight="1" x14ac:dyDescent="0.3">
      <c r="D15" s="473" t="s">
        <v>5</v>
      </c>
      <c r="E15" s="474" t="s">
        <v>158</v>
      </c>
      <c r="F15" s="564">
        <f>+IFERROR(HLOOKUP($F$8,[12]손익!$G$5:$AF$55,[12]손익!$D34,),)</f>
        <v>5848200</v>
      </c>
      <c r="G15" s="475">
        <f>+'[13]1월'!$G$11</f>
        <v>3878311.7489999998</v>
      </c>
      <c r="H15" s="476">
        <f t="shared" si="0"/>
        <v>-1969888.2510000002</v>
      </c>
      <c r="I15" s="475">
        <f>+'[14]1월'!$G$11</f>
        <v>6490572.2549999999</v>
      </c>
      <c r="J15" s="476">
        <f t="shared" si="1"/>
        <v>-2612260.5060000001</v>
      </c>
      <c r="K15" s="475">
        <f>+IFERROR(HLOOKUP($K$8,[12]손익!$G$5:$AF$55,[12]손익!$D34,),)</f>
        <v>0</v>
      </c>
      <c r="L15" s="476">
        <f>+'[13]1월'!$Q$11</f>
        <v>3878311.7489999998</v>
      </c>
      <c r="M15" s="475">
        <f t="shared" si="2"/>
        <v>3878311.7489999998</v>
      </c>
      <c r="N15" s="475">
        <f>+'[14]1월'!$Q$11</f>
        <v>6490572.2549999999</v>
      </c>
      <c r="O15" s="565">
        <f t="shared" si="3"/>
        <v>-2612260.5060000001</v>
      </c>
      <c r="P15" s="477"/>
      <c r="Q15" s="477"/>
    </row>
    <row r="16" spans="4:17" ht="25.5" customHeight="1" x14ac:dyDescent="0.3">
      <c r="D16" s="482"/>
      <c r="E16" s="486" t="s">
        <v>160</v>
      </c>
      <c r="F16" s="570">
        <f>+IFERROR(HLOOKUP($F$8,[12]손익!$G$5:$AF$55,[12]손익!$D35,),)</f>
        <v>1648845.0560000008</v>
      </c>
      <c r="G16" s="487">
        <f>+'[13]1월'!$J$11</f>
        <v>1093644.9170000004</v>
      </c>
      <c r="H16" s="488">
        <f t="shared" si="0"/>
        <v>-555200.13900000043</v>
      </c>
      <c r="I16" s="487">
        <f>+'[14]1월'!$J$11</f>
        <v>843636.93700000085</v>
      </c>
      <c r="J16" s="488">
        <f t="shared" si="1"/>
        <v>250007.97999999952</v>
      </c>
      <c r="K16" s="487">
        <f>+IFERROR(HLOOKUP($K$8,[12]손익!$G$5:$AF$55,[12]손익!$D35,),)</f>
        <v>0</v>
      </c>
      <c r="L16" s="488">
        <f>+'[13]1월'!$T$11</f>
        <v>1093644.9170000004</v>
      </c>
      <c r="M16" s="487">
        <f t="shared" si="2"/>
        <v>1093644.9170000004</v>
      </c>
      <c r="N16" s="487">
        <f>+'[14]1월'!$T$11</f>
        <v>843636.93700000085</v>
      </c>
      <c r="O16" s="571">
        <f t="shared" si="3"/>
        <v>250007.97999999952</v>
      </c>
      <c r="P16" s="477"/>
      <c r="Q16" s="477"/>
    </row>
    <row r="17" spans="4:17" ht="25.5" customHeight="1" x14ac:dyDescent="0.3">
      <c r="D17" s="478"/>
      <c r="E17" s="491" t="s">
        <v>162</v>
      </c>
      <c r="F17" s="572">
        <f>SUM(F15:F16)</f>
        <v>7497045.0560000008</v>
      </c>
      <c r="G17" s="492">
        <f>SUM(G15:G16)</f>
        <v>4971956.6660000002</v>
      </c>
      <c r="H17" s="493">
        <f t="shared" si="0"/>
        <v>-2525088.3900000006</v>
      </c>
      <c r="I17" s="492">
        <f>SUM(I15:I16)</f>
        <v>7334209.1920000007</v>
      </c>
      <c r="J17" s="493">
        <f t="shared" si="1"/>
        <v>-2362252.5260000005</v>
      </c>
      <c r="K17" s="492">
        <f>SUM(K15:K16)</f>
        <v>0</v>
      </c>
      <c r="L17" s="493">
        <f>SUM(L15:L16)</f>
        <v>4971956.6660000002</v>
      </c>
      <c r="M17" s="492">
        <f t="shared" si="2"/>
        <v>4971956.6660000002</v>
      </c>
      <c r="N17" s="492">
        <f>SUM(N15:N16)</f>
        <v>7334209.1920000007</v>
      </c>
      <c r="O17" s="573">
        <f t="shared" si="3"/>
        <v>-2362252.5260000005</v>
      </c>
      <c r="P17" s="477"/>
      <c r="Q17" s="477"/>
    </row>
    <row r="18" spans="4:17" ht="25.5" customHeight="1" x14ac:dyDescent="0.3">
      <c r="D18" s="482" t="s">
        <v>15</v>
      </c>
      <c r="E18" s="483" t="s">
        <v>158</v>
      </c>
      <c r="F18" s="568">
        <f>+F12-F15</f>
        <v>97800</v>
      </c>
      <c r="G18" s="484">
        <f>+G12-G15</f>
        <v>81661.041000000201</v>
      </c>
      <c r="H18" s="485">
        <f t="shared" si="0"/>
        <v>-16138.958999999799</v>
      </c>
      <c r="I18" s="484">
        <f>+I12-I15</f>
        <v>117136.26599999983</v>
      </c>
      <c r="J18" s="485">
        <f t="shared" si="1"/>
        <v>-35475.224999999627</v>
      </c>
      <c r="K18" s="484">
        <f>+K12-K15</f>
        <v>0</v>
      </c>
      <c r="L18" s="485">
        <f>+L12-L15</f>
        <v>81661.041000000201</v>
      </c>
      <c r="M18" s="484">
        <f t="shared" si="2"/>
        <v>81661.041000000201</v>
      </c>
      <c r="N18" s="484">
        <f>+N12-N15</f>
        <v>117136.26599999983</v>
      </c>
      <c r="O18" s="569">
        <f t="shared" si="3"/>
        <v>-35475.224999999627</v>
      </c>
      <c r="P18" s="477"/>
      <c r="Q18" s="477"/>
    </row>
    <row r="19" spans="4:17" ht="25.5" customHeight="1" x14ac:dyDescent="0.3">
      <c r="D19" s="482"/>
      <c r="E19" s="494" t="s">
        <v>9</v>
      </c>
      <c r="F19" s="574">
        <f>+F18/F12</f>
        <v>1.644803229061554E-2</v>
      </c>
      <c r="G19" s="495">
        <f>+G18/G12</f>
        <v>2.0621616695502647E-2</v>
      </c>
      <c r="H19" s="496">
        <f t="shared" si="0"/>
        <v>4.1735844048871075E-3</v>
      </c>
      <c r="I19" s="495">
        <f>+I18/I12</f>
        <v>1.7727214453804725E-2</v>
      </c>
      <c r="J19" s="496">
        <f t="shared" si="1"/>
        <v>2.8944022416979229E-3</v>
      </c>
      <c r="K19" s="495">
        <f>IFERROR(K18/K12,)</f>
        <v>0</v>
      </c>
      <c r="L19" s="496">
        <f>+L18/L12</f>
        <v>2.0621616695502647E-2</v>
      </c>
      <c r="M19" s="495">
        <f t="shared" si="2"/>
        <v>2.0621616695502647E-2</v>
      </c>
      <c r="N19" s="495">
        <f>+N18/N12</f>
        <v>1.7727214453804725E-2</v>
      </c>
      <c r="O19" s="575">
        <f t="shared" si="3"/>
        <v>2.8944022416979229E-3</v>
      </c>
      <c r="P19" s="477"/>
      <c r="Q19" s="477"/>
    </row>
    <row r="20" spans="4:17" ht="25.5" customHeight="1" x14ac:dyDescent="0.3">
      <c r="D20" s="482"/>
      <c r="E20" s="497" t="s">
        <v>160</v>
      </c>
      <c r="F20" s="157">
        <f>+F13-F16</f>
        <v>69998.382000000216</v>
      </c>
      <c r="G20" s="490">
        <f>+G13-G16</f>
        <v>46269.036999999546</v>
      </c>
      <c r="H20" s="158">
        <f t="shared" si="0"/>
        <v>-23729.345000000671</v>
      </c>
      <c r="I20" s="490">
        <f>+I13-I16</f>
        <v>28774.225999999791</v>
      </c>
      <c r="J20" s="158">
        <f t="shared" si="1"/>
        <v>17494.810999999754</v>
      </c>
      <c r="K20" s="490">
        <f>+K13-K16</f>
        <v>0</v>
      </c>
      <c r="L20" s="158">
        <f>+L13-L16</f>
        <v>46269.036999999546</v>
      </c>
      <c r="M20" s="490">
        <f t="shared" si="2"/>
        <v>46269.036999999546</v>
      </c>
      <c r="N20" s="490">
        <f>+N13-N16</f>
        <v>28774.225999999791</v>
      </c>
      <c r="O20" s="159">
        <f t="shared" si="3"/>
        <v>17494.810999999754</v>
      </c>
      <c r="P20" s="477"/>
      <c r="Q20" s="477"/>
    </row>
    <row r="21" spans="4:17" ht="25.5" customHeight="1" x14ac:dyDescent="0.3">
      <c r="D21" s="482"/>
      <c r="E21" s="498" t="s">
        <v>9</v>
      </c>
      <c r="F21" s="576">
        <f>+F20/F13</f>
        <v>4.0724117422496847E-2</v>
      </c>
      <c r="G21" s="499">
        <f>+G20/G13</f>
        <v>4.0589938247215761E-2</v>
      </c>
      <c r="H21" s="500">
        <f t="shared" si="0"/>
        <v>-1.3417917528108642E-4</v>
      </c>
      <c r="I21" s="499">
        <f>+I20/I13</f>
        <v>3.2982413820855441E-2</v>
      </c>
      <c r="J21" s="500">
        <f t="shared" si="1"/>
        <v>7.6075244263603195E-3</v>
      </c>
      <c r="K21" s="499">
        <f>IFERROR(K20/K13,)</f>
        <v>0</v>
      </c>
      <c r="L21" s="500">
        <f>+L20/L13</f>
        <v>4.0589938247215761E-2</v>
      </c>
      <c r="M21" s="499">
        <f t="shared" si="2"/>
        <v>4.0589938247215761E-2</v>
      </c>
      <c r="N21" s="499">
        <f>+N20/N13</f>
        <v>3.2982413820855441E-2</v>
      </c>
      <c r="O21" s="577">
        <f t="shared" si="3"/>
        <v>7.6075244263603195E-3</v>
      </c>
      <c r="P21" s="477"/>
      <c r="Q21" s="477"/>
    </row>
    <row r="22" spans="4:17" ht="25.5" customHeight="1" x14ac:dyDescent="0.3">
      <c r="D22" s="482"/>
      <c r="E22" s="489" t="s">
        <v>161</v>
      </c>
      <c r="F22" s="157">
        <f>SUM(F18,F20)</f>
        <v>167798.38200000022</v>
      </c>
      <c r="G22" s="490">
        <f>SUM(G18,G20)</f>
        <v>127930.07799999975</v>
      </c>
      <c r="H22" s="158">
        <f t="shared" si="0"/>
        <v>-39868.304000000469</v>
      </c>
      <c r="I22" s="490">
        <f>SUM(I18,I20)</f>
        <v>145910.49199999962</v>
      </c>
      <c r="J22" s="158">
        <f t="shared" si="1"/>
        <v>-17980.413999999873</v>
      </c>
      <c r="K22" s="490">
        <f>SUM(K18,K20)</f>
        <v>0</v>
      </c>
      <c r="L22" s="158">
        <f>SUM(L18,L20)</f>
        <v>127930.07799999975</v>
      </c>
      <c r="M22" s="490">
        <f t="shared" si="2"/>
        <v>127930.07799999975</v>
      </c>
      <c r="N22" s="490">
        <f>SUM(N18,N20)</f>
        <v>145910.49199999962</v>
      </c>
      <c r="O22" s="159">
        <f t="shared" si="3"/>
        <v>-17980.413999999873</v>
      </c>
      <c r="P22" s="477"/>
      <c r="Q22" s="477"/>
    </row>
    <row r="23" spans="4:17" ht="25.5" customHeight="1" x14ac:dyDescent="0.3">
      <c r="D23" s="482"/>
      <c r="E23" s="501" t="s">
        <v>9</v>
      </c>
      <c r="F23" s="574">
        <f>+F22/F14</f>
        <v>2.189195165658649E-2</v>
      </c>
      <c r="G23" s="495">
        <f>+G22/G14</f>
        <v>2.5084886081148578E-2</v>
      </c>
      <c r="H23" s="496">
        <f t="shared" si="0"/>
        <v>3.1929344245620883E-3</v>
      </c>
      <c r="I23" s="495">
        <f>+I22/I14</f>
        <v>1.9506438153937915E-2</v>
      </c>
      <c r="J23" s="496">
        <f t="shared" si="1"/>
        <v>5.5784479272106627E-3</v>
      </c>
      <c r="K23" s="495">
        <f>IFERROR(K22/K14,)</f>
        <v>0</v>
      </c>
      <c r="L23" s="496">
        <f>+L22/L14</f>
        <v>2.5084886081148578E-2</v>
      </c>
      <c r="M23" s="495">
        <f t="shared" si="2"/>
        <v>2.5084886081148578E-2</v>
      </c>
      <c r="N23" s="495">
        <f>+N22/N14</f>
        <v>1.9506438153937915E-2</v>
      </c>
      <c r="O23" s="575">
        <f t="shared" si="3"/>
        <v>5.5784479272106627E-3</v>
      </c>
      <c r="P23" s="477"/>
      <c r="Q23" s="477"/>
    </row>
    <row r="24" spans="4:17" ht="25.5" customHeight="1" x14ac:dyDescent="0.3">
      <c r="D24" s="473" t="s">
        <v>163</v>
      </c>
      <c r="E24" s="474" t="s">
        <v>164</v>
      </c>
      <c r="F24" s="564">
        <f>+IFERROR(HLOOKUP($F$8,[12]손익!$G$5:$AF$55,[12]손익!$D15,),)</f>
        <v>93613.635999999984</v>
      </c>
      <c r="G24" s="475">
        <f>+'[13]1월'!$M$19</f>
        <v>92161.065999999992</v>
      </c>
      <c r="H24" s="476">
        <f t="shared" si="0"/>
        <v>-1452.5699999999924</v>
      </c>
      <c r="I24" s="475">
        <f>+'[14]1월'!$M$19</f>
        <v>95383.024999999994</v>
      </c>
      <c r="J24" s="476">
        <f t="shared" si="1"/>
        <v>-3221.9590000000026</v>
      </c>
      <c r="K24" s="475">
        <f>+IFERROR(HLOOKUP($K$8,[12]손익!$G$5:$AF$55,[12]손익!$D15,),)</f>
        <v>0</v>
      </c>
      <c r="L24" s="476">
        <f>+'[13]1월'!$W$19</f>
        <v>92161.065999999992</v>
      </c>
      <c r="M24" s="475">
        <f t="shared" si="2"/>
        <v>92161.065999999992</v>
      </c>
      <c r="N24" s="475">
        <f>+'[14]1월'!$W$19</f>
        <v>95383.024999999994</v>
      </c>
      <c r="O24" s="565">
        <f t="shared" si="3"/>
        <v>-3221.9590000000026</v>
      </c>
      <c r="P24" s="477"/>
      <c r="Q24" s="477"/>
    </row>
    <row r="25" spans="4:17" ht="25.5" customHeight="1" x14ac:dyDescent="0.3">
      <c r="D25" s="482"/>
      <c r="E25" s="486" t="s">
        <v>165</v>
      </c>
      <c r="F25" s="570">
        <f>+IFERROR(HLOOKUP($F$8,[12]손익!$G$5:$AF$55,[12]손익!$D16,),)</f>
        <v>68504.289999999994</v>
      </c>
      <c r="G25" s="487">
        <f>+'[13]1월'!$M$37</f>
        <v>36067.168000000005</v>
      </c>
      <c r="H25" s="488">
        <f t="shared" si="0"/>
        <v>-32437.121999999988</v>
      </c>
      <c r="I25" s="487">
        <f>+'[14]1월'!$M$37</f>
        <v>43035.871999999996</v>
      </c>
      <c r="J25" s="488">
        <f t="shared" si="1"/>
        <v>-6968.7039999999906</v>
      </c>
      <c r="K25" s="487">
        <f>+IFERROR(HLOOKUP($K$8,[12]손익!$G$5:$AF$55,[12]손익!$D16,),)</f>
        <v>0</v>
      </c>
      <c r="L25" s="488">
        <f>+'[13]1월'!$W$37</f>
        <v>36067.168000000005</v>
      </c>
      <c r="M25" s="487">
        <f t="shared" si="2"/>
        <v>36067.168000000005</v>
      </c>
      <c r="N25" s="487">
        <f>+'[14]1월'!$W$37</f>
        <v>43035.871999999996</v>
      </c>
      <c r="O25" s="571">
        <f t="shared" si="3"/>
        <v>-6968.7039999999906</v>
      </c>
      <c r="P25" s="477"/>
      <c r="Q25" s="477"/>
    </row>
    <row r="26" spans="4:17" ht="25.5" customHeight="1" x14ac:dyDescent="0.3">
      <c r="D26" s="478"/>
      <c r="E26" s="491" t="s">
        <v>161</v>
      </c>
      <c r="F26" s="572">
        <f>SUM(F24:F25)</f>
        <v>162117.92599999998</v>
      </c>
      <c r="G26" s="492">
        <f>SUM(G24:G25)</f>
        <v>128228.234</v>
      </c>
      <c r="H26" s="493">
        <f t="shared" si="0"/>
        <v>-33889.691999999981</v>
      </c>
      <c r="I26" s="492">
        <f>SUM(I24:I25)</f>
        <v>138418.897</v>
      </c>
      <c r="J26" s="493">
        <f t="shared" si="1"/>
        <v>-10190.663</v>
      </c>
      <c r="K26" s="492">
        <f>SUM(K24:K25)</f>
        <v>0</v>
      </c>
      <c r="L26" s="493">
        <f>SUM(L24:L25)</f>
        <v>128228.234</v>
      </c>
      <c r="M26" s="492">
        <f t="shared" si="2"/>
        <v>128228.234</v>
      </c>
      <c r="N26" s="492">
        <f>SUM(N24:N25)</f>
        <v>138418.897</v>
      </c>
      <c r="O26" s="573">
        <f t="shared" si="3"/>
        <v>-10190.663</v>
      </c>
      <c r="P26" s="477"/>
      <c r="Q26" s="477"/>
    </row>
    <row r="27" spans="4:17" ht="25.5" customHeight="1" x14ac:dyDescent="0.3">
      <c r="D27" s="554" t="s">
        <v>182</v>
      </c>
      <c r="E27" s="559"/>
      <c r="F27" s="578">
        <f>+F22-F26</f>
        <v>5680.4560000002384</v>
      </c>
      <c r="G27" s="582">
        <f>+G22-G26</f>
        <v>-298.15600000025006</v>
      </c>
      <c r="H27" s="586">
        <f t="shared" si="0"/>
        <v>-5978.6120000004885</v>
      </c>
      <c r="I27" s="582">
        <f>+I22-I26</f>
        <v>7491.5949999996228</v>
      </c>
      <c r="J27" s="586">
        <f t="shared" si="1"/>
        <v>-7789.7509999998729</v>
      </c>
      <c r="K27" s="582">
        <f>+K22-K26</f>
        <v>0</v>
      </c>
      <c r="L27" s="586">
        <f>+L22-L26</f>
        <v>-298.15600000025006</v>
      </c>
      <c r="M27" s="582">
        <f t="shared" si="2"/>
        <v>-298.15600000025006</v>
      </c>
      <c r="N27" s="582">
        <f>+N22-N26</f>
        <v>7491.5949999996228</v>
      </c>
      <c r="O27" s="591">
        <f t="shared" si="3"/>
        <v>-7789.7509999998729</v>
      </c>
      <c r="P27" s="477"/>
      <c r="Q27" s="477"/>
    </row>
    <row r="28" spans="4:17" ht="25.5" customHeight="1" x14ac:dyDescent="0.3">
      <c r="D28" s="556"/>
      <c r="E28" s="560" t="s">
        <v>10</v>
      </c>
      <c r="F28" s="579">
        <f>+F27/F14</f>
        <v>7.4110528753114997E-4</v>
      </c>
      <c r="G28" s="583">
        <f>+G27/G14</f>
        <v>-5.8463259081396194E-5</v>
      </c>
      <c r="H28" s="587">
        <f t="shared" si="0"/>
        <v>-7.995685466125462E-4</v>
      </c>
      <c r="I28" s="583">
        <f>+I27/I14</f>
        <v>1.0015341086084717E-3</v>
      </c>
      <c r="J28" s="587">
        <f t="shared" si="1"/>
        <v>-1.0599973676898679E-3</v>
      </c>
      <c r="K28" s="583">
        <f>IFERROR(K27/K14,)</f>
        <v>0</v>
      </c>
      <c r="L28" s="587">
        <f>+L27/L14</f>
        <v>-5.8463259081396194E-5</v>
      </c>
      <c r="M28" s="583">
        <f t="shared" si="2"/>
        <v>-5.8463259081396194E-5</v>
      </c>
      <c r="N28" s="583">
        <f>+N27/N14</f>
        <v>1.0015341086084717E-3</v>
      </c>
      <c r="O28" s="592">
        <f t="shared" si="3"/>
        <v>-1.0599973676898679E-3</v>
      </c>
      <c r="P28" s="477"/>
      <c r="Q28" s="477"/>
    </row>
    <row r="29" spans="4:17" ht="25.5" customHeight="1" x14ac:dyDescent="0.3">
      <c r="D29" s="554" t="s">
        <v>183</v>
      </c>
      <c r="E29" s="559"/>
      <c r="F29" s="578">
        <f>+IFERROR(HLOOKUP($F$8,[12]손익!$G$5:$AF$55,[12]손익!$D19,),)</f>
        <v>5186.2629999999999</v>
      </c>
      <c r="G29" s="582">
        <f>+'[13]1월'!$M$40</f>
        <v>4738.5259999999998</v>
      </c>
      <c r="H29" s="586">
        <f t="shared" si="0"/>
        <v>-447.73700000000008</v>
      </c>
      <c r="I29" s="582">
        <f>+'[14]1월'!$M$40</f>
        <v>5794.3459999999995</v>
      </c>
      <c r="J29" s="586">
        <f t="shared" si="1"/>
        <v>-1055.8199999999997</v>
      </c>
      <c r="K29" s="582">
        <f>+IFERROR(HLOOKUP($K$8,[12]손익!$G$5:$AF$55,[12]손익!$D19,),)</f>
        <v>0</v>
      </c>
      <c r="L29" s="586">
        <f>+'[13]1월'!$W$40</f>
        <v>4738.5259999999998</v>
      </c>
      <c r="M29" s="582">
        <f t="shared" si="2"/>
        <v>4738.5259999999998</v>
      </c>
      <c r="N29" s="582">
        <f>+'[14]1월'!$W$40</f>
        <v>5794.3459999999995</v>
      </c>
      <c r="O29" s="591">
        <f t="shared" si="3"/>
        <v>-1055.8199999999997</v>
      </c>
      <c r="P29" s="477"/>
      <c r="Q29" s="477"/>
    </row>
    <row r="30" spans="4:17" ht="25.5" customHeight="1" x14ac:dyDescent="0.3">
      <c r="D30" s="556"/>
      <c r="E30" s="561" t="s">
        <v>184</v>
      </c>
      <c r="F30" s="580">
        <f>+F29</f>
        <v>5186.2629999999999</v>
      </c>
      <c r="G30" s="584">
        <f>+G29</f>
        <v>4738.5259999999998</v>
      </c>
      <c r="H30" s="588">
        <f t="shared" si="0"/>
        <v>-447.73700000000008</v>
      </c>
      <c r="I30" s="584">
        <f>+I29</f>
        <v>5794.3459999999995</v>
      </c>
      <c r="J30" s="588">
        <f t="shared" si="1"/>
        <v>-1055.8199999999997</v>
      </c>
      <c r="K30" s="584">
        <f>+K29</f>
        <v>0</v>
      </c>
      <c r="L30" s="588">
        <f>+L29</f>
        <v>4738.5259999999998</v>
      </c>
      <c r="M30" s="584">
        <f t="shared" si="2"/>
        <v>4738.5259999999998</v>
      </c>
      <c r="N30" s="584">
        <f>+N29</f>
        <v>5794.3459999999995</v>
      </c>
      <c r="O30" s="593">
        <f t="shared" si="3"/>
        <v>-1055.8199999999997</v>
      </c>
      <c r="P30" s="477"/>
      <c r="Q30" s="477"/>
    </row>
    <row r="31" spans="4:17" ht="25.5" customHeight="1" x14ac:dyDescent="0.3">
      <c r="D31" s="554" t="s">
        <v>185</v>
      </c>
      <c r="E31" s="559"/>
      <c r="F31" s="578">
        <f>+F27-F29</f>
        <v>494.1930000002385</v>
      </c>
      <c r="G31" s="582">
        <f>+G27-G29</f>
        <v>-5036.6820000002499</v>
      </c>
      <c r="H31" s="586">
        <f t="shared" si="0"/>
        <v>-5530.8750000004884</v>
      </c>
      <c r="I31" s="582">
        <f>+I27-I29</f>
        <v>1697.2489999996233</v>
      </c>
      <c r="J31" s="586">
        <f t="shared" si="1"/>
        <v>-6733.9309999998732</v>
      </c>
      <c r="K31" s="582">
        <f>+K27-K29</f>
        <v>0</v>
      </c>
      <c r="L31" s="586">
        <f>+L27-L29</f>
        <v>-5036.6820000002499</v>
      </c>
      <c r="M31" s="582">
        <f t="shared" si="2"/>
        <v>-5036.6820000002499</v>
      </c>
      <c r="N31" s="582">
        <f>+N27-N29</f>
        <v>1697.2489999996233</v>
      </c>
      <c r="O31" s="591">
        <f t="shared" si="3"/>
        <v>-6733.9309999998732</v>
      </c>
      <c r="P31" s="477"/>
      <c r="Q31" s="477"/>
    </row>
    <row r="32" spans="4:17" ht="25.5" customHeight="1" x14ac:dyDescent="0.3">
      <c r="D32" s="558"/>
      <c r="E32" s="560" t="s">
        <v>10</v>
      </c>
      <c r="F32" s="581">
        <f>+F31/F14</f>
        <v>6.4475289547360801E-5</v>
      </c>
      <c r="G32" s="585">
        <f>+G31/G14</f>
        <v>-9.8760663772110035E-4</v>
      </c>
      <c r="H32" s="589">
        <f t="shared" si="0"/>
        <v>-1.0520819272684611E-3</v>
      </c>
      <c r="I32" s="585">
        <f>+I31/I14</f>
        <v>2.2690131598162048E-4</v>
      </c>
      <c r="J32" s="589">
        <f t="shared" si="1"/>
        <v>-1.2145079537027208E-3</v>
      </c>
      <c r="K32" s="585">
        <f>IFERROR(K31/K14,)</f>
        <v>0</v>
      </c>
      <c r="L32" s="589">
        <f>+L31/L14</f>
        <v>-9.8760663772110035E-4</v>
      </c>
      <c r="M32" s="585">
        <f t="shared" si="2"/>
        <v>-9.8760663772110035E-4</v>
      </c>
      <c r="N32" s="585">
        <f>+N31/N14</f>
        <v>2.2690131598162048E-4</v>
      </c>
      <c r="O32" s="594">
        <f t="shared" si="3"/>
        <v>-1.2145079537027208E-3</v>
      </c>
      <c r="P32" s="477"/>
      <c r="Q32" s="477"/>
    </row>
    <row r="33" spans="4:17" ht="25.5" customHeight="1" x14ac:dyDescent="0.3">
      <c r="D33" s="554" t="s">
        <v>29</v>
      </c>
      <c r="E33" s="555"/>
      <c r="F33" s="578">
        <f>+IFERROR(HLOOKUP($F$8,[12]손익!$G$5:$AF$55,[12]손익!$D23,),)</f>
        <v>46711.785891015665</v>
      </c>
      <c r="G33" s="582">
        <f>+'[13]1월'!$M$43</f>
        <v>33778.718999999997</v>
      </c>
      <c r="H33" s="586">
        <f t="shared" si="0"/>
        <v>-12933.066891015667</v>
      </c>
      <c r="I33" s="582"/>
      <c r="J33" s="586">
        <f t="shared" si="1"/>
        <v>33778.718999999997</v>
      </c>
      <c r="K33" s="582">
        <f>+IFERROR(HLOOKUP($K$8,[12]손익!$G$5:$AF$55,[12]손익!$D23,),)</f>
        <v>0</v>
      </c>
      <c r="L33" s="586">
        <f>+'[13]1월'!$W$43</f>
        <v>33778.718999999997</v>
      </c>
      <c r="M33" s="582">
        <f t="shared" si="2"/>
        <v>33778.718999999997</v>
      </c>
      <c r="N33" s="582"/>
      <c r="O33" s="591">
        <f t="shared" si="3"/>
        <v>33778.718999999997</v>
      </c>
      <c r="P33" s="477"/>
      <c r="Q33" s="477"/>
    </row>
    <row r="34" spans="4:17" ht="25.5" customHeight="1" x14ac:dyDescent="0.3">
      <c r="D34" s="554" t="s">
        <v>186</v>
      </c>
      <c r="E34" s="555"/>
      <c r="F34" s="578">
        <f>+F31-F33</f>
        <v>-46217.592891015425</v>
      </c>
      <c r="G34" s="582">
        <f>+G31-G33</f>
        <v>-38815.401000000245</v>
      </c>
      <c r="H34" s="586">
        <f t="shared" si="0"/>
        <v>7402.1918910151799</v>
      </c>
      <c r="I34" s="582">
        <f>+I31-I33</f>
        <v>1697.2489999996233</v>
      </c>
      <c r="J34" s="586">
        <f t="shared" si="1"/>
        <v>-40512.64999999987</v>
      </c>
      <c r="K34" s="582">
        <f>+K31-K33</f>
        <v>0</v>
      </c>
      <c r="L34" s="586">
        <f>+L31-L33</f>
        <v>-38815.401000000245</v>
      </c>
      <c r="M34" s="582">
        <f t="shared" si="2"/>
        <v>-38815.401000000245</v>
      </c>
      <c r="N34" s="582">
        <f>+N31-N33</f>
        <v>1697.2489999996233</v>
      </c>
      <c r="O34" s="591">
        <f t="shared" si="3"/>
        <v>-40512.64999999987</v>
      </c>
      <c r="P34" s="477"/>
      <c r="Q34" s="477"/>
    </row>
    <row r="35" spans="4:17" ht="25.5" customHeight="1" x14ac:dyDescent="0.3">
      <c r="D35" s="558"/>
      <c r="E35" s="557" t="s">
        <v>10</v>
      </c>
      <c r="F35" s="581">
        <f>+F34/F14</f>
        <v>-6.0298156465769968E-3</v>
      </c>
      <c r="G35" s="585">
        <f>+G34/G14</f>
        <v>-7.611031959810958E-3</v>
      </c>
      <c r="H35" s="589">
        <f t="shared" si="0"/>
        <v>-1.5812163132339612E-3</v>
      </c>
      <c r="I35" s="585">
        <f>+I34/I14</f>
        <v>2.2690131598162048E-4</v>
      </c>
      <c r="J35" s="589">
        <f t="shared" si="1"/>
        <v>-7.8379332757925781E-3</v>
      </c>
      <c r="K35" s="585">
        <f>IFERROR(K34/K14,)</f>
        <v>0</v>
      </c>
      <c r="L35" s="589">
        <f>+L34/L14</f>
        <v>-7.611031959810958E-3</v>
      </c>
      <c r="M35" s="585">
        <f t="shared" si="2"/>
        <v>-7.611031959810958E-3</v>
      </c>
      <c r="N35" s="585">
        <f>+N34/N14</f>
        <v>2.2690131598162048E-4</v>
      </c>
      <c r="O35" s="594">
        <f t="shared" si="3"/>
        <v>-7.8379332757925781E-3</v>
      </c>
      <c r="P35" s="477"/>
      <c r="Q35" s="477"/>
    </row>
    <row r="36" spans="4:17" ht="21.95" customHeight="1" x14ac:dyDescent="0.3">
      <c r="P36" s="477"/>
      <c r="Q36" s="477"/>
    </row>
    <row r="37" spans="4:17" ht="21.95" customHeight="1" x14ac:dyDescent="0.3">
      <c r="P37" s="477"/>
      <c r="Q37" s="477"/>
    </row>
    <row r="38" spans="4:17" ht="21.95" customHeight="1" x14ac:dyDescent="0.3">
      <c r="P38" s="477"/>
      <c r="Q38" s="477"/>
    </row>
    <row r="39" spans="4:17" ht="21.95" customHeight="1" x14ac:dyDescent="0.3">
      <c r="F39" s="502"/>
      <c r="G39" s="502"/>
      <c r="I39" s="502"/>
      <c r="K39" s="502"/>
      <c r="L39" s="502"/>
      <c r="N39" s="82"/>
      <c r="P39" s="477"/>
      <c r="Q39" s="477"/>
    </row>
    <row r="40" spans="4:17" ht="21.95" customHeight="1" x14ac:dyDescent="0.3"/>
    <row r="41" spans="4:17" ht="21.95" customHeight="1" x14ac:dyDescent="0.3"/>
    <row r="42" spans="4:17" ht="21.95" customHeight="1" x14ac:dyDescent="0.3"/>
    <row r="43" spans="4:17" ht="21.95" customHeight="1" x14ac:dyDescent="0.3"/>
    <row r="44" spans="4:17" ht="21.95" customHeight="1" x14ac:dyDescent="0.3"/>
    <row r="45" spans="4:17" ht="21.95" customHeight="1" x14ac:dyDescent="0.3"/>
    <row r="46" spans="4:17" ht="21.95" customHeight="1" x14ac:dyDescent="0.3"/>
    <row r="47" spans="4:17" ht="21.95" customHeight="1" x14ac:dyDescent="0.3"/>
    <row r="48" spans="4:17" ht="21.95" customHeight="1" x14ac:dyDescent="0.3"/>
    <row r="49" ht="21.95" customHeight="1" x14ac:dyDescent="0.3"/>
    <row r="50" ht="21.95" customHeight="1" x14ac:dyDescent="0.3"/>
    <row r="51" ht="21.95" customHeight="1" x14ac:dyDescent="0.3"/>
    <row r="52" ht="21.95" customHeight="1" x14ac:dyDescent="0.3"/>
    <row r="53" ht="21.95" customHeight="1" x14ac:dyDescent="0.3"/>
    <row r="54" ht="21.95" customHeight="1" x14ac:dyDescent="0.3"/>
    <row r="55" ht="21.95" customHeight="1" x14ac:dyDescent="0.3"/>
    <row r="56" ht="21.95" customHeight="1" x14ac:dyDescent="0.3"/>
  </sheetData>
  <mergeCells count="1">
    <mergeCell ref="D8:E9"/>
  </mergeCells>
  <phoneticPr fontId="1" type="noConversion"/>
  <pageMargins left="0.23622047244094491" right="0.23622047244094491" top="0.39370078740157483" bottom="0.39370078740157483" header="0.31496062992125984" footer="0.31496062992125984"/>
  <pageSetup paperSize="9" scale="64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9</vt:i4>
      </vt:variant>
      <vt:variant>
        <vt:lpstr>이름 지정된 범위</vt:lpstr>
      </vt:variant>
      <vt:variant>
        <vt:i4>8</vt:i4>
      </vt:variant>
    </vt:vector>
  </HeadingPairs>
  <TitlesOfParts>
    <vt:vector size="17" baseType="lpstr">
      <vt:lpstr>표지</vt:lpstr>
      <vt:lpstr>손익총괄</vt:lpstr>
      <vt:lpstr>레미콘 영업이익</vt:lpstr>
      <vt:lpstr>사업장별(당월)</vt:lpstr>
      <vt:lpstr>영업이익</vt:lpstr>
      <vt:lpstr>공헌이익</vt:lpstr>
      <vt:lpstr>재료비단가</vt:lpstr>
      <vt:lpstr>원단위</vt:lpstr>
      <vt:lpstr>건자재</vt:lpstr>
      <vt:lpstr>건자재!Print_Area</vt:lpstr>
      <vt:lpstr>공헌이익!Print_Area</vt:lpstr>
      <vt:lpstr>'레미콘 영업이익'!Print_Area</vt:lpstr>
      <vt:lpstr>'사업장별(당월)'!Print_Area</vt:lpstr>
      <vt:lpstr>손익총괄!Print_Area</vt:lpstr>
      <vt:lpstr>영업이익!Print_Area</vt:lpstr>
      <vt:lpstr>원단위!Print_Area</vt:lpstr>
      <vt:lpstr>재료비단가!Print_Area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ty</dc:creator>
  <cp:lastModifiedBy>창환 김</cp:lastModifiedBy>
  <cp:lastPrinted>2026-02-25T22:26:09Z</cp:lastPrinted>
  <dcterms:created xsi:type="dcterms:W3CDTF">2018-12-20T00:38:36Z</dcterms:created>
  <dcterms:modified xsi:type="dcterms:W3CDTF">2026-04-20T05:00:14Z</dcterms:modified>
</cp:coreProperties>
</file>