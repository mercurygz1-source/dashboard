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605\00_보고서\"/>
    </mc:Choice>
  </mc:AlternateContent>
  <xr:revisionPtr revIDLastSave="0" documentId="13_ncr:1_{6A8FEB73-1853-4F6A-B8AE-7D0CEA2A10D7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레미콘 영업이익" sheetId="37" r:id="rId3"/>
    <sheet name="사업장별(당월)" sheetId="2" r:id="rId4"/>
    <sheet name="사업장별(누계)" sheetId="38" r:id="rId5"/>
    <sheet name="영업이익" sheetId="25" r:id="rId6"/>
    <sheet name="공헌이익" sheetId="26" r:id="rId7"/>
    <sheet name="재료비단가" sheetId="27" r:id="rId8"/>
    <sheet name="원단위" sheetId="28" r:id="rId9"/>
    <sheet name="건자재" sheetId="3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9" hidden="1">{"Header",#N/A,TRUE,"Summary";"ProjectInfo",#N/A,TRUE,"Total Value"}</definedName>
    <definedName name="edsd" localSheetId="6" hidden="1">{"Header",#N/A,TRUE,"Summary";"ProjectInfo",#N/A,TRUE,"Total Value"}</definedName>
    <definedName name="edsd" localSheetId="5" hidden="1">{"Header",#N/A,TRUE,"Summary";"ProjectInfo",#N/A,TRUE,"Total Value"}</definedName>
    <definedName name="edsd" localSheetId="8" hidden="1">{"Header",#N/A,TRUE,"Summary";"ProjectInfo",#N/A,TRUE,"Total Value"}</definedName>
    <definedName name="edsd" localSheetId="7" hidden="1">{"Header",#N/A,TRUE,"Summary";"ProjectInfo",#N/A,TRUE,"Total Value"}</definedName>
    <definedName name="edsd" hidden="1">{"Header",#N/A,TRUE,"Summary";"ProjectInfo",#N/A,TRUE,"Total Value"}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9" hidden="1">{"Header",#N/A,TRUE,"Summary";"ProjectInfo",#N/A,TRUE,"Total Value"}</definedName>
    <definedName name="jijk" localSheetId="6" hidden="1">{"Header",#N/A,TRUE,"Summary";"ProjectInfo",#N/A,TRUE,"Total Value"}</definedName>
    <definedName name="jijk" localSheetId="5" hidden="1">{"Header",#N/A,TRUE,"Summary";"ProjectInfo",#N/A,TRUE,"Total Value"}</definedName>
    <definedName name="jijk" localSheetId="8" hidden="1">{"Header",#N/A,TRUE,"Summary";"ProjectInfo",#N/A,TRUE,"Total Value"}</definedName>
    <definedName name="jijk" localSheetId="7" hidden="1">{"Header",#N/A,TRUE,"Summary";"ProjectInfo",#N/A,TRUE,"Total Value"}</definedName>
    <definedName name="jijk" hidden="1">{"Header",#N/A,TRUE,"Summary";"ProjectInfo",#N/A,TRUE,"Total Value"}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9">건자재!$D$6:$O$35</definedName>
    <definedName name="_xlnm.Print_Area" localSheetId="6">공헌이익!$D$4:$V$29</definedName>
    <definedName name="_xlnm.Print_Area" localSheetId="2">'레미콘 영업이익'!$H$3:$AC$28</definedName>
    <definedName name="_xlnm.Print_Area" localSheetId="4">'사업장별(누계)'!$H$3:$AG$44</definedName>
    <definedName name="_xlnm.Print_Area" localSheetId="3">'사업장별(당월)'!$H$3:$AG$44</definedName>
    <definedName name="_xlnm.Print_Area" localSheetId="1">손익총괄!$C$3:$X$37</definedName>
    <definedName name="_xlnm.Print_Area" localSheetId="5">영업이익!$D$4:$W$29</definedName>
    <definedName name="_xlnm.Print_Area" localSheetId="8">원단위!$D$4:$V$29</definedName>
    <definedName name="_xlnm.Print_Area" localSheetId="7">재료비단가!$D$4:$V$29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9" hidden="1">{"Header",#N/A,TRUE,"Summary";"ProjectInfo",#N/A,TRUE,"Total Value"}</definedName>
    <definedName name="w" localSheetId="6" hidden="1">{"Header",#N/A,TRUE,"Summary";"ProjectInfo",#N/A,TRUE,"Total Value"}</definedName>
    <definedName name="w" localSheetId="5" hidden="1">{"Header",#N/A,TRUE,"Summary";"ProjectInfo",#N/A,TRUE,"Total Value"}</definedName>
    <definedName name="w" localSheetId="8" hidden="1">{"Header",#N/A,TRUE,"Summary";"ProjectInfo",#N/A,TRUE,"Total Value"}</definedName>
    <definedName name="w" localSheetId="7" hidden="1">{"Header",#N/A,TRUE,"Summary";"ProjectInfo",#N/A,TRUE,"Total Value"}</definedName>
    <definedName name="w" hidden="1">{"Header",#N/A,TRUE,"Summary";"ProjectInfo",#N/A,TRUE,"Total Value"}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9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hidden="1">{"Header",#N/A,TRUE,"Summary";"ProjectInfo",#N/A,TRUE,"Total Value"}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9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9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7" hidden="1">{"Header",#N/A,TRUE,"Summary";"ProjectInfo",#N/A,TRUE,"Total Value"}</definedName>
    <definedName name="ㅈㅇ" hidden="1">{"Header",#N/A,TRUE,"Summary";"ProjectInfo",#N/A,TRUE,"Total Value"}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J39" i="2" l="1"/>
  <c r="AJ39" i="38"/>
  <c r="AJ41" i="38" s="1"/>
  <c r="AO27" i="2" l="1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F34" i="38" l="1"/>
  <c r="AJ34" i="38"/>
  <c r="AJ31" i="38" l="1"/>
  <c r="AJ30" i="38"/>
  <c r="AC34" i="2" l="1"/>
  <c r="AC33" i="2"/>
  <c r="AA34" i="2"/>
  <c r="AA33" i="2"/>
  <c r="AA35" i="2"/>
  <c r="AD33" i="2" l="1"/>
  <c r="AD34" i="2"/>
  <c r="AC35" i="2" l="1"/>
  <c r="AI26" i="2" l="1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D35" i="2"/>
  <c r="AJ31" i="2" s="1"/>
  <c r="L33" i="34" l="1"/>
  <c r="N29" i="34"/>
  <c r="L29" i="34"/>
  <c r="N25" i="34"/>
  <c r="L25" i="34"/>
  <c r="N24" i="34"/>
  <c r="L24" i="34"/>
  <c r="N16" i="34"/>
  <c r="L16" i="34"/>
  <c r="N15" i="34"/>
  <c r="L15" i="34"/>
  <c r="N13" i="34"/>
  <c r="L13" i="34"/>
  <c r="N12" i="34"/>
  <c r="L12" i="34"/>
  <c r="N10" i="34"/>
  <c r="L10" i="34"/>
  <c r="G33" i="34"/>
  <c r="I29" i="34"/>
  <c r="G29" i="34"/>
  <c r="I25" i="34"/>
  <c r="G25" i="34"/>
  <c r="I24" i="34"/>
  <c r="G24" i="34"/>
  <c r="I16" i="34"/>
  <c r="G16" i="34"/>
  <c r="I15" i="34"/>
  <c r="G15" i="34"/>
  <c r="I13" i="34"/>
  <c r="G13" i="34"/>
  <c r="I12" i="34"/>
  <c r="G12" i="34"/>
  <c r="I10" i="34"/>
  <c r="G10" i="34"/>
  <c r="V24" i="1"/>
  <c r="V23" i="1"/>
  <c r="T24" i="1"/>
  <c r="S24" i="1"/>
  <c r="T23" i="1"/>
  <c r="S23" i="1"/>
  <c r="V20" i="1"/>
  <c r="S20" i="1"/>
  <c r="V19" i="1"/>
  <c r="S19" i="1"/>
  <c r="V18" i="1"/>
  <c r="S18" i="1"/>
  <c r="V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V37" i="1"/>
  <c r="T37" i="1"/>
  <c r="S37" i="1"/>
  <c r="V36" i="1"/>
  <c r="T36" i="1"/>
  <c r="S36" i="1"/>
  <c r="M39" i="1"/>
  <c r="K39" i="1"/>
  <c r="J39" i="1"/>
  <c r="M36" i="1"/>
  <c r="K36" i="1"/>
  <c r="J36" i="1"/>
  <c r="M34" i="1"/>
  <c r="K34" i="1"/>
  <c r="J34" i="1"/>
  <c r="M33" i="1"/>
  <c r="K33" i="1"/>
  <c r="J33" i="1"/>
  <c r="M32" i="1"/>
  <c r="J32" i="1"/>
  <c r="J23" i="1"/>
  <c r="M22" i="1"/>
  <c r="K22" i="1"/>
  <c r="J22" i="1"/>
  <c r="M21" i="1"/>
  <c r="K21" i="1"/>
  <c r="J21" i="1"/>
  <c r="K15" i="1"/>
  <c r="J15" i="1"/>
  <c r="M14" i="1"/>
  <c r="K14" i="1"/>
  <c r="J14" i="1"/>
  <c r="M13" i="1"/>
  <c r="K13" i="1"/>
  <c r="J13" i="1"/>
  <c r="K11" i="1"/>
  <c r="M10" i="1"/>
  <c r="K10" i="1"/>
  <c r="J10" i="1"/>
  <c r="M9" i="1"/>
  <c r="K9" i="1"/>
  <c r="J9" i="1"/>
  <c r="M8" i="1"/>
  <c r="J8" i="1"/>
  <c r="M7" i="1"/>
  <c r="J7" i="1"/>
  <c r="H39" i="1"/>
  <c r="F39" i="1"/>
  <c r="E39" i="1"/>
  <c r="H36" i="1"/>
  <c r="F36" i="1"/>
  <c r="H34" i="1"/>
  <c r="F34" i="1"/>
  <c r="H33" i="1"/>
  <c r="F33" i="1"/>
  <c r="H32" i="1"/>
  <c r="E23" i="1"/>
  <c r="H22" i="1"/>
  <c r="F22" i="1"/>
  <c r="E22" i="1"/>
  <c r="H21" i="1"/>
  <c r="F21" i="1"/>
  <c r="F23" i="1" s="1"/>
  <c r="E21" i="1"/>
  <c r="F15" i="1"/>
  <c r="E15" i="1"/>
  <c r="H14" i="1"/>
  <c r="F14" i="1"/>
  <c r="E14" i="1"/>
  <c r="H13" i="1"/>
  <c r="F13" i="1"/>
  <c r="E13" i="1"/>
  <c r="F11" i="1"/>
  <c r="H10" i="1"/>
  <c r="F10" i="1"/>
  <c r="E10" i="1"/>
  <c r="H9" i="1"/>
  <c r="F9" i="1"/>
  <c r="E9" i="1"/>
  <c r="H8" i="1"/>
  <c r="E8" i="1"/>
  <c r="H7" i="1"/>
  <c r="E7" i="1"/>
  <c r="AD27" i="38"/>
  <c r="AB27" i="38"/>
  <c r="AA27" i="38"/>
  <c r="AG27" i="38" s="1"/>
  <c r="Z27" i="38"/>
  <c r="Y27" i="38"/>
  <c r="AD26" i="38"/>
  <c r="AB26" i="38"/>
  <c r="AA26" i="38"/>
  <c r="AG26" i="38" s="1"/>
  <c r="Z26" i="38"/>
  <c r="Y26" i="38"/>
  <c r="AD25" i="38"/>
  <c r="AB25" i="38"/>
  <c r="AA25" i="38"/>
  <c r="AG25" i="38" s="1"/>
  <c r="Z25" i="38"/>
  <c r="Y25" i="38"/>
  <c r="AD24" i="38"/>
  <c r="AB24" i="38"/>
  <c r="AA24" i="38"/>
  <c r="Z24" i="38"/>
  <c r="Y24" i="38"/>
  <c r="AD23" i="38"/>
  <c r="AB23" i="38"/>
  <c r="AA23" i="38"/>
  <c r="Z23" i="38"/>
  <c r="Y23" i="38"/>
  <c r="AD22" i="38"/>
  <c r="AB22" i="38"/>
  <c r="AA22" i="38"/>
  <c r="AG22" i="38" s="1"/>
  <c r="Z22" i="38"/>
  <c r="Y22" i="38"/>
  <c r="AD21" i="38"/>
  <c r="AB21" i="38"/>
  <c r="AA21" i="38"/>
  <c r="AG21" i="38" s="1"/>
  <c r="Z21" i="38"/>
  <c r="Y21" i="38"/>
  <c r="AD20" i="38"/>
  <c r="AG20" i="38" s="1"/>
  <c r="AB20" i="38"/>
  <c r="AA20" i="38"/>
  <c r="Z20" i="38"/>
  <c r="Y20" i="38"/>
  <c r="AD19" i="38"/>
  <c r="AB19" i="38"/>
  <c r="AA19" i="38"/>
  <c r="Z19" i="38"/>
  <c r="Y19" i="38"/>
  <c r="AD18" i="38"/>
  <c r="AB18" i="38"/>
  <c r="AA18" i="38"/>
  <c r="Z18" i="38"/>
  <c r="Y18" i="38"/>
  <c r="AD17" i="38"/>
  <c r="AB17" i="38"/>
  <c r="AA17" i="38"/>
  <c r="AG17" i="38" s="1"/>
  <c r="Z17" i="38"/>
  <c r="Y17" i="38"/>
  <c r="AD16" i="38"/>
  <c r="AB16" i="38"/>
  <c r="AA16" i="38"/>
  <c r="Z16" i="38"/>
  <c r="Y16" i="38"/>
  <c r="AD15" i="38"/>
  <c r="AB15" i="38"/>
  <c r="AA15" i="38"/>
  <c r="AG15" i="38" s="1"/>
  <c r="Z15" i="38"/>
  <c r="Y15" i="38"/>
  <c r="AD14" i="38"/>
  <c r="AB14" i="38"/>
  <c r="AA14" i="38"/>
  <c r="Z14" i="38"/>
  <c r="Y14" i="38"/>
  <c r="AD13" i="38"/>
  <c r="AB13" i="38"/>
  <c r="AA13" i="38"/>
  <c r="Z13" i="38"/>
  <c r="Y13" i="38"/>
  <c r="AE13" i="38" s="1"/>
  <c r="AD12" i="38"/>
  <c r="AB12" i="38"/>
  <c r="AA12" i="38"/>
  <c r="AG12" i="38" s="1"/>
  <c r="Z12" i="38"/>
  <c r="Y12" i="38"/>
  <c r="AD11" i="38"/>
  <c r="AB11" i="38"/>
  <c r="AA11" i="38"/>
  <c r="AG11" i="38" s="1"/>
  <c r="Z11" i="38"/>
  <c r="Y11" i="38"/>
  <c r="AD10" i="38"/>
  <c r="AB10" i="38"/>
  <c r="AE10" i="38" s="1"/>
  <c r="AA10" i="38"/>
  <c r="Z10" i="38"/>
  <c r="Y10" i="38"/>
  <c r="AD9" i="38"/>
  <c r="AB9" i="38"/>
  <c r="AA9" i="38"/>
  <c r="AG9" i="38" s="1"/>
  <c r="Z9" i="38"/>
  <c r="Y9" i="38"/>
  <c r="AD8" i="38"/>
  <c r="AB8" i="38"/>
  <c r="AA8" i="38"/>
  <c r="Z8" i="38"/>
  <c r="Y8" i="38"/>
  <c r="AD7" i="38"/>
  <c r="AB7" i="38"/>
  <c r="AA7" i="38"/>
  <c r="AG7" i="38" s="1"/>
  <c r="Z7" i="38"/>
  <c r="Y7" i="38"/>
  <c r="W48" i="38"/>
  <c r="U48" i="38"/>
  <c r="T48" i="38"/>
  <c r="R48" i="38"/>
  <c r="P48" i="38"/>
  <c r="O48" i="38"/>
  <c r="M48" i="38"/>
  <c r="J48" i="38"/>
  <c r="W43" i="38"/>
  <c r="U43" i="38"/>
  <c r="T43" i="38"/>
  <c r="R43" i="38"/>
  <c r="P43" i="38"/>
  <c r="O43" i="38"/>
  <c r="M43" i="38"/>
  <c r="J43" i="38"/>
  <c r="W39" i="38"/>
  <c r="T39" i="38"/>
  <c r="T64" i="38" s="1"/>
  <c r="R39" i="38"/>
  <c r="P39" i="38"/>
  <c r="O39" i="38"/>
  <c r="U38" i="38"/>
  <c r="U39" i="38" s="1"/>
  <c r="U64" i="38" s="1"/>
  <c r="W37" i="38"/>
  <c r="U37" i="38"/>
  <c r="U63" i="38" s="1"/>
  <c r="T37" i="38"/>
  <c r="R37" i="38"/>
  <c r="S37" i="38" s="1"/>
  <c r="W36" i="38"/>
  <c r="U36" i="38"/>
  <c r="U62" i="38" s="1"/>
  <c r="W35" i="38"/>
  <c r="U35" i="38"/>
  <c r="U61" i="38" s="1"/>
  <c r="W34" i="38"/>
  <c r="U34" i="38"/>
  <c r="T34" i="38"/>
  <c r="V34" i="38" s="1"/>
  <c r="W33" i="38"/>
  <c r="U33" i="38"/>
  <c r="T33" i="38"/>
  <c r="R33" i="38"/>
  <c r="P33" i="38"/>
  <c r="O33" i="38"/>
  <c r="O40" i="38" s="1"/>
  <c r="W32" i="38"/>
  <c r="U32" i="38"/>
  <c r="T32" i="38"/>
  <c r="R32" i="38"/>
  <c r="P32" i="38"/>
  <c r="O32" i="38"/>
  <c r="W30" i="38"/>
  <c r="U30" i="38"/>
  <c r="T30" i="38"/>
  <c r="R30" i="38"/>
  <c r="P30" i="38"/>
  <c r="O30" i="38"/>
  <c r="M30" i="38"/>
  <c r="J30" i="38"/>
  <c r="W29" i="38"/>
  <c r="U29" i="38"/>
  <c r="X29" i="38" s="1"/>
  <c r="T29" i="38"/>
  <c r="R29" i="38"/>
  <c r="P29" i="38"/>
  <c r="O29" i="38"/>
  <c r="M29" i="38"/>
  <c r="J29" i="38"/>
  <c r="W28" i="38"/>
  <c r="U28" i="38"/>
  <c r="T28" i="38"/>
  <c r="R28" i="38"/>
  <c r="P28" i="38"/>
  <c r="O28" i="38"/>
  <c r="M28" i="38"/>
  <c r="J28" i="38"/>
  <c r="W23" i="38"/>
  <c r="U23" i="38"/>
  <c r="T23" i="38"/>
  <c r="R23" i="38"/>
  <c r="P23" i="38"/>
  <c r="S23" i="38" s="1"/>
  <c r="O23" i="38"/>
  <c r="M23" i="38"/>
  <c r="J23" i="38"/>
  <c r="J26" i="38" s="1"/>
  <c r="W22" i="38"/>
  <c r="U22" i="38"/>
  <c r="T22" i="38"/>
  <c r="R22" i="38"/>
  <c r="P22" i="38"/>
  <c r="S22" i="38" s="1"/>
  <c r="O22" i="38"/>
  <c r="M22" i="38"/>
  <c r="J22" i="38"/>
  <c r="W21" i="38"/>
  <c r="U21" i="38"/>
  <c r="T21" i="38"/>
  <c r="R21" i="38"/>
  <c r="P21" i="38"/>
  <c r="O21" i="38"/>
  <c r="M21" i="38"/>
  <c r="J21" i="38"/>
  <c r="W20" i="38"/>
  <c r="U20" i="38"/>
  <c r="T20" i="38"/>
  <c r="R20" i="38"/>
  <c r="P20" i="38"/>
  <c r="S20" i="38" s="1"/>
  <c r="O20" i="38"/>
  <c r="M20" i="38"/>
  <c r="J20" i="38"/>
  <c r="W19" i="38"/>
  <c r="U19" i="38"/>
  <c r="T19" i="38"/>
  <c r="R19" i="38"/>
  <c r="P19" i="38"/>
  <c r="O19" i="38"/>
  <c r="M19" i="38"/>
  <c r="J19" i="38"/>
  <c r="W18" i="38"/>
  <c r="U18" i="38"/>
  <c r="T18" i="38"/>
  <c r="R18" i="38"/>
  <c r="P18" i="38"/>
  <c r="S18" i="38" s="1"/>
  <c r="O18" i="38"/>
  <c r="M18" i="38"/>
  <c r="J18" i="38"/>
  <c r="W17" i="38"/>
  <c r="U17" i="38"/>
  <c r="T17" i="38"/>
  <c r="R17" i="38"/>
  <c r="P17" i="38"/>
  <c r="O17" i="38"/>
  <c r="M17" i="38"/>
  <c r="J17" i="38"/>
  <c r="W16" i="38"/>
  <c r="U16" i="38"/>
  <c r="T16" i="38"/>
  <c r="R16" i="38"/>
  <c r="P16" i="38"/>
  <c r="O16" i="38"/>
  <c r="M16" i="38"/>
  <c r="J16" i="38"/>
  <c r="W15" i="38"/>
  <c r="U15" i="38"/>
  <c r="X15" i="38" s="1"/>
  <c r="T15" i="38"/>
  <c r="R15" i="38"/>
  <c r="P15" i="38"/>
  <c r="S15" i="38" s="1"/>
  <c r="O15" i="38"/>
  <c r="M15" i="38"/>
  <c r="J15" i="38"/>
  <c r="W14" i="38"/>
  <c r="U14" i="38"/>
  <c r="T14" i="38"/>
  <c r="R14" i="38"/>
  <c r="P14" i="38"/>
  <c r="O14" i="38"/>
  <c r="M14" i="38"/>
  <c r="J14" i="38"/>
  <c r="W13" i="38"/>
  <c r="U13" i="38"/>
  <c r="T13" i="38"/>
  <c r="R13" i="38"/>
  <c r="P13" i="38"/>
  <c r="O13" i="38"/>
  <c r="M13" i="38"/>
  <c r="J13" i="38"/>
  <c r="W12" i="38"/>
  <c r="U12" i="38"/>
  <c r="T12" i="38"/>
  <c r="R12" i="38"/>
  <c r="P12" i="38"/>
  <c r="O12" i="38"/>
  <c r="M12" i="38"/>
  <c r="J12" i="38"/>
  <c r="W11" i="38"/>
  <c r="U11" i="38"/>
  <c r="T11" i="38"/>
  <c r="R11" i="38"/>
  <c r="P11" i="38"/>
  <c r="O11" i="38"/>
  <c r="M11" i="38"/>
  <c r="J11" i="38"/>
  <c r="W10" i="38"/>
  <c r="U10" i="38"/>
  <c r="T10" i="38"/>
  <c r="R10" i="38"/>
  <c r="P10" i="38"/>
  <c r="O10" i="38"/>
  <c r="M10" i="38"/>
  <c r="J10" i="38"/>
  <c r="W9" i="38"/>
  <c r="U9" i="38"/>
  <c r="T9" i="38"/>
  <c r="R9" i="38"/>
  <c r="P9" i="38"/>
  <c r="O9" i="38"/>
  <c r="M9" i="38"/>
  <c r="J9" i="38"/>
  <c r="W8" i="38"/>
  <c r="U8" i="38"/>
  <c r="T8" i="38"/>
  <c r="R8" i="38"/>
  <c r="P8" i="38"/>
  <c r="S8" i="38" s="1"/>
  <c r="O8" i="38"/>
  <c r="M8" i="38"/>
  <c r="J8" i="38"/>
  <c r="J24" i="38" s="1"/>
  <c r="W7" i="38"/>
  <c r="U7" i="38"/>
  <c r="T7" i="38"/>
  <c r="R7" i="38"/>
  <c r="P7" i="38"/>
  <c r="O7" i="38"/>
  <c r="M7" i="38"/>
  <c r="J7" i="38"/>
  <c r="S64" i="38"/>
  <c r="T63" i="38"/>
  <c r="S63" i="38"/>
  <c r="T62" i="38"/>
  <c r="S62" i="38"/>
  <c r="T61" i="38"/>
  <c r="S61" i="38"/>
  <c r="K40" i="38"/>
  <c r="J40" i="38"/>
  <c r="G40" i="38"/>
  <c r="N39" i="38"/>
  <c r="L39" i="38"/>
  <c r="G39" i="38"/>
  <c r="G38" i="38"/>
  <c r="Q37" i="38"/>
  <c r="M37" i="38"/>
  <c r="M40" i="38" s="1"/>
  <c r="G37" i="38"/>
  <c r="S36" i="38"/>
  <c r="Q36" i="38"/>
  <c r="N36" i="38"/>
  <c r="G36" i="38"/>
  <c r="S35" i="38"/>
  <c r="Q35" i="38"/>
  <c r="N35" i="38"/>
  <c r="G35" i="38"/>
  <c r="S34" i="38"/>
  <c r="Q34" i="38"/>
  <c r="N34" i="38"/>
  <c r="L34" i="38"/>
  <c r="G34" i="38"/>
  <c r="N33" i="38"/>
  <c r="L33" i="38"/>
  <c r="G33" i="38"/>
  <c r="N32" i="38"/>
  <c r="L32" i="38"/>
  <c r="G31" i="38"/>
  <c r="G30" i="38"/>
  <c r="G29" i="38"/>
  <c r="G26" i="38"/>
  <c r="G25" i="38"/>
  <c r="G24" i="38"/>
  <c r="G23" i="38"/>
  <c r="G22" i="38"/>
  <c r="G21" i="38"/>
  <c r="G20" i="38"/>
  <c r="AG19" i="38"/>
  <c r="G19" i="38"/>
  <c r="G18" i="38"/>
  <c r="G17" i="38"/>
  <c r="AG16" i="38"/>
  <c r="G16" i="38"/>
  <c r="G15" i="38"/>
  <c r="G14" i="38"/>
  <c r="G13" i="38"/>
  <c r="G12" i="38"/>
  <c r="G11" i="38"/>
  <c r="G10" i="38"/>
  <c r="G9" i="38"/>
  <c r="G8" i="38"/>
  <c r="G7" i="38"/>
  <c r="W48" i="2"/>
  <c r="U48" i="2"/>
  <c r="T48" i="2"/>
  <c r="R48" i="2"/>
  <c r="P48" i="2"/>
  <c r="O48" i="2"/>
  <c r="M48" i="2"/>
  <c r="J48" i="2"/>
  <c r="W43" i="2"/>
  <c r="U43" i="2"/>
  <c r="T43" i="2"/>
  <c r="R43" i="2"/>
  <c r="P43" i="2"/>
  <c r="O43" i="2"/>
  <c r="M43" i="2"/>
  <c r="J43" i="2"/>
  <c r="W39" i="2"/>
  <c r="T39" i="2"/>
  <c r="R39" i="2"/>
  <c r="P39" i="2"/>
  <c r="O39" i="2"/>
  <c r="U38" i="2"/>
  <c r="U39" i="2" s="1"/>
  <c r="W37" i="2"/>
  <c r="U37" i="2"/>
  <c r="T37" i="2"/>
  <c r="R37" i="2"/>
  <c r="W36" i="2"/>
  <c r="U36" i="2"/>
  <c r="W35" i="2"/>
  <c r="U35" i="2"/>
  <c r="W34" i="2"/>
  <c r="U34" i="2"/>
  <c r="T34" i="2"/>
  <c r="W33" i="2"/>
  <c r="U33" i="2"/>
  <c r="T33" i="2"/>
  <c r="R33" i="2"/>
  <c r="P33" i="2"/>
  <c r="O33" i="2"/>
  <c r="W32" i="2"/>
  <c r="U32" i="2"/>
  <c r="T32" i="2"/>
  <c r="R32" i="2"/>
  <c r="P32" i="2"/>
  <c r="O32" i="2"/>
  <c r="W30" i="2"/>
  <c r="U30" i="2"/>
  <c r="T30" i="2"/>
  <c r="R30" i="2"/>
  <c r="P30" i="2"/>
  <c r="O30" i="2"/>
  <c r="M30" i="2"/>
  <c r="J30" i="2"/>
  <c r="W29" i="2"/>
  <c r="U29" i="2"/>
  <c r="T29" i="2"/>
  <c r="R29" i="2"/>
  <c r="P29" i="2"/>
  <c r="O29" i="2"/>
  <c r="M29" i="2"/>
  <c r="J29" i="2"/>
  <c r="W28" i="2"/>
  <c r="U28" i="2"/>
  <c r="T28" i="2"/>
  <c r="R28" i="2"/>
  <c r="P28" i="2"/>
  <c r="O28" i="2"/>
  <c r="M28" i="2"/>
  <c r="J28" i="2"/>
  <c r="W23" i="2"/>
  <c r="U23" i="2"/>
  <c r="T23" i="2"/>
  <c r="R23" i="2"/>
  <c r="P23" i="2"/>
  <c r="O23" i="2"/>
  <c r="M23" i="2"/>
  <c r="J23" i="2"/>
  <c r="W22" i="2"/>
  <c r="U22" i="2"/>
  <c r="T22" i="2"/>
  <c r="R22" i="2"/>
  <c r="P22" i="2"/>
  <c r="O22" i="2"/>
  <c r="M22" i="2"/>
  <c r="J22" i="2"/>
  <c r="W21" i="2"/>
  <c r="U21" i="2"/>
  <c r="T21" i="2"/>
  <c r="R21" i="2"/>
  <c r="P21" i="2"/>
  <c r="O21" i="2"/>
  <c r="M21" i="2"/>
  <c r="J21" i="2"/>
  <c r="W20" i="2"/>
  <c r="U20" i="2"/>
  <c r="T20" i="2"/>
  <c r="R20" i="2"/>
  <c r="P20" i="2"/>
  <c r="O20" i="2"/>
  <c r="M20" i="2"/>
  <c r="J20" i="2"/>
  <c r="W19" i="2"/>
  <c r="U19" i="2"/>
  <c r="T19" i="2"/>
  <c r="R19" i="2"/>
  <c r="P19" i="2"/>
  <c r="O19" i="2"/>
  <c r="M19" i="2"/>
  <c r="J19" i="2"/>
  <c r="W18" i="2"/>
  <c r="U18" i="2"/>
  <c r="T18" i="2"/>
  <c r="R18" i="2"/>
  <c r="P18" i="2"/>
  <c r="O18" i="2"/>
  <c r="M18" i="2"/>
  <c r="J18" i="2"/>
  <c r="W17" i="2"/>
  <c r="U17" i="2"/>
  <c r="T17" i="2"/>
  <c r="R17" i="2"/>
  <c r="P17" i="2"/>
  <c r="O17" i="2"/>
  <c r="M17" i="2"/>
  <c r="J17" i="2"/>
  <c r="W16" i="2"/>
  <c r="U16" i="2"/>
  <c r="T16" i="2"/>
  <c r="R16" i="2"/>
  <c r="P16" i="2"/>
  <c r="O16" i="2"/>
  <c r="M16" i="2"/>
  <c r="J16" i="2"/>
  <c r="W15" i="2"/>
  <c r="U15" i="2"/>
  <c r="T15" i="2"/>
  <c r="R15" i="2"/>
  <c r="P15" i="2"/>
  <c r="O15" i="2"/>
  <c r="M15" i="2"/>
  <c r="J15" i="2"/>
  <c r="W14" i="2"/>
  <c r="U14" i="2"/>
  <c r="T14" i="2"/>
  <c r="R14" i="2"/>
  <c r="P14" i="2"/>
  <c r="O14" i="2"/>
  <c r="M14" i="2"/>
  <c r="J14" i="2"/>
  <c r="W13" i="2"/>
  <c r="U13" i="2"/>
  <c r="T13" i="2"/>
  <c r="R13" i="2"/>
  <c r="P13" i="2"/>
  <c r="O13" i="2"/>
  <c r="M13" i="2"/>
  <c r="J13" i="2"/>
  <c r="W12" i="2"/>
  <c r="U12" i="2"/>
  <c r="T12" i="2"/>
  <c r="R12" i="2"/>
  <c r="P12" i="2"/>
  <c r="O12" i="2"/>
  <c r="M12" i="2"/>
  <c r="J12" i="2"/>
  <c r="W11" i="2"/>
  <c r="U11" i="2"/>
  <c r="T11" i="2"/>
  <c r="R11" i="2"/>
  <c r="P11" i="2"/>
  <c r="O11" i="2"/>
  <c r="M11" i="2"/>
  <c r="J11" i="2"/>
  <c r="W10" i="2"/>
  <c r="U10" i="2"/>
  <c r="T10" i="2"/>
  <c r="R10" i="2"/>
  <c r="P10" i="2"/>
  <c r="O10" i="2"/>
  <c r="M10" i="2"/>
  <c r="J10" i="2"/>
  <c r="W9" i="2"/>
  <c r="U9" i="2"/>
  <c r="T9" i="2"/>
  <c r="R9" i="2"/>
  <c r="P9" i="2"/>
  <c r="O9" i="2"/>
  <c r="M9" i="2"/>
  <c r="J9" i="2"/>
  <c r="W8" i="2"/>
  <c r="U8" i="2"/>
  <c r="T8" i="2"/>
  <c r="R8" i="2"/>
  <c r="P8" i="2"/>
  <c r="O8" i="2"/>
  <c r="M8" i="2"/>
  <c r="J8" i="2"/>
  <c r="W7" i="2"/>
  <c r="U7" i="2"/>
  <c r="T7" i="2"/>
  <c r="R7" i="2"/>
  <c r="P7" i="2"/>
  <c r="O7" i="2"/>
  <c r="M7" i="2"/>
  <c r="J7" i="2"/>
  <c r="AD27" i="2"/>
  <c r="AB27" i="2"/>
  <c r="AA27" i="2"/>
  <c r="Z27" i="2"/>
  <c r="Y27" i="2"/>
  <c r="AD26" i="2"/>
  <c r="AB26" i="2"/>
  <c r="AA26" i="2"/>
  <c r="Z26" i="2"/>
  <c r="Y26" i="2"/>
  <c r="AD25" i="2"/>
  <c r="AB25" i="2"/>
  <c r="AA25" i="2"/>
  <c r="Z25" i="2"/>
  <c r="Y25" i="2"/>
  <c r="AD24" i="2"/>
  <c r="AB24" i="2"/>
  <c r="AA24" i="2"/>
  <c r="Z24" i="2"/>
  <c r="Y24" i="2"/>
  <c r="AD23" i="2"/>
  <c r="AB23" i="2"/>
  <c r="AA23" i="2"/>
  <c r="Z23" i="2"/>
  <c r="Y23" i="2"/>
  <c r="AD22" i="2"/>
  <c r="AB22" i="2"/>
  <c r="AA22" i="2"/>
  <c r="Z22" i="2"/>
  <c r="Y22" i="2"/>
  <c r="AD21" i="2"/>
  <c r="AB21" i="2"/>
  <c r="AA21" i="2"/>
  <c r="Z21" i="2"/>
  <c r="Y21" i="2"/>
  <c r="AD20" i="2"/>
  <c r="AB20" i="2"/>
  <c r="AA20" i="2"/>
  <c r="Z20" i="2"/>
  <c r="Y20" i="2"/>
  <c r="AD19" i="2"/>
  <c r="AB19" i="2"/>
  <c r="AA19" i="2"/>
  <c r="Z19" i="2"/>
  <c r="Y19" i="2"/>
  <c r="AD18" i="2"/>
  <c r="AB18" i="2"/>
  <c r="AA18" i="2"/>
  <c r="Z18" i="2"/>
  <c r="Y18" i="2"/>
  <c r="AD17" i="2"/>
  <c r="AB17" i="2"/>
  <c r="AA17" i="2"/>
  <c r="Z17" i="2"/>
  <c r="Y17" i="2"/>
  <c r="AD16" i="2"/>
  <c r="AB16" i="2"/>
  <c r="AA16" i="2"/>
  <c r="Z16" i="2"/>
  <c r="Y16" i="2"/>
  <c r="AD15" i="2"/>
  <c r="AB15" i="2"/>
  <c r="AA15" i="2"/>
  <c r="Z15" i="2"/>
  <c r="Y15" i="2"/>
  <c r="AD14" i="2"/>
  <c r="AB14" i="2"/>
  <c r="AA14" i="2"/>
  <c r="Z14" i="2"/>
  <c r="Y14" i="2"/>
  <c r="AD13" i="2"/>
  <c r="AB13" i="2"/>
  <c r="AA13" i="2"/>
  <c r="Z13" i="2"/>
  <c r="Y13" i="2"/>
  <c r="AD12" i="2"/>
  <c r="AB12" i="2"/>
  <c r="AA12" i="2"/>
  <c r="Z12" i="2"/>
  <c r="Y12" i="2"/>
  <c r="AD11" i="2"/>
  <c r="AB11" i="2"/>
  <c r="AA11" i="2"/>
  <c r="Z11" i="2"/>
  <c r="Y11" i="2"/>
  <c r="AD10" i="2"/>
  <c r="AB10" i="2"/>
  <c r="AA10" i="2"/>
  <c r="Z10" i="2"/>
  <c r="Y10" i="2"/>
  <c r="AD9" i="2"/>
  <c r="AB9" i="2"/>
  <c r="AA9" i="2"/>
  <c r="Z9" i="2"/>
  <c r="Y9" i="2"/>
  <c r="AD8" i="2"/>
  <c r="AB8" i="2"/>
  <c r="AA8" i="2"/>
  <c r="Z8" i="2"/>
  <c r="Y8" i="2"/>
  <c r="AD7" i="2"/>
  <c r="AB7" i="2"/>
  <c r="AA7" i="2"/>
  <c r="Z7" i="2"/>
  <c r="Y7" i="2"/>
  <c r="AB24" i="37"/>
  <c r="Z24" i="37"/>
  <c r="Y24" i="37"/>
  <c r="W24" i="37"/>
  <c r="U24" i="37"/>
  <c r="T24" i="37"/>
  <c r="AB23" i="37"/>
  <c r="Z23" i="37"/>
  <c r="Y23" i="37"/>
  <c r="W23" i="37"/>
  <c r="U23" i="37"/>
  <c r="T23" i="37"/>
  <c r="AB22" i="37"/>
  <c r="Z22" i="37"/>
  <c r="Y22" i="37"/>
  <c r="W22" i="37"/>
  <c r="U22" i="37"/>
  <c r="T22" i="37"/>
  <c r="AB21" i="37"/>
  <c r="Z21" i="37"/>
  <c r="Y21" i="37"/>
  <c r="W21" i="37"/>
  <c r="U21" i="37"/>
  <c r="T21" i="37"/>
  <c r="AB20" i="37"/>
  <c r="Z20" i="37"/>
  <c r="Y20" i="37"/>
  <c r="W20" i="37"/>
  <c r="U20" i="37"/>
  <c r="T20" i="37"/>
  <c r="AB19" i="37"/>
  <c r="Z19" i="37"/>
  <c r="Y19" i="37"/>
  <c r="W19" i="37"/>
  <c r="U19" i="37"/>
  <c r="T19" i="37"/>
  <c r="AB18" i="37"/>
  <c r="Z18" i="37"/>
  <c r="Y18" i="37"/>
  <c r="W18" i="37"/>
  <c r="U18" i="37"/>
  <c r="T18" i="37"/>
  <c r="AB17" i="37"/>
  <c r="Z17" i="37"/>
  <c r="Y17" i="37"/>
  <c r="W17" i="37"/>
  <c r="U17" i="37"/>
  <c r="T17" i="37"/>
  <c r="AB16" i="37"/>
  <c r="Z16" i="37"/>
  <c r="Y16" i="37"/>
  <c r="W16" i="37"/>
  <c r="U16" i="37"/>
  <c r="T16" i="37"/>
  <c r="AB15" i="37"/>
  <c r="Z15" i="37"/>
  <c r="Y15" i="37"/>
  <c r="W15" i="37"/>
  <c r="U15" i="37"/>
  <c r="T15" i="37"/>
  <c r="AB14" i="37"/>
  <c r="Z14" i="37"/>
  <c r="Y14" i="37"/>
  <c r="W14" i="37"/>
  <c r="U14" i="37"/>
  <c r="T14" i="37"/>
  <c r="AB13" i="37"/>
  <c r="Z13" i="37"/>
  <c r="Y13" i="37"/>
  <c r="W13" i="37"/>
  <c r="U13" i="37"/>
  <c r="T13" i="37"/>
  <c r="AB12" i="37"/>
  <c r="Z12" i="37"/>
  <c r="Y12" i="37"/>
  <c r="W12" i="37"/>
  <c r="U12" i="37"/>
  <c r="T12" i="37"/>
  <c r="AB11" i="37"/>
  <c r="Z11" i="37"/>
  <c r="Y11" i="37"/>
  <c r="W11" i="37"/>
  <c r="U11" i="37"/>
  <c r="T11" i="37"/>
  <c r="AB10" i="37"/>
  <c r="Z10" i="37"/>
  <c r="Y10" i="37"/>
  <c r="W10" i="37"/>
  <c r="U10" i="37"/>
  <c r="T10" i="37"/>
  <c r="AB9" i="37"/>
  <c r="Z9" i="37"/>
  <c r="Y9" i="37"/>
  <c r="W9" i="37"/>
  <c r="U9" i="37"/>
  <c r="T9" i="37"/>
  <c r="AB8" i="37"/>
  <c r="Z8" i="37"/>
  <c r="Y8" i="37"/>
  <c r="W8" i="37"/>
  <c r="U8" i="37"/>
  <c r="T8" i="37"/>
  <c r="R24" i="37"/>
  <c r="P24" i="37"/>
  <c r="O24" i="37"/>
  <c r="M24" i="37"/>
  <c r="K24" i="37"/>
  <c r="J24" i="37"/>
  <c r="R23" i="37"/>
  <c r="P23" i="37"/>
  <c r="O23" i="37"/>
  <c r="M23" i="37"/>
  <c r="K23" i="37"/>
  <c r="J23" i="37"/>
  <c r="R22" i="37"/>
  <c r="P22" i="37"/>
  <c r="O22" i="37"/>
  <c r="M22" i="37"/>
  <c r="K22" i="37"/>
  <c r="J22" i="37"/>
  <c r="R21" i="37"/>
  <c r="P21" i="37"/>
  <c r="O21" i="37"/>
  <c r="M21" i="37"/>
  <c r="K21" i="37"/>
  <c r="J21" i="37"/>
  <c r="R20" i="37"/>
  <c r="P20" i="37"/>
  <c r="O20" i="37"/>
  <c r="M20" i="37"/>
  <c r="K20" i="37"/>
  <c r="J20" i="37"/>
  <c r="R19" i="37"/>
  <c r="P19" i="37"/>
  <c r="O19" i="37"/>
  <c r="M19" i="37"/>
  <c r="K19" i="37"/>
  <c r="J19" i="37"/>
  <c r="R18" i="37"/>
  <c r="P18" i="37"/>
  <c r="O18" i="37"/>
  <c r="M18" i="37"/>
  <c r="K18" i="37"/>
  <c r="J18" i="37"/>
  <c r="R17" i="37"/>
  <c r="P17" i="37"/>
  <c r="O17" i="37"/>
  <c r="M17" i="37"/>
  <c r="K17" i="37"/>
  <c r="J17" i="37"/>
  <c r="R16" i="37"/>
  <c r="P16" i="37"/>
  <c r="O16" i="37"/>
  <c r="M16" i="37"/>
  <c r="K16" i="37"/>
  <c r="J16" i="37"/>
  <c r="R15" i="37"/>
  <c r="P15" i="37"/>
  <c r="O15" i="37"/>
  <c r="M15" i="37"/>
  <c r="K15" i="37"/>
  <c r="J15" i="37"/>
  <c r="R14" i="37"/>
  <c r="P14" i="37"/>
  <c r="O14" i="37"/>
  <c r="M14" i="37"/>
  <c r="K14" i="37"/>
  <c r="J14" i="37"/>
  <c r="R13" i="37"/>
  <c r="P13" i="37"/>
  <c r="O13" i="37"/>
  <c r="M13" i="37"/>
  <c r="K13" i="37"/>
  <c r="J13" i="37"/>
  <c r="R12" i="37"/>
  <c r="P12" i="37"/>
  <c r="O12" i="37"/>
  <c r="M12" i="37"/>
  <c r="K12" i="37"/>
  <c r="J12" i="37"/>
  <c r="R11" i="37"/>
  <c r="P11" i="37"/>
  <c r="O11" i="37"/>
  <c r="M11" i="37"/>
  <c r="K11" i="37"/>
  <c r="J11" i="37"/>
  <c r="R10" i="37"/>
  <c r="O10" i="37"/>
  <c r="M10" i="37"/>
  <c r="K10" i="37"/>
  <c r="J10" i="37"/>
  <c r="R9" i="37"/>
  <c r="P9" i="37"/>
  <c r="O9" i="37"/>
  <c r="M9" i="37"/>
  <c r="K9" i="37"/>
  <c r="J9" i="37"/>
  <c r="R8" i="37"/>
  <c r="P8" i="37"/>
  <c r="O8" i="37"/>
  <c r="M8" i="37"/>
  <c r="K8" i="37"/>
  <c r="J8" i="37"/>
  <c r="N28" i="26"/>
  <c r="K28" i="26"/>
  <c r="H28" i="26"/>
  <c r="F28" i="26"/>
  <c r="E28" i="26"/>
  <c r="N27" i="26"/>
  <c r="K27" i="26"/>
  <c r="H27" i="26"/>
  <c r="F27" i="26"/>
  <c r="E27" i="26"/>
  <c r="N26" i="26"/>
  <c r="K26" i="26"/>
  <c r="H26" i="26"/>
  <c r="F26" i="26"/>
  <c r="E26" i="26"/>
  <c r="N25" i="26"/>
  <c r="K25" i="26"/>
  <c r="H25" i="26"/>
  <c r="F25" i="26"/>
  <c r="E25" i="26"/>
  <c r="N24" i="26"/>
  <c r="K24" i="26"/>
  <c r="H24" i="26"/>
  <c r="F24" i="26"/>
  <c r="E24" i="26"/>
  <c r="N23" i="26"/>
  <c r="K23" i="26"/>
  <c r="H23" i="26"/>
  <c r="F23" i="26"/>
  <c r="E23" i="26"/>
  <c r="N22" i="26"/>
  <c r="K22" i="26"/>
  <c r="H22" i="26"/>
  <c r="F22" i="26"/>
  <c r="E22" i="26"/>
  <c r="N21" i="26"/>
  <c r="K21" i="26"/>
  <c r="H21" i="26"/>
  <c r="F21" i="26"/>
  <c r="E21" i="26"/>
  <c r="N20" i="26"/>
  <c r="K20" i="26"/>
  <c r="H20" i="26"/>
  <c r="F20" i="26"/>
  <c r="E20" i="26"/>
  <c r="N19" i="26"/>
  <c r="K19" i="26"/>
  <c r="H19" i="26"/>
  <c r="F19" i="26"/>
  <c r="E19" i="26"/>
  <c r="N18" i="26"/>
  <c r="K18" i="26"/>
  <c r="H18" i="26"/>
  <c r="F18" i="26"/>
  <c r="E18" i="26"/>
  <c r="N17" i="26"/>
  <c r="K17" i="26"/>
  <c r="H17" i="26"/>
  <c r="F17" i="26"/>
  <c r="E17" i="26"/>
  <c r="N16" i="26"/>
  <c r="K16" i="26"/>
  <c r="H16" i="26"/>
  <c r="F16" i="26"/>
  <c r="E16" i="26"/>
  <c r="N15" i="26"/>
  <c r="K15" i="26"/>
  <c r="H15" i="26"/>
  <c r="F15" i="26"/>
  <c r="E15" i="26"/>
  <c r="N14" i="26"/>
  <c r="K14" i="26"/>
  <c r="H14" i="26"/>
  <c r="F14" i="26"/>
  <c r="E14" i="26"/>
  <c r="N13" i="26"/>
  <c r="K13" i="26"/>
  <c r="H13" i="26"/>
  <c r="F13" i="26"/>
  <c r="E13" i="26"/>
  <c r="N12" i="26"/>
  <c r="K12" i="26"/>
  <c r="H12" i="26"/>
  <c r="F12" i="26"/>
  <c r="E12" i="26"/>
  <c r="N11" i="26"/>
  <c r="K11" i="26"/>
  <c r="H11" i="26"/>
  <c r="F11" i="26"/>
  <c r="E11" i="26"/>
  <c r="N10" i="26"/>
  <c r="K10" i="26"/>
  <c r="H10" i="26"/>
  <c r="F10" i="26"/>
  <c r="E10" i="26"/>
  <c r="N9" i="26"/>
  <c r="K9" i="26"/>
  <c r="H9" i="26"/>
  <c r="F9" i="26"/>
  <c r="E9" i="26"/>
  <c r="N8" i="26"/>
  <c r="K8" i="26"/>
  <c r="H8" i="26"/>
  <c r="F8" i="26"/>
  <c r="E8" i="26"/>
  <c r="T28" i="27"/>
  <c r="Q28" i="27"/>
  <c r="N28" i="27"/>
  <c r="K28" i="27"/>
  <c r="H28" i="27"/>
  <c r="E28" i="27"/>
  <c r="T27" i="27"/>
  <c r="Q27" i="27"/>
  <c r="N27" i="27"/>
  <c r="K27" i="27"/>
  <c r="H27" i="27"/>
  <c r="E27" i="27"/>
  <c r="T26" i="27"/>
  <c r="Q26" i="27"/>
  <c r="N26" i="27"/>
  <c r="K26" i="27"/>
  <c r="H26" i="27"/>
  <c r="E26" i="27"/>
  <c r="T25" i="27"/>
  <c r="Q25" i="27"/>
  <c r="N25" i="27"/>
  <c r="K25" i="27"/>
  <c r="H25" i="27"/>
  <c r="E25" i="27"/>
  <c r="T24" i="27"/>
  <c r="Q24" i="27"/>
  <c r="N24" i="27"/>
  <c r="K24" i="27"/>
  <c r="H24" i="27"/>
  <c r="E24" i="27"/>
  <c r="T23" i="27"/>
  <c r="Q23" i="27"/>
  <c r="N23" i="27"/>
  <c r="K23" i="27"/>
  <c r="H23" i="27"/>
  <c r="E23" i="27"/>
  <c r="T22" i="27"/>
  <c r="Q22" i="27"/>
  <c r="N22" i="27"/>
  <c r="K22" i="27"/>
  <c r="H22" i="27"/>
  <c r="E22" i="27"/>
  <c r="T21" i="27"/>
  <c r="Q21" i="27"/>
  <c r="N21" i="27"/>
  <c r="K21" i="27"/>
  <c r="H21" i="27"/>
  <c r="E21" i="27"/>
  <c r="T20" i="27"/>
  <c r="Q20" i="27"/>
  <c r="N20" i="27"/>
  <c r="K20" i="27"/>
  <c r="H20" i="27"/>
  <c r="E20" i="27"/>
  <c r="T19" i="27"/>
  <c r="Q19" i="27"/>
  <c r="N19" i="27"/>
  <c r="K19" i="27"/>
  <c r="H19" i="27"/>
  <c r="E19" i="27"/>
  <c r="T18" i="27"/>
  <c r="Q18" i="27"/>
  <c r="N18" i="27"/>
  <c r="K18" i="27"/>
  <c r="H18" i="27"/>
  <c r="E18" i="27"/>
  <c r="T17" i="27"/>
  <c r="Q17" i="27"/>
  <c r="N17" i="27"/>
  <c r="K17" i="27"/>
  <c r="H17" i="27"/>
  <c r="E17" i="27"/>
  <c r="T16" i="27"/>
  <c r="Q16" i="27"/>
  <c r="N16" i="27"/>
  <c r="K16" i="27"/>
  <c r="H16" i="27"/>
  <c r="E16" i="27"/>
  <c r="T15" i="27"/>
  <c r="Q15" i="27"/>
  <c r="N15" i="27"/>
  <c r="K15" i="27"/>
  <c r="H15" i="27"/>
  <c r="E15" i="27"/>
  <c r="T14" i="27"/>
  <c r="Q14" i="27"/>
  <c r="N14" i="27"/>
  <c r="K14" i="27"/>
  <c r="H14" i="27"/>
  <c r="E14" i="27"/>
  <c r="T13" i="27"/>
  <c r="Q13" i="27"/>
  <c r="N13" i="27"/>
  <c r="K13" i="27"/>
  <c r="H13" i="27"/>
  <c r="E13" i="27"/>
  <c r="T12" i="27"/>
  <c r="Q12" i="27"/>
  <c r="N12" i="27"/>
  <c r="K12" i="27"/>
  <c r="H12" i="27"/>
  <c r="E12" i="27"/>
  <c r="T11" i="27"/>
  <c r="Q11" i="27"/>
  <c r="N11" i="27"/>
  <c r="K11" i="27"/>
  <c r="H11" i="27"/>
  <c r="E11" i="27"/>
  <c r="T10" i="27"/>
  <c r="Q10" i="27"/>
  <c r="N10" i="27"/>
  <c r="K10" i="27"/>
  <c r="H10" i="27"/>
  <c r="E10" i="27"/>
  <c r="T9" i="27"/>
  <c r="Q9" i="27"/>
  <c r="N9" i="27"/>
  <c r="K9" i="27"/>
  <c r="H9" i="27"/>
  <c r="E9" i="27"/>
  <c r="T8" i="27"/>
  <c r="Q8" i="27"/>
  <c r="N8" i="27"/>
  <c r="K8" i="27"/>
  <c r="H8" i="27"/>
  <c r="E8" i="27"/>
  <c r="T28" i="28"/>
  <c r="Q28" i="28"/>
  <c r="N28" i="28"/>
  <c r="K28" i="28"/>
  <c r="H28" i="28"/>
  <c r="E28" i="28"/>
  <c r="T27" i="28"/>
  <c r="Q27" i="28"/>
  <c r="N27" i="28"/>
  <c r="K27" i="28"/>
  <c r="H27" i="28"/>
  <c r="E27" i="28"/>
  <c r="T26" i="28"/>
  <c r="Q26" i="28"/>
  <c r="N26" i="28"/>
  <c r="K26" i="28"/>
  <c r="H26" i="28"/>
  <c r="E26" i="28"/>
  <c r="T25" i="28"/>
  <c r="Q25" i="28"/>
  <c r="N25" i="28"/>
  <c r="K25" i="28"/>
  <c r="H25" i="28"/>
  <c r="E25" i="28"/>
  <c r="T24" i="28"/>
  <c r="Q24" i="28"/>
  <c r="N24" i="28"/>
  <c r="K24" i="28"/>
  <c r="H24" i="28"/>
  <c r="E24" i="28"/>
  <c r="T23" i="28"/>
  <c r="Q23" i="28"/>
  <c r="N23" i="28"/>
  <c r="K23" i="28"/>
  <c r="H23" i="28"/>
  <c r="E23" i="28"/>
  <c r="T22" i="28"/>
  <c r="Q22" i="28"/>
  <c r="N22" i="28"/>
  <c r="K22" i="28"/>
  <c r="H22" i="28"/>
  <c r="E22" i="28"/>
  <c r="T21" i="28"/>
  <c r="Q21" i="28"/>
  <c r="N21" i="28"/>
  <c r="K21" i="28"/>
  <c r="H21" i="28"/>
  <c r="E21" i="28"/>
  <c r="T20" i="28"/>
  <c r="Q20" i="28"/>
  <c r="N20" i="28"/>
  <c r="K20" i="28"/>
  <c r="H20" i="28"/>
  <c r="E20" i="28"/>
  <c r="T19" i="28"/>
  <c r="Q19" i="28"/>
  <c r="N19" i="28"/>
  <c r="K19" i="28"/>
  <c r="H19" i="28"/>
  <c r="E19" i="28"/>
  <c r="T18" i="28"/>
  <c r="Q18" i="28"/>
  <c r="N18" i="28"/>
  <c r="K18" i="28"/>
  <c r="H18" i="28"/>
  <c r="E18" i="28"/>
  <c r="T17" i="28"/>
  <c r="Q17" i="28"/>
  <c r="N17" i="28"/>
  <c r="K17" i="28"/>
  <c r="H17" i="28"/>
  <c r="E17" i="28"/>
  <c r="T16" i="28"/>
  <c r="Q16" i="28"/>
  <c r="N16" i="28"/>
  <c r="K16" i="28"/>
  <c r="H16" i="28"/>
  <c r="E16" i="28"/>
  <c r="T15" i="28"/>
  <c r="Q15" i="28"/>
  <c r="N15" i="28"/>
  <c r="K15" i="28"/>
  <c r="H15" i="28"/>
  <c r="E15" i="28"/>
  <c r="T14" i="28"/>
  <c r="Q14" i="28"/>
  <c r="N14" i="28"/>
  <c r="K14" i="28"/>
  <c r="H14" i="28"/>
  <c r="E14" i="28"/>
  <c r="T13" i="28"/>
  <c r="Q13" i="28"/>
  <c r="N13" i="28"/>
  <c r="K13" i="28"/>
  <c r="H13" i="28"/>
  <c r="E13" i="28"/>
  <c r="T12" i="28"/>
  <c r="Q12" i="28"/>
  <c r="N12" i="28"/>
  <c r="K12" i="28"/>
  <c r="H12" i="28"/>
  <c r="E12" i="28"/>
  <c r="T11" i="28"/>
  <c r="Q11" i="28"/>
  <c r="N11" i="28"/>
  <c r="K11" i="28"/>
  <c r="H11" i="28"/>
  <c r="E11" i="28"/>
  <c r="T10" i="28"/>
  <c r="Q10" i="28"/>
  <c r="N10" i="28"/>
  <c r="K10" i="28"/>
  <c r="H10" i="28"/>
  <c r="E10" i="28"/>
  <c r="T9" i="28"/>
  <c r="Q9" i="28"/>
  <c r="N9" i="28"/>
  <c r="K9" i="28"/>
  <c r="H9" i="28"/>
  <c r="E9" i="28"/>
  <c r="T8" i="28"/>
  <c r="Q8" i="28"/>
  <c r="N8" i="28"/>
  <c r="K8" i="28"/>
  <c r="H8" i="28"/>
  <c r="E8" i="28"/>
  <c r="W28" i="25"/>
  <c r="U28" i="25"/>
  <c r="T28" i="25"/>
  <c r="S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P8" i="25"/>
  <c r="O8" i="25"/>
  <c r="M8" i="25"/>
  <c r="L8" i="25"/>
  <c r="K8" i="25"/>
  <c r="I8" i="25"/>
  <c r="H8" i="25"/>
  <c r="F8" i="25"/>
  <c r="E8" i="25"/>
  <c r="S39" i="38" l="1"/>
  <c r="W24" i="38"/>
  <c r="R31" i="38"/>
  <c r="AG10" i="38"/>
  <c r="AG23" i="38"/>
  <c r="AE8" i="38"/>
  <c r="AE16" i="38"/>
  <c r="AE24" i="38"/>
  <c r="AE7" i="38"/>
  <c r="AE27" i="38"/>
  <c r="AE23" i="38"/>
  <c r="AE17" i="38"/>
  <c r="AE14" i="38"/>
  <c r="AE18" i="38"/>
  <c r="AE26" i="38"/>
  <c r="M11" i="1"/>
  <c r="AE22" i="38"/>
  <c r="AE9" i="38"/>
  <c r="AE19" i="38"/>
  <c r="V7" i="38"/>
  <c r="V12" i="38"/>
  <c r="O31" i="38"/>
  <c r="W31" i="38"/>
  <c r="S43" i="38"/>
  <c r="H23" i="1"/>
  <c r="T54" i="38"/>
  <c r="M24" i="38"/>
  <c r="X9" i="38"/>
  <c r="AE12" i="38"/>
  <c r="Q32" i="38"/>
  <c r="M31" i="38"/>
  <c r="AG8" i="38"/>
  <c r="AE15" i="38"/>
  <c r="AG18" i="38"/>
  <c r="AE25" i="38"/>
  <c r="X18" i="38"/>
  <c r="X23" i="38"/>
  <c r="Q17" i="38"/>
  <c r="V62" i="38"/>
  <c r="X11" i="38"/>
  <c r="Q14" i="38"/>
  <c r="X30" i="38"/>
  <c r="X19" i="38"/>
  <c r="V32" i="38"/>
  <c r="S16" i="38"/>
  <c r="X43" i="38"/>
  <c r="H11" i="1"/>
  <c r="S19" i="38"/>
  <c r="M15" i="1"/>
  <c r="X37" i="38"/>
  <c r="Q10" i="38"/>
  <c r="Q29" i="38"/>
  <c r="Q33" i="38"/>
  <c r="J25" i="38"/>
  <c r="J27" i="38" s="1"/>
  <c r="J49" i="38" s="1"/>
  <c r="AG13" i="38"/>
  <c r="AE20" i="38"/>
  <c r="V38" i="38"/>
  <c r="V10" i="38"/>
  <c r="V20" i="38"/>
  <c r="W40" i="38"/>
  <c r="AE11" i="38"/>
  <c r="AG24" i="38"/>
  <c r="M23" i="1"/>
  <c r="T24" i="38"/>
  <c r="U24" i="38"/>
  <c r="X24" i="38" s="1"/>
  <c r="V13" i="38"/>
  <c r="J31" i="38"/>
  <c r="O26" i="38"/>
  <c r="Q9" i="38"/>
  <c r="V14" i="38"/>
  <c r="V28" i="38"/>
  <c r="Q7" i="38"/>
  <c r="T68" i="38"/>
  <c r="R25" i="38"/>
  <c r="T25" i="38"/>
  <c r="M25" i="38"/>
  <c r="H15" i="1"/>
  <c r="Q13" i="38"/>
  <c r="AG14" i="38"/>
  <c r="AE21" i="38"/>
  <c r="T26" i="38"/>
  <c r="Q21" i="38"/>
  <c r="Q30" i="38"/>
  <c r="J11" i="1"/>
  <c r="V16" i="38"/>
  <c r="V21" i="38"/>
  <c r="W25" i="38"/>
  <c r="P31" i="38"/>
  <c r="S31" i="38" s="1"/>
  <c r="R26" i="38"/>
  <c r="T31" i="38"/>
  <c r="T53" i="38" s="1"/>
  <c r="O24" i="38"/>
  <c r="O25" i="38"/>
  <c r="W26" i="38"/>
  <c r="V64" i="38"/>
  <c r="R24" i="38"/>
  <c r="X17" i="38"/>
  <c r="X22" i="38"/>
  <c r="V17" i="38"/>
  <c r="Q28" i="38"/>
  <c r="V15" i="38"/>
  <c r="Q22" i="38"/>
  <c r="U25" i="38"/>
  <c r="V11" i="38"/>
  <c r="S14" i="38"/>
  <c r="S33" i="38"/>
  <c r="P25" i="38"/>
  <c r="U60" i="38"/>
  <c r="U65" i="38" s="1"/>
  <c r="K23" i="1"/>
  <c r="Q16" i="38"/>
  <c r="Q20" i="38"/>
  <c r="V9" i="38"/>
  <c r="X13" i="38"/>
  <c r="T60" i="38"/>
  <c r="T65" i="38" s="1"/>
  <c r="Q12" i="38"/>
  <c r="S12" i="38"/>
  <c r="R40" i="38"/>
  <c r="U54" i="38"/>
  <c r="V54" i="38" s="1"/>
  <c r="X39" i="38"/>
  <c r="V19" i="38"/>
  <c r="T40" i="38"/>
  <c r="U40" i="38"/>
  <c r="X36" i="38"/>
  <c r="S30" i="38"/>
  <c r="S10" i="38"/>
  <c r="Q18" i="38"/>
  <c r="X21" i="38"/>
  <c r="X33" i="38"/>
  <c r="V43" i="38"/>
  <c r="P26" i="38"/>
  <c r="V63" i="38"/>
  <c r="Q8" i="38"/>
  <c r="N40" i="38"/>
  <c r="M26" i="38"/>
  <c r="V61" i="38"/>
  <c r="X28" i="38"/>
  <c r="X32" i="38"/>
  <c r="Q39" i="38"/>
  <c r="Q15" i="38"/>
  <c r="V18" i="38"/>
  <c r="Q11" i="38"/>
  <c r="Q19" i="38"/>
  <c r="V22" i="38"/>
  <c r="N37" i="38"/>
  <c r="Q43" i="38"/>
  <c r="Q23" i="38"/>
  <c r="X34" i="38"/>
  <c r="S7" i="38"/>
  <c r="X10" i="38"/>
  <c r="S11" i="38"/>
  <c r="X14" i="38"/>
  <c r="U26" i="38"/>
  <c r="U31" i="38"/>
  <c r="V39" i="38"/>
  <c r="V23" i="38"/>
  <c r="X7" i="38"/>
  <c r="V30" i="38"/>
  <c r="V33" i="38"/>
  <c r="X35" i="38"/>
  <c r="L40" i="38"/>
  <c r="X8" i="38"/>
  <c r="S9" i="38"/>
  <c r="X12" i="38"/>
  <c r="S13" i="38"/>
  <c r="X16" i="38"/>
  <c r="S17" i="38"/>
  <c r="X20" i="38"/>
  <c r="S21" i="38"/>
  <c r="X38" i="38"/>
  <c r="S28" i="38"/>
  <c r="S32" i="38"/>
  <c r="P40" i="38"/>
  <c r="P24" i="38"/>
  <c r="V37" i="38"/>
  <c r="V35" i="38"/>
  <c r="S29" i="38"/>
  <c r="U68" i="38"/>
  <c r="V8" i="38"/>
  <c r="V29" i="38"/>
  <c r="V36" i="38"/>
  <c r="V40" i="38" l="1"/>
  <c r="M27" i="38"/>
  <c r="M49" i="38" s="1"/>
  <c r="T27" i="38"/>
  <c r="S26" i="38"/>
  <c r="R27" i="38"/>
  <c r="R41" i="38" s="1"/>
  <c r="R44" i="38" s="1"/>
  <c r="R49" i="38" s="1"/>
  <c r="O27" i="38"/>
  <c r="O41" i="38" s="1"/>
  <c r="O51" i="38" s="1"/>
  <c r="O52" i="38" s="1"/>
  <c r="W27" i="38"/>
  <c r="W41" i="38" s="1"/>
  <c r="W44" i="38" s="1"/>
  <c r="W49" i="38" s="1"/>
  <c r="Q31" i="38"/>
  <c r="V68" i="38"/>
  <c r="V24" i="38"/>
  <c r="Q25" i="38"/>
  <c r="X25" i="38"/>
  <c r="V60" i="38"/>
  <c r="Q26" i="38"/>
  <c r="V25" i="38"/>
  <c r="U27" i="38"/>
  <c r="U41" i="38" s="1"/>
  <c r="S25" i="38"/>
  <c r="X40" i="38"/>
  <c r="V65" i="38"/>
  <c r="X31" i="38"/>
  <c r="U53" i="38"/>
  <c r="V53" i="38" s="1"/>
  <c r="V31" i="38"/>
  <c r="X26" i="38"/>
  <c r="V26" i="38"/>
  <c r="T41" i="38"/>
  <c r="T52" i="38"/>
  <c r="Q40" i="38"/>
  <c r="S40" i="38"/>
  <c r="S24" i="38"/>
  <c r="Q24" i="38"/>
  <c r="P27" i="38"/>
  <c r="F10" i="34"/>
  <c r="O44" i="38" l="1"/>
  <c r="O49" i="38" s="1"/>
  <c r="V27" i="38"/>
  <c r="X27" i="38"/>
  <c r="U52" i="38"/>
  <c r="U70" i="38"/>
  <c r="U71" i="38" s="1"/>
  <c r="U44" i="38"/>
  <c r="X41" i="38"/>
  <c r="V41" i="38"/>
  <c r="T55" i="38"/>
  <c r="T56" i="38" s="1"/>
  <c r="T44" i="38"/>
  <c r="T49" i="38" s="1"/>
  <c r="T70" i="38"/>
  <c r="T71" i="38" s="1"/>
  <c r="Q27" i="38"/>
  <c r="S27" i="38"/>
  <c r="P41" i="38"/>
  <c r="W52" i="38"/>
  <c r="V52" i="38"/>
  <c r="U55" i="38"/>
  <c r="U57" i="38" s="1"/>
  <c r="E36" i="1"/>
  <c r="E34" i="1"/>
  <c r="E33" i="1"/>
  <c r="E11" i="1" s="1"/>
  <c r="E32" i="1"/>
  <c r="P44" i="38" l="1"/>
  <c r="G42" i="38"/>
  <c r="Q41" i="38"/>
  <c r="P51" i="38"/>
  <c r="S41" i="38"/>
  <c r="T57" i="38"/>
  <c r="V57" i="38" s="1"/>
  <c r="V44" i="38"/>
  <c r="X44" i="38"/>
  <c r="U49" i="38"/>
  <c r="V55" i="38"/>
  <c r="V56" i="38" s="1"/>
  <c r="U56" i="38"/>
  <c r="V71" i="38"/>
  <c r="P52" i="38" l="1"/>
  <c r="Q51" i="38"/>
  <c r="S44" i="38"/>
  <c r="Q44" i="38"/>
  <c r="P49" i="38"/>
  <c r="Q53" i="38" l="1"/>
  <c r="Q52" i="38"/>
  <c r="M17" i="1"/>
  <c r="M25" i="1" s="1"/>
  <c r="M18" i="1"/>
  <c r="M27" i="1" s="1"/>
  <c r="M35" i="1"/>
  <c r="M37" i="1"/>
  <c r="M26" i="1"/>
  <c r="M24" i="1"/>
  <c r="M16" i="1"/>
  <c r="M19" i="1" l="1"/>
  <c r="M12" i="1"/>
  <c r="M28" i="1" l="1"/>
  <c r="M20" i="1"/>
  <c r="M29" i="1" l="1"/>
  <c r="M30" i="1" s="1"/>
  <c r="J18" i="1"/>
  <c r="J24" i="1" l="1"/>
  <c r="E35" i="1"/>
  <c r="E37" i="1"/>
  <c r="J27" i="1"/>
  <c r="J16" i="1"/>
  <c r="J35" i="1"/>
  <c r="J37" i="1"/>
  <c r="J19" i="1"/>
  <c r="J28" i="1" s="1"/>
  <c r="J17" i="1"/>
  <c r="J12" i="1" l="1"/>
  <c r="J25" i="1"/>
  <c r="J20" i="1"/>
  <c r="J29" i="1" l="1"/>
  <c r="J26" i="1"/>
  <c r="J30" i="1" l="1"/>
  <c r="K33" i="34" l="1"/>
  <c r="M33" i="34" s="1"/>
  <c r="K29" i="34"/>
  <c r="M29" i="34" s="1"/>
  <c r="K25" i="34"/>
  <c r="K24" i="34"/>
  <c r="K16" i="34"/>
  <c r="K15" i="34"/>
  <c r="K13" i="34"/>
  <c r="K12" i="34"/>
  <c r="K11" i="34"/>
  <c r="K10" i="34"/>
  <c r="K30" i="34"/>
  <c r="N30" i="34"/>
  <c r="L30" i="34"/>
  <c r="I30" i="34"/>
  <c r="G30" i="34"/>
  <c r="F29" i="34"/>
  <c r="F30" i="34" s="1"/>
  <c r="F33" i="34"/>
  <c r="H33" i="34" s="1"/>
  <c r="O33" i="34"/>
  <c r="O29" i="34"/>
  <c r="J33" i="34"/>
  <c r="J29" i="34"/>
  <c r="F25" i="34"/>
  <c r="F24" i="34"/>
  <c r="F16" i="34"/>
  <c r="F15" i="34"/>
  <c r="F13" i="34"/>
  <c r="F12" i="34"/>
  <c r="F11" i="34"/>
  <c r="K20" i="34" l="1"/>
  <c r="K21" i="34" s="1"/>
  <c r="K14" i="34"/>
  <c r="K26" i="34"/>
  <c r="K18" i="34"/>
  <c r="K19" i="34" s="1"/>
  <c r="J30" i="34"/>
  <c r="M30" i="34"/>
  <c r="O30" i="34"/>
  <c r="H30" i="34"/>
  <c r="K17" i="34"/>
  <c r="H29" i="34"/>
  <c r="K22" i="34" l="1"/>
  <c r="K23" i="34" s="1"/>
  <c r="K27" i="34" l="1"/>
  <c r="K28" i="34" s="1"/>
  <c r="K31" i="34" l="1"/>
  <c r="K32" i="34" s="1"/>
  <c r="K34" i="34"/>
  <c r="K35" i="34" s="1"/>
  <c r="J40" i="1" l="1"/>
  <c r="M27" i="37" l="1"/>
  <c r="R25" i="37" l="1"/>
  <c r="R26" i="37"/>
  <c r="R27" i="37"/>
  <c r="M25" i="37"/>
  <c r="M26" i="37"/>
  <c r="R28" i="37" l="1"/>
  <c r="M28" i="37"/>
  <c r="I11" i="34" l="1"/>
  <c r="I17" i="34"/>
  <c r="I18" i="34"/>
  <c r="I19" i="34" s="1"/>
  <c r="F17" i="34"/>
  <c r="I14" i="34"/>
  <c r="I26" i="34"/>
  <c r="F14" i="34"/>
  <c r="F18" i="34"/>
  <c r="F19" i="34" s="1"/>
  <c r="F26" i="34"/>
  <c r="F20" i="34"/>
  <c r="F21" i="34" s="1"/>
  <c r="I20" i="34"/>
  <c r="I21" i="34" s="1"/>
  <c r="I22" i="34" l="1"/>
  <c r="I27" i="34" s="1"/>
  <c r="F22" i="34"/>
  <c r="F27" i="34" s="1"/>
  <c r="F28" i="34" l="1"/>
  <c r="F31" i="34"/>
  <c r="F34" i="34" s="1"/>
  <c r="F35" i="34" s="1"/>
  <c r="I28" i="34"/>
  <c r="I31" i="34"/>
  <c r="I23" i="34"/>
  <c r="F23" i="34"/>
  <c r="I32" i="34" l="1"/>
  <c r="I34" i="34"/>
  <c r="I35" i="34" s="1"/>
  <c r="F32" i="34"/>
  <c r="M40" i="1" l="1"/>
  <c r="G39" i="2"/>
  <c r="S64" i="2" l="1"/>
  <c r="S63" i="2"/>
  <c r="T62" i="2"/>
  <c r="S62" i="2"/>
  <c r="S61" i="2"/>
  <c r="K40" i="2"/>
  <c r="J40" i="2"/>
  <c r="N39" i="2"/>
  <c r="L39" i="2"/>
  <c r="G40" i="2"/>
  <c r="Q37" i="2"/>
  <c r="M37" i="2"/>
  <c r="M40" i="2" s="1"/>
  <c r="G38" i="2"/>
  <c r="S36" i="2"/>
  <c r="Q36" i="2"/>
  <c r="N36" i="2"/>
  <c r="G37" i="2"/>
  <c r="S35" i="2"/>
  <c r="Q35" i="2"/>
  <c r="N35" i="2"/>
  <c r="G36" i="2"/>
  <c r="V30" i="1"/>
  <c r="S34" i="2"/>
  <c r="Q34" i="2"/>
  <c r="N34" i="2"/>
  <c r="L34" i="2"/>
  <c r="G35" i="2"/>
  <c r="V29" i="1"/>
  <c r="N33" i="2"/>
  <c r="L33" i="2"/>
  <c r="G34" i="2"/>
  <c r="N32" i="2"/>
  <c r="L32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28" i="1"/>
  <c r="H17" i="1"/>
  <c r="H25" i="1" s="1"/>
  <c r="H26" i="1" s="1"/>
  <c r="V12" i="1"/>
  <c r="N37" i="2" l="1"/>
  <c r="N40" i="2"/>
  <c r="L40" i="2"/>
  <c r="H24" i="1"/>
  <c r="W26" i="2"/>
  <c r="H16" i="1"/>
  <c r="T61" i="2"/>
  <c r="R24" i="2"/>
  <c r="W24" i="2"/>
  <c r="H12" i="1"/>
  <c r="R25" i="2"/>
  <c r="R31" i="2"/>
  <c r="H18" i="1"/>
  <c r="H27" i="1" s="1"/>
  <c r="R26" i="2"/>
  <c r="W25" i="2"/>
  <c r="R40" i="2"/>
  <c r="W40" i="2"/>
  <c r="W31" i="2"/>
  <c r="S37" i="2"/>
  <c r="H37" i="1" l="1"/>
  <c r="H35" i="1"/>
  <c r="V32" i="1"/>
  <c r="V31" i="1" s="1"/>
  <c r="H19" i="1"/>
  <c r="W27" i="2"/>
  <c r="W41" i="2" s="1"/>
  <c r="R27" i="2"/>
  <c r="R41" i="2" s="1"/>
  <c r="R44" i="2" l="1"/>
  <c r="R49" i="2" s="1"/>
  <c r="W44" i="2"/>
  <c r="W49" i="2" s="1"/>
  <c r="H28" i="1"/>
  <c r="H29" i="1" s="1"/>
  <c r="H40" i="1" s="1"/>
  <c r="H20" i="1"/>
  <c r="H30" i="1" l="1"/>
  <c r="M26" i="2" l="1"/>
  <c r="M24" i="2"/>
  <c r="M31" i="2"/>
  <c r="M25" i="2"/>
  <c r="M27" i="2" l="1"/>
  <c r="M49" i="2" l="1"/>
  <c r="V25" i="1" l="1"/>
  <c r="W23" i="1" l="1"/>
  <c r="W24" i="1"/>
  <c r="T25" i="1" l="1"/>
  <c r="W25" i="1" s="1"/>
  <c r="U24" i="1" l="1"/>
  <c r="S25" i="1" l="1"/>
  <c r="U25" i="1" s="1"/>
  <c r="U23" i="1"/>
  <c r="O40" i="2" l="1"/>
  <c r="O24" i="2" l="1"/>
  <c r="J24" i="2"/>
  <c r="S29" i="1" l="1"/>
  <c r="S28" i="1" l="1"/>
  <c r="T54" i="2"/>
  <c r="T60" i="2"/>
  <c r="T63" i="2" l="1"/>
  <c r="O25" i="2" l="1"/>
  <c r="J25" i="2"/>
  <c r="J31" i="2" l="1"/>
  <c r="O31" i="2" l="1"/>
  <c r="E18" i="1" l="1"/>
  <c r="E27" i="1" l="1"/>
  <c r="T31" i="2" l="1"/>
  <c r="T53" i="2" l="1"/>
  <c r="J26" i="2" l="1"/>
  <c r="O26" i="2"/>
  <c r="J27" i="2" l="1"/>
  <c r="O27" i="2"/>
  <c r="O41" i="2" s="1"/>
  <c r="AJ27" i="2" l="1"/>
  <c r="AJ22" i="2"/>
  <c r="AJ23" i="2"/>
  <c r="AJ19" i="2"/>
  <c r="AJ11" i="2"/>
  <c r="AJ12" i="2"/>
  <c r="AJ20" i="2"/>
  <c r="AJ21" i="2"/>
  <c r="AJ14" i="2"/>
  <c r="AJ17" i="2"/>
  <c r="AJ8" i="2"/>
  <c r="AJ13" i="2"/>
  <c r="AJ10" i="2"/>
  <c r="AJ7" i="2"/>
  <c r="AJ18" i="2"/>
  <c r="AJ9" i="2"/>
  <c r="AJ15" i="2"/>
  <c r="AJ16" i="2"/>
  <c r="AJ24" i="2"/>
  <c r="AJ25" i="2"/>
  <c r="AJ26" i="2"/>
  <c r="J49" i="2"/>
  <c r="E12" i="1"/>
  <c r="O44" i="2" l="1"/>
  <c r="O49" i="2" s="1"/>
  <c r="O51" i="2"/>
  <c r="O52" i="2" l="1"/>
  <c r="T24" i="2" l="1"/>
  <c r="T25" i="2" l="1"/>
  <c r="E17" i="1" l="1"/>
  <c r="T26" i="2" l="1"/>
  <c r="E25" i="1"/>
  <c r="E19" i="1"/>
  <c r="E20" i="1" s="1"/>
  <c r="E16" i="1"/>
  <c r="T27" i="2" l="1"/>
  <c r="E26" i="1"/>
  <c r="S30" i="1" l="1"/>
  <c r="T52" i="2"/>
  <c r="E24" i="1" l="1"/>
  <c r="E28" i="1"/>
  <c r="E29" i="1" s="1"/>
  <c r="E40" i="1" s="1"/>
  <c r="T55" i="2"/>
  <c r="T56" i="2" l="1"/>
  <c r="T57" i="2"/>
  <c r="T64" i="2"/>
  <c r="T68" i="2"/>
  <c r="T40" i="2"/>
  <c r="T41" i="2" s="1"/>
  <c r="S32" i="1" l="1"/>
  <c r="T44" i="2"/>
  <c r="T49" i="2" s="1"/>
  <c r="T65" i="2"/>
  <c r="E30" i="1"/>
  <c r="S31" i="1" l="1"/>
  <c r="T70" i="2"/>
  <c r="T71" i="2" s="1"/>
  <c r="AB27" i="37" l="1"/>
  <c r="W27" i="37"/>
  <c r="W25" i="37"/>
  <c r="AB26" i="37" l="1"/>
  <c r="W26" i="37"/>
  <c r="W28" i="37" s="1"/>
  <c r="AB25" i="37" l="1"/>
  <c r="AB28" i="37" s="1"/>
  <c r="N11" i="34" l="1"/>
  <c r="N14" i="34"/>
  <c r="N20" i="34"/>
  <c r="N21" i="34" s="1"/>
  <c r="N26" i="34"/>
  <c r="N17" i="34"/>
  <c r="N18" i="34"/>
  <c r="N19" i="34" s="1"/>
  <c r="N22" i="34" l="1"/>
  <c r="N27" i="34" s="1"/>
  <c r="N28" i="34" l="1"/>
  <c r="N31" i="34"/>
  <c r="N23" i="34"/>
  <c r="N32" i="34" l="1"/>
  <c r="N34" i="34"/>
  <c r="N35" i="34" s="1"/>
  <c r="J12" i="34"/>
  <c r="H12" i="34"/>
  <c r="G11" i="34"/>
  <c r="G18" i="34"/>
  <c r="J15" i="34"/>
  <c r="H15" i="34"/>
  <c r="H24" i="34"/>
  <c r="J24" i="34"/>
  <c r="W36" i="1"/>
  <c r="O15" i="34" l="1"/>
  <c r="M15" i="34"/>
  <c r="L11" i="34"/>
  <c r="J10" i="34"/>
  <c r="H10" i="34"/>
  <c r="M12" i="34"/>
  <c r="O12" i="34"/>
  <c r="L18" i="34"/>
  <c r="J18" i="34"/>
  <c r="G19" i="34"/>
  <c r="H18" i="34"/>
  <c r="J11" i="34"/>
  <c r="H11" i="34"/>
  <c r="O24" i="34"/>
  <c r="M24" i="34"/>
  <c r="J19" i="34" l="1"/>
  <c r="H19" i="34"/>
  <c r="M11" i="34"/>
  <c r="O11" i="34"/>
  <c r="O18" i="34"/>
  <c r="L19" i="34"/>
  <c r="M18" i="34"/>
  <c r="O10" i="34"/>
  <c r="M10" i="34"/>
  <c r="H25" i="34"/>
  <c r="J25" i="34"/>
  <c r="G26" i="34"/>
  <c r="M19" i="34" l="1"/>
  <c r="O19" i="34"/>
  <c r="H26" i="34"/>
  <c r="J26" i="34"/>
  <c r="M25" i="34"/>
  <c r="O25" i="34"/>
  <c r="L26" i="34"/>
  <c r="O26" i="34" l="1"/>
  <c r="M26" i="34"/>
  <c r="G17" i="34" l="1"/>
  <c r="J16" i="34"/>
  <c r="H16" i="34"/>
  <c r="U36" i="1"/>
  <c r="H17" i="34" l="1"/>
  <c r="J17" i="34"/>
  <c r="G20" i="34"/>
  <c r="G14" i="34"/>
  <c r="H13" i="34"/>
  <c r="J13" i="34"/>
  <c r="L17" i="34"/>
  <c r="M16" i="34"/>
  <c r="O16" i="34"/>
  <c r="L14" i="34" l="1"/>
  <c r="M13" i="34"/>
  <c r="L20" i="34"/>
  <c r="O13" i="34"/>
  <c r="M17" i="34"/>
  <c r="O17" i="34"/>
  <c r="J14" i="34"/>
  <c r="H14" i="34"/>
  <c r="G21" i="34"/>
  <c r="J20" i="34"/>
  <c r="H20" i="34"/>
  <c r="G22" i="34"/>
  <c r="G27" i="34" s="1"/>
  <c r="G28" i="34" l="1"/>
  <c r="H27" i="34"/>
  <c r="G31" i="34"/>
  <c r="J27" i="34"/>
  <c r="W37" i="1"/>
  <c r="U37" i="1"/>
  <c r="G23" i="34"/>
  <c r="H22" i="34"/>
  <c r="J22" i="34"/>
  <c r="M20" i="34"/>
  <c r="L22" i="34"/>
  <c r="L27" i="34" s="1"/>
  <c r="L21" i="34"/>
  <c r="O20" i="34"/>
  <c r="J21" i="34"/>
  <c r="H21" i="34"/>
  <c r="O14" i="34"/>
  <c r="M14" i="34"/>
  <c r="G32" i="34" l="1"/>
  <c r="G34" i="34"/>
  <c r="H31" i="34"/>
  <c r="J31" i="34"/>
  <c r="L28" i="34"/>
  <c r="O27" i="34"/>
  <c r="L31" i="34"/>
  <c r="M27" i="34"/>
  <c r="J28" i="34"/>
  <c r="H28" i="34"/>
  <c r="M21" i="34"/>
  <c r="O21" i="34"/>
  <c r="L23" i="34"/>
  <c r="O22" i="34"/>
  <c r="M22" i="34"/>
  <c r="J23" i="34"/>
  <c r="H23" i="34"/>
  <c r="G35" i="34" l="1"/>
  <c r="J34" i="34"/>
  <c r="H34" i="34"/>
  <c r="L32" i="34"/>
  <c r="O31" i="34"/>
  <c r="L34" i="34"/>
  <c r="M31" i="34"/>
  <c r="O28" i="34"/>
  <c r="M28" i="34"/>
  <c r="J32" i="34"/>
  <c r="H32" i="34"/>
  <c r="M23" i="34"/>
  <c r="O23" i="34"/>
  <c r="O32" i="34" l="1"/>
  <c r="M32" i="34"/>
  <c r="L35" i="34"/>
  <c r="O34" i="34"/>
  <c r="M34" i="34"/>
  <c r="J35" i="34"/>
  <c r="H35" i="34"/>
  <c r="O35" i="34" l="1"/>
  <c r="M35" i="34"/>
  <c r="Q24" i="26" l="1"/>
  <c r="T24" i="26" s="1"/>
  <c r="Q19" i="26"/>
  <c r="Q18" i="26"/>
  <c r="Q13" i="26"/>
  <c r="Q21" i="26"/>
  <c r="Q27" i="26"/>
  <c r="T27" i="26" l="1"/>
  <c r="T19" i="26"/>
  <c r="T21" i="26"/>
  <c r="T18" i="26"/>
  <c r="Q23" i="26"/>
  <c r="T23" i="26" s="1"/>
  <c r="Q11" i="26"/>
  <c r="Q10" i="26"/>
  <c r="Q8" i="26"/>
  <c r="Q20" i="26"/>
  <c r="T20" i="26" s="1"/>
  <c r="Q15" i="26"/>
  <c r="T15" i="26" s="1"/>
  <c r="Q25" i="26"/>
  <c r="T25" i="26" s="1"/>
  <c r="Q26" i="26"/>
  <c r="T26" i="26" s="1"/>
  <c r="Q22" i="26"/>
  <c r="T22" i="26" s="1"/>
  <c r="Q14" i="26"/>
  <c r="Q17" i="26"/>
  <c r="T17" i="26" s="1"/>
  <c r="Q16" i="26"/>
  <c r="T16" i="26" s="1"/>
  <c r="Q12" i="26"/>
  <c r="T12" i="26" s="1"/>
  <c r="Q9" i="26"/>
  <c r="Q28" i="26"/>
  <c r="T28" i="26" s="1"/>
  <c r="T14" i="26" l="1"/>
  <c r="AE22" i="2"/>
  <c r="AE19" i="2"/>
  <c r="T13" i="26"/>
  <c r="T8" i="26"/>
  <c r="AE13" i="2"/>
  <c r="T9" i="26"/>
  <c r="AE14" i="2"/>
  <c r="AE16" i="2"/>
  <c r="S12" i="1"/>
  <c r="AE8" i="2"/>
  <c r="T10" i="26"/>
  <c r="T11" i="26"/>
  <c r="J27" i="37" l="1"/>
  <c r="O25" i="37"/>
  <c r="AE18" i="2"/>
  <c r="AE21" i="2"/>
  <c r="AE23" i="2"/>
  <c r="AE20" i="2"/>
  <c r="J25" i="37"/>
  <c r="AE27" i="2"/>
  <c r="AE26" i="2"/>
  <c r="J26" i="37"/>
  <c r="AE17" i="2"/>
  <c r="AE24" i="2"/>
  <c r="AE10" i="2"/>
  <c r="AE25" i="2"/>
  <c r="AE9" i="2"/>
  <c r="AE12" i="2"/>
  <c r="AE11" i="2"/>
  <c r="AE7" i="2"/>
  <c r="O27" i="37"/>
  <c r="AE15" i="2"/>
  <c r="O26" i="37"/>
  <c r="J28" i="37" l="1"/>
  <c r="O28" i="37"/>
  <c r="N12" i="25" l="1"/>
  <c r="G12" i="26" l="1"/>
  <c r="V18" i="25" l="1"/>
  <c r="V16" i="25"/>
  <c r="V22" i="25"/>
  <c r="V12" i="25"/>
  <c r="V21" i="25"/>
  <c r="V27" i="25"/>
  <c r="V19" i="25"/>
  <c r="V13" i="25"/>
  <c r="V14" i="25"/>
  <c r="V15" i="25"/>
  <c r="V17" i="25"/>
  <c r="V23" i="25"/>
  <c r="V20" i="25"/>
  <c r="V26" i="25"/>
  <c r="V24" i="25"/>
  <c r="V25" i="25"/>
  <c r="V28" i="25"/>
  <c r="J14" i="25" l="1"/>
  <c r="J17" i="25"/>
  <c r="J25" i="25"/>
  <c r="J18" i="25"/>
  <c r="J28" i="25"/>
  <c r="J24" i="25"/>
  <c r="J23" i="25"/>
  <c r="J15" i="25"/>
  <c r="J27" i="25"/>
  <c r="J20" i="25"/>
  <c r="J19" i="25"/>
  <c r="J22" i="25"/>
  <c r="J13" i="25"/>
  <c r="J21" i="25"/>
  <c r="J26" i="25"/>
  <c r="J16" i="25"/>
  <c r="J12" i="25"/>
  <c r="N16" i="25"/>
  <c r="N13" i="25"/>
  <c r="N14" i="25"/>
  <c r="V8" i="25"/>
  <c r="V11" i="25"/>
  <c r="V10" i="25"/>
  <c r="J8" i="25"/>
  <c r="V9" i="25"/>
  <c r="N28" i="25" l="1"/>
  <c r="N20" i="25"/>
  <c r="N23" i="25"/>
  <c r="N26" i="25"/>
  <c r="J9" i="25"/>
  <c r="N25" i="25"/>
  <c r="N15" i="25"/>
  <c r="N27" i="25"/>
  <c r="G14" i="26"/>
  <c r="N22" i="25"/>
  <c r="N17" i="25"/>
  <c r="G13" i="26"/>
  <c r="N18" i="25"/>
  <c r="J10" i="25"/>
  <c r="W15" i="1"/>
  <c r="U15" i="1"/>
  <c r="J11" i="25"/>
  <c r="G16" i="26"/>
  <c r="W14" i="1"/>
  <c r="U14" i="1"/>
  <c r="N21" i="25"/>
  <c r="W16" i="1"/>
  <c r="U16" i="1"/>
  <c r="N19" i="25"/>
  <c r="W13" i="1"/>
  <c r="U13" i="1"/>
  <c r="N24" i="25"/>
  <c r="G22" i="26" l="1"/>
  <c r="N8" i="25"/>
  <c r="G26" i="26"/>
  <c r="T12" i="1"/>
  <c r="W9" i="1"/>
  <c r="U9" i="1"/>
  <c r="W11" i="1"/>
  <c r="U11" i="1"/>
  <c r="N9" i="25"/>
  <c r="G24" i="26"/>
  <c r="G23" i="26"/>
  <c r="N10" i="25"/>
  <c r="N11" i="25"/>
  <c r="W10" i="1"/>
  <c r="U10" i="1"/>
  <c r="G27" i="26"/>
  <c r="G20" i="26"/>
  <c r="G15" i="26"/>
  <c r="G19" i="26"/>
  <c r="G18" i="26"/>
  <c r="G17" i="26"/>
  <c r="G21" i="26"/>
  <c r="G25" i="26"/>
  <c r="G28" i="26"/>
  <c r="G9" i="26" l="1"/>
  <c r="G16" i="25"/>
  <c r="Y16" i="25" s="1"/>
  <c r="Z16" i="25" s="1"/>
  <c r="W12" i="1"/>
  <c r="U12" i="1"/>
  <c r="G11" i="26"/>
  <c r="G8" i="26"/>
  <c r="G10" i="26"/>
  <c r="G24" i="25" l="1"/>
  <c r="Y24" i="25" s="1"/>
  <c r="Z24" i="25" s="1"/>
  <c r="G15" i="25"/>
  <c r="Y15" i="25" s="1"/>
  <c r="Z15" i="25" s="1"/>
  <c r="G14" i="25"/>
  <c r="Y14" i="25" s="1"/>
  <c r="Z14" i="25" s="1"/>
  <c r="G18" i="25"/>
  <c r="Y18" i="25" s="1"/>
  <c r="Z18" i="25" s="1"/>
  <c r="G25" i="25"/>
  <c r="Y25" i="25" s="1"/>
  <c r="Z25" i="25" s="1"/>
  <c r="G20" i="25"/>
  <c r="Y20" i="25" s="1"/>
  <c r="Z20" i="25" s="1"/>
  <c r="G22" i="25"/>
  <c r="Y22" i="25" s="1"/>
  <c r="Z22" i="25" s="1"/>
  <c r="N12" i="37"/>
  <c r="L12" i="37"/>
  <c r="G13" i="25"/>
  <c r="Y13" i="25" s="1"/>
  <c r="Z13" i="25" s="1"/>
  <c r="G26" i="25"/>
  <c r="Y26" i="25" s="1"/>
  <c r="Z26" i="25" s="1"/>
  <c r="G23" i="25"/>
  <c r="Y23" i="25" s="1"/>
  <c r="Z23" i="25" s="1"/>
  <c r="G28" i="25"/>
  <c r="Y28" i="25" s="1"/>
  <c r="Z28" i="25" s="1"/>
  <c r="G27" i="25"/>
  <c r="Y27" i="25" s="1"/>
  <c r="Z27" i="25" s="1"/>
  <c r="G19" i="25"/>
  <c r="Y19" i="25" s="1"/>
  <c r="Z19" i="25" s="1"/>
  <c r="G21" i="25"/>
  <c r="Y21" i="25" s="1"/>
  <c r="Z21" i="25" s="1"/>
  <c r="G17" i="25"/>
  <c r="Y17" i="25" s="1"/>
  <c r="Z17" i="25" s="1"/>
  <c r="G12" i="25"/>
  <c r="Y12" i="25" s="1"/>
  <c r="Z12" i="25" s="1"/>
  <c r="G11" i="25"/>
  <c r="Y11" i="25" s="1"/>
  <c r="Z11" i="25" s="1"/>
  <c r="G9" i="25"/>
  <c r="Y9" i="25" s="1"/>
  <c r="Z9" i="25" s="1"/>
  <c r="G8" i="25"/>
  <c r="Y8" i="25" s="1"/>
  <c r="Z8" i="25" s="1"/>
  <c r="G10" i="25"/>
  <c r="Y10" i="25" s="1"/>
  <c r="Z10" i="25" s="1"/>
  <c r="K26" i="37" l="1"/>
  <c r="L26" i="37" s="1"/>
  <c r="L9" i="37"/>
  <c r="N9" i="37"/>
  <c r="N8" i="37"/>
  <c r="L8" i="37"/>
  <c r="K25" i="37"/>
  <c r="N18" i="37"/>
  <c r="L18" i="37"/>
  <c r="L13" i="37"/>
  <c r="N13" i="37"/>
  <c r="N16" i="37"/>
  <c r="L16" i="37"/>
  <c r="L17" i="37"/>
  <c r="N17" i="37"/>
  <c r="N21" i="37"/>
  <c r="L21" i="37"/>
  <c r="N15" i="37"/>
  <c r="L15" i="37"/>
  <c r="N14" i="37"/>
  <c r="L14" i="37"/>
  <c r="N23" i="37"/>
  <c r="L23" i="37"/>
  <c r="L24" i="37"/>
  <c r="N24" i="37"/>
  <c r="L10" i="37"/>
  <c r="N10" i="37"/>
  <c r="N11" i="37"/>
  <c r="L11" i="37"/>
  <c r="N19" i="37"/>
  <c r="L19" i="37"/>
  <c r="L22" i="37"/>
  <c r="N22" i="37"/>
  <c r="L20" i="37"/>
  <c r="K27" i="37"/>
  <c r="N20" i="37"/>
  <c r="N26" i="37" l="1"/>
  <c r="N27" i="37"/>
  <c r="L27" i="37"/>
  <c r="L25" i="37"/>
  <c r="K28" i="37"/>
  <c r="N25" i="37"/>
  <c r="L28" i="37" l="1"/>
  <c r="N28" i="37"/>
  <c r="Q22" i="37" l="1"/>
  <c r="S22" i="37"/>
  <c r="S16" i="37"/>
  <c r="Q16" i="37"/>
  <c r="S21" i="37"/>
  <c r="Q21" i="37"/>
  <c r="S9" i="37"/>
  <c r="Q9" i="37"/>
  <c r="Q20" i="37"/>
  <c r="S20" i="37"/>
  <c r="P27" i="37"/>
  <c r="S17" i="37"/>
  <c r="Q17" i="37"/>
  <c r="S12" i="37"/>
  <c r="Q12" i="37"/>
  <c r="P26" i="37"/>
  <c r="Q23" i="37"/>
  <c r="S23" i="37"/>
  <c r="Q13" i="37"/>
  <c r="S13" i="37"/>
  <c r="S18" i="37"/>
  <c r="Q18" i="37"/>
  <c r="S24" i="37"/>
  <c r="Q24" i="37"/>
  <c r="S15" i="37"/>
  <c r="Q15" i="37"/>
  <c r="S11" i="37"/>
  <c r="Q11" i="37"/>
  <c r="Q8" i="37"/>
  <c r="S8" i="37"/>
  <c r="S19" i="37"/>
  <c r="Q19" i="37"/>
  <c r="Q14" i="37"/>
  <c r="S14" i="37"/>
  <c r="S26" i="37" l="1"/>
  <c r="Q26" i="37"/>
  <c r="S27" i="37"/>
  <c r="Q27" i="37"/>
  <c r="T25" i="37" l="1"/>
  <c r="T27" i="37" l="1"/>
  <c r="T26" i="37"/>
  <c r="Y27" i="37"/>
  <c r="T28" i="37" l="1"/>
  <c r="Y25" i="37"/>
  <c r="Y26" i="37"/>
  <c r="Y28" i="37" s="1"/>
  <c r="V15" i="37" l="1"/>
  <c r="X15" i="37"/>
  <c r="X9" i="37"/>
  <c r="V9" i="37"/>
  <c r="X16" i="37"/>
  <c r="V16" i="37"/>
  <c r="X24" i="37"/>
  <c r="V24" i="37"/>
  <c r="X23" i="37"/>
  <c r="V23" i="37"/>
  <c r="X21" i="37"/>
  <c r="V21" i="37"/>
  <c r="V14" i="37"/>
  <c r="X14" i="37"/>
  <c r="X20" i="37"/>
  <c r="U27" i="37"/>
  <c r="V20" i="37"/>
  <c r="V13" i="37"/>
  <c r="X13" i="37"/>
  <c r="U26" i="37"/>
  <c r="X12" i="37"/>
  <c r="V12" i="37"/>
  <c r="V18" i="37"/>
  <c r="X18" i="37"/>
  <c r="X10" i="37"/>
  <c r="V10" i="37"/>
  <c r="X17" i="37"/>
  <c r="V17" i="37"/>
  <c r="V19" i="37"/>
  <c r="X19" i="37"/>
  <c r="V11" i="37"/>
  <c r="X11" i="37"/>
  <c r="U25" i="37"/>
  <c r="V8" i="37"/>
  <c r="X8" i="37"/>
  <c r="X22" i="37"/>
  <c r="V22" i="37"/>
  <c r="U28" i="37" l="1"/>
  <c r="V25" i="37"/>
  <c r="X25" i="37"/>
  <c r="V27" i="37"/>
  <c r="X27" i="37"/>
  <c r="X26" i="37"/>
  <c r="V26" i="37"/>
  <c r="V28" i="37" l="1"/>
  <c r="X28" i="37"/>
  <c r="AA19" i="37" l="1"/>
  <c r="AC19" i="37"/>
  <c r="AA14" i="37"/>
  <c r="AC14" i="37"/>
  <c r="AC10" i="37"/>
  <c r="AA10" i="37"/>
  <c r="AA9" i="37"/>
  <c r="AC9" i="37"/>
  <c r="AC12" i="37"/>
  <c r="AA12" i="37"/>
  <c r="AC11" i="37"/>
  <c r="AA11" i="37"/>
  <c r="AA16" i="37"/>
  <c r="AC16" i="37"/>
  <c r="AC17" i="37"/>
  <c r="AA17" i="37"/>
  <c r="AA8" i="37"/>
  <c r="AC8" i="37"/>
  <c r="Z25" i="37"/>
  <c r="AC22" i="37"/>
  <c r="AA22" i="37"/>
  <c r="Z27" i="37"/>
  <c r="AC24" i="37"/>
  <c r="AA24" i="37"/>
  <c r="AC20" i="37"/>
  <c r="AA20" i="37"/>
  <c r="AC21" i="37"/>
  <c r="AA21" i="37"/>
  <c r="AA27" i="37" l="1"/>
  <c r="AC27" i="37"/>
  <c r="AC23" i="37"/>
  <c r="AA23" i="37"/>
  <c r="AC18" i="37"/>
  <c r="AA18" i="37"/>
  <c r="AA13" i="37"/>
  <c r="AC13" i="37"/>
  <c r="AA25" i="37"/>
  <c r="AC25" i="37"/>
  <c r="AA15" i="37" l="1"/>
  <c r="AC15" i="37"/>
  <c r="Z26" i="37"/>
  <c r="AC26" i="37" l="1"/>
  <c r="AA26" i="37"/>
  <c r="Z28" i="37"/>
  <c r="AC28" i="37" l="1"/>
  <c r="AA28" i="37"/>
  <c r="V38" i="2" l="1"/>
  <c r="X38" i="2"/>
  <c r="P26" i="2" l="1"/>
  <c r="Q19" i="2"/>
  <c r="S19" i="2"/>
  <c r="S18" i="2"/>
  <c r="Q18" i="2"/>
  <c r="Q30" i="2"/>
  <c r="S30" i="2"/>
  <c r="S23" i="2"/>
  <c r="Q23" i="2"/>
  <c r="Q20" i="2"/>
  <c r="S20" i="2"/>
  <c r="Q21" i="2"/>
  <c r="S21" i="2"/>
  <c r="Q22" i="2"/>
  <c r="S22" i="2"/>
  <c r="S26" i="2" l="1"/>
  <c r="Q26" i="2"/>
  <c r="X18" i="2" l="1"/>
  <c r="V18" i="2"/>
  <c r="V19" i="2"/>
  <c r="X19" i="2"/>
  <c r="X21" i="2" l="1"/>
  <c r="V21" i="2"/>
  <c r="V22" i="2"/>
  <c r="X22" i="2"/>
  <c r="X37" i="2"/>
  <c r="V37" i="2"/>
  <c r="U63" i="2"/>
  <c r="V63" i="2" s="1"/>
  <c r="X35" i="2"/>
  <c r="U61" i="2"/>
  <c r="V61" i="2" s="1"/>
  <c r="V35" i="2"/>
  <c r="X36" i="2"/>
  <c r="V36" i="2"/>
  <c r="U62" i="2"/>
  <c r="V62" i="2" s="1"/>
  <c r="X20" i="2"/>
  <c r="V20" i="2"/>
  <c r="U26" i="2"/>
  <c r="X23" i="2"/>
  <c r="V23" i="2"/>
  <c r="X26" i="2" l="1"/>
  <c r="V26" i="2"/>
  <c r="Q10" i="2" l="1"/>
  <c r="S10" i="2"/>
  <c r="Q14" i="2" l="1"/>
  <c r="S14" i="2"/>
  <c r="Q16" i="2"/>
  <c r="S16" i="2"/>
  <c r="Q9" i="2"/>
  <c r="S9" i="2"/>
  <c r="S13" i="2"/>
  <c r="Q13" i="2"/>
  <c r="Q28" i="2"/>
  <c r="S28" i="2"/>
  <c r="P31" i="2"/>
  <c r="Q7" i="2"/>
  <c r="P24" i="2"/>
  <c r="S7" i="2"/>
  <c r="Q17" i="2"/>
  <c r="S17" i="2"/>
  <c r="S29" i="2"/>
  <c r="Q29" i="2"/>
  <c r="S12" i="2"/>
  <c r="Q12" i="2"/>
  <c r="Q15" i="2"/>
  <c r="S15" i="2"/>
  <c r="Q8" i="2"/>
  <c r="S8" i="2"/>
  <c r="S11" i="2"/>
  <c r="P25" i="2"/>
  <c r="Q11" i="2"/>
  <c r="S43" i="2" l="1"/>
  <c r="Q43" i="2"/>
  <c r="N33" i="1"/>
  <c r="L33" i="1"/>
  <c r="G33" i="1"/>
  <c r="I33" i="1"/>
  <c r="S25" i="2"/>
  <c r="Q25" i="2"/>
  <c r="Q31" i="2"/>
  <c r="S31" i="2"/>
  <c r="Q24" i="2"/>
  <c r="S24" i="2"/>
  <c r="P27" i="2"/>
  <c r="S32" i="2"/>
  <c r="Q32" i="2"/>
  <c r="Q27" i="2" l="1"/>
  <c r="S27" i="2"/>
  <c r="S33" i="2"/>
  <c r="Q33" i="2"/>
  <c r="K12" i="1"/>
  <c r="G10" i="1"/>
  <c r="I10" i="1"/>
  <c r="L9" i="1"/>
  <c r="N9" i="1"/>
  <c r="F12" i="1"/>
  <c r="I9" i="1"/>
  <c r="G9" i="1"/>
  <c r="L10" i="1"/>
  <c r="N10" i="1"/>
  <c r="L11" i="1" l="1"/>
  <c r="N11" i="1"/>
  <c r="I12" i="1"/>
  <c r="G12" i="1"/>
  <c r="I11" i="1"/>
  <c r="G11" i="1"/>
  <c r="N12" i="1"/>
  <c r="L12" i="1"/>
  <c r="Q39" i="2" l="1"/>
  <c r="S39" i="2"/>
  <c r="P40" i="2"/>
  <c r="P41" i="2" l="1"/>
  <c r="S40" i="2"/>
  <c r="Q40" i="2"/>
  <c r="P44" i="2" l="1"/>
  <c r="G42" i="2"/>
  <c r="S41" i="2"/>
  <c r="Q41" i="2"/>
  <c r="P51" i="2"/>
  <c r="P52" i="2" l="1"/>
  <c r="Q51" i="2"/>
  <c r="P49" i="2"/>
  <c r="S44" i="2"/>
  <c r="Q44" i="2"/>
  <c r="Q52" i="2" l="1"/>
  <c r="Q53" i="2"/>
  <c r="K35" i="1"/>
  <c r="N34" i="1"/>
  <c r="L34" i="1"/>
  <c r="F35" i="1"/>
  <c r="G35" i="1" s="1"/>
  <c r="G34" i="1"/>
  <c r="I34" i="1"/>
  <c r="I35" i="1" s="1"/>
  <c r="L35" i="1" l="1"/>
  <c r="N35" i="1"/>
  <c r="I15" i="1" l="1"/>
  <c r="G15" i="1"/>
  <c r="F19" i="1"/>
  <c r="G13" i="1"/>
  <c r="I13" i="1"/>
  <c r="F16" i="1"/>
  <c r="F17" i="1"/>
  <c r="K16" i="1"/>
  <c r="L13" i="1"/>
  <c r="N13" i="1"/>
  <c r="K17" i="1"/>
  <c r="G14" i="1"/>
  <c r="I14" i="1"/>
  <c r="F18" i="1"/>
  <c r="K18" i="1"/>
  <c r="N14" i="1"/>
  <c r="L14" i="1"/>
  <c r="I18" i="1" l="1"/>
  <c r="G18" i="1"/>
  <c r="L17" i="1"/>
  <c r="N17" i="1"/>
  <c r="N18" i="1"/>
  <c r="L18" i="1"/>
  <c r="L16" i="1"/>
  <c r="N16" i="1"/>
  <c r="I17" i="1"/>
  <c r="G17" i="1"/>
  <c r="F20" i="1"/>
  <c r="I16" i="1"/>
  <c r="G16" i="1"/>
  <c r="L15" i="1"/>
  <c r="N15" i="1"/>
  <c r="K19" i="1"/>
  <c r="I19" i="1"/>
  <c r="G19" i="1"/>
  <c r="K20" i="1" l="1"/>
  <c r="N19" i="1"/>
  <c r="L19" i="1"/>
  <c r="G20" i="1"/>
  <c r="I20" i="1"/>
  <c r="N20" i="1" l="1"/>
  <c r="L20" i="1"/>
  <c r="X10" i="2" l="1"/>
  <c r="V10" i="2"/>
  <c r="X7" i="2" l="1"/>
  <c r="V7" i="2"/>
  <c r="V8" i="2" l="1"/>
  <c r="X8" i="2"/>
  <c r="X9" i="2" l="1"/>
  <c r="V9" i="2"/>
  <c r="U24" i="2"/>
  <c r="X24" i="2" l="1"/>
  <c r="V24" i="2"/>
  <c r="X17" i="2" l="1"/>
  <c r="V17" i="2"/>
  <c r="X16" i="2" l="1"/>
  <c r="V16" i="2"/>
  <c r="X11" i="2" l="1"/>
  <c r="V11" i="2"/>
  <c r="V12" i="2"/>
  <c r="X12" i="2"/>
  <c r="X14" i="2" l="1"/>
  <c r="V14" i="2"/>
  <c r="X15" i="2" l="1"/>
  <c r="V15" i="2"/>
  <c r="X13" i="2" l="1"/>
  <c r="V13" i="2"/>
  <c r="U25" i="2"/>
  <c r="X25" i="2" l="1"/>
  <c r="V25" i="2"/>
  <c r="U27" i="2"/>
  <c r="V27" i="2" l="1"/>
  <c r="X27" i="2"/>
  <c r="X32" i="2" l="1"/>
  <c r="V32" i="2"/>
  <c r="T28" i="1"/>
  <c r="W28" i="1" l="1"/>
  <c r="U28" i="1"/>
  <c r="X33" i="2" l="1"/>
  <c r="V33" i="2"/>
  <c r="T29" i="1"/>
  <c r="U54" i="2"/>
  <c r="U60" i="2"/>
  <c r="U29" i="1" l="1"/>
  <c r="W29" i="1"/>
  <c r="V60" i="2"/>
  <c r="V54" i="2"/>
  <c r="V30" i="2" l="1"/>
  <c r="X30" i="2"/>
  <c r="V43" i="2" l="1"/>
  <c r="X43" i="2"/>
  <c r="G36" i="1" l="1"/>
  <c r="F37" i="1" l="1"/>
  <c r="I36" i="1"/>
  <c r="K37" i="1"/>
  <c r="N36" i="1"/>
  <c r="L36" i="1"/>
  <c r="L37" i="1" l="1"/>
  <c r="N37" i="1"/>
  <c r="G37" i="1"/>
  <c r="I37" i="1"/>
  <c r="X29" i="2" l="1"/>
  <c r="V29" i="2"/>
  <c r="K27" i="1" l="1"/>
  <c r="L22" i="1"/>
  <c r="N22" i="1"/>
  <c r="G22" i="1"/>
  <c r="I22" i="1"/>
  <c r="F27" i="1"/>
  <c r="U31" i="2"/>
  <c r="X28" i="2"/>
  <c r="V28" i="2"/>
  <c r="U53" i="2" l="1"/>
  <c r="V53" i="2" s="1"/>
  <c r="X31" i="2"/>
  <c r="V31" i="2"/>
  <c r="G27" i="1"/>
  <c r="I27" i="1"/>
  <c r="L27" i="1"/>
  <c r="N27" i="1"/>
  <c r="I21" i="1" l="1"/>
  <c r="G21" i="1"/>
  <c r="F24" i="1"/>
  <c r="F25" i="1"/>
  <c r="K24" i="1"/>
  <c r="L21" i="1"/>
  <c r="N21" i="1"/>
  <c r="K25" i="1"/>
  <c r="T30" i="1"/>
  <c r="V34" i="2"/>
  <c r="X34" i="2"/>
  <c r="U52" i="2"/>
  <c r="U55" i="2" l="1"/>
  <c r="K26" i="1"/>
  <c r="L25" i="1"/>
  <c r="N25" i="1"/>
  <c r="G25" i="1"/>
  <c r="I25" i="1"/>
  <c r="F26" i="1"/>
  <c r="W30" i="1"/>
  <c r="U30" i="1"/>
  <c r="K28" i="1"/>
  <c r="N23" i="1"/>
  <c r="L23" i="1"/>
  <c r="W52" i="2"/>
  <c r="V52" i="2"/>
  <c r="N24" i="1"/>
  <c r="L24" i="1"/>
  <c r="I24" i="1"/>
  <c r="G24" i="1"/>
  <c r="G23" i="1"/>
  <c r="I23" i="1"/>
  <c r="F28" i="1"/>
  <c r="V55" i="2" l="1"/>
  <c r="V56" i="2" s="1"/>
  <c r="U56" i="2"/>
  <c r="N26" i="1"/>
  <c r="L26" i="1"/>
  <c r="L28" i="1"/>
  <c r="N28" i="1"/>
  <c r="U64" i="2"/>
  <c r="X39" i="2"/>
  <c r="V39" i="2"/>
  <c r="U68" i="2"/>
  <c r="V68" i="2" s="1"/>
  <c r="U40" i="2"/>
  <c r="I26" i="1"/>
  <c r="G26" i="1"/>
  <c r="F29" i="1"/>
  <c r="G28" i="1"/>
  <c r="I28" i="1"/>
  <c r="K29" i="1"/>
  <c r="U57" i="2"/>
  <c r="V57" i="2" s="1"/>
  <c r="V64" i="2" l="1"/>
  <c r="V65" i="2" s="1"/>
  <c r="U65" i="2"/>
  <c r="K30" i="1"/>
  <c r="N29" i="1"/>
  <c r="L29" i="1"/>
  <c r="F40" i="1"/>
  <c r="F30" i="1"/>
  <c r="G29" i="1"/>
  <c r="I29" i="1"/>
  <c r="U41" i="2"/>
  <c r="X40" i="2"/>
  <c r="T32" i="1"/>
  <c r="V40" i="2"/>
  <c r="K40" i="1"/>
  <c r="U44" i="2" l="1"/>
  <c r="X41" i="2"/>
  <c r="V41" i="2"/>
  <c r="U70" i="2"/>
  <c r="U71" i="2" s="1"/>
  <c r="V71" i="2" s="1"/>
  <c r="I30" i="1"/>
  <c r="G30" i="1"/>
  <c r="T31" i="1"/>
  <c r="W32" i="1"/>
  <c r="U32" i="1"/>
  <c r="N30" i="1"/>
  <c r="L30" i="1"/>
  <c r="W31" i="1" l="1"/>
  <c r="U31" i="1"/>
  <c r="U49" i="2"/>
  <c r="X44" i="2"/>
  <c r="V44" i="2"/>
  <c r="F32" i="1" l="1"/>
  <c r="K43" i="2"/>
  <c r="N43" i="2" l="1"/>
  <c r="F48" i="2"/>
  <c r="G48" i="2"/>
  <c r="L43" i="2"/>
  <c r="G32" i="1"/>
  <c r="I32" i="1"/>
  <c r="K32" i="1" l="1"/>
  <c r="K43" i="38"/>
  <c r="K10" i="2"/>
  <c r="K9" i="2"/>
  <c r="K23" i="2"/>
  <c r="K20" i="2"/>
  <c r="K15" i="2"/>
  <c r="K12" i="2"/>
  <c r="K8" i="2"/>
  <c r="K21" i="2"/>
  <c r="K14" i="2"/>
  <c r="K13" i="2"/>
  <c r="K18" i="2"/>
  <c r="K17" i="2"/>
  <c r="K16" i="2"/>
  <c r="K30" i="2"/>
  <c r="K29" i="2"/>
  <c r="K19" i="2"/>
  <c r="N19" i="2" l="1"/>
  <c r="L19" i="2"/>
  <c r="L29" i="2"/>
  <c r="N29" i="2"/>
  <c r="N14" i="2"/>
  <c r="L14" i="2"/>
  <c r="N8" i="2"/>
  <c r="L8" i="2"/>
  <c r="N30" i="2"/>
  <c r="L30" i="2"/>
  <c r="N12" i="2"/>
  <c r="L12" i="2"/>
  <c r="L23" i="2"/>
  <c r="N23" i="2"/>
  <c r="L21" i="2"/>
  <c r="N21" i="2"/>
  <c r="N9" i="2"/>
  <c r="L9" i="2"/>
  <c r="N15" i="2"/>
  <c r="L15" i="2"/>
  <c r="N18" i="2"/>
  <c r="L18" i="2"/>
  <c r="L10" i="2"/>
  <c r="N10" i="2"/>
  <c r="L16" i="2"/>
  <c r="N16" i="2"/>
  <c r="N43" i="38"/>
  <c r="G48" i="38"/>
  <c r="F48" i="38"/>
  <c r="L43" i="38"/>
  <c r="N13" i="2"/>
  <c r="L13" i="2"/>
  <c r="N17" i="2"/>
  <c r="L17" i="2"/>
  <c r="L20" i="2"/>
  <c r="N20" i="2"/>
  <c r="N32" i="1"/>
  <c r="L32" i="1"/>
  <c r="K22" i="2"/>
  <c r="K11" i="2"/>
  <c r="K28" i="2"/>
  <c r="K7" i="2"/>
  <c r="L28" i="2" l="1"/>
  <c r="K31" i="2"/>
  <c r="N28" i="2"/>
  <c r="N22" i="2"/>
  <c r="L22" i="2"/>
  <c r="L7" i="2"/>
  <c r="N7" i="2"/>
  <c r="K24" i="2"/>
  <c r="K25" i="2"/>
  <c r="L11" i="2"/>
  <c r="N11" i="2"/>
  <c r="K26" i="2"/>
  <c r="F7" i="1"/>
  <c r="F25" i="2" l="1"/>
  <c r="N25" i="2"/>
  <c r="L25" i="2"/>
  <c r="K27" i="2"/>
  <c r="N24" i="2"/>
  <c r="F24" i="2"/>
  <c r="L24" i="2"/>
  <c r="F8" i="1"/>
  <c r="L26" i="2"/>
  <c r="N26" i="2"/>
  <c r="F26" i="2"/>
  <c r="N31" i="2"/>
  <c r="L31" i="2"/>
  <c r="F49" i="2"/>
  <c r="G49" i="2"/>
  <c r="I7" i="1"/>
  <c r="G7" i="1"/>
  <c r="K48" i="2"/>
  <c r="AK27" i="2" l="1"/>
  <c r="AK13" i="2"/>
  <c r="AK8" i="2"/>
  <c r="AK19" i="2"/>
  <c r="AK17" i="2"/>
  <c r="AK10" i="2"/>
  <c r="AK16" i="2"/>
  <c r="AK21" i="2"/>
  <c r="AK15" i="2"/>
  <c r="AK18" i="2"/>
  <c r="AK23" i="2"/>
  <c r="AK12" i="2"/>
  <c r="AK9" i="2"/>
  <c r="AK14" i="2"/>
  <c r="AK20" i="2"/>
  <c r="AK7" i="2"/>
  <c r="AK11" i="2"/>
  <c r="AK22" i="2"/>
  <c r="AK25" i="2"/>
  <c r="AK24" i="2"/>
  <c r="K49" i="2"/>
  <c r="AK26" i="2"/>
  <c r="G8" i="1"/>
  <c r="I8" i="1"/>
  <c r="L27" i="2"/>
  <c r="G27" i="2"/>
  <c r="F27" i="2"/>
  <c r="N27" i="2"/>
  <c r="F23" i="2"/>
  <c r="AL24" i="2" l="1"/>
  <c r="AM24" i="2" s="1"/>
  <c r="AP24" i="2"/>
  <c r="AQ24" i="2" s="1"/>
  <c r="AL7" i="2"/>
  <c r="AM7" i="2" s="1"/>
  <c r="AP7" i="2"/>
  <c r="AQ7" i="2" s="1"/>
  <c r="AL18" i="2"/>
  <c r="AM18" i="2" s="1"/>
  <c r="AP18" i="2"/>
  <c r="AQ18" i="2" s="1"/>
  <c r="AL21" i="2"/>
  <c r="AM21" i="2" s="1"/>
  <c r="AP21" i="2"/>
  <c r="AQ21" i="2" s="1"/>
  <c r="AL19" i="2"/>
  <c r="AM19" i="2" s="1"/>
  <c r="AP19" i="2"/>
  <c r="AQ19" i="2" s="1"/>
  <c r="AL25" i="2"/>
  <c r="AM25" i="2" s="1"/>
  <c r="AP25" i="2"/>
  <c r="AQ25" i="2" s="1"/>
  <c r="AL14" i="2"/>
  <c r="AM14" i="2" s="1"/>
  <c r="AP14" i="2"/>
  <c r="AQ14" i="2" s="1"/>
  <c r="AL9" i="2"/>
  <c r="AM9" i="2" s="1"/>
  <c r="AP9" i="2"/>
  <c r="AQ9" i="2" s="1"/>
  <c r="AL15" i="2"/>
  <c r="AM15" i="2" s="1"/>
  <c r="AP15" i="2"/>
  <c r="AQ15" i="2" s="1"/>
  <c r="AL16" i="2"/>
  <c r="AM16" i="2" s="1"/>
  <c r="AP16" i="2"/>
  <c r="AQ16" i="2" s="1"/>
  <c r="AL8" i="2"/>
  <c r="AM8" i="2" s="1"/>
  <c r="AP8" i="2"/>
  <c r="AQ8" i="2" s="1"/>
  <c r="AL11" i="2"/>
  <c r="AM11" i="2" s="1"/>
  <c r="AP11" i="2"/>
  <c r="AQ11" i="2" s="1"/>
  <c r="AL23" i="2"/>
  <c r="AM23" i="2" s="1"/>
  <c r="AP23" i="2"/>
  <c r="AQ23" i="2" s="1"/>
  <c r="AL26" i="2"/>
  <c r="AM26" i="2" s="1"/>
  <c r="AP26" i="2"/>
  <c r="AQ26" i="2" s="1"/>
  <c r="AL13" i="2"/>
  <c r="AM13" i="2" s="1"/>
  <c r="AP13" i="2"/>
  <c r="AQ13" i="2" s="1"/>
  <c r="AL22" i="2"/>
  <c r="AM22" i="2" s="1"/>
  <c r="AP22" i="2"/>
  <c r="AQ22" i="2" s="1"/>
  <c r="AL20" i="2"/>
  <c r="AM20" i="2" s="1"/>
  <c r="AP20" i="2"/>
  <c r="AQ20" i="2" s="1"/>
  <c r="AL12" i="2"/>
  <c r="AM12" i="2" s="1"/>
  <c r="AP12" i="2"/>
  <c r="AQ12" i="2" s="1"/>
  <c r="AL10" i="2"/>
  <c r="AM10" i="2" s="1"/>
  <c r="AP10" i="2"/>
  <c r="AQ10" i="2" s="1"/>
  <c r="AL17" i="2"/>
  <c r="AM17" i="2" s="1"/>
  <c r="AP17" i="2"/>
  <c r="AQ17" i="2" s="1"/>
  <c r="AL27" i="2"/>
  <c r="AP27" i="2"/>
  <c r="K17" i="38"/>
  <c r="K19" i="38"/>
  <c r="K15" i="38"/>
  <c r="K23" i="38"/>
  <c r="K20" i="38"/>
  <c r="K21" i="38"/>
  <c r="K16" i="38"/>
  <c r="K13" i="38"/>
  <c r="K22" i="38"/>
  <c r="K14" i="38"/>
  <c r="K9" i="38"/>
  <c r="K8" i="38"/>
  <c r="K18" i="38"/>
  <c r="K30" i="38"/>
  <c r="K12" i="38"/>
  <c r="K29" i="38"/>
  <c r="K11" i="38"/>
  <c r="K28" i="38"/>
  <c r="K10" i="38"/>
  <c r="K7" i="38"/>
  <c r="AM27" i="2" l="1"/>
  <c r="AF34" i="2" s="1"/>
  <c r="AQ27" i="2"/>
  <c r="AJ34" i="2" s="1"/>
  <c r="L13" i="38"/>
  <c r="N13" i="38"/>
  <c r="L12" i="38"/>
  <c r="N12" i="38"/>
  <c r="L21" i="38"/>
  <c r="N21" i="38"/>
  <c r="L8" i="38"/>
  <c r="N8" i="38"/>
  <c r="L10" i="38"/>
  <c r="N10" i="38"/>
  <c r="N9" i="38"/>
  <c r="L9" i="38"/>
  <c r="N23" i="38"/>
  <c r="L23" i="38"/>
  <c r="L20" i="38"/>
  <c r="N20" i="38"/>
  <c r="L16" i="38"/>
  <c r="N16" i="38"/>
  <c r="K25" i="38"/>
  <c r="N11" i="38"/>
  <c r="L11" i="38"/>
  <c r="L17" i="38"/>
  <c r="N17" i="38"/>
  <c r="L14" i="38"/>
  <c r="N14" i="38"/>
  <c r="N29" i="38"/>
  <c r="L29" i="38"/>
  <c r="L30" i="38"/>
  <c r="N30" i="38"/>
  <c r="L22" i="38"/>
  <c r="N22" i="38"/>
  <c r="L15" i="38"/>
  <c r="N15" i="38"/>
  <c r="N7" i="38"/>
  <c r="K24" i="38"/>
  <c r="L7" i="38"/>
  <c r="N19" i="38"/>
  <c r="K26" i="38"/>
  <c r="L19" i="38"/>
  <c r="L18" i="38"/>
  <c r="N18" i="38"/>
  <c r="K31" i="38"/>
  <c r="N28" i="38"/>
  <c r="L28" i="38"/>
  <c r="K8" i="1"/>
  <c r="K7" i="1"/>
  <c r="L26" i="38" l="1"/>
  <c r="N26" i="38"/>
  <c r="F26" i="38"/>
  <c r="L24" i="38"/>
  <c r="N24" i="38"/>
  <c r="F24" i="38"/>
  <c r="K27" i="38"/>
  <c r="N8" i="1"/>
  <c r="L8" i="1"/>
  <c r="N25" i="38"/>
  <c r="L25" i="38"/>
  <c r="F25" i="38"/>
  <c r="N7" i="1"/>
  <c r="L7" i="1"/>
  <c r="N31" i="38"/>
  <c r="L31" i="38"/>
  <c r="F49" i="38"/>
  <c r="G49" i="38"/>
  <c r="K48" i="38"/>
  <c r="K49" i="38" s="1"/>
  <c r="G27" i="38" l="1"/>
  <c r="L27" i="38"/>
  <c r="N27" i="38"/>
  <c r="F23" i="38"/>
  <c r="F27" i="38"/>
  <c r="Z34" i="2" l="1"/>
  <c r="AB34" i="2" s="1"/>
  <c r="Z33" i="2" l="1"/>
  <c r="AB33" i="2" s="1"/>
  <c r="Z35" i="2" l="1"/>
  <c r="AB35" i="2" s="1"/>
  <c r="AF31" i="2" l="1"/>
  <c r="Z31" i="2"/>
  <c r="Z30" i="2"/>
  <c r="Z36" i="2" l="1"/>
  <c r="Z32" i="2" l="1"/>
  <c r="AC30" i="2" l="1"/>
  <c r="AC36" i="2"/>
  <c r="AC31" i="2"/>
  <c r="AC32" i="2" l="1"/>
  <c r="AA30" i="2"/>
  <c r="AB30" i="2" s="1"/>
  <c r="AD30" i="2" l="1"/>
  <c r="AA31" i="2"/>
  <c r="AA32" i="2"/>
  <c r="AB32" i="2" s="1"/>
  <c r="AD31" i="2" l="1"/>
  <c r="AB31" i="2"/>
  <c r="AD32" i="2"/>
  <c r="AA36" i="2"/>
  <c r="AD36" i="2" l="1"/>
  <c r="AJ30" i="2" s="1"/>
  <c r="AB36" i="2"/>
  <c r="AF30" i="2" s="1"/>
  <c r="AC18" i="38" l="1"/>
  <c r="AF18" i="38" s="1"/>
  <c r="AC13" i="38"/>
  <c r="AF13" i="38" s="1"/>
  <c r="AC21" i="38"/>
  <c r="AF21" i="38" s="1"/>
  <c r="AC8" i="38"/>
  <c r="AF8" i="38" s="1"/>
  <c r="AC22" i="38"/>
  <c r="AF22" i="38" s="1"/>
  <c r="AC9" i="38"/>
  <c r="AF9" i="38" s="1"/>
  <c r="AC20" i="38"/>
  <c r="AF20" i="38" s="1"/>
  <c r="AC15" i="38"/>
  <c r="AF15" i="38" s="1"/>
  <c r="AC10" i="38"/>
  <c r="AF10" i="38" s="1"/>
  <c r="AC16" i="38"/>
  <c r="AF16" i="38" s="1"/>
  <c r="AC23" i="38"/>
  <c r="AF23" i="38" s="1"/>
  <c r="AC11" i="38"/>
  <c r="AF11" i="38" s="1"/>
  <c r="AC19" i="38"/>
  <c r="AF19" i="38" s="1"/>
  <c r="AC7" i="38"/>
  <c r="AF7" i="38" s="1"/>
  <c r="AC12" i="38"/>
  <c r="AF12" i="38" s="1"/>
  <c r="AC14" i="38"/>
  <c r="AF14" i="38" s="1"/>
  <c r="AC17" i="38"/>
  <c r="AF17" i="38" s="1"/>
  <c r="AC27" i="38" l="1"/>
  <c r="AF27" i="38" s="1"/>
  <c r="AC26" i="38"/>
  <c r="AF26" i="38" s="1"/>
  <c r="AC24" i="38"/>
  <c r="AF24" i="38" s="1"/>
  <c r="AC25" i="38"/>
  <c r="AF25" i="38" s="1"/>
  <c r="O20" i="26" l="1"/>
  <c r="P20" i="26" s="1"/>
  <c r="O21" i="26"/>
  <c r="P21" i="26" s="1"/>
  <c r="L26" i="26"/>
  <c r="M26" i="26" s="1"/>
  <c r="O26" i="26"/>
  <c r="P26" i="26" s="1"/>
  <c r="O15" i="26"/>
  <c r="P15" i="26" s="1"/>
  <c r="O19" i="26"/>
  <c r="P19" i="26" s="1"/>
  <c r="L15" i="26"/>
  <c r="M15" i="26" s="1"/>
  <c r="L20" i="26"/>
  <c r="M20" i="26" s="1"/>
  <c r="L19" i="26"/>
  <c r="M19" i="26" s="1"/>
  <c r="L21" i="26"/>
  <c r="M21" i="26" s="1"/>
  <c r="L23" i="26"/>
  <c r="M23" i="26" s="1"/>
  <c r="L27" i="26"/>
  <c r="M27" i="26" s="1"/>
  <c r="O23" i="26"/>
  <c r="P23" i="26" s="1"/>
  <c r="L22" i="26"/>
  <c r="M22" i="26" s="1"/>
  <c r="O22" i="26"/>
  <c r="P22" i="26" s="1"/>
  <c r="O27" i="26"/>
  <c r="P27" i="26" s="1"/>
  <c r="O28" i="26"/>
  <c r="P28" i="26" s="1"/>
  <c r="L28" i="26"/>
  <c r="M28" i="26" s="1"/>
  <c r="O16" i="26"/>
  <c r="P16" i="26" s="1"/>
  <c r="L16" i="26"/>
  <c r="M16" i="26" s="1"/>
  <c r="O13" i="26"/>
  <c r="P13" i="26" s="1"/>
  <c r="L13" i="26"/>
  <c r="M13" i="26" s="1"/>
  <c r="L14" i="26"/>
  <c r="M14" i="26" s="1"/>
  <c r="O14" i="26"/>
  <c r="P14" i="26" s="1"/>
  <c r="O12" i="26"/>
  <c r="P12" i="26" s="1"/>
  <c r="L12" i="26"/>
  <c r="M12" i="26" s="1"/>
  <c r="O25" i="26"/>
  <c r="P25" i="26" s="1"/>
  <c r="L25" i="26"/>
  <c r="M25" i="26" s="1"/>
  <c r="O24" i="26"/>
  <c r="P24" i="26" s="1"/>
  <c r="L24" i="26"/>
  <c r="M24" i="26" s="1"/>
  <c r="O18" i="26"/>
  <c r="P18" i="26" s="1"/>
  <c r="L18" i="26"/>
  <c r="M18" i="26" s="1"/>
  <c r="O17" i="26"/>
  <c r="P17" i="26" s="1"/>
  <c r="L17" i="26"/>
  <c r="M17" i="26" s="1"/>
  <c r="O11" i="26" l="1"/>
  <c r="P11" i="26" s="1"/>
  <c r="L11" i="26"/>
  <c r="M11" i="26" s="1"/>
  <c r="O10" i="26"/>
  <c r="P10" i="26" s="1"/>
  <c r="L10" i="26"/>
  <c r="M10" i="26" s="1"/>
  <c r="O9" i="26"/>
  <c r="P9" i="26" s="1"/>
  <c r="L9" i="26"/>
  <c r="M9" i="26" s="1"/>
  <c r="O8" i="26"/>
  <c r="P8" i="26" s="1"/>
  <c r="L8" i="26"/>
  <c r="M8" i="26" s="1"/>
  <c r="AF33" i="2" l="1"/>
  <c r="AF32" i="2" s="1"/>
  <c r="AF35" i="2" s="1"/>
  <c r="AJ33" i="2"/>
  <c r="AJ32" i="2" s="1"/>
  <c r="AJ35" i="2" s="1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F16" i="28"/>
  <c r="G16" i="28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F19" i="28" l="1"/>
  <c r="G19" i="28" s="1"/>
  <c r="L22" i="28"/>
  <c r="M22" i="28" s="1"/>
  <c r="O10" i="27"/>
  <c r="P10" i="27" s="1"/>
  <c r="F11" i="27"/>
  <c r="G11" i="27" s="1"/>
  <c r="F11" i="28"/>
  <c r="G11" i="28" s="1"/>
  <c r="I16" i="28"/>
  <c r="J16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L10" i="27"/>
  <c r="M10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9" i="27"/>
  <c r="S9" i="27" s="1"/>
  <c r="U11" i="27"/>
  <c r="V11" i="27" s="1"/>
  <c r="R11" i="28"/>
  <c r="S11" i="28" s="1"/>
  <c r="U9" i="27"/>
  <c r="V9" i="27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R11" i="27"/>
  <c r="S11" i="27" s="1"/>
  <c r="I27" i="28"/>
  <c r="J27" i="28" s="1"/>
  <c r="U11" i="28"/>
  <c r="V11" i="28" s="1"/>
  <c r="I22" i="28"/>
  <c r="J22" i="28" s="1"/>
  <c r="I15" i="28"/>
  <c r="J15" i="28" s="1"/>
  <c r="I28" i="28"/>
  <c r="J28" i="28" s="1"/>
  <c r="I25" i="28"/>
  <c r="J25" i="28" s="1"/>
  <c r="O9" i="27"/>
  <c r="P9" i="27" s="1"/>
  <c r="I11" i="27"/>
  <c r="J11" i="27" s="1"/>
  <c r="I13" i="28"/>
  <c r="J13" i="28" s="1"/>
  <c r="I26" i="28"/>
  <c r="J26" i="28" s="1"/>
  <c r="I24" i="28"/>
  <c r="J24" i="28" s="1"/>
  <c r="I18" i="28"/>
  <c r="J18" i="28" s="1"/>
  <c r="O10" i="28"/>
  <c r="P10" i="28" s="1"/>
  <c r="L8" i="27" l="1"/>
  <c r="M8" i="27" s="1"/>
  <c r="L14" i="28"/>
  <c r="M14" i="28" s="1"/>
  <c r="L13" i="28"/>
  <c r="M13" i="28" s="1"/>
  <c r="L21" i="28"/>
  <c r="M21" i="28" s="1"/>
  <c r="L17" i="28"/>
  <c r="M17" i="28" s="1"/>
  <c r="I19" i="28"/>
  <c r="J19" i="28" s="1"/>
  <c r="L28" i="28"/>
  <c r="M28" i="28" s="1"/>
  <c r="L15" i="28"/>
  <c r="M15" i="28" s="1"/>
  <c r="L12" i="28"/>
  <c r="M12" i="28" s="1"/>
  <c r="L24" i="28"/>
  <c r="M24" i="28" s="1"/>
  <c r="F8" i="28"/>
  <c r="G8" i="28" s="1"/>
  <c r="L27" i="28"/>
  <c r="M27" i="28" s="1"/>
  <c r="L19" i="28"/>
  <c r="M19" i="28" s="1"/>
  <c r="F8" i="27"/>
  <c r="G8" i="27" s="1"/>
  <c r="L25" i="28"/>
  <c r="M25" i="28" s="1"/>
  <c r="L23" i="28"/>
  <c r="M23" i="28" s="1"/>
  <c r="L26" i="28"/>
  <c r="M26" i="28" s="1"/>
  <c r="O8" i="27"/>
  <c r="P8" i="27" s="1"/>
  <c r="L16" i="28"/>
  <c r="M16" i="28" s="1"/>
  <c r="L20" i="28"/>
  <c r="M20" i="28" s="1"/>
  <c r="I8" i="27"/>
  <c r="J8" i="27" s="1"/>
  <c r="L18" i="28"/>
  <c r="M18" i="28" s="1"/>
  <c r="I27" i="26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J24" i="26" l="1"/>
  <c r="R24" i="26"/>
  <c r="AJ40" i="2"/>
  <c r="AJ41" i="2" s="1"/>
  <c r="I8" i="28"/>
  <c r="J8" i="28" s="1"/>
  <c r="R14" i="26"/>
  <c r="J14" i="26"/>
  <c r="J27" i="26"/>
  <c r="R27" i="26"/>
  <c r="J23" i="26"/>
  <c r="R23" i="26"/>
  <c r="J13" i="26"/>
  <c r="R13" i="26"/>
  <c r="R25" i="26"/>
  <c r="J25" i="26"/>
  <c r="L8" i="28"/>
  <c r="M8" i="28" s="1"/>
  <c r="L10" i="28"/>
  <c r="M10" i="28" s="1"/>
  <c r="J26" i="26"/>
  <c r="R26" i="26"/>
  <c r="R15" i="26"/>
  <c r="J15" i="26"/>
  <c r="L11" i="28"/>
  <c r="M11" i="28" s="1"/>
  <c r="R28" i="26"/>
  <c r="J28" i="26"/>
  <c r="R12" i="26"/>
  <c r="J12" i="26"/>
  <c r="J22" i="26"/>
  <c r="R22" i="26"/>
  <c r="L9" i="28"/>
  <c r="M9" i="28" s="1"/>
  <c r="I9" i="26"/>
  <c r="Z38" i="2"/>
  <c r="I11" i="26"/>
  <c r="J9" i="26" l="1"/>
  <c r="R9" i="26"/>
  <c r="S25" i="26"/>
  <c r="U25" i="26"/>
  <c r="V25" i="26" s="1"/>
  <c r="U13" i="26"/>
  <c r="V13" i="26" s="1"/>
  <c r="S13" i="26"/>
  <c r="S23" i="26"/>
  <c r="U23" i="26"/>
  <c r="V23" i="26" s="1"/>
  <c r="S27" i="26"/>
  <c r="U27" i="26"/>
  <c r="V27" i="26" s="1"/>
  <c r="U22" i="26"/>
  <c r="V22" i="26" s="1"/>
  <c r="S22" i="26"/>
  <c r="S26" i="26"/>
  <c r="U26" i="26"/>
  <c r="V26" i="26" s="1"/>
  <c r="U14" i="26"/>
  <c r="V14" i="26" s="1"/>
  <c r="S14" i="26"/>
  <c r="S12" i="26"/>
  <c r="U12" i="26"/>
  <c r="V12" i="26" s="1"/>
  <c r="S28" i="26"/>
  <c r="U28" i="26"/>
  <c r="V28" i="26" s="1"/>
  <c r="R11" i="26"/>
  <c r="J11" i="26"/>
  <c r="U24" i="26"/>
  <c r="V24" i="26" s="1"/>
  <c r="S24" i="26"/>
  <c r="S15" i="26"/>
  <c r="U15" i="26"/>
  <c r="V15" i="26" s="1"/>
  <c r="AC22" i="2"/>
  <c r="AF22" i="2" s="1"/>
  <c r="AC21" i="2"/>
  <c r="AF21" i="2" s="1"/>
  <c r="AC10" i="2"/>
  <c r="AF10" i="2" s="1"/>
  <c r="AC7" i="2"/>
  <c r="AF7" i="2" s="1"/>
  <c r="AC20" i="2"/>
  <c r="AF20" i="2" s="1"/>
  <c r="AC19" i="2"/>
  <c r="AF19" i="2" s="1"/>
  <c r="AC18" i="2"/>
  <c r="AF18" i="2" s="1"/>
  <c r="AC23" i="2"/>
  <c r="AF23" i="2" s="1"/>
  <c r="AC9" i="2"/>
  <c r="AF9" i="2" s="1"/>
  <c r="AC17" i="2"/>
  <c r="AF17" i="2" s="1"/>
  <c r="AC8" i="2"/>
  <c r="AF8" i="2" s="1"/>
  <c r="S9" i="26" l="1"/>
  <c r="U9" i="26"/>
  <c r="V9" i="26" s="1"/>
  <c r="U11" i="26"/>
  <c r="V11" i="26" s="1"/>
  <c r="S11" i="26"/>
  <c r="AC24" i="2"/>
  <c r="AF24" i="2" s="1"/>
  <c r="AC26" i="2"/>
  <c r="AF26" i="2" s="1"/>
  <c r="T19" i="1" l="1"/>
  <c r="T17" i="1"/>
  <c r="W19" i="1" l="1"/>
  <c r="U19" i="1"/>
  <c r="W17" i="1"/>
  <c r="U17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/>
  <c r="S8" i="27" s="1"/>
  <c r="U20" i="27" l="1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0" i="26" l="1"/>
  <c r="J20" i="26"/>
  <c r="J21" i="26"/>
  <c r="R21" i="26"/>
  <c r="I18" i="26"/>
  <c r="J18" i="26" l="1"/>
  <c r="R18" i="26"/>
  <c r="S21" i="26"/>
  <c r="U21" i="26"/>
  <c r="V21" i="26" s="1"/>
  <c r="I19" i="26"/>
  <c r="S20" i="26"/>
  <c r="U20" i="26"/>
  <c r="V20" i="26" s="1"/>
  <c r="I17" i="26"/>
  <c r="AC15" i="2"/>
  <c r="AF15" i="2" s="1"/>
  <c r="AC16" i="2"/>
  <c r="AF16" i="2" s="1"/>
  <c r="J17" i="26" l="1"/>
  <c r="R17" i="26"/>
  <c r="U18" i="26"/>
  <c r="V18" i="26" s="1"/>
  <c r="S18" i="26"/>
  <c r="J19" i="26"/>
  <c r="R19" i="26"/>
  <c r="AC14" i="2"/>
  <c r="AF14" i="2" s="1"/>
  <c r="AC13" i="2"/>
  <c r="AF13" i="2" s="1"/>
  <c r="S19" i="26" l="1"/>
  <c r="U19" i="26"/>
  <c r="V19" i="26" s="1"/>
  <c r="S17" i="26"/>
  <c r="U17" i="26"/>
  <c r="V17" i="26" s="1"/>
  <c r="AC12" i="2"/>
  <c r="AF12" i="2" s="1"/>
  <c r="U16" i="27" l="1"/>
  <c r="V16" i="27" s="1"/>
  <c r="U8" i="27" l="1"/>
  <c r="V8" i="27" s="1"/>
  <c r="U10" i="27"/>
  <c r="V10" i="27" s="1"/>
  <c r="I16" i="26" l="1"/>
  <c r="R16" i="26" l="1"/>
  <c r="J16" i="26"/>
  <c r="I10" i="26"/>
  <c r="I8" i="26"/>
  <c r="R10" i="26" l="1"/>
  <c r="J10" i="26"/>
  <c r="R8" i="26"/>
  <c r="J8" i="26"/>
  <c r="S16" i="26"/>
  <c r="U16" i="26"/>
  <c r="V16" i="26" s="1"/>
  <c r="AC11" i="2"/>
  <c r="AF11" i="2" s="1"/>
  <c r="S8" i="26" l="1"/>
  <c r="U8" i="26"/>
  <c r="V8" i="26" s="1"/>
  <c r="S10" i="26"/>
  <c r="U10" i="26"/>
  <c r="V10" i="26" s="1"/>
  <c r="AC25" i="2"/>
  <c r="AF25" i="2" s="1"/>
  <c r="AC27" i="2"/>
  <c r="AF27" i="2" s="1"/>
  <c r="T20" i="1" l="1"/>
  <c r="T18" i="1"/>
  <c r="W18" i="1" l="1"/>
  <c r="U18" i="1"/>
  <c r="U20" i="1"/>
  <c r="W20" i="1"/>
  <c r="Q28" i="25" l="1"/>
  <c r="R28" i="25" s="1"/>
  <c r="Q13" i="25"/>
  <c r="R13" i="25" s="1"/>
  <c r="Q23" i="25"/>
  <c r="R23" i="25" s="1"/>
  <c r="Q17" i="25"/>
  <c r="R17" i="25" s="1"/>
  <c r="Q22" i="25"/>
  <c r="R22" i="25" s="1"/>
  <c r="Q15" i="25"/>
  <c r="R15" i="25" s="1"/>
  <c r="Q16" i="25"/>
  <c r="R16" i="25" s="1"/>
  <c r="Q19" i="25"/>
  <c r="R19" i="25" s="1"/>
  <c r="Q21" i="25"/>
  <c r="R21" i="25" s="1"/>
  <c r="Q26" i="25"/>
  <c r="R26" i="25" s="1"/>
  <c r="Q27" i="25"/>
  <c r="R27" i="25" s="1"/>
  <c r="Q24" i="25"/>
  <c r="R24" i="25" s="1"/>
  <c r="Q14" i="25"/>
  <c r="R14" i="25" s="1"/>
  <c r="Q18" i="25"/>
  <c r="R18" i="25" s="1"/>
  <c r="Q12" i="25"/>
  <c r="R12" i="25" s="1"/>
  <c r="Q20" i="25"/>
  <c r="R20" i="25" s="1"/>
  <c r="Q25" i="25"/>
  <c r="R25" i="25" s="1"/>
  <c r="Q11" i="25" l="1"/>
  <c r="R11" i="25" s="1"/>
  <c r="Q8" i="25"/>
  <c r="R8" i="25" s="1"/>
  <c r="Q10" i="25"/>
  <c r="R10" i="25" s="1"/>
  <c r="Q9" i="25"/>
  <c r="R9" i="25" s="1"/>
  <c r="P10" i="37" l="1"/>
  <c r="Q10" i="37" l="1"/>
  <c r="S10" i="37"/>
  <c r="P25" i="37"/>
  <c r="Q25" i="37" l="1"/>
  <c r="P28" i="37"/>
  <c r="S25" i="37"/>
  <c r="S28" i="37" l="1"/>
  <c r="Q28" i="37"/>
</calcChain>
</file>

<file path=xl/sharedStrings.xml><?xml version="1.0" encoding="utf-8"?>
<sst xmlns="http://schemas.openxmlformats.org/spreadsheetml/2006/main" count="716" uniqueCount="227">
  <si>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</si>
  <si>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</si>
  <si>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</si>
  <si>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</si>
  <si>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</si>
  <si>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</si>
  <si>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</si>
  <si>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</si>
  <si>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</si>
  <si>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</si>
  <si>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</si>
  <si>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</si>
  <si>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</si>
  <si>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</si>
  <si>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</si>
  <si>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</si>
  <si>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</si>
  <si>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</si>
  <si>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</si>
  <si>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</si>
  <si>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</si>
  <si>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</si>
  <si>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</si>
  <si>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</si>
  <si>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</si>
  <si>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</si>
  <si>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</si>
  <si>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</si>
  <si>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</si>
  <si>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</si>
  <si>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</si>
  <si>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</si>
  <si>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</si>
  <si>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</si>
  <si>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</si>
  <si>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</si>
  <si>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</si>
  <si>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</si>
  <si>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</si>
  <si>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</si>
  <si>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</si>
  <si>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</si>
  <si>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</si>
  <si>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</si>
  <si>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</si>
  <si>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</si>
  <si>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</si>
  <si>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</si>
  <si>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</si>
  <si>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</si>
  <si>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</si>
  <si>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</si>
  <si>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</si>
  <si>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</si>
  <si>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</si>
  <si>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</si>
  <si>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</si>
  <si>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</si>
  <si>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</si>
  <si>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</si>
  <si>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</si>
  <si>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</si>
  <si>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</si>
  <si>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</si>
  <si>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</si>
  <si>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</si>
  <si>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</si>
  <si>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</si>
  <si>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</si>
  <si>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</si>
  <si>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</si>
  <si>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</si>
  <si>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</si>
  <si>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</si>
  <si>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</si>
  <si>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</si>
  <si>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</si>
  <si>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</si>
  <si>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</si>
  <si>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</si>
  <si>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</si>
  <si>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</si>
  <si>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</si>
  <si>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</si>
  <si>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</si>
  <si>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</si>
  <si>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</si>
  <si>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</si>
  <si>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</si>
  <si>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</si>
  <si>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</si>
  <si>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</si>
  <si>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</si>
  <si>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</si>
  <si>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</si>
  <si>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</si>
  <si>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</si>
  <si>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</si>
  <si>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</si>
  <si>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</si>
  <si>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</si>
  <si>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</si>
  <si>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</si>
  <si>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</si>
  <si>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</si>
  <si>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</si>
  <si>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</si>
  <si>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</si>
  <si>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</si>
  <si>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</si>
  <si>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</si>
  <si>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</si>
  <si>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</si>
  <si>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</si>
  <si>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</si>
  <si>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</si>
  <si>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</si>
  <si>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</si>
  <si>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</si>
  <si>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</si>
  <si>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</si>
  <si>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</si>
  <si>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</si>
  <si>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</si>
  <si>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</si>
  <si>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</si>
  <si>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</si>
  <si>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</si>
  <si>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</si>
  <si>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</si>
  <si>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</si>
  <si>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</si>
  <si>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</si>
  <si>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</si>
  <si>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</si>
  <si>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</si>
  <si>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</si>
  <si>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</si>
  <si>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</si>
  <si>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</si>
  <si>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</si>
  <si>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</si>
  <si>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</si>
  <si>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</si>
  <si>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</si>
  <si>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</si>
  <si>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</si>
  <si>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</si>
  <si>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</si>
  <si>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</si>
  <si>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</si>
  <si>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</si>
  <si>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</si>
  <si>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</si>
  <si>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</si>
  <si>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 xml:space="preserve">   · 집합대손 2.2억 // 개별대손 3억(삼정이앤시) → 안양 2.9억, 양산 0.1억</t>
    <phoneticPr fontId="1" type="noConversion"/>
  </si>
  <si>
    <t>퇴직위로금</t>
    <phoneticPr fontId="1" type="noConversion"/>
  </si>
  <si>
    <t>[단위 : 톤, 천원]</t>
    <phoneticPr fontId="1" type="noConversion"/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</si>
  <si>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</si>
  <si>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</si>
  <si>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</si>
  <si>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</si>
  <si>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</si>
  <si>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</si>
  <si>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</si>
  <si>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</si>
  <si>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영업이익(공통비 배부후)</t>
    <phoneticPr fontId="1" type="noConversion"/>
  </si>
  <si>
    <t>레미콘사업본부</t>
    <phoneticPr fontId="1" type="noConversion"/>
  </si>
  <si>
    <t>2024년 1월 마감 손익</t>
  </si>
  <si>
    <t>물량</t>
    <phoneticPr fontId="1" type="noConversion"/>
  </si>
  <si>
    <t>매출</t>
    <phoneticPr fontId="1" type="noConversion"/>
  </si>
  <si>
    <t>매출이익</t>
    <phoneticPr fontId="1" type="noConversion"/>
  </si>
  <si>
    <t>영업이익</t>
    <phoneticPr fontId="1" type="noConversion"/>
  </si>
  <si>
    <t xml:space="preserve"> * 건자재</t>
    <phoneticPr fontId="1" type="noConversion"/>
  </si>
  <si>
    <t>EBITDA</t>
    <phoneticPr fontId="1" type="noConversion"/>
  </si>
  <si>
    <t>감가상각비</t>
    <phoneticPr fontId="1" type="noConversion"/>
  </si>
  <si>
    <t>판관</t>
    <phoneticPr fontId="1" type="noConversion"/>
  </si>
  <si>
    <t>영업이익 I</t>
    <phoneticPr fontId="1" type="noConversion"/>
  </si>
  <si>
    <t>영업이익 II</t>
    <phoneticPr fontId="1" type="noConversion"/>
  </si>
  <si>
    <t>건자재영업</t>
  </si>
  <si>
    <t>(%)</t>
    <phoneticPr fontId="1" type="noConversion"/>
  </si>
  <si>
    <t>2026년 2월 마감 손익</t>
    <phoneticPr fontId="1" type="noConversion"/>
  </si>
  <si>
    <t>□ 레미콘 영업이익 차이분석(2026-02)</t>
  </si>
  <si>
    <t>□ 레미콘 원재료 원단위(2026-02)</t>
  </si>
  <si>
    <t>□ 레미콘 원재료단가(2026-02)</t>
  </si>
  <si>
    <t>□ 레미콘 단위당 공헌이익(2026-02)</t>
  </si>
  <si>
    <t>□ 사업장별 손익실적(2026-02)</t>
  </si>
  <si>
    <t>2024년 2월 마감 손익</t>
  </si>
  <si>
    <t>2024년 2월누계 마감 손익</t>
  </si>
  <si>
    <t>□ 사업장별 손익실적(2026-02누계)</t>
  </si>
  <si>
    <t>2월</t>
  </si>
  <si>
    <t>2월누계</t>
  </si>
  <si>
    <t>2월누계</t>
    <phoneticPr fontId="1" type="noConversion"/>
  </si>
  <si>
    <t>2월 주요지표</t>
    <phoneticPr fontId="1" type="noConversion"/>
  </si>
  <si>
    <t>□ 건자재 손익실적(2026-02)</t>
    <phoneticPr fontId="1" type="noConversion"/>
  </si>
  <si>
    <t>2월누계</t>
    <phoneticPr fontId="1" type="noConversion"/>
  </si>
  <si>
    <t>□ 레미콘 영업이익(2월)</t>
    <phoneticPr fontId="1" type="noConversion"/>
  </si>
  <si>
    <t>2월</t>
    <phoneticPr fontId="1" type="noConversion"/>
  </si>
  <si>
    <t>전월</t>
    <phoneticPr fontId="1" type="noConversion"/>
  </si>
  <si>
    <t>1군</t>
    <phoneticPr fontId="1" type="noConversion"/>
  </si>
  <si>
    <t xml:space="preserve"> - 1군비율 : </t>
    <phoneticPr fontId="1" type="noConversion"/>
  </si>
  <si>
    <t>중소</t>
    <phoneticPr fontId="1" type="noConversion"/>
  </si>
  <si>
    <t xml:space="preserve"> - 강도</t>
    <phoneticPr fontId="1" type="noConversion"/>
  </si>
  <si>
    <t>강도</t>
    <phoneticPr fontId="1" type="noConversion"/>
  </si>
  <si>
    <t xml:space="preserve"> - mix차이</t>
    <phoneticPr fontId="1" type="noConversion"/>
  </si>
  <si>
    <t>1군비율</t>
    <phoneticPr fontId="1" type="noConversion"/>
  </si>
  <si>
    <t xml:space="preserve"> - 합계</t>
    <phoneticPr fontId="1" type="noConversion"/>
  </si>
  <si>
    <t>원/㎥</t>
    <phoneticPr fontId="1" type="noConversion"/>
  </si>
  <si>
    <t>판매비중</t>
    <phoneticPr fontId="1" type="noConversion"/>
  </si>
  <si>
    <t>공장명</t>
    <phoneticPr fontId="1" type="noConversion"/>
  </si>
  <si>
    <t>추정</t>
    <phoneticPr fontId="1" type="noConversion"/>
  </si>
  <si>
    <t xml:space="preserve"> □ 판매단가</t>
    <phoneticPr fontId="1" type="noConversion"/>
  </si>
  <si>
    <t xml:space="preserve"> - 1군소급</t>
    <phoneticPr fontId="1" type="noConversion"/>
  </si>
  <si>
    <t xml:space="preserve">원/㎥ </t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</si>
  <si>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계획대비 차이</t>
    </r>
    <phoneticPr fontId="1" type="noConversion"/>
  </si>
  <si>
    <t xml:space="preserve"> ※ 1군소급 : 109백만원(2월)  / 누계 : 154백만원</t>
    <phoneticPr fontId="1" type="noConversion"/>
  </si>
  <si>
    <t>□ 건재사업본부 손익실적(2026-02)</t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</si>
  <si>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전월대비 차이</t>
    </r>
    <phoneticPr fontId="1" type="noConversion"/>
  </si>
  <si>
    <t xml:space="preserve"> - 중소단가</t>
    <phoneticPr fontId="1" type="noConversion"/>
  </si>
  <si>
    <t>원/㎥↑</t>
    <phoneticPr fontId="1" type="noConversion"/>
  </si>
  <si>
    <t xml:space="preserve"> - 치환율</t>
    <phoneticPr fontId="1" type="noConversion"/>
  </si>
  <si>
    <t xml:space="preserve"> - 원단위</t>
    <phoneticPr fontId="1" type="noConversion"/>
  </si>
  <si>
    <t xml:space="preserve"> - 강도</t>
    <phoneticPr fontId="1" type="noConversion"/>
  </si>
  <si>
    <t xml:space="preserve">  - 원단위 차이 : 1,916원/㎥(치환율 536원↓, 원단위 382원↑, 강도 2,070원↑)</t>
    <phoneticPr fontId="1" type="noConversion"/>
  </si>
  <si>
    <t xml:space="preserve">  - 단가 차이 : 1,193원/㎥(OPC 단가 3,000원/톤)</t>
    <phoneticPr fontId="1" type="noConversion"/>
  </si>
  <si>
    <t xml:space="preserve"> □ 결합재</t>
    <phoneticPr fontId="1" type="noConversion"/>
  </si>
  <si>
    <t xml:space="preserve"> □ 격려금 : 1066백만원(R 430백만원, 골재 34백만원) / 운반비 설명절 : 59백만원(8개 사업장)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</si>
</sst>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#,##0.000_);[Red]\(#,##0.000\)"/>
    <numFmt numFmtId="181" formatCode="#,##0.0"/>
    <numFmt numFmtId="182" formatCode="0.0"/>
    <numFmt numFmtId="183" formatCode="#,##0.000000_ "/>
    <numFmt numFmtId="184" formatCode="0_);[Red]\(0\)"/>
    <numFmt numFmtId="185" formatCode="#,##0.00_);[Red]\(#,##0.0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0" fillId="0" borderId="0"/>
    <xf numFmtId="9" fontId="3" fillId="0" borderId="0" applyFont="0" applyFill="0" applyBorder="0" applyAlignment="0" applyProtection="0">
      <alignment vertical="center"/>
    </xf>
  </cellStyleXfs>
  <cellXfs count="69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2" fillId="0" borderId="13" xfId="0" applyNumberFormat="1" applyFont="1" applyBorder="1">
      <alignment vertical="center"/>
    </xf>
    <xf numFmtId="177" fontId="12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2" fillId="0" borderId="16" xfId="0" applyNumberFormat="1" applyFont="1" applyBorder="1">
      <alignment vertical="center"/>
    </xf>
    <xf numFmtId="177" fontId="12" fillId="0" borderId="17" xfId="0" applyNumberFormat="1" applyFont="1" applyBorder="1">
      <alignment vertical="center"/>
    </xf>
    <xf numFmtId="0" fontId="13" fillId="6" borderId="2" xfId="0" applyFont="1" applyFill="1" applyBorder="1" applyAlignment="1">
      <alignment horizontal="centerContinuous" vertical="center"/>
    </xf>
    <xf numFmtId="0" fontId="13" fillId="6" borderId="3" xfId="0" applyFont="1" applyFill="1" applyBorder="1" applyAlignment="1">
      <alignment horizontal="centerContinuous" vertical="center"/>
    </xf>
    <xf numFmtId="0" fontId="14" fillId="0" borderId="0" xfId="0" applyFont="1">
      <alignment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5" fillId="9" borderId="34" xfId="0" applyFont="1" applyFill="1" applyBorder="1" applyAlignment="1">
      <alignment horizontal="centerContinuous" vertical="center"/>
    </xf>
    <xf numFmtId="0" fontId="15" fillId="9" borderId="35" xfId="0" applyFont="1" applyFill="1" applyBorder="1" applyAlignment="1">
      <alignment horizontal="centerContinuous" vertical="center"/>
    </xf>
    <xf numFmtId="0" fontId="15" fillId="9" borderId="36" xfId="0" applyFont="1" applyFill="1" applyBorder="1" applyAlignment="1">
      <alignment horizontal="centerContinuous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50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4" xfId="0" applyNumberFormat="1" applyFont="1" applyBorder="1">
      <alignment vertical="center"/>
    </xf>
    <xf numFmtId="176" fontId="7" fillId="8" borderId="28" xfId="0" applyNumberFormat="1" applyFont="1" applyFill="1" applyBorder="1" applyAlignment="1">
      <alignment horizontal="center" vertical="center"/>
    </xf>
    <xf numFmtId="176" fontId="7" fillId="8" borderId="12" xfId="0" applyNumberFormat="1" applyFont="1" applyFill="1" applyBorder="1" applyAlignment="1">
      <alignment horizontal="center" vertical="center"/>
    </xf>
    <xf numFmtId="176" fontId="7" fillId="8" borderId="6" xfId="0" applyNumberFormat="1" applyFont="1" applyFill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8" borderId="27" xfId="0" applyNumberFormat="1" applyFont="1" applyFill="1" applyBorder="1" applyAlignment="1">
      <alignment horizontal="center" vertical="center"/>
    </xf>
    <xf numFmtId="176" fontId="7" fillId="8" borderId="31" xfId="0" applyNumberFormat="1" applyFont="1" applyFill="1" applyBorder="1" applyAlignment="1">
      <alignment horizontal="center" vertical="center"/>
    </xf>
    <xf numFmtId="176" fontId="7" fillId="8" borderId="33" xfId="0" applyNumberFormat="1" applyFont="1" applyFill="1" applyBorder="1" applyAlignment="1">
      <alignment horizontal="center" vertical="center"/>
    </xf>
    <xf numFmtId="176" fontId="7" fillId="8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2" fillId="0" borderId="22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176" fontId="12" fillId="8" borderId="1" xfId="0" applyNumberFormat="1" applyFont="1" applyFill="1" applyBorder="1">
      <alignment vertical="center"/>
    </xf>
    <xf numFmtId="176" fontId="12" fillId="8" borderId="4" xfId="0" applyNumberFormat="1" applyFont="1" applyFill="1" applyBorder="1">
      <alignment vertical="center"/>
    </xf>
    <xf numFmtId="176" fontId="12" fillId="8" borderId="22" xfId="0" applyNumberFormat="1" applyFont="1" applyFill="1" applyBorder="1">
      <alignment vertical="center"/>
    </xf>
    <xf numFmtId="176" fontId="12" fillId="8" borderId="6" xfId="0" applyNumberFormat="1" applyFont="1" applyFill="1" applyBorder="1">
      <alignment vertical="center"/>
    </xf>
    <xf numFmtId="177" fontId="12" fillId="0" borderId="4" xfId="0" applyNumberFormat="1" applyFont="1" applyBorder="1">
      <alignment vertical="center"/>
    </xf>
    <xf numFmtId="177" fontId="12" fillId="0" borderId="6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7" fontId="12" fillId="0" borderId="47" xfId="0" applyNumberFormat="1" applyFont="1" applyBorder="1">
      <alignment vertical="center"/>
    </xf>
    <xf numFmtId="177" fontId="12" fillId="0" borderId="75" xfId="0" applyNumberFormat="1" applyFont="1" applyBorder="1">
      <alignment vertical="center"/>
    </xf>
    <xf numFmtId="177" fontId="12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0" borderId="48" xfId="0" applyFont="1" applyFill="1" applyBorder="1" applyAlignment="1">
      <alignment horizontal="centerContinuous" vertical="center"/>
    </xf>
    <xf numFmtId="0" fontId="7" fillId="10" borderId="67" xfId="0" applyFont="1" applyFill="1" applyBorder="1" applyAlignment="1">
      <alignment horizontal="centerContinuous" vertical="center"/>
    </xf>
    <xf numFmtId="0" fontId="7" fillId="10" borderId="1" xfId="0" applyFont="1" applyFill="1" applyBorder="1" applyAlignment="1">
      <alignment horizontal="centerContinuous" vertical="center"/>
    </xf>
    <xf numFmtId="0" fontId="7" fillId="10" borderId="29" xfId="0" applyFont="1" applyFill="1" applyBorder="1" applyAlignment="1">
      <alignment horizontal="centerContinuous" vertical="center"/>
    </xf>
    <xf numFmtId="0" fontId="7" fillId="10" borderId="39" xfId="0" applyFont="1" applyFill="1" applyBorder="1" applyAlignment="1">
      <alignment horizontal="centerContinuous" vertical="center"/>
    </xf>
    <xf numFmtId="0" fontId="7" fillId="10" borderId="30" xfId="0" applyFont="1" applyFill="1" applyBorder="1" applyAlignment="1">
      <alignment horizontal="centerContinuous" vertical="center"/>
    </xf>
    <xf numFmtId="0" fontId="2" fillId="10" borderId="48" xfId="0" applyFont="1" applyFill="1" applyBorder="1" applyAlignment="1">
      <alignment horizontal="centerContinuous" vertical="center"/>
    </xf>
    <xf numFmtId="0" fontId="2" fillId="10" borderId="67" xfId="0" applyFont="1" applyFill="1" applyBorder="1" applyAlignment="1">
      <alignment horizontal="centerContinuous" vertical="center"/>
    </xf>
    <xf numFmtId="178" fontId="2" fillId="10" borderId="1" xfId="0" applyNumberFormat="1" applyFont="1" applyFill="1" applyBorder="1" applyAlignment="1">
      <alignment horizontal="centerContinuous" vertical="center"/>
    </xf>
    <xf numFmtId="178" fontId="2" fillId="10" borderId="29" xfId="0" applyNumberFormat="1" applyFont="1" applyFill="1" applyBorder="1" applyAlignment="1">
      <alignment horizontal="centerContinuous" vertical="center"/>
    </xf>
    <xf numFmtId="178" fontId="2" fillId="10" borderId="2" xfId="0" applyNumberFormat="1" applyFont="1" applyFill="1" applyBorder="1" applyAlignment="1">
      <alignment horizontal="centerContinuous" vertical="center"/>
    </xf>
    <xf numFmtId="178" fontId="2" fillId="10" borderId="3" xfId="0" applyNumberFormat="1" applyFont="1" applyFill="1" applyBorder="1" applyAlignment="1">
      <alignment horizontal="centerContinuous"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0" fontId="0" fillId="8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8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8" borderId="1" xfId="1" applyNumberFormat="1" applyFont="1" applyFill="1" applyBorder="1" applyAlignment="1">
      <alignment vertical="center"/>
    </xf>
    <xf numFmtId="178" fontId="6" fillId="8" borderId="2" xfId="1" applyNumberFormat="1" applyFont="1" applyFill="1" applyBorder="1" applyAlignment="1">
      <alignment vertical="center"/>
    </xf>
    <xf numFmtId="178" fontId="6" fillId="8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2" fillId="0" borderId="39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30" xfId="0" applyNumberFormat="1" applyFont="1" applyBorder="1">
      <alignment vertical="center"/>
    </xf>
    <xf numFmtId="178" fontId="12" fillId="0" borderId="46" xfId="0" applyNumberFormat="1" applyFont="1" applyBorder="1">
      <alignment vertical="center"/>
    </xf>
    <xf numFmtId="178" fontId="12" fillId="0" borderId="13" xfId="0" applyNumberFormat="1" applyFont="1" applyBorder="1">
      <alignment vertical="center"/>
    </xf>
    <xf numFmtId="178" fontId="12" fillId="0" borderId="14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25" xfId="0" applyNumberFormat="1" applyFont="1" applyBorder="1">
      <alignment vertical="center"/>
    </xf>
    <xf numFmtId="178" fontId="12" fillId="0" borderId="26" xfId="0" applyNumberFormat="1" applyFont="1" applyBorder="1">
      <alignment vertical="center"/>
    </xf>
    <xf numFmtId="178" fontId="12" fillId="0" borderId="47" xfId="0" applyNumberFormat="1" applyFont="1" applyBorder="1">
      <alignment vertical="center"/>
    </xf>
    <xf numFmtId="178" fontId="12" fillId="0" borderId="16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8" borderId="39" xfId="0" applyNumberFormat="1" applyFont="1" applyFill="1" applyBorder="1">
      <alignment vertical="center"/>
    </xf>
    <xf numFmtId="178" fontId="12" fillId="8" borderId="29" xfId="0" applyNumberFormat="1" applyFont="1" applyFill="1" applyBorder="1">
      <alignment vertical="center"/>
    </xf>
    <xf numFmtId="178" fontId="12" fillId="8" borderId="30" xfId="0" applyNumberFormat="1" applyFont="1" applyFill="1" applyBorder="1">
      <alignment vertical="center"/>
    </xf>
    <xf numFmtId="178" fontId="12" fillId="8" borderId="46" xfId="0" applyNumberFormat="1" applyFont="1" applyFill="1" applyBorder="1">
      <alignment vertical="center"/>
    </xf>
    <xf numFmtId="178" fontId="12" fillId="8" borderId="13" xfId="0" applyNumberFormat="1" applyFont="1" applyFill="1" applyBorder="1">
      <alignment vertical="center"/>
    </xf>
    <xf numFmtId="178" fontId="12" fillId="8" borderId="14" xfId="0" applyNumberFormat="1" applyFont="1" applyFill="1" applyBorder="1">
      <alignment vertical="center"/>
    </xf>
    <xf numFmtId="178" fontId="12" fillId="8" borderId="49" xfId="0" applyNumberFormat="1" applyFont="1" applyFill="1" applyBorder="1">
      <alignment vertical="center"/>
    </xf>
    <xf numFmtId="178" fontId="12" fillId="8" borderId="25" xfId="0" applyNumberFormat="1" applyFont="1" applyFill="1" applyBorder="1">
      <alignment vertical="center"/>
    </xf>
    <xf numFmtId="178" fontId="12" fillId="8" borderId="26" xfId="0" applyNumberFormat="1" applyFont="1" applyFill="1" applyBorder="1">
      <alignment vertical="center"/>
    </xf>
    <xf numFmtId="178" fontId="12" fillId="8" borderId="47" xfId="0" applyNumberFormat="1" applyFont="1" applyFill="1" applyBorder="1">
      <alignment vertical="center"/>
    </xf>
    <xf numFmtId="178" fontId="12" fillId="8" borderId="16" xfId="0" applyNumberFormat="1" applyFont="1" applyFill="1" applyBorder="1">
      <alignment vertical="center"/>
    </xf>
    <xf numFmtId="178" fontId="12" fillId="8" borderId="17" xfId="0" applyNumberFormat="1" applyFont="1" applyFill="1" applyBorder="1">
      <alignment vertical="center"/>
    </xf>
    <xf numFmtId="178" fontId="12" fillId="0" borderId="1" xfId="0" applyNumberFormat="1" applyFont="1" applyBorder="1">
      <alignment vertical="center"/>
    </xf>
    <xf numFmtId="178" fontId="12" fillId="0" borderId="74" xfId="0" applyNumberFormat="1" applyFont="1" applyBorder="1">
      <alignment vertical="center"/>
    </xf>
    <xf numFmtId="178" fontId="12" fillId="0" borderId="4" xfId="0" applyNumberFormat="1" applyFont="1" applyBorder="1">
      <alignment vertical="center"/>
    </xf>
    <xf numFmtId="178" fontId="12" fillId="0" borderId="75" xfId="0" applyNumberFormat="1" applyFont="1" applyBorder="1">
      <alignment vertical="center"/>
    </xf>
    <xf numFmtId="178" fontId="12" fillId="0" borderId="18" xfId="0" applyNumberFormat="1" applyFont="1" applyBorder="1">
      <alignment vertical="center"/>
    </xf>
    <xf numFmtId="178" fontId="12" fillId="0" borderId="79" xfId="0" applyNumberFormat="1" applyFont="1" applyBorder="1">
      <alignment vertical="center"/>
    </xf>
    <xf numFmtId="178" fontId="12" fillId="0" borderId="53" xfId="0" applyNumberFormat="1" applyFont="1" applyBorder="1">
      <alignment vertical="center"/>
    </xf>
    <xf numFmtId="178" fontId="12" fillId="0" borderId="20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22" xfId="0" applyNumberFormat="1" applyFont="1" applyBorder="1">
      <alignment vertical="center"/>
    </xf>
    <xf numFmtId="178" fontId="12" fillId="0" borderId="76" xfId="0" applyNumberFormat="1" applyFont="1" applyBorder="1">
      <alignment vertical="center"/>
    </xf>
    <xf numFmtId="178" fontId="11" fillId="7" borderId="79" xfId="0" applyNumberFormat="1" applyFont="1" applyFill="1" applyBorder="1">
      <alignment vertical="center"/>
    </xf>
    <xf numFmtId="178" fontId="11" fillId="5" borderId="75" xfId="0" applyNumberFormat="1" applyFont="1" applyFill="1" applyBorder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6" fillId="11" borderId="17" xfId="0" applyNumberFormat="1" applyFont="1" applyFill="1" applyBorder="1" applyAlignment="1">
      <alignment horizontal="right" vertical="center"/>
    </xf>
    <xf numFmtId="178" fontId="16" fillId="11" borderId="0" xfId="0" applyNumberFormat="1" applyFont="1" applyFill="1" applyBorder="1" applyAlignment="1">
      <alignment horizontal="right" vertical="center"/>
    </xf>
    <xf numFmtId="178" fontId="16" fillId="11" borderId="83" xfId="0" applyNumberFormat="1" applyFont="1" applyFill="1" applyBorder="1" applyAlignment="1">
      <alignment horizontal="right" vertical="center"/>
    </xf>
    <xf numFmtId="178" fontId="16" fillId="11" borderId="4" xfId="0" applyNumberFormat="1" applyFont="1" applyFill="1" applyBorder="1" applyAlignment="1">
      <alignment horizontal="right" vertical="center"/>
    </xf>
    <xf numFmtId="178" fontId="16" fillId="11" borderId="69" xfId="0" applyNumberFormat="1" applyFont="1" applyFill="1" applyBorder="1" applyAlignment="1">
      <alignment horizontal="center" vertical="center"/>
    </xf>
    <xf numFmtId="178" fontId="16" fillId="11" borderId="44" xfId="0" applyNumberFormat="1" applyFont="1" applyFill="1" applyBorder="1" applyAlignment="1">
      <alignment horizontal="right" vertical="center"/>
    </xf>
    <xf numFmtId="178" fontId="16" fillId="11" borderId="81" xfId="0" applyNumberFormat="1" applyFont="1" applyFill="1" applyBorder="1" applyAlignment="1">
      <alignment horizontal="right" vertical="center"/>
    </xf>
    <xf numFmtId="178" fontId="16" fillId="11" borderId="88" xfId="0" applyNumberFormat="1" applyFont="1" applyFill="1" applyBorder="1" applyAlignment="1">
      <alignment horizontal="right" vertical="center"/>
    </xf>
    <xf numFmtId="178" fontId="16" fillId="11" borderId="80" xfId="0" applyNumberFormat="1" applyFont="1" applyFill="1" applyBorder="1" applyAlignment="1">
      <alignment horizontal="right" vertical="center"/>
    </xf>
    <xf numFmtId="178" fontId="16" fillId="11" borderId="89" xfId="0" applyNumberFormat="1" applyFont="1" applyFill="1" applyBorder="1" applyAlignment="1">
      <alignment horizontal="center" vertical="center"/>
    </xf>
    <xf numFmtId="178" fontId="16" fillId="11" borderId="30" xfId="0" applyNumberFormat="1" applyFont="1" applyFill="1" applyBorder="1" applyAlignment="1">
      <alignment horizontal="right" vertical="center"/>
    </xf>
    <xf numFmtId="178" fontId="16" fillId="11" borderId="2" xfId="0" applyNumberFormat="1" applyFont="1" applyFill="1" applyBorder="1" applyAlignment="1">
      <alignment horizontal="right" vertical="center"/>
    </xf>
    <xf numFmtId="178" fontId="16" fillId="11" borderId="87" xfId="0" applyNumberFormat="1" applyFont="1" applyFill="1" applyBorder="1" applyAlignment="1">
      <alignment horizontal="right" vertical="center"/>
    </xf>
    <xf numFmtId="178" fontId="16" fillId="11" borderId="1" xfId="0" applyNumberFormat="1" applyFont="1" applyFill="1" applyBorder="1" applyAlignment="1">
      <alignment horizontal="right" vertical="center"/>
    </xf>
    <xf numFmtId="178" fontId="16" fillId="11" borderId="68" xfId="0" applyNumberFormat="1" applyFont="1" applyFill="1" applyBorder="1" applyAlignment="1">
      <alignment horizontal="center" vertical="center"/>
    </xf>
    <xf numFmtId="178" fontId="17" fillId="12" borderId="90" xfId="0" applyNumberFormat="1" applyFont="1" applyFill="1" applyBorder="1" applyAlignment="1">
      <alignment horizontal="right" vertical="center"/>
    </xf>
    <xf numFmtId="178" fontId="17" fillId="12" borderId="67" xfId="0" applyNumberFormat="1" applyFont="1" applyFill="1" applyBorder="1" applyAlignment="1">
      <alignment horizontal="right" vertical="center"/>
    </xf>
    <xf numFmtId="178" fontId="17" fillId="12" borderId="91" xfId="0" applyNumberFormat="1" applyFont="1" applyFill="1" applyBorder="1" applyAlignment="1">
      <alignment horizontal="right" vertical="center"/>
    </xf>
    <xf numFmtId="178" fontId="17" fillId="12" borderId="48" xfId="0" applyNumberFormat="1" applyFont="1" applyFill="1" applyBorder="1" applyAlignment="1">
      <alignment horizontal="right" vertical="center"/>
    </xf>
    <xf numFmtId="178" fontId="17" fillId="12" borderId="92" xfId="0" applyNumberFormat="1" applyFont="1" applyFill="1" applyBorder="1" applyAlignment="1">
      <alignment horizontal="right" vertical="center"/>
    </xf>
    <xf numFmtId="178" fontId="17" fillId="12" borderId="65" xfId="0" applyNumberFormat="1" applyFont="1" applyFill="1" applyBorder="1" applyAlignment="1">
      <alignment horizontal="center" vertical="center"/>
    </xf>
    <xf numFmtId="178" fontId="15" fillId="13" borderId="11" xfId="0" applyNumberFormat="1" applyFont="1" applyFill="1" applyBorder="1" applyAlignment="1">
      <alignment horizontal="centerContinuous" vertical="center"/>
    </xf>
    <xf numFmtId="178" fontId="15" fillId="13" borderId="64" xfId="0" applyNumberFormat="1" applyFont="1" applyFill="1" applyBorder="1" applyAlignment="1">
      <alignment horizontal="centerContinuous" vertical="center"/>
    </xf>
    <xf numFmtId="178" fontId="15" fillId="13" borderId="93" xfId="0" applyNumberFormat="1" applyFont="1" applyFill="1" applyBorder="1" applyAlignment="1">
      <alignment horizontal="centerContinuous" vertical="center"/>
    </xf>
    <xf numFmtId="178" fontId="15" fillId="13" borderId="71" xfId="0" applyNumberFormat="1" applyFont="1" applyFill="1" applyBorder="1" applyAlignment="1">
      <alignment horizontal="centerContinuous" vertical="center"/>
    </xf>
    <xf numFmtId="178" fontId="15" fillId="13" borderId="50" xfId="0" applyNumberFormat="1" applyFont="1" applyFill="1" applyBorder="1" applyAlignment="1">
      <alignment horizontal="centerContinuous" vertical="center"/>
    </xf>
    <xf numFmtId="178" fontId="15" fillId="13" borderId="3" xfId="0" applyNumberFormat="1" applyFont="1" applyFill="1" applyBorder="1" applyAlignment="1">
      <alignment horizontal="centerContinuous" vertical="center"/>
    </xf>
    <xf numFmtId="178" fontId="15" fillId="13" borderId="2" xfId="0" applyNumberFormat="1" applyFont="1" applyFill="1" applyBorder="1" applyAlignment="1">
      <alignment horizontal="centerContinuous" vertical="center"/>
    </xf>
    <xf numFmtId="178" fontId="15" fillId="13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6" fillId="11" borderId="5" xfId="0" applyNumberFormat="1" applyFont="1" applyFill="1" applyBorder="1" applyAlignment="1">
      <alignment horizontal="right" vertical="center"/>
    </xf>
    <xf numFmtId="178" fontId="16" fillId="11" borderId="52" xfId="0" applyNumberFormat="1" applyFont="1" applyFill="1" applyBorder="1" applyAlignment="1">
      <alignment horizontal="right" vertical="center"/>
    </xf>
    <xf numFmtId="178" fontId="16" fillId="11" borderId="3" xfId="0" applyNumberFormat="1" applyFont="1" applyFill="1" applyBorder="1" applyAlignment="1">
      <alignment horizontal="right" vertical="center"/>
    </xf>
    <xf numFmtId="178" fontId="17" fillId="12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6" fillId="11" borderId="5" xfId="1" applyNumberFormat="1" applyFont="1" applyFill="1" applyBorder="1" applyAlignment="1">
      <alignment horizontal="right" vertical="center"/>
    </xf>
    <xf numFmtId="178" fontId="16" fillId="11" borderId="83" xfId="1" applyNumberFormat="1" applyFont="1" applyFill="1" applyBorder="1" applyAlignment="1">
      <alignment horizontal="right" vertical="center"/>
    </xf>
    <xf numFmtId="178" fontId="16" fillId="11" borderId="4" xfId="1" applyNumberFormat="1" applyFont="1" applyFill="1" applyBorder="1" applyAlignment="1">
      <alignment horizontal="right" vertical="center"/>
    </xf>
    <xf numFmtId="178" fontId="16" fillId="11" borderId="52" xfId="1" applyNumberFormat="1" applyFont="1" applyFill="1" applyBorder="1" applyAlignment="1">
      <alignment horizontal="right" vertical="center"/>
    </xf>
    <xf numFmtId="178" fontId="16" fillId="11" borderId="88" xfId="1" applyNumberFormat="1" applyFont="1" applyFill="1" applyBorder="1" applyAlignment="1">
      <alignment horizontal="right" vertical="center"/>
    </xf>
    <xf numFmtId="178" fontId="16" fillId="11" borderId="80" xfId="1" applyNumberFormat="1" applyFont="1" applyFill="1" applyBorder="1" applyAlignment="1">
      <alignment horizontal="right" vertical="center"/>
    </xf>
    <xf numFmtId="178" fontId="16" fillId="11" borderId="3" xfId="1" applyNumberFormat="1" applyFont="1" applyFill="1" applyBorder="1" applyAlignment="1">
      <alignment horizontal="right" vertical="center"/>
    </xf>
    <xf numFmtId="178" fontId="16" fillId="11" borderId="87" xfId="1" applyNumberFormat="1" applyFont="1" applyFill="1" applyBorder="1" applyAlignment="1">
      <alignment horizontal="right" vertical="center"/>
    </xf>
    <xf numFmtId="178" fontId="16" fillId="11" borderId="1" xfId="1" applyNumberFormat="1" applyFont="1" applyFill="1" applyBorder="1" applyAlignment="1">
      <alignment horizontal="right" vertical="center"/>
    </xf>
    <xf numFmtId="178" fontId="17" fillId="12" borderId="55" xfId="1" applyNumberFormat="1" applyFont="1" applyFill="1" applyBorder="1" applyAlignment="1">
      <alignment horizontal="right" vertical="center"/>
    </xf>
    <xf numFmtId="178" fontId="17" fillId="12" borderId="91" xfId="1" applyNumberFormat="1" applyFont="1" applyFill="1" applyBorder="1" applyAlignment="1">
      <alignment horizontal="right" vertical="center"/>
    </xf>
    <xf numFmtId="178" fontId="17" fillId="12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6" fillId="11" borderId="5" xfId="0" applyNumberFormat="1" applyFont="1" applyFill="1" applyBorder="1" applyAlignment="1">
      <alignment horizontal="right" vertical="center"/>
    </xf>
    <xf numFmtId="9" fontId="16" fillId="11" borderId="83" xfId="0" applyNumberFormat="1" applyFont="1" applyFill="1" applyBorder="1" applyAlignment="1">
      <alignment horizontal="right" vertical="center"/>
    </xf>
    <xf numFmtId="9" fontId="16" fillId="11" borderId="4" xfId="0" applyNumberFormat="1" applyFont="1" applyFill="1" applyBorder="1" applyAlignment="1">
      <alignment horizontal="right" vertical="center"/>
    </xf>
    <xf numFmtId="9" fontId="16" fillId="11" borderId="52" xfId="0" applyNumberFormat="1" applyFont="1" applyFill="1" applyBorder="1" applyAlignment="1">
      <alignment horizontal="right" vertical="center"/>
    </xf>
    <xf numFmtId="9" fontId="16" fillId="11" borderId="88" xfId="0" applyNumberFormat="1" applyFont="1" applyFill="1" applyBorder="1" applyAlignment="1">
      <alignment horizontal="right" vertical="center"/>
    </xf>
    <xf numFmtId="9" fontId="16" fillId="11" borderId="80" xfId="0" applyNumberFormat="1" applyFont="1" applyFill="1" applyBorder="1" applyAlignment="1">
      <alignment horizontal="right" vertical="center"/>
    </xf>
    <xf numFmtId="9" fontId="16" fillId="11" borderId="3" xfId="0" applyNumberFormat="1" applyFont="1" applyFill="1" applyBorder="1" applyAlignment="1">
      <alignment horizontal="right" vertical="center"/>
    </xf>
    <xf numFmtId="9" fontId="16" fillId="11" borderId="87" xfId="0" applyNumberFormat="1" applyFont="1" applyFill="1" applyBorder="1" applyAlignment="1">
      <alignment horizontal="right" vertical="center"/>
    </xf>
    <xf numFmtId="9" fontId="16" fillId="11" borderId="1" xfId="0" applyNumberFormat="1" applyFont="1" applyFill="1" applyBorder="1" applyAlignment="1">
      <alignment horizontal="right" vertical="center"/>
    </xf>
    <xf numFmtId="9" fontId="17" fillId="12" borderId="55" xfId="0" applyNumberFormat="1" applyFont="1" applyFill="1" applyBorder="1" applyAlignment="1">
      <alignment horizontal="right" vertical="center"/>
    </xf>
    <xf numFmtId="9" fontId="17" fillId="12" borderId="91" xfId="0" applyNumberFormat="1" applyFont="1" applyFill="1" applyBorder="1" applyAlignment="1">
      <alignment horizontal="right" vertical="center"/>
    </xf>
    <xf numFmtId="9" fontId="17" fillId="12" borderId="48" xfId="0" applyNumberFormat="1" applyFont="1" applyFill="1" applyBorder="1" applyAlignment="1">
      <alignment horizontal="right" vertical="center"/>
    </xf>
    <xf numFmtId="178" fontId="2" fillId="8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19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1" fontId="0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3" fontId="0" fillId="0" borderId="0" xfId="0" applyNumberFormat="1">
      <alignment vertical="center"/>
    </xf>
    <xf numFmtId="184" fontId="6" fillId="0" borderId="0" xfId="1" applyNumberFormat="1" applyFont="1">
      <alignment vertical="center"/>
    </xf>
    <xf numFmtId="184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8" borderId="4" xfId="1" quotePrefix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5" fillId="0" borderId="0" xfId="0" applyNumberFormat="1" applyFont="1" applyFill="1" applyBorder="1" applyAlignment="1">
      <alignment vertical="center"/>
    </xf>
    <xf numFmtId="0" fontId="13" fillId="6" borderId="65" xfId="0" applyFont="1" applyFill="1" applyBorder="1" applyAlignment="1">
      <alignment horizontal="centerContinuous" vertical="center"/>
    </xf>
    <xf numFmtId="0" fontId="13" fillId="6" borderId="67" xfId="0" applyFont="1" applyFill="1" applyBorder="1" applyAlignment="1">
      <alignment horizontal="centerContinuous" vertical="center"/>
    </xf>
    <xf numFmtId="0" fontId="13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95" xfId="0" applyNumberFormat="1" applyFont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96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85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96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85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5" fillId="9" borderId="48" xfId="0" applyFont="1" applyFill="1" applyBorder="1" applyAlignment="1">
      <alignment horizontal="centerContinuous" vertical="center"/>
    </xf>
    <xf numFmtId="0" fontId="15" fillId="9" borderId="67" xfId="0" applyFont="1" applyFill="1" applyBorder="1" applyAlignment="1">
      <alignment horizontal="centerContinuous" vertical="center"/>
    </xf>
    <xf numFmtId="0" fontId="15" fillId="9" borderId="55" xfId="0" applyFont="1" applyFill="1" applyBorder="1" applyAlignment="1">
      <alignment horizontal="centerContinuous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178" fontId="2" fillId="10" borderId="29" xfId="0" applyNumberFormat="1" applyFont="1" applyFill="1" applyBorder="1" applyAlignment="1">
      <alignment horizontal="center" vertical="center"/>
    </xf>
    <xf numFmtId="178" fontId="2" fillId="10" borderId="2" xfId="0" applyNumberFormat="1" applyFont="1" applyFill="1" applyBorder="1" applyAlignment="1">
      <alignment horizontal="center" vertical="center"/>
    </xf>
    <xf numFmtId="178" fontId="2" fillId="10" borderId="3" xfId="0" applyNumberFormat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3" fillId="14" borderId="1" xfId="0" applyFont="1" applyFill="1" applyBorder="1" applyAlignment="1">
      <alignment horizontal="centerContinuous" vertical="center"/>
    </xf>
    <xf numFmtId="0" fontId="13" fillId="14" borderId="2" xfId="0" applyFont="1" applyFill="1" applyBorder="1" applyAlignment="1">
      <alignment horizontal="centerContinuous" vertical="center"/>
    </xf>
    <xf numFmtId="0" fontId="13" fillId="14" borderId="3" xfId="0" applyFont="1" applyFill="1" applyBorder="1" applyAlignment="1">
      <alignment horizontal="centerContinuous" vertical="center"/>
    </xf>
    <xf numFmtId="0" fontId="13" fillId="14" borderId="71" xfId="0" applyFont="1" applyFill="1" applyBorder="1" applyAlignment="1">
      <alignment horizontal="centerContinuous" vertical="center"/>
    </xf>
    <xf numFmtId="0" fontId="13" fillId="14" borderId="78" xfId="0" applyFont="1" applyFill="1" applyBorder="1" applyAlignment="1">
      <alignment horizontal="centerContinuous" vertical="center"/>
    </xf>
    <xf numFmtId="0" fontId="13" fillId="14" borderId="45" xfId="0" applyFont="1" applyFill="1" applyBorder="1" applyAlignment="1">
      <alignment horizontal="centerContinuous" vertical="center"/>
    </xf>
    <xf numFmtId="0" fontId="13" fillId="14" borderId="10" xfId="0" applyFont="1" applyFill="1" applyBorder="1" applyAlignment="1">
      <alignment horizontal="centerContinuous" vertical="center"/>
    </xf>
    <xf numFmtId="0" fontId="13" fillId="14" borderId="11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55" xfId="0" applyFont="1" applyBorder="1" applyAlignment="1">
      <alignment horizontal="centerContinuous" vertical="center"/>
    </xf>
    <xf numFmtId="178" fontId="12" fillId="0" borderId="48" xfId="0" applyNumberFormat="1" applyFont="1" applyBorder="1">
      <alignment vertical="center"/>
    </xf>
    <xf numFmtId="178" fontId="12" fillId="0" borderId="40" xfId="0" applyNumberFormat="1" applyFont="1" applyBorder="1">
      <alignment vertical="center"/>
    </xf>
    <xf numFmtId="178" fontId="12" fillId="0" borderId="38" xfId="0" applyNumberFormat="1" applyFont="1" applyBorder="1">
      <alignment vertical="center"/>
    </xf>
    <xf numFmtId="178" fontId="12" fillId="0" borderId="90" xfId="0" applyNumberFormat="1" applyFont="1" applyBorder="1">
      <alignment vertical="center"/>
    </xf>
    <xf numFmtId="178" fontId="12" fillId="0" borderId="78" xfId="0" applyNumberFormat="1" applyFont="1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Continuous" vertical="center"/>
    </xf>
    <xf numFmtId="0" fontId="2" fillId="3" borderId="55" xfId="0" applyFont="1" applyFill="1" applyBorder="1" applyAlignment="1">
      <alignment horizontal="centerContinuous" vertical="center"/>
    </xf>
    <xf numFmtId="0" fontId="0" fillId="8" borderId="1" xfId="0" applyFill="1" applyBorder="1" applyAlignment="1">
      <alignment horizontal="centerContinuous" vertical="center"/>
    </xf>
    <xf numFmtId="0" fontId="0" fillId="8" borderId="3" xfId="0" applyFill="1" applyBorder="1" applyAlignment="1">
      <alignment horizontal="centerContinuous" vertical="center"/>
    </xf>
    <xf numFmtId="0" fontId="0" fillId="8" borderId="4" xfId="0" applyFill="1" applyBorder="1">
      <alignment vertical="center"/>
    </xf>
    <xf numFmtId="0" fontId="0" fillId="8" borderId="11" xfId="0" applyFill="1" applyBorder="1" applyAlignment="1">
      <alignment horizontal="right" vertical="center"/>
    </xf>
    <xf numFmtId="0" fontId="0" fillId="8" borderId="6" xfId="0" applyFill="1" applyBorder="1">
      <alignment vertical="center"/>
    </xf>
    <xf numFmtId="0" fontId="0" fillId="8" borderId="2" xfId="0" applyFill="1" applyBorder="1" applyAlignment="1">
      <alignment horizontal="centerContinuous" vertical="center"/>
    </xf>
    <xf numFmtId="0" fontId="0" fillId="8" borderId="97" xfId="0" applyFill="1" applyBorder="1" applyAlignment="1">
      <alignment horizontal="right" vertical="center"/>
    </xf>
    <xf numFmtId="0" fontId="0" fillId="8" borderId="97" xfId="0" applyFill="1" applyBorder="1" applyAlignment="1">
      <alignment horizontal="distributed" vertical="center"/>
    </xf>
    <xf numFmtId="0" fontId="13" fillId="6" borderId="1" xfId="0" applyFont="1" applyFill="1" applyBorder="1" applyAlignment="1">
      <alignment horizontal="centerContinuous" vertical="center"/>
    </xf>
    <xf numFmtId="0" fontId="13" fillId="6" borderId="48" xfId="0" applyFont="1" applyFill="1" applyBorder="1" applyAlignment="1">
      <alignment horizontal="centerContinuous" vertical="center"/>
    </xf>
    <xf numFmtId="178" fontId="6" fillId="0" borderId="1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7" fontId="6" fillId="0" borderId="4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22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7" fontId="0" fillId="0" borderId="71" xfId="5" applyNumberFormat="1" applyFont="1" applyBorder="1" applyAlignment="1">
      <alignment horizontal="right" vertical="center"/>
    </xf>
    <xf numFmtId="176" fontId="0" fillId="0" borderId="71" xfId="0" applyNumberFormat="1" applyBorder="1" applyAlignment="1">
      <alignment horizontal="right" vertical="center"/>
    </xf>
    <xf numFmtId="177" fontId="0" fillId="0" borderId="71" xfId="0" applyNumberFormat="1" applyBorder="1" applyAlignment="1">
      <alignment horizontal="right" vertical="center"/>
    </xf>
    <xf numFmtId="176" fontId="0" fillId="0" borderId="68" xfId="0" applyNumberFormat="1" applyBorder="1" applyAlignment="1">
      <alignment horizontal="right" vertical="center"/>
    </xf>
    <xf numFmtId="177" fontId="0" fillId="0" borderId="73" xfId="5" applyNumberFormat="1" applyFont="1" applyBorder="1" applyAlignment="1">
      <alignment horizontal="right" vertical="center"/>
    </xf>
    <xf numFmtId="176" fontId="0" fillId="0" borderId="73" xfId="0" applyNumberFormat="1" applyBorder="1" applyAlignment="1">
      <alignment horizontal="right" vertical="center"/>
    </xf>
    <xf numFmtId="177" fontId="0" fillId="0" borderId="73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64" xfId="5" applyNumberFormat="1" applyFont="1" applyBorder="1" applyAlignment="1">
      <alignment horizontal="right" vertical="center"/>
    </xf>
    <xf numFmtId="176" fontId="0" fillId="0" borderId="64" xfId="0" applyNumberFormat="1" applyBorder="1" applyAlignment="1">
      <alignment horizontal="right" vertical="center"/>
    </xf>
    <xf numFmtId="177" fontId="0" fillId="0" borderId="64" xfId="0" applyNumberFormat="1" applyBorder="1" applyAlignment="1">
      <alignment horizontal="right" vertical="center"/>
    </xf>
    <xf numFmtId="0" fontId="13" fillId="6" borderId="68" xfId="0" applyFont="1" applyFill="1" applyBorder="1" applyAlignment="1">
      <alignment horizontal="centerContinuous" vertical="center"/>
    </xf>
    <xf numFmtId="176" fontId="0" fillId="0" borderId="3" xfId="0" applyNumberFormat="1" applyBorder="1" applyAlignment="1">
      <alignment horizontal="right" vertical="center"/>
    </xf>
    <xf numFmtId="177" fontId="0" fillId="0" borderId="50" xfId="5" applyNumberFormat="1" applyFont="1" applyBorder="1" applyAlignment="1">
      <alignment horizontal="right" vertical="center"/>
    </xf>
    <xf numFmtId="176" fontId="0" fillId="0" borderId="50" xfId="0" applyNumberFormat="1" applyBorder="1" applyAlignment="1">
      <alignment horizontal="right" vertical="center"/>
    </xf>
    <xf numFmtId="177" fontId="0" fillId="0" borderId="50" xfId="0" applyNumberFormat="1" applyBorder="1" applyAlignment="1">
      <alignment horizontal="right" vertical="center"/>
    </xf>
    <xf numFmtId="0" fontId="6" fillId="0" borderId="34" xfId="0" applyFont="1" applyBorder="1" applyAlignment="1">
      <alignment horizontal="centerContinuous" vertical="center"/>
    </xf>
    <xf numFmtId="0" fontId="6" fillId="0" borderId="36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9" fontId="12" fillId="0" borderId="6" xfId="0" applyNumberFormat="1" applyFont="1" applyBorder="1">
      <alignment vertical="center"/>
    </xf>
    <xf numFmtId="9" fontId="12" fillId="0" borderId="98" xfId="0" applyNumberFormat="1" applyFont="1" applyBorder="1">
      <alignment vertical="center"/>
    </xf>
    <xf numFmtId="9" fontId="12" fillId="0" borderId="47" xfId="0" applyNumberFormat="1" applyFont="1" applyBorder="1">
      <alignment vertical="center"/>
    </xf>
    <xf numFmtId="9" fontId="12" fillId="0" borderId="16" xfId="0" applyNumberFormat="1" applyFont="1" applyBorder="1">
      <alignment vertical="center"/>
    </xf>
    <xf numFmtId="9" fontId="12" fillId="0" borderId="17" xfId="0" applyNumberFormat="1" applyFont="1" applyBorder="1">
      <alignment vertical="center"/>
    </xf>
    <xf numFmtId="3" fontId="0" fillId="8" borderId="0" xfId="0" applyNumberFormat="1" applyFill="1">
      <alignment vertical="center"/>
    </xf>
    <xf numFmtId="9" fontId="12" fillId="0" borderId="77" xfId="0" applyNumberFormat="1" applyFont="1" applyBorder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8" borderId="0" xfId="1" applyNumberFormat="1" applyFont="1" applyFill="1" applyBorder="1" applyAlignment="1">
      <alignment vertical="center"/>
    </xf>
    <xf numFmtId="178" fontId="6" fillId="8" borderId="5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horizontal="center" vertical="center"/>
    </xf>
    <xf numFmtId="178" fontId="6" fillId="16" borderId="48" xfId="1" applyNumberFormat="1" applyFont="1" applyFill="1" applyBorder="1" applyAlignment="1">
      <alignment horizontal="center" vertical="center"/>
    </xf>
    <xf numFmtId="178" fontId="6" fillId="16" borderId="78" xfId="1" applyNumberFormat="1" applyFont="1" applyFill="1" applyBorder="1" applyAlignment="1">
      <alignment horizontal="center" vertical="center"/>
    </xf>
    <xf numFmtId="178" fontId="6" fillId="16" borderId="55" xfId="1" applyNumberFormat="1" applyFont="1" applyFill="1" applyBorder="1" applyAlignment="1">
      <alignment horizontal="center" vertical="center"/>
    </xf>
    <xf numFmtId="179" fontId="6" fillId="8" borderId="68" xfId="1" applyNumberFormat="1" applyFont="1" applyFill="1" applyBorder="1" applyAlignment="1">
      <alignment horizontal="center" vertical="center"/>
    </xf>
    <xf numFmtId="178" fontId="6" fillId="0" borderId="1" xfId="1" applyNumberFormat="1" applyFont="1" applyFill="1" applyBorder="1" applyAlignment="1">
      <alignment vertical="center"/>
    </xf>
    <xf numFmtId="178" fontId="6" fillId="0" borderId="74" xfId="1" applyNumberFormat="1" applyFont="1" applyFill="1" applyBorder="1" applyAlignment="1">
      <alignment vertical="center"/>
    </xf>
    <xf numFmtId="178" fontId="6" fillId="0" borderId="68" xfId="1" applyNumberFormat="1" applyFont="1" applyFill="1" applyBorder="1" applyAlignment="1">
      <alignment vertical="center"/>
    </xf>
    <xf numFmtId="178" fontId="6" fillId="8" borderId="70" xfId="1" applyNumberFormat="1" applyFont="1" applyFill="1" applyBorder="1" applyAlignment="1">
      <alignment horizontal="center"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98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6" fillId="0" borderId="70" xfId="1" applyNumberFormat="1" applyFont="1" applyFill="1" applyBorder="1" applyAlignment="1">
      <alignment vertical="center"/>
    </xf>
    <xf numFmtId="178" fontId="6" fillId="16" borderId="48" xfId="1" applyNumberFormat="1" applyFont="1" applyFill="1" applyBorder="1" applyAlignment="1">
      <alignment vertical="center"/>
    </xf>
    <xf numFmtId="178" fontId="6" fillId="16" borderId="99" xfId="1" applyNumberFormat="1" applyFont="1" applyFill="1" applyBorder="1" applyAlignment="1">
      <alignment vertical="center"/>
    </xf>
    <xf numFmtId="178" fontId="6" fillId="16" borderId="55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vertical="center"/>
    </xf>
    <xf numFmtId="179" fontId="6" fillId="0" borderId="1" xfId="1" applyNumberFormat="1" applyFont="1" applyFill="1" applyBorder="1" applyAlignment="1">
      <alignment vertical="center"/>
    </xf>
    <xf numFmtId="179" fontId="6" fillId="0" borderId="74" xfId="1" applyNumberFormat="1" applyFont="1" applyFill="1" applyBorder="1" applyAlignment="1">
      <alignment vertical="center"/>
    </xf>
    <xf numFmtId="179" fontId="6" fillId="0" borderId="3" xfId="1" applyNumberFormat="1" applyFont="1" applyFill="1" applyBorder="1" applyAlignment="1">
      <alignment vertical="center"/>
    </xf>
    <xf numFmtId="179" fontId="6" fillId="0" borderId="68" xfId="1" applyNumberFormat="1" applyFont="1" applyFill="1" applyBorder="1" applyAlignment="1">
      <alignment vertical="center"/>
    </xf>
    <xf numFmtId="9" fontId="6" fillId="0" borderId="6" xfId="1" applyNumberFormat="1" applyFont="1" applyFill="1" applyBorder="1" applyAlignment="1">
      <alignment vertical="center"/>
    </xf>
    <xf numFmtId="9" fontId="6" fillId="0" borderId="77" xfId="1" applyNumberFormat="1" applyFont="1" applyFill="1" applyBorder="1" applyAlignment="1">
      <alignment vertical="center"/>
    </xf>
    <xf numFmtId="9" fontId="6" fillId="0" borderId="8" xfId="1" applyNumberFormat="1" applyFont="1" applyFill="1" applyBorder="1" applyAlignment="1">
      <alignment vertical="center"/>
    </xf>
    <xf numFmtId="9" fontId="6" fillId="0" borderId="70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Continuous" vertical="center"/>
    </xf>
    <xf numFmtId="14" fontId="6" fillId="0" borderId="0" xfId="1" applyNumberFormat="1" applyFont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3" fontId="2" fillId="4" borderId="0" xfId="0" applyNumberFormat="1" applyFont="1" applyFill="1">
      <alignment vertical="center"/>
    </xf>
    <xf numFmtId="178" fontId="2" fillId="4" borderId="9" xfId="1" applyNumberFormat="1" applyFont="1" applyFill="1" applyBorder="1" applyAlignment="1">
      <alignment vertical="center"/>
    </xf>
    <xf numFmtId="178" fontId="2" fillId="4" borderId="10" xfId="1" applyNumberFormat="1" applyFont="1" applyFill="1" applyBorder="1" applyAlignment="1">
      <alignment vertical="center"/>
    </xf>
    <xf numFmtId="178" fontId="2" fillId="4" borderId="50" xfId="1" applyNumberFormat="1" applyFont="1" applyFill="1" applyBorder="1" applyAlignment="1">
      <alignment vertical="center"/>
    </xf>
    <xf numFmtId="178" fontId="2" fillId="4" borderId="45" xfId="1" applyNumberFormat="1" applyFont="1" applyFill="1" applyBorder="1" applyAlignment="1">
      <alignment vertical="center"/>
    </xf>
    <xf numFmtId="178" fontId="2" fillId="4" borderId="11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9" fontId="6" fillId="0" borderId="98" xfId="1" applyNumberFormat="1" applyFont="1" applyFill="1" applyBorder="1" applyAlignment="1">
      <alignment vertical="center"/>
    </xf>
    <xf numFmtId="179" fontId="6" fillId="0" borderId="8" xfId="1" applyNumberFormat="1" applyFont="1" applyFill="1" applyBorder="1" applyAlignment="1">
      <alignment vertical="center"/>
    </xf>
    <xf numFmtId="179" fontId="6" fillId="0" borderId="70" xfId="1" applyNumberFormat="1" applyFont="1" applyFill="1" applyBorder="1" applyAlignment="1">
      <alignment vertical="center"/>
    </xf>
    <xf numFmtId="178" fontId="6" fillId="8" borderId="68" xfId="1" applyNumberFormat="1" applyFont="1" applyFill="1" applyBorder="1" applyAlignment="1">
      <alignment horizontal="right" vertical="center"/>
    </xf>
    <xf numFmtId="178" fontId="6" fillId="8" borderId="70" xfId="1" applyNumberFormat="1" applyFont="1" applyFill="1" applyBorder="1" applyAlignment="1">
      <alignment horizontal="right" vertical="center"/>
    </xf>
    <xf numFmtId="179" fontId="6" fillId="16" borderId="48" xfId="1" applyNumberFormat="1" applyFont="1" applyFill="1" applyBorder="1" applyAlignment="1">
      <alignment vertical="center"/>
    </xf>
    <xf numFmtId="179" fontId="6" fillId="16" borderId="99" xfId="1" applyNumberFormat="1" applyFont="1" applyFill="1" applyBorder="1" applyAlignment="1">
      <alignment vertical="center"/>
    </xf>
    <xf numFmtId="179" fontId="6" fillId="16" borderId="55" xfId="1" applyNumberFormat="1" applyFont="1" applyFill="1" applyBorder="1" applyAlignment="1">
      <alignment vertical="center"/>
    </xf>
    <xf numFmtId="179" fontId="6" fillId="16" borderId="65" xfId="1" applyNumberFormat="1" applyFont="1" applyFill="1" applyBorder="1" applyAlignment="1">
      <alignment vertical="center"/>
    </xf>
    <xf numFmtId="178" fontId="8" fillId="0" borderId="4" xfId="1" applyNumberFormat="1" applyFont="1" applyFill="1" applyBorder="1" applyAlignment="1">
      <alignment vertical="center"/>
    </xf>
    <xf numFmtId="43" fontId="0" fillId="0" borderId="0" xfId="0" applyNumberFormat="1" applyFont="1">
      <alignment vertical="center"/>
    </xf>
    <xf numFmtId="178" fontId="2" fillId="4" borderId="0" xfId="1" applyNumberFormat="1" applyFont="1" applyFill="1" applyBorder="1" applyAlignment="1">
      <alignment vertical="center"/>
    </xf>
    <xf numFmtId="178" fontId="19" fillId="0" borderId="0" xfId="1" applyNumberFormat="1" applyFont="1" applyFill="1" applyBorder="1" applyAlignment="1">
      <alignment vertical="center"/>
    </xf>
    <xf numFmtId="178" fontId="19" fillId="0" borderId="5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4" xfId="1" applyNumberFormat="1" applyFont="1" applyBorder="1">
      <alignment vertical="center"/>
    </xf>
    <xf numFmtId="178" fontId="2" fillId="0" borderId="4" xfId="0" applyNumberFormat="1" applyFont="1" applyBorder="1">
      <alignment vertical="center"/>
    </xf>
    <xf numFmtId="43" fontId="0" fillId="0" borderId="0" xfId="0" applyNumberFormat="1" applyFont="1" applyBorder="1">
      <alignment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6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178" fontId="15" fillId="13" borderId="68" xfId="0" applyNumberFormat="1" applyFont="1" applyFill="1" applyBorder="1" applyAlignment="1">
      <alignment horizontal="center" vertical="center"/>
    </xf>
    <xf numFmtId="178" fontId="15" fillId="13" borderId="70" xfId="0" applyNumberFormat="1" applyFont="1" applyFill="1" applyBorder="1" applyAlignment="1">
      <alignment horizontal="center" vertical="center"/>
    </xf>
    <xf numFmtId="178" fontId="15" fillId="13" borderId="1" xfId="0" applyNumberFormat="1" applyFont="1" applyFill="1" applyBorder="1" applyAlignment="1">
      <alignment horizontal="center" vertical="center"/>
    </xf>
    <xf numFmtId="178" fontId="15" fillId="13" borderId="2" xfId="0" applyNumberFormat="1" applyFont="1" applyFill="1" applyBorder="1" applyAlignment="1">
      <alignment horizontal="center" vertical="center"/>
    </xf>
    <xf numFmtId="178" fontId="15" fillId="13" borderId="6" xfId="0" applyNumberFormat="1" applyFont="1" applyFill="1" applyBorder="1" applyAlignment="1">
      <alignment horizontal="center" vertical="center"/>
    </xf>
    <xf numFmtId="178" fontId="15" fillId="13" borderId="7" xfId="0" applyNumberFormat="1" applyFont="1" applyFill="1" applyBorder="1" applyAlignment="1">
      <alignment horizontal="center" vertical="center"/>
    </xf>
  </cellXfs>
  <cellStyles count="6">
    <cellStyle name="백분율" xfId="5" builtinId="5"/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FFFFCC"/>
      <color rgb="FF00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1_&#51665;&#44228;/&#50896;&#44032;&#49552;&#51061;/2026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0_&#48372;&#44256;&#49436;/2025&#45380;_&#54637;&#47785;&#48324;&#49552;&#51061;&#49892;&#5120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1_&#47112;&#48120;&#53080;/&#47112;&#48120;&#53080;&#50896;&#44032;&#49552;&#51061;(2026-02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1_&#47112;&#48120;&#53080;/&#47112;&#48120;&#53080;&#50896;&#44032;&#49552;&#51061;(2026-02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3_&#44264;&#51116;/&#48512;&#49328;&#47784;&#47000;&#51109;&#50896;&#44032;&#49552;&#51061;(2026-0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3_&#44264;&#51116;/&#48512;&#49328;&#53356;&#46972;&#49380;&#50896;&#44032;&#49552;&#51061;(2026-0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3_&#44264;&#51116;/&#49436;&#48512;&#49328;&#53356;&#46972;&#49380;&#50896;&#44032;&#49552;&#51061;(2026-0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47784;&#47000;&#51109;&#50896;&#44032;&#49552;&#51061;(2025-02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53356;&#46972;&#49380;&#50896;&#44032;&#49552;&#51061;(2025-02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9436;&#48512;&#49328;&#53356;&#46972;&#49380;&#50896;&#44032;&#49552;&#51061;(2025-0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4148;&#51088;&#51116;/2026&#45380;_&#50696;&#49328;&#50836;&#44396;&#50504;_&#44148;&#51088;&#5111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2_&#44148;&#51088;&#51116;/&#44148;&#51088;&#51116;&#50689;&#50629;&#49552;&#51061;(2026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2_&#44148;&#51088;&#51116;/&#44148;&#51088;&#51116;&#50689;&#50629;&#49552;&#51061;(2025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1_&#47112;&#48120;&#53080;/&#47112;&#48120;&#53080;&#50896;&#44032;&#49552;&#51061;(2026-02&#45572;&#44228;)&#44228;&#54925;&#45824;&#48708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1_&#47112;&#48120;&#53080;/&#47112;&#48120;&#53080;&#50896;&#44032;&#49552;&#51061;(2026-02&#45572;&#44228;)&#51204;&#45380;&#45824;&#48708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1_&#47112;&#48120;&#53080;/&#47112;&#48120;&#53080;&#50896;&#44032;&#49552;&#51061;(2026-02)&#51204;&#50900;&#45824;&#4870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688;&#49888;&#9316;/2026&#45380;_&#50696;&#49328;&#50836;&#44396;&#50504;_&#54633;&#44228;_&#49688;&#4988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12_&#51452;&#50836;&#51648;&#54364;&#44288;&#47532;/&#49688;&#51452;&#50689;&#50629;&#54016;/&#49688;&#51061;&#49457;&#51665;&#44228;_&#54032;&#47588;&#45800;&#44032;(202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324;&#50629;&#44228;&#54925;2/2026&#45380;%20&#49324;&#50629;&#44228;&#54925;(&#54633;&#44228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12_&#51452;&#50836;&#51648;&#54364;&#44288;&#47532;/&#50672;&#44396;&#44060;&#48156;&#54016;/&#54217;&#44512;&#44053;&#46020;(2026-0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08_&#49688;&#49888;/&#49688;&#51452;&#50689;&#50629;&#54016;/&#54032;&#47588;&#45800;&#44032;%20&#47560;&#51060;&#45320;&#49828;&#44228;&#49328;&#49436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2/12_&#51452;&#50836;&#51648;&#54364;&#44288;&#47532;/&#50672;&#44396;&#44060;&#48156;&#54016;/&#54217;&#44512;&#44053;&#46020;(2026-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월별손익 (3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3-12월"/>
      <sheetName val="9-12월"/>
      <sheetName val="상반기"/>
      <sheetName val="하반기"/>
      <sheetName val="연간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/>
      <sheetData sheetId="3">
        <row r="6">
          <cell r="D6" t="str">
            <v>구분</v>
          </cell>
        </row>
      </sheetData>
      <sheetData sheetId="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  <cell r="AW6"/>
        </row>
        <row r="7">
          <cell r="D7" t="str">
            <v>물     량</v>
          </cell>
          <cell r="E7"/>
          <cell r="F7">
            <v>28000</v>
          </cell>
          <cell r="G7">
            <v>21999.999999999996</v>
          </cell>
          <cell r="H7">
            <v>9000</v>
          </cell>
          <cell r="I7">
            <v>8000</v>
          </cell>
          <cell r="J7">
            <v>16000</v>
          </cell>
          <cell r="K7">
            <v>16000</v>
          </cell>
          <cell r="L7">
            <v>7000</v>
          </cell>
          <cell r="M7">
            <v>18000</v>
          </cell>
          <cell r="N7">
            <v>6000</v>
          </cell>
          <cell r="O7">
            <v>8499.9999999999964</v>
          </cell>
          <cell r="P7">
            <v>6500</v>
          </cell>
          <cell r="Q7">
            <v>5500</v>
          </cell>
          <cell r="R7">
            <v>10000</v>
          </cell>
          <cell r="S7">
            <v>6000</v>
          </cell>
          <cell r="T7">
            <v>2500</v>
          </cell>
          <cell r="U7">
            <v>2999.8</v>
          </cell>
          <cell r="V7">
            <v>5000</v>
          </cell>
          <cell r="W7">
            <v>0</v>
          </cell>
          <cell r="X7">
            <v>0</v>
          </cell>
          <cell r="Y7">
            <v>0</v>
          </cell>
          <cell r="Z7">
            <v>176999.8</v>
          </cell>
          <cell r="AA7">
            <v>7000</v>
          </cell>
          <cell r="AB7">
            <v>42112.98</v>
          </cell>
          <cell r="AC7">
            <v>1</v>
          </cell>
          <cell r="AD7">
            <v>18181.720279720281</v>
          </cell>
          <cell r="AE7">
            <v>60295.700279720288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/>
          <cell r="AW7"/>
          <cell r="AX7"/>
          <cell r="AY7"/>
          <cell r="AZ7"/>
          <cell r="BA7"/>
        </row>
        <row r="8">
          <cell r="D8" t="str">
            <v>매 출 액</v>
          </cell>
          <cell r="E8">
            <v>25699780.516016699</v>
          </cell>
          <cell r="F8">
            <v>2733666.6869999995</v>
          </cell>
          <cell r="G8">
            <v>2198503.2326195333</v>
          </cell>
          <cell r="H8">
            <v>844861.4763000001</v>
          </cell>
          <cell r="I8">
            <v>805529.17260000017</v>
          </cell>
          <cell r="J8">
            <v>1723428.9567</v>
          </cell>
          <cell r="K8">
            <v>1600686.6212000004</v>
          </cell>
          <cell r="L8">
            <v>684938.96831999999</v>
          </cell>
          <cell r="M8">
            <v>1797806.6740700002</v>
          </cell>
          <cell r="N8">
            <v>576632.93700000003</v>
          </cell>
          <cell r="O8">
            <v>834087.8957455256</v>
          </cell>
          <cell r="P8">
            <v>586521.58790699998</v>
          </cell>
          <cell r="Q8">
            <v>578939.84610000008</v>
          </cell>
          <cell r="R8">
            <v>987183.15999999992</v>
          </cell>
          <cell r="S8">
            <v>610599.41999999993</v>
          </cell>
          <cell r="T8">
            <v>289458.89399999997</v>
          </cell>
          <cell r="U8">
            <v>344382.56575999997</v>
          </cell>
          <cell r="V8">
            <v>601339.10000000009</v>
          </cell>
          <cell r="W8">
            <v>0</v>
          </cell>
          <cell r="X8">
            <v>0</v>
          </cell>
          <cell r="Y8">
            <v>0</v>
          </cell>
          <cell r="Z8">
            <v>17798567.195322063</v>
          </cell>
          <cell r="AA8">
            <v>6724612.3420000011</v>
          </cell>
          <cell r="AB8">
            <v>535694.67333333334</v>
          </cell>
          <cell r="AC8">
            <v>0</v>
          </cell>
          <cell r="AD8">
            <v>517372.97202797199</v>
          </cell>
          <cell r="AE8">
            <v>1053067.6453613052</v>
          </cell>
          <cell r="AF8">
            <v>12500</v>
          </cell>
          <cell r="AG8">
            <v>0</v>
          </cell>
          <cell r="AH8">
            <v>29166.666666666668</v>
          </cell>
          <cell r="AI8">
            <v>75396.666666666672</v>
          </cell>
          <cell r="AJ8">
            <v>4700</v>
          </cell>
          <cell r="AK8">
            <v>0</v>
          </cell>
          <cell r="AL8">
            <v>121763.33333333334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1770</v>
          </cell>
          <cell r="AV8">
            <v>1770</v>
          </cell>
          <cell r="AW8"/>
          <cell r="AX8"/>
          <cell r="AY8"/>
          <cell r="AZ8"/>
          <cell r="BA8"/>
        </row>
        <row r="9">
          <cell r="D9" t="str">
            <v xml:space="preserve"> - 단  위  당</v>
          </cell>
          <cell r="E9"/>
          <cell r="F9">
            <v>97630.95310714285</v>
          </cell>
          <cell r="G9">
            <v>99931.965119069719</v>
          </cell>
          <cell r="H9">
            <v>93873.497366666677</v>
          </cell>
          <cell r="I9">
            <v>100691.14657500002</v>
          </cell>
          <cell r="J9">
            <v>107714.30979375</v>
          </cell>
          <cell r="K9">
            <v>100042.91382500003</v>
          </cell>
          <cell r="L9">
            <v>97848.424045714288</v>
          </cell>
          <cell r="M9">
            <v>99878.148559444453</v>
          </cell>
          <cell r="N9">
            <v>96105.489500000011</v>
          </cell>
          <cell r="O9">
            <v>98127.987734767754</v>
          </cell>
          <cell r="P9">
            <v>90234.090447230774</v>
          </cell>
          <cell r="Q9">
            <v>105261.79020000002</v>
          </cell>
          <cell r="R9">
            <v>98718.315999999992</v>
          </cell>
          <cell r="S9">
            <v>101766.56999999999</v>
          </cell>
          <cell r="T9">
            <v>115783.5576</v>
          </cell>
          <cell r="U9">
            <v>114801.84204280283</v>
          </cell>
          <cell r="V9">
            <v>120267.82000000002</v>
          </cell>
          <cell r="W9">
            <v>0</v>
          </cell>
          <cell r="X9">
            <v>0</v>
          </cell>
          <cell r="Y9">
            <v>0</v>
          </cell>
          <cell r="Z9">
            <v>100556.99043344718</v>
          </cell>
          <cell r="AA9">
            <v>960658.90600000008</v>
          </cell>
          <cell r="AB9">
            <v>12720.417157212178</v>
          </cell>
          <cell r="AC9">
            <v>0</v>
          </cell>
          <cell r="AD9">
            <v>28455.666684359065</v>
          </cell>
          <cell r="AE9">
            <v>17465.053734776699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/>
          <cell r="AW9"/>
          <cell r="AX9"/>
          <cell r="AY9"/>
          <cell r="AZ9"/>
          <cell r="BA9"/>
        </row>
        <row r="10">
          <cell r="D10" t="str">
            <v>매출원가</v>
          </cell>
          <cell r="E10">
            <v>24284593.937058583</v>
          </cell>
          <cell r="F10">
            <v>2520628.8558871779</v>
          </cell>
          <cell r="G10">
            <v>2129259.0028645843</v>
          </cell>
          <cell r="H10">
            <v>888154.71280854091</v>
          </cell>
          <cell r="I10">
            <v>787338.24397958512</v>
          </cell>
          <cell r="J10">
            <v>1541717.6345947844</v>
          </cell>
          <cell r="K10">
            <v>1399217.8599010974</v>
          </cell>
          <cell r="L10">
            <v>653768.89070730435</v>
          </cell>
          <cell r="M10">
            <v>1656491.6584311773</v>
          </cell>
          <cell r="N10">
            <v>563399.58481243206</v>
          </cell>
          <cell r="O10">
            <v>780114.08411793958</v>
          </cell>
          <cell r="P10">
            <v>565078.00957421702</v>
          </cell>
          <cell r="Q10">
            <v>615944.93249742873</v>
          </cell>
          <cell r="R10">
            <v>964439.98569887737</v>
          </cell>
          <cell r="S10">
            <v>585401.41114393936</v>
          </cell>
          <cell r="T10">
            <v>254565.48808201926</v>
          </cell>
          <cell r="U10">
            <v>292227.07717039279</v>
          </cell>
          <cell r="V10">
            <v>545081.72489891236</v>
          </cell>
          <cell r="W10">
            <v>0</v>
          </cell>
          <cell r="X10">
            <v>0</v>
          </cell>
          <cell r="Y10">
            <v>0</v>
          </cell>
          <cell r="Z10">
            <v>16742829.157170413</v>
          </cell>
          <cell r="AA10">
            <v>6587018.6040000003</v>
          </cell>
          <cell r="AB10">
            <v>409338.27</v>
          </cell>
          <cell r="AC10">
            <v>95131.880833333329</v>
          </cell>
          <cell r="AD10">
            <v>449205.02505483682</v>
          </cell>
          <cell r="AE10">
            <v>953675.17588817026</v>
          </cell>
          <cell r="AF10">
            <v>120</v>
          </cell>
          <cell r="AG10">
            <v>0</v>
          </cell>
          <cell r="AH10">
            <v>539</v>
          </cell>
          <cell r="AI10">
            <v>239</v>
          </cell>
          <cell r="AJ10">
            <v>173</v>
          </cell>
          <cell r="AK10">
            <v>0</v>
          </cell>
          <cell r="AL10">
            <v>1071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/>
          <cell r="AX10"/>
          <cell r="AY10"/>
          <cell r="AZ10"/>
          <cell r="BA10"/>
        </row>
        <row r="11">
          <cell r="D11" t="str">
            <v xml:space="preserve"> - 단  위  당</v>
          </cell>
          <cell r="E11"/>
          <cell r="F11">
            <v>90022.459138827791</v>
          </cell>
          <cell r="G11">
            <v>96784.500130208398</v>
          </cell>
          <cell r="H11">
            <v>98683.856978726762</v>
          </cell>
          <cell r="I11">
            <v>98417.280497448141</v>
          </cell>
          <cell r="J11">
            <v>96357.352162174022</v>
          </cell>
          <cell r="K11">
            <v>87451.116243818586</v>
          </cell>
          <cell r="L11">
            <v>93395.555815329193</v>
          </cell>
          <cell r="M11">
            <v>92027.314357287629</v>
          </cell>
          <cell r="N11">
            <v>93899.930802072005</v>
          </cell>
          <cell r="O11">
            <v>91778.127543287046</v>
          </cell>
          <cell r="P11">
            <v>86935.078396033394</v>
          </cell>
          <cell r="Q11">
            <v>111989.98772680522</v>
          </cell>
          <cell r="R11">
            <v>96443.998569887743</v>
          </cell>
          <cell r="S11">
            <v>97566.901857323232</v>
          </cell>
          <cell r="T11">
            <v>101826.1952328077</v>
          </cell>
          <cell r="U11">
            <v>97415.52009147036</v>
          </cell>
          <cell r="V11">
            <v>109016.34497978247</v>
          </cell>
          <cell r="W11">
            <v>0</v>
          </cell>
          <cell r="X11">
            <v>0</v>
          </cell>
          <cell r="Y11">
            <v>0</v>
          </cell>
          <cell r="Z11">
            <v>94592.362009281438</v>
          </cell>
          <cell r="AA11">
            <v>941002.65771428577</v>
          </cell>
          <cell r="AB11">
            <v>9720.0024790456519</v>
          </cell>
          <cell r="AC11">
            <v>95131880.833333328</v>
          </cell>
          <cell r="AD11">
            <v>24706.409412528246</v>
          </cell>
          <cell r="AE11">
            <v>15816.636534013805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/>
          <cell r="AW11"/>
          <cell r="AX11"/>
          <cell r="AY11"/>
          <cell r="AZ11"/>
          <cell r="BA11"/>
        </row>
        <row r="12">
          <cell r="D12" t="str">
            <v>매출이익</v>
          </cell>
          <cell r="E12">
            <v>1415186.5789581165</v>
          </cell>
          <cell r="F12">
            <v>213037.83111282159</v>
          </cell>
          <cell r="G12">
            <v>69244.229754948989</v>
          </cell>
          <cell r="H12">
            <v>-43293.236508540809</v>
          </cell>
          <cell r="I12">
            <v>18190.928620415041</v>
          </cell>
          <cell r="J12">
            <v>181711.32210521563</v>
          </cell>
          <cell r="K12">
            <v>201468.76129890303</v>
          </cell>
          <cell r="L12">
            <v>31170.077612695633</v>
          </cell>
          <cell r="M12">
            <v>141315.01563882292</v>
          </cell>
          <cell r="N12">
            <v>13233.352187567973</v>
          </cell>
          <cell r="O12">
            <v>53973.811627586023</v>
          </cell>
          <cell r="P12">
            <v>21443.578332782956</v>
          </cell>
          <cell r="Q12">
            <v>-37005.086397428648</v>
          </cell>
          <cell r="R12">
            <v>22743.174301122548</v>
          </cell>
          <cell r="S12">
            <v>25198.008856060565</v>
          </cell>
          <cell r="T12">
            <v>34893.405917980708</v>
          </cell>
          <cell r="U12">
            <v>52155.488589607179</v>
          </cell>
          <cell r="V12">
            <v>56257.375101087731</v>
          </cell>
          <cell r="W12">
            <v>0</v>
          </cell>
          <cell r="X12">
            <v>0</v>
          </cell>
          <cell r="Y12">
            <v>0</v>
          </cell>
          <cell r="Z12">
            <v>1055738.0381516498</v>
          </cell>
          <cell r="AA12">
            <v>137593.73800000083</v>
          </cell>
          <cell r="AB12">
            <v>126356.40333333332</v>
          </cell>
          <cell r="AC12">
            <v>-95131.880833333329</v>
          </cell>
          <cell r="AD12">
            <v>68167.946973135171</v>
          </cell>
          <cell r="AE12">
            <v>99392.469473134959</v>
          </cell>
          <cell r="AF12">
            <v>12380</v>
          </cell>
          <cell r="AG12">
            <v>0</v>
          </cell>
          <cell r="AH12">
            <v>28627.666666666668</v>
          </cell>
          <cell r="AI12">
            <v>75157.666666666672</v>
          </cell>
          <cell r="AJ12">
            <v>4527</v>
          </cell>
          <cell r="AK12">
            <v>0</v>
          </cell>
          <cell r="AL12">
            <v>120692.33333333334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1770</v>
          </cell>
          <cell r="AV12">
            <v>1770</v>
          </cell>
          <cell r="AW12"/>
          <cell r="AX12"/>
          <cell r="AY12"/>
          <cell r="AZ12"/>
          <cell r="BA12"/>
        </row>
        <row r="13">
          <cell r="D13" t="str">
            <v>판 관 비</v>
          </cell>
          <cell r="E13">
            <v>818237.65500000003</v>
          </cell>
          <cell r="F13">
            <v>70837.282999999996</v>
          </cell>
          <cell r="G13">
            <v>69038.584000000003</v>
          </cell>
          <cell r="H13">
            <v>52195.144000000008</v>
          </cell>
          <cell r="I13">
            <v>38499.67</v>
          </cell>
          <cell r="J13">
            <v>59089.377999999997</v>
          </cell>
          <cell r="K13">
            <v>54497.189000000013</v>
          </cell>
          <cell r="L13">
            <v>32190.371999999999</v>
          </cell>
          <cell r="M13">
            <v>50344.601999999999</v>
          </cell>
          <cell r="N13">
            <v>27738.920000000006</v>
          </cell>
          <cell r="O13">
            <v>28918.720999999998</v>
          </cell>
          <cell r="P13">
            <v>30681.07</v>
          </cell>
          <cell r="Q13">
            <v>29084.654000000002</v>
          </cell>
          <cell r="R13">
            <v>50764.207000000002</v>
          </cell>
          <cell r="S13">
            <v>31518.696</v>
          </cell>
          <cell r="T13">
            <v>13176.483</v>
          </cell>
          <cell r="U13">
            <v>12775.225999999999</v>
          </cell>
          <cell r="V13">
            <v>17087.02</v>
          </cell>
          <cell r="W13">
            <v>0</v>
          </cell>
          <cell r="X13">
            <v>0</v>
          </cell>
          <cell r="Y13">
            <v>0</v>
          </cell>
          <cell r="Z13">
            <v>668437.21900000004</v>
          </cell>
          <cell r="AA13">
            <v>137838.93599999999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551.5</v>
          </cell>
          <cell r="AN13">
            <v>427.5</v>
          </cell>
          <cell r="AO13">
            <v>1842</v>
          </cell>
          <cell r="AP13">
            <v>191.5</v>
          </cell>
          <cell r="AQ13">
            <v>150</v>
          </cell>
          <cell r="AR13">
            <v>8799</v>
          </cell>
          <cell r="AS13">
            <v>0</v>
          </cell>
          <cell r="AT13">
            <v>0</v>
          </cell>
          <cell r="AU13">
            <v>0</v>
          </cell>
          <cell r="AV13">
            <v>11961.5</v>
          </cell>
          <cell r="AW13"/>
          <cell r="AX13"/>
          <cell r="AY13"/>
          <cell r="AZ13"/>
          <cell r="BA13"/>
        </row>
        <row r="14">
          <cell r="D14" t="str">
            <v xml:space="preserve"> - 노   무   비</v>
          </cell>
          <cell r="E14">
            <v>564027.69500000007</v>
          </cell>
          <cell r="F14">
            <v>49655.752999999997</v>
          </cell>
          <cell r="G14">
            <v>48403.124000000003</v>
          </cell>
          <cell r="H14">
            <v>36857.864000000009</v>
          </cell>
          <cell r="I14">
            <v>28133.81</v>
          </cell>
          <cell r="J14">
            <v>42224.637999999999</v>
          </cell>
          <cell r="K14">
            <v>38904.809000000008</v>
          </cell>
          <cell r="L14">
            <v>22825.441999999999</v>
          </cell>
          <cell r="M14">
            <v>35334.271999999997</v>
          </cell>
          <cell r="N14">
            <v>19650.340000000004</v>
          </cell>
          <cell r="O14">
            <v>20053.900999999998</v>
          </cell>
          <cell r="P14">
            <v>22007.53</v>
          </cell>
          <cell r="Q14">
            <v>20255.554</v>
          </cell>
          <cell r="R14">
            <v>35518.837</v>
          </cell>
          <cell r="S14">
            <v>22973.786</v>
          </cell>
          <cell r="T14">
            <v>8707.6229999999996</v>
          </cell>
          <cell r="U14">
            <v>7658.6059999999998</v>
          </cell>
          <cell r="V14">
            <v>11248.17</v>
          </cell>
          <cell r="W14">
            <v>0</v>
          </cell>
          <cell r="X14">
            <v>0</v>
          </cell>
          <cell r="Y14">
            <v>0</v>
          </cell>
          <cell r="Z14">
            <v>470414.05900000007</v>
          </cell>
          <cell r="AA14">
            <v>93613.635999999984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/>
        </row>
        <row r="15">
          <cell r="D15" t="str">
            <v xml:space="preserve"> - 경        비</v>
          </cell>
          <cell r="E15">
            <v>254209.96000000002</v>
          </cell>
          <cell r="F15">
            <v>21181.53</v>
          </cell>
          <cell r="G15">
            <v>20635.46</v>
          </cell>
          <cell r="H15">
            <v>15337.279999999999</v>
          </cell>
          <cell r="I15">
            <v>10365.86</v>
          </cell>
          <cell r="J15">
            <v>16864.739999999998</v>
          </cell>
          <cell r="K15">
            <v>15592.380000000001</v>
          </cell>
          <cell r="L15">
            <v>9364.93</v>
          </cell>
          <cell r="M15">
            <v>15010.33</v>
          </cell>
          <cell r="N15">
            <v>8088.58</v>
          </cell>
          <cell r="O15">
            <v>8864.82</v>
          </cell>
          <cell r="P15">
            <v>8673.5400000000009</v>
          </cell>
          <cell r="Q15">
            <v>8829.1</v>
          </cell>
          <cell r="R15">
            <v>15245.37</v>
          </cell>
          <cell r="S15">
            <v>8544.91</v>
          </cell>
          <cell r="T15">
            <v>4468.8600000000006</v>
          </cell>
          <cell r="U15">
            <v>5116.62</v>
          </cell>
          <cell r="V15">
            <v>5838.85</v>
          </cell>
          <cell r="W15">
            <v>0</v>
          </cell>
          <cell r="X15">
            <v>0</v>
          </cell>
          <cell r="Y15">
            <v>0</v>
          </cell>
          <cell r="Z15">
            <v>198023.16</v>
          </cell>
          <cell r="AA15">
            <v>44225.3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551.5</v>
          </cell>
          <cell r="AN15">
            <v>427.5</v>
          </cell>
          <cell r="AO15">
            <v>1842</v>
          </cell>
          <cell r="AP15">
            <v>191.5</v>
          </cell>
          <cell r="AQ15">
            <v>150</v>
          </cell>
          <cell r="AR15">
            <v>8799</v>
          </cell>
          <cell r="AS15">
            <v>0</v>
          </cell>
          <cell r="AT15">
            <v>0</v>
          </cell>
          <cell r="AU15">
            <v>0</v>
          </cell>
          <cell r="AV15">
            <v>11961.5</v>
          </cell>
          <cell r="AW15"/>
          <cell r="AX15"/>
          <cell r="AY15"/>
          <cell r="AZ15"/>
          <cell r="BA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/>
        </row>
        <row r="17">
          <cell r="D17" t="str">
            <v>EBITDA</v>
          </cell>
          <cell r="E17">
            <v>596948.92395811644</v>
          </cell>
          <cell r="F17">
            <v>142200.54811282159</v>
          </cell>
          <cell r="G17">
            <v>205.645754948986</v>
          </cell>
          <cell r="H17">
            <v>-95488.380508540809</v>
          </cell>
          <cell r="I17">
            <v>-20308.741379584957</v>
          </cell>
          <cell r="J17">
            <v>122621.94410521563</v>
          </cell>
          <cell r="K17">
            <v>146971.57229890302</v>
          </cell>
          <cell r="L17">
            <v>-1020.294387304366</v>
          </cell>
          <cell r="M17">
            <v>90970.413638822924</v>
          </cell>
          <cell r="N17">
            <v>-14505.567812432033</v>
          </cell>
          <cell r="O17">
            <v>25055.090627586025</v>
          </cell>
          <cell r="P17">
            <v>-9237.4916672170439</v>
          </cell>
          <cell r="Q17">
            <v>-66089.740397428657</v>
          </cell>
          <cell r="R17">
            <v>-28021.032698877454</v>
          </cell>
          <cell r="S17">
            <v>-6320.6871439394345</v>
          </cell>
          <cell r="T17">
            <v>21716.922917980708</v>
          </cell>
          <cell r="U17">
            <v>39380.262589607184</v>
          </cell>
          <cell r="V17">
            <v>39170.355101087727</v>
          </cell>
          <cell r="W17">
            <v>0</v>
          </cell>
          <cell r="X17">
            <v>0</v>
          </cell>
          <cell r="Y17">
            <v>0</v>
          </cell>
          <cell r="Z17">
            <v>387300.81915164972</v>
          </cell>
          <cell r="AA17">
            <v>-245.19799999915995</v>
          </cell>
          <cell r="AB17">
            <v>126356.40333333332</v>
          </cell>
          <cell r="AC17">
            <v>-95131.880833333329</v>
          </cell>
          <cell r="AD17">
            <v>68167.946973135171</v>
          </cell>
          <cell r="AE17">
            <v>99392.469473134959</v>
          </cell>
          <cell r="AF17">
            <v>12380</v>
          </cell>
          <cell r="AG17">
            <v>0</v>
          </cell>
          <cell r="AH17">
            <v>28627.666666666668</v>
          </cell>
          <cell r="AI17">
            <v>75157.666666666672</v>
          </cell>
          <cell r="AJ17">
            <v>4527</v>
          </cell>
          <cell r="AK17">
            <v>0</v>
          </cell>
          <cell r="AL17">
            <v>120692.33333333334</v>
          </cell>
          <cell r="AM17">
            <v>-551.5</v>
          </cell>
          <cell r="AN17">
            <v>-427.5</v>
          </cell>
          <cell r="AO17">
            <v>-1842</v>
          </cell>
          <cell r="AP17">
            <v>-191.5</v>
          </cell>
          <cell r="AQ17">
            <v>-150</v>
          </cell>
          <cell r="AR17">
            <v>-8799</v>
          </cell>
          <cell r="AS17">
            <v>0</v>
          </cell>
          <cell r="AT17">
            <v>0</v>
          </cell>
          <cell r="AU17">
            <v>1770</v>
          </cell>
          <cell r="AV17">
            <v>-10191.5</v>
          </cell>
          <cell r="AW17"/>
          <cell r="AX17"/>
          <cell r="AY17"/>
          <cell r="AZ17"/>
          <cell r="BA17"/>
        </row>
        <row r="18">
          <cell r="D18" t="str">
            <v>감가상각비</v>
          </cell>
          <cell r="E18">
            <v>614455.67773954547</v>
          </cell>
          <cell r="F18">
            <v>30891.689444444441</v>
          </cell>
          <cell r="G18">
            <v>36083.757555555552</v>
          </cell>
          <cell r="H18">
            <v>25180.809333333331</v>
          </cell>
          <cell r="I18">
            <v>18678.445555555558</v>
          </cell>
          <cell r="J18">
            <v>47657.051666666666</v>
          </cell>
          <cell r="K18">
            <v>28639.063888888886</v>
          </cell>
          <cell r="L18">
            <v>13514.595222222222</v>
          </cell>
          <cell r="M18">
            <v>19214.335333333336</v>
          </cell>
          <cell r="N18">
            <v>12443.849000000002</v>
          </cell>
          <cell r="O18">
            <v>31369.384555555556</v>
          </cell>
          <cell r="P18">
            <v>15870.410436470889</v>
          </cell>
          <cell r="Q18">
            <v>15717.669055282731</v>
          </cell>
          <cell r="R18">
            <v>36510.137666666669</v>
          </cell>
          <cell r="S18">
            <v>21821.325444444446</v>
          </cell>
          <cell r="T18">
            <v>10347.403</v>
          </cell>
          <cell r="U18">
            <v>6031.4589999999989</v>
          </cell>
          <cell r="V18">
            <v>12808.388620014095</v>
          </cell>
          <cell r="W18">
            <v>0</v>
          </cell>
          <cell r="X18">
            <v>0</v>
          </cell>
          <cell r="Y18">
            <v>0</v>
          </cell>
          <cell r="Z18">
            <v>382779.77477843437</v>
          </cell>
          <cell r="AA18">
            <v>5186.2629999999999</v>
          </cell>
          <cell r="AB18">
            <v>68498.331627777778</v>
          </cell>
          <cell r="AC18">
            <v>57965.727999999996</v>
          </cell>
          <cell r="AD18">
            <v>36886.058333333334</v>
          </cell>
          <cell r="AE18">
            <v>163350.11796111113</v>
          </cell>
          <cell r="AF18">
            <v>3156.7039999999997</v>
          </cell>
          <cell r="AG18">
            <v>0</v>
          </cell>
          <cell r="AH18">
            <v>8222.2649999999994</v>
          </cell>
          <cell r="AI18">
            <v>5524.1019999999999</v>
          </cell>
          <cell r="AJ18">
            <v>1312.8920000000001</v>
          </cell>
          <cell r="AK18">
            <v>0</v>
          </cell>
          <cell r="AL18">
            <v>18215.963</v>
          </cell>
          <cell r="AM18">
            <v>3275.9680000000003</v>
          </cell>
          <cell r="AN18">
            <v>350.85900000000004</v>
          </cell>
          <cell r="AO18">
            <v>5731.549</v>
          </cell>
          <cell r="AP18">
            <v>0</v>
          </cell>
          <cell r="AQ18">
            <v>241.20500000000001</v>
          </cell>
          <cell r="AR18">
            <v>18257.885000000002</v>
          </cell>
          <cell r="AS18">
            <v>0</v>
          </cell>
          <cell r="AT18">
            <v>0</v>
          </cell>
          <cell r="AU18">
            <v>17066.092999999997</v>
          </cell>
          <cell r="AV18">
            <v>44923.558999999994</v>
          </cell>
          <cell r="AW18"/>
          <cell r="AX18"/>
          <cell r="AY18"/>
          <cell r="AZ18"/>
          <cell r="BA18"/>
        </row>
        <row r="19">
          <cell r="D19" t="str">
            <v xml:space="preserve"> - 제        조</v>
          </cell>
          <cell r="E19">
            <v>542953.24173954548</v>
          </cell>
          <cell r="F19">
            <v>28596.820444444442</v>
          </cell>
          <cell r="G19">
            <v>34159.288555555555</v>
          </cell>
          <cell r="H19">
            <v>22966.693333333333</v>
          </cell>
          <cell r="I19">
            <v>17486.457555555557</v>
          </cell>
          <cell r="J19">
            <v>45791.318666666666</v>
          </cell>
          <cell r="K19">
            <v>27084.994888888887</v>
          </cell>
          <cell r="L19">
            <v>12320.996222222222</v>
          </cell>
          <cell r="M19">
            <v>17280.630333333334</v>
          </cell>
          <cell r="N19">
            <v>12064.213000000002</v>
          </cell>
          <cell r="O19">
            <v>30531.351555555557</v>
          </cell>
          <cell r="P19">
            <v>15057.141436470889</v>
          </cell>
          <cell r="Q19">
            <v>14532.347055282731</v>
          </cell>
          <cell r="R19">
            <v>34946.138666666666</v>
          </cell>
          <cell r="S19">
            <v>21008.056444444446</v>
          </cell>
          <cell r="T19">
            <v>9904.5339999999997</v>
          </cell>
          <cell r="U19">
            <v>5661.0589999999993</v>
          </cell>
          <cell r="V19">
            <v>11995.119620014095</v>
          </cell>
          <cell r="W19">
            <v>0</v>
          </cell>
          <cell r="X19">
            <v>0</v>
          </cell>
          <cell r="Y19">
            <v>0</v>
          </cell>
          <cell r="Z19">
            <v>361387.16077843437</v>
          </cell>
          <cell r="AA19">
            <v>0</v>
          </cell>
          <cell r="AB19">
            <v>68498.331627777778</v>
          </cell>
          <cell r="AC19">
            <v>57965.727999999996</v>
          </cell>
          <cell r="AD19">
            <v>36886.058333333334</v>
          </cell>
          <cell r="AE19">
            <v>163350.11796111113</v>
          </cell>
          <cell r="AF19">
            <v>3156.7039999999997</v>
          </cell>
          <cell r="AG19">
            <v>0</v>
          </cell>
          <cell r="AH19">
            <v>8222.2649999999994</v>
          </cell>
          <cell r="AI19">
            <v>5524.1019999999999</v>
          </cell>
          <cell r="AJ19">
            <v>1312.8920000000001</v>
          </cell>
          <cell r="AK19">
            <v>0</v>
          </cell>
          <cell r="AL19">
            <v>18215.963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/>
          <cell r="AX19"/>
          <cell r="AY19"/>
          <cell r="AZ19"/>
          <cell r="BA19"/>
        </row>
        <row r="20">
          <cell r="D20" t="str">
            <v xml:space="preserve"> - 판        매</v>
          </cell>
          <cell r="E20">
            <v>71502.435999999987</v>
          </cell>
          <cell r="F20">
            <v>2294.8690000000001</v>
          </cell>
          <cell r="G20">
            <v>1924.4690000000001</v>
          </cell>
          <cell r="H20">
            <v>2214.116</v>
          </cell>
          <cell r="I20">
            <v>1191.9880000000001</v>
          </cell>
          <cell r="J20">
            <v>1865.7329999999999</v>
          </cell>
          <cell r="K20">
            <v>1554.069</v>
          </cell>
          <cell r="L20">
            <v>1193.5990000000002</v>
          </cell>
          <cell r="M20">
            <v>1933.7050000000002</v>
          </cell>
          <cell r="N20">
            <v>379.63599999999997</v>
          </cell>
          <cell r="O20">
            <v>838.03300000000002</v>
          </cell>
          <cell r="P20">
            <v>813.26900000000001</v>
          </cell>
          <cell r="Q20">
            <v>1185.3220000000001</v>
          </cell>
          <cell r="R20">
            <v>1563.999</v>
          </cell>
          <cell r="S20">
            <v>813.26900000000001</v>
          </cell>
          <cell r="T20">
            <v>442.86900000000003</v>
          </cell>
          <cell r="U20">
            <v>370.4</v>
          </cell>
          <cell r="V20">
            <v>813.26900000000001</v>
          </cell>
          <cell r="W20">
            <v>0</v>
          </cell>
          <cell r="X20">
            <v>0</v>
          </cell>
          <cell r="Y20">
            <v>0</v>
          </cell>
          <cell r="Z20">
            <v>21392.613999999998</v>
          </cell>
          <cell r="AA20">
            <v>5186.2629999999999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3275.9680000000003</v>
          </cell>
          <cell r="AN20">
            <v>350.85900000000004</v>
          </cell>
          <cell r="AO20">
            <v>5731.549</v>
          </cell>
          <cell r="AP20">
            <v>0</v>
          </cell>
          <cell r="AQ20">
            <v>241.20500000000001</v>
          </cell>
          <cell r="AR20">
            <v>18257.885000000002</v>
          </cell>
          <cell r="AS20">
            <v>0</v>
          </cell>
          <cell r="AT20">
            <v>0</v>
          </cell>
          <cell r="AU20">
            <v>17066.092999999997</v>
          </cell>
          <cell r="AV20">
            <v>44923.558999999994</v>
          </cell>
          <cell r="AW20"/>
          <cell r="AX20"/>
          <cell r="AY20"/>
          <cell r="AZ20"/>
          <cell r="BA20"/>
        </row>
        <row r="21">
          <cell r="D21" t="str">
            <v>영업이익 I</v>
          </cell>
          <cell r="E21">
            <v>-17506.753781429026</v>
          </cell>
          <cell r="F21">
            <v>111308.85866837716</v>
          </cell>
          <cell r="G21">
            <v>-35878.111800606566</v>
          </cell>
          <cell r="H21">
            <v>-120669.18984187415</v>
          </cell>
          <cell r="I21">
            <v>-38987.186935140518</v>
          </cell>
          <cell r="J21">
            <v>74964.892438548966</v>
          </cell>
          <cell r="K21">
            <v>118332.50841001412</v>
          </cell>
          <cell r="L21">
            <v>-14534.889609526588</v>
          </cell>
          <cell r="M21">
            <v>71756.078305489587</v>
          </cell>
          <cell r="N21">
            <v>-26949.416812432035</v>
          </cell>
          <cell r="O21">
            <v>-6314.2939279695311</v>
          </cell>
          <cell r="P21">
            <v>-25107.902103687935</v>
          </cell>
          <cell r="Q21">
            <v>-81807.409452711392</v>
          </cell>
          <cell r="R21">
            <v>-64531.170365544123</v>
          </cell>
          <cell r="S21">
            <v>-28142.012588383881</v>
          </cell>
          <cell r="T21">
            <v>11369.519917980708</v>
          </cell>
          <cell r="U21">
            <v>33348.803589607181</v>
          </cell>
          <cell r="V21">
            <v>26361.966481073632</v>
          </cell>
          <cell r="W21">
            <v>0</v>
          </cell>
          <cell r="X21">
            <v>0</v>
          </cell>
          <cell r="Y21">
            <v>0</v>
          </cell>
          <cell r="Z21">
            <v>4521.0443732153508</v>
          </cell>
          <cell r="AA21">
            <v>-5431.4609999991599</v>
          </cell>
          <cell r="AB21">
            <v>57858.071705555543</v>
          </cell>
          <cell r="AC21">
            <v>-153097.60883333333</v>
          </cell>
          <cell r="AD21">
            <v>31281.888639801837</v>
          </cell>
          <cell r="AE21">
            <v>-63957.64848797617</v>
          </cell>
          <cell r="AF21">
            <v>9223.2960000000003</v>
          </cell>
          <cell r="AG21">
            <v>0</v>
          </cell>
          <cell r="AH21">
            <v>20405.401666666668</v>
          </cell>
          <cell r="AI21">
            <v>69633.564666666673</v>
          </cell>
          <cell r="AJ21">
            <v>3214.1080000000002</v>
          </cell>
          <cell r="AK21">
            <v>0</v>
          </cell>
          <cell r="AL21">
            <v>102476.37033333334</v>
          </cell>
          <cell r="AM21">
            <v>-3827.4680000000003</v>
          </cell>
          <cell r="AN21">
            <v>-778.35900000000004</v>
          </cell>
          <cell r="AO21">
            <v>-7573.549</v>
          </cell>
          <cell r="AP21">
            <v>-191.5</v>
          </cell>
          <cell r="AQ21">
            <v>-391.20500000000004</v>
          </cell>
          <cell r="AR21">
            <v>-27056.885000000002</v>
          </cell>
          <cell r="AS21">
            <v>0</v>
          </cell>
          <cell r="AT21">
            <v>0</v>
          </cell>
          <cell r="AU21">
            <v>-15296.092999999997</v>
          </cell>
          <cell r="AV21">
            <v>-55115.058999999994</v>
          </cell>
          <cell r="AW21"/>
          <cell r="AX21"/>
          <cell r="AY21"/>
          <cell r="AZ21"/>
          <cell r="BA21"/>
        </row>
        <row r="22">
          <cell r="D22" t="str">
            <v>공    통    비</v>
          </cell>
          <cell r="E22">
            <v>1369724.2387102665</v>
          </cell>
          <cell r="F22">
            <v>191736.92596502556</v>
          </cell>
          <cell r="G22">
            <v>154201.04197459569</v>
          </cell>
          <cell r="H22">
            <v>59257.825067842794</v>
          </cell>
          <cell r="I22">
            <v>56499.092615776011</v>
          </cell>
          <cell r="J22">
            <v>128470.34423175416</v>
          </cell>
          <cell r="K22">
            <v>119320.70679982414</v>
          </cell>
          <cell r="L22">
            <v>51057.715315578433</v>
          </cell>
          <cell r="M22">
            <v>134014.71605894712</v>
          </cell>
          <cell r="N22">
            <v>42984.209835725</v>
          </cell>
          <cell r="O22">
            <v>62175.791273199473</v>
          </cell>
          <cell r="P22">
            <v>43721.344012954141</v>
          </cell>
          <cell r="Q22">
            <v>43156.174804188719</v>
          </cell>
          <cell r="R22">
            <v>69240.140124969083</v>
          </cell>
          <cell r="S22">
            <v>42826.894860144144</v>
          </cell>
          <cell r="T22">
            <v>20302.386824526642</v>
          </cell>
          <cell r="U22">
            <v>24154.683827688859</v>
          </cell>
          <cell r="V22">
            <v>42177.384333240465</v>
          </cell>
          <cell r="W22">
            <v>0</v>
          </cell>
          <cell r="X22">
            <v>0</v>
          </cell>
          <cell r="Y22">
            <v>0</v>
          </cell>
          <cell r="Z22">
            <v>1285297.3779259804</v>
          </cell>
          <cell r="AA22">
            <v>31064.681835606094</v>
          </cell>
          <cell r="AB22">
            <v>27145.297974148962</v>
          </cell>
          <cell r="AC22">
            <v>0</v>
          </cell>
          <cell r="AD22">
            <v>26216.880974531134</v>
          </cell>
          <cell r="AE22">
            <v>53362.178948680099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/>
        </row>
        <row r="23">
          <cell r="D23" t="str">
            <v xml:space="preserve"> - 영업공통비</v>
          </cell>
          <cell r="E23">
            <v>225177.85166666668</v>
          </cell>
          <cell r="F23">
            <v>20718.224812999018</v>
          </cell>
          <cell r="G23">
            <v>16662.266999164913</v>
          </cell>
          <cell r="H23">
            <v>6403.1324978521961</v>
          </cell>
          <cell r="I23">
            <v>6105.0363494281755</v>
          </cell>
          <cell r="J23">
            <v>20652.305147376832</v>
          </cell>
          <cell r="K23">
            <v>19181.451267735916</v>
          </cell>
          <cell r="L23">
            <v>8207.8048683595698</v>
          </cell>
          <cell r="M23">
            <v>21543.593012373512</v>
          </cell>
          <cell r="N23">
            <v>6909.9450410505706</v>
          </cell>
          <cell r="O23">
            <v>9995.0959253080255</v>
          </cell>
          <cell r="P23">
            <v>7028.4433610615624</v>
          </cell>
          <cell r="Q23">
            <v>6937.5893431236227</v>
          </cell>
          <cell r="R23">
            <v>7481.7763035083517</v>
          </cell>
          <cell r="S23">
            <v>4627.6805121877724</v>
          </cell>
          <cell r="T23">
            <v>2193.7840734326705</v>
          </cell>
          <cell r="U23">
            <v>2610.04586002518</v>
          </cell>
          <cell r="V23">
            <v>4557.4973429986794</v>
          </cell>
          <cell r="W23">
            <v>0</v>
          </cell>
          <cell r="X23">
            <v>0</v>
          </cell>
          <cell r="Y23">
            <v>0</v>
          </cell>
          <cell r="Z23">
            <v>171815.6727179866</v>
          </cell>
          <cell r="AA23">
            <v>0</v>
          </cell>
          <cell r="AB23">
            <v>27145.297974148962</v>
          </cell>
          <cell r="AC23">
            <v>0</v>
          </cell>
          <cell r="AD23">
            <v>26216.880974531134</v>
          </cell>
          <cell r="AE23">
            <v>53362.178948680099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/>
        </row>
        <row r="24">
          <cell r="D24" t="str">
            <v xml:space="preserve"> - 부문공통비</v>
          </cell>
          <cell r="E24">
            <v>481770.91639999999</v>
          </cell>
          <cell r="F24">
            <v>73994.782303279149</v>
          </cell>
          <cell r="G24">
            <v>59508.998980876087</v>
          </cell>
          <cell r="H24">
            <v>22868.677191897012</v>
          </cell>
          <cell r="I24">
            <v>21804.031943224836</v>
          </cell>
          <cell r="J24">
            <v>46649.707176310207</v>
          </cell>
          <cell r="K24">
            <v>43327.322469385428</v>
          </cell>
          <cell r="L24">
            <v>18539.901039468252</v>
          </cell>
          <cell r="M24">
            <v>48662.960303028354</v>
          </cell>
          <cell r="N24">
            <v>15608.277645962877</v>
          </cell>
          <cell r="O24">
            <v>22577.05833743087</v>
          </cell>
          <cell r="P24">
            <v>15875.943259556605</v>
          </cell>
          <cell r="Q24">
            <v>15670.720970695815</v>
          </cell>
          <cell r="R24">
            <v>26721.034925375745</v>
          </cell>
          <cell r="S24">
            <v>16527.681071093408</v>
          </cell>
          <cell r="T24">
            <v>7835.0619514565424</v>
          </cell>
          <cell r="U24">
            <v>9321.7337371957092</v>
          </cell>
          <cell r="V24">
            <v>16277.023093763089</v>
          </cell>
          <cell r="W24">
            <v>0</v>
          </cell>
          <cell r="X24">
            <v>0</v>
          </cell>
          <cell r="Y24">
            <v>0</v>
          </cell>
          <cell r="Z24">
            <v>481770.91639999999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/>
        </row>
        <row r="25">
          <cell r="D25" t="str">
            <v xml:space="preserve"> - 본사공통비</v>
          </cell>
          <cell r="E25">
            <v>662775.47064359998</v>
          </cell>
          <cell r="F25">
            <v>97023.918848747388</v>
          </cell>
          <cell r="G25">
            <v>78029.7759945547</v>
          </cell>
          <cell r="H25">
            <v>29986.015378093587</v>
          </cell>
          <cell r="I25">
            <v>28590.024323122998</v>
          </cell>
          <cell r="J25">
            <v>61168.331908067114</v>
          </cell>
          <cell r="K25">
            <v>56811.933062702803</v>
          </cell>
          <cell r="L25">
            <v>24310.009407750615</v>
          </cell>
          <cell r="M25">
            <v>63808.162743545254</v>
          </cell>
          <cell r="N25">
            <v>20465.987148711552</v>
          </cell>
          <cell r="O25">
            <v>29603.637010460581</v>
          </cell>
          <cell r="P25">
            <v>20816.957392335975</v>
          </cell>
          <cell r="Q25">
            <v>20547.864490369277</v>
          </cell>
          <cell r="R25">
            <v>35037.32889608499</v>
          </cell>
          <cell r="S25">
            <v>21671.533276862963</v>
          </cell>
          <cell r="T25">
            <v>10273.540799637427</v>
          </cell>
          <cell r="U25">
            <v>12222.90423046797</v>
          </cell>
          <cell r="V25">
            <v>21342.863896478691</v>
          </cell>
          <cell r="W25">
            <v>0</v>
          </cell>
          <cell r="X25">
            <v>0</v>
          </cell>
          <cell r="Y25">
            <v>0</v>
          </cell>
          <cell r="Z25">
            <v>631710.78880799387</v>
          </cell>
          <cell r="AA25">
            <v>31064.681835606094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/>
        </row>
        <row r="26">
          <cell r="D26" t="str">
            <v>영업이익 II</v>
          </cell>
          <cell r="E26">
            <v>-1387230.9924916956</v>
          </cell>
          <cell r="F26">
            <v>-80428.067296648398</v>
          </cell>
          <cell r="G26">
            <v>-190079.15377520226</v>
          </cell>
          <cell r="H26">
            <v>-179927.01490971693</v>
          </cell>
          <cell r="I26">
            <v>-95486.27955091653</v>
          </cell>
          <cell r="J26">
            <v>-53505.451793205197</v>
          </cell>
          <cell r="K26">
            <v>-988.19838981001521</v>
          </cell>
          <cell r="L26">
            <v>-65592.604925105028</v>
          </cell>
          <cell r="M26">
            <v>-62258.637753457529</v>
          </cell>
          <cell r="N26">
            <v>-69933.626648157035</v>
          </cell>
          <cell r="O26">
            <v>-68490.085201169</v>
          </cell>
          <cell r="P26">
            <v>-68829.246116642084</v>
          </cell>
          <cell r="Q26">
            <v>-124963.58425690011</v>
          </cell>
          <cell r="R26">
            <v>-133771.31049051322</v>
          </cell>
          <cell r="S26">
            <v>-70968.907448528029</v>
          </cell>
          <cell r="T26">
            <v>-8932.8669065459344</v>
          </cell>
          <cell r="U26">
            <v>9194.1197619183222</v>
          </cell>
          <cell r="V26">
            <v>-15815.417852166833</v>
          </cell>
          <cell r="W26">
            <v>0</v>
          </cell>
          <cell r="X26">
            <v>0</v>
          </cell>
          <cell r="Y26">
            <v>0</v>
          </cell>
          <cell r="Z26">
            <v>-1280776.333552765</v>
          </cell>
          <cell r="AA26">
            <v>-36496.142835605257</v>
          </cell>
          <cell r="AB26">
            <v>30712.773731406582</v>
          </cell>
          <cell r="AC26">
            <v>-153097.60883333333</v>
          </cell>
          <cell r="AD26">
            <v>5065.007665270703</v>
          </cell>
          <cell r="AE26">
            <v>-117319.82743665627</v>
          </cell>
          <cell r="AF26">
            <v>9223.2960000000003</v>
          </cell>
          <cell r="AG26">
            <v>0</v>
          </cell>
          <cell r="AH26">
            <v>20405.401666666668</v>
          </cell>
          <cell r="AI26">
            <v>69633.564666666673</v>
          </cell>
          <cell r="AJ26">
            <v>3214.1080000000002</v>
          </cell>
          <cell r="AK26">
            <v>0</v>
          </cell>
          <cell r="AL26">
            <v>102476.37033333334</v>
          </cell>
          <cell r="AM26">
            <v>-3827.4680000000003</v>
          </cell>
          <cell r="AN26">
            <v>-778.35900000000004</v>
          </cell>
          <cell r="AO26">
            <v>-7573.549</v>
          </cell>
          <cell r="AP26">
            <v>-191.5</v>
          </cell>
          <cell r="AQ26">
            <v>-391.20500000000004</v>
          </cell>
          <cell r="AR26">
            <v>-27056.885000000002</v>
          </cell>
          <cell r="AS26">
            <v>0</v>
          </cell>
          <cell r="AT26">
            <v>0</v>
          </cell>
          <cell r="AU26">
            <v>-15296.092999999997</v>
          </cell>
          <cell r="AV26">
            <v>-55115.058999999994</v>
          </cell>
          <cell r="AW26"/>
          <cell r="AX26"/>
          <cell r="AY26"/>
          <cell r="AZ26"/>
          <cell r="BA26"/>
        </row>
        <row r="27">
          <cell r="E27">
            <v>-1387230.9924916942</v>
          </cell>
          <cell r="F27">
            <v>-80428.067296648413</v>
          </cell>
          <cell r="G27">
            <v>-190079.15377520226</v>
          </cell>
          <cell r="H27">
            <v>-179927.01490971693</v>
          </cell>
          <cell r="I27">
            <v>-95486.279550916515</v>
          </cell>
          <cell r="J27">
            <v>-53505.451793205182</v>
          </cell>
          <cell r="K27">
            <v>-988.19838981001521</v>
          </cell>
          <cell r="L27">
            <v>-65592.604925105028</v>
          </cell>
          <cell r="M27">
            <v>-62258.637753457529</v>
          </cell>
          <cell r="N27">
            <v>-69933.626648157035</v>
          </cell>
          <cell r="O27">
            <v>-68490.085201169015</v>
          </cell>
          <cell r="P27">
            <v>-68829.246116642084</v>
          </cell>
          <cell r="Q27">
            <v>-124963.5842569001</v>
          </cell>
          <cell r="R27">
            <v>-133771.31049051319</v>
          </cell>
          <cell r="S27">
            <v>-70968.907448528014</v>
          </cell>
          <cell r="T27">
            <v>-8932.8669065459326</v>
          </cell>
          <cell r="U27">
            <v>9194.1197619183222</v>
          </cell>
          <cell r="V27">
            <v>-15815.417852166829</v>
          </cell>
          <cell r="W27">
            <v>0</v>
          </cell>
          <cell r="X27">
            <v>0</v>
          </cell>
          <cell r="Y27">
            <v>0</v>
          </cell>
          <cell r="Z27">
            <v>-1280776.3335527659</v>
          </cell>
          <cell r="AA27">
            <v>-36496.142835605264</v>
          </cell>
          <cell r="AB27">
            <v>30712.773731406582</v>
          </cell>
          <cell r="AC27">
            <v>-153097.60883333333</v>
          </cell>
          <cell r="AD27">
            <v>5065.007665270703</v>
          </cell>
          <cell r="AE27">
            <v>-117319.82743665605</v>
          </cell>
          <cell r="AF27">
            <v>9223.2960000000003</v>
          </cell>
          <cell r="AG27">
            <v>0</v>
          </cell>
          <cell r="AH27">
            <v>20405.401666666668</v>
          </cell>
          <cell r="AI27">
            <v>69633.564666666673</v>
          </cell>
          <cell r="AJ27">
            <v>3214.1080000000002</v>
          </cell>
          <cell r="AK27">
            <v>0</v>
          </cell>
          <cell r="AL27">
            <v>102476.37033333335</v>
          </cell>
          <cell r="AM27">
            <v>-3827.4680000000003</v>
          </cell>
          <cell r="AN27">
            <v>-778.35900000000004</v>
          </cell>
          <cell r="AO27">
            <v>-7573.549</v>
          </cell>
          <cell r="AP27">
            <v>-191.5</v>
          </cell>
          <cell r="AQ27">
            <v>-391.20500000000004</v>
          </cell>
          <cell r="AR27">
            <v>-27056.885000000002</v>
          </cell>
          <cell r="AS27">
            <v>0</v>
          </cell>
          <cell r="AT27">
            <v>0</v>
          </cell>
          <cell r="AU27">
            <v>-15296.092999999997</v>
          </cell>
          <cell r="AV27">
            <v>-55115.058999999994</v>
          </cell>
          <cell r="AW27"/>
          <cell r="AX27"/>
          <cell r="AY27"/>
          <cell r="AZ27"/>
          <cell r="BA27"/>
        </row>
        <row r="28"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</row>
        <row r="30">
          <cell r="E30">
            <v>244295.50027972029</v>
          </cell>
          <cell r="F30">
            <v>28000</v>
          </cell>
          <cell r="G30">
            <v>21999.999999999996</v>
          </cell>
          <cell r="H30">
            <v>9000</v>
          </cell>
          <cell r="I30">
            <v>8000</v>
          </cell>
          <cell r="J30">
            <v>16000</v>
          </cell>
          <cell r="K30">
            <v>16000</v>
          </cell>
          <cell r="L30">
            <v>7000</v>
          </cell>
          <cell r="M30">
            <v>18000</v>
          </cell>
          <cell r="N30">
            <v>6000</v>
          </cell>
          <cell r="O30">
            <v>8499.9999999999964</v>
          </cell>
          <cell r="P30">
            <v>6500</v>
          </cell>
          <cell r="Q30">
            <v>5500</v>
          </cell>
          <cell r="R30">
            <v>10000</v>
          </cell>
          <cell r="S30">
            <v>6000</v>
          </cell>
          <cell r="T30">
            <v>2500</v>
          </cell>
          <cell r="U30">
            <v>2999.8</v>
          </cell>
          <cell r="V30">
            <v>5000</v>
          </cell>
          <cell r="W30">
            <v>0</v>
          </cell>
          <cell r="X30">
            <v>0</v>
          </cell>
          <cell r="Y30">
            <v>0</v>
          </cell>
          <cell r="Z30">
            <v>176999.8</v>
          </cell>
          <cell r="AA30">
            <v>7000</v>
          </cell>
          <cell r="AB30">
            <v>42112.98</v>
          </cell>
          <cell r="AC30">
            <v>1</v>
          </cell>
          <cell r="AD30">
            <v>18181.720279720281</v>
          </cell>
          <cell r="AE30">
            <v>60295.700279720288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25699780.516016699</v>
          </cell>
          <cell r="F31">
            <v>2733666.6869999995</v>
          </cell>
          <cell r="G31">
            <v>2198503.2326195333</v>
          </cell>
          <cell r="H31">
            <v>844861.4763000001</v>
          </cell>
          <cell r="I31">
            <v>805529.17260000017</v>
          </cell>
          <cell r="J31">
            <v>1723428.9567</v>
          </cell>
          <cell r="K31">
            <v>1600686.6212000004</v>
          </cell>
          <cell r="L31">
            <v>684938.96831999999</v>
          </cell>
          <cell r="M31">
            <v>1797806.6740700002</v>
          </cell>
          <cell r="N31">
            <v>576632.93700000003</v>
          </cell>
          <cell r="O31">
            <v>834087.8957455256</v>
          </cell>
          <cell r="P31">
            <v>586521.58790699998</v>
          </cell>
          <cell r="Q31">
            <v>578939.84610000008</v>
          </cell>
          <cell r="R31">
            <v>987183.15999999992</v>
          </cell>
          <cell r="S31">
            <v>610599.41999999993</v>
          </cell>
          <cell r="T31">
            <v>289458.89399999997</v>
          </cell>
          <cell r="U31">
            <v>344382.56575999997</v>
          </cell>
          <cell r="V31">
            <v>601339.10000000009</v>
          </cell>
          <cell r="W31">
            <v>0</v>
          </cell>
          <cell r="X31">
            <v>0</v>
          </cell>
          <cell r="Y31">
            <v>0</v>
          </cell>
          <cell r="Z31">
            <v>17798567.195322063</v>
          </cell>
          <cell r="AA31">
            <v>6724612.3420000011</v>
          </cell>
          <cell r="AB31">
            <v>535694.67333333334</v>
          </cell>
          <cell r="AC31">
            <v>0</v>
          </cell>
          <cell r="AD31">
            <v>517372.97202797199</v>
          </cell>
          <cell r="AE31">
            <v>1053067.6453613052</v>
          </cell>
          <cell r="AF31">
            <v>12500</v>
          </cell>
          <cell r="AG31">
            <v>0</v>
          </cell>
          <cell r="AH31">
            <v>29166.666666666668</v>
          </cell>
          <cell r="AI31">
            <v>75396.666666666672</v>
          </cell>
          <cell r="AJ31">
            <v>4700</v>
          </cell>
          <cell r="AK31">
            <v>0</v>
          </cell>
          <cell r="AL31">
            <v>121763.33333333334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1770</v>
          </cell>
          <cell r="AV31">
            <v>1770</v>
          </cell>
        </row>
        <row r="32">
          <cell r="D32" t="str">
            <v>매출원가</v>
          </cell>
          <cell r="E32">
            <v>24827547.178798132</v>
          </cell>
          <cell r="F32">
            <v>2549225.6763316225</v>
          </cell>
          <cell r="G32">
            <v>2163418.2914201398</v>
          </cell>
          <cell r="H32">
            <v>911121.40614187426</v>
          </cell>
          <cell r="I32">
            <v>804824.70153514063</v>
          </cell>
          <cell r="J32">
            <v>1587508.9532614511</v>
          </cell>
          <cell r="K32">
            <v>1426302.8547899863</v>
          </cell>
          <cell r="L32">
            <v>666089.88692952658</v>
          </cell>
          <cell r="M32">
            <v>1673772.2887645105</v>
          </cell>
          <cell r="N32">
            <v>575463.79781243205</v>
          </cell>
          <cell r="O32">
            <v>810645.43567349517</v>
          </cell>
          <cell r="P32">
            <v>580135.15101068793</v>
          </cell>
          <cell r="Q32">
            <v>630477.27955271141</v>
          </cell>
          <cell r="R32">
            <v>999386.12436554406</v>
          </cell>
          <cell r="S32">
            <v>606409.46758838382</v>
          </cell>
          <cell r="T32">
            <v>264470.02208201925</v>
          </cell>
          <cell r="U32">
            <v>297888.1361703928</v>
          </cell>
          <cell r="V32">
            <v>557076.84451892646</v>
          </cell>
          <cell r="W32">
            <v>0</v>
          </cell>
          <cell r="X32">
            <v>0</v>
          </cell>
          <cell r="Y32">
            <v>0</v>
          </cell>
          <cell r="Z32">
            <v>17104216.317948848</v>
          </cell>
          <cell r="AA32">
            <v>6587018.6040000003</v>
          </cell>
          <cell r="AB32">
            <v>477836.6016277778</v>
          </cell>
          <cell r="AC32">
            <v>153097.60883333333</v>
          </cell>
          <cell r="AD32">
            <v>486091.08338817017</v>
          </cell>
          <cell r="AE32">
            <v>1117025.2938492815</v>
          </cell>
          <cell r="AF32">
            <v>3276.7039999999997</v>
          </cell>
          <cell r="AG32">
            <v>0</v>
          </cell>
          <cell r="AH32">
            <v>8761.2649999999994</v>
          </cell>
          <cell r="AI32">
            <v>5763.1019999999999</v>
          </cell>
          <cell r="AJ32">
            <v>1485.8920000000001</v>
          </cell>
          <cell r="AK32">
            <v>0</v>
          </cell>
          <cell r="AL32">
            <v>19286.963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</row>
        <row r="33">
          <cell r="D33" t="str">
            <v>매출이익</v>
          </cell>
          <cell r="E33">
            <v>872233.33721857273</v>
          </cell>
          <cell r="F33">
            <v>184441.01066837693</v>
          </cell>
          <cell r="G33">
            <v>35084.941199393477</v>
          </cell>
          <cell r="H33">
            <v>-66259.929841874167</v>
          </cell>
          <cell r="I33">
            <v>704.47106485953555</v>
          </cell>
          <cell r="J33">
            <v>135920.00343854888</v>
          </cell>
          <cell r="K33">
            <v>174383.76641001413</v>
          </cell>
          <cell r="L33">
            <v>18849.08139047341</v>
          </cell>
          <cell r="M33">
            <v>124034.38530548965</v>
          </cell>
          <cell r="N33">
            <v>1169.1391875679838</v>
          </cell>
          <cell r="O33">
            <v>23442.46007203043</v>
          </cell>
          <cell r="P33">
            <v>6386.4368963120505</v>
          </cell>
          <cell r="Q33">
            <v>-51537.433452711324</v>
          </cell>
          <cell r="R33">
            <v>-12202.964365544147</v>
          </cell>
          <cell r="S33">
            <v>4189.9524116161047</v>
          </cell>
          <cell r="T33">
            <v>24988.871917980723</v>
          </cell>
          <cell r="U33">
            <v>46494.429589607171</v>
          </cell>
          <cell r="V33">
            <v>44262.255481073633</v>
          </cell>
          <cell r="W33">
            <v>0</v>
          </cell>
          <cell r="X33">
            <v>0</v>
          </cell>
          <cell r="Y33">
            <v>0</v>
          </cell>
          <cell r="Z33">
            <v>694350.87737321481</v>
          </cell>
          <cell r="AA33">
            <v>137593.73800000083</v>
          </cell>
          <cell r="AB33">
            <v>57858.071705555543</v>
          </cell>
          <cell r="AC33">
            <v>-153097.60883333333</v>
          </cell>
          <cell r="AD33">
            <v>31281.888639801822</v>
          </cell>
          <cell r="AE33">
            <v>-63957.648487976287</v>
          </cell>
          <cell r="AF33">
            <v>9223.2960000000003</v>
          </cell>
          <cell r="AG33">
            <v>0</v>
          </cell>
          <cell r="AH33">
            <v>20405.401666666668</v>
          </cell>
          <cell r="AI33">
            <v>69633.564666666673</v>
          </cell>
          <cell r="AJ33">
            <v>3214.1080000000002</v>
          </cell>
          <cell r="AK33">
            <v>0</v>
          </cell>
          <cell r="AL33">
            <v>102476.37033333334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1770</v>
          </cell>
          <cell r="AV33">
            <v>1770</v>
          </cell>
        </row>
        <row r="34">
          <cell r="D34" t="str">
            <v>판관비</v>
          </cell>
          <cell r="E34">
            <v>2259464.3297102666</v>
          </cell>
          <cell r="F34">
            <v>264869.07796502556</v>
          </cell>
          <cell r="G34">
            <v>225164.0949745957</v>
          </cell>
          <cell r="H34">
            <v>113667.0850678428</v>
          </cell>
          <cell r="I34">
            <v>96190.750615776007</v>
          </cell>
          <cell r="J34">
            <v>189425.45523175417</v>
          </cell>
          <cell r="K34">
            <v>175371.96479982414</v>
          </cell>
          <cell r="L34">
            <v>84441.686315578438</v>
          </cell>
          <cell r="M34">
            <v>186293.02305894709</v>
          </cell>
          <cell r="N34">
            <v>71102.765835725004</v>
          </cell>
          <cell r="O34">
            <v>91932.545273199474</v>
          </cell>
          <cell r="P34">
            <v>75215.683012954134</v>
          </cell>
          <cell r="Q34">
            <v>73426.150804188728</v>
          </cell>
          <cell r="R34">
            <v>121568.34612496909</v>
          </cell>
          <cell r="S34">
            <v>75158.859860144148</v>
          </cell>
          <cell r="T34">
            <v>33921.738824526641</v>
          </cell>
          <cell r="U34">
            <v>37300.309827688856</v>
          </cell>
          <cell r="V34">
            <v>60077.673333240469</v>
          </cell>
          <cell r="W34">
            <v>0</v>
          </cell>
          <cell r="X34">
            <v>0</v>
          </cell>
          <cell r="Y34">
            <v>0</v>
          </cell>
          <cell r="Z34">
            <v>1975127.2109259805</v>
          </cell>
          <cell r="AA34">
            <v>174089.88083560608</v>
          </cell>
          <cell r="AB34">
            <v>27145.297974148962</v>
          </cell>
          <cell r="AC34">
            <v>0</v>
          </cell>
          <cell r="AD34">
            <v>26216.880974531134</v>
          </cell>
          <cell r="AE34">
            <v>53362.178948680099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3827.4680000000003</v>
          </cell>
          <cell r="AN34">
            <v>778.35900000000004</v>
          </cell>
          <cell r="AO34">
            <v>7573.549</v>
          </cell>
          <cell r="AP34">
            <v>191.5</v>
          </cell>
          <cell r="AQ34">
            <v>391.20500000000004</v>
          </cell>
          <cell r="AR34">
            <v>27056.885000000002</v>
          </cell>
          <cell r="AS34">
            <v>0</v>
          </cell>
          <cell r="AT34">
            <v>0</v>
          </cell>
          <cell r="AU34">
            <v>17066.092999999997</v>
          </cell>
          <cell r="AV34">
            <v>56885.058999999994</v>
          </cell>
        </row>
        <row r="35">
          <cell r="D35" t="str">
            <v>영업이익</v>
          </cell>
          <cell r="E35">
            <v>-1387230.9924916939</v>
          </cell>
          <cell r="F35">
            <v>-80428.067296648631</v>
          </cell>
          <cell r="G35">
            <v>-190079.15377520223</v>
          </cell>
          <cell r="H35">
            <v>-179927.01490971696</v>
          </cell>
          <cell r="I35">
            <v>-95486.279550916472</v>
          </cell>
          <cell r="J35">
            <v>-53505.451793205284</v>
          </cell>
          <cell r="K35">
            <v>-988.19838981001521</v>
          </cell>
          <cell r="L35">
            <v>-65592.604925105028</v>
          </cell>
          <cell r="M35">
            <v>-62258.637753457442</v>
          </cell>
          <cell r="N35">
            <v>-69933.62664815702</v>
          </cell>
          <cell r="O35">
            <v>-68490.085201169044</v>
          </cell>
          <cell r="P35">
            <v>-68829.246116642084</v>
          </cell>
          <cell r="Q35">
            <v>-124963.58425690005</v>
          </cell>
          <cell r="R35">
            <v>-133771.31049051322</v>
          </cell>
          <cell r="S35">
            <v>-70968.907448528043</v>
          </cell>
          <cell r="T35">
            <v>-8932.866906545918</v>
          </cell>
          <cell r="U35">
            <v>9194.1197619183149</v>
          </cell>
          <cell r="V35">
            <v>-15815.417852166836</v>
          </cell>
          <cell r="W35">
            <v>0</v>
          </cell>
          <cell r="X35">
            <v>0</v>
          </cell>
          <cell r="Y35">
            <v>0</v>
          </cell>
          <cell r="Z35">
            <v>-1280776.3335527657</v>
          </cell>
          <cell r="AA35">
            <v>-36496.142835605249</v>
          </cell>
          <cell r="AB35">
            <v>30712.773731406582</v>
          </cell>
          <cell r="AC35">
            <v>-153097.60883333333</v>
          </cell>
          <cell r="AD35">
            <v>5065.0076652706884</v>
          </cell>
          <cell r="AE35">
            <v>-117319.82743665639</v>
          </cell>
          <cell r="AF35">
            <v>9223.2960000000003</v>
          </cell>
          <cell r="AG35">
            <v>0</v>
          </cell>
          <cell r="AH35">
            <v>20405.401666666668</v>
          </cell>
          <cell r="AI35">
            <v>69633.564666666673</v>
          </cell>
          <cell r="AJ35">
            <v>3214.1080000000002</v>
          </cell>
          <cell r="AK35">
            <v>0</v>
          </cell>
          <cell r="AL35">
            <v>102476.37033333334</v>
          </cell>
          <cell r="AM35">
            <v>-3827.4680000000003</v>
          </cell>
          <cell r="AN35">
            <v>-778.35900000000004</v>
          </cell>
          <cell r="AO35">
            <v>-7573.549</v>
          </cell>
          <cell r="AP35">
            <v>-191.5</v>
          </cell>
          <cell r="AQ35">
            <v>-391.20500000000004</v>
          </cell>
          <cell r="AR35">
            <v>-27056.885000000002</v>
          </cell>
          <cell r="AS35">
            <v>0</v>
          </cell>
          <cell r="AT35">
            <v>0</v>
          </cell>
          <cell r="AU35">
            <v>-15296.092999999997</v>
          </cell>
          <cell r="AV35">
            <v>-55115.058999999994</v>
          </cell>
        </row>
      </sheetData>
      <sheetData sheetId="5">
        <row r="6">
          <cell r="D6" t="str">
            <v>구분</v>
          </cell>
        </row>
      </sheetData>
      <sheetData sheetId="6"/>
      <sheetData sheetId="7"/>
      <sheetData sheetId="8">
        <row r="6">
          <cell r="D6" t="str">
            <v>구분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  <cell r="AW6"/>
        </row>
        <row r="7">
          <cell r="D7" t="str">
            <v>물     량</v>
          </cell>
          <cell r="E7"/>
          <cell r="F7">
            <v>57000</v>
          </cell>
          <cell r="G7">
            <v>47000</v>
          </cell>
          <cell r="H7">
            <v>19000</v>
          </cell>
          <cell r="I7">
            <v>16000</v>
          </cell>
          <cell r="J7">
            <v>34000</v>
          </cell>
          <cell r="K7">
            <v>34000</v>
          </cell>
          <cell r="L7">
            <v>14000</v>
          </cell>
          <cell r="M7">
            <v>37000</v>
          </cell>
          <cell r="N7">
            <v>12000</v>
          </cell>
          <cell r="O7">
            <v>16999.999999999993</v>
          </cell>
          <cell r="P7">
            <v>13000</v>
          </cell>
          <cell r="Q7">
            <v>13000</v>
          </cell>
          <cell r="R7">
            <v>20000</v>
          </cell>
          <cell r="S7">
            <v>11000</v>
          </cell>
          <cell r="T7">
            <v>5000</v>
          </cell>
          <cell r="U7">
            <v>5999.8</v>
          </cell>
          <cell r="V7">
            <v>11000</v>
          </cell>
          <cell r="W7">
            <v>0</v>
          </cell>
          <cell r="X7">
            <v>0</v>
          </cell>
          <cell r="Y7">
            <v>0</v>
          </cell>
          <cell r="Z7">
            <v>365999.8</v>
          </cell>
          <cell r="AA7">
            <v>15000</v>
          </cell>
          <cell r="AB7">
            <v>78900.386666666658</v>
          </cell>
          <cell r="AC7">
            <v>18218.239999999998</v>
          </cell>
          <cell r="AD7">
            <v>37935.200559440564</v>
          </cell>
          <cell r="AE7">
            <v>135053.82722610721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/>
          <cell r="AW7"/>
          <cell r="AX7"/>
          <cell r="AY7"/>
          <cell r="AZ7"/>
          <cell r="BA7"/>
        </row>
        <row r="8">
          <cell r="D8" t="str">
            <v>매 출 액</v>
          </cell>
          <cell r="E8">
            <v>53963757.917234741</v>
          </cell>
          <cell r="F8">
            <v>5605651.3059999999</v>
          </cell>
          <cell r="G8">
            <v>4701353.7180740722</v>
          </cell>
          <cell r="H8">
            <v>1790531.0216000001</v>
          </cell>
          <cell r="I8">
            <v>1609486.8552000001</v>
          </cell>
          <cell r="J8">
            <v>3664584.8777999999</v>
          </cell>
          <cell r="K8">
            <v>3401811.6219300004</v>
          </cell>
          <cell r="L8">
            <v>1345511.61564</v>
          </cell>
          <cell r="M8">
            <v>3696203.09773</v>
          </cell>
          <cell r="N8">
            <v>1151069.7519999999</v>
          </cell>
          <cell r="O8">
            <v>1671786.318701766</v>
          </cell>
          <cell r="P8">
            <v>1178953.7163569999</v>
          </cell>
          <cell r="Q8">
            <v>1362792.3352999999</v>
          </cell>
          <cell r="R8">
            <v>1974366.3199999998</v>
          </cell>
          <cell r="S8">
            <v>1120753.9099999997</v>
          </cell>
          <cell r="T8">
            <v>578917.78799999994</v>
          </cell>
          <cell r="U8">
            <v>688700.15080399998</v>
          </cell>
          <cell r="V8">
            <v>1328704.82</v>
          </cell>
          <cell r="W8">
            <v>0</v>
          </cell>
          <cell r="X8">
            <v>0</v>
          </cell>
          <cell r="Y8">
            <v>0</v>
          </cell>
          <cell r="Z8">
            <v>36871179.225136839</v>
          </cell>
          <cell r="AA8">
            <v>14389455.780000001</v>
          </cell>
          <cell r="AB8">
            <v>1012906.5833333334</v>
          </cell>
          <cell r="AC8">
            <v>367708.36</v>
          </cell>
          <cell r="AD8">
            <v>1080141.3020979022</v>
          </cell>
          <cell r="AE8">
            <v>2460756.2454312355</v>
          </cell>
          <cell r="AF8">
            <v>25000</v>
          </cell>
          <cell r="AG8">
            <v>0</v>
          </cell>
          <cell r="AH8">
            <v>58333.333333333336</v>
          </cell>
          <cell r="AI8">
            <v>150793.33333333334</v>
          </cell>
          <cell r="AJ8">
            <v>4700</v>
          </cell>
          <cell r="AK8">
            <v>0</v>
          </cell>
          <cell r="AL8">
            <v>238826.66666666669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3540</v>
          </cell>
          <cell r="AV8">
            <v>3540</v>
          </cell>
          <cell r="AW8"/>
          <cell r="AX8"/>
          <cell r="AY8"/>
          <cell r="AZ8"/>
          <cell r="BA8"/>
        </row>
        <row r="9">
          <cell r="D9" t="str">
            <v xml:space="preserve"> - 단  위  당</v>
          </cell>
          <cell r="E9"/>
          <cell r="F9">
            <v>98344.759754385959</v>
          </cell>
          <cell r="G9">
            <v>100028.8025122143</v>
          </cell>
          <cell r="H9">
            <v>94238.47482105263</v>
          </cell>
          <cell r="I9">
            <v>100592.92845000001</v>
          </cell>
          <cell r="J9">
            <v>107781.90817058824</v>
          </cell>
          <cell r="K9">
            <v>100053.28299794118</v>
          </cell>
          <cell r="L9">
            <v>96107.972545714292</v>
          </cell>
          <cell r="M9">
            <v>99897.381019729743</v>
          </cell>
          <cell r="N9">
            <v>95922.479333333322</v>
          </cell>
          <cell r="O9">
            <v>98340.371688339219</v>
          </cell>
          <cell r="P9">
            <v>90688.747412076918</v>
          </cell>
          <cell r="Q9">
            <v>104830.17963846153</v>
          </cell>
          <cell r="R9">
            <v>98718.315999999992</v>
          </cell>
          <cell r="S9">
            <v>101886.71909090907</v>
          </cell>
          <cell r="T9">
            <v>115783.5576</v>
          </cell>
          <cell r="U9">
            <v>114787.18470682355</v>
          </cell>
          <cell r="V9">
            <v>120791.34727272727</v>
          </cell>
          <cell r="W9">
            <v>0</v>
          </cell>
          <cell r="X9">
            <v>0</v>
          </cell>
          <cell r="Y9">
            <v>0</v>
          </cell>
          <cell r="Z9">
            <v>100740.98189435306</v>
          </cell>
          <cell r="AA9">
            <v>959297.05200000014</v>
          </cell>
          <cell r="AB9">
            <v>12837.789852825395</v>
          </cell>
          <cell r="AC9">
            <v>20183.528156397108</v>
          </cell>
          <cell r="AD9">
            <v>28473.325201100011</v>
          </cell>
          <cell r="AE9">
            <v>18220.559135369305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/>
          <cell r="AW9"/>
          <cell r="AX9"/>
          <cell r="AY9"/>
          <cell r="AZ9"/>
          <cell r="BA9"/>
        </row>
        <row r="10">
          <cell r="D10" t="str">
            <v>매출원가</v>
          </cell>
          <cell r="E10">
            <v>51062368.388943881</v>
          </cell>
          <cell r="F10">
            <v>5118117.0884393938</v>
          </cell>
          <cell r="G10">
            <v>4557602.7124393582</v>
          </cell>
          <cell r="H10">
            <v>1846017.5633415957</v>
          </cell>
          <cell r="I10">
            <v>1591340.7579591703</v>
          </cell>
          <cell r="J10">
            <v>3288865.1823304514</v>
          </cell>
          <cell r="K10">
            <v>2977321.089816072</v>
          </cell>
          <cell r="L10">
            <v>1324392.1196189281</v>
          </cell>
          <cell r="M10">
            <v>3420765.7299417956</v>
          </cell>
          <cell r="N10">
            <v>1140470.3853539794</v>
          </cell>
          <cell r="O10">
            <v>1593673.9673033615</v>
          </cell>
          <cell r="P10">
            <v>1160530.2687503942</v>
          </cell>
          <cell r="Q10">
            <v>1399825.0584103041</v>
          </cell>
          <cell r="R10">
            <v>1928896.6713977547</v>
          </cell>
          <cell r="S10">
            <v>1085420.8607638888</v>
          </cell>
          <cell r="T10">
            <v>514621.02949737181</v>
          </cell>
          <cell r="U10">
            <v>599789.74919787515</v>
          </cell>
          <cell r="V10">
            <v>1192118.1047444912</v>
          </cell>
          <cell r="W10">
            <v>0</v>
          </cell>
          <cell r="X10">
            <v>0</v>
          </cell>
          <cell r="Y10">
            <v>0</v>
          </cell>
          <cell r="Z10">
            <v>34739768.339306183</v>
          </cell>
          <cell r="AA10">
            <v>14084063.66</v>
          </cell>
          <cell r="AB10">
            <v>791558.64933333336</v>
          </cell>
          <cell r="AC10">
            <v>492558.40966666676</v>
          </cell>
          <cell r="AD10">
            <v>952277.33063769515</v>
          </cell>
          <cell r="AE10">
            <v>2236394.3896376952</v>
          </cell>
          <cell r="AF10">
            <v>240</v>
          </cell>
          <cell r="AG10">
            <v>0</v>
          </cell>
          <cell r="AH10">
            <v>1078</v>
          </cell>
          <cell r="AI10">
            <v>478</v>
          </cell>
          <cell r="AJ10">
            <v>346</v>
          </cell>
          <cell r="AK10">
            <v>0</v>
          </cell>
          <cell r="AL10">
            <v>2142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/>
          <cell r="AX10"/>
          <cell r="AY10"/>
          <cell r="AZ10"/>
          <cell r="BA10"/>
        </row>
        <row r="11">
          <cell r="D11" t="str">
            <v xml:space="preserve"> - 단  위  당</v>
          </cell>
          <cell r="E11"/>
          <cell r="F11">
            <v>89791.527867357785</v>
          </cell>
          <cell r="G11">
            <v>96970.270477433165</v>
          </cell>
          <cell r="H11">
            <v>97158.81912324189</v>
          </cell>
          <cell r="I11">
            <v>99458.797372448142</v>
          </cell>
          <cell r="J11">
            <v>96731.328892072095</v>
          </cell>
          <cell r="K11">
            <v>87568.267347531524</v>
          </cell>
          <cell r="L11">
            <v>94599.437115637716</v>
          </cell>
          <cell r="M11">
            <v>92453.127836264743</v>
          </cell>
          <cell r="N11">
            <v>95039.198779498285</v>
          </cell>
          <cell r="O11">
            <v>93745.527488433072</v>
          </cell>
          <cell r="P11">
            <v>89271.559134645708</v>
          </cell>
          <cell r="Q11">
            <v>107678.85064694648</v>
          </cell>
          <cell r="R11">
            <v>96444.833569887734</v>
          </cell>
          <cell r="S11">
            <v>98674.623705808073</v>
          </cell>
          <cell r="T11">
            <v>102924.20589947436</v>
          </cell>
          <cell r="U11">
            <v>99968.290475995062</v>
          </cell>
          <cell r="V11">
            <v>108374.3731585901</v>
          </cell>
          <cell r="W11">
            <v>0</v>
          </cell>
          <cell r="X11">
            <v>0</v>
          </cell>
          <cell r="Y11">
            <v>0</v>
          </cell>
          <cell r="Z11">
            <v>94917.451701629849</v>
          </cell>
          <cell r="AA11">
            <v>938937.57733333332</v>
          </cell>
          <cell r="AB11">
            <v>10032.379849764997</v>
          </cell>
          <cell r="AC11">
            <v>27036.552908879607</v>
          </cell>
          <cell r="AD11">
            <v>25102.736155185852</v>
          </cell>
          <cell r="AE11">
            <v>16559.281847626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/>
          <cell r="AW11"/>
          <cell r="AX11"/>
          <cell r="AY11"/>
          <cell r="AZ11"/>
          <cell r="BA11"/>
        </row>
        <row r="12">
          <cell r="D12" t="str">
            <v>매출이익</v>
          </cell>
          <cell r="E12">
            <v>2901389.5282908604</v>
          </cell>
          <cell r="F12">
            <v>487534.21756060608</v>
          </cell>
          <cell r="G12">
            <v>143751.00563471392</v>
          </cell>
          <cell r="H12">
            <v>-55486.541741595604</v>
          </cell>
          <cell r="I12">
            <v>18146.09724082984</v>
          </cell>
          <cell r="J12">
            <v>375719.69546954846</v>
          </cell>
          <cell r="K12">
            <v>424490.53211392835</v>
          </cell>
          <cell r="L12">
            <v>21119.496021071915</v>
          </cell>
          <cell r="M12">
            <v>275437.36778820446</v>
          </cell>
          <cell r="N12">
            <v>10599.36664602044</v>
          </cell>
          <cell r="O12">
            <v>78112.351398404455</v>
          </cell>
          <cell r="P12">
            <v>18423.44760660571</v>
          </cell>
          <cell r="Q12">
            <v>-37032.723110304214</v>
          </cell>
          <cell r="R12">
            <v>45469.648602245143</v>
          </cell>
          <cell r="S12">
            <v>35333.049236110877</v>
          </cell>
          <cell r="T12">
            <v>64296.75850262813</v>
          </cell>
          <cell r="U12">
            <v>88910.401606124826</v>
          </cell>
          <cell r="V12">
            <v>136586.7152555089</v>
          </cell>
          <cell r="W12">
            <v>0</v>
          </cell>
          <cell r="X12">
            <v>0</v>
          </cell>
          <cell r="Y12">
            <v>0</v>
          </cell>
          <cell r="Z12">
            <v>2131410.8858306557</v>
          </cell>
          <cell r="AA12">
            <v>305392.12000000104</v>
          </cell>
          <cell r="AB12">
            <v>221347.93400000001</v>
          </cell>
          <cell r="AC12">
            <v>-124850.04966666678</v>
          </cell>
          <cell r="AD12">
            <v>127863.97146020702</v>
          </cell>
          <cell r="AE12">
            <v>224361.85579354037</v>
          </cell>
          <cell r="AF12">
            <v>24760</v>
          </cell>
          <cell r="AG12">
            <v>0</v>
          </cell>
          <cell r="AH12">
            <v>57255.333333333336</v>
          </cell>
          <cell r="AI12">
            <v>150315.33333333334</v>
          </cell>
          <cell r="AJ12">
            <v>4354</v>
          </cell>
          <cell r="AK12">
            <v>0</v>
          </cell>
          <cell r="AL12">
            <v>236684.66666666669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3540</v>
          </cell>
          <cell r="AV12">
            <v>3540</v>
          </cell>
          <cell r="AW12"/>
          <cell r="AX12"/>
          <cell r="AY12"/>
          <cell r="AZ12"/>
          <cell r="BA12"/>
        </row>
        <row r="13">
          <cell r="D13" t="str">
            <v>판 관 비</v>
          </cell>
          <cell r="E13">
            <v>1666229.3400000003</v>
          </cell>
          <cell r="F13">
            <v>140025.18599999999</v>
          </cell>
          <cell r="G13">
            <v>136901.60800000001</v>
          </cell>
          <cell r="H13">
            <v>102789.52800000002</v>
          </cell>
          <cell r="I13">
            <v>77418.36</v>
          </cell>
          <cell r="J13">
            <v>119336.476</v>
          </cell>
          <cell r="K13">
            <v>110178.64800000002</v>
          </cell>
          <cell r="L13">
            <v>65759.813999999998</v>
          </cell>
          <cell r="M13">
            <v>101138.614</v>
          </cell>
          <cell r="N13">
            <v>56927.220000000008</v>
          </cell>
          <cell r="O13">
            <v>56792.191999999995</v>
          </cell>
          <cell r="P13">
            <v>61272.52</v>
          </cell>
          <cell r="Q13">
            <v>59238.158000000003</v>
          </cell>
          <cell r="R13">
            <v>101230.614</v>
          </cell>
          <cell r="S13">
            <v>63623.252</v>
          </cell>
          <cell r="T13">
            <v>26005.756000000001</v>
          </cell>
          <cell r="U13">
            <v>25211.951999999997</v>
          </cell>
          <cell r="V13">
            <v>33499.58</v>
          </cell>
          <cell r="W13">
            <v>0</v>
          </cell>
          <cell r="X13">
            <v>0</v>
          </cell>
          <cell r="Y13">
            <v>0</v>
          </cell>
          <cell r="Z13">
            <v>1337349.4780000001</v>
          </cell>
          <cell r="AA13">
            <v>299956.86199999996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1103</v>
          </cell>
          <cell r="AN13">
            <v>855</v>
          </cell>
          <cell r="AO13">
            <v>3684</v>
          </cell>
          <cell r="AP13">
            <v>383</v>
          </cell>
          <cell r="AQ13">
            <v>300</v>
          </cell>
          <cell r="AR13">
            <v>22598</v>
          </cell>
          <cell r="AS13">
            <v>0</v>
          </cell>
          <cell r="AT13">
            <v>0</v>
          </cell>
          <cell r="AU13">
            <v>0</v>
          </cell>
          <cell r="AV13">
            <v>28923</v>
          </cell>
          <cell r="AW13"/>
          <cell r="AX13"/>
          <cell r="AY13"/>
          <cell r="AZ13"/>
          <cell r="BA13"/>
        </row>
        <row r="14">
          <cell r="D14" t="str">
            <v xml:space="preserve"> - 노   무   비</v>
          </cell>
          <cell r="E14">
            <v>1128055.3900000001</v>
          </cell>
          <cell r="F14">
            <v>99311.505999999994</v>
          </cell>
          <cell r="G14">
            <v>96806.248000000007</v>
          </cell>
          <cell r="H14">
            <v>73715.728000000017</v>
          </cell>
          <cell r="I14">
            <v>56267.62</v>
          </cell>
          <cell r="J14">
            <v>84449.275999999998</v>
          </cell>
          <cell r="K14">
            <v>77809.618000000017</v>
          </cell>
          <cell r="L14">
            <v>45650.883999999998</v>
          </cell>
          <cell r="M14">
            <v>70668.543999999994</v>
          </cell>
          <cell r="N14">
            <v>39300.680000000008</v>
          </cell>
          <cell r="O14">
            <v>40107.801999999996</v>
          </cell>
          <cell r="P14">
            <v>44015.06</v>
          </cell>
          <cell r="Q14">
            <v>40511.108</v>
          </cell>
          <cell r="R14">
            <v>71037.673999999999</v>
          </cell>
          <cell r="S14">
            <v>45947.572</v>
          </cell>
          <cell r="T14">
            <v>17415.245999999999</v>
          </cell>
          <cell r="U14">
            <v>15317.212</v>
          </cell>
          <cell r="V14">
            <v>22496.34</v>
          </cell>
          <cell r="W14">
            <v>0</v>
          </cell>
          <cell r="X14">
            <v>0</v>
          </cell>
          <cell r="Y14">
            <v>0</v>
          </cell>
          <cell r="Z14">
            <v>940828.11800000013</v>
          </cell>
          <cell r="AA14">
            <v>187227.27199999997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/>
        </row>
        <row r="15">
          <cell r="D15" t="str">
            <v xml:space="preserve"> - 경        비</v>
          </cell>
          <cell r="E15">
            <v>538173.95000000007</v>
          </cell>
          <cell r="F15">
            <v>40713.68</v>
          </cell>
          <cell r="G15">
            <v>40095.360000000001</v>
          </cell>
          <cell r="H15">
            <v>29073.8</v>
          </cell>
          <cell r="I15">
            <v>21150.74</v>
          </cell>
          <cell r="J15">
            <v>34887.199999999997</v>
          </cell>
          <cell r="K15">
            <v>32369.030000000002</v>
          </cell>
          <cell r="L15">
            <v>20108.93</v>
          </cell>
          <cell r="M15">
            <v>30470.07</v>
          </cell>
          <cell r="N15">
            <v>17626.54</v>
          </cell>
          <cell r="O15">
            <v>16684.39</v>
          </cell>
          <cell r="P15">
            <v>17257.46</v>
          </cell>
          <cell r="Q15">
            <v>18727.050000000003</v>
          </cell>
          <cell r="R15">
            <v>30192.940000000002</v>
          </cell>
          <cell r="S15">
            <v>17675.68</v>
          </cell>
          <cell r="T15">
            <v>8590.51</v>
          </cell>
          <cell r="U15">
            <v>9894.74</v>
          </cell>
          <cell r="V15">
            <v>11003.24</v>
          </cell>
          <cell r="W15">
            <v>0</v>
          </cell>
          <cell r="X15">
            <v>0</v>
          </cell>
          <cell r="Y15">
            <v>0</v>
          </cell>
          <cell r="Z15">
            <v>396521.36000000004</v>
          </cell>
          <cell r="AA15">
            <v>112729.59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1103</v>
          </cell>
          <cell r="AN15">
            <v>855</v>
          </cell>
          <cell r="AO15">
            <v>3684</v>
          </cell>
          <cell r="AP15">
            <v>383</v>
          </cell>
          <cell r="AQ15">
            <v>300</v>
          </cell>
          <cell r="AR15">
            <v>22598</v>
          </cell>
          <cell r="AS15">
            <v>0</v>
          </cell>
          <cell r="AT15">
            <v>0</v>
          </cell>
          <cell r="AU15">
            <v>0</v>
          </cell>
          <cell r="AV15">
            <v>28923</v>
          </cell>
          <cell r="AW15"/>
          <cell r="AX15"/>
          <cell r="AY15"/>
          <cell r="AZ15"/>
          <cell r="BA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/>
        </row>
        <row r="17">
          <cell r="D17" t="str">
            <v>EBITDA</v>
          </cell>
          <cell r="E17">
            <v>1235160.18829086</v>
          </cell>
          <cell r="F17">
            <v>347509.03156060609</v>
          </cell>
          <cell r="G17">
            <v>6849.3976347139105</v>
          </cell>
          <cell r="H17">
            <v>-158276.06974159562</v>
          </cell>
          <cell r="I17">
            <v>-59272.26275917016</v>
          </cell>
          <cell r="J17">
            <v>256383.21946954846</v>
          </cell>
          <cell r="K17">
            <v>314311.8841139283</v>
          </cell>
          <cell r="L17">
            <v>-44640.317978928084</v>
          </cell>
          <cell r="M17">
            <v>174298.75378820446</v>
          </cell>
          <cell r="N17">
            <v>-46327.853353979568</v>
          </cell>
          <cell r="O17">
            <v>21320.159398404459</v>
          </cell>
          <cell r="P17">
            <v>-42849.072393394286</v>
          </cell>
          <cell r="Q17">
            <v>-96270.88111030421</v>
          </cell>
          <cell r="R17">
            <v>-55760.965397754859</v>
          </cell>
          <cell r="S17">
            <v>-28290.202763889123</v>
          </cell>
          <cell r="T17">
            <v>38291.002502628129</v>
          </cell>
          <cell r="U17">
            <v>63698.449606124828</v>
          </cell>
          <cell r="V17">
            <v>103087.1352555089</v>
          </cell>
          <cell r="W17">
            <v>0</v>
          </cell>
          <cell r="X17">
            <v>0</v>
          </cell>
          <cell r="Y17">
            <v>0</v>
          </cell>
          <cell r="Z17">
            <v>794061.40783065557</v>
          </cell>
          <cell r="AA17">
            <v>5435.2580000010785</v>
          </cell>
          <cell r="AB17">
            <v>221347.93400000001</v>
          </cell>
          <cell r="AC17">
            <v>-124850.04966666678</v>
          </cell>
          <cell r="AD17">
            <v>127863.97146020702</v>
          </cell>
          <cell r="AE17">
            <v>224361.85579354037</v>
          </cell>
          <cell r="AF17">
            <v>24760</v>
          </cell>
          <cell r="AG17">
            <v>0</v>
          </cell>
          <cell r="AH17">
            <v>57255.333333333336</v>
          </cell>
          <cell r="AI17">
            <v>150315.33333333334</v>
          </cell>
          <cell r="AJ17">
            <v>4354</v>
          </cell>
          <cell r="AK17">
            <v>0</v>
          </cell>
          <cell r="AL17">
            <v>236684.66666666669</v>
          </cell>
          <cell r="AM17">
            <v>-1103</v>
          </cell>
          <cell r="AN17">
            <v>-855</v>
          </cell>
          <cell r="AO17">
            <v>-3684</v>
          </cell>
          <cell r="AP17">
            <v>-383</v>
          </cell>
          <cell r="AQ17">
            <v>-300</v>
          </cell>
          <cell r="AR17">
            <v>-22598</v>
          </cell>
          <cell r="AS17">
            <v>0</v>
          </cell>
          <cell r="AT17">
            <v>0</v>
          </cell>
          <cell r="AU17">
            <v>3540</v>
          </cell>
          <cell r="AV17">
            <v>-25383</v>
          </cell>
          <cell r="AW17"/>
          <cell r="AX17"/>
          <cell r="AY17"/>
          <cell r="AZ17"/>
          <cell r="BA17"/>
        </row>
        <row r="18">
          <cell r="D18" t="str">
            <v>감가상각비</v>
          </cell>
          <cell r="E18">
            <v>1227744.6888124244</v>
          </cell>
          <cell r="F18">
            <v>61755.6011111111</v>
          </cell>
          <cell r="G18">
            <v>72167.515111111104</v>
          </cell>
          <cell r="H18">
            <v>50257.452000000005</v>
          </cell>
          <cell r="I18">
            <v>37162.44666666667</v>
          </cell>
          <cell r="J18">
            <v>95209.936666666661</v>
          </cell>
          <cell r="K18">
            <v>57278.127777777772</v>
          </cell>
          <cell r="L18">
            <v>26911.13488888889</v>
          </cell>
          <cell r="M18">
            <v>38220.337333333337</v>
          </cell>
          <cell r="N18">
            <v>24818.253555555559</v>
          </cell>
          <cell r="O18">
            <v>62599.880222222222</v>
          </cell>
          <cell r="P18">
            <v>31740.820872941778</v>
          </cell>
          <cell r="Q18">
            <v>31435.338110565463</v>
          </cell>
          <cell r="R18">
            <v>73020.275333333338</v>
          </cell>
          <cell r="S18">
            <v>43469.039777777783</v>
          </cell>
          <cell r="T18">
            <v>20694.806</v>
          </cell>
          <cell r="U18">
            <v>12062.917999999998</v>
          </cell>
          <cell r="V18">
            <v>25588.999462250413</v>
          </cell>
          <cell r="W18">
            <v>0</v>
          </cell>
          <cell r="X18">
            <v>0</v>
          </cell>
          <cell r="Y18">
            <v>0</v>
          </cell>
          <cell r="Z18">
            <v>764392.88289020211</v>
          </cell>
          <cell r="AA18">
            <v>10372.526</v>
          </cell>
          <cell r="AB18">
            <v>136996.66325555556</v>
          </cell>
          <cell r="AC18">
            <v>115931.45599999999</v>
          </cell>
          <cell r="AD18">
            <v>73772.116666666669</v>
          </cell>
          <cell r="AE18">
            <v>326700.23592222226</v>
          </cell>
          <cell r="AF18">
            <v>6313.4079999999994</v>
          </cell>
          <cell r="AG18">
            <v>0</v>
          </cell>
          <cell r="AH18">
            <v>16444.53</v>
          </cell>
          <cell r="AI18">
            <v>11048.204</v>
          </cell>
          <cell r="AJ18">
            <v>2625.7840000000001</v>
          </cell>
          <cell r="AK18">
            <v>0</v>
          </cell>
          <cell r="AL18">
            <v>36431.925999999999</v>
          </cell>
          <cell r="AM18">
            <v>6551.9360000000006</v>
          </cell>
          <cell r="AN18">
            <v>701.71800000000007</v>
          </cell>
          <cell r="AO18">
            <v>11463.098</v>
          </cell>
          <cell r="AP18">
            <v>0</v>
          </cell>
          <cell r="AQ18">
            <v>482.41</v>
          </cell>
          <cell r="AR18">
            <v>36515.770000000004</v>
          </cell>
          <cell r="AS18">
            <v>0</v>
          </cell>
          <cell r="AT18">
            <v>0</v>
          </cell>
          <cell r="AU18">
            <v>34132.185999999994</v>
          </cell>
          <cell r="AV18">
            <v>89847.117999999988</v>
          </cell>
          <cell r="AW18"/>
          <cell r="AX18"/>
          <cell r="AY18"/>
          <cell r="AZ18"/>
          <cell r="BA18"/>
        </row>
        <row r="19">
          <cell r="D19" t="str">
            <v xml:space="preserve"> - 제        조</v>
          </cell>
          <cell r="E19">
            <v>1084739.8168124245</v>
          </cell>
          <cell r="F19">
            <v>57165.863111111103</v>
          </cell>
          <cell r="G19">
            <v>68318.57711111111</v>
          </cell>
          <cell r="H19">
            <v>45829.22</v>
          </cell>
          <cell r="I19">
            <v>34778.470666666668</v>
          </cell>
          <cell r="J19">
            <v>91478.470666666661</v>
          </cell>
          <cell r="K19">
            <v>54169.989777777773</v>
          </cell>
          <cell r="L19">
            <v>24523.936888888889</v>
          </cell>
          <cell r="M19">
            <v>34352.927333333333</v>
          </cell>
          <cell r="N19">
            <v>24058.981555555558</v>
          </cell>
          <cell r="O19">
            <v>60923.814222222223</v>
          </cell>
          <cell r="P19">
            <v>30114.282872941778</v>
          </cell>
          <cell r="Q19">
            <v>29064.694110565462</v>
          </cell>
          <cell r="R19">
            <v>69892.277333333332</v>
          </cell>
          <cell r="S19">
            <v>41842.501777777783</v>
          </cell>
          <cell r="T19">
            <v>19809.067999999999</v>
          </cell>
          <cell r="U19">
            <v>11322.117999999999</v>
          </cell>
          <cell r="V19">
            <v>23962.461462250412</v>
          </cell>
          <cell r="W19">
            <v>0</v>
          </cell>
          <cell r="X19">
            <v>0</v>
          </cell>
          <cell r="Y19">
            <v>0</v>
          </cell>
          <cell r="Z19">
            <v>721607.6548902021</v>
          </cell>
          <cell r="AA19">
            <v>0</v>
          </cell>
          <cell r="AB19">
            <v>136996.66325555556</v>
          </cell>
          <cell r="AC19">
            <v>115931.45599999999</v>
          </cell>
          <cell r="AD19">
            <v>73772.116666666669</v>
          </cell>
          <cell r="AE19">
            <v>326700.23592222226</v>
          </cell>
          <cell r="AF19">
            <v>6313.4079999999994</v>
          </cell>
          <cell r="AG19">
            <v>0</v>
          </cell>
          <cell r="AH19">
            <v>16444.53</v>
          </cell>
          <cell r="AI19">
            <v>11048.204</v>
          </cell>
          <cell r="AJ19">
            <v>2625.7840000000001</v>
          </cell>
          <cell r="AK19">
            <v>0</v>
          </cell>
          <cell r="AL19">
            <v>36431.925999999999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/>
          <cell r="AX19"/>
          <cell r="AY19"/>
          <cell r="AZ19"/>
          <cell r="BA19"/>
        </row>
        <row r="20">
          <cell r="D20" t="str">
            <v xml:space="preserve"> - 판        매</v>
          </cell>
          <cell r="E20">
            <v>143004.87199999997</v>
          </cell>
          <cell r="F20">
            <v>4589.7380000000003</v>
          </cell>
          <cell r="G20">
            <v>3848.9380000000001</v>
          </cell>
          <cell r="H20">
            <v>4428.232</v>
          </cell>
          <cell r="I20">
            <v>2383.9760000000001</v>
          </cell>
          <cell r="J20">
            <v>3731.4659999999999</v>
          </cell>
          <cell r="K20">
            <v>3108.1379999999999</v>
          </cell>
          <cell r="L20">
            <v>2387.1980000000003</v>
          </cell>
          <cell r="M20">
            <v>3867.4100000000003</v>
          </cell>
          <cell r="N20">
            <v>759.27199999999993</v>
          </cell>
          <cell r="O20">
            <v>1676.066</v>
          </cell>
          <cell r="P20">
            <v>1626.538</v>
          </cell>
          <cell r="Q20">
            <v>2370.6440000000002</v>
          </cell>
          <cell r="R20">
            <v>3127.998</v>
          </cell>
          <cell r="S20">
            <v>1626.538</v>
          </cell>
          <cell r="T20">
            <v>885.73800000000006</v>
          </cell>
          <cell r="U20">
            <v>740.8</v>
          </cell>
          <cell r="V20">
            <v>1626.538</v>
          </cell>
          <cell r="W20">
            <v>0</v>
          </cell>
          <cell r="X20">
            <v>0</v>
          </cell>
          <cell r="Y20">
            <v>0</v>
          </cell>
          <cell r="Z20">
            <v>42785.227999999996</v>
          </cell>
          <cell r="AA20">
            <v>10372.526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6551.9360000000006</v>
          </cell>
          <cell r="AN20">
            <v>701.71800000000007</v>
          </cell>
          <cell r="AO20">
            <v>11463.098</v>
          </cell>
          <cell r="AP20">
            <v>0</v>
          </cell>
          <cell r="AQ20">
            <v>482.41</v>
          </cell>
          <cell r="AR20">
            <v>36515.770000000004</v>
          </cell>
          <cell r="AS20">
            <v>0</v>
          </cell>
          <cell r="AT20">
            <v>0</v>
          </cell>
          <cell r="AU20">
            <v>34132.185999999994</v>
          </cell>
          <cell r="AV20">
            <v>89847.117999999988</v>
          </cell>
          <cell r="AW20"/>
          <cell r="AX20"/>
          <cell r="AY20"/>
          <cell r="AZ20"/>
          <cell r="BA20"/>
        </row>
        <row r="21">
          <cell r="D21" t="str">
            <v>영업이익 I</v>
          </cell>
          <cell r="E21">
            <v>7415.4994784356095</v>
          </cell>
          <cell r="F21">
            <v>285753.43044949498</v>
          </cell>
          <cell r="G21">
            <v>-65318.117476397194</v>
          </cell>
          <cell r="H21">
            <v>-208533.52174159564</v>
          </cell>
          <cell r="I21">
            <v>-96434.709425836831</v>
          </cell>
          <cell r="J21">
            <v>161173.28280288179</v>
          </cell>
          <cell r="K21">
            <v>257033.75633615052</v>
          </cell>
          <cell r="L21">
            <v>-71551.452867816974</v>
          </cell>
          <cell r="M21">
            <v>136078.41645487113</v>
          </cell>
          <cell r="N21">
            <v>-71146.106909535127</v>
          </cell>
          <cell r="O21">
            <v>-41279.720823817763</v>
          </cell>
          <cell r="P21">
            <v>-74589.893266336061</v>
          </cell>
          <cell r="Q21">
            <v>-127706.21922086968</v>
          </cell>
          <cell r="R21">
            <v>-128781.2407310882</v>
          </cell>
          <cell r="S21">
            <v>-71759.242541666899</v>
          </cell>
          <cell r="T21">
            <v>17596.196502628129</v>
          </cell>
          <cell r="U21">
            <v>51635.53160612483</v>
          </cell>
          <cell r="V21">
            <v>77498.13579325848</v>
          </cell>
          <cell r="W21">
            <v>0</v>
          </cell>
          <cell r="X21">
            <v>0</v>
          </cell>
          <cell r="Y21">
            <v>0</v>
          </cell>
          <cell r="Z21">
            <v>29668.52494045347</v>
          </cell>
          <cell r="AA21">
            <v>-4937.2679999989214</v>
          </cell>
          <cell r="AB21">
            <v>84351.270744444453</v>
          </cell>
          <cell r="AC21">
            <v>-240781.50566666678</v>
          </cell>
          <cell r="AD21">
            <v>54091.854793540348</v>
          </cell>
          <cell r="AE21">
            <v>-102338.38012868189</v>
          </cell>
          <cell r="AF21">
            <v>18446.592000000001</v>
          </cell>
          <cell r="AG21">
            <v>0</v>
          </cell>
          <cell r="AH21">
            <v>40810.803333333337</v>
          </cell>
          <cell r="AI21">
            <v>139267.12933333335</v>
          </cell>
          <cell r="AJ21">
            <v>1728.2159999999999</v>
          </cell>
          <cell r="AK21">
            <v>0</v>
          </cell>
          <cell r="AL21">
            <v>200252.74066666668</v>
          </cell>
          <cell r="AM21">
            <v>-7654.9360000000006</v>
          </cell>
          <cell r="AN21">
            <v>-1556.7180000000001</v>
          </cell>
          <cell r="AO21">
            <v>-15147.098</v>
          </cell>
          <cell r="AP21">
            <v>-383</v>
          </cell>
          <cell r="AQ21">
            <v>-782.41000000000008</v>
          </cell>
          <cell r="AR21">
            <v>-59113.770000000004</v>
          </cell>
          <cell r="AS21">
            <v>0</v>
          </cell>
          <cell r="AT21">
            <v>0</v>
          </cell>
          <cell r="AU21">
            <v>-30592.185999999994</v>
          </cell>
          <cell r="AV21">
            <v>-115230.11799999999</v>
          </cell>
          <cell r="AW21"/>
          <cell r="AX21"/>
          <cell r="AY21"/>
          <cell r="AZ21"/>
          <cell r="BA21"/>
        </row>
        <row r="22">
          <cell r="D22" t="str">
            <v>공    통    비</v>
          </cell>
          <cell r="E22">
            <v>3249170.0064682276</v>
          </cell>
          <cell r="F22">
            <v>454448.15252882824</v>
          </cell>
          <cell r="G22">
            <v>383146.1820667861</v>
          </cell>
          <cell r="H22">
            <v>145761.77238226138</v>
          </cell>
          <cell r="I22">
            <v>130040.12326892046</v>
          </cell>
          <cell r="J22">
            <v>314144.99225585803</v>
          </cell>
          <cell r="K22">
            <v>291601.17480491265</v>
          </cell>
          <cell r="L22">
            <v>114242.53857078002</v>
          </cell>
          <cell r="M22">
            <v>315599.35021525179</v>
          </cell>
          <cell r="N22">
            <v>97930.003874140995</v>
          </cell>
          <cell r="O22">
            <v>142302.97639113013</v>
          </cell>
          <cell r="P22">
            <v>100388.41837439477</v>
          </cell>
          <cell r="Q22">
            <v>118132.91080618554</v>
          </cell>
          <cell r="R22">
            <v>159541.49379204828</v>
          </cell>
          <cell r="S22">
            <v>89492.643317946451</v>
          </cell>
          <cell r="T22">
            <v>46780.279700227213</v>
          </cell>
          <cell r="U22">
            <v>55650.707342568159</v>
          </cell>
          <cell r="V22">
            <v>108712.26032021505</v>
          </cell>
          <cell r="W22">
            <v>0</v>
          </cell>
          <cell r="X22">
            <v>0</v>
          </cell>
          <cell r="Y22">
            <v>0</v>
          </cell>
          <cell r="Z22">
            <v>3067915.9800124555</v>
          </cell>
          <cell r="AA22">
            <v>77776.467726621762</v>
          </cell>
          <cell r="AB22">
            <v>44134.60662112209</v>
          </cell>
          <cell r="AC22">
            <v>13090.85269919669</v>
          </cell>
          <cell r="AD22">
            <v>46252.099408831513</v>
          </cell>
          <cell r="AE22">
            <v>103477.5587291503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/>
        </row>
        <row r="23">
          <cell r="D23" t="str">
            <v xml:space="preserve"> - 영업공통비</v>
          </cell>
          <cell r="E23">
            <v>467600.43333333335</v>
          </cell>
          <cell r="F23">
            <v>43957.800946553427</v>
          </cell>
          <cell r="G23">
            <v>36914.876996734114</v>
          </cell>
          <cell r="H23">
            <v>14055.318115348753</v>
          </cell>
          <cell r="I23">
            <v>12610.515400163535</v>
          </cell>
          <cell r="J23">
            <v>44469.605784250234</v>
          </cell>
          <cell r="K23">
            <v>41280.621746872981</v>
          </cell>
          <cell r="L23">
            <v>16312.79899206721</v>
          </cell>
          <cell r="M23">
            <v>44836.249649998783</v>
          </cell>
          <cell r="N23">
            <v>13958.082787754647</v>
          </cell>
          <cell r="O23">
            <v>20273.361038229719</v>
          </cell>
          <cell r="P23">
            <v>14297.37727660227</v>
          </cell>
          <cell r="Q23">
            <v>16555.183781214208</v>
          </cell>
          <cell r="R23">
            <v>15469.882525529461</v>
          </cell>
          <cell r="S23">
            <v>8755.7576724191167</v>
          </cell>
          <cell r="T23">
            <v>4536.0326913899989</v>
          </cell>
          <cell r="U23">
            <v>5396.2010082159759</v>
          </cell>
          <cell r="V23">
            <v>10443.208190838572</v>
          </cell>
          <cell r="W23">
            <v>0</v>
          </cell>
          <cell r="X23">
            <v>0</v>
          </cell>
          <cell r="Y23">
            <v>0</v>
          </cell>
          <cell r="Z23">
            <v>364122.87460418307</v>
          </cell>
          <cell r="AA23">
            <v>0</v>
          </cell>
          <cell r="AB23">
            <v>44134.60662112209</v>
          </cell>
          <cell r="AC23">
            <v>13090.85269919669</v>
          </cell>
          <cell r="AD23">
            <v>46252.099408831513</v>
          </cell>
          <cell r="AE23">
            <v>103477.5587291503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/>
        </row>
        <row r="24">
          <cell r="D24" t="str">
            <v xml:space="preserve"> - 부문공통비</v>
          </cell>
          <cell r="E24">
            <v>1098486.6168</v>
          </cell>
          <cell r="F24">
            <v>166860.82514396776</v>
          </cell>
          <cell r="G24">
            <v>140439.03560725242</v>
          </cell>
          <cell r="H24">
            <v>53447.040295228202</v>
          </cell>
          <cell r="I24">
            <v>47800.121233016514</v>
          </cell>
          <cell r="J24">
            <v>109417.26788563479</v>
          </cell>
          <cell r="K24">
            <v>101566.96288134108</v>
          </cell>
          <cell r="L24">
            <v>39899.614235552814</v>
          </cell>
          <cell r="M24">
            <v>110047.88640670801</v>
          </cell>
          <cell r="N24">
            <v>34182.77610188887</v>
          </cell>
          <cell r="O24">
            <v>49664.159403076061</v>
          </cell>
          <cell r="P24">
            <v>35032.322808690267</v>
          </cell>
          <cell r="Q24">
            <v>41016.705890410871</v>
          </cell>
          <cell r="R24">
            <v>58641.746833675264</v>
          </cell>
          <cell r="S24">
            <v>33023.601143327483</v>
          </cell>
          <cell r="T24">
            <v>17194.757638191117</v>
          </cell>
          <cell r="U24">
            <v>20455.29322493144</v>
          </cell>
          <cell r="V24">
            <v>39796.500067106972</v>
          </cell>
          <cell r="W24">
            <v>0</v>
          </cell>
          <cell r="X24">
            <v>0</v>
          </cell>
          <cell r="Y24">
            <v>0</v>
          </cell>
          <cell r="Z24">
            <v>1098486.6168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/>
        </row>
        <row r="25">
          <cell r="D25" t="str">
            <v xml:space="preserve"> - 본사공통비</v>
          </cell>
          <cell r="E25">
            <v>1683082.9563348943</v>
          </cell>
          <cell r="F25">
            <v>243629.52643830708</v>
          </cell>
          <cell r="G25">
            <v>205792.26946279954</v>
          </cell>
          <cell r="H25">
            <v>78259.413971684422</v>
          </cell>
          <cell r="I25">
            <v>69629.48663574041</v>
          </cell>
          <cell r="J25">
            <v>160258.11858597302</v>
          </cell>
          <cell r="K25">
            <v>148753.59017669858</v>
          </cell>
          <cell r="L25">
            <v>58030.125343159991</v>
          </cell>
          <cell r="M25">
            <v>160715.21415854499</v>
          </cell>
          <cell r="N25">
            <v>49789.14498449747</v>
          </cell>
          <cell r="O25">
            <v>72365.455949824332</v>
          </cell>
          <cell r="P25">
            <v>51058.718289102224</v>
          </cell>
          <cell r="Q25">
            <v>60561.021134560469</v>
          </cell>
          <cell r="R25">
            <v>85429.864432843548</v>
          </cell>
          <cell r="S25">
            <v>47713.284502199851</v>
          </cell>
          <cell r="T25">
            <v>25049.489370646101</v>
          </cell>
          <cell r="U25">
            <v>29799.213109420743</v>
          </cell>
          <cell r="V25">
            <v>58472.552062269504</v>
          </cell>
          <cell r="W25">
            <v>0</v>
          </cell>
          <cell r="X25">
            <v>0</v>
          </cell>
          <cell r="Y25">
            <v>0</v>
          </cell>
          <cell r="Z25">
            <v>1605306.4886082725</v>
          </cell>
          <cell r="AA25">
            <v>77776.467726621762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/>
        </row>
        <row r="26">
          <cell r="D26" t="str">
            <v>영업이익 II</v>
          </cell>
          <cell r="E26">
            <v>-3241754.506989792</v>
          </cell>
          <cell r="F26">
            <v>-168694.72207933327</v>
          </cell>
          <cell r="G26">
            <v>-448464.2995431833</v>
          </cell>
          <cell r="H26">
            <v>-354295.29412385705</v>
          </cell>
          <cell r="I26">
            <v>-226474.83269475729</v>
          </cell>
          <cell r="J26">
            <v>-152971.70945297624</v>
          </cell>
          <cell r="K26">
            <v>-34567.418468762131</v>
          </cell>
          <cell r="L26">
            <v>-185793.99143859698</v>
          </cell>
          <cell r="M26">
            <v>-179520.93376038066</v>
          </cell>
          <cell r="N26">
            <v>-169076.11078367612</v>
          </cell>
          <cell r="O26">
            <v>-183582.6972149479</v>
          </cell>
          <cell r="P26">
            <v>-174978.31164073083</v>
          </cell>
          <cell r="Q26">
            <v>-245839.13002705522</v>
          </cell>
          <cell r="R26">
            <v>-288322.73452313646</v>
          </cell>
          <cell r="S26">
            <v>-161251.88585961337</v>
          </cell>
          <cell r="T26">
            <v>-29184.083197599084</v>
          </cell>
          <cell r="U26">
            <v>-4015.1757364433288</v>
          </cell>
          <cell r="V26">
            <v>-31214.12452695657</v>
          </cell>
          <cell r="W26">
            <v>0</v>
          </cell>
          <cell r="X26">
            <v>0</v>
          </cell>
          <cell r="Y26">
            <v>0</v>
          </cell>
          <cell r="Z26">
            <v>-3038247.455072002</v>
          </cell>
          <cell r="AA26">
            <v>-82713.735726620682</v>
          </cell>
          <cell r="AB26">
            <v>40216.664123322364</v>
          </cell>
          <cell r="AC26">
            <v>-253872.35836586347</v>
          </cell>
          <cell r="AD26">
            <v>7839.7553847088348</v>
          </cell>
          <cell r="AE26">
            <v>-205815.9388578322</v>
          </cell>
          <cell r="AF26">
            <v>18446.592000000001</v>
          </cell>
          <cell r="AG26">
            <v>0</v>
          </cell>
          <cell r="AH26">
            <v>40810.803333333337</v>
          </cell>
          <cell r="AI26">
            <v>139267.12933333335</v>
          </cell>
          <cell r="AJ26">
            <v>1728.2159999999999</v>
          </cell>
          <cell r="AK26">
            <v>0</v>
          </cell>
          <cell r="AL26">
            <v>200252.74066666668</v>
          </cell>
          <cell r="AM26">
            <v>-7654.9360000000006</v>
          </cell>
          <cell r="AN26">
            <v>-1556.7180000000001</v>
          </cell>
          <cell r="AO26">
            <v>-15147.098</v>
          </cell>
          <cell r="AP26">
            <v>-383</v>
          </cell>
          <cell r="AQ26">
            <v>-782.41000000000008</v>
          </cell>
          <cell r="AR26">
            <v>-59113.770000000004</v>
          </cell>
          <cell r="AS26">
            <v>0</v>
          </cell>
          <cell r="AT26">
            <v>0</v>
          </cell>
          <cell r="AU26">
            <v>-30592.185999999994</v>
          </cell>
          <cell r="AV26">
            <v>-115230.11799999999</v>
          </cell>
          <cell r="AW26"/>
          <cell r="AX26"/>
          <cell r="AY26"/>
          <cell r="AZ26"/>
          <cell r="BA26"/>
        </row>
        <row r="27">
          <cell r="E27" t="e">
            <v>#REF!</v>
          </cell>
          <cell r="F27">
            <v>-168694.72207933327</v>
          </cell>
          <cell r="G27">
            <v>-448464.29954318277</v>
          </cell>
          <cell r="H27">
            <v>-354295.29412385699</v>
          </cell>
          <cell r="I27">
            <v>-226474.83269475715</v>
          </cell>
          <cell r="J27">
            <v>-152971.70945297624</v>
          </cell>
          <cell r="K27">
            <v>-34567.418468762102</v>
          </cell>
          <cell r="L27">
            <v>-185793.991438597</v>
          </cell>
          <cell r="M27">
            <v>-179520.9337603804</v>
          </cell>
          <cell r="N27">
            <v>-169076.11078367598</v>
          </cell>
          <cell r="O27">
            <v>-183582.69721494787</v>
          </cell>
          <cell r="P27">
            <v>-174978.31164073094</v>
          </cell>
          <cell r="Q27">
            <v>-245839.13002705513</v>
          </cell>
          <cell r="R27">
            <v>-288322.7345231364</v>
          </cell>
          <cell r="S27">
            <v>-161251.88585961328</v>
          </cell>
          <cell r="T27">
            <v>-29184.083197599088</v>
          </cell>
          <cell r="U27">
            <v>-4015.175736443387</v>
          </cell>
          <cell r="V27">
            <v>-31214.124526956461</v>
          </cell>
          <cell r="W27">
            <v>0</v>
          </cell>
          <cell r="X27">
            <v>0</v>
          </cell>
          <cell r="Y27">
            <v>0</v>
          </cell>
          <cell r="Z27">
            <v>-3038247.4550720053</v>
          </cell>
          <cell r="AA27">
            <v>-82713.735726620696</v>
          </cell>
          <cell r="AB27">
            <v>40216.664123322364</v>
          </cell>
          <cell r="AC27">
            <v>-253872.3583658635</v>
          </cell>
          <cell r="AD27">
            <v>7839.7553847088348</v>
          </cell>
          <cell r="AE27">
            <v>-205815.93885783231</v>
          </cell>
          <cell r="AF27">
            <v>18446.592000000001</v>
          </cell>
          <cell r="AG27">
            <v>0</v>
          </cell>
          <cell r="AH27">
            <v>40810.803333333337</v>
          </cell>
          <cell r="AI27">
            <v>139267.12933333335</v>
          </cell>
          <cell r="AJ27">
            <v>1728.2160000000001</v>
          </cell>
          <cell r="AK27">
            <v>0</v>
          </cell>
          <cell r="AL27">
            <v>200252.74066666668</v>
          </cell>
          <cell r="AM27">
            <v>-7654.9360000000006</v>
          </cell>
          <cell r="AN27">
            <v>-1556.7180000000001</v>
          </cell>
          <cell r="AO27">
            <v>-15147.098</v>
          </cell>
          <cell r="AP27">
            <v>-383</v>
          </cell>
          <cell r="AQ27">
            <v>-782.41000000000008</v>
          </cell>
          <cell r="AR27">
            <v>-59113.770000000004</v>
          </cell>
          <cell r="AS27">
            <v>0</v>
          </cell>
          <cell r="AT27">
            <v>0</v>
          </cell>
          <cell r="AU27">
            <v>-30592.185999999994</v>
          </cell>
          <cell r="AV27">
            <v>-115230.11799999999</v>
          </cell>
          <cell r="AW27"/>
          <cell r="AX27"/>
          <cell r="AY27"/>
          <cell r="AZ27"/>
          <cell r="BA27"/>
        </row>
        <row r="28">
          <cell r="E28" t="e">
            <v>#REF!</v>
          </cell>
          <cell r="F28">
            <v>0</v>
          </cell>
          <cell r="G28">
            <v>-5.2386894822120667E-10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-2.6193447411060333E-10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5.8207660913467407E-11</v>
          </cell>
          <cell r="V28">
            <v>-1.0913936421275139E-10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</row>
        <row r="30">
          <cell r="E30">
            <v>516053.62722610717</v>
          </cell>
          <cell r="F30">
            <v>57000</v>
          </cell>
          <cell r="G30">
            <v>47000</v>
          </cell>
          <cell r="H30">
            <v>19000</v>
          </cell>
          <cell r="I30">
            <v>16000</v>
          </cell>
          <cell r="J30">
            <v>34000</v>
          </cell>
          <cell r="K30">
            <v>34000</v>
          </cell>
          <cell r="L30">
            <v>14000</v>
          </cell>
          <cell r="M30">
            <v>37000</v>
          </cell>
          <cell r="N30">
            <v>12000</v>
          </cell>
          <cell r="O30">
            <v>16999.999999999993</v>
          </cell>
          <cell r="P30">
            <v>13000</v>
          </cell>
          <cell r="Q30">
            <v>13000</v>
          </cell>
          <cell r="R30">
            <v>20000</v>
          </cell>
          <cell r="S30">
            <v>11000</v>
          </cell>
          <cell r="T30">
            <v>5000</v>
          </cell>
          <cell r="U30">
            <v>5999.8</v>
          </cell>
          <cell r="V30">
            <v>11000</v>
          </cell>
          <cell r="W30">
            <v>0</v>
          </cell>
          <cell r="X30">
            <v>0</v>
          </cell>
          <cell r="Y30">
            <v>0</v>
          </cell>
          <cell r="Z30">
            <v>365999.8</v>
          </cell>
          <cell r="AA30">
            <v>15000</v>
          </cell>
          <cell r="AB30">
            <v>78900.386666666658</v>
          </cell>
          <cell r="AC30">
            <v>18218.239999999998</v>
          </cell>
          <cell r="AD30">
            <v>37935.200559440564</v>
          </cell>
          <cell r="AE30">
            <v>135053.82722610721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53963757.917234741</v>
          </cell>
          <cell r="F31">
            <v>5605651.3059999999</v>
          </cell>
          <cell r="G31">
            <v>4701353.7180740722</v>
          </cell>
          <cell r="H31">
            <v>1790531.0216000001</v>
          </cell>
          <cell r="I31">
            <v>1609486.8552000001</v>
          </cell>
          <cell r="J31">
            <v>3664584.8777999999</v>
          </cell>
          <cell r="K31">
            <v>3401811.6219300004</v>
          </cell>
          <cell r="L31">
            <v>1345511.61564</v>
          </cell>
          <cell r="M31">
            <v>3696203.09773</v>
          </cell>
          <cell r="N31">
            <v>1151069.7519999999</v>
          </cell>
          <cell r="O31">
            <v>1671786.318701766</v>
          </cell>
          <cell r="P31">
            <v>1178953.7163569999</v>
          </cell>
          <cell r="Q31">
            <v>1362792.3352999999</v>
          </cell>
          <cell r="R31">
            <v>1974366.3199999998</v>
          </cell>
          <cell r="S31">
            <v>1120753.9099999997</v>
          </cell>
          <cell r="T31">
            <v>578917.78799999994</v>
          </cell>
          <cell r="U31">
            <v>688700.15080399998</v>
          </cell>
          <cell r="V31">
            <v>1328704.82</v>
          </cell>
          <cell r="W31">
            <v>0</v>
          </cell>
          <cell r="X31">
            <v>0</v>
          </cell>
          <cell r="Y31">
            <v>0</v>
          </cell>
          <cell r="Z31">
            <v>36871179.225136839</v>
          </cell>
          <cell r="AA31">
            <v>14389455.780000001</v>
          </cell>
          <cell r="AB31">
            <v>1012906.5833333334</v>
          </cell>
          <cell r="AC31">
            <v>367708.36</v>
          </cell>
          <cell r="AD31">
            <v>1080141.3020979022</v>
          </cell>
          <cell r="AE31">
            <v>2460756.2454312355</v>
          </cell>
          <cell r="AF31">
            <v>25000</v>
          </cell>
          <cell r="AG31">
            <v>0</v>
          </cell>
          <cell r="AH31">
            <v>58333.333333333336</v>
          </cell>
          <cell r="AI31">
            <v>150793.33333333334</v>
          </cell>
          <cell r="AJ31">
            <v>4700</v>
          </cell>
          <cell r="AK31">
            <v>0</v>
          </cell>
          <cell r="AL31">
            <v>238826.66666666669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3540</v>
          </cell>
          <cell r="AV31">
            <v>3540</v>
          </cell>
        </row>
        <row r="32">
          <cell r="D32" t="str">
            <v>매출원가</v>
          </cell>
          <cell r="E32">
            <v>52147108.205756299</v>
          </cell>
          <cell r="F32">
            <v>5175282.9515505051</v>
          </cell>
          <cell r="G32">
            <v>4625921.2895504693</v>
          </cell>
          <cell r="H32">
            <v>1891846.7833415957</v>
          </cell>
          <cell r="I32">
            <v>1626119.228625837</v>
          </cell>
          <cell r="J32">
            <v>3380343.652997118</v>
          </cell>
          <cell r="K32">
            <v>3031491.0795938498</v>
          </cell>
          <cell r="L32">
            <v>1348916.056507817</v>
          </cell>
          <cell r="M32">
            <v>3455118.6572751291</v>
          </cell>
          <cell r="N32">
            <v>1164529.3669095349</v>
          </cell>
          <cell r="O32">
            <v>1654597.7815255837</v>
          </cell>
          <cell r="P32">
            <v>1190644.551623336</v>
          </cell>
          <cell r="Q32">
            <v>1428889.7525208695</v>
          </cell>
          <cell r="R32">
            <v>1998788.9487310881</v>
          </cell>
          <cell r="S32">
            <v>1127263.3625416665</v>
          </cell>
          <cell r="T32">
            <v>534430.09749737184</v>
          </cell>
          <cell r="U32">
            <v>611111.86719787517</v>
          </cell>
          <cell r="V32">
            <v>1216080.5662067416</v>
          </cell>
          <cell r="W32">
            <v>0</v>
          </cell>
          <cell r="X32">
            <v>0</v>
          </cell>
          <cell r="Y32">
            <v>0</v>
          </cell>
          <cell r="Z32">
            <v>35461375.994196385</v>
          </cell>
          <cell r="AA32">
            <v>14084063.66</v>
          </cell>
          <cell r="AB32">
            <v>928555.31258888892</v>
          </cell>
          <cell r="AC32">
            <v>608489.86566666677</v>
          </cell>
          <cell r="AD32">
            <v>1026049.4473043618</v>
          </cell>
          <cell r="AE32">
            <v>2563094.6255599177</v>
          </cell>
          <cell r="AF32">
            <v>6553.4079999999994</v>
          </cell>
          <cell r="AG32">
            <v>0</v>
          </cell>
          <cell r="AH32">
            <v>17522.53</v>
          </cell>
          <cell r="AI32">
            <v>11526.204</v>
          </cell>
          <cell r="AJ32">
            <v>2971.7840000000001</v>
          </cell>
          <cell r="AK32">
            <v>0</v>
          </cell>
          <cell r="AL32">
            <v>38573.925999999999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</row>
        <row r="33">
          <cell r="D33" t="str">
            <v>매출이익</v>
          </cell>
          <cell r="E33">
            <v>1816649.7114784394</v>
          </cell>
          <cell r="F33">
            <v>430368.35444949474</v>
          </cell>
          <cell r="G33">
            <v>75432.428523602895</v>
          </cell>
          <cell r="H33">
            <v>-101315.76174159558</v>
          </cell>
          <cell r="I33">
            <v>-16632.373425836908</v>
          </cell>
          <cell r="J33">
            <v>284241.22480288194</v>
          </cell>
          <cell r="K33">
            <v>370320.54233615054</v>
          </cell>
          <cell r="L33">
            <v>-3404.4408678170294</v>
          </cell>
          <cell r="M33">
            <v>241084.44045487093</v>
          </cell>
          <cell r="N33">
            <v>-13459.614909535041</v>
          </cell>
          <cell r="O33">
            <v>17188.537176182261</v>
          </cell>
          <cell r="P33">
            <v>-11690.8352663361</v>
          </cell>
          <cell r="Q33">
            <v>-66097.417220869567</v>
          </cell>
          <cell r="R33">
            <v>-24422.628731088247</v>
          </cell>
          <cell r="S33">
            <v>-6509.4525416668039</v>
          </cell>
          <cell r="T33">
            <v>44487.690502628102</v>
          </cell>
          <cell r="U33">
            <v>77588.283606124809</v>
          </cell>
          <cell r="V33">
            <v>112624.25379325845</v>
          </cell>
          <cell r="W33">
            <v>0</v>
          </cell>
          <cell r="X33">
            <v>0</v>
          </cell>
          <cell r="Y33">
            <v>0</v>
          </cell>
          <cell r="Z33">
            <v>1409803.2309404537</v>
          </cell>
          <cell r="AA33">
            <v>305392.12000000104</v>
          </cell>
          <cell r="AB33">
            <v>84351.270744444453</v>
          </cell>
          <cell r="AC33">
            <v>-240781.50566666678</v>
          </cell>
          <cell r="AD33">
            <v>54091.854793540318</v>
          </cell>
          <cell r="AE33">
            <v>-102338.38012868213</v>
          </cell>
          <cell r="AF33">
            <v>18446.592000000001</v>
          </cell>
          <cell r="AG33">
            <v>0</v>
          </cell>
          <cell r="AH33">
            <v>40810.803333333337</v>
          </cell>
          <cell r="AI33">
            <v>139267.12933333335</v>
          </cell>
          <cell r="AJ33">
            <v>1728.2159999999999</v>
          </cell>
          <cell r="AK33">
            <v>0</v>
          </cell>
          <cell r="AL33">
            <v>200252.74066666668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3540</v>
          </cell>
          <cell r="AV33">
            <v>3540</v>
          </cell>
        </row>
        <row r="34">
          <cell r="D34" t="str">
            <v>판관비</v>
          </cell>
          <cell r="E34">
            <v>5058404.2184682284</v>
          </cell>
          <cell r="F34">
            <v>599063.07652882824</v>
          </cell>
          <cell r="G34">
            <v>523896.72806678613</v>
          </cell>
          <cell r="H34">
            <v>252979.53238226139</v>
          </cell>
          <cell r="I34">
            <v>209842.45926892044</v>
          </cell>
          <cell r="J34">
            <v>437212.93425585807</v>
          </cell>
          <cell r="K34">
            <v>404887.96080491267</v>
          </cell>
          <cell r="L34">
            <v>182389.55057078003</v>
          </cell>
          <cell r="M34">
            <v>420605.37421525177</v>
          </cell>
          <cell r="N34">
            <v>155616.49587414099</v>
          </cell>
          <cell r="O34">
            <v>200771.2343911301</v>
          </cell>
          <cell r="P34">
            <v>163287.47637439476</v>
          </cell>
          <cell r="Q34">
            <v>179741.71280618553</v>
          </cell>
          <cell r="R34">
            <v>263900.10579204827</v>
          </cell>
          <cell r="S34">
            <v>154742.43331794644</v>
          </cell>
          <cell r="T34">
            <v>73671.773700227219</v>
          </cell>
          <cell r="U34">
            <v>81603.459342568167</v>
          </cell>
          <cell r="V34">
            <v>143838.37832021504</v>
          </cell>
          <cell r="W34">
            <v>0</v>
          </cell>
          <cell r="X34">
            <v>0</v>
          </cell>
          <cell r="Y34">
            <v>0</v>
          </cell>
          <cell r="Z34">
            <v>4448050.6860124562</v>
          </cell>
          <cell r="AA34">
            <v>388105.85572662175</v>
          </cell>
          <cell r="AB34">
            <v>44134.60662112209</v>
          </cell>
          <cell r="AC34">
            <v>13090.85269919669</v>
          </cell>
          <cell r="AD34">
            <v>46252.099408831513</v>
          </cell>
          <cell r="AE34">
            <v>103477.5587291503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7654.9360000000006</v>
          </cell>
          <cell r="AN34">
            <v>1556.7180000000001</v>
          </cell>
          <cell r="AO34">
            <v>15147.098</v>
          </cell>
          <cell r="AP34">
            <v>383</v>
          </cell>
          <cell r="AQ34">
            <v>782.41000000000008</v>
          </cell>
          <cell r="AR34">
            <v>59113.770000000004</v>
          </cell>
          <cell r="AS34">
            <v>0</v>
          </cell>
          <cell r="AT34">
            <v>0</v>
          </cell>
          <cell r="AU34">
            <v>34132.185999999994</v>
          </cell>
          <cell r="AV34">
            <v>118770.11799999999</v>
          </cell>
        </row>
        <row r="35">
          <cell r="D35" t="str">
            <v>영업이익</v>
          </cell>
          <cell r="E35">
            <v>-3241754.5069897887</v>
          </cell>
          <cell r="F35">
            <v>-168694.7220793335</v>
          </cell>
          <cell r="G35">
            <v>-448464.29954318324</v>
          </cell>
          <cell r="H35">
            <v>-354295.29412385693</v>
          </cell>
          <cell r="I35">
            <v>-226474.83269475735</v>
          </cell>
          <cell r="J35">
            <v>-152971.70945297612</v>
          </cell>
          <cell r="K35">
            <v>-34567.418468762131</v>
          </cell>
          <cell r="L35">
            <v>-185793.99143859706</v>
          </cell>
          <cell r="M35">
            <v>-179520.93376038084</v>
          </cell>
          <cell r="N35">
            <v>-169076.11078367603</v>
          </cell>
          <cell r="O35">
            <v>-183582.69721494784</v>
          </cell>
          <cell r="P35">
            <v>-174978.31164073086</v>
          </cell>
          <cell r="Q35">
            <v>-245839.1300270551</v>
          </cell>
          <cell r="R35">
            <v>-288322.73452313652</v>
          </cell>
          <cell r="S35">
            <v>-161251.88585961325</v>
          </cell>
          <cell r="T35">
            <v>-29184.083197599117</v>
          </cell>
          <cell r="U35">
            <v>-4015.1757364433579</v>
          </cell>
          <cell r="V35">
            <v>-31214.124526956584</v>
          </cell>
          <cell r="W35">
            <v>0</v>
          </cell>
          <cell r="X35">
            <v>0</v>
          </cell>
          <cell r="Y35">
            <v>0</v>
          </cell>
          <cell r="Z35">
            <v>-3038247.4550720025</v>
          </cell>
          <cell r="AA35">
            <v>-82713.735726620711</v>
          </cell>
          <cell r="AB35">
            <v>40216.664123322364</v>
          </cell>
          <cell r="AC35">
            <v>-253872.35836586347</v>
          </cell>
          <cell r="AD35">
            <v>7839.7553847088057</v>
          </cell>
          <cell r="AE35">
            <v>-205815.93885783243</v>
          </cell>
          <cell r="AF35">
            <v>18446.592000000001</v>
          </cell>
          <cell r="AG35">
            <v>0</v>
          </cell>
          <cell r="AH35">
            <v>40810.803333333337</v>
          </cell>
          <cell r="AI35">
            <v>139267.12933333335</v>
          </cell>
          <cell r="AJ35">
            <v>1728.2159999999999</v>
          </cell>
          <cell r="AK35">
            <v>0</v>
          </cell>
          <cell r="AL35">
            <v>200252.74066666668</v>
          </cell>
          <cell r="AM35">
            <v>-7654.9360000000006</v>
          </cell>
          <cell r="AN35">
            <v>-1556.7180000000001</v>
          </cell>
          <cell r="AO35">
            <v>-15147.098</v>
          </cell>
          <cell r="AP35">
            <v>-383</v>
          </cell>
          <cell r="AQ35">
            <v>-782.41000000000008</v>
          </cell>
          <cell r="AR35">
            <v>-59113.770000000004</v>
          </cell>
          <cell r="AS35">
            <v>0</v>
          </cell>
          <cell r="AT35">
            <v>0</v>
          </cell>
          <cell r="AU35">
            <v>-30592.185999999994</v>
          </cell>
          <cell r="AV35">
            <v>-115230.11799999999</v>
          </cell>
        </row>
      </sheetData>
      <sheetData sheetId="16">
        <row r="6">
          <cell r="D6" t="str">
            <v>구분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">
          <cell r="Z7">
            <v>3000000.3508537491</v>
          </cell>
        </row>
      </sheetData>
      <sheetData sheetId="26"/>
      <sheetData sheetId="27"/>
      <sheetData sheetId="28"/>
      <sheetData sheetId="29">
        <row r="6">
          <cell r="D6" t="str">
            <v>구분</v>
          </cell>
        </row>
      </sheetData>
      <sheetData sheetId="30">
        <row r="6">
          <cell r="D6" t="str">
            <v>구분</v>
          </cell>
        </row>
      </sheetData>
      <sheetData sheetId="31">
        <row r="6">
          <cell r="D6" t="str">
            <v>구분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29129</v>
          </cell>
          <cell r="H7">
            <v>21471</v>
          </cell>
          <cell r="I7">
            <v>8475</v>
          </cell>
          <cell r="J7">
            <v>7692</v>
          </cell>
          <cell r="K7">
            <v>19626</v>
          </cell>
          <cell r="L7">
            <v>11794</v>
          </cell>
          <cell r="M7">
            <v>5282</v>
          </cell>
          <cell r="N7">
            <v>10532</v>
          </cell>
          <cell r="O7">
            <v>3393</v>
          </cell>
          <cell r="P7">
            <v>9434</v>
          </cell>
          <cell r="Q7">
            <v>4393</v>
          </cell>
          <cell r="R7">
            <v>9471</v>
          </cell>
          <cell r="S7">
            <v>15899</v>
          </cell>
          <cell r="T7">
            <v>1475</v>
          </cell>
          <cell r="U7">
            <v>1991</v>
          </cell>
          <cell r="V7">
            <v>6723</v>
          </cell>
          <cell r="W7">
            <v>3229</v>
          </cell>
          <cell r="X7"/>
          <cell r="Y7"/>
          <cell r="Z7">
            <v>170009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170009</v>
          </cell>
          <cell r="AJ7">
            <v>16342</v>
          </cell>
          <cell r="AK7">
            <v>20100</v>
          </cell>
          <cell r="AL7">
            <v>14232</v>
          </cell>
          <cell r="AM7"/>
          <cell r="AN7">
            <v>50674</v>
          </cell>
          <cell r="AO7">
            <v>4982.9359999999997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23760078.998999998</v>
          </cell>
          <cell r="G8">
            <v>3045115.267</v>
          </cell>
          <cell r="H8">
            <v>2218779.7059999998</v>
          </cell>
          <cell r="I8">
            <v>828129</v>
          </cell>
          <cell r="J8">
            <v>753178.06700000004</v>
          </cell>
          <cell r="K8">
            <v>2281764.85</v>
          </cell>
          <cell r="L8">
            <v>1207553.5</v>
          </cell>
          <cell r="M8">
            <v>541181.69999999995</v>
          </cell>
          <cell r="N8">
            <v>1143285.8999999999</v>
          </cell>
          <cell r="O8">
            <v>360557.1</v>
          </cell>
          <cell r="P8">
            <v>889228.80000000005</v>
          </cell>
          <cell r="Q8">
            <v>379724.82900000003</v>
          </cell>
          <cell r="R8">
            <v>1044540</v>
          </cell>
          <cell r="S8">
            <v>1625063.31</v>
          </cell>
          <cell r="T8">
            <v>189436.9</v>
          </cell>
          <cell r="U8">
            <v>216910.136</v>
          </cell>
          <cell r="V8">
            <v>640766.04799999995</v>
          </cell>
          <cell r="W8">
            <v>416631.15299999999</v>
          </cell>
          <cell r="X8"/>
          <cell r="Y8"/>
          <cell r="Z8">
            <v>17781846.265999999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E8"/>
          <cell r="AF8"/>
          <cell r="AG8"/>
          <cell r="AH8">
            <v>43340</v>
          </cell>
          <cell r="AI8">
            <v>17825186.265999999</v>
          </cell>
          <cell r="AJ8">
            <v>469160</v>
          </cell>
          <cell r="AK8">
            <v>288368</v>
          </cell>
          <cell r="AL8">
            <v>287010.40000000002</v>
          </cell>
          <cell r="AM8"/>
          <cell r="AN8">
            <v>1044538.4</v>
          </cell>
          <cell r="AO8">
            <v>4876703.1069999998</v>
          </cell>
          <cell r="AP8">
            <v>0</v>
          </cell>
          <cell r="AQ8"/>
          <cell r="AR8"/>
          <cell r="AS8">
            <v>4876703.1069999998</v>
          </cell>
          <cell r="AT8">
            <v>4700</v>
          </cell>
          <cell r="AU8">
            <v>6490</v>
          </cell>
          <cell r="AV8">
            <v>819.92600000000004</v>
          </cell>
          <cell r="AW8"/>
          <cell r="AX8"/>
          <cell r="AY8"/>
          <cell r="AZ8"/>
          <cell r="BA8">
            <v>12009.925999999999</v>
          </cell>
          <cell r="BB8">
            <v>0</v>
          </cell>
          <cell r="BC8">
            <v>1641.3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1641.3</v>
          </cell>
          <cell r="BK8"/>
          <cell r="BL8"/>
          <cell r="BM8"/>
          <cell r="BN8"/>
          <cell r="BO8"/>
        </row>
        <row r="9">
          <cell r="F9"/>
          <cell r="G9">
            <v>104538.95660681794</v>
          </cell>
          <cell r="H9">
            <v>103338.44282986352</v>
          </cell>
          <cell r="I9">
            <v>97714.336283185839</v>
          </cell>
          <cell r="J9">
            <v>97917.06539261571</v>
          </cell>
          <cell r="K9">
            <v>116262.34841536736</v>
          </cell>
          <cell r="L9">
            <v>102387.1036120061</v>
          </cell>
          <cell r="M9">
            <v>102457.72434683831</v>
          </cell>
          <cell r="N9">
            <v>108553.54158754273</v>
          </cell>
          <cell r="O9">
            <v>106264.98673740053</v>
          </cell>
          <cell r="P9">
            <v>94257.875768496931</v>
          </cell>
          <cell r="Q9">
            <v>86438.61347598453</v>
          </cell>
          <cell r="R9">
            <v>110288.24833702882</v>
          </cell>
          <cell r="S9">
            <v>102211.66802943581</v>
          </cell>
          <cell r="T9">
            <v>128431.79661016951</v>
          </cell>
          <cell r="U9">
            <v>108945.32194876946</v>
          </cell>
          <cell r="V9">
            <v>95309.541573702212</v>
          </cell>
          <cell r="W9">
            <v>129027.91978940848</v>
          </cell>
          <cell r="X9"/>
          <cell r="Y9"/>
          <cell r="Z9">
            <v>104593.55837632123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104848.48605662053</v>
          </cell>
          <cell r="AJ9">
            <v>28708.84836617305</v>
          </cell>
          <cell r="AK9">
            <v>14346.666666666666</v>
          </cell>
          <cell r="AL9">
            <v>20166.554243957282</v>
          </cell>
          <cell r="AM9"/>
          <cell r="AN9"/>
          <cell r="AO9">
            <v>978680.66276588745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22205760.234330002</v>
          </cell>
          <cell r="G10">
            <v>2767653.5430399999</v>
          </cell>
          <cell r="H10">
            <v>2172349.8841700004</v>
          </cell>
          <cell r="I10">
            <v>897407.33300999994</v>
          </cell>
          <cell r="J10">
            <v>810482.74082000006</v>
          </cell>
          <cell r="K10">
            <v>1899164.4971800002</v>
          </cell>
          <cell r="L10">
            <v>1079427.0774999999</v>
          </cell>
          <cell r="M10">
            <v>520568.78557999997</v>
          </cell>
          <cell r="N10">
            <v>1096142.9766300002</v>
          </cell>
          <cell r="O10">
            <v>375809.50302</v>
          </cell>
          <cell r="P10">
            <v>829031.30353999999</v>
          </cell>
          <cell r="Q10">
            <v>414432.72130999999</v>
          </cell>
          <cell r="R10">
            <v>977316.29399999999</v>
          </cell>
          <cell r="S10">
            <v>1538732.7459400001</v>
          </cell>
          <cell r="T10">
            <v>193383.38621</v>
          </cell>
          <cell r="U10">
            <v>210384.11971</v>
          </cell>
          <cell r="V10">
            <v>656491.96645000007</v>
          </cell>
          <cell r="W10">
            <v>391850.74543999997</v>
          </cell>
          <cell r="X10"/>
          <cell r="Y10"/>
          <cell r="Z10">
            <v>16830629.623550002</v>
          </cell>
          <cell r="AA10">
            <v>0</v>
          </cell>
          <cell r="AB10">
            <v>0</v>
          </cell>
          <cell r="AC10">
            <v>108.253</v>
          </cell>
          <cell r="AD10">
            <v>479.48700000000002</v>
          </cell>
          <cell r="AE10"/>
          <cell r="AF10"/>
          <cell r="AG10"/>
          <cell r="AH10">
            <v>587.74</v>
          </cell>
          <cell r="AI10">
            <v>16831217.36355</v>
          </cell>
          <cell r="AJ10">
            <v>400216.17352000001</v>
          </cell>
          <cell r="AK10">
            <v>260085.06219</v>
          </cell>
          <cell r="AL10">
            <v>338942.76406999998</v>
          </cell>
          <cell r="AM10"/>
          <cell r="AN10">
            <v>999243.99977999995</v>
          </cell>
          <cell r="AO10">
            <v>4736011.8720000004</v>
          </cell>
          <cell r="AP10">
            <v>0</v>
          </cell>
          <cell r="AQ10"/>
          <cell r="AR10"/>
          <cell r="AS10">
            <v>4736011.8720000004</v>
          </cell>
          <cell r="AT10">
            <v>156.49600000000001</v>
          </cell>
          <cell r="AU10">
            <v>216.06299999999999</v>
          </cell>
          <cell r="AV10">
            <v>0</v>
          </cell>
          <cell r="AW10"/>
          <cell r="AX10"/>
          <cell r="AY10"/>
          <cell r="AZ10"/>
          <cell r="BA10">
            <v>372.55899999999997</v>
          </cell>
          <cell r="BB10">
            <v>0</v>
          </cell>
          <cell r="BC10">
            <v>0</v>
          </cell>
          <cell r="BD10">
            <v>-361085.56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-361085.56</v>
          </cell>
          <cell r="BK10"/>
          <cell r="BL10"/>
          <cell r="BM10"/>
          <cell r="BN10"/>
          <cell r="BO10"/>
        </row>
        <row r="11">
          <cell r="F11"/>
          <cell r="G11">
            <v>95013.682002128466</v>
          </cell>
          <cell r="H11">
            <v>101175.99944902428</v>
          </cell>
          <cell r="I11">
            <v>105888.77085663716</v>
          </cell>
          <cell r="J11">
            <v>105366.97098543942</v>
          </cell>
          <cell r="K11">
            <v>96767.782389687156</v>
          </cell>
          <cell r="L11">
            <v>91523.408300830924</v>
          </cell>
          <cell r="M11">
            <v>98555.24149564559</v>
          </cell>
          <cell r="N11">
            <v>104077.38099411321</v>
          </cell>
          <cell r="O11">
            <v>110760.24256410256</v>
          </cell>
          <cell r="P11">
            <v>87876.96666737333</v>
          </cell>
          <cell r="Q11">
            <v>94339.340157068058</v>
          </cell>
          <cell r="R11">
            <v>103190.40164713336</v>
          </cell>
          <cell r="S11">
            <v>96781.731300081767</v>
          </cell>
          <cell r="T11">
            <v>131107.38048135594</v>
          </cell>
          <cell r="U11">
            <v>105667.56389251632</v>
          </cell>
          <cell r="V11">
            <v>97648.663758738665</v>
          </cell>
          <cell r="W11">
            <v>121353.59103127902</v>
          </cell>
          <cell r="X11"/>
          <cell r="Y11"/>
          <cell r="Z11">
            <v>98998.462572863806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99001.919683957909</v>
          </cell>
          <cell r="AJ11">
            <v>24490.036318688046</v>
          </cell>
          <cell r="AK11">
            <v>12939.555332835822</v>
          </cell>
          <cell r="AL11">
            <v>23815.539914980323</v>
          </cell>
          <cell r="AM11"/>
          <cell r="AN11"/>
          <cell r="AO11">
            <v>950446.05670231383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1554318.7646699958</v>
          </cell>
          <cell r="G12">
            <v>277461.72396000009</v>
          </cell>
          <cell r="H12">
            <v>46429.821829999331</v>
          </cell>
          <cell r="I12">
            <v>-69278.333009999944</v>
          </cell>
          <cell r="J12">
            <v>-57304.673820000025</v>
          </cell>
          <cell r="K12">
            <v>382600.35281999991</v>
          </cell>
          <cell r="L12">
            <v>128126.4225000001</v>
          </cell>
          <cell r="M12">
            <v>20612.914419999986</v>
          </cell>
          <cell r="N12">
            <v>47142.923369999742</v>
          </cell>
          <cell r="O12">
            <v>-15252.403020000027</v>
          </cell>
          <cell r="P12">
            <v>60197.496460000053</v>
          </cell>
          <cell r="Q12">
            <v>-34707.892309999967</v>
          </cell>
          <cell r="R12">
            <v>67223.706000000006</v>
          </cell>
          <cell r="S12">
            <v>86330.564060000004</v>
          </cell>
          <cell r="T12">
            <v>-3946.4862100000028</v>
          </cell>
          <cell r="U12">
            <v>6526.0162899999996</v>
          </cell>
          <cell r="V12">
            <v>-15725.918450000114</v>
          </cell>
          <cell r="W12">
            <v>24780.407560000021</v>
          </cell>
          <cell r="X12"/>
          <cell r="Y12"/>
          <cell r="Z12">
            <v>951216.642449999</v>
          </cell>
          <cell r="AA12">
            <v>0</v>
          </cell>
          <cell r="AB12">
            <v>0</v>
          </cell>
          <cell r="AC12">
            <v>12391.746999999999</v>
          </cell>
          <cell r="AD12">
            <v>30360.512999999999</v>
          </cell>
          <cell r="AE12"/>
          <cell r="AF12"/>
          <cell r="AG12"/>
          <cell r="AH12">
            <v>42752.26</v>
          </cell>
          <cell r="AI12">
            <v>993968.902449999</v>
          </cell>
          <cell r="AJ12">
            <v>68943.826479999989</v>
          </cell>
          <cell r="AK12">
            <v>28282.937810000003</v>
          </cell>
          <cell r="AL12">
            <v>-51932.364069999952</v>
          </cell>
          <cell r="AM12"/>
          <cell r="AN12">
            <v>45294.400220000069</v>
          </cell>
          <cell r="AO12">
            <v>140691.2349999994</v>
          </cell>
          <cell r="AP12">
            <v>0</v>
          </cell>
          <cell r="AQ12"/>
          <cell r="AR12"/>
          <cell r="AS12">
            <v>140691.2349999994</v>
          </cell>
          <cell r="AT12">
            <v>4543.5039999999999</v>
          </cell>
          <cell r="AU12">
            <v>6273.9369999999999</v>
          </cell>
          <cell r="AV12">
            <v>819.92600000000004</v>
          </cell>
          <cell r="AW12"/>
          <cell r="AX12"/>
          <cell r="AY12"/>
          <cell r="AZ12"/>
          <cell r="BA12">
            <v>11637.366999999998</v>
          </cell>
          <cell r="BB12">
            <v>0</v>
          </cell>
          <cell r="BC12">
            <v>1641.3</v>
          </cell>
          <cell r="BD12">
            <v>361085.56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362726.86</v>
          </cell>
          <cell r="BK12"/>
          <cell r="BL12"/>
          <cell r="BM12"/>
          <cell r="BN12"/>
          <cell r="BO12"/>
        </row>
        <row r="13">
          <cell r="F13">
            <v>1003196.037</v>
          </cell>
          <cell r="G13">
            <v>92891.292000000001</v>
          </cell>
          <cell r="H13">
            <v>85154.361000000004</v>
          </cell>
          <cell r="I13">
            <v>56125.551999999996</v>
          </cell>
          <cell r="J13">
            <v>46172.152000000002</v>
          </cell>
          <cell r="K13">
            <v>61815.733000000007</v>
          </cell>
          <cell r="L13">
            <v>67848.664000000004</v>
          </cell>
          <cell r="M13">
            <v>41223.995999999999</v>
          </cell>
          <cell r="N13">
            <v>66185.399000000005</v>
          </cell>
          <cell r="O13">
            <v>37728.921000000002</v>
          </cell>
          <cell r="P13">
            <v>51006.014999999999</v>
          </cell>
          <cell r="Q13">
            <v>38459.169000000002</v>
          </cell>
          <cell r="R13">
            <v>40160.574999999997</v>
          </cell>
          <cell r="S13">
            <v>59379.098000000005</v>
          </cell>
          <cell r="T13">
            <v>14747.013999999999</v>
          </cell>
          <cell r="U13">
            <v>16510.530999999999</v>
          </cell>
          <cell r="V13">
            <v>38135.188999999998</v>
          </cell>
          <cell r="W13">
            <v>19691.226999999999</v>
          </cell>
          <cell r="X13"/>
          <cell r="Y13"/>
          <cell r="Z13">
            <v>833234.88800000004</v>
          </cell>
          <cell r="AA13">
            <v>1699.2909999999999</v>
          </cell>
          <cell r="AB13">
            <v>178.619</v>
          </cell>
          <cell r="AC13">
            <v>0</v>
          </cell>
          <cell r="AD13">
            <v>0</v>
          </cell>
          <cell r="AE13"/>
          <cell r="AF13"/>
          <cell r="AG13"/>
          <cell r="AH13">
            <v>1877.9099999999999</v>
          </cell>
          <cell r="AI13">
            <v>835112.79800000007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158175.18200000003</v>
          </cell>
          <cell r="AP13">
            <v>0</v>
          </cell>
          <cell r="AQ13"/>
          <cell r="AR13"/>
          <cell r="AS13">
            <v>158175.18200000003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9908.0570000000007</v>
          </cell>
          <cell r="BG13">
            <v>0</v>
          </cell>
          <cell r="BH13"/>
          <cell r="BI13"/>
          <cell r="BJ13">
            <v>9908.0570000000007</v>
          </cell>
          <cell r="BK13"/>
          <cell r="BL13"/>
          <cell r="BM13"/>
          <cell r="BN13"/>
          <cell r="BO13"/>
        </row>
        <row r="14">
          <cell r="F14">
            <v>700612.353</v>
          </cell>
          <cell r="G14">
            <v>61146.307999999997</v>
          </cell>
          <cell r="H14">
            <v>57523.171000000002</v>
          </cell>
          <cell r="I14">
            <v>39463.184000000001</v>
          </cell>
          <cell r="J14">
            <v>35898.224000000002</v>
          </cell>
          <cell r="K14">
            <v>42779.701000000001</v>
          </cell>
          <cell r="L14">
            <v>48343.575000000004</v>
          </cell>
          <cell r="M14">
            <v>28364.499</v>
          </cell>
          <cell r="N14">
            <v>43919.892000000007</v>
          </cell>
          <cell r="O14">
            <v>26799.184000000005</v>
          </cell>
          <cell r="P14">
            <v>35464.364999999998</v>
          </cell>
          <cell r="Q14">
            <v>27573.217000000001</v>
          </cell>
          <cell r="R14">
            <v>26361.791999999998</v>
          </cell>
          <cell r="S14">
            <v>44703.448000000004</v>
          </cell>
          <cell r="T14">
            <v>9505.4969999999994</v>
          </cell>
          <cell r="U14">
            <v>10528.529999999999</v>
          </cell>
          <cell r="V14">
            <v>28723.550999999999</v>
          </cell>
          <cell r="W14">
            <v>15239.298999999999</v>
          </cell>
          <cell r="X14"/>
          <cell r="Y14"/>
          <cell r="Z14">
            <v>582337.43700000003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582337.43700000003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118274.91600000001</v>
          </cell>
          <cell r="AP14">
            <v>0</v>
          </cell>
          <cell r="AQ14"/>
          <cell r="AR14"/>
          <cell r="AS14">
            <v>118274.91600000001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302583.68400000001</v>
          </cell>
          <cell r="G15">
            <v>31744.984</v>
          </cell>
          <cell r="H15">
            <v>27631.190000000002</v>
          </cell>
          <cell r="I15">
            <v>16662.367999999999</v>
          </cell>
          <cell r="J15">
            <v>10273.928</v>
          </cell>
          <cell r="K15">
            <v>19036.032000000003</v>
          </cell>
          <cell r="L15">
            <v>19505.089</v>
          </cell>
          <cell r="M15">
            <v>12859.496999999999</v>
          </cell>
          <cell r="N15">
            <v>22265.506999999998</v>
          </cell>
          <cell r="O15">
            <v>10929.737000000001</v>
          </cell>
          <cell r="P15">
            <v>15541.650000000001</v>
          </cell>
          <cell r="Q15">
            <v>10885.952000000001</v>
          </cell>
          <cell r="R15">
            <v>13798.782999999999</v>
          </cell>
          <cell r="S15">
            <v>14675.65</v>
          </cell>
          <cell r="T15">
            <v>5241.5169999999998</v>
          </cell>
          <cell r="U15">
            <v>5982.0010000000002</v>
          </cell>
          <cell r="V15">
            <v>9411.637999999999</v>
          </cell>
          <cell r="W15">
            <v>4451.9279999999999</v>
          </cell>
          <cell r="X15"/>
          <cell r="Y15"/>
          <cell r="Z15">
            <v>250897.451</v>
          </cell>
          <cell r="AA15">
            <v>1699.2909999999999</v>
          </cell>
          <cell r="AB15">
            <v>178.619</v>
          </cell>
          <cell r="AC15">
            <v>0</v>
          </cell>
          <cell r="AD15">
            <v>0</v>
          </cell>
          <cell r="AE15"/>
          <cell r="AF15"/>
          <cell r="AG15"/>
          <cell r="AH15">
            <v>1877.9099999999999</v>
          </cell>
          <cell r="AI15">
            <v>252775.361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39900.266000000011</v>
          </cell>
          <cell r="AP15">
            <v>0</v>
          </cell>
          <cell r="AQ15"/>
          <cell r="AR15"/>
          <cell r="AS15">
            <v>39900.266000000011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9908.0570000000007</v>
          </cell>
          <cell r="BG15">
            <v>0</v>
          </cell>
          <cell r="BH15"/>
          <cell r="BI15"/>
          <cell r="BJ15">
            <v>9908.0570000000007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551122.72766999574</v>
          </cell>
          <cell r="G17">
            <v>184570.43196000007</v>
          </cell>
          <cell r="H17">
            <v>-38724.539170000673</v>
          </cell>
          <cell r="I17">
            <v>-125403.88500999994</v>
          </cell>
          <cell r="J17">
            <v>-103476.82582000003</v>
          </cell>
          <cell r="K17">
            <v>320784.61981999991</v>
          </cell>
          <cell r="L17">
            <v>60277.758500000098</v>
          </cell>
          <cell r="M17">
            <v>-20611.081580000013</v>
          </cell>
          <cell r="N17">
            <v>-19042.475630000263</v>
          </cell>
          <cell r="O17">
            <v>-52981.324020000029</v>
          </cell>
          <cell r="P17">
            <v>9191.4814600000536</v>
          </cell>
          <cell r="Q17">
            <v>-73167.061309999961</v>
          </cell>
          <cell r="R17">
            <v>27063.131000000008</v>
          </cell>
          <cell r="S17">
            <v>26951.466059999999</v>
          </cell>
          <cell r="T17">
            <v>-18693.500210000002</v>
          </cell>
          <cell r="U17">
            <v>-9984.5147099999995</v>
          </cell>
          <cell r="V17">
            <v>-53861.107450000112</v>
          </cell>
          <cell r="W17">
            <v>5089.1805600000225</v>
          </cell>
          <cell r="X17"/>
          <cell r="Y17"/>
          <cell r="Z17">
            <v>117981.75444999896</v>
          </cell>
          <cell r="AA17">
            <v>-1699.2909999999999</v>
          </cell>
          <cell r="AB17">
            <v>-178.619</v>
          </cell>
          <cell r="AC17">
            <v>12391.746999999999</v>
          </cell>
          <cell r="AD17">
            <v>30360.512999999999</v>
          </cell>
          <cell r="AE17"/>
          <cell r="AF17"/>
          <cell r="AG17"/>
          <cell r="AH17">
            <v>40874.350000000006</v>
          </cell>
          <cell r="AI17">
            <v>158856.10444999894</v>
          </cell>
          <cell r="AJ17">
            <v>68943.826479999989</v>
          </cell>
          <cell r="AK17">
            <v>28282.937810000003</v>
          </cell>
          <cell r="AL17">
            <v>-51932.364069999952</v>
          </cell>
          <cell r="AM17"/>
          <cell r="AN17">
            <v>45294.400220000069</v>
          </cell>
          <cell r="AO17">
            <v>-17483.947000000626</v>
          </cell>
          <cell r="AP17">
            <v>0</v>
          </cell>
          <cell r="AQ17"/>
          <cell r="AR17"/>
          <cell r="AS17">
            <v>-17483.947000000626</v>
          </cell>
          <cell r="AT17">
            <v>4543.5039999999999</v>
          </cell>
          <cell r="AU17">
            <v>6273.9369999999999</v>
          </cell>
          <cell r="AV17">
            <v>819.92600000000004</v>
          </cell>
          <cell r="AW17"/>
          <cell r="AX17"/>
          <cell r="AY17"/>
          <cell r="AZ17"/>
          <cell r="BA17">
            <v>11637.366999999998</v>
          </cell>
          <cell r="BB17">
            <v>0</v>
          </cell>
          <cell r="BC17">
            <v>1641.3</v>
          </cell>
          <cell r="BD17">
            <v>361085.56</v>
          </cell>
          <cell r="BE17">
            <v>0</v>
          </cell>
          <cell r="BF17">
            <v>-9908.0570000000007</v>
          </cell>
          <cell r="BG17">
            <v>0</v>
          </cell>
          <cell r="BH17"/>
          <cell r="BI17"/>
          <cell r="BJ17">
            <v>352818.80299999996</v>
          </cell>
          <cell r="BK17"/>
          <cell r="BL17"/>
          <cell r="BM17"/>
          <cell r="BN17"/>
          <cell r="BO17"/>
        </row>
        <row r="18">
          <cell r="F18">
            <v>720188.34766999993</v>
          </cell>
          <cell r="G18">
            <v>31163.408960000001</v>
          </cell>
          <cell r="H18">
            <v>39514.569829999993</v>
          </cell>
          <cell r="I18">
            <v>20632.735989999997</v>
          </cell>
          <cell r="J18">
            <v>17924.418180000001</v>
          </cell>
          <cell r="K18">
            <v>113049.11181999999</v>
          </cell>
          <cell r="L18">
            <v>66267.775500000003</v>
          </cell>
          <cell r="M18">
            <v>15669.564420000001</v>
          </cell>
          <cell r="N18">
            <v>28538.376370000002</v>
          </cell>
          <cell r="O18">
            <v>13252.361980000001</v>
          </cell>
          <cell r="P18">
            <v>35063.956460000001</v>
          </cell>
          <cell r="Q18">
            <v>15934.285689999999</v>
          </cell>
          <cell r="R18">
            <v>15674.472000000002</v>
          </cell>
          <cell r="S18">
            <v>36238.97206</v>
          </cell>
          <cell r="T18">
            <v>6157.2217900000005</v>
          </cell>
          <cell r="U18">
            <v>10405.76829</v>
          </cell>
          <cell r="V18">
            <v>21726.901550000002</v>
          </cell>
          <cell r="W18">
            <v>12587.19556</v>
          </cell>
          <cell r="X18"/>
          <cell r="Y18"/>
          <cell r="Z18">
            <v>499801.09645000001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8222.2649999999994</v>
          </cell>
          <cell r="AE18"/>
          <cell r="AF18"/>
          <cell r="AG18"/>
          <cell r="AH18">
            <v>17172.316999999999</v>
          </cell>
          <cell r="AI18">
            <v>516973.41344999999</v>
          </cell>
          <cell r="AJ18">
            <v>41111.364479999997</v>
          </cell>
          <cell r="AK18">
            <v>59812.769810000005</v>
          </cell>
          <cell r="AL18">
            <v>51227.73893</v>
          </cell>
          <cell r="AM18"/>
          <cell r="AN18">
            <v>152151.87322000001</v>
          </cell>
          <cell r="AO18">
            <v>4725.1729999999998</v>
          </cell>
          <cell r="AP18">
            <v>0</v>
          </cell>
          <cell r="AQ18"/>
          <cell r="AR18"/>
          <cell r="AS18">
            <v>4725.1729999999998</v>
          </cell>
          <cell r="AT18">
            <v>1312.8920000000001</v>
          </cell>
          <cell r="AU18">
            <v>5524.1020000000008</v>
          </cell>
          <cell r="AV18">
            <v>0</v>
          </cell>
          <cell r="AW18"/>
          <cell r="AX18"/>
          <cell r="AY18"/>
          <cell r="AZ18"/>
          <cell r="BA18">
            <v>6836.9940000000006</v>
          </cell>
          <cell r="BB18">
            <v>0</v>
          </cell>
          <cell r="BC18">
            <v>17854.685000000001</v>
          </cell>
          <cell r="BD18">
            <v>0</v>
          </cell>
          <cell r="BE18">
            <v>0</v>
          </cell>
          <cell r="BF18">
            <v>21646.208999999999</v>
          </cell>
          <cell r="BG18">
            <v>0</v>
          </cell>
          <cell r="BH18"/>
          <cell r="BI18"/>
          <cell r="BJ18">
            <v>39500.894</v>
          </cell>
          <cell r="BK18"/>
          <cell r="BL18"/>
          <cell r="BM18"/>
          <cell r="BN18"/>
          <cell r="BO18"/>
        </row>
        <row r="19">
          <cell r="F19">
            <v>648661.79866999993</v>
          </cell>
          <cell r="G19">
            <v>28868.544959999999</v>
          </cell>
          <cell r="H19">
            <v>37590.104829999997</v>
          </cell>
          <cell r="I19">
            <v>18789.021989999997</v>
          </cell>
          <cell r="J19">
            <v>16732.43218</v>
          </cell>
          <cell r="K19">
            <v>111167.67382</v>
          </cell>
          <cell r="L19">
            <v>64713.709499999997</v>
          </cell>
          <cell r="M19">
            <v>14846.36642</v>
          </cell>
          <cell r="N19">
            <v>26975.074370000002</v>
          </cell>
          <cell r="O19">
            <v>12043.750980000001</v>
          </cell>
          <cell r="P19">
            <v>33855.525460000004</v>
          </cell>
          <cell r="Q19">
            <v>15121.017689999999</v>
          </cell>
          <cell r="R19">
            <v>14416.682000000001</v>
          </cell>
          <cell r="S19">
            <v>34674.976060000001</v>
          </cell>
          <cell r="T19">
            <v>5786.8227900000002</v>
          </cell>
          <cell r="U19">
            <v>9962.8992899999994</v>
          </cell>
          <cell r="V19">
            <v>20913.633550000002</v>
          </cell>
          <cell r="W19">
            <v>11773.92756</v>
          </cell>
          <cell r="X19"/>
          <cell r="Y19"/>
          <cell r="Z19">
            <v>478232.16344999999</v>
          </cell>
          <cell r="AA19">
            <v>0</v>
          </cell>
          <cell r="AB19">
            <v>0</v>
          </cell>
          <cell r="AC19">
            <v>3218.5030000000002</v>
          </cell>
          <cell r="AD19">
            <v>8222.2649999999994</v>
          </cell>
          <cell r="AE19"/>
          <cell r="AF19"/>
          <cell r="AG19"/>
          <cell r="AH19">
            <v>11440.768</v>
          </cell>
          <cell r="AI19">
            <v>489672.93144999997</v>
          </cell>
          <cell r="AJ19">
            <v>41111.364479999997</v>
          </cell>
          <cell r="AK19">
            <v>59812.769810000005</v>
          </cell>
          <cell r="AL19">
            <v>51227.73893</v>
          </cell>
          <cell r="AM19"/>
          <cell r="AN19">
            <v>152151.87322000001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AW19"/>
          <cell r="AX19"/>
          <cell r="AY19"/>
          <cell r="AZ19"/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71526.548999999999</v>
          </cell>
          <cell r="G20">
            <v>2294.864</v>
          </cell>
          <cell r="H20">
            <v>1924.4649999999999</v>
          </cell>
          <cell r="I20">
            <v>1843.7139999999999</v>
          </cell>
          <cell r="J20">
            <v>1191.9860000000001</v>
          </cell>
          <cell r="K20">
            <v>1881.4380000000001</v>
          </cell>
          <cell r="L20">
            <v>1554.066</v>
          </cell>
          <cell r="M20">
            <v>823.19799999999998</v>
          </cell>
          <cell r="N20">
            <v>1563.3019999999999</v>
          </cell>
          <cell r="O20">
            <v>1208.6110000000001</v>
          </cell>
          <cell r="P20">
            <v>1208.431</v>
          </cell>
          <cell r="Q20">
            <v>813.26800000000003</v>
          </cell>
          <cell r="R20">
            <v>1257.79</v>
          </cell>
          <cell r="S20">
            <v>1563.9960000000001</v>
          </cell>
          <cell r="T20">
            <v>370.399</v>
          </cell>
          <cell r="U20">
            <v>442.86900000000003</v>
          </cell>
          <cell r="V20">
            <v>813.26800000000003</v>
          </cell>
          <cell r="W20">
            <v>813.26800000000003</v>
          </cell>
          <cell r="X20"/>
          <cell r="Y20"/>
          <cell r="Z20">
            <v>21568.933000000001</v>
          </cell>
          <cell r="AA20">
            <v>5731.549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5731.549</v>
          </cell>
          <cell r="AI20">
            <v>27300.482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4725.1729999999998</v>
          </cell>
          <cell r="AP20">
            <v>0</v>
          </cell>
          <cell r="AQ20"/>
          <cell r="AR20"/>
          <cell r="AS20">
            <v>4725.1729999999998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17854.685000000001</v>
          </cell>
          <cell r="BD20">
            <v>0</v>
          </cell>
          <cell r="BE20">
            <v>0</v>
          </cell>
          <cell r="BF20">
            <v>21646.208999999999</v>
          </cell>
          <cell r="BG20">
            <v>0</v>
          </cell>
          <cell r="BH20"/>
          <cell r="BI20"/>
          <cell r="BJ20">
            <v>39500.894</v>
          </cell>
          <cell r="BK20"/>
          <cell r="BL20"/>
          <cell r="BM20"/>
          <cell r="BN20"/>
          <cell r="BO20"/>
        </row>
        <row r="21">
          <cell r="F21">
            <v>-169065.62000000419</v>
          </cell>
          <cell r="G21">
            <v>153407.02300000007</v>
          </cell>
          <cell r="H21">
            <v>-78239.109000000666</v>
          </cell>
          <cell r="I21">
            <v>-146036.62099999993</v>
          </cell>
          <cell r="J21">
            <v>-121401.24400000004</v>
          </cell>
          <cell r="K21">
            <v>207735.50799999991</v>
          </cell>
          <cell r="L21">
            <v>-5990.0169999999052</v>
          </cell>
          <cell r="M21">
            <v>-36280.646000000015</v>
          </cell>
          <cell r="N21">
            <v>-47580.852000000261</v>
          </cell>
          <cell r="O21">
            <v>-66233.686000000031</v>
          </cell>
          <cell r="P21">
            <v>-25872.474999999948</v>
          </cell>
          <cell r="Q21">
            <v>-89101.346999999965</v>
          </cell>
          <cell r="R21">
            <v>11388.659000000007</v>
          </cell>
          <cell r="S21">
            <v>-9287.5060000000012</v>
          </cell>
          <cell r="T21">
            <v>-24850.722000000002</v>
          </cell>
          <cell r="U21">
            <v>-20390.282999999999</v>
          </cell>
          <cell r="V21">
            <v>-75588.009000000107</v>
          </cell>
          <cell r="W21">
            <v>-7498.0149999999776</v>
          </cell>
          <cell r="X21"/>
          <cell r="Y21"/>
          <cell r="Z21">
            <v>-381819.34200000105</v>
          </cell>
          <cell r="AA21">
            <v>-7430.84</v>
          </cell>
          <cell r="AB21">
            <v>-178.619</v>
          </cell>
          <cell r="AC21">
            <v>9173.2439999999988</v>
          </cell>
          <cell r="AD21">
            <v>22138.248</v>
          </cell>
          <cell r="AE21"/>
          <cell r="AF21"/>
          <cell r="AG21"/>
          <cell r="AH21">
            <v>23702.033000000007</v>
          </cell>
          <cell r="AI21">
            <v>-358117.30900000106</v>
          </cell>
          <cell r="AJ21">
            <v>27832.461999999992</v>
          </cell>
          <cell r="AK21">
            <v>-31529.832000000002</v>
          </cell>
          <cell r="AL21">
            <v>-103160.10299999994</v>
          </cell>
          <cell r="AM21"/>
          <cell r="AN21">
            <v>-106857.47299999994</v>
          </cell>
          <cell r="AO21">
            <v>-22209.120000000625</v>
          </cell>
          <cell r="AP21">
            <v>0</v>
          </cell>
          <cell r="AQ21"/>
          <cell r="AR21"/>
          <cell r="AS21">
            <v>-22209.120000000625</v>
          </cell>
          <cell r="AT21">
            <v>3230.6120000000001</v>
          </cell>
          <cell r="AU21">
            <v>749.83499999999913</v>
          </cell>
          <cell r="AV21">
            <v>819.92600000000004</v>
          </cell>
          <cell r="AW21"/>
          <cell r="AX21"/>
          <cell r="AY21"/>
          <cell r="AZ21"/>
          <cell r="BA21">
            <v>4800.3729999999978</v>
          </cell>
          <cell r="BB21">
            <v>0</v>
          </cell>
          <cell r="BC21">
            <v>-16213.385000000002</v>
          </cell>
          <cell r="BD21">
            <v>361085.56</v>
          </cell>
          <cell r="BE21">
            <v>0</v>
          </cell>
          <cell r="BF21">
            <v>-31554.266</v>
          </cell>
          <cell r="BG21">
            <v>0</v>
          </cell>
          <cell r="BH21"/>
          <cell r="BI21"/>
          <cell r="BJ21">
            <v>313317.90899999999</v>
          </cell>
          <cell r="BK21"/>
          <cell r="BL21"/>
          <cell r="BM21"/>
          <cell r="BN21"/>
          <cell r="BO21"/>
        </row>
        <row r="22">
          <cell r="F22">
            <v>2081892.3649983634</v>
          </cell>
          <cell r="G22">
            <v>329375.60124830471</v>
          </cell>
          <cell r="H22">
            <v>239994.82306010416</v>
          </cell>
          <cell r="I22">
            <v>89574.765934848052</v>
          </cell>
          <cell r="J22">
            <v>81467.680830868514</v>
          </cell>
          <cell r="K22">
            <v>258228.70135936042</v>
          </cell>
          <cell r="L22">
            <v>136659.55636355362</v>
          </cell>
          <cell r="M22">
            <v>61245.858700317425</v>
          </cell>
          <cell r="N22">
            <v>129386.35339196656</v>
          </cell>
          <cell r="O22">
            <v>40804.464009031013</v>
          </cell>
          <cell r="P22">
            <v>100634.55848017927</v>
          </cell>
          <cell r="Q22">
            <v>42973.687436098073</v>
          </cell>
          <cell r="R22">
            <v>118211.2204585439</v>
          </cell>
          <cell r="S22">
            <v>175775.35096894257</v>
          </cell>
          <cell r="T22">
            <v>20490.486357709025</v>
          </cell>
          <cell r="U22">
            <v>23462.13532082086</v>
          </cell>
          <cell r="V22">
            <v>69308.608645027067</v>
          </cell>
          <cell r="W22">
            <v>45065.005586256331</v>
          </cell>
          <cell r="X22"/>
          <cell r="Y22"/>
          <cell r="Z22">
            <v>1962658.8581519318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1962658.8581519318</v>
          </cell>
          <cell r="AJ22">
            <v>27013.776357594652</v>
          </cell>
          <cell r="AK22">
            <v>16603.948888837185</v>
          </cell>
          <cell r="AL22">
            <v>16525.779599999998</v>
          </cell>
          <cell r="AM22"/>
          <cell r="AN22">
            <v>60143.504846431839</v>
          </cell>
          <cell r="AO22">
            <v>59090.002</v>
          </cell>
          <cell r="AP22">
            <v>0</v>
          </cell>
          <cell r="AQ22"/>
          <cell r="AR22"/>
          <cell r="AS22">
            <v>59090.002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282886.67799836351</v>
          </cell>
          <cell r="G23">
            <v>21298.498288633738</v>
          </cell>
          <cell r="H23">
            <v>15518.846292361473</v>
          </cell>
          <cell r="I23">
            <v>5792.1958752794781</v>
          </cell>
          <cell r="J23">
            <v>5267.965368956251</v>
          </cell>
          <cell r="K23">
            <v>27380.459835894897</v>
          </cell>
          <cell r="L23">
            <v>14490.261828007524</v>
          </cell>
          <cell r="M23">
            <v>6494.0100206957432</v>
          </cell>
          <cell r="N23">
            <v>13719.070861265545</v>
          </cell>
          <cell r="O23">
            <v>4326.5716864280475</v>
          </cell>
          <cell r="P23">
            <v>10670.465645625587</v>
          </cell>
          <cell r="Q23">
            <v>4556.5783998848783</v>
          </cell>
          <cell r="R23">
            <v>12534.151149267487</v>
          </cell>
          <cell r="S23">
            <v>11366.206232664255</v>
          </cell>
          <cell r="T23">
            <v>1324.9815316282018</v>
          </cell>
          <cell r="U23">
            <v>1517.1380244448762</v>
          </cell>
          <cell r="V23">
            <v>4481.7201912319606</v>
          </cell>
          <cell r="W23">
            <v>2914.0499196617116</v>
          </cell>
          <cell r="X23"/>
          <cell r="Y23"/>
          <cell r="Z23">
            <v>163653.17115193166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163653.17115193166</v>
          </cell>
          <cell r="AJ23">
            <v>27013.776357594652</v>
          </cell>
          <cell r="AK23">
            <v>16603.948888837185</v>
          </cell>
          <cell r="AL23">
            <v>16525.779599999998</v>
          </cell>
          <cell r="AM23"/>
          <cell r="AN23">
            <v>60143.504846431839</v>
          </cell>
          <cell r="AO23">
            <v>59090.002</v>
          </cell>
          <cell r="AP23">
            <v>0</v>
          </cell>
          <cell r="AQ23"/>
          <cell r="AR23"/>
          <cell r="AS23">
            <v>59090.002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598863.75300000014</v>
          </cell>
          <cell r="G24">
            <v>102554.54522740259</v>
          </cell>
          <cell r="H24">
            <v>74724.903248997449</v>
          </cell>
          <cell r="I24">
            <v>27890.042096269743</v>
          </cell>
          <cell r="J24">
            <v>25365.816188802801</v>
          </cell>
          <cell r="K24">
            <v>76846.140782762843</v>
          </cell>
          <cell r="L24">
            <v>40668.444105324008</v>
          </cell>
          <cell r="M24">
            <v>18226.122252367473</v>
          </cell>
          <cell r="N24">
            <v>38504.015532690726</v>
          </cell>
          <cell r="O24">
            <v>12142.978566272814</v>
          </cell>
          <cell r="P24">
            <v>29947.78430077371</v>
          </cell>
          <cell r="Q24">
            <v>12788.51660285877</v>
          </cell>
          <cell r="R24">
            <v>35178.413714816896</v>
          </cell>
          <cell r="S24">
            <v>54729.497608468548</v>
          </cell>
          <cell r="T24">
            <v>6379.9276629448332</v>
          </cell>
          <cell r="U24">
            <v>7305.1817097911016</v>
          </cell>
          <cell r="V24">
            <v>21579.961639527657</v>
          </cell>
          <cell r="W24">
            <v>14031.461759927983</v>
          </cell>
          <cell r="X24"/>
          <cell r="Y24"/>
          <cell r="Z24">
            <v>598863.75300000014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598863.75300000014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1200141.9339999999</v>
          </cell>
          <cell r="G25">
            <v>205522.55773226838</v>
          </cell>
          <cell r="H25">
            <v>149751.07351874522</v>
          </cell>
          <cell r="I25">
            <v>55892.527963298831</v>
          </cell>
          <cell r="J25">
            <v>50833.899273109462</v>
          </cell>
          <cell r="K25">
            <v>154002.10074070268</v>
          </cell>
          <cell r="L25">
            <v>81500.850430222083</v>
          </cell>
          <cell r="M25">
            <v>36525.726427254209</v>
          </cell>
          <cell r="N25">
            <v>77163.266998010295</v>
          </cell>
          <cell r="O25">
            <v>24334.913756330152</v>
          </cell>
          <cell r="P25">
            <v>60016.308533779971</v>
          </cell>
          <cell r="Q25">
            <v>25628.592433354428</v>
          </cell>
          <cell r="R25">
            <v>70498.655594459517</v>
          </cell>
          <cell r="S25">
            <v>109679.64712780976</v>
          </cell>
          <cell r="T25">
            <v>12785.577163135989</v>
          </cell>
          <cell r="U25">
            <v>14639.815586584884</v>
          </cell>
          <cell r="V25">
            <v>43246.926814267441</v>
          </cell>
          <cell r="W25">
            <v>28119.493906666634</v>
          </cell>
          <cell r="X25"/>
          <cell r="Y25"/>
          <cell r="Z25">
            <v>1200141.9339999999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1200141.9339999999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-2250957.9849983677</v>
          </cell>
          <cell r="G26">
            <v>-175968.57824830464</v>
          </cell>
          <cell r="H26">
            <v>-318233.93206010479</v>
          </cell>
          <cell r="I26">
            <v>-235611.38693484798</v>
          </cell>
          <cell r="J26">
            <v>-202868.92483086855</v>
          </cell>
          <cell r="K26">
            <v>-50493.193359360506</v>
          </cell>
          <cell r="L26">
            <v>-142649.57336355353</v>
          </cell>
          <cell r="M26">
            <v>-97526.50470031744</v>
          </cell>
          <cell r="N26">
            <v>-176967.20539196683</v>
          </cell>
          <cell r="O26">
            <v>-107038.15000903104</v>
          </cell>
          <cell r="P26">
            <v>-126507.03348017922</v>
          </cell>
          <cell r="Q26">
            <v>-132075.03443609804</v>
          </cell>
          <cell r="R26">
            <v>-106822.5614585439</v>
          </cell>
          <cell r="S26">
            <v>-185062.85696894256</v>
          </cell>
          <cell r="T26">
            <v>-45341.208357709023</v>
          </cell>
          <cell r="U26">
            <v>-43852.418320820856</v>
          </cell>
          <cell r="V26">
            <v>-144896.61764502717</v>
          </cell>
          <cell r="W26">
            <v>-52563.020586256309</v>
          </cell>
          <cell r="X26"/>
          <cell r="Y26"/>
          <cell r="Z26">
            <v>-2344478.2001519329</v>
          </cell>
          <cell r="AA26">
            <v>-7430.84</v>
          </cell>
          <cell r="AB26">
            <v>-178.619</v>
          </cell>
          <cell r="AC26">
            <v>9173.2439999999988</v>
          </cell>
          <cell r="AD26">
            <v>22138.248</v>
          </cell>
          <cell r="AE26"/>
          <cell r="AF26"/>
          <cell r="AG26"/>
          <cell r="AH26">
            <v>23702.033000000007</v>
          </cell>
          <cell r="AI26">
            <v>-2320776.1671519326</v>
          </cell>
          <cell r="AJ26">
            <v>818.68564240534033</v>
          </cell>
          <cell r="AK26">
            <v>-48133.780888837187</v>
          </cell>
          <cell r="AL26">
            <v>-119685.88259999994</v>
          </cell>
          <cell r="AM26"/>
          <cell r="AN26">
            <v>-167000.97784643178</v>
          </cell>
          <cell r="AO26">
            <v>-81299.122000000629</v>
          </cell>
          <cell r="AP26">
            <v>0</v>
          </cell>
          <cell r="AQ26"/>
          <cell r="AR26"/>
          <cell r="AS26">
            <v>-81299.122000000629</v>
          </cell>
          <cell r="AT26">
            <v>3230.6120000000001</v>
          </cell>
          <cell r="AU26">
            <v>749.83499999999913</v>
          </cell>
          <cell r="AV26">
            <v>819.92600000000004</v>
          </cell>
          <cell r="AW26"/>
          <cell r="AX26"/>
          <cell r="AY26"/>
          <cell r="AZ26"/>
          <cell r="BA26">
            <v>4800.3729999999978</v>
          </cell>
          <cell r="BB26">
            <v>0</v>
          </cell>
          <cell r="BC26">
            <v>-16213.385000000002</v>
          </cell>
          <cell r="BD26">
            <v>361085.56</v>
          </cell>
          <cell r="BE26">
            <v>0</v>
          </cell>
          <cell r="BF26">
            <v>-31554.266</v>
          </cell>
          <cell r="BG26">
            <v>0</v>
          </cell>
          <cell r="BH26"/>
          <cell r="BI26"/>
          <cell r="BJ26">
            <v>313317.90899999999</v>
          </cell>
          <cell r="BK26"/>
          <cell r="BL26"/>
          <cell r="BM26"/>
          <cell r="BN26"/>
          <cell r="BO26"/>
        </row>
        <row r="27">
          <cell r="F27">
            <v>-2250957.984998364</v>
          </cell>
          <cell r="G27">
            <v>-175968.57824830461</v>
          </cell>
          <cell r="H27">
            <v>-318233.93206010485</v>
          </cell>
          <cell r="I27">
            <v>-235611.38693484804</v>
          </cell>
          <cell r="J27">
            <v>-202868.92483086858</v>
          </cell>
          <cell r="K27">
            <v>-50493.193359360484</v>
          </cell>
          <cell r="L27">
            <v>-142649.5733635535</v>
          </cell>
          <cell r="M27">
            <v>-97526.504700317455</v>
          </cell>
          <cell r="N27">
            <v>-176967.20539196683</v>
          </cell>
          <cell r="O27">
            <v>-107038.15000903104</v>
          </cell>
          <cell r="P27">
            <v>-126507.03348017922</v>
          </cell>
          <cell r="Q27">
            <v>-132075.03443609807</v>
          </cell>
          <cell r="R27">
            <v>-106822.56145854389</v>
          </cell>
          <cell r="S27">
            <v>-185062.85696894259</v>
          </cell>
          <cell r="T27">
            <v>-45341.208357709023</v>
          </cell>
          <cell r="U27">
            <v>-43852.418320820863</v>
          </cell>
          <cell r="V27">
            <v>-144896.61764502717</v>
          </cell>
          <cell r="W27">
            <v>-52563.020586256302</v>
          </cell>
          <cell r="X27"/>
          <cell r="Y27"/>
          <cell r="Z27">
            <v>-2344478.2001519324</v>
          </cell>
          <cell r="AA27">
            <v>-7430.84</v>
          </cell>
          <cell r="AB27">
            <v>-178.619</v>
          </cell>
          <cell r="AC27">
            <v>9173.2439999999988</v>
          </cell>
          <cell r="AD27">
            <v>22138.248</v>
          </cell>
          <cell r="AE27"/>
          <cell r="AF27"/>
          <cell r="AG27"/>
          <cell r="AH27">
            <v>23702.032999999999</v>
          </cell>
          <cell r="AI27">
            <v>-2320776.1671519326</v>
          </cell>
          <cell r="AJ27">
            <v>818.68564240534033</v>
          </cell>
          <cell r="AK27">
            <v>-48133.780888837187</v>
          </cell>
          <cell r="AL27">
            <v>-119685.88259999995</v>
          </cell>
          <cell r="AM27"/>
          <cell r="AN27">
            <v>-167000.97784643181</v>
          </cell>
          <cell r="AO27">
            <v>-81299.122000000614</v>
          </cell>
          <cell r="AP27">
            <v>0</v>
          </cell>
          <cell r="AQ27"/>
          <cell r="AR27"/>
          <cell r="AS27">
            <v>-81299.122000000614</v>
          </cell>
          <cell r="AT27">
            <v>3230.6120000000001</v>
          </cell>
          <cell r="AU27">
            <v>749.83499999999913</v>
          </cell>
          <cell r="AV27">
            <v>819.92600000000004</v>
          </cell>
          <cell r="AW27"/>
          <cell r="AX27"/>
          <cell r="AY27"/>
          <cell r="AZ27"/>
          <cell r="BA27">
            <v>4800.3729999999996</v>
          </cell>
          <cell r="BB27">
            <v>0</v>
          </cell>
          <cell r="BC27">
            <v>-16213.385000000002</v>
          </cell>
          <cell r="BD27">
            <v>361085.56</v>
          </cell>
          <cell r="BE27">
            <v>0</v>
          </cell>
          <cell r="BF27">
            <v>-31554.266</v>
          </cell>
          <cell r="BG27">
            <v>0</v>
          </cell>
          <cell r="BH27"/>
          <cell r="BI27"/>
          <cell r="BJ27">
            <v>313317.90899999999</v>
          </cell>
          <cell r="BK27"/>
          <cell r="BL27"/>
          <cell r="BM27"/>
          <cell r="BN27"/>
          <cell r="BO27"/>
        </row>
        <row r="28">
          <cell r="F28">
            <v>-3.7252902984619141E-9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>
            <v>-2169658.8629983673</v>
          </cell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29129</v>
          </cell>
          <cell r="H31">
            <v>21471</v>
          </cell>
          <cell r="I31">
            <v>8475</v>
          </cell>
          <cell r="J31">
            <v>7692</v>
          </cell>
          <cell r="K31">
            <v>19626</v>
          </cell>
          <cell r="L31">
            <v>11794</v>
          </cell>
          <cell r="M31">
            <v>5282</v>
          </cell>
          <cell r="N31">
            <v>10532</v>
          </cell>
          <cell r="O31">
            <v>3393</v>
          </cell>
          <cell r="P31">
            <v>9434</v>
          </cell>
          <cell r="Q31">
            <v>4393</v>
          </cell>
          <cell r="R31">
            <v>9471</v>
          </cell>
          <cell r="S31">
            <v>15899</v>
          </cell>
          <cell r="T31">
            <v>1475</v>
          </cell>
          <cell r="U31">
            <v>1991</v>
          </cell>
          <cell r="V31">
            <v>6723</v>
          </cell>
          <cell r="W31">
            <v>3229</v>
          </cell>
          <cell r="X31">
            <v>0</v>
          </cell>
          <cell r="Y31">
            <v>0</v>
          </cell>
          <cell r="Z31">
            <v>170009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170009</v>
          </cell>
          <cell r="AJ31">
            <v>16342</v>
          </cell>
          <cell r="AK31">
            <v>20100</v>
          </cell>
          <cell r="AL31">
            <v>14232</v>
          </cell>
          <cell r="AM31"/>
          <cell r="AN31">
            <v>50674</v>
          </cell>
          <cell r="AO31">
            <v>4982.9359999999997</v>
          </cell>
          <cell r="AP31">
            <v>0</v>
          </cell>
          <cell r="AQ31"/>
          <cell r="AR31"/>
          <cell r="AS31">
            <v>4982.9359999999997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23760078.998999998</v>
          </cell>
          <cell r="G32">
            <v>3045115.267</v>
          </cell>
          <cell r="H32">
            <v>2218779.7059999998</v>
          </cell>
          <cell r="I32">
            <v>828129</v>
          </cell>
          <cell r="J32">
            <v>753178.06700000004</v>
          </cell>
          <cell r="K32">
            <v>2281764.85</v>
          </cell>
          <cell r="L32">
            <v>1207553.5</v>
          </cell>
          <cell r="M32">
            <v>541181.69999999995</v>
          </cell>
          <cell r="N32">
            <v>1143285.8999999999</v>
          </cell>
          <cell r="O32">
            <v>360557.1</v>
          </cell>
          <cell r="P32">
            <v>889228.80000000005</v>
          </cell>
          <cell r="Q32">
            <v>379724.82900000003</v>
          </cell>
          <cell r="R32">
            <v>1044540</v>
          </cell>
          <cell r="S32">
            <v>1625063.31</v>
          </cell>
          <cell r="T32">
            <v>189436.9</v>
          </cell>
          <cell r="U32">
            <v>216910.136</v>
          </cell>
          <cell r="V32">
            <v>640766.04799999995</v>
          </cell>
          <cell r="W32">
            <v>416631.15299999999</v>
          </cell>
          <cell r="X32">
            <v>0</v>
          </cell>
          <cell r="Y32">
            <v>0</v>
          </cell>
          <cell r="Z32">
            <v>17781846.265999999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E32"/>
          <cell r="AF32"/>
          <cell r="AG32"/>
          <cell r="AH32">
            <v>43340</v>
          </cell>
          <cell r="AI32">
            <v>17825186.265999999</v>
          </cell>
          <cell r="AJ32">
            <v>469160</v>
          </cell>
          <cell r="AK32">
            <v>288368</v>
          </cell>
          <cell r="AL32">
            <v>287010.40000000002</v>
          </cell>
          <cell r="AM32"/>
          <cell r="AN32">
            <v>1044538.4</v>
          </cell>
          <cell r="AO32">
            <v>4876703.1069999998</v>
          </cell>
          <cell r="AP32">
            <v>0</v>
          </cell>
          <cell r="AQ32"/>
          <cell r="AR32"/>
          <cell r="AS32">
            <v>4876703.1069999998</v>
          </cell>
          <cell r="AT32">
            <v>4700</v>
          </cell>
          <cell r="AU32">
            <v>6490</v>
          </cell>
          <cell r="AV32">
            <v>819.92600000000004</v>
          </cell>
          <cell r="AW32"/>
          <cell r="AX32"/>
          <cell r="AY32"/>
          <cell r="AZ32"/>
          <cell r="BA32">
            <v>12009.925999999999</v>
          </cell>
          <cell r="BB32">
            <v>0</v>
          </cell>
          <cell r="BC32">
            <v>1641.3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1641.3</v>
          </cell>
        </row>
        <row r="33">
          <cell r="F33">
            <v>22854422.033000007</v>
          </cell>
          <cell r="G33">
            <v>2796522.088</v>
          </cell>
          <cell r="H33">
            <v>2209939.9890000005</v>
          </cell>
          <cell r="I33">
            <v>916196.35499999998</v>
          </cell>
          <cell r="J33">
            <v>827215.17300000007</v>
          </cell>
          <cell r="K33">
            <v>2010332.1710000001</v>
          </cell>
          <cell r="L33">
            <v>1144140.787</v>
          </cell>
          <cell r="M33">
            <v>535415.152</v>
          </cell>
          <cell r="N33">
            <v>1123118.0510000002</v>
          </cell>
          <cell r="O33">
            <v>387853.25400000002</v>
          </cell>
          <cell r="P33">
            <v>862886.82900000003</v>
          </cell>
          <cell r="Q33">
            <v>429553.739</v>
          </cell>
          <cell r="R33">
            <v>991732.97600000002</v>
          </cell>
          <cell r="S33">
            <v>1573407.7220000001</v>
          </cell>
          <cell r="T33">
            <v>199170.209</v>
          </cell>
          <cell r="U33">
            <v>220347.019</v>
          </cell>
          <cell r="V33">
            <v>677405.60000000009</v>
          </cell>
          <cell r="W33">
            <v>403624.67299999995</v>
          </cell>
          <cell r="X33">
            <v>0</v>
          </cell>
          <cell r="Y33">
            <v>0</v>
          </cell>
          <cell r="Z33">
            <v>17308861.787000004</v>
          </cell>
          <cell r="AA33">
            <v>0</v>
          </cell>
          <cell r="AB33">
            <v>0</v>
          </cell>
          <cell r="AC33">
            <v>3326.7560000000003</v>
          </cell>
          <cell r="AD33">
            <v>8701.7519999999986</v>
          </cell>
          <cell r="AE33"/>
          <cell r="AF33"/>
          <cell r="AG33"/>
          <cell r="AH33">
            <v>12028.507999999998</v>
          </cell>
          <cell r="AI33">
            <v>17320890.295000006</v>
          </cell>
          <cell r="AJ33">
            <v>441327.538</v>
          </cell>
          <cell r="AK33">
            <v>319897.83199999999</v>
          </cell>
          <cell r="AL33">
            <v>390170.50299999997</v>
          </cell>
          <cell r="AM33"/>
          <cell r="AN33">
            <v>1151395.8729999999</v>
          </cell>
          <cell r="AO33">
            <v>4736011.8720000004</v>
          </cell>
          <cell r="AP33">
            <v>0</v>
          </cell>
          <cell r="AQ33"/>
          <cell r="AR33"/>
          <cell r="AS33">
            <v>4736011.8720000004</v>
          </cell>
          <cell r="AT33">
            <v>1469.3880000000001</v>
          </cell>
          <cell r="AU33">
            <v>5740.1650000000009</v>
          </cell>
          <cell r="AV33">
            <v>0</v>
          </cell>
          <cell r="AW33"/>
          <cell r="AX33"/>
          <cell r="AY33"/>
          <cell r="AZ33"/>
          <cell r="BA33">
            <v>7209.5530000000008</v>
          </cell>
          <cell r="BB33">
            <v>0</v>
          </cell>
          <cell r="BC33">
            <v>0</v>
          </cell>
          <cell r="BD33">
            <v>-361085.56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-361085.56</v>
          </cell>
        </row>
        <row r="34">
          <cell r="F34">
            <v>905656.9659999907</v>
          </cell>
          <cell r="G34">
            <v>248593.179</v>
          </cell>
          <cell r="H34">
            <v>8839.7169999992475</v>
          </cell>
          <cell r="I34">
            <v>-88067.354999999981</v>
          </cell>
          <cell r="J34">
            <v>-74037.106000000029</v>
          </cell>
          <cell r="K34">
            <v>271432.679</v>
          </cell>
          <cell r="L34">
            <v>63412.712999999989</v>
          </cell>
          <cell r="M34">
            <v>5766.5479999999516</v>
          </cell>
          <cell r="N34">
            <v>20167.848999999696</v>
          </cell>
          <cell r="O34">
            <v>-27296.154000000039</v>
          </cell>
          <cell r="P34">
            <v>26341.97100000002</v>
          </cell>
          <cell r="Q34">
            <v>-49828.909999999974</v>
          </cell>
          <cell r="R34">
            <v>52807.023999999976</v>
          </cell>
          <cell r="S34">
            <v>51655.587999999989</v>
          </cell>
          <cell r="T34">
            <v>-9733.3090000000084</v>
          </cell>
          <cell r="U34">
            <v>-3436.8830000000016</v>
          </cell>
          <cell r="V34">
            <v>-36639.552000000142</v>
          </cell>
          <cell r="W34">
            <v>13006.48000000004</v>
          </cell>
          <cell r="X34">
            <v>0</v>
          </cell>
          <cell r="Y34">
            <v>0</v>
          </cell>
          <cell r="Z34">
            <v>472984.4789999947</v>
          </cell>
          <cell r="AA34">
            <v>0</v>
          </cell>
          <cell r="AB34">
            <v>0</v>
          </cell>
          <cell r="AC34">
            <v>9173.2439999999988</v>
          </cell>
          <cell r="AD34">
            <v>22138.248</v>
          </cell>
          <cell r="AE34"/>
          <cell r="AF34"/>
          <cell r="AG34"/>
          <cell r="AH34">
            <v>31311.492000000002</v>
          </cell>
          <cell r="AI34">
            <v>504295.97099999338</v>
          </cell>
          <cell r="AJ34">
            <v>27832.462</v>
          </cell>
          <cell r="AK34">
            <v>-31529.831999999995</v>
          </cell>
          <cell r="AL34">
            <v>-103160.10299999994</v>
          </cell>
          <cell r="AM34"/>
          <cell r="AN34">
            <v>-106857.47299999988</v>
          </cell>
          <cell r="AO34">
            <v>140691.2349999994</v>
          </cell>
          <cell r="AP34">
            <v>0</v>
          </cell>
          <cell r="AQ34"/>
          <cell r="AR34"/>
          <cell r="AS34">
            <v>140691.2349999994</v>
          </cell>
          <cell r="AT34">
            <v>3230.6120000000001</v>
          </cell>
          <cell r="AU34">
            <v>749.83499999999913</v>
          </cell>
          <cell r="AV34">
            <v>819.92600000000004</v>
          </cell>
          <cell r="AW34"/>
          <cell r="AX34"/>
          <cell r="AY34"/>
          <cell r="AZ34"/>
          <cell r="BA34">
            <v>4800.3729999999987</v>
          </cell>
          <cell r="BB34">
            <v>0</v>
          </cell>
          <cell r="BC34">
            <v>1641.3</v>
          </cell>
          <cell r="BD34">
            <v>361085.56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362726.86</v>
          </cell>
        </row>
        <row r="35">
          <cell r="F35">
            <v>3156614.9509983636</v>
          </cell>
          <cell r="G35">
            <v>424561.75724830473</v>
          </cell>
          <cell r="H35">
            <v>327073.64906010422</v>
          </cell>
          <cell r="I35">
            <v>147544.03193484806</v>
          </cell>
          <cell r="J35">
            <v>128831.81883086852</v>
          </cell>
          <cell r="K35">
            <v>321925.87235936045</v>
          </cell>
          <cell r="L35">
            <v>206062.28636355361</v>
          </cell>
          <cell r="M35">
            <v>103293.05270031744</v>
          </cell>
          <cell r="N35">
            <v>197135.05439196658</v>
          </cell>
          <cell r="O35">
            <v>79741.99600903102</v>
          </cell>
          <cell r="P35">
            <v>152849.00448017928</v>
          </cell>
          <cell r="Q35">
            <v>82246.124436098078</v>
          </cell>
          <cell r="R35">
            <v>159629.58545854391</v>
          </cell>
          <cell r="S35">
            <v>236718.44496894258</v>
          </cell>
          <cell r="T35">
            <v>35607.899357709022</v>
          </cell>
          <cell r="U35">
            <v>40415.535320820862</v>
          </cell>
          <cell r="V35">
            <v>108257.06564502706</v>
          </cell>
          <cell r="W35">
            <v>65569.500586256327</v>
          </cell>
          <cell r="X35">
            <v>0</v>
          </cell>
          <cell r="Y35">
            <v>0</v>
          </cell>
          <cell r="Z35">
            <v>2817462.6791519322</v>
          </cell>
          <cell r="AA35">
            <v>7430.84</v>
          </cell>
          <cell r="AB35">
            <v>178.619</v>
          </cell>
          <cell r="AC35">
            <v>0</v>
          </cell>
          <cell r="AD35">
            <v>0</v>
          </cell>
          <cell r="AE35"/>
          <cell r="AF35"/>
          <cell r="AG35"/>
          <cell r="AH35">
            <v>7609.4589999999998</v>
          </cell>
          <cell r="AI35">
            <v>2825072.138151932</v>
          </cell>
          <cell r="AJ35">
            <v>27013.776357594652</v>
          </cell>
          <cell r="AK35">
            <v>16603.948888837185</v>
          </cell>
          <cell r="AL35">
            <v>16525.779599999998</v>
          </cell>
          <cell r="AM35"/>
          <cell r="AN35">
            <v>60143.504846431839</v>
          </cell>
          <cell r="AO35">
            <v>221990.35700000005</v>
          </cell>
          <cell r="AP35">
            <v>0</v>
          </cell>
          <cell r="AQ35"/>
          <cell r="AR35"/>
          <cell r="AS35">
            <v>221990.35700000005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17854.685000000001</v>
          </cell>
          <cell r="BD35">
            <v>0</v>
          </cell>
          <cell r="BE35">
            <v>0</v>
          </cell>
          <cell r="BF35">
            <v>31554.266</v>
          </cell>
          <cell r="BG35">
            <v>0</v>
          </cell>
          <cell r="BH35"/>
          <cell r="BI35"/>
          <cell r="BJ35">
            <v>49408.951000000001</v>
          </cell>
        </row>
        <row r="36">
          <cell r="F36">
            <v>-2250957.9849983728</v>
          </cell>
          <cell r="G36">
            <v>-175968.57824830472</v>
          </cell>
          <cell r="H36">
            <v>-318233.93206010497</v>
          </cell>
          <cell r="I36">
            <v>-235611.38693484804</v>
          </cell>
          <cell r="J36">
            <v>-202868.92483086855</v>
          </cell>
          <cell r="K36">
            <v>-50493.193359360448</v>
          </cell>
          <cell r="L36">
            <v>-142649.57336355362</v>
          </cell>
          <cell r="M36">
            <v>-97526.504700317484</v>
          </cell>
          <cell r="N36">
            <v>-176967.20539196688</v>
          </cell>
          <cell r="O36">
            <v>-107038.15000903106</v>
          </cell>
          <cell r="P36">
            <v>-126507.03348017926</v>
          </cell>
          <cell r="Q36">
            <v>-132075.03443609807</v>
          </cell>
          <cell r="R36">
            <v>-106822.56145854393</v>
          </cell>
          <cell r="S36">
            <v>-185062.85696894259</v>
          </cell>
          <cell r="T36">
            <v>-45341.208357709031</v>
          </cell>
          <cell r="U36">
            <v>-43852.418320820863</v>
          </cell>
          <cell r="V36">
            <v>-144896.6176450272</v>
          </cell>
          <cell r="W36">
            <v>-52563.020586256287</v>
          </cell>
          <cell r="X36">
            <v>0</v>
          </cell>
          <cell r="Y36">
            <v>0</v>
          </cell>
          <cell r="Z36">
            <v>-2344478.2001519375</v>
          </cell>
          <cell r="AA36">
            <v>-7430.84</v>
          </cell>
          <cell r="AB36">
            <v>-178.619</v>
          </cell>
          <cell r="AC36">
            <v>9173.2439999999988</v>
          </cell>
          <cell r="AD36">
            <v>22138.248</v>
          </cell>
          <cell r="AE36"/>
          <cell r="AF36"/>
          <cell r="AG36"/>
          <cell r="AH36">
            <v>23702.033000000003</v>
          </cell>
          <cell r="AI36">
            <v>-2320776.1671519387</v>
          </cell>
          <cell r="AJ36">
            <v>818.68564240534761</v>
          </cell>
          <cell r="AK36">
            <v>-48133.78088883718</v>
          </cell>
          <cell r="AL36">
            <v>-119685.88259999994</v>
          </cell>
          <cell r="AM36"/>
          <cell r="AN36">
            <v>-167000.97784643172</v>
          </cell>
          <cell r="AO36">
            <v>-81299.122000000643</v>
          </cell>
          <cell r="AP36">
            <v>0</v>
          </cell>
          <cell r="AQ36"/>
          <cell r="AR36"/>
          <cell r="AS36">
            <v>-81299.122000000643</v>
          </cell>
          <cell r="AT36">
            <v>3230.6120000000001</v>
          </cell>
          <cell r="AU36">
            <v>749.83499999999913</v>
          </cell>
          <cell r="AV36">
            <v>819.92600000000004</v>
          </cell>
          <cell r="AW36"/>
          <cell r="AX36"/>
          <cell r="AY36"/>
          <cell r="AZ36"/>
          <cell r="BA36">
            <v>4800.3729999999987</v>
          </cell>
          <cell r="BB36">
            <v>0</v>
          </cell>
          <cell r="BC36">
            <v>-16213.385000000002</v>
          </cell>
          <cell r="BD36">
            <v>361085.56</v>
          </cell>
          <cell r="BE36">
            <v>0</v>
          </cell>
          <cell r="BF36">
            <v>-31554.266</v>
          </cell>
          <cell r="BG36">
            <v>0</v>
          </cell>
          <cell r="BH36"/>
          <cell r="BI36"/>
          <cell r="BJ36">
            <v>313317.90899999999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-9950</v>
          </cell>
          <cell r="AK38">
            <v>-14324</v>
          </cell>
          <cell r="AL38">
            <v>-13256</v>
          </cell>
          <cell r="AM38"/>
          <cell r="AN38">
            <v>-37530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-788796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-293176</v>
          </cell>
          <cell r="AK39">
            <v>-222224</v>
          </cell>
          <cell r="AL39">
            <v>-273396</v>
          </cell>
          <cell r="AM39"/>
          <cell r="AN39">
            <v>-788796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-788796</v>
          </cell>
          <cell r="G40"/>
          <cell r="H40"/>
          <cell r="I40"/>
          <cell r="J40"/>
          <cell r="K40">
            <v>73174.517999999996</v>
          </cell>
          <cell r="L40">
            <v>-2871.2820000000002</v>
          </cell>
          <cell r="M40">
            <v>-580.86099999999999</v>
          </cell>
          <cell r="N40">
            <v>4613.8239999999996</v>
          </cell>
          <cell r="O40">
            <v>0</v>
          </cell>
          <cell r="P40">
            <v>4282.2209999999995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78618.419999999984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78618.419999999984</v>
          </cell>
          <cell r="AJ40">
            <v>-270215.946</v>
          </cell>
          <cell r="AK40">
            <v>-234375.91800000001</v>
          </cell>
          <cell r="AL40">
            <v>-362822.55599999998</v>
          </cell>
          <cell r="AM40"/>
          <cell r="AN40">
            <v>-867414.41999999993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-73174.517999999996</v>
          </cell>
          <cell r="L41">
            <v>2871.2820000000002</v>
          </cell>
          <cell r="M41">
            <v>580.86099999999999</v>
          </cell>
          <cell r="N41">
            <v>-4613.8239999999996</v>
          </cell>
          <cell r="O41">
            <v>0</v>
          </cell>
          <cell r="P41">
            <v>-4282.2209999999995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-78618.419999999984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-78618.419999999984</v>
          </cell>
          <cell r="AJ41">
            <v>-22960.054000000004</v>
          </cell>
          <cell r="AK41">
            <v>12151.918000000005</v>
          </cell>
          <cell r="AL41">
            <v>89426.555999999982</v>
          </cell>
          <cell r="AM41"/>
          <cell r="AN41">
            <v>78618.419999999925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-73174.517999999996</v>
          </cell>
          <cell r="L43">
            <v>2871.2820000000002</v>
          </cell>
          <cell r="M43">
            <v>580.86099999999999</v>
          </cell>
          <cell r="N43">
            <v>-4613.8239999999996</v>
          </cell>
          <cell r="O43">
            <v>0</v>
          </cell>
          <cell r="P43">
            <v>-4282.2209999999995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-78618.419999999984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-78618.419999999984</v>
          </cell>
          <cell r="AJ43">
            <v>-22960.054000000004</v>
          </cell>
          <cell r="AK43">
            <v>12151.918000000005</v>
          </cell>
          <cell r="AL43">
            <v>89426.555999999982</v>
          </cell>
          <cell r="AM43"/>
          <cell r="AN43">
            <v>78618.419999999925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29129</v>
          </cell>
          <cell r="H45">
            <v>21471</v>
          </cell>
          <cell r="I45">
            <v>8475</v>
          </cell>
          <cell r="J45">
            <v>7692</v>
          </cell>
          <cell r="K45">
            <v>19626</v>
          </cell>
          <cell r="L45">
            <v>11794</v>
          </cell>
          <cell r="M45">
            <v>5282</v>
          </cell>
          <cell r="N45">
            <v>10532</v>
          </cell>
          <cell r="O45">
            <v>3393</v>
          </cell>
          <cell r="P45">
            <v>9434</v>
          </cell>
          <cell r="Q45">
            <v>4393</v>
          </cell>
          <cell r="R45">
            <v>9471</v>
          </cell>
          <cell r="S45">
            <v>15899</v>
          </cell>
          <cell r="T45">
            <v>1475</v>
          </cell>
          <cell r="U45">
            <v>1991</v>
          </cell>
          <cell r="V45">
            <v>6723</v>
          </cell>
          <cell r="W45">
            <v>3229</v>
          </cell>
          <cell r="X45">
            <v>0</v>
          </cell>
          <cell r="Y45">
            <v>0</v>
          </cell>
          <cell r="Z45">
            <v>170009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170009</v>
          </cell>
          <cell r="AJ45">
            <v>6392</v>
          </cell>
          <cell r="AK45">
            <v>5776</v>
          </cell>
          <cell r="AL45">
            <v>976</v>
          </cell>
          <cell r="AM45"/>
          <cell r="AN45">
            <v>13144</v>
          </cell>
          <cell r="AO45">
            <v>4982.9359999999997</v>
          </cell>
          <cell r="AP45">
            <v>0</v>
          </cell>
          <cell r="AQ45"/>
          <cell r="AR45"/>
          <cell r="AS45">
            <v>4982.9359999999997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22971282.998999998</v>
          </cell>
          <cell r="G46">
            <v>3045115.267</v>
          </cell>
          <cell r="H46">
            <v>2218779.7059999998</v>
          </cell>
          <cell r="I46">
            <v>828129</v>
          </cell>
          <cell r="J46">
            <v>753178.06700000004</v>
          </cell>
          <cell r="K46">
            <v>2281764.85</v>
          </cell>
          <cell r="L46">
            <v>1207553.5</v>
          </cell>
          <cell r="M46">
            <v>541181.69999999995</v>
          </cell>
          <cell r="N46">
            <v>1143285.8999999999</v>
          </cell>
          <cell r="O46">
            <v>360557.1</v>
          </cell>
          <cell r="P46">
            <v>889228.80000000005</v>
          </cell>
          <cell r="Q46">
            <v>379724.82900000003</v>
          </cell>
          <cell r="R46">
            <v>1044540</v>
          </cell>
          <cell r="S46">
            <v>1625063.31</v>
          </cell>
          <cell r="T46">
            <v>189436.9</v>
          </cell>
          <cell r="U46">
            <v>216910.136</v>
          </cell>
          <cell r="V46">
            <v>640766.04799999995</v>
          </cell>
          <cell r="W46">
            <v>416631.15299999999</v>
          </cell>
          <cell r="X46">
            <v>0</v>
          </cell>
          <cell r="Y46">
            <v>0</v>
          </cell>
          <cell r="Z46">
            <v>17781846.265999999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E46"/>
          <cell r="AF46"/>
          <cell r="AG46"/>
          <cell r="AH46">
            <v>43340</v>
          </cell>
          <cell r="AI46">
            <v>17825186.265999999</v>
          </cell>
          <cell r="AJ46">
            <v>175984</v>
          </cell>
          <cell r="AK46">
            <v>66144</v>
          </cell>
          <cell r="AL46">
            <v>13614.400000000023</v>
          </cell>
          <cell r="AM46"/>
          <cell r="AN46">
            <v>255742.40000000002</v>
          </cell>
          <cell r="AO46">
            <v>4876703.1069999998</v>
          </cell>
          <cell r="AP46">
            <v>0</v>
          </cell>
          <cell r="AQ46"/>
          <cell r="AR46"/>
          <cell r="AS46">
            <v>4876703.1069999998</v>
          </cell>
          <cell r="AT46">
            <v>4700</v>
          </cell>
          <cell r="AU46">
            <v>6490</v>
          </cell>
          <cell r="AV46">
            <v>819.92600000000004</v>
          </cell>
          <cell r="AW46"/>
          <cell r="AX46"/>
          <cell r="AY46"/>
          <cell r="AZ46"/>
          <cell r="BA46">
            <v>12009.925999999999</v>
          </cell>
          <cell r="BB46">
            <v>0</v>
          </cell>
          <cell r="BC46">
            <v>1641.3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1641.3</v>
          </cell>
        </row>
        <row r="47">
          <cell r="F47">
            <v>22065626.033000007</v>
          </cell>
          <cell r="G47">
            <v>2796522.088</v>
          </cell>
          <cell r="H47">
            <v>2209939.9890000005</v>
          </cell>
          <cell r="I47">
            <v>916196.35499999998</v>
          </cell>
          <cell r="J47">
            <v>827215.17300000007</v>
          </cell>
          <cell r="K47">
            <v>2083506.689</v>
          </cell>
          <cell r="L47">
            <v>1141269.5050000001</v>
          </cell>
          <cell r="M47">
            <v>534834.29099999997</v>
          </cell>
          <cell r="N47">
            <v>1127731.8750000002</v>
          </cell>
          <cell r="O47">
            <v>387853.25400000002</v>
          </cell>
          <cell r="P47">
            <v>867169.05</v>
          </cell>
          <cell r="Q47">
            <v>429553.739</v>
          </cell>
          <cell r="R47">
            <v>991732.97600000002</v>
          </cell>
          <cell r="S47">
            <v>1573407.7220000001</v>
          </cell>
          <cell r="T47">
            <v>199170.209</v>
          </cell>
          <cell r="U47">
            <v>220347.019</v>
          </cell>
          <cell r="V47">
            <v>677405.60000000009</v>
          </cell>
          <cell r="W47">
            <v>403624.67299999995</v>
          </cell>
          <cell r="X47">
            <v>0</v>
          </cell>
          <cell r="Y47">
            <v>0</v>
          </cell>
          <cell r="Z47">
            <v>17387480.207000002</v>
          </cell>
          <cell r="AA47">
            <v>0</v>
          </cell>
          <cell r="AB47">
            <v>0</v>
          </cell>
          <cell r="AC47">
            <v>3326.7560000000003</v>
          </cell>
          <cell r="AD47">
            <v>8701.7519999999986</v>
          </cell>
          <cell r="AE47"/>
          <cell r="AF47"/>
          <cell r="AG47"/>
          <cell r="AH47">
            <v>12028.507999999998</v>
          </cell>
          <cell r="AI47">
            <v>17399508.715000004</v>
          </cell>
          <cell r="AJ47">
            <v>171111.592</v>
          </cell>
          <cell r="AK47">
            <v>85521.91399999999</v>
          </cell>
          <cell r="AL47">
            <v>27347.946999999986</v>
          </cell>
          <cell r="AM47"/>
          <cell r="AN47">
            <v>283981.45299999998</v>
          </cell>
          <cell r="AO47">
            <v>4736011.8720000004</v>
          </cell>
          <cell r="AP47">
            <v>0</v>
          </cell>
          <cell r="AQ47"/>
          <cell r="AR47"/>
          <cell r="AS47">
            <v>4736011.8720000004</v>
          </cell>
          <cell r="AT47">
            <v>1469.3880000000001</v>
          </cell>
          <cell r="AU47">
            <v>5740.1650000000009</v>
          </cell>
          <cell r="AV47">
            <v>0</v>
          </cell>
          <cell r="AW47"/>
          <cell r="AX47"/>
          <cell r="AY47"/>
          <cell r="AZ47"/>
          <cell r="BA47">
            <v>7209.5530000000008</v>
          </cell>
          <cell r="BB47">
            <v>0</v>
          </cell>
          <cell r="BC47">
            <v>0</v>
          </cell>
          <cell r="BD47">
            <v>-361085.56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-361085.56</v>
          </cell>
        </row>
        <row r="48">
          <cell r="F48">
            <v>905656.9659999907</v>
          </cell>
          <cell r="G48">
            <v>248593.179</v>
          </cell>
          <cell r="H48">
            <v>8839.7169999992475</v>
          </cell>
          <cell r="I48">
            <v>-88067.354999999981</v>
          </cell>
          <cell r="J48">
            <v>-74037.106000000029</v>
          </cell>
          <cell r="K48">
            <v>198258.16100000008</v>
          </cell>
          <cell r="L48">
            <v>66283.994999999879</v>
          </cell>
          <cell r="M48">
            <v>6347.4089999999851</v>
          </cell>
          <cell r="N48">
            <v>15554.024999999674</v>
          </cell>
          <cell r="O48">
            <v>-27296.154000000039</v>
          </cell>
          <cell r="P48">
            <v>22059.75</v>
          </cell>
          <cell r="Q48">
            <v>-49828.909999999974</v>
          </cell>
          <cell r="R48">
            <v>52807.023999999976</v>
          </cell>
          <cell r="S48">
            <v>51655.587999999989</v>
          </cell>
          <cell r="T48">
            <v>-9733.3090000000084</v>
          </cell>
          <cell r="U48">
            <v>-3436.8830000000016</v>
          </cell>
          <cell r="V48">
            <v>-36639.552000000142</v>
          </cell>
          <cell r="W48">
            <v>13006.48000000004</v>
          </cell>
          <cell r="X48">
            <v>0</v>
          </cell>
          <cell r="Y48">
            <v>0</v>
          </cell>
          <cell r="Z48">
            <v>394366.05899999663</v>
          </cell>
          <cell r="AA48">
            <v>0</v>
          </cell>
          <cell r="AB48">
            <v>0</v>
          </cell>
          <cell r="AC48">
            <v>9173.2439999999988</v>
          </cell>
          <cell r="AD48">
            <v>22138.248</v>
          </cell>
          <cell r="AE48"/>
          <cell r="AF48"/>
          <cell r="AG48"/>
          <cell r="AH48">
            <v>31311.492000000002</v>
          </cell>
          <cell r="AI48">
            <v>425677.55099999532</v>
          </cell>
          <cell r="AJ48">
            <v>4872.4079999999958</v>
          </cell>
          <cell r="AK48">
            <v>-19377.91399999999</v>
          </cell>
          <cell r="AL48">
            <v>-13733.546999999962</v>
          </cell>
          <cell r="AM48"/>
          <cell r="AN48">
            <v>-28239.052999999956</v>
          </cell>
          <cell r="AO48">
            <v>140691.2349999994</v>
          </cell>
          <cell r="AP48">
            <v>0</v>
          </cell>
          <cell r="AQ48"/>
          <cell r="AR48"/>
          <cell r="AS48">
            <v>140691.2349999994</v>
          </cell>
          <cell r="AT48">
            <v>3230.6120000000001</v>
          </cell>
          <cell r="AU48">
            <v>749.83499999999913</v>
          </cell>
          <cell r="AV48">
            <v>819.92600000000004</v>
          </cell>
          <cell r="AW48"/>
          <cell r="AX48"/>
          <cell r="AY48"/>
          <cell r="AZ48"/>
          <cell r="BA48">
            <v>4800.3729999999987</v>
          </cell>
          <cell r="BB48">
            <v>0</v>
          </cell>
          <cell r="BC48">
            <v>1641.3</v>
          </cell>
          <cell r="BD48">
            <v>361085.56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362726.86</v>
          </cell>
        </row>
        <row r="49">
          <cell r="F49">
            <v>3156614.9509983636</v>
          </cell>
          <cell r="G49">
            <v>424561.75724830473</v>
          </cell>
          <cell r="H49">
            <v>327073.64906010422</v>
          </cell>
          <cell r="I49">
            <v>147544.03193484806</v>
          </cell>
          <cell r="J49">
            <v>128831.81883086852</v>
          </cell>
          <cell r="K49">
            <v>321925.87235936045</v>
          </cell>
          <cell r="L49">
            <v>206062.28636355361</v>
          </cell>
          <cell r="M49">
            <v>103293.05270031744</v>
          </cell>
          <cell r="N49">
            <v>197135.05439196658</v>
          </cell>
          <cell r="O49">
            <v>79741.99600903102</v>
          </cell>
          <cell r="P49">
            <v>152849.00448017928</v>
          </cell>
          <cell r="Q49">
            <v>82246.124436098078</v>
          </cell>
          <cell r="R49">
            <v>159629.58545854391</v>
          </cell>
          <cell r="S49">
            <v>236718.44496894258</v>
          </cell>
          <cell r="T49">
            <v>35607.899357709022</v>
          </cell>
          <cell r="U49">
            <v>40415.535320820862</v>
          </cell>
          <cell r="V49">
            <v>108257.06564502706</v>
          </cell>
          <cell r="W49">
            <v>65569.500586256327</v>
          </cell>
          <cell r="X49">
            <v>0</v>
          </cell>
          <cell r="Y49">
            <v>0</v>
          </cell>
          <cell r="Z49">
            <v>2817462.6791519322</v>
          </cell>
          <cell r="AA49">
            <v>7430.84</v>
          </cell>
          <cell r="AB49">
            <v>178.619</v>
          </cell>
          <cell r="AC49">
            <v>0</v>
          </cell>
          <cell r="AD49">
            <v>0</v>
          </cell>
          <cell r="AE49"/>
          <cell r="AF49"/>
          <cell r="AG49"/>
          <cell r="AH49">
            <v>7609.4589999999998</v>
          </cell>
          <cell r="AI49">
            <v>2825072.138151932</v>
          </cell>
          <cell r="AJ49">
            <v>27013.776357594652</v>
          </cell>
          <cell r="AK49">
            <v>16603.948888837185</v>
          </cell>
          <cell r="AL49">
            <v>16525.779599999998</v>
          </cell>
          <cell r="AM49"/>
          <cell r="AN49">
            <v>60143.504846431839</v>
          </cell>
          <cell r="AO49">
            <v>221990.35700000005</v>
          </cell>
          <cell r="AP49">
            <v>0</v>
          </cell>
          <cell r="AQ49"/>
          <cell r="AR49"/>
          <cell r="AS49">
            <v>221990.35700000005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17854.685000000001</v>
          </cell>
          <cell r="BD49">
            <v>0</v>
          </cell>
          <cell r="BE49">
            <v>0</v>
          </cell>
          <cell r="BF49">
            <v>31554.266</v>
          </cell>
          <cell r="BG49">
            <v>0</v>
          </cell>
          <cell r="BH49"/>
          <cell r="BI49"/>
          <cell r="BJ49">
            <v>49408.951000000001</v>
          </cell>
        </row>
        <row r="50">
          <cell r="F50">
            <v>-2250957.9849983728</v>
          </cell>
          <cell r="G50">
            <v>-175968.57824830472</v>
          </cell>
          <cell r="H50">
            <v>-318233.93206010497</v>
          </cell>
          <cell r="I50">
            <v>-235611.38693484804</v>
          </cell>
          <cell r="J50">
            <v>-202868.92483086855</v>
          </cell>
          <cell r="K50">
            <v>-123667.71135936037</v>
          </cell>
          <cell r="L50">
            <v>-139778.29136355373</v>
          </cell>
          <cell r="M50">
            <v>-96945.643700317451</v>
          </cell>
          <cell r="N50">
            <v>-181581.02939196691</v>
          </cell>
          <cell r="O50">
            <v>-107038.15000903106</v>
          </cell>
          <cell r="P50">
            <v>-130789.25448017928</v>
          </cell>
          <cell r="Q50">
            <v>-132075.03443609807</v>
          </cell>
          <cell r="R50">
            <v>-106822.56145854393</v>
          </cell>
          <cell r="S50">
            <v>-185062.85696894259</v>
          </cell>
          <cell r="T50">
            <v>-45341.208357709031</v>
          </cell>
          <cell r="U50">
            <v>-43852.418320820863</v>
          </cell>
          <cell r="V50">
            <v>-144896.6176450272</v>
          </cell>
          <cell r="W50">
            <v>-52563.020586256287</v>
          </cell>
          <cell r="X50">
            <v>0</v>
          </cell>
          <cell r="Y50">
            <v>0</v>
          </cell>
          <cell r="Z50">
            <v>-2423096.6201519356</v>
          </cell>
          <cell r="AA50">
            <v>-7430.84</v>
          </cell>
          <cell r="AB50">
            <v>-178.619</v>
          </cell>
          <cell r="AC50">
            <v>9173.2439999999988</v>
          </cell>
          <cell r="AD50">
            <v>22138.248</v>
          </cell>
          <cell r="AE50"/>
          <cell r="AF50"/>
          <cell r="AG50"/>
          <cell r="AH50">
            <v>23702.033000000003</v>
          </cell>
          <cell r="AI50">
            <v>-2399394.5871519367</v>
          </cell>
          <cell r="AJ50">
            <v>-22141.368357594656</v>
          </cell>
          <cell r="AK50">
            <v>-35981.862888837175</v>
          </cell>
          <cell r="AL50">
            <v>-30259.32659999996</v>
          </cell>
          <cell r="AM50"/>
          <cell r="AN50">
            <v>-88382.557846431795</v>
          </cell>
          <cell r="AO50">
            <v>-81299.122000000643</v>
          </cell>
          <cell r="AP50">
            <v>0</v>
          </cell>
          <cell r="AQ50"/>
          <cell r="AR50"/>
          <cell r="AS50">
            <v>-81299.122000000643</v>
          </cell>
          <cell r="AT50">
            <v>3230.6120000000001</v>
          </cell>
          <cell r="AU50">
            <v>749.83499999999913</v>
          </cell>
          <cell r="AV50">
            <v>819.92600000000004</v>
          </cell>
          <cell r="AW50"/>
          <cell r="AX50"/>
          <cell r="AY50"/>
          <cell r="AZ50"/>
          <cell r="BA50">
            <v>4800.3729999999987</v>
          </cell>
          <cell r="BB50">
            <v>0</v>
          </cell>
          <cell r="BC50">
            <v>-16213.385000000002</v>
          </cell>
          <cell r="BD50">
            <v>361085.56</v>
          </cell>
          <cell r="BE50">
            <v>0</v>
          </cell>
          <cell r="BF50">
            <v>-31554.266</v>
          </cell>
          <cell r="BG50">
            <v>0</v>
          </cell>
          <cell r="BH50"/>
          <cell r="BI50"/>
          <cell r="BJ50">
            <v>313317.90899999999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59991</v>
          </cell>
          <cell r="H7">
            <v>43340</v>
          </cell>
          <cell r="I7">
            <v>15925</v>
          </cell>
          <cell r="J7">
            <v>14328</v>
          </cell>
          <cell r="K7">
            <v>41190</v>
          </cell>
          <cell r="L7">
            <v>28274</v>
          </cell>
          <cell r="M7">
            <v>9830</v>
          </cell>
          <cell r="N7">
            <v>20621</v>
          </cell>
          <cell r="O7">
            <v>8574</v>
          </cell>
          <cell r="P7">
            <v>16934</v>
          </cell>
          <cell r="Q7">
            <v>7091.5</v>
          </cell>
          <cell r="R7">
            <v>20021</v>
          </cell>
          <cell r="S7">
            <v>30402</v>
          </cell>
          <cell r="T7">
            <v>3620.5</v>
          </cell>
          <cell r="U7">
            <v>4058.5</v>
          </cell>
          <cell r="V7">
            <v>14883.5</v>
          </cell>
          <cell r="W7">
            <v>7045.5</v>
          </cell>
          <cell r="X7"/>
          <cell r="Y7"/>
          <cell r="Z7">
            <v>346129.5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346129.5</v>
          </cell>
          <cell r="AJ7">
            <v>32696</v>
          </cell>
          <cell r="AK7">
            <v>41788</v>
          </cell>
          <cell r="AL7">
            <v>31683</v>
          </cell>
          <cell r="AM7"/>
          <cell r="AN7">
            <v>106167</v>
          </cell>
          <cell r="AO7">
            <v>9952.7739999999994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48787895.959000006</v>
          </cell>
          <cell r="G8">
            <v>6382296.1779999994</v>
          </cell>
          <cell r="H8">
            <v>4441479.8640000001</v>
          </cell>
          <cell r="I8">
            <v>1578117.2</v>
          </cell>
          <cell r="J8">
            <v>1404973.4350000001</v>
          </cell>
          <cell r="K8">
            <v>4850999.75</v>
          </cell>
          <cell r="L8">
            <v>2978686.91</v>
          </cell>
          <cell r="M8">
            <v>948748.7</v>
          </cell>
          <cell r="N8">
            <v>2163123</v>
          </cell>
          <cell r="O8">
            <v>867442.39999999991</v>
          </cell>
          <cell r="P8">
            <v>1649916.1</v>
          </cell>
          <cell r="Q8">
            <v>630109.29500000004</v>
          </cell>
          <cell r="R8">
            <v>2221073.7000000002</v>
          </cell>
          <cell r="S8">
            <v>3130994.5750000002</v>
          </cell>
          <cell r="T8">
            <v>456684.69999999995</v>
          </cell>
          <cell r="U8">
            <v>463159.98600000003</v>
          </cell>
          <cell r="V8">
            <v>1472581.398</v>
          </cell>
          <cell r="W8">
            <v>887314.01300000004</v>
          </cell>
          <cell r="X8"/>
          <cell r="Y8"/>
          <cell r="Z8">
            <v>36527701.204000004</v>
          </cell>
          <cell r="AA8">
            <v>0</v>
          </cell>
          <cell r="AB8">
            <v>0</v>
          </cell>
          <cell r="AC8">
            <v>25000</v>
          </cell>
          <cell r="AD8">
            <v>61680</v>
          </cell>
          <cell r="AE8"/>
          <cell r="AF8"/>
          <cell r="AG8"/>
          <cell r="AH8">
            <v>86680</v>
          </cell>
          <cell r="AI8">
            <v>36614381.204000004</v>
          </cell>
          <cell r="AJ8">
            <v>940477.5</v>
          </cell>
          <cell r="AK8">
            <v>602688</v>
          </cell>
          <cell r="AL8">
            <v>631113.30000000005</v>
          </cell>
          <cell r="AM8"/>
          <cell r="AN8">
            <v>2174278.7999999998</v>
          </cell>
          <cell r="AO8">
            <v>9976589.8509999998</v>
          </cell>
          <cell r="AP8">
            <v>0</v>
          </cell>
          <cell r="AQ8"/>
          <cell r="AR8"/>
          <cell r="AS8">
            <v>9976589.8509999998</v>
          </cell>
          <cell r="AT8">
            <v>4700</v>
          </cell>
          <cell r="AU8">
            <v>12980</v>
          </cell>
          <cell r="AV8">
            <v>1683.5039999999999</v>
          </cell>
          <cell r="AW8"/>
          <cell r="AX8"/>
          <cell r="AY8"/>
          <cell r="AZ8"/>
          <cell r="BA8">
            <v>19363.504000000001</v>
          </cell>
          <cell r="BB8">
            <v>0</v>
          </cell>
          <cell r="BC8">
            <v>3282.6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3282.6</v>
          </cell>
          <cell r="BK8"/>
          <cell r="BL8"/>
          <cell r="BM8"/>
          <cell r="BN8"/>
          <cell r="BO8"/>
        </row>
        <row r="9">
          <cell r="F9"/>
          <cell r="G9">
            <v>106387.56110083178</v>
          </cell>
          <cell r="H9">
            <v>102479.92302722657</v>
          </cell>
          <cell r="I9">
            <v>99096.841444270016</v>
          </cell>
          <cell r="J9">
            <v>98057.889098269123</v>
          </cell>
          <cell r="K9">
            <v>117771.29764505947</v>
          </cell>
          <cell r="L9">
            <v>105350.74308552027</v>
          </cell>
          <cell r="M9">
            <v>96515.635808748732</v>
          </cell>
          <cell r="N9">
            <v>104899.03496435673</v>
          </cell>
          <cell r="O9">
            <v>101171.26195474689</v>
          </cell>
          <cell r="P9">
            <v>97432.154245895828</v>
          </cell>
          <cell r="Q9">
            <v>88854.162730028911</v>
          </cell>
          <cell r="R9">
            <v>110937.20093901404</v>
          </cell>
          <cell r="S9">
            <v>102986.4671732123</v>
          </cell>
          <cell r="T9">
            <v>126138.57202043915</v>
          </cell>
          <cell r="U9">
            <v>114120.97720832822</v>
          </cell>
          <cell r="V9">
            <v>98940.53132663689</v>
          </cell>
          <cell r="W9">
            <v>125940.53126108863</v>
          </cell>
          <cell r="X9"/>
          <cell r="Y9"/>
          <cell r="Z9">
            <v>105531.89255466525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105782.31905688479</v>
          </cell>
          <cell r="AJ9">
            <v>28764.298385123562</v>
          </cell>
          <cell r="AK9">
            <v>14422.513640279507</v>
          </cell>
          <cell r="AL9">
            <v>19919.61935422782</v>
          </cell>
          <cell r="AM9"/>
          <cell r="AN9"/>
          <cell r="AO9">
            <v>1002392.8857422062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45655404.538010009</v>
          </cell>
          <cell r="G10">
            <v>5776615.76669</v>
          </cell>
          <cell r="H10">
            <v>4324926.3581100004</v>
          </cell>
          <cell r="I10">
            <v>1701318.5059099998</v>
          </cell>
          <cell r="J10">
            <v>1507093.38745</v>
          </cell>
          <cell r="K10">
            <v>4033301.9976900006</v>
          </cell>
          <cell r="L10">
            <v>2537429.8684099996</v>
          </cell>
          <cell r="M10">
            <v>977268.61610999983</v>
          </cell>
          <cell r="N10">
            <v>2109192.0250900001</v>
          </cell>
          <cell r="O10">
            <v>871795.06407000008</v>
          </cell>
          <cell r="P10">
            <v>1508475.7157000001</v>
          </cell>
          <cell r="Q10">
            <v>714052.94142000005</v>
          </cell>
          <cell r="R10">
            <v>2025910.9826700001</v>
          </cell>
          <cell r="S10">
            <v>2958234.0625999998</v>
          </cell>
          <cell r="T10">
            <v>437190.16639000003</v>
          </cell>
          <cell r="U10">
            <v>431056.91576999996</v>
          </cell>
          <cell r="V10">
            <v>1453870.0054899999</v>
          </cell>
          <cell r="W10">
            <v>830963.83996999986</v>
          </cell>
          <cell r="X10"/>
          <cell r="Y10"/>
          <cell r="Z10">
            <v>34198696.219540007</v>
          </cell>
          <cell r="AA10">
            <v>0</v>
          </cell>
          <cell r="AB10">
            <v>0</v>
          </cell>
          <cell r="AC10">
            <v>228.10500000000002</v>
          </cell>
          <cell r="AD10">
            <v>994.77800000000002</v>
          </cell>
          <cell r="AE10"/>
          <cell r="AF10"/>
          <cell r="AG10"/>
          <cell r="AH10">
            <v>1222.883</v>
          </cell>
          <cell r="AI10">
            <v>34199919.102540009</v>
          </cell>
          <cell r="AJ10">
            <v>799706.50884000002</v>
          </cell>
          <cell r="AK10">
            <v>583237.19532000006</v>
          </cell>
          <cell r="AL10">
            <v>724873.71931000007</v>
          </cell>
          <cell r="AM10"/>
          <cell r="AN10">
            <v>2107817.4234700003</v>
          </cell>
          <cell r="AO10">
            <v>9707968.5380000006</v>
          </cell>
          <cell r="AP10">
            <v>0</v>
          </cell>
          <cell r="AQ10"/>
          <cell r="AR10"/>
          <cell r="AS10">
            <v>9707968.5380000006</v>
          </cell>
          <cell r="AT10">
            <v>329.75900000000001</v>
          </cell>
          <cell r="AU10">
            <v>455.27499999999998</v>
          </cell>
          <cell r="AV10">
            <v>0</v>
          </cell>
          <cell r="AW10"/>
          <cell r="AX10"/>
          <cell r="AY10"/>
          <cell r="AZ10"/>
          <cell r="BA10">
            <v>785.03399999999999</v>
          </cell>
          <cell r="BB10">
            <v>0</v>
          </cell>
          <cell r="BC10">
            <v>0</v>
          </cell>
          <cell r="BD10">
            <v>-361085.56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-361085.56</v>
          </cell>
          <cell r="BK10"/>
          <cell r="BL10"/>
          <cell r="BM10"/>
          <cell r="BN10"/>
          <cell r="BO10"/>
        </row>
        <row r="11">
          <cell r="F11"/>
          <cell r="G11">
            <v>96291.373150805957</v>
          </cell>
          <cell r="H11">
            <v>99790.640473234904</v>
          </cell>
          <cell r="I11">
            <v>106833.18718430141</v>
          </cell>
          <cell r="J11">
            <v>105185.18896217197</v>
          </cell>
          <cell r="K11">
            <v>97919.44641150767</v>
          </cell>
          <cell r="L11">
            <v>89744.283384381401</v>
          </cell>
          <cell r="M11">
            <v>99416.949756866714</v>
          </cell>
          <cell r="N11">
            <v>102283.692599292</v>
          </cell>
          <cell r="O11">
            <v>101678.92046536041</v>
          </cell>
          <cell r="P11">
            <v>89079.704482107001</v>
          </cell>
          <cell r="Q11">
            <v>100691.38284142989</v>
          </cell>
          <cell r="R11">
            <v>101189.30036811347</v>
          </cell>
          <cell r="S11">
            <v>97303.929432274192</v>
          </cell>
          <cell r="T11">
            <v>120754.08545504767</v>
          </cell>
          <cell r="U11">
            <v>106210.89460884561</v>
          </cell>
          <cell r="V11">
            <v>97683.340980952053</v>
          </cell>
          <cell r="W11">
            <v>117942.49378610459</v>
          </cell>
          <cell r="X11"/>
          <cell r="Y11"/>
          <cell r="Z11">
            <v>98803.182680297425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98806.71570189773</v>
          </cell>
          <cell r="AJ11">
            <v>24458.848447516517</v>
          </cell>
          <cell r="AK11">
            <v>13957.049758782427</v>
          </cell>
          <cell r="AL11">
            <v>22878.948310134772</v>
          </cell>
          <cell r="AM11"/>
          <cell r="AN11"/>
          <cell r="AO11">
            <v>975403.29339337978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3132491.4209899977</v>
          </cell>
          <cell r="G12">
            <v>605680.41130999941</v>
          </cell>
          <cell r="H12">
            <v>116553.50588999968</v>
          </cell>
          <cell r="I12">
            <v>-123201.30590999988</v>
          </cell>
          <cell r="J12">
            <v>-102119.95244999998</v>
          </cell>
          <cell r="K12">
            <v>817697.75230999943</v>
          </cell>
          <cell r="L12">
            <v>441257.0415900005</v>
          </cell>
          <cell r="M12">
            <v>-28519.916109999875</v>
          </cell>
          <cell r="N12">
            <v>53930.974909999873</v>
          </cell>
          <cell r="O12">
            <v>-4352.6640700001735</v>
          </cell>
          <cell r="P12">
            <v>141440.38430000003</v>
          </cell>
          <cell r="Q12">
            <v>-83943.646420000005</v>
          </cell>
          <cell r="R12">
            <v>195162.71733000013</v>
          </cell>
          <cell r="S12">
            <v>172760.51240000036</v>
          </cell>
          <cell r="T12">
            <v>19494.533609999926</v>
          </cell>
          <cell r="U12">
            <v>32103.07023000007</v>
          </cell>
          <cell r="V12">
            <v>18711.392510000151</v>
          </cell>
          <cell r="W12">
            <v>56350.17303000018</v>
          </cell>
          <cell r="X12"/>
          <cell r="Y12"/>
          <cell r="Z12">
            <v>2329004.9844599995</v>
          </cell>
          <cell r="AA12">
            <v>0</v>
          </cell>
          <cell r="AB12">
            <v>0</v>
          </cell>
          <cell r="AC12">
            <v>24771.895</v>
          </cell>
          <cell r="AD12">
            <v>60685.222000000002</v>
          </cell>
          <cell r="AE12"/>
          <cell r="AF12"/>
          <cell r="AG12"/>
          <cell r="AH12">
            <v>85457.116999999998</v>
          </cell>
          <cell r="AI12">
            <v>2414462.1014599949</v>
          </cell>
          <cell r="AJ12">
            <v>140770.99115999998</v>
          </cell>
          <cell r="AK12">
            <v>19450.804679999943</v>
          </cell>
          <cell r="AL12">
            <v>-93760.419310000027</v>
          </cell>
          <cell r="AM12"/>
          <cell r="AN12">
            <v>66461.376529999543</v>
          </cell>
          <cell r="AO12">
            <v>268621.31299999915</v>
          </cell>
          <cell r="AP12">
            <v>0</v>
          </cell>
          <cell r="AQ12"/>
          <cell r="AR12"/>
          <cell r="AS12">
            <v>268621.31299999915</v>
          </cell>
          <cell r="AT12">
            <v>4370.241</v>
          </cell>
          <cell r="AU12">
            <v>12524.725</v>
          </cell>
          <cell r="AV12">
            <v>1683.5039999999999</v>
          </cell>
          <cell r="AW12"/>
          <cell r="AX12"/>
          <cell r="AY12"/>
          <cell r="AZ12"/>
          <cell r="BA12">
            <v>18578.47</v>
          </cell>
          <cell r="BB12">
            <v>0</v>
          </cell>
          <cell r="BC12">
            <v>3282.6</v>
          </cell>
          <cell r="BD12">
            <v>361085.56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364368.16</v>
          </cell>
          <cell r="BK12"/>
          <cell r="BL12"/>
          <cell r="BM12"/>
          <cell r="BN12"/>
          <cell r="BO12"/>
        </row>
        <row r="13">
          <cell r="F13">
            <v>1777519</v>
          </cell>
          <cell r="G13">
            <v>158667.97200000001</v>
          </cell>
          <cell r="H13">
            <v>146330.12100000001</v>
          </cell>
          <cell r="I13">
            <v>99110.34599999999</v>
          </cell>
          <cell r="J13">
            <v>82873.740000000005</v>
          </cell>
          <cell r="K13">
            <v>117854.31200000001</v>
          </cell>
          <cell r="L13">
            <v>120822.60200000001</v>
          </cell>
          <cell r="M13">
            <v>72397.790999999997</v>
          </cell>
          <cell r="N13">
            <v>114561.952</v>
          </cell>
          <cell r="O13">
            <v>65071.878000000004</v>
          </cell>
          <cell r="P13">
            <v>87637.335999999996</v>
          </cell>
          <cell r="Q13">
            <v>67098.339000000007</v>
          </cell>
          <cell r="R13">
            <v>68364.11099999999</v>
          </cell>
          <cell r="S13">
            <v>105569.394</v>
          </cell>
          <cell r="T13">
            <v>24897.028999999999</v>
          </cell>
          <cell r="U13">
            <v>27715.952999999998</v>
          </cell>
          <cell r="V13">
            <v>66718.59599999999</v>
          </cell>
          <cell r="W13">
            <v>36045.251999999993</v>
          </cell>
          <cell r="X13"/>
          <cell r="Y13"/>
          <cell r="Z13">
            <v>1461736.7239999999</v>
          </cell>
          <cell r="AA13">
            <v>3506.2</v>
          </cell>
          <cell r="AB13">
            <v>462.58799999999997</v>
          </cell>
          <cell r="AC13">
            <v>0</v>
          </cell>
          <cell r="AD13">
            <v>0</v>
          </cell>
          <cell r="AE13"/>
          <cell r="AF13"/>
          <cell r="AG13"/>
          <cell r="AH13">
            <v>3968.7879999999996</v>
          </cell>
          <cell r="AI13">
            <v>1465705.5120000001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286403.41600000003</v>
          </cell>
          <cell r="AP13">
            <v>0</v>
          </cell>
          <cell r="AQ13"/>
          <cell r="AR13"/>
          <cell r="AS13">
            <v>286403.41600000003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25410.072</v>
          </cell>
          <cell r="BG13">
            <v>0</v>
          </cell>
          <cell r="BH13"/>
          <cell r="BI13"/>
          <cell r="BJ13">
            <v>25410.072</v>
          </cell>
          <cell r="BK13"/>
          <cell r="BL13"/>
          <cell r="BM13"/>
          <cell r="BN13"/>
          <cell r="BO13"/>
        </row>
        <row r="14">
          <cell r="F14">
            <v>1250518.2859999998</v>
          </cell>
          <cell r="G14">
            <v>108792.61600000001</v>
          </cell>
          <cell r="H14">
            <v>103046.342</v>
          </cell>
          <cell r="I14">
            <v>70926.368000000002</v>
          </cell>
          <cell r="J14">
            <v>63796.448000000004</v>
          </cell>
          <cell r="K14">
            <v>75764.752000000008</v>
          </cell>
          <cell r="L14">
            <v>86687.150000000009</v>
          </cell>
          <cell r="M14">
            <v>51026.987999999998</v>
          </cell>
          <cell r="N14">
            <v>78796.26400000001</v>
          </cell>
          <cell r="O14">
            <v>47797.628000000004</v>
          </cell>
          <cell r="P14">
            <v>63028.729999999996</v>
          </cell>
          <cell r="Q14">
            <v>49626.614000000001</v>
          </cell>
          <cell r="R14">
            <v>46723.573999999993</v>
          </cell>
          <cell r="S14">
            <v>79701.046000000002</v>
          </cell>
          <cell r="T14">
            <v>17186.063999999998</v>
          </cell>
          <cell r="U14">
            <v>19256.019999999997</v>
          </cell>
          <cell r="V14">
            <v>51447.101999999999</v>
          </cell>
          <cell r="W14">
            <v>26478.597999999998</v>
          </cell>
          <cell r="X14"/>
          <cell r="Y14"/>
          <cell r="Z14">
            <v>1040082.3039999999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1040082.3039999999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210435.98200000002</v>
          </cell>
          <cell r="AP14">
            <v>0</v>
          </cell>
          <cell r="AQ14"/>
          <cell r="AR14"/>
          <cell r="AS14">
            <v>210435.98200000002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527000.71400000015</v>
          </cell>
          <cell r="G15">
            <v>49875.356</v>
          </cell>
          <cell r="H15">
            <v>43283.779000000002</v>
          </cell>
          <cell r="I15">
            <v>28183.977999999996</v>
          </cell>
          <cell r="J15">
            <v>19077.292000000001</v>
          </cell>
          <cell r="K15">
            <v>42089.56</v>
          </cell>
          <cell r="L15">
            <v>34135.451999999997</v>
          </cell>
          <cell r="M15">
            <v>21370.803</v>
          </cell>
          <cell r="N15">
            <v>35765.687999999995</v>
          </cell>
          <cell r="O15">
            <v>17274.25</v>
          </cell>
          <cell r="P15">
            <v>24608.606</v>
          </cell>
          <cell r="Q15">
            <v>17471.725000000002</v>
          </cell>
          <cell r="R15">
            <v>21640.537</v>
          </cell>
          <cell r="S15">
            <v>25868.347999999998</v>
          </cell>
          <cell r="T15">
            <v>7710.9650000000001</v>
          </cell>
          <cell r="U15">
            <v>8459.9330000000009</v>
          </cell>
          <cell r="V15">
            <v>15271.493999999999</v>
          </cell>
          <cell r="W15">
            <v>9566.6539999999986</v>
          </cell>
          <cell r="X15"/>
          <cell r="Y15"/>
          <cell r="Z15">
            <v>421654.4200000001</v>
          </cell>
          <cell r="AA15">
            <v>3506.2</v>
          </cell>
          <cell r="AB15">
            <v>462.58799999999997</v>
          </cell>
          <cell r="AC15">
            <v>0</v>
          </cell>
          <cell r="AD15">
            <v>0</v>
          </cell>
          <cell r="AE15"/>
          <cell r="AF15"/>
          <cell r="AG15"/>
          <cell r="AH15">
            <v>3968.7879999999996</v>
          </cell>
          <cell r="AI15">
            <v>425623.2080000001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75967.434000000008</v>
          </cell>
          <cell r="AP15">
            <v>0</v>
          </cell>
          <cell r="AQ15"/>
          <cell r="AR15"/>
          <cell r="AS15">
            <v>75967.434000000008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25410.072</v>
          </cell>
          <cell r="BG15">
            <v>0</v>
          </cell>
          <cell r="BH15"/>
          <cell r="BI15"/>
          <cell r="BJ15">
            <v>25410.072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1354972.4209899977</v>
          </cell>
          <cell r="G17">
            <v>447012.4393099994</v>
          </cell>
          <cell r="H17">
            <v>-29776.615110000334</v>
          </cell>
          <cell r="I17">
            <v>-222311.65190999987</v>
          </cell>
          <cell r="J17">
            <v>-184993.69244999997</v>
          </cell>
          <cell r="K17">
            <v>699843.44030999939</v>
          </cell>
          <cell r="L17">
            <v>320434.43959000049</v>
          </cell>
          <cell r="M17">
            <v>-100917.70710999987</v>
          </cell>
          <cell r="N17">
            <v>-60630.977090000131</v>
          </cell>
          <cell r="O17">
            <v>-69424.54207000017</v>
          </cell>
          <cell r="P17">
            <v>53803.048300000039</v>
          </cell>
          <cell r="Q17">
            <v>-151041.98542000001</v>
          </cell>
          <cell r="R17">
            <v>126798.60633000014</v>
          </cell>
          <cell r="S17">
            <v>67191.118400000356</v>
          </cell>
          <cell r="T17">
            <v>-5402.4953900000728</v>
          </cell>
          <cell r="U17">
            <v>4387.1172300000726</v>
          </cell>
          <cell r="V17">
            <v>-48007.20348999984</v>
          </cell>
          <cell r="W17">
            <v>20304.921030000187</v>
          </cell>
          <cell r="X17"/>
          <cell r="Y17"/>
          <cell r="Z17">
            <v>867268.26045999955</v>
          </cell>
          <cell r="AA17">
            <v>-3506.2</v>
          </cell>
          <cell r="AB17">
            <v>-462.58799999999997</v>
          </cell>
          <cell r="AC17">
            <v>24771.895</v>
          </cell>
          <cell r="AD17">
            <v>60685.222000000002</v>
          </cell>
          <cell r="AE17"/>
          <cell r="AF17"/>
          <cell r="AG17"/>
          <cell r="AH17">
            <v>81488.328999999998</v>
          </cell>
          <cell r="AI17">
            <v>948756.58945999481</v>
          </cell>
          <cell r="AJ17">
            <v>140770.99115999998</v>
          </cell>
          <cell r="AK17">
            <v>19450.804679999943</v>
          </cell>
          <cell r="AL17">
            <v>-93760.419310000027</v>
          </cell>
          <cell r="AM17"/>
          <cell r="AN17">
            <v>66461.376529999543</v>
          </cell>
          <cell r="AO17">
            <v>-17782.103000000876</v>
          </cell>
          <cell r="AP17">
            <v>0</v>
          </cell>
          <cell r="AQ17"/>
          <cell r="AR17"/>
          <cell r="AS17">
            <v>-17782.103000000876</v>
          </cell>
          <cell r="AT17">
            <v>4370.241</v>
          </cell>
          <cell r="AU17">
            <v>12524.725</v>
          </cell>
          <cell r="AV17">
            <v>1683.5039999999999</v>
          </cell>
          <cell r="AW17"/>
          <cell r="AX17"/>
          <cell r="AY17"/>
          <cell r="AZ17"/>
          <cell r="BA17">
            <v>18578.47</v>
          </cell>
          <cell r="BB17">
            <v>0</v>
          </cell>
          <cell r="BC17">
            <v>3282.6</v>
          </cell>
          <cell r="BD17">
            <v>361085.56</v>
          </cell>
          <cell r="BE17">
            <v>0</v>
          </cell>
          <cell r="BF17">
            <v>-25410.072</v>
          </cell>
          <cell r="BG17">
            <v>0</v>
          </cell>
          <cell r="BH17"/>
          <cell r="BI17"/>
          <cell r="BJ17">
            <v>338958.08799999999</v>
          </cell>
          <cell r="BK17"/>
          <cell r="BL17"/>
          <cell r="BM17"/>
          <cell r="BN17"/>
          <cell r="BO17"/>
        </row>
        <row r="18">
          <cell r="F18">
            <v>1433709.7529899997</v>
          </cell>
          <cell r="G18">
            <v>62373.403310000002</v>
          </cell>
          <cell r="H18">
            <v>79029.193889999995</v>
          </cell>
          <cell r="I18">
            <v>41250.228089999997</v>
          </cell>
          <cell r="J18">
            <v>35937.080549999999</v>
          </cell>
          <cell r="K18">
            <v>219694.52830999997</v>
          </cell>
          <cell r="L18">
            <v>141901.23559</v>
          </cell>
          <cell r="M18">
            <v>30593.192890000002</v>
          </cell>
          <cell r="N18">
            <v>53022.971910000007</v>
          </cell>
          <cell r="O18">
            <v>25919.77893</v>
          </cell>
          <cell r="P18">
            <v>72697.943300000014</v>
          </cell>
          <cell r="Q18">
            <v>31868.578579999998</v>
          </cell>
          <cell r="R18">
            <v>31333.52233</v>
          </cell>
          <cell r="S18">
            <v>72622.234400000001</v>
          </cell>
          <cell r="T18">
            <v>12314.429609999999</v>
          </cell>
          <cell r="U18">
            <v>20931.632229999999</v>
          </cell>
          <cell r="V18">
            <v>43453.822509999998</v>
          </cell>
          <cell r="W18">
            <v>25164.804030000003</v>
          </cell>
          <cell r="X18"/>
          <cell r="Y18"/>
          <cell r="Z18">
            <v>1000108.5804599997</v>
          </cell>
          <cell r="AA18">
            <v>11463.098</v>
          </cell>
          <cell r="AB18">
            <v>0</v>
          </cell>
          <cell r="AC18">
            <v>6437.0060000000003</v>
          </cell>
          <cell r="AD18">
            <v>16444.53</v>
          </cell>
          <cell r="AE18"/>
          <cell r="AF18"/>
          <cell r="AG18"/>
          <cell r="AH18">
            <v>34344.633999999998</v>
          </cell>
          <cell r="AI18">
            <v>1034453.2144599998</v>
          </cell>
          <cell r="AJ18">
            <v>67572.16416</v>
          </cell>
          <cell r="AK18">
            <v>127029.79368</v>
          </cell>
          <cell r="AL18">
            <v>102227.99169</v>
          </cell>
          <cell r="AM18"/>
          <cell r="AN18">
            <v>296829.94952999998</v>
          </cell>
          <cell r="AO18">
            <v>9463.6990000000005</v>
          </cell>
          <cell r="AP18">
            <v>0</v>
          </cell>
          <cell r="AQ18"/>
          <cell r="AR18"/>
          <cell r="AS18">
            <v>9463.6990000000005</v>
          </cell>
          <cell r="AT18">
            <v>2625.7840000000001</v>
          </cell>
          <cell r="AU18">
            <v>11048.204000000002</v>
          </cell>
          <cell r="AV18">
            <v>0</v>
          </cell>
          <cell r="AW18"/>
          <cell r="AX18"/>
          <cell r="AY18"/>
          <cell r="AZ18"/>
          <cell r="BA18">
            <v>13673.988000000001</v>
          </cell>
          <cell r="BB18">
            <v>0</v>
          </cell>
          <cell r="BC18">
            <v>35996.483999999997</v>
          </cell>
          <cell r="BD18">
            <v>0</v>
          </cell>
          <cell r="BE18">
            <v>0</v>
          </cell>
          <cell r="BF18">
            <v>43292.417999999998</v>
          </cell>
          <cell r="BG18">
            <v>0</v>
          </cell>
          <cell r="BH18"/>
          <cell r="BI18"/>
          <cell r="BJ18">
            <v>79288.902000000002</v>
          </cell>
          <cell r="BK18"/>
          <cell r="BL18"/>
          <cell r="BM18"/>
          <cell r="BN18"/>
          <cell r="BO18"/>
        </row>
        <row r="19">
          <cell r="F19">
            <v>1290841.1079899997</v>
          </cell>
          <cell r="G19">
            <v>57783.670310000001</v>
          </cell>
          <cell r="H19">
            <v>75180.259890000001</v>
          </cell>
          <cell r="I19">
            <v>37562.798089999997</v>
          </cell>
          <cell r="J19">
            <v>33553.106549999997</v>
          </cell>
          <cell r="K19">
            <v>216019.82630999997</v>
          </cell>
          <cell r="L19">
            <v>138793.10058999999</v>
          </cell>
          <cell r="M19">
            <v>28946.795890000001</v>
          </cell>
          <cell r="N19">
            <v>49896.364910000004</v>
          </cell>
          <cell r="O19">
            <v>23961.13193</v>
          </cell>
          <cell r="P19">
            <v>70281.079300000012</v>
          </cell>
          <cell r="Q19">
            <v>30242.041579999997</v>
          </cell>
          <cell r="R19">
            <v>28817.941330000001</v>
          </cell>
          <cell r="S19">
            <v>69494.239400000006</v>
          </cell>
          <cell r="T19">
            <v>11573.63061</v>
          </cell>
          <cell r="U19">
            <v>20045.894229999998</v>
          </cell>
          <cell r="V19">
            <v>41827.285510000002</v>
          </cell>
          <cell r="W19">
            <v>23538.267030000003</v>
          </cell>
          <cell r="X19"/>
          <cell r="Y19"/>
          <cell r="Z19">
            <v>957517.43345999985</v>
          </cell>
          <cell r="AA19">
            <v>0</v>
          </cell>
          <cell r="AB19">
            <v>0</v>
          </cell>
          <cell r="AC19">
            <v>6375.2070000000003</v>
          </cell>
          <cell r="AD19">
            <v>16444.53</v>
          </cell>
          <cell r="AE19"/>
          <cell r="AF19"/>
          <cell r="AG19"/>
          <cell r="AH19">
            <v>22819.737000000001</v>
          </cell>
          <cell r="AI19">
            <v>980337.17045999982</v>
          </cell>
          <cell r="AJ19">
            <v>67572.16416</v>
          </cell>
          <cell r="AK19">
            <v>127029.79368</v>
          </cell>
          <cell r="AL19">
            <v>102227.99169</v>
          </cell>
          <cell r="AM19"/>
          <cell r="AN19">
            <v>296829.94952999998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2625.7840000000001</v>
          </cell>
          <cell r="AU19">
            <v>11048.204000000002</v>
          </cell>
          <cell r="AV19">
            <v>0</v>
          </cell>
          <cell r="AW19"/>
          <cell r="AX19"/>
          <cell r="AY19"/>
          <cell r="AZ19"/>
          <cell r="BA19">
            <v>13673.988000000001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142868.64499999999</v>
          </cell>
          <cell r="G20">
            <v>4589.7330000000002</v>
          </cell>
          <cell r="H20">
            <v>3848.9340000000002</v>
          </cell>
          <cell r="I20">
            <v>3687.43</v>
          </cell>
          <cell r="J20">
            <v>2383.9740000000002</v>
          </cell>
          <cell r="K20">
            <v>3674.7020000000002</v>
          </cell>
          <cell r="L20">
            <v>3108.1350000000002</v>
          </cell>
          <cell r="M20">
            <v>1646.3969999999999</v>
          </cell>
          <cell r="N20">
            <v>3126.607</v>
          </cell>
          <cell r="O20">
            <v>1958.6469999999999</v>
          </cell>
          <cell r="P20">
            <v>2416.864</v>
          </cell>
          <cell r="Q20">
            <v>1626.537</v>
          </cell>
          <cell r="R20">
            <v>2515.5810000000001</v>
          </cell>
          <cell r="S20">
            <v>3127.9949999999999</v>
          </cell>
          <cell r="T20">
            <v>740.79899999999998</v>
          </cell>
          <cell r="U20">
            <v>885.73800000000006</v>
          </cell>
          <cell r="V20">
            <v>1626.537</v>
          </cell>
          <cell r="W20">
            <v>1626.537</v>
          </cell>
          <cell r="X20"/>
          <cell r="Y20"/>
          <cell r="Z20">
            <v>42591.146999999997</v>
          </cell>
          <cell r="AA20">
            <v>11463.098</v>
          </cell>
          <cell r="AB20">
            <v>0</v>
          </cell>
          <cell r="AC20">
            <v>61.798999999999999</v>
          </cell>
          <cell r="AD20">
            <v>0</v>
          </cell>
          <cell r="AE20"/>
          <cell r="AF20"/>
          <cell r="AG20"/>
          <cell r="AH20">
            <v>11524.897000000001</v>
          </cell>
          <cell r="AI20">
            <v>54116.043999999994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9463.6990000000005</v>
          </cell>
          <cell r="AP20">
            <v>0</v>
          </cell>
          <cell r="AQ20"/>
          <cell r="AR20"/>
          <cell r="AS20">
            <v>9463.6990000000005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35996.483999999997</v>
          </cell>
          <cell r="BD20">
            <v>0</v>
          </cell>
          <cell r="BE20">
            <v>0</v>
          </cell>
          <cell r="BF20">
            <v>43292.417999999998</v>
          </cell>
          <cell r="BG20">
            <v>0</v>
          </cell>
          <cell r="BH20"/>
          <cell r="BI20"/>
          <cell r="BJ20">
            <v>79288.902000000002</v>
          </cell>
          <cell r="BK20"/>
          <cell r="BL20"/>
          <cell r="BM20"/>
          <cell r="BN20"/>
          <cell r="BO20"/>
        </row>
        <row r="21">
          <cell r="F21">
            <v>-78737.332000002032</v>
          </cell>
          <cell r="G21">
            <v>384639.03599999938</v>
          </cell>
          <cell r="H21">
            <v>-108805.80900000033</v>
          </cell>
          <cell r="I21">
            <v>-263561.87999999989</v>
          </cell>
          <cell r="J21">
            <v>-220930.77299999999</v>
          </cell>
          <cell r="K21">
            <v>480148.91199999943</v>
          </cell>
          <cell r="L21">
            <v>178533.20400000049</v>
          </cell>
          <cell r="M21">
            <v>-131510.89999999988</v>
          </cell>
          <cell r="N21">
            <v>-113653.94900000014</v>
          </cell>
          <cell r="O21">
            <v>-95344.321000000171</v>
          </cell>
          <cell r="P21">
            <v>-18894.894999999975</v>
          </cell>
          <cell r="Q21">
            <v>-182910.56400000001</v>
          </cell>
          <cell r="R21">
            <v>95465.084000000148</v>
          </cell>
          <cell r="S21">
            <v>-5431.1159999996453</v>
          </cell>
          <cell r="T21">
            <v>-17716.925000000072</v>
          </cell>
          <cell r="U21">
            <v>-16544.514999999927</v>
          </cell>
          <cell r="V21">
            <v>-91461.025999999838</v>
          </cell>
          <cell r="W21">
            <v>-4859.8829999998161</v>
          </cell>
          <cell r="X21"/>
          <cell r="Y21"/>
          <cell r="Z21">
            <v>-132840.32000000018</v>
          </cell>
          <cell r="AA21">
            <v>-14969.297999999999</v>
          </cell>
          <cell r="AB21">
            <v>-462.58799999999997</v>
          </cell>
          <cell r="AC21">
            <v>18334.888999999999</v>
          </cell>
          <cell r="AD21">
            <v>44240.692000000003</v>
          </cell>
          <cell r="AE21"/>
          <cell r="AF21"/>
          <cell r="AG21"/>
          <cell r="AH21">
            <v>47143.695</v>
          </cell>
          <cell r="AI21">
            <v>-85696.625000005006</v>
          </cell>
          <cell r="AJ21">
            <v>73198.826999999976</v>
          </cell>
          <cell r="AK21">
            <v>-107578.98900000006</v>
          </cell>
          <cell r="AL21">
            <v>-195988.41100000002</v>
          </cell>
          <cell r="AM21"/>
          <cell r="AN21">
            <v>-230368.57300000044</v>
          </cell>
          <cell r="AO21">
            <v>-27245.802000000876</v>
          </cell>
          <cell r="AP21">
            <v>0</v>
          </cell>
          <cell r="AQ21"/>
          <cell r="AR21"/>
          <cell r="AS21">
            <v>-27245.802000000876</v>
          </cell>
          <cell r="AT21">
            <v>1744.4569999999999</v>
          </cell>
          <cell r="AU21">
            <v>1476.5209999999988</v>
          </cell>
          <cell r="AV21">
            <v>1683.5039999999999</v>
          </cell>
          <cell r="AW21"/>
          <cell r="AX21"/>
          <cell r="AY21"/>
          <cell r="AZ21"/>
          <cell r="BA21">
            <v>4904.482</v>
          </cell>
          <cell r="BB21">
            <v>0</v>
          </cell>
          <cell r="BC21">
            <v>-32713.883999999998</v>
          </cell>
          <cell r="BD21">
            <v>361085.56</v>
          </cell>
          <cell r="BE21">
            <v>0</v>
          </cell>
          <cell r="BF21">
            <v>-68702.489999999991</v>
          </cell>
          <cell r="BG21">
            <v>0</v>
          </cell>
          <cell r="BH21"/>
          <cell r="BI21"/>
          <cell r="BJ21">
            <v>259669.18599999999</v>
          </cell>
          <cell r="BK21"/>
          <cell r="BL21"/>
          <cell r="BM21"/>
          <cell r="BN21"/>
          <cell r="BO21"/>
        </row>
        <row r="22">
          <cell r="F22">
            <v>3413862.3580002952</v>
          </cell>
          <cell r="G22">
            <v>545534.02963925246</v>
          </cell>
          <cell r="H22">
            <v>383965.25371728442</v>
          </cell>
          <cell r="I22">
            <v>138153.57390099362</v>
          </cell>
          <cell r="J22">
            <v>123686.26775702974</v>
          </cell>
          <cell r="K22">
            <v>435940.93633568683</v>
          </cell>
          <cell r="L22">
            <v>259167.65273587918</v>
          </cell>
          <cell r="M22">
            <v>89436.991582949689</v>
          </cell>
          <cell r="N22">
            <v>199927.79370665917</v>
          </cell>
          <cell r="O22">
            <v>75865.376321737684</v>
          </cell>
          <cell r="P22">
            <v>153250.78294494399</v>
          </cell>
          <cell r="Q22">
            <v>60292.611079947848</v>
          </cell>
          <cell r="R22">
            <v>199591.25828691322</v>
          </cell>
          <cell r="S22">
            <v>273318.67996085162</v>
          </cell>
          <cell r="T22">
            <v>37800.864781762735</v>
          </cell>
          <cell r="U22">
            <v>39412.418505065827</v>
          </cell>
          <cell r="V22">
            <v>123187.58720887935</v>
          </cell>
          <cell r="W22">
            <v>75552.434947006521</v>
          </cell>
          <cell r="X22"/>
          <cell r="Y22"/>
          <cell r="Z22">
            <v>3214084.5134128444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3214084.5134128444</v>
          </cell>
          <cell r="AJ22">
            <v>46523.970478350049</v>
          </cell>
          <cell r="AK22">
            <v>29615.229429101099</v>
          </cell>
          <cell r="AL22">
            <v>30769.92368</v>
          </cell>
          <cell r="AM22"/>
          <cell r="AN22">
            <v>106909.12358745115</v>
          </cell>
          <cell r="AO22">
            <v>92868.72099999999</v>
          </cell>
          <cell r="AP22">
            <v>0</v>
          </cell>
          <cell r="AQ22"/>
          <cell r="AR22"/>
          <cell r="AS22">
            <v>92868.72099999999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467466.10500029533</v>
          </cell>
          <cell r="G23">
            <v>33195.776308959437</v>
          </cell>
          <cell r="H23">
            <v>23442.92426139905</v>
          </cell>
          <cell r="I23">
            <v>8465.9550646456519</v>
          </cell>
          <cell r="J23">
            <v>7591.6604014598388</v>
          </cell>
          <cell r="K23">
            <v>47835.749431608696</v>
          </cell>
          <cell r="L23">
            <v>28591.365161997775</v>
          </cell>
          <cell r="M23">
            <v>9738.9063961327593</v>
          </cell>
          <cell r="N23">
            <v>21838.63331192077</v>
          </cell>
          <cell r="O23">
            <v>8362.2033070752168</v>
          </cell>
          <cell r="P23">
            <v>16726.774087209353</v>
          </cell>
          <cell r="Q23">
            <v>6550.0460903238318</v>
          </cell>
          <cell r="R23">
            <v>21901.273459733013</v>
          </cell>
          <cell r="S23">
            <v>16734.954112094329</v>
          </cell>
          <cell r="T23">
            <v>2277.7382031170246</v>
          </cell>
          <cell r="U23">
            <v>2395.0355691229688</v>
          </cell>
          <cell r="V23">
            <v>7447.1987626526061</v>
          </cell>
          <cell r="W23">
            <v>4592.0664833918509</v>
          </cell>
          <cell r="X23"/>
          <cell r="Y23"/>
          <cell r="Z23">
            <v>267688.26041284413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267688.26041284413</v>
          </cell>
          <cell r="AJ23">
            <v>46523.970478350049</v>
          </cell>
          <cell r="AK23">
            <v>29615.229429101099</v>
          </cell>
          <cell r="AL23">
            <v>30769.92368</v>
          </cell>
          <cell r="AM23"/>
          <cell r="AN23">
            <v>106909.12358745115</v>
          </cell>
          <cell r="AO23">
            <v>92868.72099999999</v>
          </cell>
          <cell r="AP23">
            <v>0</v>
          </cell>
          <cell r="AQ23"/>
          <cell r="AR23"/>
          <cell r="AS23">
            <v>92868.72099999999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1056232.108</v>
          </cell>
          <cell r="G24">
            <v>183976.32879767037</v>
          </cell>
          <cell r="H24">
            <v>128955.17006184629</v>
          </cell>
          <cell r="I24">
            <v>46188.533706170565</v>
          </cell>
          <cell r="J24">
            <v>41268.562488971547</v>
          </cell>
          <cell r="K24">
            <v>139531.29137781804</v>
          </cell>
          <cell r="L24">
            <v>83881.217110152676</v>
          </cell>
          <cell r="M24">
            <v>28170.093810816594</v>
          </cell>
          <cell r="N24">
            <v>63386.381172330912</v>
          </cell>
          <cell r="O24">
            <v>24510.155022158469</v>
          </cell>
          <cell r="P24">
            <v>48507.316539825093</v>
          </cell>
          <cell r="Q24">
            <v>18897.490117842739</v>
          </cell>
          <cell r="R24">
            <v>63883.921399091894</v>
          </cell>
          <cell r="S24">
            <v>91471.769843804825</v>
          </cell>
          <cell r="T24">
            <v>12900.33908550382</v>
          </cell>
          <cell r="U24">
            <v>13313.277322714528</v>
          </cell>
          <cell r="V24">
            <v>41874.902550546947</v>
          </cell>
          <cell r="W24">
            <v>25515.357592734588</v>
          </cell>
          <cell r="X24"/>
          <cell r="Y24"/>
          <cell r="Z24">
            <v>1056232.108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1056232.108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1890164.145</v>
          </cell>
          <cell r="G25">
            <v>328361.92453262262</v>
          </cell>
          <cell r="H25">
            <v>231567.15939403904</v>
          </cell>
          <cell r="I25">
            <v>83499.085130177409</v>
          </cell>
          <cell r="J25">
            <v>74826.044866598342</v>
          </cell>
          <cell r="K25">
            <v>248573.89552626005</v>
          </cell>
          <cell r="L25">
            <v>146695.07046372874</v>
          </cell>
          <cell r="M25">
            <v>51527.99137600034</v>
          </cell>
          <cell r="N25">
            <v>114702.77922240751</v>
          </cell>
          <cell r="O25">
            <v>42993.017992503999</v>
          </cell>
          <cell r="P25">
            <v>88016.692317909532</v>
          </cell>
          <cell r="Q25">
            <v>34845.074871781282</v>
          </cell>
          <cell r="R25">
            <v>113806.06342808832</v>
          </cell>
          <cell r="S25">
            <v>165111.95600495246</v>
          </cell>
          <cell r="T25">
            <v>22622.787493141892</v>
          </cell>
          <cell r="U25">
            <v>23704.105613228334</v>
          </cell>
          <cell r="V25">
            <v>73865.485895679798</v>
          </cell>
          <cell r="W25">
            <v>45445.010870880084</v>
          </cell>
          <cell r="X25"/>
          <cell r="Y25"/>
          <cell r="Z25">
            <v>1890164.145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1890164.145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-3492599.6900002975</v>
          </cell>
          <cell r="G26">
            <v>-160894.99363925308</v>
          </cell>
          <cell r="H26">
            <v>-492771.06271728477</v>
          </cell>
          <cell r="I26">
            <v>-401715.45390099351</v>
          </cell>
          <cell r="J26">
            <v>-344617.04075702972</v>
          </cell>
          <cell r="K26">
            <v>44207.975664312602</v>
          </cell>
          <cell r="L26">
            <v>-80634.448735878686</v>
          </cell>
          <cell r="M26">
            <v>-220947.89158294955</v>
          </cell>
          <cell r="N26">
            <v>-313581.74270665931</v>
          </cell>
          <cell r="O26">
            <v>-171209.69732173785</v>
          </cell>
          <cell r="P26">
            <v>-172145.67794494395</v>
          </cell>
          <cell r="Q26">
            <v>-243203.17507994786</v>
          </cell>
          <cell r="R26">
            <v>-104126.17428691307</v>
          </cell>
          <cell r="S26">
            <v>-278749.79596085125</v>
          </cell>
          <cell r="T26">
            <v>-55517.789781762811</v>
          </cell>
          <cell r="U26">
            <v>-55956.933505065754</v>
          </cell>
          <cell r="V26">
            <v>-214648.61320887919</v>
          </cell>
          <cell r="W26">
            <v>-80412.317947006333</v>
          </cell>
          <cell r="X26"/>
          <cell r="Y26"/>
          <cell r="Z26">
            <v>-3346924.8334128447</v>
          </cell>
          <cell r="AA26">
            <v>-14969.297999999999</v>
          </cell>
          <cell r="AB26">
            <v>-462.58799999999997</v>
          </cell>
          <cell r="AC26">
            <v>18334.888999999999</v>
          </cell>
          <cell r="AD26">
            <v>44240.692000000003</v>
          </cell>
          <cell r="AE26"/>
          <cell r="AF26"/>
          <cell r="AG26"/>
          <cell r="AH26">
            <v>47143.695</v>
          </cell>
          <cell r="AI26">
            <v>-3299781.1384128495</v>
          </cell>
          <cell r="AJ26">
            <v>26674.856521649926</v>
          </cell>
          <cell r="AK26">
            <v>-137194.21842910117</v>
          </cell>
          <cell r="AL26">
            <v>-226758.33468000003</v>
          </cell>
          <cell r="AM26"/>
          <cell r="AN26">
            <v>-337277.69658745162</v>
          </cell>
          <cell r="AO26">
            <v>-120114.52300000086</v>
          </cell>
          <cell r="AP26">
            <v>0</v>
          </cell>
          <cell r="AQ26"/>
          <cell r="AR26"/>
          <cell r="AS26">
            <v>-120114.52300000086</v>
          </cell>
          <cell r="AT26">
            <v>1744.4569999999999</v>
          </cell>
          <cell r="AU26">
            <v>1476.5209999999988</v>
          </cell>
          <cell r="AV26">
            <v>1683.5039999999999</v>
          </cell>
          <cell r="AW26"/>
          <cell r="AX26"/>
          <cell r="AY26"/>
          <cell r="AZ26"/>
          <cell r="BA26">
            <v>4904.482</v>
          </cell>
          <cell r="BB26">
            <v>0</v>
          </cell>
          <cell r="BC26">
            <v>-32713.883999999998</v>
          </cell>
          <cell r="BD26">
            <v>361085.56</v>
          </cell>
          <cell r="BE26">
            <v>0</v>
          </cell>
          <cell r="BF26">
            <v>-68702.489999999991</v>
          </cell>
          <cell r="BG26">
            <v>0</v>
          </cell>
          <cell r="BH26"/>
          <cell r="BI26"/>
          <cell r="BJ26">
            <v>259669.18599999999</v>
          </cell>
          <cell r="BK26"/>
          <cell r="BL26"/>
          <cell r="BM26"/>
          <cell r="BN26"/>
          <cell r="BO26"/>
        </row>
        <row r="27">
          <cell r="F27">
            <v>-3492599.690000297</v>
          </cell>
          <cell r="G27">
            <v>-160894.99363925253</v>
          </cell>
          <cell r="H27">
            <v>-492771.06271728524</v>
          </cell>
          <cell r="I27">
            <v>-401715.45390099369</v>
          </cell>
          <cell r="J27">
            <v>-344617.0407570299</v>
          </cell>
          <cell r="K27">
            <v>44207.975664312493</v>
          </cell>
          <cell r="L27">
            <v>-80634.448735879181</v>
          </cell>
          <cell r="M27">
            <v>-220947.89158294964</v>
          </cell>
          <cell r="N27">
            <v>-313581.74270665942</v>
          </cell>
          <cell r="O27">
            <v>-171209.69732173777</v>
          </cell>
          <cell r="P27">
            <v>-172145.67794494383</v>
          </cell>
          <cell r="Q27">
            <v>-243203.17507994786</v>
          </cell>
          <cell r="R27">
            <v>-104126.17428691333</v>
          </cell>
          <cell r="S27">
            <v>-278749.79596085177</v>
          </cell>
          <cell r="T27">
            <v>-55517.789781762745</v>
          </cell>
          <cell r="U27">
            <v>-55956.933505065819</v>
          </cell>
          <cell r="V27">
            <v>-214648.61320887943</v>
          </cell>
          <cell r="W27">
            <v>-80412.31794700645</v>
          </cell>
          <cell r="X27"/>
          <cell r="Y27"/>
          <cell r="Z27">
            <v>-3346924.8334128456</v>
          </cell>
          <cell r="AA27">
            <v>-14969.298000000001</v>
          </cell>
          <cell r="AB27">
            <v>-462.58799999999997</v>
          </cell>
          <cell r="AC27">
            <v>18334.888999999996</v>
          </cell>
          <cell r="AD27">
            <v>44240.691999999995</v>
          </cell>
          <cell r="AE27"/>
          <cell r="AF27"/>
          <cell r="AG27"/>
          <cell r="AH27">
            <v>47143.694999999992</v>
          </cell>
          <cell r="AI27">
            <v>-3299781.1384128458</v>
          </cell>
          <cell r="AJ27">
            <v>26674.85652164993</v>
          </cell>
          <cell r="AK27">
            <v>-137194.21842910114</v>
          </cell>
          <cell r="AL27">
            <v>-226758.33467999997</v>
          </cell>
          <cell r="AM27"/>
          <cell r="AN27">
            <v>-337277.69658745115</v>
          </cell>
          <cell r="AO27">
            <v>-120114.52300000086</v>
          </cell>
          <cell r="AP27">
            <v>0</v>
          </cell>
          <cell r="AQ27"/>
          <cell r="AR27"/>
          <cell r="AS27">
            <v>-120114.52300000086</v>
          </cell>
          <cell r="AT27">
            <v>1744.4570000000001</v>
          </cell>
          <cell r="AU27">
            <v>1476.5209999999988</v>
          </cell>
          <cell r="AV27">
            <v>1683.5039999999999</v>
          </cell>
          <cell r="AW27"/>
          <cell r="AX27"/>
          <cell r="AY27"/>
          <cell r="AZ27"/>
          <cell r="BA27">
            <v>4904.4819999999991</v>
          </cell>
          <cell r="BB27">
            <v>0</v>
          </cell>
          <cell r="BC27">
            <v>-32713.884000000002</v>
          </cell>
          <cell r="BD27">
            <v>361085.56</v>
          </cell>
          <cell r="BE27">
            <v>0</v>
          </cell>
          <cell r="BF27">
            <v>-68702.490000000005</v>
          </cell>
          <cell r="BG27">
            <v>0</v>
          </cell>
          <cell r="BH27"/>
          <cell r="BI27"/>
          <cell r="BJ27">
            <v>259669.18599999999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-5.5297277867794037E-10</v>
          </cell>
          <cell r="H28">
            <v>4.6566128730773926E-10</v>
          </cell>
          <cell r="I28">
            <v>0</v>
          </cell>
          <cell r="J28">
            <v>0</v>
          </cell>
          <cell r="K28">
            <v>1.0913936421275139E-10</v>
          </cell>
          <cell r="L28">
            <v>4.9476511776447296E-10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2.6193447411060333E-10</v>
          </cell>
          <cell r="S28">
            <v>5.2386894822120667E-10</v>
          </cell>
          <cell r="T28">
            <v>-6.5483618527650833E-11</v>
          </cell>
          <cell r="U28">
            <v>6.5483618527650833E-11</v>
          </cell>
          <cell r="V28">
            <v>2.3283064365386963E-10</v>
          </cell>
          <cell r="W28">
            <v>1.1641532182693481E-10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-3.7252902984619141E-9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-4.6566128730773926E-10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59991</v>
          </cell>
          <cell r="H31">
            <v>43340</v>
          </cell>
          <cell r="I31">
            <v>15925</v>
          </cell>
          <cell r="J31">
            <v>14328</v>
          </cell>
          <cell r="K31">
            <v>41190</v>
          </cell>
          <cell r="L31">
            <v>28274</v>
          </cell>
          <cell r="M31">
            <v>9830</v>
          </cell>
          <cell r="N31">
            <v>20621</v>
          </cell>
          <cell r="O31">
            <v>8574</v>
          </cell>
          <cell r="P31">
            <v>16934</v>
          </cell>
          <cell r="Q31">
            <v>7091.5</v>
          </cell>
          <cell r="R31">
            <v>20021</v>
          </cell>
          <cell r="S31">
            <v>30402</v>
          </cell>
          <cell r="T31">
            <v>3620.5</v>
          </cell>
          <cell r="U31">
            <v>4058.5</v>
          </cell>
          <cell r="V31">
            <v>14883.5</v>
          </cell>
          <cell r="W31">
            <v>7045.5</v>
          </cell>
          <cell r="X31">
            <v>0</v>
          </cell>
          <cell r="Y31">
            <v>0</v>
          </cell>
          <cell r="Z31">
            <v>346129.5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346129.5</v>
          </cell>
          <cell r="AJ31">
            <v>32696</v>
          </cell>
          <cell r="AK31">
            <v>41788</v>
          </cell>
          <cell r="AL31">
            <v>31683</v>
          </cell>
          <cell r="AM31"/>
          <cell r="AN31">
            <v>106167</v>
          </cell>
          <cell r="AO31">
            <v>9952.7739999999994</v>
          </cell>
          <cell r="AP31">
            <v>0</v>
          </cell>
          <cell r="AQ31"/>
          <cell r="AR31"/>
          <cell r="AS31">
            <v>9952.7739999999994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48787895.959000006</v>
          </cell>
          <cell r="G32">
            <v>6382296.1779999994</v>
          </cell>
          <cell r="H32">
            <v>4441479.8640000001</v>
          </cell>
          <cell r="I32">
            <v>1578117.2</v>
          </cell>
          <cell r="J32">
            <v>1404973.4350000001</v>
          </cell>
          <cell r="K32">
            <v>4850999.75</v>
          </cell>
          <cell r="L32">
            <v>2978686.91</v>
          </cell>
          <cell r="M32">
            <v>948748.7</v>
          </cell>
          <cell r="N32">
            <v>2163123</v>
          </cell>
          <cell r="O32">
            <v>867442.39999999991</v>
          </cell>
          <cell r="P32">
            <v>1649916.1</v>
          </cell>
          <cell r="Q32">
            <v>630109.29500000004</v>
          </cell>
          <cell r="R32">
            <v>2221073.7000000002</v>
          </cell>
          <cell r="S32">
            <v>3130994.5750000002</v>
          </cell>
          <cell r="T32">
            <v>456684.69999999995</v>
          </cell>
          <cell r="U32">
            <v>463159.98600000003</v>
          </cell>
          <cell r="V32">
            <v>1472581.398</v>
          </cell>
          <cell r="W32">
            <v>887314.01300000004</v>
          </cell>
          <cell r="X32">
            <v>0</v>
          </cell>
          <cell r="Y32">
            <v>0</v>
          </cell>
          <cell r="Z32">
            <v>36527701.204000004</v>
          </cell>
          <cell r="AA32">
            <v>0</v>
          </cell>
          <cell r="AB32">
            <v>0</v>
          </cell>
          <cell r="AC32">
            <v>25000</v>
          </cell>
          <cell r="AD32">
            <v>61680</v>
          </cell>
          <cell r="AE32"/>
          <cell r="AF32"/>
          <cell r="AG32"/>
          <cell r="AH32">
            <v>86680</v>
          </cell>
          <cell r="AI32">
            <v>36614381.204000004</v>
          </cell>
          <cell r="AJ32">
            <v>940477.5</v>
          </cell>
          <cell r="AK32">
            <v>602688</v>
          </cell>
          <cell r="AL32">
            <v>631113.30000000005</v>
          </cell>
          <cell r="AM32"/>
          <cell r="AN32">
            <v>2174278.7999999998</v>
          </cell>
          <cell r="AO32">
            <v>9976589.8509999998</v>
          </cell>
          <cell r="AP32">
            <v>0</v>
          </cell>
          <cell r="AQ32"/>
          <cell r="AR32"/>
          <cell r="AS32">
            <v>9976589.8509999998</v>
          </cell>
          <cell r="AT32">
            <v>4700</v>
          </cell>
          <cell r="AU32">
            <v>12980</v>
          </cell>
          <cell r="AV32">
            <v>1683.5039999999999</v>
          </cell>
          <cell r="AW32"/>
          <cell r="AX32"/>
          <cell r="AY32"/>
          <cell r="AZ32"/>
          <cell r="BA32">
            <v>19363.504000000001</v>
          </cell>
          <cell r="BB32">
            <v>0</v>
          </cell>
          <cell r="BC32">
            <v>3282.6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3282.6</v>
          </cell>
        </row>
        <row r="33">
          <cell r="F33">
            <v>46946245.645999998</v>
          </cell>
          <cell r="G33">
            <v>5834399.4369999999</v>
          </cell>
          <cell r="H33">
            <v>4400106.6180000007</v>
          </cell>
          <cell r="I33">
            <v>1738881.3039999998</v>
          </cell>
          <cell r="J33">
            <v>1540646.4939999999</v>
          </cell>
          <cell r="K33">
            <v>4249321.824000001</v>
          </cell>
          <cell r="L33">
            <v>2676222.9689999996</v>
          </cell>
          <cell r="M33">
            <v>1006215.4119999998</v>
          </cell>
          <cell r="N33">
            <v>2159088.39</v>
          </cell>
          <cell r="O33">
            <v>895756.19600000011</v>
          </cell>
          <cell r="P33">
            <v>1578756.7950000002</v>
          </cell>
          <cell r="Q33">
            <v>744294.98300000001</v>
          </cell>
          <cell r="R33">
            <v>2054728.9240000001</v>
          </cell>
          <cell r="S33">
            <v>3027728.3019999997</v>
          </cell>
          <cell r="T33">
            <v>448763.79700000002</v>
          </cell>
          <cell r="U33">
            <v>451102.80999999994</v>
          </cell>
          <cell r="V33">
            <v>1495697.291</v>
          </cell>
          <cell r="W33">
            <v>854502.10699999984</v>
          </cell>
          <cell r="X33">
            <v>0</v>
          </cell>
          <cell r="Y33">
            <v>0</v>
          </cell>
          <cell r="Z33">
            <v>35156213.652999997</v>
          </cell>
          <cell r="AA33">
            <v>0</v>
          </cell>
          <cell r="AB33">
            <v>0</v>
          </cell>
          <cell r="AC33">
            <v>6603.3119999999999</v>
          </cell>
          <cell r="AD33">
            <v>17439.307999999997</v>
          </cell>
          <cell r="AE33"/>
          <cell r="AF33"/>
          <cell r="AG33"/>
          <cell r="AH33">
            <v>24042.619999999995</v>
          </cell>
          <cell r="AI33">
            <v>35180256.272999994</v>
          </cell>
          <cell r="AJ33">
            <v>867278.67300000007</v>
          </cell>
          <cell r="AK33">
            <v>710266.98900000006</v>
          </cell>
          <cell r="AL33">
            <v>827101.71100000013</v>
          </cell>
          <cell r="AM33"/>
          <cell r="AN33">
            <v>2404647.3730000001</v>
          </cell>
          <cell r="AO33">
            <v>9707968.5380000006</v>
          </cell>
          <cell r="AP33">
            <v>0</v>
          </cell>
          <cell r="AQ33"/>
          <cell r="AR33"/>
          <cell r="AS33">
            <v>9707968.5380000006</v>
          </cell>
          <cell r="AT33">
            <v>2955.5430000000001</v>
          </cell>
          <cell r="AU33">
            <v>11503.479000000001</v>
          </cell>
          <cell r="AV33">
            <v>0</v>
          </cell>
          <cell r="AW33"/>
          <cell r="AX33"/>
          <cell r="AY33"/>
          <cell r="AZ33"/>
          <cell r="BA33">
            <v>14459.022000000001</v>
          </cell>
          <cell r="BB33">
            <v>0</v>
          </cell>
          <cell r="BC33">
            <v>0</v>
          </cell>
          <cell r="BD33">
            <v>-361085.56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-361085.56</v>
          </cell>
        </row>
        <row r="34">
          <cell r="F34">
            <v>1841650.3130000085</v>
          </cell>
          <cell r="G34">
            <v>547896.74099999946</v>
          </cell>
          <cell r="H34">
            <v>41373.245999999344</v>
          </cell>
          <cell r="I34">
            <v>-160764.10399999982</v>
          </cell>
          <cell r="J34">
            <v>-135673.05899999989</v>
          </cell>
          <cell r="K34">
            <v>601677.92599999905</v>
          </cell>
          <cell r="L34">
            <v>302463.94100000057</v>
          </cell>
          <cell r="M34">
            <v>-57466.711999999825</v>
          </cell>
          <cell r="N34">
            <v>4034.6099999998696</v>
          </cell>
          <cell r="O34">
            <v>-28313.796000000206</v>
          </cell>
          <cell r="P34">
            <v>71159.304999999935</v>
          </cell>
          <cell r="Q34">
            <v>-114185.68799999997</v>
          </cell>
          <cell r="R34">
            <v>166344.77600000007</v>
          </cell>
          <cell r="S34">
            <v>103266.27300000051</v>
          </cell>
          <cell r="T34">
            <v>7920.9029999999329</v>
          </cell>
          <cell r="U34">
            <v>12057.176000000094</v>
          </cell>
          <cell r="V34">
            <v>-23115.892999999924</v>
          </cell>
          <cell r="W34">
            <v>32811.906000000192</v>
          </cell>
          <cell r="X34">
            <v>0</v>
          </cell>
          <cell r="Y34">
            <v>0</v>
          </cell>
          <cell r="Z34">
            <v>1371487.5510000065</v>
          </cell>
          <cell r="AA34">
            <v>0</v>
          </cell>
          <cell r="AB34">
            <v>0</v>
          </cell>
          <cell r="AC34">
            <v>18396.688000000002</v>
          </cell>
          <cell r="AD34">
            <v>44240.692000000003</v>
          </cell>
          <cell r="AE34"/>
          <cell r="AF34"/>
          <cell r="AG34"/>
          <cell r="AH34">
            <v>62637.380000000005</v>
          </cell>
          <cell r="AI34">
            <v>1434124.9310000092</v>
          </cell>
          <cell r="AJ34">
            <v>73198.826999999932</v>
          </cell>
          <cell r="AK34">
            <v>-107578.98900000006</v>
          </cell>
          <cell r="AL34">
            <v>-195988.41100000008</v>
          </cell>
          <cell r="AM34"/>
          <cell r="AN34">
            <v>-230368.57300000032</v>
          </cell>
          <cell r="AO34">
            <v>268621.31299999915</v>
          </cell>
          <cell r="AP34">
            <v>0</v>
          </cell>
          <cell r="AQ34"/>
          <cell r="AR34"/>
          <cell r="AS34">
            <v>268621.31299999915</v>
          </cell>
          <cell r="AT34">
            <v>1744.4569999999999</v>
          </cell>
          <cell r="AU34">
            <v>1476.5209999999988</v>
          </cell>
          <cell r="AV34">
            <v>1683.5039999999999</v>
          </cell>
          <cell r="AW34"/>
          <cell r="AX34"/>
          <cell r="AY34"/>
          <cell r="AZ34"/>
          <cell r="BA34">
            <v>4904.482</v>
          </cell>
          <cell r="BB34">
            <v>0</v>
          </cell>
          <cell r="BC34">
            <v>3282.6</v>
          </cell>
          <cell r="BD34">
            <v>361085.56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364368.16</v>
          </cell>
        </row>
        <row r="35">
          <cell r="F35">
            <v>5334250.0030002948</v>
          </cell>
          <cell r="G35">
            <v>708791.73463925254</v>
          </cell>
          <cell r="H35">
            <v>534144.30871728447</v>
          </cell>
          <cell r="I35">
            <v>240951.34990099361</v>
          </cell>
          <cell r="J35">
            <v>208943.98175702972</v>
          </cell>
          <cell r="K35">
            <v>557469.95033568691</v>
          </cell>
          <cell r="L35">
            <v>383098.3897358792</v>
          </cell>
          <cell r="M35">
            <v>163481.17958294967</v>
          </cell>
          <cell r="N35">
            <v>317616.35270665918</v>
          </cell>
          <cell r="O35">
            <v>142895.90132173768</v>
          </cell>
          <cell r="P35">
            <v>243304.982944944</v>
          </cell>
          <cell r="Q35">
            <v>129017.48707994785</v>
          </cell>
          <cell r="R35">
            <v>270470.9502869132</v>
          </cell>
          <cell r="S35">
            <v>382016.06896085164</v>
          </cell>
          <cell r="T35">
            <v>63438.692781762729</v>
          </cell>
          <cell r="U35">
            <v>68014.109505065819</v>
          </cell>
          <cell r="V35">
            <v>191532.72020887936</v>
          </cell>
          <cell r="W35">
            <v>113224.22394700651</v>
          </cell>
          <cell r="X35">
            <v>0</v>
          </cell>
          <cell r="Y35">
            <v>0</v>
          </cell>
          <cell r="Z35">
            <v>4718412.3844128437</v>
          </cell>
          <cell r="AA35">
            <v>14969.297999999999</v>
          </cell>
          <cell r="AB35">
            <v>462.58799999999997</v>
          </cell>
          <cell r="AC35">
            <v>61.798999999999999</v>
          </cell>
          <cell r="AD35">
            <v>0</v>
          </cell>
          <cell r="AE35"/>
          <cell r="AF35"/>
          <cell r="AG35"/>
          <cell r="AH35">
            <v>15493.684999999999</v>
          </cell>
          <cell r="AI35">
            <v>4733906.0694128433</v>
          </cell>
          <cell r="AJ35">
            <v>46523.970478350049</v>
          </cell>
          <cell r="AK35">
            <v>29615.229429101099</v>
          </cell>
          <cell r="AL35">
            <v>30769.92368</v>
          </cell>
          <cell r="AM35"/>
          <cell r="AN35">
            <v>106909.12358745115</v>
          </cell>
          <cell r="AO35">
            <v>388735.83600000001</v>
          </cell>
          <cell r="AP35">
            <v>0</v>
          </cell>
          <cell r="AQ35"/>
          <cell r="AR35"/>
          <cell r="AS35">
            <v>388735.83600000001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35996.483999999997</v>
          </cell>
          <cell r="BD35">
            <v>0</v>
          </cell>
          <cell r="BE35">
            <v>0</v>
          </cell>
          <cell r="BF35">
            <v>68702.489999999991</v>
          </cell>
          <cell r="BG35">
            <v>0</v>
          </cell>
          <cell r="BH35"/>
          <cell r="BI35"/>
          <cell r="BJ35">
            <v>104698.97399999999</v>
          </cell>
        </row>
        <row r="36">
          <cell r="F36">
            <v>-3492599.6900002863</v>
          </cell>
          <cell r="G36">
            <v>-160894.99363925308</v>
          </cell>
          <cell r="H36">
            <v>-492771.06271728512</v>
          </cell>
          <cell r="I36">
            <v>-401715.45390099345</v>
          </cell>
          <cell r="J36">
            <v>-344617.04075702961</v>
          </cell>
          <cell r="K36">
            <v>44207.975664312136</v>
          </cell>
          <cell r="L36">
            <v>-80634.448735878628</v>
          </cell>
          <cell r="M36">
            <v>-220947.89158294949</v>
          </cell>
          <cell r="N36">
            <v>-313581.74270665931</v>
          </cell>
          <cell r="O36">
            <v>-171209.69732173788</v>
          </cell>
          <cell r="P36">
            <v>-172145.67794494407</v>
          </cell>
          <cell r="Q36">
            <v>-243203.1750799478</v>
          </cell>
          <cell r="R36">
            <v>-104126.17428691313</v>
          </cell>
          <cell r="S36">
            <v>-278749.79596085113</v>
          </cell>
          <cell r="T36">
            <v>-55517.789781762796</v>
          </cell>
          <cell r="U36">
            <v>-55956.933505065725</v>
          </cell>
          <cell r="V36">
            <v>-214648.61320887928</v>
          </cell>
          <cell r="W36">
            <v>-80412.317947006319</v>
          </cell>
          <cell r="X36">
            <v>0</v>
          </cell>
          <cell r="Y36">
            <v>0</v>
          </cell>
          <cell r="Z36">
            <v>-3346924.8334128372</v>
          </cell>
          <cell r="AA36">
            <v>-14969.297999999999</v>
          </cell>
          <cell r="AB36">
            <v>-462.58799999999997</v>
          </cell>
          <cell r="AC36">
            <v>18334.889000000003</v>
          </cell>
          <cell r="AD36">
            <v>44240.692000000003</v>
          </cell>
          <cell r="AE36"/>
          <cell r="AF36"/>
          <cell r="AG36"/>
          <cell r="AH36">
            <v>47143.695000000007</v>
          </cell>
          <cell r="AI36">
            <v>-3299781.1384128341</v>
          </cell>
          <cell r="AJ36">
            <v>26674.856521649883</v>
          </cell>
          <cell r="AK36">
            <v>-137194.21842910117</v>
          </cell>
          <cell r="AL36">
            <v>-226758.33468000009</v>
          </cell>
          <cell r="AM36"/>
          <cell r="AN36">
            <v>-337277.6965874515</v>
          </cell>
          <cell r="AO36">
            <v>-120114.52300000086</v>
          </cell>
          <cell r="AP36">
            <v>0</v>
          </cell>
          <cell r="AQ36"/>
          <cell r="AR36"/>
          <cell r="AS36">
            <v>-120114.52300000086</v>
          </cell>
          <cell r="AT36">
            <v>1744.4569999999999</v>
          </cell>
          <cell r="AU36">
            <v>1476.5209999999988</v>
          </cell>
          <cell r="AV36">
            <v>1683.5039999999999</v>
          </cell>
          <cell r="AW36"/>
          <cell r="AX36"/>
          <cell r="AY36"/>
          <cell r="AZ36"/>
          <cell r="BA36">
            <v>4904.482</v>
          </cell>
          <cell r="BB36">
            <v>0</v>
          </cell>
          <cell r="BC36">
            <v>-32713.883999999998</v>
          </cell>
          <cell r="BD36">
            <v>361085.56</v>
          </cell>
          <cell r="BE36">
            <v>0</v>
          </cell>
          <cell r="BF36">
            <v>-68702.489999999991</v>
          </cell>
          <cell r="BG36">
            <v>0</v>
          </cell>
          <cell r="BH36"/>
          <cell r="BI36"/>
          <cell r="BJ36">
            <v>259669.18599999999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-21051</v>
          </cell>
          <cell r="AK38">
            <v>-30236</v>
          </cell>
          <cell r="AL38">
            <v>-28995</v>
          </cell>
          <cell r="AM38"/>
          <cell r="AN38">
            <v>-80282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-1690116.5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-620376</v>
          </cell>
          <cell r="AK39">
            <v>-475696</v>
          </cell>
          <cell r="AL39">
            <v>-594044.5</v>
          </cell>
          <cell r="AM39"/>
          <cell r="AN39">
            <v>-1690116.5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-1690116.5</v>
          </cell>
          <cell r="G40"/>
          <cell r="H40"/>
          <cell r="I40"/>
          <cell r="J40"/>
          <cell r="K40">
            <v>130676.24099999999</v>
          </cell>
          <cell r="L40">
            <v>16509.838</v>
          </cell>
          <cell r="M40">
            <v>-2091.0210000000002</v>
          </cell>
          <cell r="N40">
            <v>2518.4769999999994</v>
          </cell>
          <cell r="O40">
            <v>0</v>
          </cell>
          <cell r="P40">
            <v>16062.284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163675.81900000002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163675.81900000002</v>
          </cell>
          <cell r="AJ40">
            <v>-565186.81900000002</v>
          </cell>
          <cell r="AK40">
            <v>-531576.34400000004</v>
          </cell>
          <cell r="AL40">
            <v>-757029.15599999996</v>
          </cell>
          <cell r="AM40"/>
          <cell r="AN40">
            <v>-1853792.3190000001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-130676.24099999999</v>
          </cell>
          <cell r="L41">
            <v>-16509.838</v>
          </cell>
          <cell r="M41">
            <v>2091.0210000000002</v>
          </cell>
          <cell r="N41">
            <v>-2518.4769999999994</v>
          </cell>
          <cell r="O41">
            <v>0</v>
          </cell>
          <cell r="P41">
            <v>-16062.284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-163675.81900000002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-163675.81900000002</v>
          </cell>
          <cell r="AJ41">
            <v>-55189.180999999982</v>
          </cell>
          <cell r="AK41">
            <v>55880.344000000041</v>
          </cell>
          <cell r="AL41">
            <v>162984.65599999996</v>
          </cell>
          <cell r="AM41"/>
          <cell r="AN41">
            <v>163675.81900000013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-130676.24099999999</v>
          </cell>
          <cell r="L43">
            <v>-16509.838</v>
          </cell>
          <cell r="M43">
            <v>2091.0210000000002</v>
          </cell>
          <cell r="N43">
            <v>-2518.4769999999994</v>
          </cell>
          <cell r="O43">
            <v>0</v>
          </cell>
          <cell r="P43">
            <v>-16062.284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-163675.81900000002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-163675.81900000002</v>
          </cell>
          <cell r="AJ43">
            <v>-55189.180999999982</v>
          </cell>
          <cell r="AK43">
            <v>55880.344000000041</v>
          </cell>
          <cell r="AL43">
            <v>162984.65599999996</v>
          </cell>
          <cell r="AM43"/>
          <cell r="AN43">
            <v>163675.81900000013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59991</v>
          </cell>
          <cell r="H45">
            <v>43340</v>
          </cell>
          <cell r="I45">
            <v>15925</v>
          </cell>
          <cell r="J45">
            <v>14328</v>
          </cell>
          <cell r="K45">
            <v>41190</v>
          </cell>
          <cell r="L45">
            <v>28274</v>
          </cell>
          <cell r="M45">
            <v>9830</v>
          </cell>
          <cell r="N45">
            <v>20621</v>
          </cell>
          <cell r="O45">
            <v>8574</v>
          </cell>
          <cell r="P45">
            <v>16934</v>
          </cell>
          <cell r="Q45">
            <v>7091.5</v>
          </cell>
          <cell r="R45">
            <v>20021</v>
          </cell>
          <cell r="S45">
            <v>30402</v>
          </cell>
          <cell r="T45">
            <v>3620.5</v>
          </cell>
          <cell r="U45">
            <v>4058.5</v>
          </cell>
          <cell r="V45">
            <v>14883.5</v>
          </cell>
          <cell r="W45">
            <v>7045.5</v>
          </cell>
          <cell r="X45">
            <v>0</v>
          </cell>
          <cell r="Y45">
            <v>0</v>
          </cell>
          <cell r="Z45">
            <v>346129.5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346129.5</v>
          </cell>
          <cell r="AJ45">
            <v>11645</v>
          </cell>
          <cell r="AK45">
            <v>11552</v>
          </cell>
          <cell r="AL45">
            <v>2688</v>
          </cell>
          <cell r="AM45"/>
          <cell r="AN45">
            <v>25885</v>
          </cell>
          <cell r="AO45">
            <v>9952.7739999999994</v>
          </cell>
          <cell r="AP45">
            <v>0</v>
          </cell>
          <cell r="AQ45"/>
          <cell r="AR45"/>
          <cell r="AS45">
            <v>9952.7739999999994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47097779.459000006</v>
          </cell>
          <cell r="G46">
            <v>6382296.1779999994</v>
          </cell>
          <cell r="H46">
            <v>4441479.8640000001</v>
          </cell>
          <cell r="I46">
            <v>1578117.2</v>
          </cell>
          <cell r="J46">
            <v>1404973.4350000001</v>
          </cell>
          <cell r="K46">
            <v>4850999.75</v>
          </cell>
          <cell r="L46">
            <v>2978686.91</v>
          </cell>
          <cell r="M46">
            <v>948748.7</v>
          </cell>
          <cell r="N46">
            <v>2163123</v>
          </cell>
          <cell r="O46">
            <v>867442.39999999991</v>
          </cell>
          <cell r="P46">
            <v>1649916.1</v>
          </cell>
          <cell r="Q46">
            <v>630109.29500000004</v>
          </cell>
          <cell r="R46">
            <v>2221073.7000000002</v>
          </cell>
          <cell r="S46">
            <v>3130994.5750000002</v>
          </cell>
          <cell r="T46">
            <v>456684.69999999995</v>
          </cell>
          <cell r="U46">
            <v>463159.98600000003</v>
          </cell>
          <cell r="V46">
            <v>1472581.398</v>
          </cell>
          <cell r="W46">
            <v>887314.01300000004</v>
          </cell>
          <cell r="X46">
            <v>0</v>
          </cell>
          <cell r="Y46">
            <v>0</v>
          </cell>
          <cell r="Z46">
            <v>36527701.204000004</v>
          </cell>
          <cell r="AA46">
            <v>0</v>
          </cell>
          <cell r="AB46">
            <v>0</v>
          </cell>
          <cell r="AC46">
            <v>25000</v>
          </cell>
          <cell r="AD46">
            <v>61680</v>
          </cell>
          <cell r="AE46"/>
          <cell r="AF46"/>
          <cell r="AG46"/>
          <cell r="AH46">
            <v>86680</v>
          </cell>
          <cell r="AI46">
            <v>36614381.204000004</v>
          </cell>
          <cell r="AJ46">
            <v>320101.5</v>
          </cell>
          <cell r="AK46">
            <v>126992</v>
          </cell>
          <cell r="AL46">
            <v>37068.800000000047</v>
          </cell>
          <cell r="AM46"/>
          <cell r="AN46">
            <v>484162.30000000005</v>
          </cell>
          <cell r="AO46">
            <v>9976589.8509999998</v>
          </cell>
          <cell r="AP46">
            <v>0</v>
          </cell>
          <cell r="AQ46"/>
          <cell r="AR46"/>
          <cell r="AS46">
            <v>9976589.8509999998</v>
          </cell>
          <cell r="AT46">
            <v>4700</v>
          </cell>
          <cell r="AU46">
            <v>12980</v>
          </cell>
          <cell r="AV46">
            <v>1683.5039999999999</v>
          </cell>
          <cell r="AW46"/>
          <cell r="AX46"/>
          <cell r="AY46"/>
          <cell r="AZ46"/>
          <cell r="BA46">
            <v>19363.504000000001</v>
          </cell>
          <cell r="BB46">
            <v>0</v>
          </cell>
          <cell r="BC46">
            <v>3282.6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3282.6</v>
          </cell>
        </row>
        <row r="47">
          <cell r="F47">
            <v>45256129.14599999</v>
          </cell>
          <cell r="G47">
            <v>5834399.4369999999</v>
          </cell>
          <cell r="H47">
            <v>4400106.6180000007</v>
          </cell>
          <cell r="I47">
            <v>1738881.3039999998</v>
          </cell>
          <cell r="J47">
            <v>1540646.4939999999</v>
          </cell>
          <cell r="K47">
            <v>4379998.0650000013</v>
          </cell>
          <cell r="L47">
            <v>2692732.8069999996</v>
          </cell>
          <cell r="M47">
            <v>1004124.3909999998</v>
          </cell>
          <cell r="N47">
            <v>2161606.8670000001</v>
          </cell>
          <cell r="O47">
            <v>895756.19600000011</v>
          </cell>
          <cell r="P47">
            <v>1594819.0790000001</v>
          </cell>
          <cell r="Q47">
            <v>744294.98300000001</v>
          </cell>
          <cell r="R47">
            <v>2054728.9240000001</v>
          </cell>
          <cell r="S47">
            <v>3027728.3019999997</v>
          </cell>
          <cell r="T47">
            <v>448763.79700000002</v>
          </cell>
          <cell r="U47">
            <v>451102.80999999994</v>
          </cell>
          <cell r="V47">
            <v>1495697.291</v>
          </cell>
          <cell r="W47">
            <v>854502.10699999984</v>
          </cell>
          <cell r="X47">
            <v>0</v>
          </cell>
          <cell r="Y47">
            <v>0</v>
          </cell>
          <cell r="Z47">
            <v>35319889.471999995</v>
          </cell>
          <cell r="AA47">
            <v>0</v>
          </cell>
          <cell r="AB47">
            <v>0</v>
          </cell>
          <cell r="AC47">
            <v>6603.3119999999999</v>
          </cell>
          <cell r="AD47">
            <v>17439.307999999997</v>
          </cell>
          <cell r="AE47"/>
          <cell r="AF47"/>
          <cell r="AG47"/>
          <cell r="AH47">
            <v>24042.619999999995</v>
          </cell>
          <cell r="AI47">
            <v>35343932.091999993</v>
          </cell>
          <cell r="AJ47">
            <v>302091.85400000005</v>
          </cell>
          <cell r="AK47">
            <v>178690.64500000002</v>
          </cell>
          <cell r="AL47">
            <v>70072.555000000168</v>
          </cell>
          <cell r="AM47"/>
          <cell r="AN47">
            <v>550855.05400000024</v>
          </cell>
          <cell r="AO47">
            <v>9707968.5380000006</v>
          </cell>
          <cell r="AP47">
            <v>0</v>
          </cell>
          <cell r="AQ47"/>
          <cell r="AR47"/>
          <cell r="AS47">
            <v>9707968.5380000006</v>
          </cell>
          <cell r="AT47">
            <v>2955.5430000000001</v>
          </cell>
          <cell r="AU47">
            <v>11503.479000000001</v>
          </cell>
          <cell r="AV47">
            <v>0</v>
          </cell>
          <cell r="AW47"/>
          <cell r="AX47"/>
          <cell r="AY47"/>
          <cell r="AZ47"/>
          <cell r="BA47">
            <v>14459.022000000001</v>
          </cell>
          <cell r="BB47">
            <v>0</v>
          </cell>
          <cell r="BC47">
            <v>0</v>
          </cell>
          <cell r="BD47">
            <v>-361085.56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-361085.56</v>
          </cell>
        </row>
        <row r="48">
          <cell r="F48">
            <v>1841650.3130000159</v>
          </cell>
          <cell r="G48">
            <v>547896.74099999946</v>
          </cell>
          <cell r="H48">
            <v>41373.245999999344</v>
          </cell>
          <cell r="I48">
            <v>-160764.10399999982</v>
          </cell>
          <cell r="J48">
            <v>-135673.05899999989</v>
          </cell>
          <cell r="K48">
            <v>471001.68499999866</v>
          </cell>
          <cell r="L48">
            <v>285954.10300000058</v>
          </cell>
          <cell r="M48">
            <v>-55375.690999999875</v>
          </cell>
          <cell r="N48">
            <v>1516.1329999999143</v>
          </cell>
          <cell r="O48">
            <v>-28313.796000000206</v>
          </cell>
          <cell r="P48">
            <v>55097.02099999995</v>
          </cell>
          <cell r="Q48">
            <v>-114185.68799999997</v>
          </cell>
          <cell r="R48">
            <v>166344.77600000007</v>
          </cell>
          <cell r="S48">
            <v>103266.27300000051</v>
          </cell>
          <cell r="T48">
            <v>7920.9029999999329</v>
          </cell>
          <cell r="U48">
            <v>12057.176000000094</v>
          </cell>
          <cell r="V48">
            <v>-23115.892999999924</v>
          </cell>
          <cell r="W48">
            <v>32811.906000000192</v>
          </cell>
          <cell r="X48">
            <v>0</v>
          </cell>
          <cell r="Y48">
            <v>0</v>
          </cell>
          <cell r="Z48">
            <v>1207811.7320000082</v>
          </cell>
          <cell r="AA48">
            <v>0</v>
          </cell>
          <cell r="AB48">
            <v>0</v>
          </cell>
          <cell r="AC48">
            <v>18396.688000000002</v>
          </cell>
          <cell r="AD48">
            <v>44240.692000000003</v>
          </cell>
          <cell r="AE48"/>
          <cell r="AF48"/>
          <cell r="AG48"/>
          <cell r="AH48">
            <v>62637.380000000005</v>
          </cell>
          <cell r="AI48">
            <v>1270449.1120000109</v>
          </cell>
          <cell r="AJ48">
            <v>18009.64599999995</v>
          </cell>
          <cell r="AK48">
            <v>-51698.645000000019</v>
          </cell>
          <cell r="AL48">
            <v>-33003.755000000121</v>
          </cell>
          <cell r="AM48"/>
          <cell r="AN48">
            <v>-66692.75400000019</v>
          </cell>
          <cell r="AO48">
            <v>268621.31299999915</v>
          </cell>
          <cell r="AP48">
            <v>0</v>
          </cell>
          <cell r="AQ48"/>
          <cell r="AR48"/>
          <cell r="AS48">
            <v>268621.31299999915</v>
          </cell>
          <cell r="AT48">
            <v>1744.4569999999999</v>
          </cell>
          <cell r="AU48">
            <v>1476.5209999999988</v>
          </cell>
          <cell r="AV48">
            <v>1683.5039999999999</v>
          </cell>
          <cell r="AW48"/>
          <cell r="AX48"/>
          <cell r="AY48"/>
          <cell r="AZ48"/>
          <cell r="BA48">
            <v>4904.482</v>
          </cell>
          <cell r="BB48">
            <v>0</v>
          </cell>
          <cell r="BC48">
            <v>3282.6</v>
          </cell>
          <cell r="BD48">
            <v>361085.56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364368.16</v>
          </cell>
        </row>
        <row r="49">
          <cell r="F49">
            <v>5334250.0030002948</v>
          </cell>
          <cell r="G49">
            <v>708791.73463925254</v>
          </cell>
          <cell r="H49">
            <v>534144.30871728447</v>
          </cell>
          <cell r="I49">
            <v>240951.34990099361</v>
          </cell>
          <cell r="J49">
            <v>208943.98175702972</v>
          </cell>
          <cell r="K49">
            <v>557469.95033568691</v>
          </cell>
          <cell r="L49">
            <v>383098.3897358792</v>
          </cell>
          <cell r="M49">
            <v>163481.17958294967</v>
          </cell>
          <cell r="N49">
            <v>317616.35270665918</v>
          </cell>
          <cell r="O49">
            <v>142895.90132173768</v>
          </cell>
          <cell r="P49">
            <v>243304.982944944</v>
          </cell>
          <cell r="Q49">
            <v>129017.48707994785</v>
          </cell>
          <cell r="R49">
            <v>270470.9502869132</v>
          </cell>
          <cell r="S49">
            <v>382016.06896085164</v>
          </cell>
          <cell r="T49">
            <v>63438.692781762729</v>
          </cell>
          <cell r="U49">
            <v>68014.109505065819</v>
          </cell>
          <cell r="V49">
            <v>191532.72020887936</v>
          </cell>
          <cell r="W49">
            <v>113224.22394700651</v>
          </cell>
          <cell r="X49">
            <v>0</v>
          </cell>
          <cell r="Y49">
            <v>0</v>
          </cell>
          <cell r="Z49">
            <v>4718412.3844128437</v>
          </cell>
          <cell r="AA49">
            <v>14969.297999999999</v>
          </cell>
          <cell r="AB49">
            <v>462.58799999999997</v>
          </cell>
          <cell r="AC49">
            <v>61.798999999999999</v>
          </cell>
          <cell r="AD49">
            <v>0</v>
          </cell>
          <cell r="AE49"/>
          <cell r="AF49"/>
          <cell r="AG49"/>
          <cell r="AH49">
            <v>15493.684999999999</v>
          </cell>
          <cell r="AI49">
            <v>4733906.0694128433</v>
          </cell>
          <cell r="AJ49">
            <v>46523.970478350049</v>
          </cell>
          <cell r="AK49">
            <v>29615.229429101099</v>
          </cell>
          <cell r="AL49">
            <v>30769.92368</v>
          </cell>
          <cell r="AM49"/>
          <cell r="AN49">
            <v>106909.12358745115</v>
          </cell>
          <cell r="AO49">
            <v>388735.83600000001</v>
          </cell>
          <cell r="AP49">
            <v>0</v>
          </cell>
          <cell r="AQ49"/>
          <cell r="AR49"/>
          <cell r="AS49">
            <v>388735.83600000001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35996.483999999997</v>
          </cell>
          <cell r="BD49">
            <v>0</v>
          </cell>
          <cell r="BE49">
            <v>0</v>
          </cell>
          <cell r="BF49">
            <v>68702.489999999991</v>
          </cell>
          <cell r="BG49">
            <v>0</v>
          </cell>
          <cell r="BH49"/>
          <cell r="BI49"/>
          <cell r="BJ49">
            <v>104698.97399999999</v>
          </cell>
        </row>
        <row r="50">
          <cell r="F50">
            <v>-3492599.6900002789</v>
          </cell>
          <cell r="G50">
            <v>-160894.99363925308</v>
          </cell>
          <cell r="H50">
            <v>-492771.06271728512</v>
          </cell>
          <cell r="I50">
            <v>-401715.45390099345</v>
          </cell>
          <cell r="J50">
            <v>-344617.04075702961</v>
          </cell>
          <cell r="K50">
            <v>-86468.265335688251</v>
          </cell>
          <cell r="L50">
            <v>-97144.286735878617</v>
          </cell>
          <cell r="M50">
            <v>-218856.87058294954</v>
          </cell>
          <cell r="N50">
            <v>-316100.21970665926</v>
          </cell>
          <cell r="O50">
            <v>-171209.69732173788</v>
          </cell>
          <cell r="P50">
            <v>-188207.96194494405</v>
          </cell>
          <cell r="Q50">
            <v>-243203.1750799478</v>
          </cell>
          <cell r="R50">
            <v>-104126.17428691313</v>
          </cell>
          <cell r="S50">
            <v>-278749.79596085113</v>
          </cell>
          <cell r="T50">
            <v>-55517.789781762796</v>
          </cell>
          <cell r="U50">
            <v>-55956.933505065725</v>
          </cell>
          <cell r="V50">
            <v>-214648.61320887928</v>
          </cell>
          <cell r="W50">
            <v>-80412.317947006319</v>
          </cell>
          <cell r="X50">
            <v>0</v>
          </cell>
          <cell r="Y50">
            <v>0</v>
          </cell>
          <cell r="Z50">
            <v>-3510600.6524128355</v>
          </cell>
          <cell r="AA50">
            <v>-14969.297999999999</v>
          </cell>
          <cell r="AB50">
            <v>-462.58799999999997</v>
          </cell>
          <cell r="AC50">
            <v>18334.889000000003</v>
          </cell>
          <cell r="AD50">
            <v>44240.692000000003</v>
          </cell>
          <cell r="AE50"/>
          <cell r="AF50"/>
          <cell r="AG50"/>
          <cell r="AH50">
            <v>47143.695000000007</v>
          </cell>
          <cell r="AI50">
            <v>-3463456.9574128324</v>
          </cell>
          <cell r="AJ50">
            <v>-28514.3244783501</v>
          </cell>
          <cell r="AK50">
            <v>-81313.874429101124</v>
          </cell>
          <cell r="AL50">
            <v>-63773.678680000121</v>
          </cell>
          <cell r="AM50"/>
          <cell r="AN50">
            <v>-173601.87758745134</v>
          </cell>
          <cell r="AO50">
            <v>-120114.52300000086</v>
          </cell>
          <cell r="AP50">
            <v>0</v>
          </cell>
          <cell r="AQ50"/>
          <cell r="AR50"/>
          <cell r="AS50">
            <v>-120114.52300000086</v>
          </cell>
          <cell r="AT50">
            <v>1744.4569999999999</v>
          </cell>
          <cell r="AU50">
            <v>1476.5209999999988</v>
          </cell>
          <cell r="AV50">
            <v>1683.5039999999999</v>
          </cell>
          <cell r="AW50"/>
          <cell r="AX50"/>
          <cell r="AY50"/>
          <cell r="AZ50"/>
          <cell r="BA50">
            <v>4904.482</v>
          </cell>
          <cell r="BB50">
            <v>0</v>
          </cell>
          <cell r="BC50">
            <v>-32713.883999999998</v>
          </cell>
          <cell r="BD50">
            <v>361085.56</v>
          </cell>
          <cell r="BE50">
            <v>0</v>
          </cell>
          <cell r="BF50">
            <v>-68702.489999999991</v>
          </cell>
          <cell r="BG50">
            <v>0</v>
          </cell>
          <cell r="BH50"/>
          <cell r="BI50"/>
          <cell r="BJ50">
            <v>259669.18599999999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3분기"/>
      <sheetName val="상반기"/>
      <sheetName val="하반기"/>
      <sheetName val="연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111월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J6" t="str">
            <v>기타 계</v>
          </cell>
        </row>
        <row r="7">
          <cell r="G7">
            <v>34905</v>
          </cell>
          <cell r="H7">
            <v>21485</v>
          </cell>
          <cell r="I7">
            <v>10445</v>
          </cell>
          <cell r="J7">
            <v>7404.5</v>
          </cell>
          <cell r="K7">
            <v>16897</v>
          </cell>
          <cell r="L7">
            <v>17850</v>
          </cell>
          <cell r="M7">
            <v>4580</v>
          </cell>
          <cell r="N7">
            <v>18366</v>
          </cell>
          <cell r="O7">
            <v>8188</v>
          </cell>
          <cell r="P7">
            <v>10864</v>
          </cell>
          <cell r="Q7">
            <v>9434</v>
          </cell>
          <cell r="R7">
            <v>9715</v>
          </cell>
          <cell r="S7">
            <v>17767</v>
          </cell>
          <cell r="T7">
            <v>1228</v>
          </cell>
          <cell r="U7">
            <v>3896</v>
          </cell>
          <cell r="V7">
            <v>13076.5</v>
          </cell>
          <cell r="W7">
            <v>4678</v>
          </cell>
          <cell r="Z7">
            <v>210779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210779</v>
          </cell>
          <cell r="AJ7">
            <v>24573</v>
          </cell>
          <cell r="AK7">
            <v>12950</v>
          </cell>
          <cell r="AL7">
            <v>20414</v>
          </cell>
          <cell r="AN7">
            <v>57937</v>
          </cell>
          <cell r="AO7">
            <v>9724.5229999999992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30706865.719000004</v>
          </cell>
          <cell r="G8">
            <v>3382032.5330000003</v>
          </cell>
          <cell r="H8">
            <v>2095091.91</v>
          </cell>
          <cell r="I8">
            <v>1017451.8</v>
          </cell>
          <cell r="J8">
            <v>704991.23600000003</v>
          </cell>
          <cell r="K8">
            <v>1794102.5</v>
          </cell>
          <cell r="L8">
            <v>1700780.2</v>
          </cell>
          <cell r="M8">
            <v>453453</v>
          </cell>
          <cell r="N8">
            <v>1908460.9</v>
          </cell>
          <cell r="O8">
            <v>791570.5</v>
          </cell>
          <cell r="P8">
            <v>1085930.05</v>
          </cell>
          <cell r="Q8">
            <v>882506.66899999999</v>
          </cell>
          <cell r="R8">
            <v>1047306</v>
          </cell>
          <cell r="S8">
            <v>1783042.6</v>
          </cell>
          <cell r="T8">
            <v>138477.1</v>
          </cell>
          <cell r="U8">
            <v>414872.25</v>
          </cell>
          <cell r="V8">
            <v>1256967.1189999999</v>
          </cell>
          <cell r="W8">
            <v>565731.36399999994</v>
          </cell>
          <cell r="Z8">
            <v>21022767.731000002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21113607.731000002</v>
          </cell>
          <cell r="AJ8">
            <v>679860.5</v>
          </cell>
          <cell r="AK8">
            <v>179002</v>
          </cell>
          <cell r="AL8">
            <v>383721</v>
          </cell>
          <cell r="AN8">
            <v>1242583.5</v>
          </cell>
          <cell r="AO8">
            <v>8276995.1200000001</v>
          </cell>
          <cell r="AP8">
            <v>0</v>
          </cell>
          <cell r="AS8">
            <v>8276995.1200000001</v>
          </cell>
          <cell r="AT8">
            <v>5512.5</v>
          </cell>
          <cell r="AU8">
            <v>5850</v>
          </cell>
          <cell r="AV8">
            <v>60637.017999999996</v>
          </cell>
          <cell r="BA8">
            <v>71999.517999999996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1679.85</v>
          </cell>
        </row>
        <row r="9">
          <cell r="G9">
            <v>96892.494857470287</v>
          </cell>
          <cell r="H9">
            <v>97514.16848964394</v>
          </cell>
          <cell r="I9">
            <v>97410.416467209201</v>
          </cell>
          <cell r="J9">
            <v>95211.187250996023</v>
          </cell>
          <cell r="K9">
            <v>106178.75954311417</v>
          </cell>
          <cell r="L9">
            <v>95281.803921568629</v>
          </cell>
          <cell r="M9">
            <v>99007.205240174677</v>
          </cell>
          <cell r="N9">
            <v>103912.71371011651</v>
          </cell>
          <cell r="O9">
            <v>96674.462628236448</v>
          </cell>
          <cell r="P9">
            <v>99956.742452135499</v>
          </cell>
          <cell r="Q9">
            <v>93545.332732669063</v>
          </cell>
          <cell r="R9">
            <v>107802.98507462686</v>
          </cell>
          <cell r="S9">
            <v>100356.98767377723</v>
          </cell>
          <cell r="T9">
            <v>112766.3680781759</v>
          </cell>
          <cell r="U9">
            <v>106486.71714579055</v>
          </cell>
          <cell r="V9">
            <v>96124.124880510833</v>
          </cell>
          <cell r="W9">
            <v>120934.4514749893</v>
          </cell>
          <cell r="Z9">
            <v>99738.435664843273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100169.40838983012</v>
          </cell>
          <cell r="AJ9">
            <v>27666.971879705368</v>
          </cell>
          <cell r="AK9">
            <v>13822.548262548264</v>
          </cell>
          <cell r="AL9">
            <v>18796.953071421573</v>
          </cell>
          <cell r="AO9">
            <v>851146.6444163894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28382832.22727</v>
          </cell>
          <cell r="G10">
            <v>3028054.4057399998</v>
          </cell>
          <cell r="H10">
            <v>2047476.5941900001</v>
          </cell>
          <cell r="I10">
            <v>986486.16125999996</v>
          </cell>
          <cell r="J10">
            <v>699082.92534000007</v>
          </cell>
          <cell r="K10">
            <v>1527073.6959899999</v>
          </cell>
          <cell r="L10">
            <v>1527313.7372300001</v>
          </cell>
          <cell r="M10">
            <v>476762.62979000004</v>
          </cell>
          <cell r="N10">
            <v>1693771.5505299999</v>
          </cell>
          <cell r="O10">
            <v>716786.28333000001</v>
          </cell>
          <cell r="P10">
            <v>919909.58153999993</v>
          </cell>
          <cell r="Q10">
            <v>826959.20144000009</v>
          </cell>
          <cell r="R10">
            <v>927236.65260000003</v>
          </cell>
          <cell r="S10">
            <v>1633656.6474900001</v>
          </cell>
          <cell r="T10">
            <v>159814.69292</v>
          </cell>
          <cell r="U10">
            <v>336384.07094999996</v>
          </cell>
          <cell r="V10">
            <v>1059398.4283400001</v>
          </cell>
          <cell r="W10">
            <v>482980.68679000007</v>
          </cell>
          <cell r="Z10">
            <v>19049147.945469998</v>
          </cell>
          <cell r="AA10">
            <v>536.15899999999999</v>
          </cell>
          <cell r="AB10">
            <v>0</v>
          </cell>
          <cell r="AC10">
            <v>3422.8870000000002</v>
          </cell>
          <cell r="AD10">
            <v>8505.26</v>
          </cell>
          <cell r="AH10">
            <v>12464.306</v>
          </cell>
          <cell r="AI10">
            <v>19061612.25147</v>
          </cell>
          <cell r="AJ10">
            <v>614099.73976000003</v>
          </cell>
          <cell r="AK10">
            <v>155668.79463000002</v>
          </cell>
          <cell r="AL10">
            <v>423819.97140999994</v>
          </cell>
          <cell r="AN10">
            <v>1193588.5057999999</v>
          </cell>
          <cell r="AO10">
            <v>8127334.0770000005</v>
          </cell>
          <cell r="AP10">
            <v>0</v>
          </cell>
          <cell r="AS10">
            <v>8127334.0770000005</v>
          </cell>
          <cell r="AT10">
            <v>129.16499999999999</v>
          </cell>
          <cell r="AU10">
            <v>168.22800000000001</v>
          </cell>
          <cell r="AV10">
            <v>0</v>
          </cell>
          <cell r="BA10">
            <v>297.39300000000003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86751.30799999999</v>
          </cell>
          <cell r="H11">
            <v>95297.956443565286</v>
          </cell>
          <cell r="I11">
            <v>94445.778962182856</v>
          </cell>
          <cell r="J11">
            <v>94413.252122358026</v>
          </cell>
          <cell r="K11">
            <v>90375.433271586677</v>
          </cell>
          <cell r="L11">
            <v>85563.794802801131</v>
          </cell>
          <cell r="M11">
            <v>104096.64405895196</v>
          </cell>
          <cell r="N11">
            <v>92223.214120113247</v>
          </cell>
          <cell r="O11">
            <v>87541.07026502199</v>
          </cell>
          <cell r="P11">
            <v>84675.035119661261</v>
          </cell>
          <cell r="Q11">
            <v>87657.324723341124</v>
          </cell>
          <cell r="R11">
            <v>95443.813957797218</v>
          </cell>
          <cell r="S11">
            <v>91948.930460404124</v>
          </cell>
          <cell r="T11">
            <v>130142.2580781759</v>
          </cell>
          <cell r="U11">
            <v>86340.880633983557</v>
          </cell>
          <cell r="V11">
            <v>81015.442078537846</v>
          </cell>
          <cell r="W11">
            <v>103245.12329841814</v>
          </cell>
          <cell r="Z11">
            <v>90374.980171032206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90434.114648375777</v>
          </cell>
          <cell r="AJ11">
            <v>24990.833018353478</v>
          </cell>
          <cell r="AK11">
            <v>12020.756342084944</v>
          </cell>
          <cell r="AL11">
            <v>20761.240884197119</v>
          </cell>
          <cell r="AO11">
            <v>835756.57921730459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2324033.4917300045</v>
          </cell>
          <cell r="G12">
            <v>353978.12726000044</v>
          </cell>
          <cell r="H12">
            <v>47615.315809999825</v>
          </cell>
          <cell r="I12">
            <v>30965.638740000082</v>
          </cell>
          <cell r="J12">
            <v>5908.3106599999592</v>
          </cell>
          <cell r="K12">
            <v>267028.80401000008</v>
          </cell>
          <cell r="L12">
            <v>173466.46276999987</v>
          </cell>
          <cell r="M12">
            <v>-23309.629790000035</v>
          </cell>
          <cell r="N12">
            <v>214689.34947000002</v>
          </cell>
          <cell r="O12">
            <v>74784.216669999994</v>
          </cell>
          <cell r="P12">
            <v>166020.46846000012</v>
          </cell>
          <cell r="Q12">
            <v>55547.467559999903</v>
          </cell>
          <cell r="R12">
            <v>120069.34739999997</v>
          </cell>
          <cell r="S12">
            <v>149385.95250999997</v>
          </cell>
          <cell r="T12">
            <v>-21337.592919999996</v>
          </cell>
          <cell r="U12">
            <v>78488.179050000035</v>
          </cell>
          <cell r="V12">
            <v>197568.69065999985</v>
          </cell>
          <cell r="W12">
            <v>82750.677209999878</v>
          </cell>
          <cell r="Z12">
            <v>1973619.7855299995</v>
          </cell>
          <cell r="AA12">
            <v>49463.841</v>
          </cell>
          <cell r="AB12">
            <v>0</v>
          </cell>
          <cell r="AC12">
            <v>9077.1129999999994</v>
          </cell>
          <cell r="AD12">
            <v>19834.739999999998</v>
          </cell>
          <cell r="AH12">
            <v>78375.694000000003</v>
          </cell>
          <cell r="AI12">
            <v>2051995.4795300029</v>
          </cell>
          <cell r="AJ12">
            <v>65760.760239999974</v>
          </cell>
          <cell r="AK12">
            <v>23333.205369999981</v>
          </cell>
          <cell r="AL12">
            <v>-40098.97140999994</v>
          </cell>
          <cell r="AN12">
            <v>48994.994200000074</v>
          </cell>
          <cell r="AO12">
            <v>149661.0429999996</v>
          </cell>
          <cell r="AP12">
            <v>0</v>
          </cell>
          <cell r="AS12">
            <v>149661.0429999996</v>
          </cell>
          <cell r="AT12">
            <v>5383.335</v>
          </cell>
          <cell r="AU12">
            <v>5681.7719999999999</v>
          </cell>
          <cell r="AV12">
            <v>60637.017999999996</v>
          </cell>
          <cell r="BA12">
            <v>71702.125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1679.85</v>
          </cell>
        </row>
        <row r="13">
          <cell r="F13">
            <v>742540.13099999994</v>
          </cell>
          <cell r="G13">
            <v>58276.017999999996</v>
          </cell>
          <cell r="H13">
            <v>61478.066999999995</v>
          </cell>
          <cell r="I13">
            <v>53032.188000000002</v>
          </cell>
          <cell r="J13">
            <v>34675.330999999998</v>
          </cell>
          <cell r="K13">
            <v>49127.203999999998</v>
          </cell>
          <cell r="L13">
            <v>52841.233999999997</v>
          </cell>
          <cell r="M13">
            <v>35634.233999999997</v>
          </cell>
          <cell r="N13">
            <v>40529.691999999995</v>
          </cell>
          <cell r="O13">
            <v>29323.786</v>
          </cell>
          <cell r="P13">
            <v>25617.365000000002</v>
          </cell>
          <cell r="Q13">
            <v>28185.103999999999</v>
          </cell>
          <cell r="R13">
            <v>27119.686000000002</v>
          </cell>
          <cell r="S13">
            <v>42532.993999999999</v>
          </cell>
          <cell r="T13">
            <v>9265.5589999999993</v>
          </cell>
          <cell r="U13">
            <v>9497.2340000000004</v>
          </cell>
          <cell r="V13">
            <v>27403.620000000003</v>
          </cell>
          <cell r="W13">
            <v>15695.865000000002</v>
          </cell>
          <cell r="Z13">
            <v>600235.18099999987</v>
          </cell>
          <cell r="AA13">
            <v>0</v>
          </cell>
          <cell r="AB13">
            <v>175.684</v>
          </cell>
          <cell r="AC13">
            <v>0</v>
          </cell>
          <cell r="AD13">
            <v>0</v>
          </cell>
          <cell r="AH13">
            <v>175.684</v>
          </cell>
          <cell r="AI13">
            <v>600410.86499999987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133004.989</v>
          </cell>
          <cell r="AP13">
            <v>0</v>
          </cell>
          <cell r="AS13">
            <v>133004.989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9124.277</v>
          </cell>
          <cell r="BG13">
            <v>0</v>
          </cell>
          <cell r="BJ13">
            <v>9124.277</v>
          </cell>
        </row>
        <row r="14">
          <cell r="F14">
            <v>528061.50799999991</v>
          </cell>
          <cell r="G14">
            <v>43118.315999999999</v>
          </cell>
          <cell r="H14">
            <v>46301.198999999993</v>
          </cell>
          <cell r="I14">
            <v>34906.718000000001</v>
          </cell>
          <cell r="J14">
            <v>26175.984999999997</v>
          </cell>
          <cell r="K14">
            <v>34357.551999999996</v>
          </cell>
          <cell r="L14">
            <v>35821.824999999997</v>
          </cell>
          <cell r="M14">
            <v>26726.965</v>
          </cell>
          <cell r="N14">
            <v>27498.442999999996</v>
          </cell>
          <cell r="O14">
            <v>19532.807000000001</v>
          </cell>
          <cell r="P14">
            <v>19208.589</v>
          </cell>
          <cell r="Q14">
            <v>20672.539000000001</v>
          </cell>
          <cell r="R14">
            <v>18525.169000000002</v>
          </cell>
          <cell r="S14">
            <v>32152.240999999998</v>
          </cell>
          <cell r="T14">
            <v>7515.6970000000001</v>
          </cell>
          <cell r="U14">
            <v>7228.4560000000001</v>
          </cell>
          <cell r="V14">
            <v>22664.548000000003</v>
          </cell>
          <cell r="W14">
            <v>10860.244000000001</v>
          </cell>
          <cell r="Z14">
            <v>433267.29299999989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433267.29299999989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94794.214999999997</v>
          </cell>
          <cell r="AP14">
            <v>0</v>
          </cell>
          <cell r="AS14">
            <v>94794.214999999997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214478.62300000002</v>
          </cell>
          <cell r="G15">
            <v>15157.702000000001</v>
          </cell>
          <cell r="H15">
            <v>15176.867999999999</v>
          </cell>
          <cell r="I15">
            <v>18125.47</v>
          </cell>
          <cell r="J15">
            <v>8499.3460000000014</v>
          </cell>
          <cell r="K15">
            <v>14769.652000000002</v>
          </cell>
          <cell r="L15">
            <v>17019.409</v>
          </cell>
          <cell r="M15">
            <v>8907.2690000000002</v>
          </cell>
          <cell r="N15">
            <v>13031.249000000002</v>
          </cell>
          <cell r="O15">
            <v>9790.9790000000012</v>
          </cell>
          <cell r="P15">
            <v>6408.7760000000007</v>
          </cell>
          <cell r="Q15">
            <v>7512.5649999999996</v>
          </cell>
          <cell r="R15">
            <v>8594.5169999999998</v>
          </cell>
          <cell r="S15">
            <v>10380.753000000001</v>
          </cell>
          <cell r="T15">
            <v>1749.8619999999999</v>
          </cell>
          <cell r="U15">
            <v>2268.7780000000002</v>
          </cell>
          <cell r="V15">
            <v>4739.0720000000001</v>
          </cell>
          <cell r="W15">
            <v>4835.6210000000001</v>
          </cell>
          <cell r="Z15">
            <v>166967.88800000001</v>
          </cell>
          <cell r="AA15">
            <v>0</v>
          </cell>
          <cell r="AB15">
            <v>175.684</v>
          </cell>
          <cell r="AC15">
            <v>0</v>
          </cell>
          <cell r="AD15">
            <v>0</v>
          </cell>
          <cell r="AH15">
            <v>175.684</v>
          </cell>
          <cell r="AI15">
            <v>167143.57200000001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38210.773999999998</v>
          </cell>
          <cell r="AP15">
            <v>0</v>
          </cell>
          <cell r="AS15">
            <v>38210.773999999998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9124.277</v>
          </cell>
          <cell r="BG15">
            <v>0</v>
          </cell>
          <cell r="BJ15">
            <v>9124.277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1581493.3607300045</v>
          </cell>
          <cell r="G17">
            <v>295702.10926000046</v>
          </cell>
          <cell r="H17">
            <v>-13862.75119000017</v>
          </cell>
          <cell r="I17">
            <v>-22066.54925999992</v>
          </cell>
          <cell r="J17">
            <v>-28767.020340000039</v>
          </cell>
          <cell r="K17">
            <v>217901.60001000008</v>
          </cell>
          <cell r="L17">
            <v>120625.22876999987</v>
          </cell>
          <cell r="M17">
            <v>-58943.863790000032</v>
          </cell>
          <cell r="N17">
            <v>174159.65747000003</v>
          </cell>
          <cell r="O17">
            <v>45460.430669999994</v>
          </cell>
          <cell r="P17">
            <v>140403.10346000013</v>
          </cell>
          <cell r="Q17">
            <v>27362.363559999903</v>
          </cell>
          <cell r="R17">
            <v>92949.661399999968</v>
          </cell>
          <cell r="S17">
            <v>106852.95850999997</v>
          </cell>
          <cell r="T17">
            <v>-30603.151919999997</v>
          </cell>
          <cell r="U17">
            <v>68990.945050000038</v>
          </cell>
          <cell r="V17">
            <v>170165.07065999985</v>
          </cell>
          <cell r="W17">
            <v>67054.812209999873</v>
          </cell>
          <cell r="Z17">
            <v>1373384.6045299997</v>
          </cell>
          <cell r="AA17">
            <v>49463.841</v>
          </cell>
          <cell r="AB17">
            <v>-175.684</v>
          </cell>
          <cell r="AC17">
            <v>9077.1129999999994</v>
          </cell>
          <cell r="AD17">
            <v>19834.739999999998</v>
          </cell>
          <cell r="AH17">
            <v>78200.010000000009</v>
          </cell>
          <cell r="AI17">
            <v>1451584.6145300032</v>
          </cell>
          <cell r="AJ17">
            <v>65760.760239999974</v>
          </cell>
          <cell r="AK17">
            <v>23333.205369999981</v>
          </cell>
          <cell r="AL17">
            <v>-40098.97140999994</v>
          </cell>
          <cell r="AN17">
            <v>48994.994200000074</v>
          </cell>
          <cell r="AO17">
            <v>16656.053999999596</v>
          </cell>
          <cell r="AP17">
            <v>0</v>
          </cell>
          <cell r="AS17">
            <v>16656.053999999596</v>
          </cell>
          <cell r="AT17">
            <v>5383.335</v>
          </cell>
          <cell r="AU17">
            <v>5681.7719999999999</v>
          </cell>
          <cell r="AV17">
            <v>60637.017999999996</v>
          </cell>
          <cell r="BA17">
            <v>71702.125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-9124.277</v>
          </cell>
          <cell r="BG17">
            <v>0</v>
          </cell>
          <cell r="BJ17">
            <v>-7444.4269999999997</v>
          </cell>
        </row>
        <row r="18">
          <cell r="F18">
            <v>593291.12471999996</v>
          </cell>
          <cell r="G18">
            <v>30117.650260000002</v>
          </cell>
          <cell r="H18">
            <v>35517.608809999998</v>
          </cell>
          <cell r="I18">
            <v>20672.318739999999</v>
          </cell>
          <cell r="J18">
            <v>18101.859660000002</v>
          </cell>
          <cell r="K18">
            <v>84589.022010000001</v>
          </cell>
          <cell r="L18">
            <v>43122.734770000003</v>
          </cell>
          <cell r="M18">
            <v>14543.96421</v>
          </cell>
          <cell r="N18">
            <v>23348.260469999997</v>
          </cell>
          <cell r="O18">
            <v>12572.666669999999</v>
          </cell>
          <cell r="P18">
            <v>31652.88046</v>
          </cell>
          <cell r="Q18">
            <v>15843.334560000001</v>
          </cell>
          <cell r="R18">
            <v>14933.1414</v>
          </cell>
          <cell r="S18">
            <v>35155.649509999996</v>
          </cell>
          <cell r="T18">
            <v>5913.8550800000003</v>
          </cell>
          <cell r="U18">
            <v>11124.040050000001</v>
          </cell>
          <cell r="V18">
            <v>20984.665659999999</v>
          </cell>
          <cell r="W18">
            <v>13218.304210000002</v>
          </cell>
          <cell r="Z18">
            <v>431411.95653000008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H18">
            <v>5669.0559999999996</v>
          </cell>
          <cell r="AI18">
            <v>437081.01252999995</v>
          </cell>
          <cell r="AJ18">
            <v>34855.079239999999</v>
          </cell>
          <cell r="AK18">
            <v>13788.075359999999</v>
          </cell>
          <cell r="AL18">
            <v>51818.844590000001</v>
          </cell>
          <cell r="AN18">
            <v>100461.99919</v>
          </cell>
          <cell r="AO18">
            <v>5794.3410000000003</v>
          </cell>
          <cell r="AP18">
            <v>0</v>
          </cell>
          <cell r="AS18">
            <v>5794.3410000000003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17689.939999999999</v>
          </cell>
          <cell r="BD18">
            <v>0</v>
          </cell>
          <cell r="BE18">
            <v>0</v>
          </cell>
          <cell r="BF18">
            <v>22461.331999999999</v>
          </cell>
          <cell r="BG18">
            <v>0</v>
          </cell>
          <cell r="BJ18">
            <v>40151.271999999997</v>
          </cell>
        </row>
        <row r="19">
          <cell r="F19">
            <v>526252.81871999998</v>
          </cell>
          <cell r="G19">
            <v>28160.432260000001</v>
          </cell>
          <cell r="H19">
            <v>33202.078809999999</v>
          </cell>
          <cell r="I19">
            <v>18901.07474</v>
          </cell>
          <cell r="J19">
            <v>16909.873660000001</v>
          </cell>
          <cell r="K19">
            <v>82712.959010000006</v>
          </cell>
          <cell r="L19">
            <v>41558.335770000005</v>
          </cell>
          <cell r="M19">
            <v>13350.36721</v>
          </cell>
          <cell r="N19">
            <v>21784.958469999998</v>
          </cell>
          <cell r="O19">
            <v>11822.632669999999</v>
          </cell>
          <cell r="P19">
            <v>30434.116460000001</v>
          </cell>
          <cell r="Q19">
            <v>15018.12556</v>
          </cell>
          <cell r="R19">
            <v>14118.2304</v>
          </cell>
          <cell r="S19">
            <v>33567.451509999999</v>
          </cell>
          <cell r="T19">
            <v>5543.4560799999999</v>
          </cell>
          <cell r="U19">
            <v>10681.171050000001</v>
          </cell>
          <cell r="V19">
            <v>20161.06466</v>
          </cell>
          <cell r="W19">
            <v>12392.935210000001</v>
          </cell>
          <cell r="Z19">
            <v>410319.26353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H19">
            <v>5669.0559999999996</v>
          </cell>
          <cell r="AI19">
            <v>415988.31952999998</v>
          </cell>
          <cell r="AJ19">
            <v>34855.079239999999</v>
          </cell>
          <cell r="AK19">
            <v>13788.075359999999</v>
          </cell>
          <cell r="AL19">
            <v>51818.844590000001</v>
          </cell>
          <cell r="AN19">
            <v>100461.99919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67038.305999999997</v>
          </cell>
          <cell r="G20">
            <v>1957.2180000000001</v>
          </cell>
          <cell r="H20">
            <v>2315.5300000000002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825.20899999999995</v>
          </cell>
          <cell r="R20">
            <v>814.91099999999994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823.601</v>
          </cell>
          <cell r="W20">
            <v>825.36900000000003</v>
          </cell>
          <cell r="Z20">
            <v>21092.692999999996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21092.692999999996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5794.3410000000003</v>
          </cell>
          <cell r="AP20">
            <v>0</v>
          </cell>
          <cell r="AS20">
            <v>5794.3410000000003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17689.939999999999</v>
          </cell>
          <cell r="BD20">
            <v>0</v>
          </cell>
          <cell r="BE20">
            <v>0</v>
          </cell>
          <cell r="BF20">
            <v>22461.331999999999</v>
          </cell>
          <cell r="BG20">
            <v>0</v>
          </cell>
          <cell r="BJ20">
            <v>40151.271999999997</v>
          </cell>
        </row>
        <row r="21">
          <cell r="F21">
            <v>988202.23601000453</v>
          </cell>
          <cell r="G21">
            <v>265584.45900000044</v>
          </cell>
          <cell r="H21">
            <v>-49380.360000000168</v>
          </cell>
          <cell r="I21">
            <v>-42738.867999999915</v>
          </cell>
          <cell r="J21">
            <v>-46868.880000000041</v>
          </cell>
          <cell r="K21">
            <v>133312.5780000001</v>
          </cell>
          <cell r="L21">
            <v>77502.493999999861</v>
          </cell>
          <cell r="M21">
            <v>-73487.828000000038</v>
          </cell>
          <cell r="N21">
            <v>150811.39700000003</v>
          </cell>
          <cell r="O21">
            <v>32887.763999999996</v>
          </cell>
          <cell r="P21">
            <v>108750.22300000013</v>
          </cell>
          <cell r="Q21">
            <v>11519.028999999902</v>
          </cell>
          <cell r="R21">
            <v>78016.51999999996</v>
          </cell>
          <cell r="S21">
            <v>71697.308999999979</v>
          </cell>
          <cell r="T21">
            <v>-36517.006999999998</v>
          </cell>
          <cell r="U21">
            <v>57866.905000000035</v>
          </cell>
          <cell r="V21">
            <v>149180.40499999985</v>
          </cell>
          <cell r="W21">
            <v>53836.507999999871</v>
          </cell>
          <cell r="Z21">
            <v>941972.64799999958</v>
          </cell>
          <cell r="AA21">
            <v>43794.785000000003</v>
          </cell>
          <cell r="AB21">
            <v>-175.684</v>
          </cell>
          <cell r="AC21">
            <v>9077.1129999999994</v>
          </cell>
          <cell r="AD21">
            <v>19834.739999999998</v>
          </cell>
          <cell r="AH21">
            <v>72530.954000000012</v>
          </cell>
          <cell r="AI21">
            <v>1014503.6020000032</v>
          </cell>
          <cell r="AJ21">
            <v>30905.680999999975</v>
          </cell>
          <cell r="AK21">
            <v>9545.1300099999826</v>
          </cell>
          <cell r="AL21">
            <v>-91917.815999999933</v>
          </cell>
          <cell r="AN21">
            <v>-51467.004989999929</v>
          </cell>
          <cell r="AO21">
            <v>10861.712999999596</v>
          </cell>
          <cell r="AP21">
            <v>0</v>
          </cell>
          <cell r="AS21">
            <v>10861.712999999596</v>
          </cell>
          <cell r="AT21">
            <v>4070.4430000000002</v>
          </cell>
          <cell r="AU21">
            <v>-2807.8360000000002</v>
          </cell>
          <cell r="AV21">
            <v>60637.017999999996</v>
          </cell>
          <cell r="BA21">
            <v>61899.625</v>
          </cell>
          <cell r="BB21">
            <v>0</v>
          </cell>
          <cell r="BC21">
            <v>-16010.089999999998</v>
          </cell>
          <cell r="BD21">
            <v>0</v>
          </cell>
          <cell r="BE21">
            <v>0</v>
          </cell>
          <cell r="BF21">
            <v>-31585.608999999997</v>
          </cell>
          <cell r="BG21">
            <v>0</v>
          </cell>
          <cell r="BJ21">
            <v>-47595.698999999993</v>
          </cell>
        </row>
        <row r="22">
          <cell r="F22">
            <v>1323572.2320025035</v>
          </cell>
          <cell r="G22">
            <v>199737.5617803614</v>
          </cell>
          <cell r="H22">
            <v>123732.85760145003</v>
          </cell>
          <cell r="I22">
            <v>60089.114985766442</v>
          </cell>
          <cell r="J22">
            <v>41635.681851426867</v>
          </cell>
          <cell r="K22">
            <v>112514.88268799927</v>
          </cell>
          <cell r="L22">
            <v>106662.29197109526</v>
          </cell>
          <cell r="M22">
            <v>28437.734800281105</v>
          </cell>
          <cell r="N22">
            <v>119686.7259691871</v>
          </cell>
          <cell r="O22">
            <v>49642.348721313821</v>
          </cell>
          <cell r="P22">
            <v>68102.737821904375</v>
          </cell>
          <cell r="Q22">
            <v>55345.296232468325</v>
          </cell>
          <cell r="R22">
            <v>65680.479085469065</v>
          </cell>
          <cell r="S22">
            <v>105303.71248635065</v>
          </cell>
          <cell r="T22">
            <v>8178.2413523623209</v>
          </cell>
          <cell r="U22">
            <v>24501.707436807952</v>
          </cell>
          <cell r="V22">
            <v>74234.515823667083</v>
          </cell>
          <cell r="W22">
            <v>33411.21120671316</v>
          </cell>
          <cell r="Z22">
            <v>1276897.1018146242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1276897.1018146242</v>
          </cell>
          <cell r="AJ22">
            <v>25537.581454602103</v>
          </cell>
          <cell r="AK22">
            <v>6723.8472532772321</v>
          </cell>
          <cell r="AL22">
            <v>14413.70148</v>
          </cell>
          <cell r="AN22">
            <v>46675.130187879331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195142.38600250368</v>
          </cell>
          <cell r="G23">
            <v>18201.690804030932</v>
          </cell>
          <cell r="H23">
            <v>11275.531734172882</v>
          </cell>
          <cell r="I23">
            <v>5475.8027579283244</v>
          </cell>
          <cell r="J23">
            <v>3794.1777236072494</v>
          </cell>
          <cell r="K23">
            <v>16213.632838871365</v>
          </cell>
          <cell r="L23">
            <v>15370.262124054903</v>
          </cell>
          <cell r="M23">
            <v>4097.9377999220987</v>
          </cell>
          <cell r="N23">
            <v>17247.110641639483</v>
          </cell>
          <cell r="O23">
            <v>7153.5675654439074</v>
          </cell>
          <cell r="P23">
            <v>9813.7487236081688</v>
          </cell>
          <cell r="Q23">
            <v>7975.374377451335</v>
          </cell>
          <cell r="R23">
            <v>9464.6961106999279</v>
          </cell>
          <cell r="S23">
            <v>9596.1200192320557</v>
          </cell>
          <cell r="T23">
            <v>745.26703485110193</v>
          </cell>
          <cell r="U23">
            <v>2232.7923649434097</v>
          </cell>
          <cell r="V23">
            <v>6764.8452898165979</v>
          </cell>
          <cell r="W23">
            <v>3044.6979043506062</v>
          </cell>
          <cell r="Z23">
            <v>148467.25581462437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148467.25581462437</v>
          </cell>
          <cell r="AJ23">
            <v>25537.581454602103</v>
          </cell>
          <cell r="AK23">
            <v>6723.8472532772321</v>
          </cell>
          <cell r="AL23">
            <v>14413.70148</v>
          </cell>
          <cell r="AN23">
            <v>46675.130187879331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500859.17499999999</v>
          </cell>
          <cell r="G24">
            <v>80575.595277290573</v>
          </cell>
          <cell r="H24">
            <v>49914.740961743926</v>
          </cell>
          <cell r="I24">
            <v>24240.38907107426</v>
          </cell>
          <cell r="J24">
            <v>16796.138993844754</v>
          </cell>
          <cell r="K24">
            <v>42743.786618085498</v>
          </cell>
          <cell r="L24">
            <v>40520.419515086105</v>
          </cell>
          <cell r="M24">
            <v>10803.339426443428</v>
          </cell>
          <cell r="N24">
            <v>45468.330532151536</v>
          </cell>
          <cell r="O24">
            <v>18858.855915518343</v>
          </cell>
          <cell r="P24">
            <v>25871.856451549964</v>
          </cell>
          <cell r="Q24">
            <v>21025.374385673844</v>
          </cell>
          <cell r="R24">
            <v>24951.653647347714</v>
          </cell>
          <cell r="S24">
            <v>42480.288849358592</v>
          </cell>
          <cell r="T24">
            <v>3299.1624580486832</v>
          </cell>
          <cell r="U24">
            <v>9884.1682277155414</v>
          </cell>
          <cell r="V24">
            <v>29946.747368383731</v>
          </cell>
          <cell r="W24">
            <v>13478.327300683462</v>
          </cell>
          <cell r="Z24">
            <v>500859.17499999999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500859.17499999999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627570.67099999986</v>
          </cell>
          <cell r="G25">
            <v>100960.27569903991</v>
          </cell>
          <cell r="H25">
            <v>62542.584905533222</v>
          </cell>
          <cell r="I25">
            <v>30372.923156763853</v>
          </cell>
          <cell r="J25">
            <v>21045.365133974865</v>
          </cell>
          <cell r="K25">
            <v>53557.463231042406</v>
          </cell>
          <cell r="L25">
            <v>50771.610331954245</v>
          </cell>
          <cell r="M25">
            <v>13536.457573915577</v>
          </cell>
          <cell r="N25">
            <v>56971.284795396081</v>
          </cell>
          <cell r="O25">
            <v>23629.925240351571</v>
          </cell>
          <cell r="P25">
            <v>32417.132646746242</v>
          </cell>
          <cell r="Q25">
            <v>26344.547469343146</v>
          </cell>
          <cell r="R25">
            <v>31264.129327421429</v>
          </cell>
          <cell r="S25">
            <v>53227.303617760001</v>
          </cell>
          <cell r="T25">
            <v>4133.8118594625357</v>
          </cell>
          <cell r="U25">
            <v>12384.746844149002</v>
          </cell>
          <cell r="V25">
            <v>37522.923165466746</v>
          </cell>
          <cell r="W25">
            <v>16888.186001679092</v>
          </cell>
          <cell r="Z25">
            <v>627570.67099999986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627570.67099999986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-335369.99599249894</v>
          </cell>
          <cell r="G26">
            <v>65846.897219639039</v>
          </cell>
          <cell r="H26">
            <v>-173113.21760145019</v>
          </cell>
          <cell r="I26">
            <v>-102827.98298576636</v>
          </cell>
          <cell r="J26">
            <v>-88504.561851426901</v>
          </cell>
          <cell r="K26">
            <v>20797.695312000826</v>
          </cell>
          <cell r="L26">
            <v>-29159.797971095395</v>
          </cell>
          <cell r="M26">
            <v>-101925.56280028114</v>
          </cell>
          <cell r="N26">
            <v>31124.671030812926</v>
          </cell>
          <cell r="O26">
            <v>-16754.584721313826</v>
          </cell>
          <cell r="P26">
            <v>40647.485178095754</v>
          </cell>
          <cell r="Q26">
            <v>-43826.267232468424</v>
          </cell>
          <cell r="R26">
            <v>12336.040914530895</v>
          </cell>
          <cell r="S26">
            <v>-33606.403486350668</v>
          </cell>
          <cell r="T26">
            <v>-44695.248352362316</v>
          </cell>
          <cell r="U26">
            <v>33365.19756319208</v>
          </cell>
          <cell r="V26">
            <v>74945.88917633277</v>
          </cell>
          <cell r="W26">
            <v>20425.29679328671</v>
          </cell>
          <cell r="Z26">
            <v>-334924.45381462458</v>
          </cell>
          <cell r="AA26">
            <v>43794.785000000003</v>
          </cell>
          <cell r="AB26">
            <v>-175.684</v>
          </cell>
          <cell r="AC26">
            <v>9077.1129999999994</v>
          </cell>
          <cell r="AD26">
            <v>19834.739999999998</v>
          </cell>
          <cell r="AH26">
            <v>72530.954000000012</v>
          </cell>
          <cell r="AI26">
            <v>-262393.49981462094</v>
          </cell>
          <cell r="AJ26">
            <v>5368.0995453978721</v>
          </cell>
          <cell r="AK26">
            <v>2821.2827567227505</v>
          </cell>
          <cell r="AL26">
            <v>-106331.51747999994</v>
          </cell>
          <cell r="AN26">
            <v>-98142.13517787926</v>
          </cell>
          <cell r="AO26">
            <v>10861.712999999596</v>
          </cell>
          <cell r="AP26">
            <v>0</v>
          </cell>
          <cell r="AS26">
            <v>10861.712999999596</v>
          </cell>
          <cell r="AT26">
            <v>4070.4430000000002</v>
          </cell>
          <cell r="AU26">
            <v>-2807.8360000000002</v>
          </cell>
          <cell r="AV26">
            <v>60637.017999999996</v>
          </cell>
          <cell r="BA26">
            <v>61899.625</v>
          </cell>
          <cell r="BB26">
            <v>0</v>
          </cell>
          <cell r="BC26">
            <v>-16010.089999999998</v>
          </cell>
          <cell r="BD26">
            <v>0</v>
          </cell>
          <cell r="BE26">
            <v>0</v>
          </cell>
          <cell r="BF26">
            <v>-31585.608999999997</v>
          </cell>
          <cell r="BG26">
            <v>0</v>
          </cell>
          <cell r="BJ26">
            <v>-47595.698999999993</v>
          </cell>
        </row>
        <row r="27">
          <cell r="F27">
            <v>-335369.99599250394</v>
          </cell>
          <cell r="G27">
            <v>65846.897219639082</v>
          </cell>
          <cell r="H27">
            <v>-173113.21760145022</v>
          </cell>
          <cell r="I27">
            <v>-102827.98298576636</v>
          </cell>
          <cell r="J27">
            <v>-88504.561851426901</v>
          </cell>
          <cell r="K27">
            <v>20797.695312000818</v>
          </cell>
          <cell r="L27">
            <v>-29159.797971095406</v>
          </cell>
          <cell r="M27">
            <v>-101925.56280028111</v>
          </cell>
          <cell r="N27">
            <v>31124.671030812915</v>
          </cell>
          <cell r="O27">
            <v>-16754.584721313822</v>
          </cell>
          <cell r="P27">
            <v>40647.485178095732</v>
          </cell>
          <cell r="Q27">
            <v>-43826.267232468424</v>
          </cell>
          <cell r="R27">
            <v>12336.040914530913</v>
          </cell>
          <cell r="S27">
            <v>-33606.40348635066</v>
          </cell>
          <cell r="T27">
            <v>-44695.248352362316</v>
          </cell>
          <cell r="U27">
            <v>33365.197563192072</v>
          </cell>
          <cell r="V27">
            <v>74945.889176332799</v>
          </cell>
          <cell r="W27">
            <v>20425.296793286703</v>
          </cell>
          <cell r="Z27">
            <v>-334924.45381462423</v>
          </cell>
          <cell r="AA27">
            <v>43794.785000000003</v>
          </cell>
          <cell r="AB27">
            <v>-175.684</v>
          </cell>
          <cell r="AC27">
            <v>9077.1129999999994</v>
          </cell>
          <cell r="AD27">
            <v>19834.739999999998</v>
          </cell>
          <cell r="AH27">
            <v>72530.953999999998</v>
          </cell>
          <cell r="AI27">
            <v>-262393.4998146242</v>
          </cell>
          <cell r="AJ27">
            <v>5368.0995453978758</v>
          </cell>
          <cell r="AK27">
            <v>2821.2827567227505</v>
          </cell>
          <cell r="AL27">
            <v>-106331.51747999995</v>
          </cell>
          <cell r="AN27">
            <v>-98142.135177879332</v>
          </cell>
          <cell r="AO27">
            <v>10861.712999999603</v>
          </cell>
          <cell r="AP27">
            <v>0</v>
          </cell>
          <cell r="AS27">
            <v>10861.712999999603</v>
          </cell>
          <cell r="AT27">
            <v>4070.4430000000002</v>
          </cell>
          <cell r="AU27">
            <v>-2807.8360000000002</v>
          </cell>
          <cell r="AV27">
            <v>60637.017999999996</v>
          </cell>
          <cell r="BA27">
            <v>61899.625</v>
          </cell>
          <cell r="BB27">
            <v>0</v>
          </cell>
          <cell r="BC27">
            <v>-16010.089999999998</v>
          </cell>
          <cell r="BD27">
            <v>0</v>
          </cell>
          <cell r="BE27">
            <v>0</v>
          </cell>
          <cell r="BF27">
            <v>-31585.608999999997</v>
          </cell>
          <cell r="BG27">
            <v>0</v>
          </cell>
          <cell r="BJ27">
            <v>-47595.698999999993</v>
          </cell>
        </row>
        <row r="28">
          <cell r="F28">
            <v>5.005858838558197E-9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-1.8189894035458565E-11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3.2596290111541748E-9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34905</v>
          </cell>
          <cell r="H31">
            <v>21485</v>
          </cell>
          <cell r="I31">
            <v>10445</v>
          </cell>
          <cell r="J31">
            <v>7404.5</v>
          </cell>
          <cell r="K31">
            <v>16897</v>
          </cell>
          <cell r="L31">
            <v>17850</v>
          </cell>
          <cell r="M31">
            <v>4580</v>
          </cell>
          <cell r="N31">
            <v>18366</v>
          </cell>
          <cell r="O31">
            <v>8188</v>
          </cell>
          <cell r="P31">
            <v>10864</v>
          </cell>
          <cell r="Q31">
            <v>9434</v>
          </cell>
          <cell r="R31">
            <v>9715</v>
          </cell>
          <cell r="S31">
            <v>17767</v>
          </cell>
          <cell r="T31">
            <v>1228</v>
          </cell>
          <cell r="U31">
            <v>3896</v>
          </cell>
          <cell r="V31">
            <v>13076.5</v>
          </cell>
          <cell r="W31">
            <v>4678</v>
          </cell>
          <cell r="X31">
            <v>0</v>
          </cell>
          <cell r="Y31">
            <v>0</v>
          </cell>
          <cell r="Z31">
            <v>210779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210779</v>
          </cell>
          <cell r="AJ31">
            <v>24573</v>
          </cell>
          <cell r="AK31">
            <v>12950</v>
          </cell>
          <cell r="AL31">
            <v>20414</v>
          </cell>
          <cell r="AN31">
            <v>57937</v>
          </cell>
          <cell r="AO31">
            <v>9724.5229999999992</v>
          </cell>
          <cell r="AP31">
            <v>0</v>
          </cell>
          <cell r="AS31">
            <v>9724.5229999999992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30706865.719000004</v>
          </cell>
          <cell r="G32">
            <v>3382032.5330000003</v>
          </cell>
          <cell r="H32">
            <v>2095091.91</v>
          </cell>
          <cell r="I32">
            <v>1017451.8</v>
          </cell>
          <cell r="J32">
            <v>704991.23600000003</v>
          </cell>
          <cell r="K32">
            <v>1794102.5</v>
          </cell>
          <cell r="L32">
            <v>1700780.2</v>
          </cell>
          <cell r="M32">
            <v>453453</v>
          </cell>
          <cell r="N32">
            <v>1908460.9</v>
          </cell>
          <cell r="O32">
            <v>791570.5</v>
          </cell>
          <cell r="P32">
            <v>1085930.05</v>
          </cell>
          <cell r="Q32">
            <v>882506.66899999999</v>
          </cell>
          <cell r="R32">
            <v>1047306</v>
          </cell>
          <cell r="S32">
            <v>1783042.6</v>
          </cell>
          <cell r="T32">
            <v>138477.1</v>
          </cell>
          <cell r="U32">
            <v>414872.25</v>
          </cell>
          <cell r="V32">
            <v>1256967.1189999999</v>
          </cell>
          <cell r="W32">
            <v>565731.36399999994</v>
          </cell>
          <cell r="X32">
            <v>0</v>
          </cell>
          <cell r="Y32">
            <v>0</v>
          </cell>
          <cell r="Z32">
            <v>21022767.731000002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21113607.731000002</v>
          </cell>
          <cell r="AJ32">
            <v>679860.5</v>
          </cell>
          <cell r="AK32">
            <v>179002</v>
          </cell>
          <cell r="AL32">
            <v>383721</v>
          </cell>
          <cell r="AN32">
            <v>1242583.5</v>
          </cell>
          <cell r="AO32">
            <v>8276995.1200000001</v>
          </cell>
          <cell r="AP32">
            <v>0</v>
          </cell>
          <cell r="AS32">
            <v>8276995.1200000001</v>
          </cell>
          <cell r="AT32">
            <v>5512.5</v>
          </cell>
          <cell r="AU32">
            <v>5850</v>
          </cell>
          <cell r="AV32">
            <v>60637.017999999996</v>
          </cell>
          <cell r="BA32">
            <v>71999.517999999996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1679.85</v>
          </cell>
        </row>
        <row r="33">
          <cell r="F33">
            <v>28909085.045989998</v>
          </cell>
          <cell r="G33">
            <v>3056214.838</v>
          </cell>
          <cell r="H33">
            <v>2080678.6730000002</v>
          </cell>
          <cell r="I33">
            <v>1005387.2359999999</v>
          </cell>
          <cell r="J33">
            <v>715992.79900000012</v>
          </cell>
          <cell r="K33">
            <v>1609786.655</v>
          </cell>
          <cell r="L33">
            <v>1568872.0730000001</v>
          </cell>
          <cell r="M33">
            <v>490112.99700000003</v>
          </cell>
          <cell r="N33">
            <v>1715556.5089999998</v>
          </cell>
          <cell r="O33">
            <v>728608.91599999997</v>
          </cell>
          <cell r="P33">
            <v>950343.69799999997</v>
          </cell>
          <cell r="Q33">
            <v>841977.32700000005</v>
          </cell>
          <cell r="R33">
            <v>941354.88300000003</v>
          </cell>
          <cell r="S33">
            <v>1667224.0990000002</v>
          </cell>
          <cell r="T33">
            <v>165358.149</v>
          </cell>
          <cell r="U33">
            <v>347065.24199999997</v>
          </cell>
          <cell r="V33">
            <v>1079559.493</v>
          </cell>
          <cell r="W33">
            <v>495373.62200000009</v>
          </cell>
          <cell r="X33">
            <v>0</v>
          </cell>
          <cell r="Y33">
            <v>0</v>
          </cell>
          <cell r="Z33">
            <v>19459467.208999999</v>
          </cell>
          <cell r="AA33">
            <v>6205.2149999999992</v>
          </cell>
          <cell r="AB33">
            <v>0</v>
          </cell>
          <cell r="AC33">
            <v>3422.8870000000002</v>
          </cell>
          <cell r="AD33">
            <v>8505.26</v>
          </cell>
          <cell r="AH33">
            <v>18133.362000000001</v>
          </cell>
          <cell r="AI33">
            <v>19477600.570999999</v>
          </cell>
          <cell r="AJ33">
            <v>648954.81900000002</v>
          </cell>
          <cell r="AK33">
            <v>169456.86999000001</v>
          </cell>
          <cell r="AL33">
            <v>475638.81599999993</v>
          </cell>
          <cell r="AN33">
            <v>1294050.50499</v>
          </cell>
          <cell r="AO33">
            <v>8127334.0770000005</v>
          </cell>
          <cell r="AP33">
            <v>0</v>
          </cell>
          <cell r="AS33">
            <v>8127334.0770000005</v>
          </cell>
          <cell r="AT33">
            <v>1442.057</v>
          </cell>
          <cell r="AU33">
            <v>8657.8359999999993</v>
          </cell>
          <cell r="AV33">
            <v>0</v>
          </cell>
          <cell r="BA33">
            <v>10099.893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1797780.6730100065</v>
          </cell>
          <cell r="G34">
            <v>325817.6950000003</v>
          </cell>
          <cell r="H34">
            <v>14413.236999999732</v>
          </cell>
          <cell r="I34">
            <v>12064.564000000129</v>
          </cell>
          <cell r="J34">
            <v>-11001.563000000082</v>
          </cell>
          <cell r="K34">
            <v>184315.84499999997</v>
          </cell>
          <cell r="L34">
            <v>131908.12699999986</v>
          </cell>
          <cell r="M34">
            <v>-36659.997000000032</v>
          </cell>
          <cell r="N34">
            <v>192904.39100000006</v>
          </cell>
          <cell r="O34">
            <v>62961.584000000032</v>
          </cell>
          <cell r="P34">
            <v>135586.35200000007</v>
          </cell>
          <cell r="Q34">
            <v>40529.341999999946</v>
          </cell>
          <cell r="R34">
            <v>105951.11699999997</v>
          </cell>
          <cell r="S34">
            <v>115818.50099999993</v>
          </cell>
          <cell r="T34">
            <v>-26881.048999999999</v>
          </cell>
          <cell r="U34">
            <v>67807.008000000031</v>
          </cell>
          <cell r="V34">
            <v>177407.62599999993</v>
          </cell>
          <cell r="W34">
            <v>70357.741999999853</v>
          </cell>
          <cell r="X34">
            <v>0</v>
          </cell>
          <cell r="Y34">
            <v>0</v>
          </cell>
          <cell r="Z34">
            <v>1563300.5220000036</v>
          </cell>
          <cell r="AA34">
            <v>43794.785000000003</v>
          </cell>
          <cell r="AB34">
            <v>0</v>
          </cell>
          <cell r="AC34">
            <v>9077.1129999999994</v>
          </cell>
          <cell r="AD34">
            <v>19834.739999999998</v>
          </cell>
          <cell r="AH34">
            <v>72706.638000000006</v>
          </cell>
          <cell r="AI34">
            <v>1636007.1600000039</v>
          </cell>
          <cell r="AJ34">
            <v>30905.680999999982</v>
          </cell>
          <cell r="AK34">
            <v>9545.1300099999935</v>
          </cell>
          <cell r="AL34">
            <v>-91917.815999999933</v>
          </cell>
          <cell r="AN34">
            <v>-51467.004990000045</v>
          </cell>
          <cell r="AO34">
            <v>149661.0429999996</v>
          </cell>
          <cell r="AP34">
            <v>0</v>
          </cell>
          <cell r="AS34">
            <v>149661.0429999996</v>
          </cell>
          <cell r="AT34">
            <v>4070.4430000000002</v>
          </cell>
          <cell r="AU34">
            <v>-2807.8359999999993</v>
          </cell>
          <cell r="AV34">
            <v>60637.017999999996</v>
          </cell>
          <cell r="BA34">
            <v>61899.625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1679.85</v>
          </cell>
        </row>
        <row r="35">
          <cell r="F35">
            <v>2133150.6690025036</v>
          </cell>
          <cell r="G35">
            <v>259970.79778036138</v>
          </cell>
          <cell r="H35">
            <v>187526.45460145004</v>
          </cell>
          <cell r="I35">
            <v>114892.54698576644</v>
          </cell>
          <cell r="J35">
            <v>77502.998851426877</v>
          </cell>
          <cell r="K35">
            <v>163518.14968799925</v>
          </cell>
          <cell r="L35">
            <v>161067.92497109526</v>
          </cell>
          <cell r="M35">
            <v>65265.565800281103</v>
          </cell>
          <cell r="N35">
            <v>161779.71996918708</v>
          </cell>
          <cell r="O35">
            <v>79716.168721313821</v>
          </cell>
          <cell r="P35">
            <v>94938.866821904376</v>
          </cell>
          <cell r="Q35">
            <v>84355.609232468327</v>
          </cell>
          <cell r="R35">
            <v>93615.07608546906</v>
          </cell>
          <cell r="S35">
            <v>149424.90448635066</v>
          </cell>
          <cell r="T35">
            <v>17814.19935236232</v>
          </cell>
          <cell r="U35">
            <v>34441.810436807951</v>
          </cell>
          <cell r="V35">
            <v>102461.73682366707</v>
          </cell>
          <cell r="W35">
            <v>49932.445206713157</v>
          </cell>
          <cell r="X35">
            <v>0</v>
          </cell>
          <cell r="Y35">
            <v>0</v>
          </cell>
          <cell r="Z35">
            <v>1898224.9758146245</v>
          </cell>
          <cell r="AA35">
            <v>0</v>
          </cell>
          <cell r="AB35">
            <v>175.684</v>
          </cell>
          <cell r="AC35">
            <v>0</v>
          </cell>
          <cell r="AD35">
            <v>0</v>
          </cell>
          <cell r="AH35">
            <v>175.684</v>
          </cell>
          <cell r="AI35">
            <v>1898400.6598146243</v>
          </cell>
          <cell r="AJ35">
            <v>25537.581454602103</v>
          </cell>
          <cell r="AK35">
            <v>6723.8472532772321</v>
          </cell>
          <cell r="AL35">
            <v>14413.70148</v>
          </cell>
          <cell r="AN35">
            <v>46675.130187879331</v>
          </cell>
          <cell r="AO35">
            <v>138799.33000000002</v>
          </cell>
          <cell r="AP35">
            <v>0</v>
          </cell>
          <cell r="AS35">
            <v>138799.33000000002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17689.939999999999</v>
          </cell>
          <cell r="BD35">
            <v>0</v>
          </cell>
          <cell r="BE35">
            <v>0</v>
          </cell>
          <cell r="BF35">
            <v>31585.608999999997</v>
          </cell>
          <cell r="BG35">
            <v>0</v>
          </cell>
          <cell r="BJ35">
            <v>49275.548999999999</v>
          </cell>
        </row>
        <row r="36">
          <cell r="F36">
            <v>-335369.99599249708</v>
          </cell>
          <cell r="G36">
            <v>65846.897219638922</v>
          </cell>
          <cell r="H36">
            <v>-173113.21760145031</v>
          </cell>
          <cell r="I36">
            <v>-102827.98298576631</v>
          </cell>
          <cell r="J36">
            <v>-88504.561851426959</v>
          </cell>
          <cell r="K36">
            <v>20797.695312000724</v>
          </cell>
          <cell r="L36">
            <v>-29159.797971095395</v>
          </cell>
          <cell r="M36">
            <v>-101925.56280028113</v>
          </cell>
          <cell r="N36">
            <v>31124.671030812984</v>
          </cell>
          <cell r="O36">
            <v>-16754.584721313789</v>
          </cell>
          <cell r="P36">
            <v>40647.485178095696</v>
          </cell>
          <cell r="Q36">
            <v>-43826.267232468381</v>
          </cell>
          <cell r="R36">
            <v>12336.04091453091</v>
          </cell>
          <cell r="S36">
            <v>-33606.403486350726</v>
          </cell>
          <cell r="T36">
            <v>-44695.248352362323</v>
          </cell>
          <cell r="U36">
            <v>33365.19756319208</v>
          </cell>
          <cell r="V36">
            <v>74945.889176332857</v>
          </cell>
          <cell r="W36">
            <v>20425.296793286696</v>
          </cell>
          <cell r="X36">
            <v>0</v>
          </cell>
          <cell r="Y36">
            <v>0</v>
          </cell>
          <cell r="Z36">
            <v>-334924.45381462085</v>
          </cell>
          <cell r="AA36">
            <v>43794.785000000003</v>
          </cell>
          <cell r="AB36">
            <v>-175.684</v>
          </cell>
          <cell r="AC36">
            <v>9077.1129999999994</v>
          </cell>
          <cell r="AD36">
            <v>19834.739999999998</v>
          </cell>
          <cell r="AH36">
            <v>72530.954000000012</v>
          </cell>
          <cell r="AI36">
            <v>-262393.49981462047</v>
          </cell>
          <cell r="AJ36">
            <v>5368.0995453978794</v>
          </cell>
          <cell r="AK36">
            <v>2821.2827567227614</v>
          </cell>
          <cell r="AL36">
            <v>-106331.51747999994</v>
          </cell>
          <cell r="AN36">
            <v>-98142.135177879376</v>
          </cell>
          <cell r="AO36">
            <v>10861.712999999581</v>
          </cell>
          <cell r="AP36">
            <v>0</v>
          </cell>
          <cell r="AS36">
            <v>10861.712999999581</v>
          </cell>
          <cell r="AT36">
            <v>4070.4430000000002</v>
          </cell>
          <cell r="AU36">
            <v>-2807.8359999999993</v>
          </cell>
          <cell r="AV36">
            <v>60637.017999999996</v>
          </cell>
          <cell r="BA36">
            <v>61899.625</v>
          </cell>
          <cell r="BB36">
            <v>0</v>
          </cell>
          <cell r="BC36">
            <v>-16010.089999999998</v>
          </cell>
          <cell r="BD36">
            <v>0</v>
          </cell>
          <cell r="BE36">
            <v>0</v>
          </cell>
          <cell r="BF36">
            <v>-31585.608999999997</v>
          </cell>
          <cell r="BG36">
            <v>0</v>
          </cell>
          <cell r="BJ36">
            <v>-47595.699000000001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-9902</v>
          </cell>
          <cell r="AK38">
            <v>-7142</v>
          </cell>
          <cell r="AL38">
            <v>-14366</v>
          </cell>
          <cell r="AN38">
            <v>-31410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-696203</v>
          </cell>
          <cell r="Z39">
            <v>0</v>
          </cell>
          <cell r="AH39">
            <v>0</v>
          </cell>
          <cell r="AI39">
            <v>0</v>
          </cell>
          <cell r="AJ39">
            <v>-290008</v>
          </cell>
          <cell r="AK39">
            <v>-125002</v>
          </cell>
          <cell r="AL39">
            <v>-281193</v>
          </cell>
          <cell r="AN39">
            <v>-696203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-696203</v>
          </cell>
          <cell r="K40">
            <v>13172.402</v>
          </cell>
          <cell r="L40">
            <v>-20722.556</v>
          </cell>
          <cell r="M40">
            <v>-833.52</v>
          </cell>
          <cell r="N40">
            <v>1286.0909999999999</v>
          </cell>
          <cell r="O40">
            <v>0</v>
          </cell>
          <cell r="P40">
            <v>0</v>
          </cell>
          <cell r="Z40">
            <v>-7097.5830000000005</v>
          </cell>
          <cell r="AH40">
            <v>0</v>
          </cell>
          <cell r="AI40">
            <v>-7097.5830000000005</v>
          </cell>
          <cell r="AJ40">
            <v>-262164.08399999997</v>
          </cell>
          <cell r="AK40">
            <v>-92182.84</v>
          </cell>
          <cell r="AL40">
            <v>-334758.49300000002</v>
          </cell>
          <cell r="AN40">
            <v>-689105.41700000002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-13172.402</v>
          </cell>
          <cell r="L41">
            <v>20722.556</v>
          </cell>
          <cell r="M41">
            <v>833.52</v>
          </cell>
          <cell r="N41">
            <v>-1286.0909999999999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7097.5830000000005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7097.5830000000005</v>
          </cell>
          <cell r="AJ41">
            <v>-27843.916000000027</v>
          </cell>
          <cell r="AK41">
            <v>-32819.160000000003</v>
          </cell>
          <cell r="AL41">
            <v>53565.493000000017</v>
          </cell>
          <cell r="AN41">
            <v>-7097.5829999999842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-13172.402</v>
          </cell>
          <cell r="L43">
            <v>20722.556</v>
          </cell>
          <cell r="M43">
            <v>833.52</v>
          </cell>
          <cell r="N43">
            <v>-1286.0909999999999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7097.5830000000005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7097.5830000000005</v>
          </cell>
          <cell r="AJ43">
            <v>-27843.916000000027</v>
          </cell>
          <cell r="AK43">
            <v>-32819.160000000003</v>
          </cell>
          <cell r="AL43">
            <v>53565.493000000017</v>
          </cell>
          <cell r="AN43">
            <v>-7097.5829999999842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34905</v>
          </cell>
          <cell r="H45">
            <v>21485</v>
          </cell>
          <cell r="I45">
            <v>10445</v>
          </cell>
          <cell r="J45">
            <v>7404.5</v>
          </cell>
          <cell r="K45">
            <v>16897</v>
          </cell>
          <cell r="L45">
            <v>17850</v>
          </cell>
          <cell r="M45">
            <v>4580</v>
          </cell>
          <cell r="N45">
            <v>18366</v>
          </cell>
          <cell r="O45">
            <v>8188</v>
          </cell>
          <cell r="P45">
            <v>10864</v>
          </cell>
          <cell r="Q45">
            <v>9434</v>
          </cell>
          <cell r="R45">
            <v>9715</v>
          </cell>
          <cell r="S45">
            <v>17767</v>
          </cell>
          <cell r="T45">
            <v>1228</v>
          </cell>
          <cell r="U45">
            <v>3896</v>
          </cell>
          <cell r="V45">
            <v>13076.5</v>
          </cell>
          <cell r="W45">
            <v>4678</v>
          </cell>
          <cell r="X45">
            <v>0</v>
          </cell>
          <cell r="Y45">
            <v>0</v>
          </cell>
          <cell r="Z45">
            <v>210779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210779</v>
          </cell>
          <cell r="AJ45">
            <v>14671</v>
          </cell>
          <cell r="AK45">
            <v>5808</v>
          </cell>
          <cell r="AL45">
            <v>6048</v>
          </cell>
          <cell r="AN45">
            <v>26527</v>
          </cell>
          <cell r="AO45">
            <v>9724.5229999999992</v>
          </cell>
          <cell r="AP45">
            <v>0</v>
          </cell>
          <cell r="AS45">
            <v>9724.5229999999992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30010662.719000004</v>
          </cell>
          <cell r="G46">
            <v>3382032.5330000003</v>
          </cell>
          <cell r="H46">
            <v>2095091.91</v>
          </cell>
          <cell r="I46">
            <v>1017451.8</v>
          </cell>
          <cell r="J46">
            <v>704991.23600000003</v>
          </cell>
          <cell r="K46">
            <v>1794102.5</v>
          </cell>
          <cell r="L46">
            <v>1700780.2</v>
          </cell>
          <cell r="M46">
            <v>453453</v>
          </cell>
          <cell r="N46">
            <v>1908460.9</v>
          </cell>
          <cell r="O46">
            <v>791570.5</v>
          </cell>
          <cell r="P46">
            <v>1085930.05</v>
          </cell>
          <cell r="Q46">
            <v>882506.66899999999</v>
          </cell>
          <cell r="R46">
            <v>1047306</v>
          </cell>
          <cell r="S46">
            <v>1783042.6</v>
          </cell>
          <cell r="T46">
            <v>138477.1</v>
          </cell>
          <cell r="U46">
            <v>414872.25</v>
          </cell>
          <cell r="V46">
            <v>1256967.1189999999</v>
          </cell>
          <cell r="W46">
            <v>565731.36399999994</v>
          </cell>
          <cell r="X46">
            <v>0</v>
          </cell>
          <cell r="Y46">
            <v>0</v>
          </cell>
          <cell r="Z46">
            <v>21022767.731000002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21113607.731000002</v>
          </cell>
          <cell r="AJ46">
            <v>389852.5</v>
          </cell>
          <cell r="AK46">
            <v>54000</v>
          </cell>
          <cell r="AL46">
            <v>102528</v>
          </cell>
          <cell r="AN46">
            <v>546380.5</v>
          </cell>
          <cell r="AO46">
            <v>8276995.1200000001</v>
          </cell>
          <cell r="AP46">
            <v>0</v>
          </cell>
          <cell r="AS46">
            <v>8276995.1200000001</v>
          </cell>
          <cell r="AT46">
            <v>5512.5</v>
          </cell>
          <cell r="AU46">
            <v>5850</v>
          </cell>
          <cell r="AV46">
            <v>60637.017999999996</v>
          </cell>
          <cell r="BA46">
            <v>71999.517999999996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1679.85</v>
          </cell>
        </row>
        <row r="47">
          <cell r="F47">
            <v>28212882.045990001</v>
          </cell>
          <cell r="G47">
            <v>3056214.838</v>
          </cell>
          <cell r="H47">
            <v>2080678.6730000002</v>
          </cell>
          <cell r="I47">
            <v>1005387.2359999999</v>
          </cell>
          <cell r="J47">
            <v>715992.79900000012</v>
          </cell>
          <cell r="K47">
            <v>1622959.057</v>
          </cell>
          <cell r="L47">
            <v>1548149.517</v>
          </cell>
          <cell r="M47">
            <v>489279.47700000001</v>
          </cell>
          <cell r="N47">
            <v>1716842.5999999999</v>
          </cell>
          <cell r="O47">
            <v>728608.91599999997</v>
          </cell>
          <cell r="P47">
            <v>950343.69799999997</v>
          </cell>
          <cell r="Q47">
            <v>841977.32700000005</v>
          </cell>
          <cell r="R47">
            <v>941354.88300000003</v>
          </cell>
          <cell r="S47">
            <v>1667224.0990000002</v>
          </cell>
          <cell r="T47">
            <v>165358.149</v>
          </cell>
          <cell r="U47">
            <v>347065.24199999997</v>
          </cell>
          <cell r="V47">
            <v>1079559.493</v>
          </cell>
          <cell r="W47">
            <v>495373.62200000009</v>
          </cell>
          <cell r="X47">
            <v>0</v>
          </cell>
          <cell r="Y47">
            <v>0</v>
          </cell>
          <cell r="Z47">
            <v>19452369.626000002</v>
          </cell>
          <cell r="AA47">
            <v>6205.2149999999992</v>
          </cell>
          <cell r="AB47">
            <v>0</v>
          </cell>
          <cell r="AC47">
            <v>3422.8870000000002</v>
          </cell>
          <cell r="AD47">
            <v>8505.26</v>
          </cell>
          <cell r="AH47">
            <v>18133.362000000001</v>
          </cell>
          <cell r="AI47">
            <v>19470502.988000002</v>
          </cell>
          <cell r="AJ47">
            <v>386790.73500000004</v>
          </cell>
          <cell r="AK47">
            <v>77274.02999000001</v>
          </cell>
          <cell r="AL47">
            <v>140880.32299999992</v>
          </cell>
          <cell r="AN47">
            <v>604945.08798999991</v>
          </cell>
          <cell r="AO47">
            <v>8127334.0770000005</v>
          </cell>
          <cell r="AP47">
            <v>0</v>
          </cell>
          <cell r="AS47">
            <v>8127334.0770000005</v>
          </cell>
          <cell r="AT47">
            <v>1442.057</v>
          </cell>
          <cell r="AU47">
            <v>8657.8359999999993</v>
          </cell>
          <cell r="AV47">
            <v>0</v>
          </cell>
          <cell r="BA47">
            <v>10099.893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1797780.6730100028</v>
          </cell>
          <cell r="G48">
            <v>325817.6950000003</v>
          </cell>
          <cell r="H48">
            <v>14413.236999999732</v>
          </cell>
          <cell r="I48">
            <v>12064.564000000129</v>
          </cell>
          <cell r="J48">
            <v>-11001.563000000082</v>
          </cell>
          <cell r="K48">
            <v>171143.44299999997</v>
          </cell>
          <cell r="L48">
            <v>152630.68299999996</v>
          </cell>
          <cell r="M48">
            <v>-35826.477000000014</v>
          </cell>
          <cell r="N48">
            <v>191618.30000000005</v>
          </cell>
          <cell r="O48">
            <v>62961.584000000032</v>
          </cell>
          <cell r="P48">
            <v>135586.35200000007</v>
          </cell>
          <cell r="Q48">
            <v>40529.341999999946</v>
          </cell>
          <cell r="R48">
            <v>105951.11699999997</v>
          </cell>
          <cell r="S48">
            <v>115818.50099999993</v>
          </cell>
          <cell r="T48">
            <v>-26881.048999999999</v>
          </cell>
          <cell r="U48">
            <v>67807.008000000031</v>
          </cell>
          <cell r="V48">
            <v>177407.62599999993</v>
          </cell>
          <cell r="W48">
            <v>70357.741999999853</v>
          </cell>
          <cell r="X48">
            <v>0</v>
          </cell>
          <cell r="Y48">
            <v>0</v>
          </cell>
          <cell r="Z48">
            <v>1570398.1050000004</v>
          </cell>
          <cell r="AA48">
            <v>43794.785000000003</v>
          </cell>
          <cell r="AB48">
            <v>0</v>
          </cell>
          <cell r="AC48">
            <v>9077.1129999999994</v>
          </cell>
          <cell r="AD48">
            <v>19834.739999999998</v>
          </cell>
          <cell r="AH48">
            <v>72706.638000000006</v>
          </cell>
          <cell r="AI48">
            <v>1643104.7430000007</v>
          </cell>
          <cell r="AJ48">
            <v>3061.7649999999558</v>
          </cell>
          <cell r="AK48">
            <v>-23274.02999000001</v>
          </cell>
          <cell r="AL48">
            <v>-38352.322999999917</v>
          </cell>
          <cell r="AN48">
            <v>-58564.587989999913</v>
          </cell>
          <cell r="AO48">
            <v>149661.0429999996</v>
          </cell>
          <cell r="AP48">
            <v>0</v>
          </cell>
          <cell r="AS48">
            <v>149661.0429999996</v>
          </cell>
          <cell r="AT48">
            <v>4070.4430000000002</v>
          </cell>
          <cell r="AU48">
            <v>-2807.8359999999993</v>
          </cell>
          <cell r="AV48">
            <v>60637.017999999996</v>
          </cell>
          <cell r="BA48">
            <v>61899.625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1679.85</v>
          </cell>
        </row>
        <row r="49">
          <cell r="F49">
            <v>2133150.6690025036</v>
          </cell>
          <cell r="G49">
            <v>259970.79778036138</v>
          </cell>
          <cell r="H49">
            <v>187526.45460145004</v>
          </cell>
          <cell r="I49">
            <v>114892.54698576644</v>
          </cell>
          <cell r="J49">
            <v>77502.998851426877</v>
          </cell>
          <cell r="K49">
            <v>163518.14968799925</v>
          </cell>
          <cell r="L49">
            <v>161067.92497109526</v>
          </cell>
          <cell r="M49">
            <v>65265.565800281103</v>
          </cell>
          <cell r="N49">
            <v>161779.71996918708</v>
          </cell>
          <cell r="O49">
            <v>79716.168721313821</v>
          </cell>
          <cell r="P49">
            <v>94938.866821904376</v>
          </cell>
          <cell r="Q49">
            <v>84355.609232468327</v>
          </cell>
          <cell r="R49">
            <v>93615.07608546906</v>
          </cell>
          <cell r="S49">
            <v>149424.90448635066</v>
          </cell>
          <cell r="T49">
            <v>17814.19935236232</v>
          </cell>
          <cell r="U49">
            <v>34441.810436807951</v>
          </cell>
          <cell r="V49">
            <v>102461.73682366707</v>
          </cell>
          <cell r="W49">
            <v>49932.445206713157</v>
          </cell>
          <cell r="X49">
            <v>0</v>
          </cell>
          <cell r="Y49">
            <v>0</v>
          </cell>
          <cell r="Z49">
            <v>1898224.9758146245</v>
          </cell>
          <cell r="AA49">
            <v>0</v>
          </cell>
          <cell r="AB49">
            <v>175.684</v>
          </cell>
          <cell r="AC49">
            <v>0</v>
          </cell>
          <cell r="AD49">
            <v>0</v>
          </cell>
          <cell r="AH49">
            <v>175.684</v>
          </cell>
          <cell r="AI49">
            <v>1898400.6598146243</v>
          </cell>
          <cell r="AJ49">
            <v>25537.581454602103</v>
          </cell>
          <cell r="AK49">
            <v>6723.8472532772321</v>
          </cell>
          <cell r="AL49">
            <v>14413.70148</v>
          </cell>
          <cell r="AN49">
            <v>46675.130187879331</v>
          </cell>
          <cell r="AO49">
            <v>138799.33000000002</v>
          </cell>
          <cell r="AP49">
            <v>0</v>
          </cell>
          <cell r="AS49">
            <v>138799.33000000002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17689.939999999999</v>
          </cell>
          <cell r="BD49">
            <v>0</v>
          </cell>
          <cell r="BE49">
            <v>0</v>
          </cell>
          <cell r="BF49">
            <v>31585.608999999997</v>
          </cell>
          <cell r="BG49">
            <v>0</v>
          </cell>
          <cell r="BJ49">
            <v>49275.548999999999</v>
          </cell>
        </row>
        <row r="50">
          <cell r="F50">
            <v>-335369.9959925008</v>
          </cell>
          <cell r="G50">
            <v>65846.897219638922</v>
          </cell>
          <cell r="H50">
            <v>-173113.21760145031</v>
          </cell>
          <cell r="I50">
            <v>-102827.98298576631</v>
          </cell>
          <cell r="J50">
            <v>-88504.561851426959</v>
          </cell>
          <cell r="K50">
            <v>7625.2933120007219</v>
          </cell>
          <cell r="L50">
            <v>-8437.2419710952963</v>
          </cell>
          <cell r="M50">
            <v>-101092.04280028111</v>
          </cell>
          <cell r="N50">
            <v>29838.580030812969</v>
          </cell>
          <cell r="O50">
            <v>-16754.584721313789</v>
          </cell>
          <cell r="P50">
            <v>40647.485178095696</v>
          </cell>
          <cell r="Q50">
            <v>-43826.267232468381</v>
          </cell>
          <cell r="R50">
            <v>12336.04091453091</v>
          </cell>
          <cell r="S50">
            <v>-33606.403486350726</v>
          </cell>
          <cell r="T50">
            <v>-44695.248352362323</v>
          </cell>
          <cell r="U50">
            <v>33365.19756319208</v>
          </cell>
          <cell r="V50">
            <v>74945.889176332857</v>
          </cell>
          <cell r="W50">
            <v>20425.296793286696</v>
          </cell>
          <cell r="X50">
            <v>0</v>
          </cell>
          <cell r="Y50">
            <v>0</v>
          </cell>
          <cell r="Z50">
            <v>-327826.87081462401</v>
          </cell>
          <cell r="AA50">
            <v>43794.785000000003</v>
          </cell>
          <cell r="AB50">
            <v>-175.684</v>
          </cell>
          <cell r="AC50">
            <v>9077.1129999999994</v>
          </cell>
          <cell r="AD50">
            <v>19834.739999999998</v>
          </cell>
          <cell r="AH50">
            <v>72530.954000000012</v>
          </cell>
          <cell r="AI50">
            <v>-255295.91681462363</v>
          </cell>
          <cell r="AJ50">
            <v>-22475.816454602147</v>
          </cell>
          <cell r="AK50">
            <v>-29997.877243277242</v>
          </cell>
          <cell r="AL50">
            <v>-52766.02447999992</v>
          </cell>
          <cell r="AN50">
            <v>-105239.71817787924</v>
          </cell>
          <cell r="AO50">
            <v>10861.712999999581</v>
          </cell>
          <cell r="AP50">
            <v>0</v>
          </cell>
          <cell r="AS50">
            <v>10861.712999999581</v>
          </cell>
          <cell r="AT50">
            <v>4070.4430000000002</v>
          </cell>
          <cell r="AU50">
            <v>-2807.8359999999993</v>
          </cell>
          <cell r="AV50">
            <v>60637.017999999996</v>
          </cell>
          <cell r="BA50">
            <v>61899.625</v>
          </cell>
          <cell r="BB50">
            <v>0</v>
          </cell>
          <cell r="BC50">
            <v>-16010.089999999998</v>
          </cell>
          <cell r="BD50">
            <v>0</v>
          </cell>
          <cell r="BE50">
            <v>0</v>
          </cell>
          <cell r="BF50">
            <v>-31585.608999999997</v>
          </cell>
          <cell r="BG50">
            <v>0</v>
          </cell>
          <cell r="BJ50">
            <v>-47595.699000000001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J6" t="str">
            <v>기타 계</v>
          </cell>
        </row>
        <row r="7">
          <cell r="G7">
            <v>62102</v>
          </cell>
          <cell r="H7">
            <v>37389</v>
          </cell>
          <cell r="I7">
            <v>18888</v>
          </cell>
          <cell r="J7">
            <v>12789</v>
          </cell>
          <cell r="K7">
            <v>30628</v>
          </cell>
          <cell r="L7">
            <v>30296</v>
          </cell>
          <cell r="M7">
            <v>9797</v>
          </cell>
          <cell r="N7">
            <v>34533</v>
          </cell>
          <cell r="O7">
            <v>14014</v>
          </cell>
          <cell r="P7">
            <v>19934</v>
          </cell>
          <cell r="Q7">
            <v>18967</v>
          </cell>
          <cell r="R7">
            <v>18848</v>
          </cell>
          <cell r="S7">
            <v>34763</v>
          </cell>
          <cell r="T7">
            <v>3406</v>
          </cell>
          <cell r="U7">
            <v>6521.5</v>
          </cell>
          <cell r="V7">
            <v>25126.5</v>
          </cell>
          <cell r="W7">
            <v>10656.5</v>
          </cell>
          <cell r="Z7">
            <v>388658.5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388658.5</v>
          </cell>
          <cell r="AJ7">
            <v>45153</v>
          </cell>
          <cell r="AK7">
            <v>13950</v>
          </cell>
          <cell r="AL7">
            <v>47086</v>
          </cell>
          <cell r="AN7">
            <v>106189</v>
          </cell>
          <cell r="AO7">
            <v>18460.025000000001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57380378.073999994</v>
          </cell>
          <cell r="G8">
            <v>6088302.568</v>
          </cell>
          <cell r="H8">
            <v>3697373.7119999998</v>
          </cell>
          <cell r="I8">
            <v>1818623.6</v>
          </cell>
          <cell r="J8">
            <v>1231197.0019999999</v>
          </cell>
          <cell r="K8">
            <v>3240339.1</v>
          </cell>
          <cell r="L8">
            <v>2920609.4</v>
          </cell>
          <cell r="M8">
            <v>946109.9</v>
          </cell>
          <cell r="N8">
            <v>3573750.2</v>
          </cell>
          <cell r="O8">
            <v>1330984.3999999999</v>
          </cell>
          <cell r="P8">
            <v>2001324.7000000002</v>
          </cell>
          <cell r="Q8">
            <v>1814580.169</v>
          </cell>
          <cell r="R8">
            <v>2026097.9</v>
          </cell>
          <cell r="S8">
            <v>3502308.3370000003</v>
          </cell>
          <cell r="T8">
            <v>386849.9</v>
          </cell>
          <cell r="U8">
            <v>708432.027</v>
          </cell>
          <cell r="V8">
            <v>2419325.0559999999</v>
          </cell>
          <cell r="W8">
            <v>1290951.8319999999</v>
          </cell>
          <cell r="Z8">
            <v>38997159.802999996</v>
          </cell>
          <cell r="AA8">
            <v>100000</v>
          </cell>
          <cell r="AB8">
            <v>0</v>
          </cell>
          <cell r="AC8">
            <v>25000</v>
          </cell>
          <cell r="AD8">
            <v>56680</v>
          </cell>
          <cell r="AH8">
            <v>181680</v>
          </cell>
          <cell r="AI8">
            <v>39178839.802999996</v>
          </cell>
          <cell r="AJ8">
            <v>1251728.5</v>
          </cell>
          <cell r="AK8">
            <v>190502</v>
          </cell>
          <cell r="AL8">
            <v>852101</v>
          </cell>
          <cell r="AN8">
            <v>2294331.5</v>
          </cell>
          <cell r="AO8">
            <v>15757114.804000001</v>
          </cell>
          <cell r="AP8">
            <v>0</v>
          </cell>
          <cell r="AS8">
            <v>15757114.804000001</v>
          </cell>
          <cell r="AT8">
            <v>11025</v>
          </cell>
          <cell r="AU8">
            <v>11700</v>
          </cell>
          <cell r="AV8">
            <v>124007.26699999999</v>
          </cell>
          <cell r="BA8">
            <v>146732.26699999999</v>
          </cell>
          <cell r="BB8">
            <v>0</v>
          </cell>
          <cell r="BC8">
            <v>3359.7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3359.7</v>
          </cell>
        </row>
        <row r="9">
          <cell r="G9">
            <v>98037.14160574539</v>
          </cell>
          <cell r="H9">
            <v>98889.344780550426</v>
          </cell>
          <cell r="I9">
            <v>96284.603981363834</v>
          </cell>
          <cell r="J9">
            <v>96269.997810618486</v>
          </cell>
          <cell r="K9">
            <v>105796.62726916547</v>
          </cell>
          <cell r="L9">
            <v>96402.475574333235</v>
          </cell>
          <cell r="M9">
            <v>96571.389200775753</v>
          </cell>
          <cell r="N9">
            <v>103487.97382214114</v>
          </cell>
          <cell r="O9">
            <v>94975.338946767501</v>
          </cell>
          <cell r="P9">
            <v>100397.54690478579</v>
          </cell>
          <cell r="Q9">
            <v>95670.383771814202</v>
          </cell>
          <cell r="R9">
            <v>107496.70522071306</v>
          </cell>
          <cell r="S9">
            <v>100748.16146477578</v>
          </cell>
          <cell r="T9">
            <v>113578.94891368174</v>
          </cell>
          <cell r="U9">
            <v>108630.22724833245</v>
          </cell>
          <cell r="V9">
            <v>96285.796111674921</v>
          </cell>
          <cell r="W9">
            <v>121142.19790738047</v>
          </cell>
          <cell r="Z9">
            <v>100337.853933466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100805.30800947361</v>
          </cell>
          <cell r="AJ9">
            <v>27721.934312227317</v>
          </cell>
          <cell r="AK9">
            <v>13656.05734767025</v>
          </cell>
          <cell r="AL9">
            <v>18096.695408401647</v>
          </cell>
          <cell r="AO9">
            <v>853580.36102334643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54056844.407679997</v>
          </cell>
          <cell r="G10">
            <v>5544492.0508199995</v>
          </cell>
          <cell r="H10">
            <v>3671901.4638799997</v>
          </cell>
          <cell r="I10">
            <v>1819378.4167999998</v>
          </cell>
          <cell r="J10">
            <v>1277028.39084</v>
          </cell>
          <cell r="K10">
            <v>2815762.7590999999</v>
          </cell>
          <cell r="L10">
            <v>2626855.3397300001</v>
          </cell>
          <cell r="M10">
            <v>973920.03433000017</v>
          </cell>
          <cell r="N10">
            <v>3197000.2571900003</v>
          </cell>
          <cell r="O10">
            <v>1256306.2489700001</v>
          </cell>
          <cell r="P10">
            <v>1752602.5257899999</v>
          </cell>
          <cell r="Q10">
            <v>1688283.8216400002</v>
          </cell>
          <cell r="R10">
            <v>1805132.9233300001</v>
          </cell>
          <cell r="S10">
            <v>3300958.1149599999</v>
          </cell>
          <cell r="T10">
            <v>395083.21504000004</v>
          </cell>
          <cell r="U10">
            <v>596982.73930000002</v>
          </cell>
          <cell r="V10">
            <v>2064683.9946700002</v>
          </cell>
          <cell r="W10">
            <v>1109652.75719</v>
          </cell>
          <cell r="Z10">
            <v>35896025.053579994</v>
          </cell>
          <cell r="AA10">
            <v>1129.7640000000001</v>
          </cell>
          <cell r="AB10">
            <v>0</v>
          </cell>
          <cell r="AC10">
            <v>6874.4070000000002</v>
          </cell>
          <cell r="AD10">
            <v>17044.800000000003</v>
          </cell>
          <cell r="AH10">
            <v>25048.971000000005</v>
          </cell>
          <cell r="AI10">
            <v>35921074.024579994</v>
          </cell>
          <cell r="AJ10">
            <v>1130984.78306</v>
          </cell>
          <cell r="AK10">
            <v>270724.49875999999</v>
          </cell>
          <cell r="AL10">
            <v>969086.30327999988</v>
          </cell>
          <cell r="AN10">
            <v>2370795.5850999998</v>
          </cell>
          <cell r="AO10">
            <v>15461543.269000001</v>
          </cell>
          <cell r="AP10">
            <v>0</v>
          </cell>
          <cell r="AS10">
            <v>15461543.269000001</v>
          </cell>
          <cell r="AT10">
            <v>272.16899999999998</v>
          </cell>
          <cell r="AU10">
            <v>354.48</v>
          </cell>
          <cell r="AV10">
            <v>0</v>
          </cell>
          <cell r="BA10">
            <v>626.649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J10">
            <v>302804.88</v>
          </cell>
        </row>
        <row r="11">
          <cell r="G11">
            <v>89280.410466973684</v>
          </cell>
          <cell r="H11">
            <v>98208.068252159719</v>
          </cell>
          <cell r="I11">
            <v>96324.566751376522</v>
          </cell>
          <cell r="J11">
            <v>99853.654768942069</v>
          </cell>
          <cell r="K11">
            <v>91934.267960689569</v>
          </cell>
          <cell r="L11">
            <v>86706.342082453135</v>
          </cell>
          <cell r="M11">
            <v>99410.026980708397</v>
          </cell>
          <cell r="N11">
            <v>92578.12113601483</v>
          </cell>
          <cell r="O11">
            <v>89646.514126587703</v>
          </cell>
          <cell r="P11">
            <v>87920.26315792113</v>
          </cell>
          <cell r="Q11">
            <v>89011.6424126114</v>
          </cell>
          <cell r="R11">
            <v>95773.181416065374</v>
          </cell>
          <cell r="S11">
            <v>94956.077293674316</v>
          </cell>
          <cell r="T11">
            <v>115996.24634174987</v>
          </cell>
          <cell r="U11">
            <v>91540.709852027911</v>
          </cell>
          <cell r="V11">
            <v>82171.571634330292</v>
          </cell>
          <cell r="W11">
            <v>104129.19412471262</v>
          </cell>
          <cell r="Z11">
            <v>92358.780403824931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92423.230225454987</v>
          </cell>
          <cell r="AJ11">
            <v>25047.832548446393</v>
          </cell>
          <cell r="AK11">
            <v>19406.774104659497</v>
          </cell>
          <cell r="AL11">
            <v>20581.198302680201</v>
          </cell>
          <cell r="AO11">
            <v>837568.92360654974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3323533.6663199961</v>
          </cell>
          <cell r="G12">
            <v>543810.51718000043</v>
          </cell>
          <cell r="H12">
            <v>25472.24812000012</v>
          </cell>
          <cell r="I12">
            <v>-754.81679999968037</v>
          </cell>
          <cell r="J12">
            <v>-45831.388840000145</v>
          </cell>
          <cell r="K12">
            <v>424576.34090000018</v>
          </cell>
          <cell r="L12">
            <v>293754.06026999978</v>
          </cell>
          <cell r="M12">
            <v>-27810.134330000146</v>
          </cell>
          <cell r="N12">
            <v>376749.94280999992</v>
          </cell>
          <cell r="O12">
            <v>74678.151029999834</v>
          </cell>
          <cell r="P12">
            <v>248722.17421000032</v>
          </cell>
          <cell r="Q12">
            <v>126296.34735999978</v>
          </cell>
          <cell r="R12">
            <v>220964.97666999977</v>
          </cell>
          <cell r="S12">
            <v>201350.22204000037</v>
          </cell>
          <cell r="T12">
            <v>-8233.3150400000159</v>
          </cell>
          <cell r="U12">
            <v>111449.28769999999</v>
          </cell>
          <cell r="V12">
            <v>354641.06132999971</v>
          </cell>
          <cell r="W12">
            <v>181299.0748099999</v>
          </cell>
          <cell r="Z12">
            <v>3101134.7494200012</v>
          </cell>
          <cell r="AA12">
            <v>98870.236000000004</v>
          </cell>
          <cell r="AB12">
            <v>0</v>
          </cell>
          <cell r="AC12">
            <v>18125.593000000001</v>
          </cell>
          <cell r="AD12">
            <v>39635.199999999997</v>
          </cell>
          <cell r="AH12">
            <v>156631.02899999998</v>
          </cell>
          <cell r="AI12">
            <v>3257765.7784200013</v>
          </cell>
          <cell r="AJ12">
            <v>120743.71693999995</v>
          </cell>
          <cell r="AK12">
            <v>-80222.498759999988</v>
          </cell>
          <cell r="AL12">
            <v>-116985.30327999988</v>
          </cell>
          <cell r="AN12">
            <v>-76464.085099999793</v>
          </cell>
          <cell r="AO12">
            <v>295571.53500000015</v>
          </cell>
          <cell r="AP12">
            <v>0</v>
          </cell>
          <cell r="AS12">
            <v>295571.53500000015</v>
          </cell>
          <cell r="AT12">
            <v>10752.831</v>
          </cell>
          <cell r="AU12">
            <v>11345.52</v>
          </cell>
          <cell r="AV12">
            <v>124007.26699999999</v>
          </cell>
          <cell r="BA12">
            <v>146105.61799999999</v>
          </cell>
          <cell r="BB12">
            <v>0</v>
          </cell>
          <cell r="BC12">
            <v>3359.7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J12">
            <v>-299445.18</v>
          </cell>
        </row>
        <row r="13">
          <cell r="F13">
            <v>1819356.4299999997</v>
          </cell>
          <cell r="G13">
            <v>129918.541</v>
          </cell>
          <cell r="H13">
            <v>131021.62299999998</v>
          </cell>
          <cell r="I13">
            <v>107244.21300000002</v>
          </cell>
          <cell r="J13">
            <v>72212.035000000003</v>
          </cell>
          <cell r="K13">
            <v>102206.30499999999</v>
          </cell>
          <cell r="L13">
            <v>106735.93699999998</v>
          </cell>
          <cell r="M13">
            <v>80749.313999999998</v>
          </cell>
          <cell r="N13">
            <v>83429.801999999996</v>
          </cell>
          <cell r="O13">
            <v>66782.417000000001</v>
          </cell>
          <cell r="P13">
            <v>69179.262000000002</v>
          </cell>
          <cell r="Q13">
            <v>61061.661999999997</v>
          </cell>
          <cell r="R13">
            <v>55028.897000000004</v>
          </cell>
          <cell r="S13">
            <v>89534.206999999995</v>
          </cell>
          <cell r="T13">
            <v>20485.683000000001</v>
          </cell>
          <cell r="U13">
            <v>21277.105</v>
          </cell>
          <cell r="V13">
            <v>59798.914000000004</v>
          </cell>
          <cell r="W13">
            <v>32688.382000000001</v>
          </cell>
          <cell r="Z13">
            <v>1289354.2989999999</v>
          </cell>
          <cell r="AA13">
            <v>0</v>
          </cell>
          <cell r="AB13">
            <v>456.68799999999999</v>
          </cell>
          <cell r="AC13">
            <v>0</v>
          </cell>
          <cell r="AD13">
            <v>0</v>
          </cell>
          <cell r="AH13">
            <v>456.68799999999999</v>
          </cell>
          <cell r="AI13">
            <v>1289810.987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271423.886</v>
          </cell>
          <cell r="AP13">
            <v>0</v>
          </cell>
          <cell r="AS13">
            <v>271423.886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19734.656999999999</v>
          </cell>
          <cell r="BG13">
            <v>238386.9</v>
          </cell>
          <cell r="BJ13">
            <v>258121.557</v>
          </cell>
        </row>
        <row r="14">
          <cell r="F14">
            <v>1311474.1079999998</v>
          </cell>
          <cell r="G14">
            <v>86236.631999999998</v>
          </cell>
          <cell r="H14">
            <v>91729.237999999983</v>
          </cell>
          <cell r="I14">
            <v>70200.83600000001</v>
          </cell>
          <cell r="J14">
            <v>52501.03</v>
          </cell>
          <cell r="K14">
            <v>67845.533999999985</v>
          </cell>
          <cell r="L14">
            <v>71643.639999999985</v>
          </cell>
          <cell r="M14">
            <v>54115.42</v>
          </cell>
          <cell r="N14">
            <v>54996.895999999993</v>
          </cell>
          <cell r="O14">
            <v>46268.563999999998</v>
          </cell>
          <cell r="P14">
            <v>46488.83</v>
          </cell>
          <cell r="Q14">
            <v>42353.048000000003</v>
          </cell>
          <cell r="R14">
            <v>37344.738000000005</v>
          </cell>
          <cell r="S14">
            <v>64705.621999999996</v>
          </cell>
          <cell r="T14">
            <v>15031.394</v>
          </cell>
          <cell r="U14">
            <v>14798.972</v>
          </cell>
          <cell r="V14">
            <v>44929.086000000003</v>
          </cell>
          <cell r="W14">
            <v>21720.488000000001</v>
          </cell>
          <cell r="Z14">
            <v>882909.96799999988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882909.96799999988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190177.24</v>
          </cell>
          <cell r="AP14">
            <v>0</v>
          </cell>
          <cell r="AS14">
            <v>190177.24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J14">
            <v>238386.9</v>
          </cell>
        </row>
        <row r="15">
          <cell r="F15">
            <v>507882.32200000004</v>
          </cell>
          <cell r="G15">
            <v>43681.909</v>
          </cell>
          <cell r="H15">
            <v>39292.384999999995</v>
          </cell>
          <cell r="I15">
            <v>37043.377</v>
          </cell>
          <cell r="J15">
            <v>19711.005000000001</v>
          </cell>
          <cell r="K15">
            <v>34360.771000000008</v>
          </cell>
          <cell r="L15">
            <v>35092.296999999999</v>
          </cell>
          <cell r="M15">
            <v>26633.894</v>
          </cell>
          <cell r="N15">
            <v>28432.906000000003</v>
          </cell>
          <cell r="O15">
            <v>20513.853000000003</v>
          </cell>
          <cell r="P15">
            <v>22690.432000000001</v>
          </cell>
          <cell r="Q15">
            <v>18708.613999999998</v>
          </cell>
          <cell r="R15">
            <v>17684.159</v>
          </cell>
          <cell r="S15">
            <v>24828.584999999999</v>
          </cell>
          <cell r="T15">
            <v>5454.2890000000007</v>
          </cell>
          <cell r="U15">
            <v>6478.1330000000007</v>
          </cell>
          <cell r="V15">
            <v>14869.828</v>
          </cell>
          <cell r="W15">
            <v>10967.894</v>
          </cell>
          <cell r="Z15">
            <v>406444.33100000001</v>
          </cell>
          <cell r="AA15">
            <v>0</v>
          </cell>
          <cell r="AB15">
            <v>456.68799999999999</v>
          </cell>
          <cell r="AC15">
            <v>0</v>
          </cell>
          <cell r="AD15">
            <v>0</v>
          </cell>
          <cell r="AH15">
            <v>456.68799999999999</v>
          </cell>
          <cell r="AI15">
            <v>406901.01900000003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81246.645999999993</v>
          </cell>
          <cell r="AP15">
            <v>0</v>
          </cell>
          <cell r="AS15">
            <v>81246.645999999993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19734.656999999999</v>
          </cell>
          <cell r="BG15">
            <v>0</v>
          </cell>
          <cell r="BJ15">
            <v>19734.656999999999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1504177.2363199964</v>
          </cell>
          <cell r="G17">
            <v>413891.97618000046</v>
          </cell>
          <cell r="H17">
            <v>-105549.37487999986</v>
          </cell>
          <cell r="I17">
            <v>-107999.0297999997</v>
          </cell>
          <cell r="J17">
            <v>-118043.42384000015</v>
          </cell>
          <cell r="K17">
            <v>322370.03590000019</v>
          </cell>
          <cell r="L17">
            <v>187018.12326999981</v>
          </cell>
          <cell r="M17">
            <v>-108559.44833000014</v>
          </cell>
          <cell r="N17">
            <v>293320.1408099999</v>
          </cell>
          <cell r="O17">
            <v>7895.7340299998323</v>
          </cell>
          <cell r="P17">
            <v>179542.91221000033</v>
          </cell>
          <cell r="Q17">
            <v>65234.685359999785</v>
          </cell>
          <cell r="R17">
            <v>165936.07966999977</v>
          </cell>
          <cell r="S17">
            <v>111816.01504000038</v>
          </cell>
          <cell r="T17">
            <v>-28718.998040000017</v>
          </cell>
          <cell r="U17">
            <v>90172.18269999999</v>
          </cell>
          <cell r="V17">
            <v>294842.14732999972</v>
          </cell>
          <cell r="W17">
            <v>148610.69280999989</v>
          </cell>
          <cell r="Z17">
            <v>1811780.4504200013</v>
          </cell>
          <cell r="AA17">
            <v>98870.236000000004</v>
          </cell>
          <cell r="AB17">
            <v>-456.68799999999999</v>
          </cell>
          <cell r="AC17">
            <v>18125.593000000001</v>
          </cell>
          <cell r="AD17">
            <v>39635.199999999997</v>
          </cell>
          <cell r="AH17">
            <v>156174.34099999999</v>
          </cell>
          <cell r="AI17">
            <v>1967954.7914200013</v>
          </cell>
          <cell r="AJ17">
            <v>120743.71693999995</v>
          </cell>
          <cell r="AK17">
            <v>-80222.498759999988</v>
          </cell>
          <cell r="AL17">
            <v>-116985.30327999988</v>
          </cell>
          <cell r="AN17">
            <v>-76464.085099999793</v>
          </cell>
          <cell r="AO17">
            <v>24147.64900000015</v>
          </cell>
          <cell r="AP17">
            <v>0</v>
          </cell>
          <cell r="AS17">
            <v>24147.64900000015</v>
          </cell>
          <cell r="AT17">
            <v>10752.831</v>
          </cell>
          <cell r="AU17">
            <v>11345.52</v>
          </cell>
          <cell r="AV17">
            <v>124007.26699999999</v>
          </cell>
          <cell r="BA17">
            <v>146105.61799999999</v>
          </cell>
          <cell r="BB17">
            <v>0</v>
          </cell>
          <cell r="BC17">
            <v>3359.7</v>
          </cell>
          <cell r="BD17">
            <v>0</v>
          </cell>
          <cell r="BE17">
            <v>0</v>
          </cell>
          <cell r="BF17">
            <v>-19734.656999999999</v>
          </cell>
          <cell r="BG17">
            <v>-541191.78</v>
          </cell>
          <cell r="BJ17">
            <v>-557566.73699999996</v>
          </cell>
        </row>
        <row r="18">
          <cell r="F18">
            <v>1175024.3683200001</v>
          </cell>
          <cell r="G18">
            <v>60249.832180000005</v>
          </cell>
          <cell r="H18">
            <v>70980.727119999996</v>
          </cell>
          <cell r="I18">
            <v>41284.985200000003</v>
          </cell>
          <cell r="J18">
            <v>36162.352160000002</v>
          </cell>
          <cell r="K18">
            <v>162126.21890000001</v>
          </cell>
          <cell r="L18">
            <v>74356.596270000009</v>
          </cell>
          <cell r="M18">
            <v>29416.100670000003</v>
          </cell>
          <cell r="N18">
            <v>48100.253809999995</v>
          </cell>
          <cell r="O18">
            <v>25217.222029999997</v>
          </cell>
          <cell r="P18">
            <v>63583.572209999998</v>
          </cell>
          <cell r="Q18">
            <v>31684.95436</v>
          </cell>
          <cell r="R18">
            <v>30195.071669999998</v>
          </cell>
          <cell r="S18">
            <v>70900.263040000005</v>
          </cell>
          <cell r="T18">
            <v>11827.712960000001</v>
          </cell>
          <cell r="U18">
            <v>22248.077700000002</v>
          </cell>
          <cell r="V18">
            <v>41957.581330000001</v>
          </cell>
          <cell r="W18">
            <v>26378.039810000002</v>
          </cell>
          <cell r="Z18">
            <v>846669.56141999993</v>
          </cell>
          <cell r="AA18">
            <v>11338.111999999999</v>
          </cell>
          <cell r="AB18">
            <v>0</v>
          </cell>
          <cell r="AC18">
            <v>0</v>
          </cell>
          <cell r="AD18">
            <v>0</v>
          </cell>
          <cell r="AH18">
            <v>11338.111999999999</v>
          </cell>
          <cell r="AI18">
            <v>858007.67342000012</v>
          </cell>
          <cell r="AJ18">
            <v>65663.881939999992</v>
          </cell>
          <cell r="AK18">
            <v>29089.970229999999</v>
          </cell>
          <cell r="AL18">
            <v>110766.60973</v>
          </cell>
          <cell r="AN18">
            <v>205520.46189999999</v>
          </cell>
          <cell r="AO18">
            <v>11588.687</v>
          </cell>
          <cell r="AP18">
            <v>0</v>
          </cell>
          <cell r="AS18">
            <v>11588.687</v>
          </cell>
          <cell r="AT18">
            <v>2625.7840000000001</v>
          </cell>
          <cell r="AU18">
            <v>16979.216</v>
          </cell>
          <cell r="AV18">
            <v>0</v>
          </cell>
          <cell r="BA18">
            <v>19605</v>
          </cell>
          <cell r="BB18">
            <v>0</v>
          </cell>
          <cell r="BC18">
            <v>35379.881999999998</v>
          </cell>
          <cell r="BD18">
            <v>0</v>
          </cell>
          <cell r="BE18">
            <v>0</v>
          </cell>
          <cell r="BF18">
            <v>44922.663999999997</v>
          </cell>
          <cell r="BG18">
            <v>0</v>
          </cell>
          <cell r="BJ18">
            <v>80302.546000000002</v>
          </cell>
        </row>
        <row r="19">
          <cell r="F19">
            <v>1040631.1263200002</v>
          </cell>
          <cell r="G19">
            <v>56335.392180000003</v>
          </cell>
          <cell r="H19">
            <v>66349.662119999994</v>
          </cell>
          <cell r="I19">
            <v>37742.494200000001</v>
          </cell>
          <cell r="J19">
            <v>33778.37816</v>
          </cell>
          <cell r="K19">
            <v>158374.08990000002</v>
          </cell>
          <cell r="L19">
            <v>71227.795270000002</v>
          </cell>
          <cell r="M19">
            <v>27028.904670000004</v>
          </cell>
          <cell r="N19">
            <v>44973.646809999998</v>
          </cell>
          <cell r="O19">
            <v>23717.152029999997</v>
          </cell>
          <cell r="P19">
            <v>61146.04221</v>
          </cell>
          <cell r="Q19">
            <v>30024.754359999999</v>
          </cell>
          <cell r="R19">
            <v>28278.005669999999</v>
          </cell>
          <cell r="S19">
            <v>67723.86404</v>
          </cell>
          <cell r="T19">
            <v>11086.91396</v>
          </cell>
          <cell r="U19">
            <v>21362.3397</v>
          </cell>
          <cell r="V19">
            <v>40290.816330000001</v>
          </cell>
          <cell r="W19">
            <v>24727.300810000001</v>
          </cell>
          <cell r="Z19">
            <v>804167.5524200002</v>
          </cell>
          <cell r="AA19">
            <v>11338.111999999999</v>
          </cell>
          <cell r="AB19">
            <v>0</v>
          </cell>
          <cell r="AC19">
            <v>0</v>
          </cell>
          <cell r="AD19">
            <v>0</v>
          </cell>
          <cell r="AH19">
            <v>11338.111999999999</v>
          </cell>
          <cell r="AI19">
            <v>815505.66442000016</v>
          </cell>
          <cell r="AJ19">
            <v>65663.881939999992</v>
          </cell>
          <cell r="AK19">
            <v>29089.970229999999</v>
          </cell>
          <cell r="AL19">
            <v>110766.60973</v>
          </cell>
          <cell r="AN19">
            <v>205520.46189999999</v>
          </cell>
          <cell r="AO19">
            <v>0</v>
          </cell>
          <cell r="AP19">
            <v>0</v>
          </cell>
          <cell r="AS19">
            <v>0</v>
          </cell>
          <cell r="AT19">
            <v>2625.7840000000001</v>
          </cell>
          <cell r="AU19">
            <v>16979.216</v>
          </cell>
          <cell r="AV19">
            <v>0</v>
          </cell>
          <cell r="BA19">
            <v>19605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134393.242</v>
          </cell>
          <cell r="G20">
            <v>3914.44</v>
          </cell>
          <cell r="H20">
            <v>4631.0650000000005</v>
          </cell>
          <cell r="I20">
            <v>3542.491</v>
          </cell>
          <cell r="J20">
            <v>2383.9740000000002</v>
          </cell>
          <cell r="K20">
            <v>3752.1289999999999</v>
          </cell>
          <cell r="L20">
            <v>3128.8009999999999</v>
          </cell>
          <cell r="M20">
            <v>2387.1959999999999</v>
          </cell>
          <cell r="N20">
            <v>3126.607</v>
          </cell>
          <cell r="O20">
            <v>1500.07</v>
          </cell>
          <cell r="P20">
            <v>2437.5299999999997</v>
          </cell>
          <cell r="Q20">
            <v>1660.1999999999998</v>
          </cell>
          <cell r="R20">
            <v>1917.0659999999998</v>
          </cell>
          <cell r="S20">
            <v>3176.3990000000003</v>
          </cell>
          <cell r="T20">
            <v>740.79899999999998</v>
          </cell>
          <cell r="U20">
            <v>885.73800000000006</v>
          </cell>
          <cell r="V20">
            <v>1666.7649999999999</v>
          </cell>
          <cell r="W20">
            <v>1650.739</v>
          </cell>
          <cell r="Z20">
            <v>42502.008999999998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42502.008999999998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11588.687</v>
          </cell>
          <cell r="AP20">
            <v>0</v>
          </cell>
          <cell r="AS20">
            <v>11588.687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35379.881999999998</v>
          </cell>
          <cell r="BD20">
            <v>0</v>
          </cell>
          <cell r="BE20">
            <v>0</v>
          </cell>
          <cell r="BF20">
            <v>44922.663999999997</v>
          </cell>
          <cell r="BG20">
            <v>0</v>
          </cell>
          <cell r="BJ20">
            <v>80302.546000000002</v>
          </cell>
        </row>
        <row r="21">
          <cell r="F21">
            <v>329152.86799999629</v>
          </cell>
          <cell r="G21">
            <v>353642.14400000044</v>
          </cell>
          <cell r="H21">
            <v>-176530.10199999984</v>
          </cell>
          <cell r="I21">
            <v>-149284.01499999969</v>
          </cell>
          <cell r="J21">
            <v>-154205.77600000016</v>
          </cell>
          <cell r="K21">
            <v>160243.81700000018</v>
          </cell>
          <cell r="L21">
            <v>112661.5269999998</v>
          </cell>
          <cell r="M21">
            <v>-137975.54900000014</v>
          </cell>
          <cell r="N21">
            <v>245219.8869999999</v>
          </cell>
          <cell r="O21">
            <v>-17321.488000000165</v>
          </cell>
          <cell r="P21">
            <v>115959.34000000033</v>
          </cell>
          <cell r="Q21">
            <v>33549.730999999781</v>
          </cell>
          <cell r="R21">
            <v>135741.00799999977</v>
          </cell>
          <cell r="S21">
            <v>40915.752000000371</v>
          </cell>
          <cell r="T21">
            <v>-40546.711000000018</v>
          </cell>
          <cell r="U21">
            <v>67924.104999999981</v>
          </cell>
          <cell r="V21">
            <v>252884.5659999997</v>
          </cell>
          <cell r="W21">
            <v>122232.65299999989</v>
          </cell>
          <cell r="Z21">
            <v>965110.88900000136</v>
          </cell>
          <cell r="AA21">
            <v>87532.124000000011</v>
          </cell>
          <cell r="AB21">
            <v>-456.68799999999999</v>
          </cell>
          <cell r="AC21">
            <v>18125.593000000001</v>
          </cell>
          <cell r="AD21">
            <v>39635.199999999997</v>
          </cell>
          <cell r="AH21">
            <v>144836.22899999999</v>
          </cell>
          <cell r="AI21">
            <v>1109947.1180000012</v>
          </cell>
          <cell r="AJ21">
            <v>55079.834999999963</v>
          </cell>
          <cell r="AK21">
            <v>-109312.46898999999</v>
          </cell>
          <cell r="AL21">
            <v>-227751.91300999987</v>
          </cell>
          <cell r="AN21">
            <v>-281984.54699999979</v>
          </cell>
          <cell r="AO21">
            <v>12558.962000000151</v>
          </cell>
          <cell r="AP21">
            <v>0</v>
          </cell>
          <cell r="AS21">
            <v>12558.962000000151</v>
          </cell>
          <cell r="AT21">
            <v>8127.0470000000005</v>
          </cell>
          <cell r="AU21">
            <v>-5633.6959999999999</v>
          </cell>
          <cell r="AV21">
            <v>124007.26699999999</v>
          </cell>
          <cell r="BA21">
            <v>126500.61799999999</v>
          </cell>
          <cell r="BB21">
            <v>0</v>
          </cell>
          <cell r="BC21">
            <v>-32020.181999999997</v>
          </cell>
          <cell r="BD21">
            <v>0</v>
          </cell>
          <cell r="BE21">
            <v>0</v>
          </cell>
          <cell r="BF21">
            <v>-64657.320999999996</v>
          </cell>
          <cell r="BG21">
            <v>-541191.78</v>
          </cell>
          <cell r="BJ21">
            <v>-637869.28299999994</v>
          </cell>
        </row>
        <row r="22">
          <cell r="F22">
            <v>3228484.5399982752</v>
          </cell>
          <cell r="G22">
            <v>440804.20601500483</v>
          </cell>
          <cell r="H22">
            <v>266459.44886209536</v>
          </cell>
          <cell r="I22">
            <v>131455.16300891904</v>
          </cell>
          <cell r="J22">
            <v>88508.55726518431</v>
          </cell>
          <cell r="K22">
            <v>247713.68024759236</v>
          </cell>
          <cell r="L22">
            <v>220695.80562168354</v>
          </cell>
          <cell r="M22">
            <v>74492.868856103436</v>
          </cell>
          <cell r="N22">
            <v>275363.26668794395</v>
          </cell>
          <cell r="O22">
            <v>100068.47586187339</v>
          </cell>
          <cell r="P22">
            <v>153676.74139260961</v>
          </cell>
          <cell r="Q22">
            <v>142478.49175328517</v>
          </cell>
          <cell r="R22">
            <v>157181.05924024421</v>
          </cell>
          <cell r="S22">
            <v>258450.89159488003</v>
          </cell>
          <cell r="T22">
            <v>30302.56621307868</v>
          </cell>
          <cell r="U22">
            <v>50651.156460160957</v>
          </cell>
          <cell r="V22">
            <v>177773.97184550232</v>
          </cell>
          <cell r="W22">
            <v>98011.736021317483</v>
          </cell>
          <cell r="Z22">
            <v>2914088.0869474784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2914088.0869474784</v>
          </cell>
          <cell r="AJ22">
            <v>52490.280727474317</v>
          </cell>
          <cell r="AK22">
            <v>7265.853523322121</v>
          </cell>
          <cell r="AL22">
            <v>36488.909889999995</v>
          </cell>
          <cell r="AN22">
            <v>96245.044140796439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218151.40891</v>
          </cell>
          <cell r="BJ22">
            <v>218151.40891</v>
          </cell>
        </row>
        <row r="23">
          <cell r="F23">
            <v>463420.34399827535</v>
          </cell>
          <cell r="G23">
            <v>45697.947608964969</v>
          </cell>
          <cell r="H23">
            <v>27555.042400840139</v>
          </cell>
          <cell r="I23">
            <v>13615.87203141871</v>
          </cell>
          <cell r="J23">
            <v>9140.5358796857217</v>
          </cell>
          <cell r="K23">
            <v>37279.950275494892</v>
          </cell>
          <cell r="L23">
            <v>33138.661254364924</v>
          </cell>
          <cell r="M23">
            <v>11274.126428216314</v>
          </cell>
          <cell r="N23">
            <v>41504.215611609528</v>
          </cell>
          <cell r="O23">
            <v>15010.832723252177</v>
          </cell>
          <cell r="P23">
            <v>23147.662605117519</v>
          </cell>
          <cell r="Q23">
            <v>21552.237406131921</v>
          </cell>
          <cell r="R23">
            <v>23722.073409681205</v>
          </cell>
          <cell r="S23">
            <v>27064.211380808316</v>
          </cell>
          <cell r="T23">
            <v>3268.7854583038156</v>
          </cell>
          <cell r="U23">
            <v>5215.4197123992108</v>
          </cell>
          <cell r="V23">
            <v>18574.639553383255</v>
          </cell>
          <cell r="W23">
            <v>10413.086117806344</v>
          </cell>
          <cell r="Z23">
            <v>367175.29985747888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367175.29985747888</v>
          </cell>
          <cell r="AJ23">
            <v>52490.280727474317</v>
          </cell>
          <cell r="AK23">
            <v>7265.853523322121</v>
          </cell>
          <cell r="AL23">
            <v>36488.909889999995</v>
          </cell>
          <cell r="AN23">
            <v>96245.044140796439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1023776.6319999998</v>
          </cell>
          <cell r="G24">
            <v>159307.37318604058</v>
          </cell>
          <cell r="H24">
            <v>96528.897476356389</v>
          </cell>
          <cell r="I24">
            <v>47548.366253164102</v>
          </cell>
          <cell r="J24">
            <v>32104.705754447292</v>
          </cell>
          <cell r="K24">
            <v>84818.220182401157</v>
          </cell>
          <cell r="L24">
            <v>76008.127843870141</v>
          </cell>
          <cell r="M24">
            <v>25135.890551931268</v>
          </cell>
          <cell r="N24">
            <v>93915.523763339108</v>
          </cell>
          <cell r="O24">
            <v>34551.678444846126</v>
          </cell>
          <cell r="P24">
            <v>52502.845728515429</v>
          </cell>
          <cell r="Q24">
            <v>48141.590745299356</v>
          </cell>
          <cell r="R24">
            <v>53427.018445777168</v>
          </cell>
          <cell r="S24">
            <v>92497.783933365383</v>
          </cell>
          <cell r="T24">
            <v>10524.912983780821</v>
          </cell>
          <cell r="U24">
            <v>18424.514485403819</v>
          </cell>
          <cell r="V24">
            <v>63762.481113651622</v>
          </cell>
          <cell r="W24">
            <v>34576.70110781012</v>
          </cell>
          <cell r="Z24">
            <v>1023776.6319999998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1023776.6319999998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1741287.564</v>
          </cell>
          <cell r="G25">
            <v>235798.8852199993</v>
          </cell>
          <cell r="H25">
            <v>142375.50898489886</v>
          </cell>
          <cell r="I25">
            <v>70290.924724336233</v>
          </cell>
          <cell r="J25">
            <v>47263.3156310513</v>
          </cell>
          <cell r="K25">
            <v>125615.50978969631</v>
          </cell>
          <cell r="L25">
            <v>111549.01652344846</v>
          </cell>
          <cell r="M25">
            <v>38082.85187595585</v>
          </cell>
          <cell r="N25">
            <v>139943.52731299534</v>
          </cell>
          <cell r="O25">
            <v>50505.964693775088</v>
          </cell>
          <cell r="P25">
            <v>78026.23305897665</v>
          </cell>
          <cell r="Q25">
            <v>72784.663601853899</v>
          </cell>
          <cell r="R25">
            <v>80031.96738478585</v>
          </cell>
          <cell r="S25">
            <v>138888.89628070634</v>
          </cell>
          <cell r="T25">
            <v>16508.867770994046</v>
          </cell>
          <cell r="U25">
            <v>27011.222262357929</v>
          </cell>
          <cell r="V25">
            <v>95436.851178467448</v>
          </cell>
          <cell r="W25">
            <v>53021.948795701028</v>
          </cell>
          <cell r="Z25">
            <v>1523136.15509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1523136.15509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218151.40891</v>
          </cell>
          <cell r="BJ25">
            <v>218151.40891</v>
          </cell>
        </row>
        <row r="26">
          <cell r="F26">
            <v>-2899331.6719982792</v>
          </cell>
          <cell r="G26">
            <v>-87162.062015004398</v>
          </cell>
          <cell r="H26">
            <v>-442989.5508620952</v>
          </cell>
          <cell r="I26">
            <v>-280739.17800891877</v>
          </cell>
          <cell r="J26">
            <v>-242714.33326518448</v>
          </cell>
          <cell r="K26">
            <v>-87469.863247592177</v>
          </cell>
          <cell r="L26">
            <v>-108034.27862168374</v>
          </cell>
          <cell r="M26">
            <v>-212468.41785610357</v>
          </cell>
          <cell r="N26">
            <v>-30143.379687944049</v>
          </cell>
          <cell r="O26">
            <v>-117389.96386187355</v>
          </cell>
          <cell r="P26">
            <v>-37717.401392609274</v>
          </cell>
          <cell r="Q26">
            <v>-108928.76075328539</v>
          </cell>
          <cell r="R26">
            <v>-21440.051240244444</v>
          </cell>
          <cell r="S26">
            <v>-217535.13959487964</v>
          </cell>
          <cell r="T26">
            <v>-70849.277213078691</v>
          </cell>
          <cell r="U26">
            <v>17272.948539839024</v>
          </cell>
          <cell r="V26">
            <v>75110.594154497376</v>
          </cell>
          <cell r="W26">
            <v>24220.916978682406</v>
          </cell>
          <cell r="Z26">
            <v>-1948977.197947477</v>
          </cell>
          <cell r="AA26">
            <v>87532.124000000011</v>
          </cell>
          <cell r="AB26">
            <v>-456.68799999999999</v>
          </cell>
          <cell r="AC26">
            <v>18125.593000000001</v>
          </cell>
          <cell r="AD26">
            <v>39635.199999999997</v>
          </cell>
          <cell r="AH26">
            <v>144836.22899999999</v>
          </cell>
          <cell r="AI26">
            <v>-1804140.9689474772</v>
          </cell>
          <cell r="AJ26">
            <v>2589.5542725256455</v>
          </cell>
          <cell r="AK26">
            <v>-116578.32251332211</v>
          </cell>
          <cell r="AL26">
            <v>-264240.82289999985</v>
          </cell>
          <cell r="AN26">
            <v>-378229.5911407962</v>
          </cell>
          <cell r="AO26">
            <v>12558.962000000151</v>
          </cell>
          <cell r="AP26">
            <v>0</v>
          </cell>
          <cell r="AS26">
            <v>12558.962000000151</v>
          </cell>
          <cell r="AT26">
            <v>8127.0470000000005</v>
          </cell>
          <cell r="AU26">
            <v>-5633.6959999999999</v>
          </cell>
          <cell r="AV26">
            <v>124007.26699999999</v>
          </cell>
          <cell r="BA26">
            <v>126500.61799999999</v>
          </cell>
          <cell r="BB26">
            <v>0</v>
          </cell>
          <cell r="BC26">
            <v>-32020.181999999997</v>
          </cell>
          <cell r="BD26">
            <v>0</v>
          </cell>
          <cell r="BE26">
            <v>0</v>
          </cell>
          <cell r="BF26">
            <v>-64657.320999999996</v>
          </cell>
          <cell r="BG26">
            <v>-759343.18891000003</v>
          </cell>
          <cell r="BJ26">
            <v>-856020.69190999994</v>
          </cell>
        </row>
        <row r="27">
          <cell r="F27">
            <v>-2899331.6719982764</v>
          </cell>
          <cell r="G27">
            <v>-87162.062015003918</v>
          </cell>
          <cell r="H27">
            <v>-442989.55086209549</v>
          </cell>
          <cell r="I27">
            <v>-280739.17800891883</v>
          </cell>
          <cell r="J27">
            <v>-242714.33326518445</v>
          </cell>
          <cell r="K27">
            <v>-87469.863247592177</v>
          </cell>
          <cell r="L27">
            <v>-108034.27862168378</v>
          </cell>
          <cell r="M27">
            <v>-212468.41785610351</v>
          </cell>
          <cell r="N27">
            <v>-30143.37968794406</v>
          </cell>
          <cell r="O27">
            <v>-117389.96386187332</v>
          </cell>
          <cell r="P27">
            <v>-37717.401392609529</v>
          </cell>
          <cell r="Q27">
            <v>-108928.76075328529</v>
          </cell>
          <cell r="R27">
            <v>-21440.051240244207</v>
          </cell>
          <cell r="S27">
            <v>-217535.13959488011</v>
          </cell>
          <cell r="T27">
            <v>-70849.277213078705</v>
          </cell>
          <cell r="U27">
            <v>17272.948539839075</v>
          </cell>
          <cell r="V27">
            <v>75110.594154497405</v>
          </cell>
          <cell r="W27">
            <v>24220.916978682399</v>
          </cell>
          <cell r="Z27">
            <v>-1948977.1979474786</v>
          </cell>
          <cell r="AA27">
            <v>87532.124000000011</v>
          </cell>
          <cell r="AB27">
            <v>-456.68799999999999</v>
          </cell>
          <cell r="AC27">
            <v>18125.593000000001</v>
          </cell>
          <cell r="AD27">
            <v>39635.199999999997</v>
          </cell>
          <cell r="AH27">
            <v>144836.22899999999</v>
          </cell>
          <cell r="AI27">
            <v>-1804140.9689474786</v>
          </cell>
          <cell r="AJ27">
            <v>2589.5542725256419</v>
          </cell>
          <cell r="AK27">
            <v>-116578.32251332214</v>
          </cell>
          <cell r="AL27">
            <v>-264240.82289999991</v>
          </cell>
          <cell r="AN27">
            <v>-378229.59114079643</v>
          </cell>
          <cell r="AO27">
            <v>12558.961999999234</v>
          </cell>
          <cell r="AP27">
            <v>0</v>
          </cell>
          <cell r="AS27">
            <v>12558.961999999234</v>
          </cell>
          <cell r="AT27">
            <v>8127.0470000000005</v>
          </cell>
          <cell r="AU27">
            <v>-5633.6960000000008</v>
          </cell>
          <cell r="AV27">
            <v>124007.26699999999</v>
          </cell>
          <cell r="BA27">
            <v>126500.61799999999</v>
          </cell>
          <cell r="BB27">
            <v>0</v>
          </cell>
          <cell r="BC27">
            <v>-32020.181999999997</v>
          </cell>
          <cell r="BD27">
            <v>0</v>
          </cell>
          <cell r="BE27">
            <v>0</v>
          </cell>
          <cell r="BF27">
            <v>-64657.320999999996</v>
          </cell>
          <cell r="BG27">
            <v>-759343.18891000003</v>
          </cell>
          <cell r="BJ27">
            <v>-856020.69191000005</v>
          </cell>
        </row>
        <row r="28">
          <cell r="F28">
            <v>0</v>
          </cell>
          <cell r="G28">
            <v>-4.8021320253610611E-10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-2.3283064365386963E-10</v>
          </cell>
          <cell r="P28">
            <v>2.5465851649641991E-10</v>
          </cell>
          <cell r="Q28">
            <v>0</v>
          </cell>
          <cell r="R28">
            <v>-2.3646862246096134E-10</v>
          </cell>
          <cell r="S28">
            <v>4.6566128730773926E-10</v>
          </cell>
          <cell r="T28">
            <v>0</v>
          </cell>
          <cell r="U28">
            <v>-5.0931703299283981E-11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3.637978807091713E-12</v>
          </cell>
          <cell r="AK28">
            <v>0</v>
          </cell>
          <cell r="AL28">
            <v>0</v>
          </cell>
          <cell r="AN28">
            <v>0</v>
          </cell>
          <cell r="AO28">
            <v>9.1677065938711166E-10</v>
          </cell>
          <cell r="AP28">
            <v>0</v>
          </cell>
          <cell r="AS28">
            <v>9.1677065938711166E-10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62102</v>
          </cell>
          <cell r="H31">
            <v>37389</v>
          </cell>
          <cell r="I31">
            <v>18888</v>
          </cell>
          <cell r="J31">
            <v>12789</v>
          </cell>
          <cell r="K31">
            <v>30628</v>
          </cell>
          <cell r="L31">
            <v>30296</v>
          </cell>
          <cell r="M31">
            <v>9797</v>
          </cell>
          <cell r="N31">
            <v>34533</v>
          </cell>
          <cell r="O31">
            <v>14014</v>
          </cell>
          <cell r="P31">
            <v>19934</v>
          </cell>
          <cell r="Q31">
            <v>18967</v>
          </cell>
          <cell r="R31">
            <v>18848</v>
          </cell>
          <cell r="S31">
            <v>34763</v>
          </cell>
          <cell r="T31">
            <v>3406</v>
          </cell>
          <cell r="U31">
            <v>6521.5</v>
          </cell>
          <cell r="V31">
            <v>25126.5</v>
          </cell>
          <cell r="W31">
            <v>10656.5</v>
          </cell>
          <cell r="X31">
            <v>0</v>
          </cell>
          <cell r="Y31">
            <v>0</v>
          </cell>
          <cell r="Z31">
            <v>388658.5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388658.5</v>
          </cell>
          <cell r="AJ31">
            <v>45153</v>
          </cell>
          <cell r="AK31">
            <v>13950</v>
          </cell>
          <cell r="AL31">
            <v>47086</v>
          </cell>
          <cell r="AN31">
            <v>106189</v>
          </cell>
          <cell r="AO31">
            <v>18460.025000000001</v>
          </cell>
          <cell r="AP31">
            <v>0</v>
          </cell>
          <cell r="AS31">
            <v>18460.025000000001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57380378.073999994</v>
          </cell>
          <cell r="G32">
            <v>6088302.568</v>
          </cell>
          <cell r="H32">
            <v>3697373.7119999998</v>
          </cell>
          <cell r="I32">
            <v>1818623.6</v>
          </cell>
          <cell r="J32">
            <v>1231197.0019999999</v>
          </cell>
          <cell r="K32">
            <v>3240339.1</v>
          </cell>
          <cell r="L32">
            <v>2920609.4</v>
          </cell>
          <cell r="M32">
            <v>946109.9</v>
          </cell>
          <cell r="N32">
            <v>3573750.2</v>
          </cell>
          <cell r="O32">
            <v>1330984.3999999999</v>
          </cell>
          <cell r="P32">
            <v>2001324.7000000002</v>
          </cell>
          <cell r="Q32">
            <v>1814580.169</v>
          </cell>
          <cell r="R32">
            <v>2026097.9</v>
          </cell>
          <cell r="S32">
            <v>3502308.3370000003</v>
          </cell>
          <cell r="T32">
            <v>386849.9</v>
          </cell>
          <cell r="U32">
            <v>708432.027</v>
          </cell>
          <cell r="V32">
            <v>2419325.0559999999</v>
          </cell>
          <cell r="W32">
            <v>1290951.8319999999</v>
          </cell>
          <cell r="X32">
            <v>0</v>
          </cell>
          <cell r="Y32">
            <v>0</v>
          </cell>
          <cell r="Z32">
            <v>38997159.802999996</v>
          </cell>
          <cell r="AA32">
            <v>100000</v>
          </cell>
          <cell r="AB32">
            <v>0</v>
          </cell>
          <cell r="AC32">
            <v>25000</v>
          </cell>
          <cell r="AD32">
            <v>56680</v>
          </cell>
          <cell r="AH32">
            <v>181680</v>
          </cell>
          <cell r="AI32">
            <v>39178839.802999996</v>
          </cell>
          <cell r="AJ32">
            <v>1251728.5</v>
          </cell>
          <cell r="AK32">
            <v>190502</v>
          </cell>
          <cell r="AL32">
            <v>852101</v>
          </cell>
          <cell r="AN32">
            <v>2294331.5</v>
          </cell>
          <cell r="AO32">
            <v>15757114.804000001</v>
          </cell>
          <cell r="AP32">
            <v>0</v>
          </cell>
          <cell r="AS32">
            <v>15757114.804000001</v>
          </cell>
          <cell r="AT32">
            <v>11025</v>
          </cell>
          <cell r="AU32">
            <v>11700</v>
          </cell>
          <cell r="AV32">
            <v>124007.26699999999</v>
          </cell>
          <cell r="BA32">
            <v>146732.26699999999</v>
          </cell>
          <cell r="BB32">
            <v>0</v>
          </cell>
          <cell r="BC32">
            <v>3359.7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3359.7</v>
          </cell>
        </row>
        <row r="33">
          <cell r="F33">
            <v>55097475.533999994</v>
          </cell>
          <cell r="G33">
            <v>5600827.443</v>
          </cell>
          <cell r="H33">
            <v>3738251.1259999997</v>
          </cell>
          <cell r="I33">
            <v>1857120.9109999998</v>
          </cell>
          <cell r="J33">
            <v>1310806.7690000001</v>
          </cell>
          <cell r="K33">
            <v>2974136.8489999999</v>
          </cell>
          <cell r="L33">
            <v>2698083.1350000002</v>
          </cell>
          <cell r="M33">
            <v>1000948.9390000001</v>
          </cell>
          <cell r="N33">
            <v>3241973.9040000001</v>
          </cell>
          <cell r="O33">
            <v>1280023.4010000001</v>
          </cell>
          <cell r="P33">
            <v>1813748.568</v>
          </cell>
          <cell r="Q33">
            <v>1718308.5760000001</v>
          </cell>
          <cell r="R33">
            <v>1833410.9290000002</v>
          </cell>
          <cell r="S33">
            <v>3368681.9789999998</v>
          </cell>
          <cell r="T33">
            <v>406170.12900000002</v>
          </cell>
          <cell r="U33">
            <v>618345.07900000003</v>
          </cell>
          <cell r="V33">
            <v>2104974.8110000002</v>
          </cell>
          <cell r="W33">
            <v>1134380.058</v>
          </cell>
          <cell r="X33">
            <v>0</v>
          </cell>
          <cell r="Y33">
            <v>0</v>
          </cell>
          <cell r="Z33">
            <v>36700192.605999999</v>
          </cell>
          <cell r="AA33">
            <v>12467.876</v>
          </cell>
          <cell r="AB33">
            <v>0</v>
          </cell>
          <cell r="AC33">
            <v>6874.4070000000002</v>
          </cell>
          <cell r="AD33">
            <v>17044.800000000003</v>
          </cell>
          <cell r="AH33">
            <v>36387.082999999999</v>
          </cell>
          <cell r="AI33">
            <v>36736579.688999996</v>
          </cell>
          <cell r="AJ33">
            <v>1196648.665</v>
          </cell>
          <cell r="AK33">
            <v>299814.46898999996</v>
          </cell>
          <cell r="AL33">
            <v>1079852.9130099998</v>
          </cell>
          <cell r="AN33">
            <v>2576316.0469999998</v>
          </cell>
          <cell r="AO33">
            <v>15461543.269000001</v>
          </cell>
          <cell r="AP33">
            <v>0</v>
          </cell>
          <cell r="AS33">
            <v>15461543.269000001</v>
          </cell>
          <cell r="AT33">
            <v>2897.953</v>
          </cell>
          <cell r="AU33">
            <v>17333.696</v>
          </cell>
          <cell r="AV33">
            <v>0</v>
          </cell>
          <cell r="BA33">
            <v>20231.649000000001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J33">
            <v>302804.88</v>
          </cell>
        </row>
        <row r="34">
          <cell r="F34">
            <v>2282902.5399999991</v>
          </cell>
          <cell r="G34">
            <v>487475.125</v>
          </cell>
          <cell r="H34">
            <v>-40877.413999999873</v>
          </cell>
          <cell r="I34">
            <v>-38497.310999999754</v>
          </cell>
          <cell r="J34">
            <v>-79609.767000000225</v>
          </cell>
          <cell r="K34">
            <v>266202.25100000016</v>
          </cell>
          <cell r="L34">
            <v>222526.26499999966</v>
          </cell>
          <cell r="M34">
            <v>-54839.039000000106</v>
          </cell>
          <cell r="N34">
            <v>331776.29600000009</v>
          </cell>
          <cell r="O34">
            <v>50960.998999999836</v>
          </cell>
          <cell r="P34">
            <v>187576.13200000022</v>
          </cell>
          <cell r="Q34">
            <v>96271.592999999877</v>
          </cell>
          <cell r="R34">
            <v>192686.97099999967</v>
          </cell>
          <cell r="S34">
            <v>133626.35800000047</v>
          </cell>
          <cell r="T34">
            <v>-19320.228999999992</v>
          </cell>
          <cell r="U34">
            <v>90086.947999999975</v>
          </cell>
          <cell r="V34">
            <v>314350.24499999965</v>
          </cell>
          <cell r="W34">
            <v>156571.77399999998</v>
          </cell>
          <cell r="X34">
            <v>0</v>
          </cell>
          <cell r="Y34">
            <v>0</v>
          </cell>
          <cell r="Z34">
            <v>2296967.1969999969</v>
          </cell>
          <cell r="AA34">
            <v>87532.123999999996</v>
          </cell>
          <cell r="AB34">
            <v>0</v>
          </cell>
          <cell r="AC34">
            <v>18125.593000000001</v>
          </cell>
          <cell r="AD34">
            <v>39635.199999999997</v>
          </cell>
          <cell r="AH34">
            <v>145292.91700000002</v>
          </cell>
          <cell r="AI34">
            <v>2442260.1140000001</v>
          </cell>
          <cell r="AJ34">
            <v>55079.834999999963</v>
          </cell>
          <cell r="AK34">
            <v>-109312.46898999996</v>
          </cell>
          <cell r="AL34">
            <v>-227751.91300999979</v>
          </cell>
          <cell r="AN34">
            <v>-281984.54699999979</v>
          </cell>
          <cell r="AO34">
            <v>295571.53500000015</v>
          </cell>
          <cell r="AP34">
            <v>0</v>
          </cell>
          <cell r="AS34">
            <v>295571.53500000015</v>
          </cell>
          <cell r="AT34">
            <v>8127.0470000000005</v>
          </cell>
          <cell r="AU34">
            <v>-5633.6959999999999</v>
          </cell>
          <cell r="AV34">
            <v>124007.26699999999</v>
          </cell>
          <cell r="BA34">
            <v>126500.61799999999</v>
          </cell>
          <cell r="BB34">
            <v>0</v>
          </cell>
          <cell r="BC34">
            <v>3359.7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J34">
            <v>-299445.18</v>
          </cell>
        </row>
        <row r="35">
          <cell r="F35">
            <v>5182234.2119982745</v>
          </cell>
          <cell r="G35">
            <v>574637.18701500481</v>
          </cell>
          <cell r="H35">
            <v>402112.13686209533</v>
          </cell>
          <cell r="I35">
            <v>242241.86700891907</v>
          </cell>
          <cell r="J35">
            <v>163104.56626518432</v>
          </cell>
          <cell r="K35">
            <v>353672.11424759234</v>
          </cell>
          <cell r="L35">
            <v>330560.54362168349</v>
          </cell>
          <cell r="M35">
            <v>157629.37885610343</v>
          </cell>
          <cell r="N35">
            <v>361919.67568794399</v>
          </cell>
          <cell r="O35">
            <v>168350.96286187338</v>
          </cell>
          <cell r="P35">
            <v>225293.53339260959</v>
          </cell>
          <cell r="Q35">
            <v>205200.35375328519</v>
          </cell>
          <cell r="R35">
            <v>214127.0222402442</v>
          </cell>
          <cell r="S35">
            <v>351161.49759488</v>
          </cell>
          <cell r="T35">
            <v>51529.048213078684</v>
          </cell>
          <cell r="U35">
            <v>72813.999460160951</v>
          </cell>
          <cell r="V35">
            <v>239239.65084550233</v>
          </cell>
          <cell r="W35">
            <v>132350.85702131747</v>
          </cell>
          <cell r="X35">
            <v>0</v>
          </cell>
          <cell r="Y35">
            <v>0</v>
          </cell>
          <cell r="Z35">
            <v>4245944.3949474785</v>
          </cell>
          <cell r="AA35">
            <v>0</v>
          </cell>
          <cell r="AB35">
            <v>456.68799999999999</v>
          </cell>
          <cell r="AC35">
            <v>0</v>
          </cell>
          <cell r="AD35">
            <v>0</v>
          </cell>
          <cell r="AH35">
            <v>456.68799999999999</v>
          </cell>
          <cell r="AI35">
            <v>4246401.0829474786</v>
          </cell>
          <cell r="AJ35">
            <v>52490.280727474317</v>
          </cell>
          <cell r="AK35">
            <v>7265.853523322121</v>
          </cell>
          <cell r="AL35">
            <v>36488.909889999995</v>
          </cell>
          <cell r="AN35">
            <v>96245.044140796439</v>
          </cell>
          <cell r="AO35">
            <v>283012.57299999997</v>
          </cell>
          <cell r="AP35">
            <v>0</v>
          </cell>
          <cell r="AS35">
            <v>283012.57299999997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35379.881999999998</v>
          </cell>
          <cell r="BD35">
            <v>0</v>
          </cell>
          <cell r="BE35">
            <v>0</v>
          </cell>
          <cell r="BF35">
            <v>64657.320999999996</v>
          </cell>
          <cell r="BG35">
            <v>456538.30891000002</v>
          </cell>
          <cell r="BJ35">
            <v>556575.51191</v>
          </cell>
        </row>
        <row r="36">
          <cell r="F36">
            <v>-2899331.6719982754</v>
          </cell>
          <cell r="G36">
            <v>-87162.062015004805</v>
          </cell>
          <cell r="H36">
            <v>-442989.5508620952</v>
          </cell>
          <cell r="I36">
            <v>-280739.17800891883</v>
          </cell>
          <cell r="J36">
            <v>-242714.33326518454</v>
          </cell>
          <cell r="K36">
            <v>-87469.863247592177</v>
          </cell>
          <cell r="L36">
            <v>-108034.27862168383</v>
          </cell>
          <cell r="M36">
            <v>-212468.41785610354</v>
          </cell>
          <cell r="N36">
            <v>-30143.379687943903</v>
          </cell>
          <cell r="O36">
            <v>-117389.96386187355</v>
          </cell>
          <cell r="P36">
            <v>-37717.401392609376</v>
          </cell>
          <cell r="Q36">
            <v>-108928.76075328531</v>
          </cell>
          <cell r="R36">
            <v>-21440.051240244531</v>
          </cell>
          <cell r="S36">
            <v>-217535.13959487953</v>
          </cell>
          <cell r="T36">
            <v>-70849.277213078676</v>
          </cell>
          <cell r="U36">
            <v>17272.948539839024</v>
          </cell>
          <cell r="V36">
            <v>75110.594154497318</v>
          </cell>
          <cell r="W36">
            <v>24220.916978682508</v>
          </cell>
          <cell r="X36">
            <v>0</v>
          </cell>
          <cell r="Y36">
            <v>0</v>
          </cell>
          <cell r="Z36">
            <v>-1948977.1979474816</v>
          </cell>
          <cell r="AA36">
            <v>87532.123999999996</v>
          </cell>
          <cell r="AB36">
            <v>-456.68799999999999</v>
          </cell>
          <cell r="AC36">
            <v>18125.593000000001</v>
          </cell>
          <cell r="AD36">
            <v>39635.199999999997</v>
          </cell>
          <cell r="AH36">
            <v>144836.22900000002</v>
          </cell>
          <cell r="AI36">
            <v>-1804140.9689474786</v>
          </cell>
          <cell r="AJ36">
            <v>2589.5542725256455</v>
          </cell>
          <cell r="AK36">
            <v>-116578.32251332208</v>
          </cell>
          <cell r="AL36">
            <v>-264240.8228999998</v>
          </cell>
          <cell r="AN36">
            <v>-378229.5911407962</v>
          </cell>
          <cell r="AO36">
            <v>12558.962000000174</v>
          </cell>
          <cell r="AP36">
            <v>0</v>
          </cell>
          <cell r="AS36">
            <v>12558.962000000174</v>
          </cell>
          <cell r="AT36">
            <v>8127.0470000000005</v>
          </cell>
          <cell r="AU36">
            <v>-5633.6959999999999</v>
          </cell>
          <cell r="AV36">
            <v>124007.26699999999</v>
          </cell>
          <cell r="BA36">
            <v>126500.61799999999</v>
          </cell>
          <cell r="BB36">
            <v>0</v>
          </cell>
          <cell r="BC36">
            <v>-32020.181999999997</v>
          </cell>
          <cell r="BD36">
            <v>0</v>
          </cell>
          <cell r="BE36">
            <v>0</v>
          </cell>
          <cell r="BF36">
            <v>-64657.320999999996</v>
          </cell>
          <cell r="BG36">
            <v>-759343.18891000003</v>
          </cell>
          <cell r="BJ36">
            <v>-856020.69191000005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N38">
            <v>-30260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-647732</v>
          </cell>
          <cell r="Z39">
            <v>0</v>
          </cell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N39">
            <v>-647732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-647732</v>
          </cell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Z40">
            <v>78201.733999999997</v>
          </cell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N40">
            <v>-725933.73399999994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N41">
            <v>78201.733999999939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N43">
            <v>78201.733999999939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62102</v>
          </cell>
          <cell r="H45">
            <v>37389</v>
          </cell>
          <cell r="I45">
            <v>18888</v>
          </cell>
          <cell r="J45">
            <v>12789</v>
          </cell>
          <cell r="K45">
            <v>30628</v>
          </cell>
          <cell r="L45">
            <v>30296</v>
          </cell>
          <cell r="M45">
            <v>9797</v>
          </cell>
          <cell r="N45">
            <v>34533</v>
          </cell>
          <cell r="O45">
            <v>14014</v>
          </cell>
          <cell r="P45">
            <v>19934</v>
          </cell>
          <cell r="Q45">
            <v>18967</v>
          </cell>
          <cell r="R45">
            <v>18848</v>
          </cell>
          <cell r="S45">
            <v>34763</v>
          </cell>
          <cell r="T45">
            <v>3406</v>
          </cell>
          <cell r="U45">
            <v>6521.5</v>
          </cell>
          <cell r="V45">
            <v>25126.5</v>
          </cell>
          <cell r="W45">
            <v>10656.5</v>
          </cell>
          <cell r="X45">
            <v>0</v>
          </cell>
          <cell r="Y45">
            <v>0</v>
          </cell>
          <cell r="Z45">
            <v>388658.5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388658.5</v>
          </cell>
          <cell r="AJ45">
            <v>35181</v>
          </cell>
          <cell r="AK45">
            <v>13950</v>
          </cell>
          <cell r="AL45">
            <v>26798</v>
          </cell>
          <cell r="AN45">
            <v>75929</v>
          </cell>
          <cell r="AO45">
            <v>18460.025000000001</v>
          </cell>
          <cell r="AP45">
            <v>0</v>
          </cell>
          <cell r="AS45">
            <v>18460.025000000001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56732646.073999994</v>
          </cell>
          <cell r="G46">
            <v>6088302.568</v>
          </cell>
          <cell r="H46">
            <v>3697373.7119999998</v>
          </cell>
          <cell r="I46">
            <v>1818623.6</v>
          </cell>
          <cell r="J46">
            <v>1231197.0019999999</v>
          </cell>
          <cell r="K46">
            <v>3240339.1</v>
          </cell>
          <cell r="L46">
            <v>2920609.4</v>
          </cell>
          <cell r="M46">
            <v>946109.9</v>
          </cell>
          <cell r="N46">
            <v>3573750.2</v>
          </cell>
          <cell r="O46">
            <v>1330984.3999999999</v>
          </cell>
          <cell r="P46">
            <v>2001324.7000000002</v>
          </cell>
          <cell r="Q46">
            <v>1814580.169</v>
          </cell>
          <cell r="R46">
            <v>2026097.9</v>
          </cell>
          <cell r="S46">
            <v>3502308.3370000003</v>
          </cell>
          <cell r="T46">
            <v>386849.9</v>
          </cell>
          <cell r="U46">
            <v>708432.027</v>
          </cell>
          <cell r="V46">
            <v>2419325.0559999999</v>
          </cell>
          <cell r="W46">
            <v>1290951.8319999999</v>
          </cell>
          <cell r="X46">
            <v>0</v>
          </cell>
          <cell r="Y46">
            <v>0</v>
          </cell>
          <cell r="Z46">
            <v>38997159.802999996</v>
          </cell>
          <cell r="AA46">
            <v>100000</v>
          </cell>
          <cell r="AB46">
            <v>0</v>
          </cell>
          <cell r="AC46">
            <v>25000</v>
          </cell>
          <cell r="AD46">
            <v>56680</v>
          </cell>
          <cell r="AH46">
            <v>181680</v>
          </cell>
          <cell r="AI46">
            <v>39178839.802999996</v>
          </cell>
          <cell r="AJ46">
            <v>961448.5</v>
          </cell>
          <cell r="AK46">
            <v>190502</v>
          </cell>
          <cell r="AL46">
            <v>494649</v>
          </cell>
          <cell r="AN46">
            <v>1646599.5</v>
          </cell>
          <cell r="AO46">
            <v>15757114.804000001</v>
          </cell>
          <cell r="AP46">
            <v>0</v>
          </cell>
          <cell r="AS46">
            <v>15757114.804000001</v>
          </cell>
          <cell r="AT46">
            <v>11025</v>
          </cell>
          <cell r="AU46">
            <v>11700</v>
          </cell>
          <cell r="AV46">
            <v>124007.26699999999</v>
          </cell>
          <cell r="BA46">
            <v>146732.26699999999</v>
          </cell>
          <cell r="BB46">
            <v>0</v>
          </cell>
          <cell r="BC46">
            <v>3359.7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3359.7</v>
          </cell>
        </row>
        <row r="47">
          <cell r="F47">
            <v>54449743.534000002</v>
          </cell>
          <cell r="G47">
            <v>5600827.443</v>
          </cell>
          <cell r="H47">
            <v>3738251.1259999997</v>
          </cell>
          <cell r="I47">
            <v>1857120.9109999998</v>
          </cell>
          <cell r="J47">
            <v>1310806.7690000001</v>
          </cell>
          <cell r="K47">
            <v>2987963.355</v>
          </cell>
          <cell r="L47">
            <v>2761578.5090000001</v>
          </cell>
          <cell r="M47">
            <v>999578.30500000017</v>
          </cell>
          <cell r="N47">
            <v>3244224.392</v>
          </cell>
          <cell r="O47">
            <v>1280023.4010000001</v>
          </cell>
          <cell r="P47">
            <v>1813748.568</v>
          </cell>
          <cell r="Q47">
            <v>1718308.5760000001</v>
          </cell>
          <cell r="R47">
            <v>1833410.9290000002</v>
          </cell>
          <cell r="S47">
            <v>3368681.9789999998</v>
          </cell>
          <cell r="T47">
            <v>406170.12900000002</v>
          </cell>
          <cell r="U47">
            <v>618345.07900000003</v>
          </cell>
          <cell r="V47">
            <v>2104974.8110000002</v>
          </cell>
          <cell r="W47">
            <v>1134380.058</v>
          </cell>
          <cell r="X47">
            <v>0</v>
          </cell>
          <cell r="Y47">
            <v>0</v>
          </cell>
          <cell r="Z47">
            <v>36778394.340000004</v>
          </cell>
          <cell r="AA47">
            <v>12467.876</v>
          </cell>
          <cell r="AB47">
            <v>0</v>
          </cell>
          <cell r="AC47">
            <v>6874.4070000000002</v>
          </cell>
          <cell r="AD47">
            <v>17044.800000000003</v>
          </cell>
          <cell r="AH47">
            <v>36387.082999999999</v>
          </cell>
          <cell r="AI47">
            <v>36814781.423</v>
          </cell>
          <cell r="AJ47">
            <v>930676.39600000007</v>
          </cell>
          <cell r="AK47">
            <v>299814.46898999996</v>
          </cell>
          <cell r="AL47">
            <v>619891.4480099997</v>
          </cell>
          <cell r="AN47">
            <v>1850382.3129999998</v>
          </cell>
          <cell r="AO47">
            <v>15461543.269000001</v>
          </cell>
          <cell r="AP47">
            <v>0</v>
          </cell>
          <cell r="AS47">
            <v>15461543.269000001</v>
          </cell>
          <cell r="AT47">
            <v>2897.953</v>
          </cell>
          <cell r="AU47">
            <v>17333.696</v>
          </cell>
          <cell r="AV47">
            <v>0</v>
          </cell>
          <cell r="BA47">
            <v>20231.649000000001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J47">
            <v>302804.88</v>
          </cell>
        </row>
        <row r="48">
          <cell r="F48">
            <v>2282902.5399999917</v>
          </cell>
          <cell r="G48">
            <v>487475.125</v>
          </cell>
          <cell r="H48">
            <v>-40877.413999999873</v>
          </cell>
          <cell r="I48">
            <v>-38497.310999999754</v>
          </cell>
          <cell r="J48">
            <v>-79609.767000000225</v>
          </cell>
          <cell r="K48">
            <v>252375.74500000011</v>
          </cell>
          <cell r="L48">
            <v>159030.89099999983</v>
          </cell>
          <cell r="M48">
            <v>-53468.405000000144</v>
          </cell>
          <cell r="N48">
            <v>329525.80800000019</v>
          </cell>
          <cell r="O48">
            <v>50960.998999999836</v>
          </cell>
          <cell r="P48">
            <v>187576.13200000022</v>
          </cell>
          <cell r="Q48">
            <v>96271.592999999877</v>
          </cell>
          <cell r="R48">
            <v>192686.97099999967</v>
          </cell>
          <cell r="S48">
            <v>133626.35800000047</v>
          </cell>
          <cell r="T48">
            <v>-19320.228999999992</v>
          </cell>
          <cell r="U48">
            <v>90086.947999999975</v>
          </cell>
          <cell r="V48">
            <v>314350.24499999965</v>
          </cell>
          <cell r="W48">
            <v>156571.77399999998</v>
          </cell>
          <cell r="X48">
            <v>0</v>
          </cell>
          <cell r="Y48">
            <v>0</v>
          </cell>
          <cell r="Z48">
            <v>2218765.4629999921</v>
          </cell>
          <cell r="AA48">
            <v>87532.123999999996</v>
          </cell>
          <cell r="AB48">
            <v>0</v>
          </cell>
          <cell r="AC48">
            <v>18125.593000000001</v>
          </cell>
          <cell r="AD48">
            <v>39635.199999999997</v>
          </cell>
          <cell r="AH48">
            <v>145292.91700000002</v>
          </cell>
          <cell r="AI48">
            <v>2364058.3799999952</v>
          </cell>
          <cell r="AJ48">
            <v>30772.103999999934</v>
          </cell>
          <cell r="AK48">
            <v>-109312.46898999996</v>
          </cell>
          <cell r="AL48">
            <v>-125242.4480099997</v>
          </cell>
          <cell r="AN48">
            <v>-203782.81299999985</v>
          </cell>
          <cell r="AO48">
            <v>295571.53500000015</v>
          </cell>
          <cell r="AP48">
            <v>0</v>
          </cell>
          <cell r="AS48">
            <v>295571.53500000015</v>
          </cell>
          <cell r="AT48">
            <v>8127.0470000000005</v>
          </cell>
          <cell r="AU48">
            <v>-5633.6959999999999</v>
          </cell>
          <cell r="AV48">
            <v>124007.26699999999</v>
          </cell>
          <cell r="BA48">
            <v>126500.61799999999</v>
          </cell>
          <cell r="BB48">
            <v>0</v>
          </cell>
          <cell r="BC48">
            <v>3359.7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J48">
            <v>-299445.18</v>
          </cell>
        </row>
        <row r="49">
          <cell r="F49">
            <v>5182234.2119982745</v>
          </cell>
          <cell r="G49">
            <v>574637.18701500481</v>
          </cell>
          <cell r="H49">
            <v>402112.13686209533</v>
          </cell>
          <cell r="I49">
            <v>242241.86700891907</v>
          </cell>
          <cell r="J49">
            <v>163104.56626518432</v>
          </cell>
          <cell r="K49">
            <v>353672.11424759234</v>
          </cell>
          <cell r="L49">
            <v>330560.54362168349</v>
          </cell>
          <cell r="M49">
            <v>157629.37885610343</v>
          </cell>
          <cell r="N49">
            <v>361919.67568794399</v>
          </cell>
          <cell r="O49">
            <v>168350.96286187338</v>
          </cell>
          <cell r="P49">
            <v>225293.53339260959</v>
          </cell>
          <cell r="Q49">
            <v>205200.35375328519</v>
          </cell>
          <cell r="R49">
            <v>214127.0222402442</v>
          </cell>
          <cell r="S49">
            <v>351161.49759488</v>
          </cell>
          <cell r="T49">
            <v>51529.048213078684</v>
          </cell>
          <cell r="U49">
            <v>72813.999460160951</v>
          </cell>
          <cell r="V49">
            <v>239239.65084550233</v>
          </cell>
          <cell r="W49">
            <v>132350.85702131747</v>
          </cell>
          <cell r="X49">
            <v>0</v>
          </cell>
          <cell r="Y49">
            <v>0</v>
          </cell>
          <cell r="Z49">
            <v>4245944.3949474785</v>
          </cell>
          <cell r="AA49">
            <v>0</v>
          </cell>
          <cell r="AB49">
            <v>456.68799999999999</v>
          </cell>
          <cell r="AC49">
            <v>0</v>
          </cell>
          <cell r="AD49">
            <v>0</v>
          </cell>
          <cell r="AH49">
            <v>456.68799999999999</v>
          </cell>
          <cell r="AI49">
            <v>4246401.0829474786</v>
          </cell>
          <cell r="AJ49">
            <v>52490.280727474317</v>
          </cell>
          <cell r="AK49">
            <v>7265.853523322121</v>
          </cell>
          <cell r="AL49">
            <v>36488.909889999995</v>
          </cell>
          <cell r="AN49">
            <v>96245.044140796439</v>
          </cell>
          <cell r="AO49">
            <v>283012.57299999997</v>
          </cell>
          <cell r="AP49">
            <v>0</v>
          </cell>
          <cell r="AS49">
            <v>283012.57299999997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35379.881999999998</v>
          </cell>
          <cell r="BD49">
            <v>0</v>
          </cell>
          <cell r="BE49">
            <v>0</v>
          </cell>
          <cell r="BF49">
            <v>64657.320999999996</v>
          </cell>
          <cell r="BG49">
            <v>456538.30891000002</v>
          </cell>
          <cell r="BJ49">
            <v>556575.51191</v>
          </cell>
        </row>
        <row r="50">
          <cell r="F50">
            <v>-2899331.6719982829</v>
          </cell>
          <cell r="G50">
            <v>-87162.062015004805</v>
          </cell>
          <cell r="H50">
            <v>-442989.5508620952</v>
          </cell>
          <cell r="I50">
            <v>-280739.17800891883</v>
          </cell>
          <cell r="J50">
            <v>-242714.33326518454</v>
          </cell>
          <cell r="K50">
            <v>-101296.36924759223</v>
          </cell>
          <cell r="L50">
            <v>-171529.65262168366</v>
          </cell>
          <cell r="M50">
            <v>-211097.78385610358</v>
          </cell>
          <cell r="N50">
            <v>-32393.867687943799</v>
          </cell>
          <cell r="O50">
            <v>-117389.96386187355</v>
          </cell>
          <cell r="P50">
            <v>-37717.401392609376</v>
          </cell>
          <cell r="Q50">
            <v>-108928.76075328531</v>
          </cell>
          <cell r="R50">
            <v>-21440.051240244531</v>
          </cell>
          <cell r="S50">
            <v>-217535.13959487953</v>
          </cell>
          <cell r="T50">
            <v>-70849.277213078676</v>
          </cell>
          <cell r="U50">
            <v>17272.948539839024</v>
          </cell>
          <cell r="V50">
            <v>75110.594154497318</v>
          </cell>
          <cell r="W50">
            <v>24220.916978682508</v>
          </cell>
          <cell r="X50">
            <v>0</v>
          </cell>
          <cell r="Y50">
            <v>0</v>
          </cell>
          <cell r="Z50">
            <v>-2027178.9319474865</v>
          </cell>
          <cell r="AA50">
            <v>87532.123999999996</v>
          </cell>
          <cell r="AB50">
            <v>-456.68799999999999</v>
          </cell>
          <cell r="AC50">
            <v>18125.593000000001</v>
          </cell>
          <cell r="AD50">
            <v>39635.199999999997</v>
          </cell>
          <cell r="AH50">
            <v>144836.22900000002</v>
          </cell>
          <cell r="AI50">
            <v>-1882342.7029474834</v>
          </cell>
          <cell r="AJ50">
            <v>-21718.176727474383</v>
          </cell>
          <cell r="AK50">
            <v>-116578.32251332208</v>
          </cell>
          <cell r="AL50">
            <v>-161731.35789999971</v>
          </cell>
          <cell r="AN50">
            <v>-300027.85714079626</v>
          </cell>
          <cell r="AO50">
            <v>12558.962000000174</v>
          </cell>
          <cell r="AP50">
            <v>0</v>
          </cell>
          <cell r="AS50">
            <v>12558.962000000174</v>
          </cell>
          <cell r="AT50">
            <v>8127.0470000000005</v>
          </cell>
          <cell r="AU50">
            <v>-5633.6959999999999</v>
          </cell>
          <cell r="AV50">
            <v>124007.26699999999</v>
          </cell>
          <cell r="BA50">
            <v>126500.61799999999</v>
          </cell>
          <cell r="BB50">
            <v>0</v>
          </cell>
          <cell r="BC50">
            <v>-32020.181999999997</v>
          </cell>
          <cell r="BD50">
            <v>0</v>
          </cell>
          <cell r="BE50">
            <v>0</v>
          </cell>
          <cell r="BF50">
            <v>-64657.320999999996</v>
          </cell>
          <cell r="BG50">
            <v>-759343.18891000003</v>
          </cell>
          <cell r="BJ50">
            <v>-856020.69191000005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>
        <row r="6">
          <cell r="F6" t="str">
            <v>합계</v>
          </cell>
        </row>
      </sheetData>
      <sheetData sheetId="16"/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/>
      <sheetData sheetId="27">
        <row r="6">
          <cell r="F6" t="str">
            <v>합계</v>
          </cell>
        </row>
      </sheetData>
      <sheetData sheetId="28">
        <row r="6">
          <cell r="F6" t="str">
            <v>합계</v>
          </cell>
        </row>
      </sheetData>
      <sheetData sheetId="29"/>
      <sheetData sheetId="30">
        <row r="6">
          <cell r="F6" t="str">
            <v>합계</v>
          </cell>
        </row>
      </sheetData>
      <sheetData sheetId="31">
        <row r="6">
          <cell r="F6" t="str">
            <v>합계</v>
          </cell>
        </row>
      </sheetData>
      <sheetData sheetId="32">
        <row r="6">
          <cell r="F6" t="str">
            <v>합계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176999.8</v>
          </cell>
          <cell r="U5">
            <v>170009</v>
          </cell>
        </row>
        <row r="6">
          <cell r="H6">
            <v>127.29590192427854</v>
          </cell>
        </row>
        <row r="9">
          <cell r="E9">
            <v>304.23064837758238</v>
          </cell>
          <cell r="F9">
            <v>269.27620713398733</v>
          </cell>
          <cell r="G9">
            <v>97576.971461184512</v>
          </cell>
          <cell r="H9">
            <v>101081.0433286576</v>
          </cell>
        </row>
        <row r="10">
          <cell r="E10">
            <v>32.473674223850978</v>
          </cell>
          <cell r="F10">
            <v>60.512187395170621</v>
          </cell>
          <cell r="G10">
            <v>91514.410433449491</v>
          </cell>
          <cell r="H10">
            <v>96155.537539493263</v>
          </cell>
        </row>
        <row r="11">
          <cell r="E11">
            <v>0</v>
          </cell>
          <cell r="F11">
            <v>22.709214449237574</v>
          </cell>
        </row>
        <row r="12">
          <cell r="E12">
            <v>23.045958373128737</v>
          </cell>
          <cell r="F12">
            <v>25.514262324990131</v>
          </cell>
          <cell r="G12">
            <v>59734.514811668261</v>
          </cell>
          <cell r="H12">
            <v>60585.013656334937</v>
          </cell>
        </row>
        <row r="13">
          <cell r="E13">
            <v>21.793514103142158</v>
          </cell>
          <cell r="F13">
            <v>24.899320676322258</v>
          </cell>
          <cell r="G13">
            <v>35446.157560736472</v>
          </cell>
          <cell r="H13">
            <v>33316.974907891636</v>
          </cell>
        </row>
        <row r="14">
          <cell r="E14">
            <v>8.7718967101239942E-2</v>
          </cell>
          <cell r="F14">
            <v>0</v>
          </cell>
        </row>
        <row r="15">
          <cell r="E15">
            <v>381.6315140448055</v>
          </cell>
          <cell r="F15">
            <v>402.91119197970784</v>
          </cell>
          <cell r="G15">
            <v>91403.060151010504</v>
          </cell>
          <cell r="S15">
            <v>3109.3720396658246</v>
          </cell>
          <cell r="U15">
            <v>1916.279455523759</v>
          </cell>
        </row>
        <row r="16">
          <cell r="E16">
            <v>828.22543597664639</v>
          </cell>
          <cell r="F16">
            <v>822.49721455517056</v>
          </cell>
          <cell r="G16">
            <v>12874.697426968503</v>
          </cell>
          <cell r="H16">
            <v>12845.150564299887</v>
          </cell>
        </row>
        <row r="17">
          <cell r="E17">
            <v>895.09944963808391</v>
          </cell>
          <cell r="F17">
            <v>868.28028160476424</v>
          </cell>
          <cell r="G17">
            <v>15822.101683761139</v>
          </cell>
          <cell r="H17">
            <v>15538.897290360708</v>
          </cell>
        </row>
        <row r="19">
          <cell r="E19">
            <v>3.2419271172983128</v>
          </cell>
          <cell r="F19">
            <v>3.3793440403957171</v>
          </cell>
        </row>
        <row r="20">
          <cell r="Q20">
            <v>62575.745418790539</v>
          </cell>
          <cell r="R20">
            <v>65317.952536208431</v>
          </cell>
        </row>
        <row r="21">
          <cell r="Q21">
            <v>19824.789599725937</v>
          </cell>
          <cell r="R21">
            <v>20218.440757066601</v>
          </cell>
        </row>
        <row r="22">
          <cell r="Q22">
            <v>427.72505957633854</v>
          </cell>
          <cell r="R22">
            <v>382.16278932903327</v>
          </cell>
        </row>
        <row r="50">
          <cell r="Q50">
            <v>94592.362014931161</v>
          </cell>
          <cell r="R50">
            <v>99688.754012205813</v>
          </cell>
        </row>
        <row r="56">
          <cell r="L56">
            <v>-750291.29667135561</v>
          </cell>
        </row>
        <row r="61">
          <cell r="T61">
            <v>100556.99043344718</v>
          </cell>
          <cell r="U61">
            <v>104606.76316734463</v>
          </cell>
        </row>
        <row r="80">
          <cell r="H80">
            <v>668437.21900000004</v>
          </cell>
          <cell r="I80">
            <v>833234.88800000004</v>
          </cell>
          <cell r="L80">
            <v>-164797.66899999997</v>
          </cell>
        </row>
        <row r="85">
          <cell r="H85">
            <v>382779.77477843437</v>
          </cell>
          <cell r="I85">
            <v>499801.09645000001</v>
          </cell>
          <cell r="L85">
            <v>-117021.32167156563</v>
          </cell>
          <cell r="Q85">
            <v>100556.99043344718</v>
          </cell>
          <cell r="R85">
            <v>104606.76316734463</v>
          </cell>
        </row>
        <row r="86">
          <cell r="H86">
            <v>4521.0443732153508</v>
          </cell>
          <cell r="I86">
            <v>-381819.34200000268</v>
          </cell>
          <cell r="K86">
            <v>687938.94407989399</v>
          </cell>
          <cell r="M86">
            <v>-42169.043110192521</v>
          </cell>
        </row>
        <row r="89">
          <cell r="Q89">
            <v>82828.260078092804</v>
          </cell>
          <cell r="R89">
            <v>85918.55608260406</v>
          </cell>
        </row>
        <row r="90">
          <cell r="Q90">
            <v>17728.730355354375</v>
          </cell>
          <cell r="R90">
            <v>18688.20708474057</v>
          </cell>
        </row>
      </sheetData>
      <sheetData sheetId="1">
        <row r="5">
          <cell r="T5">
            <v>67000</v>
          </cell>
          <cell r="U5">
            <v>66767</v>
          </cell>
        </row>
        <row r="9">
          <cell r="E9">
            <v>328.71519402985075</v>
          </cell>
          <cell r="F9">
            <v>285.47058407743657</v>
          </cell>
          <cell r="G9">
            <v>97000</v>
          </cell>
          <cell r="H9">
            <v>101621.98469671686</v>
          </cell>
        </row>
        <row r="10">
          <cell r="E10">
            <v>16.343283582089555</v>
          </cell>
          <cell r="F10">
            <v>38.235042695280264</v>
          </cell>
          <cell r="G10">
            <v>95794.520547945198</v>
          </cell>
          <cell r="H10">
            <v>99717.569966374838</v>
          </cell>
        </row>
        <row r="11">
          <cell r="E11">
            <v>0</v>
          </cell>
          <cell r="F11">
            <v>49.119321827868234</v>
          </cell>
        </row>
        <row r="12">
          <cell r="E12">
            <v>27.818953731343285</v>
          </cell>
          <cell r="F12">
            <v>26.980213251294341</v>
          </cell>
          <cell r="G12">
            <v>60000</v>
          </cell>
          <cell r="H12">
            <v>59931.217167333947</v>
          </cell>
        </row>
        <row r="13">
          <cell r="E13">
            <v>22.195970149253732</v>
          </cell>
          <cell r="F13">
            <v>18.309107376003606</v>
          </cell>
          <cell r="G13">
            <v>39540.564711894716</v>
          </cell>
          <cell r="H13">
            <v>37203.146516294953</v>
          </cell>
        </row>
        <row r="14">
          <cell r="E14">
            <v>0</v>
          </cell>
          <cell r="F14">
            <v>0</v>
          </cell>
        </row>
        <row r="15">
          <cell r="E15">
            <v>395.07340149253736</v>
          </cell>
          <cell r="F15">
            <v>418.11426922788303</v>
          </cell>
        </row>
        <row r="16">
          <cell r="E16">
            <v>854.6858208955224</v>
          </cell>
          <cell r="F16">
            <v>856.86493584452649</v>
          </cell>
          <cell r="G16">
            <v>14837.104612355011</v>
          </cell>
          <cell r="H16">
            <v>14650.637128496413</v>
          </cell>
        </row>
        <row r="17">
          <cell r="E17">
            <v>877.63283582089559</v>
          </cell>
          <cell r="F17">
            <v>820.10740856907023</v>
          </cell>
          <cell r="G17">
            <v>13707.875781623216</v>
          </cell>
          <cell r="H17">
            <v>13335.337719336232</v>
          </cell>
        </row>
        <row r="19">
          <cell r="E19">
            <v>3.4081946798358209</v>
          </cell>
          <cell r="F19">
            <v>3.7234157724919319</v>
          </cell>
        </row>
        <row r="20">
          <cell r="Q20">
            <v>63697.561054759048</v>
          </cell>
          <cell r="R20">
            <v>67919.084069933218</v>
          </cell>
        </row>
        <row r="21">
          <cell r="Q21">
            <v>19675.398536632329</v>
          </cell>
          <cell r="R21">
            <v>19622.095610414948</v>
          </cell>
        </row>
        <row r="22">
          <cell r="Q22">
            <v>493.54104477611935</v>
          </cell>
          <cell r="R22">
            <v>452.33065205972838</v>
          </cell>
        </row>
        <row r="50">
          <cell r="Q50">
            <v>94408.668888655069</v>
          </cell>
          <cell r="R50">
            <v>99596.651564493135</v>
          </cell>
        </row>
        <row r="56">
          <cell r="L56">
            <v>-345699.10165780241</v>
          </cell>
        </row>
        <row r="61">
          <cell r="T61">
            <v>98247.172664470636</v>
          </cell>
          <cell r="U61">
            <v>102553.1111077759</v>
          </cell>
        </row>
        <row r="80">
          <cell r="H80">
            <v>230570.68099999998</v>
          </cell>
          <cell r="I80">
            <v>280343.35699999996</v>
          </cell>
          <cell r="L80">
            <v>-49772.676000000014</v>
          </cell>
        </row>
        <row r="85">
          <cell r="H85">
            <v>110834.70188888889</v>
          </cell>
          <cell r="I85">
            <v>109235.13295999999</v>
          </cell>
          <cell r="L85">
            <v>1599.5689288888971</v>
          </cell>
          <cell r="Q85">
            <v>98247.172664470636</v>
          </cell>
          <cell r="R85">
            <v>102553.1111077759</v>
          </cell>
        </row>
        <row r="86">
          <cell r="H86">
            <v>-84225.629909245225</v>
          </cell>
          <cell r="I86">
            <v>-192269.95100000038</v>
          </cell>
          <cell r="K86">
            <v>286900.37253898627</v>
          </cell>
          <cell r="M86">
            <v>-1072.4849008275778</v>
          </cell>
        </row>
        <row r="89">
          <cell r="Q89">
            <v>83866.500636167504</v>
          </cell>
          <cell r="R89">
            <v>87993.510332407895</v>
          </cell>
        </row>
        <row r="90">
          <cell r="Q90">
            <v>14380.672028303132</v>
          </cell>
          <cell r="R90">
            <v>14559.600775368002</v>
          </cell>
        </row>
      </sheetData>
      <sheetData sheetId="2">
        <row r="5">
          <cell r="T5">
            <v>83500</v>
          </cell>
          <cell r="U5">
            <v>73925</v>
          </cell>
        </row>
        <row r="9">
          <cell r="E9">
            <v>270.58758467356762</v>
          </cell>
          <cell r="F9">
            <v>229.48962579284037</v>
          </cell>
          <cell r="G9">
            <v>97000.000000000015</v>
          </cell>
          <cell r="H9">
            <v>100000.00029465236</v>
          </cell>
        </row>
        <row r="10">
          <cell r="E10">
            <v>55.141483148344648</v>
          </cell>
          <cell r="F10">
            <v>98.494033106582037</v>
          </cell>
          <cell r="G10">
            <v>90465.05073599836</v>
          </cell>
          <cell r="H10">
            <v>94854.805349609567</v>
          </cell>
        </row>
        <row r="11">
          <cell r="E11">
            <v>0</v>
          </cell>
          <cell r="F11">
            <v>7.7010670381239592</v>
          </cell>
        </row>
        <row r="12">
          <cell r="E12">
            <v>23.035133958641829</v>
          </cell>
          <cell r="F12">
            <v>25.372886277267625</v>
          </cell>
          <cell r="G12">
            <v>59400.915866761941</v>
          </cell>
          <cell r="H12">
            <v>61120.035279958531</v>
          </cell>
        </row>
        <row r="13">
          <cell r="E13">
            <v>24.948003569446442</v>
          </cell>
          <cell r="F13">
            <v>32.002273237493753</v>
          </cell>
          <cell r="G13">
            <v>32388.930104247615</v>
          </cell>
          <cell r="H13">
            <v>31743.722444016996</v>
          </cell>
        </row>
        <row r="14">
          <cell r="E14">
            <v>0.18594298961827602</v>
          </cell>
          <cell r="F14">
            <v>0</v>
          </cell>
        </row>
        <row r="15">
          <cell r="E15">
            <v>373.89814833961884</v>
          </cell>
          <cell r="F15">
            <v>393.0598854523077</v>
          </cell>
        </row>
        <row r="16">
          <cell r="E16">
            <v>812.8893392748007</v>
          </cell>
          <cell r="F16">
            <v>803.68758638410657</v>
          </cell>
          <cell r="G16">
            <v>11017.653068244021</v>
          </cell>
          <cell r="H16">
            <v>11171.728819777341</v>
          </cell>
        </row>
        <row r="17">
          <cell r="E17">
            <v>899.39158322615879</v>
          </cell>
          <cell r="F17">
            <v>883.30511339815803</v>
          </cell>
          <cell r="G17">
            <v>17777.903808744857</v>
          </cell>
          <cell r="H17">
            <v>17870.886788376745</v>
          </cell>
        </row>
        <row r="19">
          <cell r="E19">
            <v>3.1891856777729872</v>
          </cell>
          <cell r="F19">
            <v>3.1476775353988895</v>
          </cell>
        </row>
        <row r="20">
          <cell r="Q20">
            <v>61329.0746651675</v>
          </cell>
          <cell r="R20">
            <v>63413.142488132748</v>
          </cell>
        </row>
        <row r="21">
          <cell r="Q21">
            <v>20535.605247643445</v>
          </cell>
          <cell r="R21">
            <v>20772.163747751649</v>
          </cell>
        </row>
        <row r="22">
          <cell r="Q22">
            <v>386.82634730538922</v>
          </cell>
          <cell r="R22">
            <v>354.2124474257198</v>
          </cell>
        </row>
        <row r="50">
          <cell r="Q50">
            <v>93122.546762112353</v>
          </cell>
          <cell r="R50">
            <v>98845.671733632655</v>
          </cell>
        </row>
        <row r="56">
          <cell r="L56">
            <v>-307808.88937084447</v>
          </cell>
        </row>
        <row r="61">
          <cell r="T61">
            <v>100395.73038374282</v>
          </cell>
          <cell r="U61">
            <v>106159.44104159619</v>
          </cell>
        </row>
        <row r="80">
          <cell r="H80">
            <v>312544.90600000008</v>
          </cell>
          <cell r="I80">
            <v>404428.47199999995</v>
          </cell>
          <cell r="L80">
            <v>-91883.565999999933</v>
          </cell>
        </row>
        <row r="85">
          <cell r="H85">
            <v>184426.35915842029</v>
          </cell>
          <cell r="I85">
            <v>303449.90424</v>
          </cell>
          <cell r="L85">
            <v>-119023.54508157972</v>
          </cell>
          <cell r="Q85">
            <v>100395.73038374282</v>
          </cell>
          <cell r="R85">
            <v>106159.44104159619</v>
          </cell>
        </row>
        <row r="86">
          <cell r="H86">
            <v>110339.56724772422</v>
          </cell>
          <cell r="I86">
            <v>-51934.856000000436</v>
          </cell>
          <cell r="K86">
            <v>426082.31038181047</v>
          </cell>
          <cell r="M86">
            <v>-69640.733177111833</v>
          </cell>
        </row>
        <row r="89">
          <cell r="Q89">
            <v>82251.506260116337</v>
          </cell>
          <cell r="R89">
            <v>84539.518683310118</v>
          </cell>
        </row>
        <row r="90">
          <cell r="Q90">
            <v>18144.224123626482</v>
          </cell>
          <cell r="R90">
            <v>21619.922358286072</v>
          </cell>
        </row>
      </sheetData>
      <sheetData sheetId="3"/>
      <sheetData sheetId="4"/>
      <sheetData sheetId="5"/>
      <sheetData sheetId="6">
        <row r="5">
          <cell r="T5">
            <v>26499.8</v>
          </cell>
          <cell r="U5">
            <v>29317</v>
          </cell>
        </row>
        <row r="9">
          <cell r="E9">
            <v>348.33404767053003</v>
          </cell>
          <cell r="F9">
            <v>332.76507515081278</v>
          </cell>
          <cell r="G9">
            <v>100365.82512645423</v>
          </cell>
          <cell r="H9">
            <v>101905.98155472244</v>
          </cell>
        </row>
        <row r="10">
          <cell r="E10">
            <v>1.8309572147714326</v>
          </cell>
          <cell r="F10">
            <v>15.385774513479436</v>
          </cell>
          <cell r="G10">
            <v>94500</v>
          </cell>
          <cell r="H10">
            <v>97036.822724100872</v>
          </cell>
        </row>
        <row r="11">
          <cell r="E11">
            <v>0</v>
          </cell>
          <cell r="F11">
            <v>0.55284414300807738</v>
          </cell>
        </row>
        <row r="12">
          <cell r="E12">
            <v>11.012401501351684</v>
          </cell>
          <cell r="F12">
            <v>22.541293752769164</v>
          </cell>
          <cell r="G12">
            <v>60237.641252246787</v>
          </cell>
          <cell r="H12">
            <v>60844.519848602344</v>
          </cell>
        </row>
        <row r="13">
          <cell r="E13">
            <v>10.836283274008229</v>
          </cell>
          <cell r="F13">
            <v>21.965720663917374</v>
          </cell>
          <cell r="G13">
            <v>36420.435600197241</v>
          </cell>
          <cell r="H13">
            <v>31736.858468104896</v>
          </cell>
        </row>
        <row r="14">
          <cell r="E14">
            <v>0</v>
          </cell>
          <cell r="F14">
            <v>0</v>
          </cell>
        </row>
        <row r="15">
          <cell r="E15">
            <v>372.01368966066138</v>
          </cell>
          <cell r="F15">
            <v>393.21070822398679</v>
          </cell>
        </row>
        <row r="16">
          <cell r="E16">
            <v>809.64862728523735</v>
          </cell>
          <cell r="F16">
            <v>791.84888040625742</v>
          </cell>
          <cell r="G16">
            <v>13512.017529123115</v>
          </cell>
          <cell r="H16">
            <v>12688.409494888405</v>
          </cell>
        </row>
        <row r="17">
          <cell r="E17">
            <v>925.73628354427831</v>
          </cell>
          <cell r="F17">
            <v>939.81902457312253</v>
          </cell>
          <cell r="G17">
            <v>14902.491126929228</v>
          </cell>
          <cell r="H17">
            <v>14382.341579743856</v>
          </cell>
        </row>
        <row r="19">
          <cell r="E19">
            <v>2.9877358973778421</v>
          </cell>
          <cell r="F19">
            <v>3.181767151767152</v>
          </cell>
        </row>
        <row r="20">
          <cell r="Q20">
            <v>63667.654048955039</v>
          </cell>
          <cell r="R20">
            <v>64211.002181248085</v>
          </cell>
        </row>
        <row r="21">
          <cell r="Q21">
            <v>17962.741381481206</v>
          </cell>
          <cell r="R21">
            <v>20177.321495518219</v>
          </cell>
        </row>
        <row r="22">
          <cell r="Q22">
            <v>390.19162408772894</v>
          </cell>
          <cell r="R22">
            <v>293.24614021335333</v>
          </cell>
        </row>
        <row r="50">
          <cell r="Q50">
            <v>99688.136815905818</v>
          </cell>
          <cell r="R50">
            <v>102022.59674176067</v>
          </cell>
        </row>
        <row r="56">
          <cell r="L56">
            <v>-68285.857824399354</v>
          </cell>
        </row>
        <row r="61">
          <cell r="T61">
            <v>106905.07625566988</v>
          </cell>
          <cell r="U61">
            <v>105358.92304806084</v>
          </cell>
        </row>
        <row r="80">
          <cell r="H80">
            <v>125321.632</v>
          </cell>
          <cell r="I80">
            <v>148463.05900000001</v>
          </cell>
          <cell r="L80">
            <v>-23141.427</v>
          </cell>
        </row>
        <row r="85">
          <cell r="H85">
            <v>87518.713731125201</v>
          </cell>
          <cell r="I85">
            <v>87116.059250000006</v>
          </cell>
          <cell r="L85">
            <v>402.65448112520153</v>
          </cell>
          <cell r="Q85">
            <v>106905.07625566988</v>
          </cell>
          <cell r="R85">
            <v>105358.92304806084</v>
          </cell>
        </row>
        <row r="86">
          <cell r="H86">
            <v>-21592.892965266001</v>
          </cell>
          <cell r="I86">
            <v>-137614.53500000032</v>
          </cell>
          <cell r="K86">
            <v>-45328.573587474137</v>
          </cell>
          <cell r="M86">
            <v>20331.561896013503</v>
          </cell>
        </row>
        <row r="89">
          <cell r="Q89">
            <v>82020.587054523974</v>
          </cell>
          <cell r="R89">
            <v>84681.569816979652</v>
          </cell>
        </row>
        <row r="90">
          <cell r="Q90">
            <v>24884.489201145901</v>
          </cell>
          <cell r="R90">
            <v>20677.353231081186</v>
          </cell>
        </row>
      </sheetData>
      <sheetData sheetId="7">
        <row r="2">
          <cell r="O2">
            <v>29129</v>
          </cell>
        </row>
        <row r="5">
          <cell r="T5">
            <v>28000</v>
          </cell>
          <cell r="U5">
            <v>29129</v>
          </cell>
        </row>
        <row r="9">
          <cell r="E9">
            <v>338.35714285714283</v>
          </cell>
          <cell r="F9">
            <v>308.31742543332723</v>
          </cell>
          <cell r="G9">
            <v>97000</v>
          </cell>
          <cell r="H9">
            <v>99711.619108680854</v>
          </cell>
        </row>
        <row r="10">
          <cell r="E10">
            <v>0</v>
          </cell>
          <cell r="F10">
            <v>18.992964475716494</v>
          </cell>
          <cell r="G10">
            <v>0</v>
          </cell>
          <cell r="H10">
            <v>100500.00540335383</v>
          </cell>
        </row>
        <row r="11">
          <cell r="E11">
            <v>0</v>
          </cell>
          <cell r="F11">
            <v>46.992551913506084</v>
          </cell>
        </row>
        <row r="12">
          <cell r="E12">
            <v>26</v>
          </cell>
          <cell r="F12">
            <v>21.058289342714929</v>
          </cell>
          <cell r="G12">
            <v>60000</v>
          </cell>
          <cell r="H12">
            <v>59953.241980720049</v>
          </cell>
        </row>
        <row r="13">
          <cell r="E13">
            <v>20.285714285714285</v>
          </cell>
          <cell r="F13">
            <v>21.087169727132331</v>
          </cell>
          <cell r="G13">
            <v>38500</v>
          </cell>
          <cell r="H13">
            <v>36517.646910226693</v>
          </cell>
        </row>
        <row r="14">
          <cell r="E14">
            <v>0</v>
          </cell>
          <cell r="F14">
            <v>0</v>
          </cell>
        </row>
        <row r="15">
          <cell r="E15">
            <v>384.64285714285711</v>
          </cell>
          <cell r="F15">
            <v>416.4484008923971</v>
          </cell>
        </row>
        <row r="16">
          <cell r="E16">
            <v>845.28571428571433</v>
          </cell>
          <cell r="F16">
            <v>855.09593272696111</v>
          </cell>
          <cell r="G16">
            <v>14133.333333333332</v>
          </cell>
          <cell r="H16">
            <v>14000.000040139324</v>
          </cell>
        </row>
        <row r="17">
          <cell r="E17">
            <v>879.35714285714289</v>
          </cell>
          <cell r="F17">
            <v>779.14690235112403</v>
          </cell>
          <cell r="G17">
            <v>13548.387096774195</v>
          </cell>
          <cell r="H17">
            <v>13586.006529827939</v>
          </cell>
        </row>
        <row r="19">
          <cell r="E19">
            <v>3.46</v>
          </cell>
          <cell r="F19">
            <v>4.0421729878153405</v>
          </cell>
        </row>
        <row r="20">
          <cell r="Q20">
            <v>62205.41858678955</v>
          </cell>
          <cell r="R20">
            <v>67226.174875579207</v>
          </cell>
        </row>
        <row r="21">
          <cell r="Q21">
            <v>19140.227525252525</v>
          </cell>
          <cell r="R21">
            <v>19150.477672902009</v>
          </cell>
        </row>
        <row r="22">
          <cell r="Q22">
            <v>410.71428571428572</v>
          </cell>
          <cell r="R22">
            <v>328.71642354556371</v>
          </cell>
        </row>
        <row r="50">
          <cell r="Q50">
            <v>90022.459138827791</v>
          </cell>
          <cell r="R50">
            <v>95013.631474171954</v>
          </cell>
        </row>
        <row r="56">
          <cell r="L56">
            <v>-145389.33078508536</v>
          </cell>
        </row>
        <row r="80">
          <cell r="H80">
            <v>70837.282999999996</v>
          </cell>
          <cell r="I80">
            <v>92891.292000000001</v>
          </cell>
          <cell r="L80">
            <v>-22054.008999999998</v>
          </cell>
        </row>
        <row r="85">
          <cell r="H85">
            <v>30891.689444444441</v>
          </cell>
          <cell r="I85">
            <v>31163.408960000001</v>
          </cell>
          <cell r="L85">
            <v>-271.71951555555734</v>
          </cell>
          <cell r="Q85">
            <v>97630.95310714285</v>
          </cell>
          <cell r="R85">
            <v>104538.95660681794</v>
          </cell>
        </row>
        <row r="86">
          <cell r="H86">
            <v>111308.85866837716</v>
          </cell>
          <cell r="I86">
            <v>153407.02300000007</v>
          </cell>
          <cell r="K86">
            <v>201223.23394203573</v>
          </cell>
          <cell r="M86">
            <v>8589.9896902277105</v>
          </cell>
        </row>
        <row r="89">
          <cell r="Q89">
            <v>81756.360397756362</v>
          </cell>
          <cell r="R89">
            <v>86705.368972026772</v>
          </cell>
        </row>
        <row r="92">
          <cell r="H92">
            <v>-80428.067296648398</v>
          </cell>
          <cell r="I92">
            <v>-175968.57824830464</v>
          </cell>
        </row>
      </sheetData>
      <sheetData sheetId="8">
        <row r="2">
          <cell r="O2">
            <v>21333</v>
          </cell>
        </row>
        <row r="5">
          <cell r="T5">
            <v>21999.999999999996</v>
          </cell>
          <cell r="U5">
            <v>21471</v>
          </cell>
        </row>
        <row r="9">
          <cell r="E9">
            <v>329.13636363636363</v>
          </cell>
          <cell r="F9">
            <v>232.83523742558464</v>
          </cell>
          <cell r="G9">
            <v>97000.000000000015</v>
          </cell>
          <cell r="H9">
            <v>106733.21943502633</v>
          </cell>
        </row>
        <row r="10">
          <cell r="E10">
            <v>38.863636363636367</v>
          </cell>
          <cell r="F10">
            <v>79.082455819622183</v>
          </cell>
          <cell r="G10">
            <v>97000</v>
          </cell>
          <cell r="H10">
            <v>100411.51738441442</v>
          </cell>
        </row>
        <row r="11">
          <cell r="E11">
            <v>0</v>
          </cell>
          <cell r="F11">
            <v>59.397928092626444</v>
          </cell>
        </row>
        <row r="12">
          <cell r="E12">
            <v>31.863636363636363</v>
          </cell>
          <cell r="F12">
            <v>38.650875169924483</v>
          </cell>
          <cell r="G12">
            <v>60000</v>
          </cell>
          <cell r="H12">
            <v>59930.554901991869</v>
          </cell>
        </row>
        <row r="13">
          <cell r="E13">
            <v>24.090909090909093</v>
          </cell>
          <cell r="F13">
            <v>17.582460975952745</v>
          </cell>
          <cell r="G13">
            <v>39000</v>
          </cell>
          <cell r="H13">
            <v>36933.925452530122</v>
          </cell>
        </row>
        <row r="14">
          <cell r="E14">
            <v>0</v>
          </cell>
          <cell r="F14">
            <v>0</v>
          </cell>
        </row>
        <row r="15">
          <cell r="E15">
            <v>423.9545454545455</v>
          </cell>
          <cell r="F15">
            <v>427.54895748371047</v>
          </cell>
        </row>
        <row r="16">
          <cell r="E16">
            <v>880.27272727272725</v>
          </cell>
          <cell r="F16">
            <v>838.16106501664115</v>
          </cell>
          <cell r="G16">
            <v>15333.333333333336</v>
          </cell>
          <cell r="H16">
            <v>15086.999741058546</v>
          </cell>
        </row>
        <row r="17">
          <cell r="E17">
            <v>850.22727272727275</v>
          </cell>
          <cell r="F17">
            <v>865.72269113579887</v>
          </cell>
          <cell r="G17">
            <v>13953.691752307874</v>
          </cell>
          <cell r="H17">
            <v>13326.262237458399</v>
          </cell>
        </row>
        <row r="19">
          <cell r="E19">
            <v>3.5781818181818181</v>
          </cell>
          <cell r="F19">
            <v>3.8147517929967636</v>
          </cell>
        </row>
        <row r="20">
          <cell r="Q20">
            <v>66914.360798193287</v>
          </cell>
          <cell r="R20">
            <v>69649.854357099335</v>
          </cell>
        </row>
        <row r="21">
          <cell r="Q21">
            <v>20068.923013833304</v>
          </cell>
          <cell r="R21">
            <v>19498.613931467677</v>
          </cell>
        </row>
        <row r="22">
          <cell r="Q22">
            <v>693.63636363636374</v>
          </cell>
          <cell r="R22">
            <v>714.8922795668683</v>
          </cell>
        </row>
        <row r="50">
          <cell r="Q50">
            <v>96784.500130208413</v>
          </cell>
          <cell r="R50">
            <v>101275.51877373084</v>
          </cell>
        </row>
        <row r="56">
          <cell r="L56">
            <v>-95806.942892264444</v>
          </cell>
        </row>
        <row r="80">
          <cell r="H80">
            <v>69038.584000000003</v>
          </cell>
          <cell r="I80">
            <v>85154.361000000004</v>
          </cell>
          <cell r="L80">
            <v>-16115.776999999998</v>
          </cell>
        </row>
        <row r="85">
          <cell r="H85">
            <v>36083.757555555552</v>
          </cell>
          <cell r="I85">
            <v>39514.569829999993</v>
          </cell>
          <cell r="L85">
            <v>-3430.8122744444418</v>
          </cell>
          <cell r="Q85">
            <v>99931.965119069719</v>
          </cell>
          <cell r="R85">
            <v>103435.4711479867</v>
          </cell>
        </row>
        <row r="86">
          <cell r="H86">
            <v>-35878.111800606566</v>
          </cell>
          <cell r="I86">
            <v>-78239.109000000666</v>
          </cell>
          <cell r="K86">
            <v>74740.294114885881</v>
          </cell>
          <cell r="M86">
            <v>-1747.759147570483</v>
          </cell>
        </row>
        <row r="89">
          <cell r="Q89">
            <v>87676.920175662963</v>
          </cell>
          <cell r="R89">
            <v>89863.360568133867</v>
          </cell>
        </row>
        <row r="92">
          <cell r="H92">
            <v>-190079.15377520226</v>
          </cell>
          <cell r="I92">
            <v>-318233.93206010479</v>
          </cell>
        </row>
      </sheetData>
      <sheetData sheetId="9">
        <row r="2">
          <cell r="O2">
            <v>8475</v>
          </cell>
        </row>
        <row r="5">
          <cell r="T5">
            <v>9000</v>
          </cell>
          <cell r="U5">
            <v>8475</v>
          </cell>
        </row>
        <row r="9">
          <cell r="E9">
            <v>308.10199999999998</v>
          </cell>
          <cell r="F9">
            <v>302.69569793510323</v>
          </cell>
          <cell r="G9">
            <v>97000.000000000044</v>
          </cell>
          <cell r="H9">
            <v>100000.0031184877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75.138880235988225</v>
          </cell>
        </row>
        <row r="12">
          <cell r="E12">
            <v>30.5411</v>
          </cell>
          <cell r="F12">
            <v>25.543725073746309</v>
          </cell>
          <cell r="G12">
            <v>59999.999999999993</v>
          </cell>
          <cell r="H12">
            <v>59935.365846391607</v>
          </cell>
        </row>
        <row r="13">
          <cell r="E13">
            <v>25.57</v>
          </cell>
          <cell r="F13">
            <v>7.7441935103244841</v>
          </cell>
          <cell r="G13">
            <v>42000</v>
          </cell>
          <cell r="H13">
            <v>40126.194462338819</v>
          </cell>
        </row>
        <row r="14">
          <cell r="E14">
            <v>0</v>
          </cell>
          <cell r="F14">
            <v>0</v>
          </cell>
        </row>
        <row r="15">
          <cell r="E15">
            <v>364.2131</v>
          </cell>
          <cell r="F15">
            <v>411.12249675516222</v>
          </cell>
        </row>
        <row r="16">
          <cell r="E16">
            <v>827.55</v>
          </cell>
          <cell r="F16">
            <v>910.50914454277279</v>
          </cell>
          <cell r="G16">
            <v>15666.666666666668</v>
          </cell>
          <cell r="H16">
            <v>15706.224596047594</v>
          </cell>
        </row>
        <row r="17">
          <cell r="E17">
            <v>911.59999999999991</v>
          </cell>
          <cell r="F17">
            <v>802.37876106194722</v>
          </cell>
          <cell r="G17">
            <v>13225.806451612903</v>
          </cell>
          <cell r="H17">
            <v>11708.798322392411</v>
          </cell>
        </row>
        <row r="19">
          <cell r="E19">
            <v>2.9132270610000002</v>
          </cell>
          <cell r="F19">
            <v>2.7029970501474918</v>
          </cell>
        </row>
        <row r="20">
          <cell r="Q20">
            <v>60290.138163140342</v>
          </cell>
          <cell r="R20">
            <v>67269.801769911501</v>
          </cell>
        </row>
        <row r="21">
          <cell r="Q21">
            <v>20423.113056327162</v>
          </cell>
          <cell r="R21">
            <v>20605.260294985252</v>
          </cell>
        </row>
        <row r="22">
          <cell r="Q22">
            <v>480.80555555555554</v>
          </cell>
          <cell r="R22">
            <v>276.21510324483774</v>
          </cell>
        </row>
        <row r="50">
          <cell r="Q50">
            <v>98683.856978726762</v>
          </cell>
          <cell r="R50">
            <v>105888.77179941002</v>
          </cell>
        </row>
        <row r="56">
          <cell r="L56">
            <v>-61061.645115290601</v>
          </cell>
        </row>
        <row r="80">
          <cell r="H80">
            <v>52195.144000000008</v>
          </cell>
          <cell r="I80">
            <v>56125.551999999996</v>
          </cell>
          <cell r="L80">
            <v>-3930.4079999999926</v>
          </cell>
        </row>
        <row r="85">
          <cell r="H85">
            <v>25180.809333333331</v>
          </cell>
          <cell r="I85">
            <v>20632.735989999997</v>
          </cell>
          <cell r="L85">
            <v>4548.0733433333353</v>
          </cell>
          <cell r="Q85">
            <v>93873.497366666677</v>
          </cell>
          <cell r="R85">
            <v>97714.336283185839</v>
          </cell>
        </row>
        <row r="86">
          <cell r="H86">
            <v>-120669.18984187415</v>
          </cell>
          <cell r="I86">
            <v>-146036.62099999993</v>
          </cell>
          <cell r="K86">
            <v>32551.109817499899</v>
          </cell>
          <cell r="M86">
            <v>2525.4387963315385</v>
          </cell>
        </row>
        <row r="89">
          <cell r="Q89">
            <v>81194.056775023069</v>
          </cell>
          <cell r="R89">
            <v>88151.277168141576</v>
          </cell>
        </row>
        <row r="92">
          <cell r="H92">
            <v>-179927.01490971693</v>
          </cell>
          <cell r="I92">
            <v>-235611.38693484798</v>
          </cell>
        </row>
      </sheetData>
      <sheetData sheetId="10">
        <row r="2">
          <cell r="O2">
            <v>7692</v>
          </cell>
        </row>
        <row r="5">
          <cell r="T5">
            <v>8000</v>
          </cell>
          <cell r="U5">
            <v>7692</v>
          </cell>
        </row>
        <row r="9">
          <cell r="E9">
            <v>317</v>
          </cell>
          <cell r="F9">
            <v>325.9339599583983</v>
          </cell>
          <cell r="G9">
            <v>97000</v>
          </cell>
          <cell r="H9">
            <v>100000.00000000001</v>
          </cell>
        </row>
        <row r="10">
          <cell r="E10">
            <v>30</v>
          </cell>
          <cell r="F10">
            <v>39.959180967238687</v>
          </cell>
          <cell r="G10">
            <v>91500</v>
          </cell>
          <cell r="H10">
            <v>94500.000357879515</v>
          </cell>
        </row>
        <row r="11">
          <cell r="E11">
            <v>0</v>
          </cell>
          <cell r="F11">
            <v>0</v>
          </cell>
        </row>
        <row r="12">
          <cell r="E12">
            <v>20</v>
          </cell>
          <cell r="F12">
            <v>18.625982839313572</v>
          </cell>
          <cell r="G12">
            <v>60000</v>
          </cell>
          <cell r="H12">
            <v>59834.44248964166</v>
          </cell>
        </row>
        <row r="13">
          <cell r="E13">
            <v>19.875</v>
          </cell>
          <cell r="F13">
            <v>21.442277691107645</v>
          </cell>
          <cell r="G13">
            <v>41500</v>
          </cell>
          <cell r="H13">
            <v>39205.700462002977</v>
          </cell>
        </row>
        <row r="14">
          <cell r="E14">
            <v>0</v>
          </cell>
          <cell r="F14">
            <v>0</v>
          </cell>
        </row>
        <row r="15">
          <cell r="E15">
            <v>386.875</v>
          </cell>
          <cell r="F15">
            <v>405.96140145605818</v>
          </cell>
        </row>
        <row r="16">
          <cell r="E16">
            <v>847.75</v>
          </cell>
          <cell r="F16">
            <v>856.33385335413413</v>
          </cell>
          <cell r="G16">
            <v>14965.143025656149</v>
          </cell>
          <cell r="H16">
            <v>14690.348903584681</v>
          </cell>
        </row>
        <row r="17">
          <cell r="E17">
            <v>908.75</v>
          </cell>
          <cell r="F17">
            <v>868.27743109724292</v>
          </cell>
          <cell r="G17">
            <v>14159.59961626322</v>
          </cell>
          <cell r="H17">
            <v>14164.536540301477</v>
          </cell>
        </row>
        <row r="19">
          <cell r="E19">
            <v>3.3162500000000001</v>
          </cell>
          <cell r="F19">
            <v>3.3870384815392613</v>
          </cell>
        </row>
        <row r="20">
          <cell r="Q20">
            <v>63907.211151279196</v>
          </cell>
          <cell r="R20">
            <v>66458.872724909001</v>
          </cell>
        </row>
        <row r="21">
          <cell r="Q21">
            <v>19625.125929502272</v>
          </cell>
          <cell r="R21">
            <v>20667.662766510664</v>
          </cell>
        </row>
        <row r="22">
          <cell r="Q22">
            <v>247.5</v>
          </cell>
          <cell r="R22">
            <v>386.39885595423817</v>
          </cell>
        </row>
        <row r="50">
          <cell r="Q50">
            <v>98417.280497448126</v>
          </cell>
          <cell r="R50">
            <v>105366.97100884037</v>
          </cell>
        </row>
        <row r="56">
          <cell r="L56">
            <v>-53457.019233628896</v>
          </cell>
        </row>
        <row r="80">
          <cell r="H80">
            <v>38499.67</v>
          </cell>
          <cell r="I80">
            <v>46172.152000000002</v>
          </cell>
          <cell r="L80">
            <v>-7672.4820000000009</v>
          </cell>
        </row>
        <row r="85">
          <cell r="H85">
            <v>18678.445555555558</v>
          </cell>
          <cell r="I85">
            <v>17924.418180000001</v>
          </cell>
          <cell r="L85">
            <v>754.02737555555677</v>
          </cell>
          <cell r="Q85">
            <v>100691.14657500002</v>
          </cell>
          <cell r="R85">
            <v>97917.06539261571</v>
          </cell>
        </row>
        <row r="86">
          <cell r="H86">
            <v>-38987.186935140518</v>
          </cell>
          <cell r="I86">
            <v>-121401.24400000004</v>
          </cell>
          <cell r="K86">
            <v>-21338.232454900117</v>
          </cell>
          <cell r="M86">
            <v>-700.35075188597693</v>
          </cell>
        </row>
        <row r="89">
          <cell r="Q89">
            <v>83779.837080781464</v>
          </cell>
          <cell r="R89">
            <v>87512.934347373899</v>
          </cell>
        </row>
        <row r="92">
          <cell r="H92">
            <v>-95486.27955091653</v>
          </cell>
          <cell r="I92">
            <v>-202868.92483086855</v>
          </cell>
        </row>
      </sheetData>
      <sheetData sheetId="11">
        <row r="2">
          <cell r="O2">
            <v>19626</v>
          </cell>
        </row>
        <row r="5">
          <cell r="T5">
            <v>16000</v>
          </cell>
          <cell r="U5">
            <v>19626</v>
          </cell>
        </row>
        <row r="9">
          <cell r="E9">
            <v>231.88000000000002</v>
          </cell>
          <cell r="F9">
            <v>126.16570242461275</v>
          </cell>
          <cell r="G9">
            <v>96999.999999999985</v>
          </cell>
          <cell r="H9">
            <v>100000.00040373299</v>
          </cell>
        </row>
        <row r="10">
          <cell r="E10">
            <v>143.92000000000002</v>
          </cell>
          <cell r="F10">
            <v>231.84276640179286</v>
          </cell>
          <cell r="G10">
            <v>89600.000000000015</v>
          </cell>
          <cell r="H10">
            <v>95728.044133590898</v>
          </cell>
        </row>
        <row r="11">
          <cell r="E11">
            <v>0</v>
          </cell>
          <cell r="F11">
            <v>28.456295843520781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24</v>
          </cell>
          <cell r="F13">
            <v>32.815914323553393</v>
          </cell>
          <cell r="G13">
            <v>34500</v>
          </cell>
          <cell r="H13">
            <v>32524.68796548402</v>
          </cell>
        </row>
        <row r="14">
          <cell r="E14">
            <v>0</v>
          </cell>
          <cell r="F14">
            <v>0</v>
          </cell>
        </row>
        <row r="15">
          <cell r="E15">
            <v>399.80000000000007</v>
          </cell>
          <cell r="F15">
            <v>419.28067899347974</v>
          </cell>
        </row>
        <row r="16">
          <cell r="E16">
            <v>850.4</v>
          </cell>
          <cell r="F16">
            <v>889.96994702526467</v>
          </cell>
          <cell r="G16">
            <v>11715.886274509803</v>
          </cell>
          <cell r="H16">
            <v>11835.424616340877</v>
          </cell>
        </row>
        <row r="17">
          <cell r="E17">
            <v>870.2</v>
          </cell>
          <cell r="F17">
            <v>824.76059494702565</v>
          </cell>
          <cell r="G17">
            <v>18200.069930069931</v>
          </cell>
          <cell r="H17">
            <v>18193.024450798857</v>
          </cell>
        </row>
        <row r="19">
          <cell r="E19">
            <v>3.0551786156250005</v>
          </cell>
          <cell r="F19">
            <v>3.0251293806030981</v>
          </cell>
        </row>
        <row r="20">
          <cell r="Q20">
            <v>64746.788775021247</v>
          </cell>
          <cell r="R20">
            <v>68338.279237978815</v>
          </cell>
        </row>
        <row r="21">
          <cell r="Q21">
            <v>22028.280902777777</v>
          </cell>
          <cell r="R21">
            <v>22361.911063569682</v>
          </cell>
        </row>
        <row r="22">
          <cell r="Q22">
            <v>593.75</v>
          </cell>
          <cell r="R22">
            <v>549.93643031784848</v>
          </cell>
        </row>
        <row r="50">
          <cell r="Q50">
            <v>96357.352162174022</v>
          </cell>
          <cell r="R50">
            <v>100079.61578035861</v>
          </cell>
        </row>
        <row r="56">
          <cell r="L56">
            <v>-8055.1036451727687</v>
          </cell>
        </row>
        <row r="80">
          <cell r="H80">
            <v>59089.377999999997</v>
          </cell>
          <cell r="I80">
            <v>61815.733000000007</v>
          </cell>
          <cell r="L80">
            <v>-2726.3550000000014</v>
          </cell>
        </row>
        <row r="85">
          <cell r="H85">
            <v>47657.051666666666</v>
          </cell>
          <cell r="I85">
            <v>113049.11181999999</v>
          </cell>
          <cell r="L85">
            <v>-65392.060153333332</v>
          </cell>
          <cell r="Q85">
            <v>107714.30979375</v>
          </cell>
          <cell r="R85">
            <v>116262.34841536736</v>
          </cell>
        </row>
        <row r="86">
          <cell r="H86">
            <v>74964.892438548966</v>
          </cell>
          <cell r="I86">
            <v>207735.50799999991</v>
          </cell>
          <cell r="K86">
            <v>167763.8059878624</v>
          </cell>
          <cell r="M86">
            <v>41180.328372094431</v>
          </cell>
        </row>
        <row r="89">
          <cell r="Q89">
            <v>87368.819677799023</v>
          </cell>
          <cell r="R89">
            <v>91250.126731866345</v>
          </cell>
        </row>
        <row r="92">
          <cell r="H92">
            <v>-53505.451793205197</v>
          </cell>
          <cell r="I92">
            <v>-50493.193359360506</v>
          </cell>
        </row>
      </sheetData>
      <sheetData sheetId="12">
        <row r="2">
          <cell r="O2">
            <v>11794</v>
          </cell>
        </row>
        <row r="5">
          <cell r="T5">
            <v>16000</v>
          </cell>
          <cell r="U5">
            <v>11794</v>
          </cell>
        </row>
        <row r="9">
          <cell r="E9">
            <v>270.27731300000005</v>
          </cell>
          <cell r="F9">
            <v>255.25119661016947</v>
          </cell>
          <cell r="G9">
            <v>97000</v>
          </cell>
          <cell r="H9">
            <v>100000.00033200927</v>
          </cell>
        </row>
        <row r="10">
          <cell r="E10">
            <v>61.492000449999992</v>
          </cell>
          <cell r="F10">
            <v>94.105081355932242</v>
          </cell>
          <cell r="G10">
            <v>89100.000000000015</v>
          </cell>
          <cell r="H10">
            <v>92826.169548149148</v>
          </cell>
        </row>
        <row r="11">
          <cell r="E11">
            <v>0</v>
          </cell>
          <cell r="F11">
            <v>0</v>
          </cell>
        </row>
        <row r="12">
          <cell r="E12">
            <v>20.493715099999999</v>
          </cell>
          <cell r="F12">
            <v>10.436102542372881</v>
          </cell>
          <cell r="G12">
            <v>61000.000000000022</v>
          </cell>
          <cell r="H12">
            <v>62999.938041029513</v>
          </cell>
        </row>
        <row r="13">
          <cell r="E13">
            <v>22.322111450000001</v>
          </cell>
          <cell r="F13">
            <v>27.821782203389834</v>
          </cell>
          <cell r="G13">
            <v>32500.000000000007</v>
          </cell>
          <cell r="H13">
            <v>31359.747604174183</v>
          </cell>
        </row>
        <row r="14">
          <cell r="E14">
            <v>0</v>
          </cell>
          <cell r="F14">
            <v>0</v>
          </cell>
        </row>
        <row r="15">
          <cell r="E15">
            <v>374.58514000000002</v>
          </cell>
          <cell r="F15">
            <v>387.61416271186448</v>
          </cell>
        </row>
        <row r="16">
          <cell r="E16">
            <v>824.5</v>
          </cell>
          <cell r="F16">
            <v>803.28389830508468</v>
          </cell>
          <cell r="G16">
            <v>10666.666666666666</v>
          </cell>
          <cell r="H16">
            <v>10675.766530396942</v>
          </cell>
        </row>
        <row r="17">
          <cell r="E17">
            <v>907.3</v>
          </cell>
          <cell r="F17">
            <v>924.45296610169498</v>
          </cell>
          <cell r="G17">
            <v>17845.172021139711</v>
          </cell>
          <cell r="H17">
            <v>16910.731816204636</v>
          </cell>
        </row>
        <row r="19">
          <cell r="E19">
            <v>3.34</v>
          </cell>
          <cell r="F19">
            <v>3.2386694915254264</v>
          </cell>
        </row>
        <row r="20">
          <cell r="Q20">
            <v>61606.713085766729</v>
          </cell>
          <cell r="R20">
            <v>62920.172203389833</v>
          </cell>
        </row>
        <row r="21">
          <cell r="Q21">
            <v>17310.794408051857</v>
          </cell>
          <cell r="R21">
            <v>18074.297881355931</v>
          </cell>
        </row>
        <row r="22">
          <cell r="Q22">
            <v>225</v>
          </cell>
          <cell r="R22">
            <v>284.23788135593219</v>
          </cell>
        </row>
        <row r="50">
          <cell r="Q50">
            <v>87451.116243818586</v>
          </cell>
          <cell r="R50">
            <v>94610.558983050854</v>
          </cell>
        </row>
        <row r="56">
          <cell r="L56">
            <v>-48028.612520403527</v>
          </cell>
        </row>
        <row r="80">
          <cell r="H80">
            <v>54497.189000000013</v>
          </cell>
          <cell r="I80">
            <v>67848.664000000004</v>
          </cell>
          <cell r="L80">
            <v>-13351.474999999995</v>
          </cell>
        </row>
        <row r="85">
          <cell r="H85">
            <v>28639.063888888886</v>
          </cell>
          <cell r="I85">
            <v>66267.775500000003</v>
          </cell>
          <cell r="L85">
            <v>-37628.71161111111</v>
          </cell>
          <cell r="Q85">
            <v>100042.91382500003</v>
          </cell>
          <cell r="R85">
            <v>102387.1036120061</v>
          </cell>
        </row>
        <row r="86">
          <cell r="H86">
            <v>118332.50841001412</v>
          </cell>
          <cell r="I86">
            <v>-5990.0169999999052</v>
          </cell>
          <cell r="K86">
            <v>27647.374347949688</v>
          </cell>
          <cell r="M86">
            <v>-52961.100626449101</v>
          </cell>
        </row>
        <row r="89">
          <cell r="Q89">
            <v>79142.507493818586</v>
          </cell>
          <cell r="R89">
            <v>81278.707966101691</v>
          </cell>
        </row>
        <row r="92">
          <cell r="H92">
            <v>-988.19838981001521</v>
          </cell>
          <cell r="I92">
            <v>-142649.57336355353</v>
          </cell>
        </row>
      </sheetData>
      <sheetData sheetId="13">
        <row r="2">
          <cell r="O2">
            <v>5282</v>
          </cell>
        </row>
        <row r="5">
          <cell r="T5">
            <v>7000</v>
          </cell>
          <cell r="U5">
            <v>5282</v>
          </cell>
        </row>
        <row r="9">
          <cell r="E9">
            <v>210.74896020539154</v>
          </cell>
          <cell r="F9">
            <v>188.05944528587645</v>
          </cell>
          <cell r="G9">
            <v>97000.000000000015</v>
          </cell>
          <cell r="H9">
            <v>100000.00000000006</v>
          </cell>
        </row>
        <row r="10">
          <cell r="E10">
            <v>123.91311938382543</v>
          </cell>
          <cell r="F10">
            <v>127.57479553199541</v>
          </cell>
          <cell r="G10">
            <v>89100</v>
          </cell>
          <cell r="H10">
            <v>92100.006756695919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6.4708462703521406</v>
          </cell>
          <cell r="G12">
            <v>0</v>
          </cell>
          <cell r="H12">
            <v>62001.415488628831</v>
          </cell>
        </row>
        <row r="13">
          <cell r="E13">
            <v>30.937920410783057</v>
          </cell>
          <cell r="F13">
            <v>40.401374479363881</v>
          </cell>
          <cell r="G13">
            <v>32500</v>
          </cell>
          <cell r="H13">
            <v>31575.670597280994</v>
          </cell>
        </row>
        <row r="14">
          <cell r="E14">
            <v>0</v>
          </cell>
          <cell r="F14">
            <v>0</v>
          </cell>
        </row>
        <row r="15">
          <cell r="E15">
            <v>365.60000000000008</v>
          </cell>
          <cell r="F15">
            <v>362.50646156758785</v>
          </cell>
        </row>
        <row r="16">
          <cell r="E16">
            <v>796</v>
          </cell>
          <cell r="F16">
            <v>787.2018174933736</v>
          </cell>
          <cell r="G16">
            <v>9000</v>
          </cell>
          <cell r="H16">
            <v>9024.3217893217898</v>
          </cell>
        </row>
        <row r="17">
          <cell r="E17">
            <v>914</v>
          </cell>
          <cell r="F17">
            <v>890.35213934115939</v>
          </cell>
          <cell r="G17">
            <v>16710.977594439159</v>
          </cell>
          <cell r="H17">
            <v>17130.214508679848</v>
          </cell>
        </row>
        <row r="19">
          <cell r="E19">
            <v>3.4622000000000002</v>
          </cell>
          <cell r="F19">
            <v>2.809087466868609</v>
          </cell>
        </row>
        <row r="20">
          <cell r="Q20">
            <v>58042.604011689669</v>
          </cell>
          <cell r="R20">
            <v>57019.584059068533</v>
          </cell>
        </row>
        <row r="21">
          <cell r="Q21">
            <v>21547.138660782392</v>
          </cell>
          <cell r="R21">
            <v>21597.771298750475</v>
          </cell>
        </row>
        <row r="22">
          <cell r="Q22">
            <v>485.71428571428572</v>
          </cell>
          <cell r="R22">
            <v>690.80859522907986</v>
          </cell>
        </row>
        <row r="50">
          <cell r="Q50">
            <v>93395.555815329208</v>
          </cell>
          <cell r="R50">
            <v>99053.898144642182</v>
          </cell>
        </row>
        <row r="56">
          <cell r="L56">
            <v>-27253.459763431209</v>
          </cell>
        </row>
        <row r="80">
          <cell r="H80">
            <v>32190.371999999999</v>
          </cell>
          <cell r="I80">
            <v>41223.995999999999</v>
          </cell>
          <cell r="L80">
            <v>-9033.6239999999998</v>
          </cell>
        </row>
        <row r="85">
          <cell r="H85">
            <v>13514.595222222222</v>
          </cell>
          <cell r="I85">
            <v>15669.564420000001</v>
          </cell>
          <cell r="L85">
            <v>-2154.9691977777779</v>
          </cell>
          <cell r="Q85">
            <v>97848.424045714288</v>
          </cell>
          <cell r="R85">
            <v>102457.72434683831</v>
          </cell>
        </row>
        <row r="86">
          <cell r="H86">
            <v>-14534.889609526588</v>
          </cell>
          <cell r="I86">
            <v>-36280.646000000015</v>
          </cell>
          <cell r="K86">
            <v>24346.324190537085</v>
          </cell>
          <cell r="M86">
            <v>-7650.0276198015781</v>
          </cell>
        </row>
        <row r="89">
          <cell r="Q89">
            <v>80075.456958186347</v>
          </cell>
          <cell r="R89">
            <v>79308.16395304809</v>
          </cell>
        </row>
        <row r="92">
          <cell r="H92">
            <v>-65592.604925105028</v>
          </cell>
          <cell r="I92">
            <v>-97526.50470031744</v>
          </cell>
        </row>
      </sheetData>
      <sheetData sheetId="14">
        <row r="2">
          <cell r="O2">
            <v>10532</v>
          </cell>
        </row>
        <row r="5">
          <cell r="T5">
            <v>18000</v>
          </cell>
          <cell r="U5">
            <v>10532</v>
          </cell>
        </row>
        <row r="9">
          <cell r="E9">
            <v>311.01794671139777</v>
          </cell>
          <cell r="F9">
            <v>274.91246391948357</v>
          </cell>
          <cell r="G9">
            <v>97000</v>
          </cell>
          <cell r="H9">
            <v>99999.999999999956</v>
          </cell>
        </row>
        <row r="10">
          <cell r="E10">
            <v>0</v>
          </cell>
          <cell r="F10">
            <v>78.420628560577214</v>
          </cell>
          <cell r="G10">
            <v>0</v>
          </cell>
          <cell r="H10">
            <v>94257.139676643783</v>
          </cell>
        </row>
        <row r="11">
          <cell r="E11">
            <v>0</v>
          </cell>
          <cell r="F11">
            <v>1.0241169768325102</v>
          </cell>
        </row>
        <row r="12">
          <cell r="E12">
            <v>39.819069108144056</v>
          </cell>
          <cell r="F12">
            <v>23.829297379415102</v>
          </cell>
          <cell r="G12">
            <v>59000</v>
          </cell>
          <cell r="H12">
            <v>60985.704435937754</v>
          </cell>
        </row>
        <row r="13">
          <cell r="E13">
            <v>19.909534554072028</v>
          </cell>
          <cell r="F13">
            <v>19.199738890998876</v>
          </cell>
          <cell r="G13">
            <v>32500</v>
          </cell>
          <cell r="H13">
            <v>31971.560491198183</v>
          </cell>
        </row>
        <row r="14">
          <cell r="E14">
            <v>0.86256886850700265</v>
          </cell>
          <cell r="F14">
            <v>0</v>
          </cell>
        </row>
        <row r="15">
          <cell r="E15">
            <v>371.60911924212087</v>
          </cell>
          <cell r="F15">
            <v>397.38624572730726</v>
          </cell>
        </row>
        <row r="16">
          <cell r="E16">
            <v>824.22794301506383</v>
          </cell>
          <cell r="F16">
            <v>723.26386251424185</v>
          </cell>
          <cell r="G16">
            <v>11335.33035643304</v>
          </cell>
          <cell r="H16">
            <v>11244.259108897182</v>
          </cell>
        </row>
        <row r="17">
          <cell r="E17">
            <v>903.43950366932017</v>
          </cell>
          <cell r="F17">
            <v>949.71990125332263</v>
          </cell>
          <cell r="G17">
            <v>18859.421225908358</v>
          </cell>
          <cell r="H17">
            <v>19297.330653989786</v>
          </cell>
        </row>
        <row r="19">
          <cell r="E19">
            <v>3.1586775135580267</v>
          </cell>
          <cell r="F19">
            <v>3.6199060007595918</v>
          </cell>
        </row>
        <row r="20">
          <cell r="Q20">
            <v>63203.636528227806</v>
          </cell>
          <cell r="R20">
            <v>67131.747341435621</v>
          </cell>
        </row>
        <row r="21">
          <cell r="Q21">
            <v>20751.443162393167</v>
          </cell>
          <cell r="R21">
            <v>20428.206988226357</v>
          </cell>
        </row>
        <row r="22">
          <cell r="Q22">
            <v>327.77777777777777</v>
          </cell>
          <cell r="R22">
            <v>304.85406380554502</v>
          </cell>
        </row>
        <row r="50">
          <cell r="Q50">
            <v>92027.314357287643</v>
          </cell>
          <cell r="R50">
            <v>104797.57766805924</v>
          </cell>
        </row>
        <row r="56">
          <cell r="L56">
            <v>-126911.30181904697</v>
          </cell>
        </row>
        <row r="80">
          <cell r="H80">
            <v>50344.601999999999</v>
          </cell>
          <cell r="I80">
            <v>66185.399000000005</v>
          </cell>
          <cell r="L80">
            <v>-15840.79700000001</v>
          </cell>
        </row>
        <row r="85">
          <cell r="H85">
            <v>19214.335333333336</v>
          </cell>
          <cell r="I85">
            <v>28538.376370000002</v>
          </cell>
          <cell r="L85">
            <v>-9324.0410366666674</v>
          </cell>
          <cell r="Q85">
            <v>99878.148559444453</v>
          </cell>
          <cell r="R85">
            <v>108553.54158754273</v>
          </cell>
        </row>
        <row r="86">
          <cell r="H86">
            <v>71756.078305489587</v>
          </cell>
          <cell r="I86">
            <v>-47580.852000000261</v>
          </cell>
          <cell r="K86">
            <v>91369.239371931035</v>
          </cell>
          <cell r="M86">
            <v>-58630.029821707052</v>
          </cell>
        </row>
        <row r="89">
          <cell r="Q89">
            <v>84282.857468398754</v>
          </cell>
          <cell r="R89">
            <v>87864.808393467523</v>
          </cell>
        </row>
        <row r="92">
          <cell r="H92">
            <v>-62258.637753457529</v>
          </cell>
          <cell r="I92">
            <v>-176967.20539196683</v>
          </cell>
        </row>
      </sheetData>
      <sheetData sheetId="15">
        <row r="2">
          <cell r="O2">
            <v>3393</v>
          </cell>
        </row>
        <row r="5">
          <cell r="T5">
            <v>6000</v>
          </cell>
          <cell r="U5">
            <v>3393</v>
          </cell>
        </row>
        <row r="9">
          <cell r="E9">
            <v>271.06666666666666</v>
          </cell>
          <cell r="F9">
            <v>277.91247273798996</v>
          </cell>
          <cell r="G9">
            <v>96999.999999999985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42.300000000000004</v>
          </cell>
          <cell r="F12">
            <v>44.25994989684645</v>
          </cell>
          <cell r="G12">
            <v>59000</v>
          </cell>
          <cell r="H12">
            <v>61060.512401579996</v>
          </cell>
        </row>
        <row r="13">
          <cell r="E13">
            <v>38.383333333333333</v>
          </cell>
          <cell r="F13">
            <v>35.303289124668417</v>
          </cell>
          <cell r="G13">
            <v>32000</v>
          </cell>
          <cell r="H13">
            <v>32023.484593859997</v>
          </cell>
        </row>
        <row r="14">
          <cell r="E14">
            <v>0</v>
          </cell>
          <cell r="F14">
            <v>0</v>
          </cell>
        </row>
        <row r="15">
          <cell r="E15">
            <v>351.75</v>
          </cell>
          <cell r="F15">
            <v>357.4757117595048</v>
          </cell>
        </row>
        <row r="16">
          <cell r="E16">
            <v>781.41666666666663</v>
          </cell>
          <cell r="F16">
            <v>751.7904509283818</v>
          </cell>
          <cell r="G16">
            <v>9400</v>
          </cell>
          <cell r="H16">
            <v>9381.408367880982</v>
          </cell>
        </row>
        <row r="17">
          <cell r="E17">
            <v>895.43333333333339</v>
          </cell>
          <cell r="F17">
            <v>886.99970527556741</v>
          </cell>
          <cell r="G17">
            <v>17713.500385116469</v>
          </cell>
          <cell r="H17">
            <v>17780.141481065526</v>
          </cell>
        </row>
        <row r="19">
          <cell r="E19">
            <v>3.0311666666666666</v>
          </cell>
          <cell r="F19">
            <v>3.1716121426466253</v>
          </cell>
        </row>
        <row r="20">
          <cell r="Q20">
            <v>55517.208694846122</v>
          </cell>
          <cell r="R20">
            <v>56963.454170350728</v>
          </cell>
        </row>
        <row r="21">
          <cell r="Q21">
            <v>21503.287107225871</v>
          </cell>
          <cell r="R21">
            <v>25358.964927792513</v>
          </cell>
        </row>
        <row r="22">
          <cell r="Q22">
            <v>233.33333333333334</v>
          </cell>
          <cell r="R22">
            <v>89.377247273799</v>
          </cell>
        </row>
        <row r="50">
          <cell r="Q50">
            <v>93899.930802071991</v>
          </cell>
          <cell r="R50">
            <v>110760.2437371058</v>
          </cell>
        </row>
        <row r="56">
          <cell r="L56">
            <v>-57207.037808569679</v>
          </cell>
        </row>
        <row r="80">
          <cell r="H80">
            <v>27738.920000000006</v>
          </cell>
          <cell r="I80">
            <v>37728.921000000002</v>
          </cell>
          <cell r="L80">
            <v>-9990.001000000002</v>
          </cell>
        </row>
        <row r="85">
          <cell r="H85">
            <v>12443.849000000002</v>
          </cell>
          <cell r="I85">
            <v>13252.361980000001</v>
          </cell>
          <cell r="L85">
            <v>-808.51297999999929</v>
          </cell>
          <cell r="Q85">
            <v>96105.489500000011</v>
          </cell>
          <cell r="R85">
            <v>106264.98673740053</v>
          </cell>
        </row>
        <row r="86">
          <cell r="H86">
            <v>-26949.416812432035</v>
          </cell>
          <cell r="I86">
            <v>-66233.686000000031</v>
          </cell>
          <cell r="K86">
            <v>34471.174126499951</v>
          </cell>
          <cell r="M86">
            <v>-5749.8915254983294</v>
          </cell>
        </row>
        <row r="89">
          <cell r="Q89">
            <v>77253.829135405322</v>
          </cell>
          <cell r="R89">
            <v>82411.796345417039</v>
          </cell>
        </row>
        <row r="92">
          <cell r="H92">
            <v>-69933.626648157035</v>
          </cell>
          <cell r="I92">
            <v>-107038.15000903104</v>
          </cell>
        </row>
      </sheetData>
      <sheetData sheetId="16">
        <row r="2">
          <cell r="O2">
            <v>9434</v>
          </cell>
        </row>
        <row r="5">
          <cell r="T5">
            <v>8499.9999999999964</v>
          </cell>
          <cell r="U5">
            <v>9434</v>
          </cell>
        </row>
        <row r="9">
          <cell r="E9">
            <v>248.2</v>
          </cell>
          <cell r="F9">
            <v>258.96184651261387</v>
          </cell>
          <cell r="G9">
            <v>96999.999999999985</v>
          </cell>
          <cell r="H9">
            <v>100000.00040932509</v>
          </cell>
        </row>
        <row r="10">
          <cell r="E10">
            <v>52.97999999999999</v>
          </cell>
          <cell r="F10">
            <v>8.9378842484630052</v>
          </cell>
          <cell r="G10">
            <v>100500.00000000001</v>
          </cell>
          <cell r="H10">
            <v>100500.01185958256</v>
          </cell>
        </row>
        <row r="11">
          <cell r="E11">
            <v>0</v>
          </cell>
          <cell r="F11">
            <v>0</v>
          </cell>
        </row>
        <row r="12">
          <cell r="E12">
            <v>38.4</v>
          </cell>
          <cell r="F12">
            <v>64.739351282594896</v>
          </cell>
          <cell r="G12">
            <v>61000.000000000007</v>
          </cell>
          <cell r="H12">
            <v>63000.002423245962</v>
          </cell>
        </row>
        <row r="13">
          <cell r="E13">
            <v>29.4</v>
          </cell>
          <cell r="F13">
            <v>30.708087767648937</v>
          </cell>
          <cell r="G13">
            <v>29500.000000000004</v>
          </cell>
          <cell r="H13">
            <v>29267.149027563322</v>
          </cell>
        </row>
        <row r="14">
          <cell r="E14">
            <v>0</v>
          </cell>
          <cell r="F14">
            <v>0</v>
          </cell>
        </row>
        <row r="15">
          <cell r="E15">
            <v>368.9799999999999</v>
          </cell>
          <cell r="F15">
            <v>363.34716981132067</v>
          </cell>
        </row>
        <row r="16">
          <cell r="E16">
            <v>832.2</v>
          </cell>
          <cell r="F16">
            <v>821.63411066355718</v>
          </cell>
          <cell r="G16">
            <v>11466.666666666668</v>
          </cell>
          <cell r="H16">
            <v>11623.978709522162</v>
          </cell>
        </row>
        <row r="17">
          <cell r="E17">
            <v>871.19999999999993</v>
          </cell>
          <cell r="F17">
            <v>863.39781640873412</v>
          </cell>
          <cell r="G17">
            <v>17046.455555657696</v>
          </cell>
          <cell r="H17">
            <v>16842.946756378991</v>
          </cell>
        </row>
        <row r="19">
          <cell r="E19">
            <v>3.0739999999999998</v>
          </cell>
          <cell r="F19">
            <v>2.7238976044095828</v>
          </cell>
        </row>
        <row r="20">
          <cell r="Q20">
            <v>60005.562080088981</v>
          </cell>
          <cell r="R20">
            <v>57680.048123807501</v>
          </cell>
        </row>
        <row r="21">
          <cell r="Q21">
            <v>18885.973463198054</v>
          </cell>
          <cell r="R21">
            <v>17932.048441806233</v>
          </cell>
        </row>
        <row r="22">
          <cell r="Q22">
            <v>352.94117647058835</v>
          </cell>
          <cell r="R22">
            <v>80.096141615433538</v>
          </cell>
        </row>
        <row r="50">
          <cell r="Q50">
            <v>91778.127543287046</v>
          </cell>
          <cell r="R50">
            <v>88255.017595929618</v>
          </cell>
        </row>
        <row r="56">
          <cell r="L56">
            <v>36803.551703369994</v>
          </cell>
        </row>
        <row r="80">
          <cell r="H80">
            <v>28918.720999999998</v>
          </cell>
          <cell r="I80">
            <v>51006.014999999999</v>
          </cell>
          <cell r="L80">
            <v>-22087.294000000002</v>
          </cell>
        </row>
        <row r="85">
          <cell r="H85">
            <v>31369.384555555556</v>
          </cell>
          <cell r="I85">
            <v>35063.956460000001</v>
          </cell>
          <cell r="L85">
            <v>-3694.5719044444477</v>
          </cell>
          <cell r="Q85">
            <v>98127.987734767754</v>
          </cell>
          <cell r="R85">
            <v>94257.875768496931</v>
          </cell>
        </row>
        <row r="86">
          <cell r="H86">
            <v>-6314.2939279695311</v>
          </cell>
          <cell r="I86">
            <v>-25872.474999999948</v>
          </cell>
          <cell r="K86">
            <v>-36510.636289798938</v>
          </cell>
          <cell r="M86">
            <v>5930.7694188430032</v>
          </cell>
        </row>
        <row r="89">
          <cell r="Q89">
            <v>79244.476719757615</v>
          </cell>
          <cell r="R89">
            <v>75692.192707229158</v>
          </cell>
        </row>
        <row r="92">
          <cell r="H92">
            <v>-68490.085201169</v>
          </cell>
          <cell r="I92">
            <v>-126507.03348017922</v>
          </cell>
        </row>
      </sheetData>
      <sheetData sheetId="17">
        <row r="2">
          <cell r="O2">
            <v>4393</v>
          </cell>
        </row>
        <row r="5">
          <cell r="T5">
            <v>6500</v>
          </cell>
          <cell r="U5">
            <v>4393</v>
          </cell>
        </row>
        <row r="9">
          <cell r="E9">
            <v>296.85393076923077</v>
          </cell>
          <cell r="F9">
            <v>246.72912360573619</v>
          </cell>
          <cell r="G9">
            <v>97000</v>
          </cell>
          <cell r="H9">
            <v>100000.00092261055</v>
          </cell>
        </row>
        <row r="10">
          <cell r="E10">
            <v>0</v>
          </cell>
          <cell r="F10">
            <v>8.3931277031641205</v>
          </cell>
          <cell r="G10">
            <v>0</v>
          </cell>
          <cell r="H10">
            <v>98978.492859295191</v>
          </cell>
        </row>
        <row r="11">
          <cell r="E11">
            <v>0</v>
          </cell>
          <cell r="F11">
            <v>0</v>
          </cell>
        </row>
        <row r="12">
          <cell r="E12">
            <v>17.804769230769232</v>
          </cell>
          <cell r="F12">
            <v>55.239933985886644</v>
          </cell>
          <cell r="G12">
            <v>57199.999999999993</v>
          </cell>
          <cell r="H12">
            <v>59159.440329077013</v>
          </cell>
        </row>
        <row r="13">
          <cell r="E13">
            <v>25.931915384615383</v>
          </cell>
          <cell r="F13">
            <v>36.548832233098111</v>
          </cell>
          <cell r="G13">
            <v>31000.000000000004</v>
          </cell>
          <cell r="H13">
            <v>30385.349885668209</v>
          </cell>
        </row>
        <row r="14">
          <cell r="E14">
            <v>0</v>
          </cell>
          <cell r="F14">
            <v>0</v>
          </cell>
        </row>
        <row r="15">
          <cell r="E15">
            <v>340.59061538461538</v>
          </cell>
          <cell r="F15">
            <v>346.91101752788506</v>
          </cell>
        </row>
        <row r="16">
          <cell r="E16">
            <v>714.78720848841647</v>
          </cell>
          <cell r="F16">
            <v>738.29615297063526</v>
          </cell>
          <cell r="G16">
            <v>10933.333333333336</v>
          </cell>
          <cell r="H16">
            <v>10748.431475626168</v>
          </cell>
        </row>
        <row r="17">
          <cell r="E17">
            <v>987.08709743638451</v>
          </cell>
          <cell r="F17">
            <v>931.5604370589574</v>
          </cell>
          <cell r="G17">
            <v>14319.24360400445</v>
          </cell>
          <cell r="H17">
            <v>14159.867264367986</v>
          </cell>
        </row>
        <row r="19">
          <cell r="E19">
            <v>3.0653155384615385</v>
          </cell>
          <cell r="F19">
            <v>3.2078306396539933</v>
          </cell>
        </row>
        <row r="20">
          <cell r="Q20">
            <v>54712.221757829495</v>
          </cell>
          <cell r="R20">
            <v>53046.811063054862</v>
          </cell>
        </row>
        <row r="21">
          <cell r="Q21">
            <v>17874.175561280827</v>
          </cell>
          <cell r="R21">
            <v>17850.862280901434</v>
          </cell>
        </row>
        <row r="22">
          <cell r="Q22">
            <v>461.53846153846155</v>
          </cell>
          <cell r="R22">
            <v>337.08900523560214</v>
          </cell>
        </row>
        <row r="50">
          <cell r="Q50">
            <v>86935.078396033394</v>
          </cell>
          <cell r="R50">
            <v>94339.338948326884</v>
          </cell>
        </row>
        <row r="56">
          <cell r="L56">
            <v>-32526.921916225281</v>
          </cell>
        </row>
        <row r="80">
          <cell r="H80">
            <v>30681.07</v>
          </cell>
          <cell r="I80">
            <v>38459.169000000002</v>
          </cell>
          <cell r="L80">
            <v>-7778.099000000002</v>
          </cell>
        </row>
        <row r="85">
          <cell r="H85">
            <v>15870.410436470889</v>
          </cell>
          <cell r="I85">
            <v>15934.285689999999</v>
          </cell>
          <cell r="L85">
            <v>-63.875253529109841</v>
          </cell>
          <cell r="Q85">
            <v>90234.090447230774</v>
          </cell>
          <cell r="R85">
            <v>86438.61347598453</v>
          </cell>
        </row>
        <row r="86">
          <cell r="H86">
            <v>-25107.902103687935</v>
          </cell>
          <cell r="I86">
            <v>-89101.346999999965</v>
          </cell>
          <cell r="K86">
            <v>-16673.53033468475</v>
          </cell>
          <cell r="M86">
            <v>-6951.0183918728726</v>
          </cell>
        </row>
        <row r="89">
          <cell r="Q89">
            <v>73047.935780648782</v>
          </cell>
          <cell r="R89">
            <v>71234.762349191893</v>
          </cell>
        </row>
        <row r="92">
          <cell r="H92">
            <v>-68829.246116642084</v>
          </cell>
          <cell r="I92">
            <v>-132075.03443609804</v>
          </cell>
        </row>
      </sheetData>
      <sheetData sheetId="18">
        <row r="2">
          <cell r="O2">
            <v>9471</v>
          </cell>
        </row>
        <row r="5">
          <cell r="T5">
            <v>5500</v>
          </cell>
          <cell r="U5">
            <v>9471</v>
          </cell>
        </row>
        <row r="9">
          <cell r="E9">
            <v>330.96909090909088</v>
          </cell>
          <cell r="F9">
            <v>329.39854700854693</v>
          </cell>
          <cell r="G9">
            <v>97000.000000000015</v>
          </cell>
          <cell r="H9">
            <v>100000.00032033728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33.247272727272723</v>
          </cell>
          <cell r="F12">
            <v>48.987872744539416</v>
          </cell>
          <cell r="G12">
            <v>57200.000000000007</v>
          </cell>
          <cell r="H12">
            <v>59200.000551417441</v>
          </cell>
        </row>
        <row r="13">
          <cell r="E13">
            <v>21.510909090909088</v>
          </cell>
          <cell r="F13">
            <v>43.067441173367108</v>
          </cell>
          <cell r="G13">
            <v>33500</v>
          </cell>
          <cell r="H13">
            <v>33004.947640101251</v>
          </cell>
        </row>
        <row r="14">
          <cell r="E14">
            <v>0</v>
          </cell>
          <cell r="F14">
            <v>0</v>
          </cell>
        </row>
        <row r="15">
          <cell r="E15">
            <v>385.72727272727269</v>
          </cell>
          <cell r="F15">
            <v>421.45386092645344</v>
          </cell>
        </row>
        <row r="16">
          <cell r="E16">
            <v>774.80727272727268</v>
          </cell>
          <cell r="F16">
            <v>755.04484541521583</v>
          </cell>
          <cell r="G16">
            <v>12533.333333333336</v>
          </cell>
          <cell r="H16">
            <v>11718.950019285699</v>
          </cell>
        </row>
        <row r="17">
          <cell r="E17">
            <v>873.71272727272742</v>
          </cell>
          <cell r="F17">
            <v>871.73841933101198</v>
          </cell>
          <cell r="G17">
            <v>19929.174328825742</v>
          </cell>
          <cell r="H17">
            <v>20086.719002017198</v>
          </cell>
        </row>
        <row r="19">
          <cell r="E19">
            <v>3.3894545454545453</v>
          </cell>
          <cell r="F19">
            <v>3.3375646301572233</v>
          </cell>
        </row>
        <row r="20">
          <cell r="Q20">
            <v>64832.372346041062</v>
          </cell>
          <cell r="R20">
            <v>66076.674475044856</v>
          </cell>
        </row>
        <row r="21">
          <cell r="Q21">
            <v>28219.863168642954</v>
          </cell>
          <cell r="R21">
            <v>23299.387569906088</v>
          </cell>
        </row>
        <row r="22">
          <cell r="Q22">
            <v>454.5454545454545</v>
          </cell>
          <cell r="R22">
            <v>278.76775350849425</v>
          </cell>
        </row>
        <row r="50">
          <cell r="Q50">
            <v>111989.98772680522</v>
          </cell>
          <cell r="R50">
            <v>103197.958742218</v>
          </cell>
        </row>
        <row r="56">
          <cell r="L56">
            <v>83340.879760572207</v>
          </cell>
        </row>
        <row r="80">
          <cell r="H80">
            <v>29084.654000000002</v>
          </cell>
          <cell r="I80">
            <v>40160.574999999997</v>
          </cell>
          <cell r="L80">
            <v>-11075.920999999998</v>
          </cell>
        </row>
        <row r="85">
          <cell r="H85">
            <v>15717.669055282731</v>
          </cell>
          <cell r="I85">
            <v>15674.472000000002</v>
          </cell>
          <cell r="L85">
            <v>43.197055282730616</v>
          </cell>
          <cell r="Q85">
            <v>105261.79020000002</v>
          </cell>
          <cell r="R85">
            <v>110288.24833702882</v>
          </cell>
        </row>
        <row r="86">
          <cell r="H86">
            <v>-81807.409452711392</v>
          </cell>
          <cell r="I86">
            <v>11388.659000000007</v>
          </cell>
          <cell r="K86">
            <v>47605.585015799828</v>
          </cell>
          <cell r="M86">
            <v>-26717.672378943476</v>
          </cell>
        </row>
        <row r="89">
          <cell r="Q89">
            <v>93506.780969229469</v>
          </cell>
          <cell r="R89">
            <v>89654.829798459439</v>
          </cell>
        </row>
        <row r="92">
          <cell r="H92">
            <v>-124963.58425690011</v>
          </cell>
          <cell r="I92">
            <v>-106822.5614585439</v>
          </cell>
        </row>
      </sheetData>
      <sheetData sheetId="19">
        <row r="2">
          <cell r="O2">
            <v>15899</v>
          </cell>
        </row>
        <row r="5">
          <cell r="T5">
            <v>10000</v>
          </cell>
          <cell r="U5">
            <v>15899</v>
          </cell>
        </row>
        <row r="9">
          <cell r="E9">
            <v>353.15325431261772</v>
          </cell>
          <cell r="F9">
            <v>367.78162274356868</v>
          </cell>
          <cell r="G9">
            <v>96999.999999999985</v>
          </cell>
          <cell r="H9">
            <v>99716.274353840825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11.307833063885269</v>
          </cell>
          <cell r="F12">
            <v>20.732251713944269</v>
          </cell>
          <cell r="G12">
            <v>60000</v>
          </cell>
          <cell r="H12">
            <v>59955.066115566842</v>
          </cell>
        </row>
        <row r="13">
          <cell r="E13">
            <v>19.016027283789658</v>
          </cell>
          <cell r="F13">
            <v>29.390220139631417</v>
          </cell>
          <cell r="G13">
            <v>37500</v>
          </cell>
          <cell r="H13">
            <v>31311.462320344865</v>
          </cell>
        </row>
        <row r="14">
          <cell r="E14">
            <v>0</v>
          </cell>
          <cell r="F14">
            <v>0</v>
          </cell>
        </row>
        <row r="15">
          <cell r="E15">
            <v>383.47711466029261</v>
          </cell>
          <cell r="F15">
            <v>417.90409459714436</v>
          </cell>
        </row>
        <row r="16">
          <cell r="E16">
            <v>860</v>
          </cell>
          <cell r="F16">
            <v>807.82741052896381</v>
          </cell>
          <cell r="G16">
            <v>10853.333333333334</v>
          </cell>
          <cell r="H16">
            <v>10848.018335600605</v>
          </cell>
        </row>
        <row r="17">
          <cell r="E17">
            <v>893.57024999999987</v>
          </cell>
          <cell r="F17">
            <v>932.91056041260413</v>
          </cell>
          <cell r="G17">
            <v>12554.838709677419</v>
          </cell>
          <cell r="H17">
            <v>12501.089949026946</v>
          </cell>
        </row>
        <row r="19">
          <cell r="E19">
            <v>3.0150999999999999</v>
          </cell>
          <cell r="F19">
            <v>3.4848135102836664</v>
          </cell>
        </row>
        <row r="20">
          <cell r="Q20">
            <v>59202.97330648193</v>
          </cell>
          <cell r="R20">
            <v>62785.256053839861</v>
          </cell>
        </row>
        <row r="21">
          <cell r="Q21">
            <v>21061.196955072464</v>
          </cell>
          <cell r="R21">
            <v>22424.442103276939</v>
          </cell>
        </row>
        <row r="22">
          <cell r="Q22">
            <v>300</v>
          </cell>
          <cell r="R22">
            <v>207.61280583684507</v>
          </cell>
        </row>
        <row r="50">
          <cell r="Q50">
            <v>96443.998569887728</v>
          </cell>
          <cell r="R50">
            <v>96781.730989370408</v>
          </cell>
        </row>
        <row r="56">
          <cell r="L56">
            <v>-5369.6126773547885</v>
          </cell>
        </row>
        <row r="80">
          <cell r="H80">
            <v>50764.207000000002</v>
          </cell>
          <cell r="I80">
            <v>59379.098000000005</v>
          </cell>
          <cell r="L80">
            <v>-8614.8910000000033</v>
          </cell>
        </row>
        <row r="85">
          <cell r="H85">
            <v>36510.137666666669</v>
          </cell>
          <cell r="I85">
            <v>36238.97206</v>
          </cell>
          <cell r="L85">
            <v>271.16560666666487</v>
          </cell>
          <cell r="Q85">
            <v>98718.315999999992</v>
          </cell>
          <cell r="R85">
            <v>102211.66802943581</v>
          </cell>
        </row>
        <row r="86">
          <cell r="H86">
            <v>-64531.170365544123</v>
          </cell>
          <cell r="I86">
            <v>-9287.5060000000012</v>
          </cell>
          <cell r="K86">
            <v>55540.803916000055</v>
          </cell>
          <cell r="M86">
            <v>13416.198520232225</v>
          </cell>
        </row>
        <row r="89">
          <cell r="Q89">
            <v>80564.170261554391</v>
          </cell>
          <cell r="R89">
            <v>85417.310962953648</v>
          </cell>
        </row>
        <row r="92">
          <cell r="H92">
            <v>-133771.31049051322</v>
          </cell>
          <cell r="I92">
            <v>-185062.85696894256</v>
          </cell>
        </row>
      </sheetData>
      <sheetData sheetId="20">
        <row r="2">
          <cell r="O2">
            <v>6723</v>
          </cell>
        </row>
        <row r="5">
          <cell r="T5">
            <v>6000</v>
          </cell>
          <cell r="U5">
            <v>6723</v>
          </cell>
        </row>
        <row r="9">
          <cell r="E9">
            <v>330.25333333333333</v>
          </cell>
          <cell r="F9">
            <v>265.16362338241856</v>
          </cell>
          <cell r="G9">
            <v>97000</v>
          </cell>
          <cell r="H9">
            <v>100000</v>
          </cell>
        </row>
        <row r="10">
          <cell r="E10">
            <v>8.0866666666666696</v>
          </cell>
          <cell r="F10">
            <v>52.085827755466326</v>
          </cell>
          <cell r="G10">
            <v>94500</v>
          </cell>
          <cell r="H10">
            <v>97493.324871230769</v>
          </cell>
        </row>
        <row r="11">
          <cell r="E11">
            <v>0</v>
          </cell>
          <cell r="F11">
            <v>0</v>
          </cell>
        </row>
        <row r="12">
          <cell r="E12">
            <v>13.5</v>
          </cell>
          <cell r="F12">
            <v>23.033473151866723</v>
          </cell>
          <cell r="G12">
            <v>60000</v>
          </cell>
          <cell r="H12">
            <v>61092.309893884594</v>
          </cell>
        </row>
        <row r="13">
          <cell r="E13">
            <v>9.5</v>
          </cell>
          <cell r="F13">
            <v>11.453678417373188</v>
          </cell>
          <cell r="G13">
            <v>32500</v>
          </cell>
          <cell r="H13">
            <v>32433.403962542827</v>
          </cell>
        </row>
        <row r="14">
          <cell r="E14">
            <v>0</v>
          </cell>
          <cell r="F14">
            <v>0</v>
          </cell>
        </row>
        <row r="15">
          <cell r="E15">
            <v>361.34</v>
          </cell>
          <cell r="F15">
            <v>351.73660270712475</v>
          </cell>
        </row>
        <row r="16">
          <cell r="E16">
            <v>729.5</v>
          </cell>
          <cell r="F16">
            <v>695.02603004611058</v>
          </cell>
          <cell r="G16">
            <v>14733.333333333334</v>
          </cell>
          <cell r="H16">
            <v>13767.987185029509</v>
          </cell>
        </row>
        <row r="17">
          <cell r="E17">
            <v>995.66666666666674</v>
          </cell>
          <cell r="F17">
            <v>1030.0163617432693</v>
          </cell>
          <cell r="G17">
            <v>16000</v>
          </cell>
          <cell r="H17">
            <v>15985.907896256935</v>
          </cell>
        </row>
        <row r="19">
          <cell r="E19">
            <v>2.83</v>
          </cell>
          <cell r="F19">
            <v>2.2159526996876404</v>
          </cell>
        </row>
        <row r="20">
          <cell r="Q20">
            <v>62973.346666666665</v>
          </cell>
          <cell r="R20">
            <v>61257.810501264321</v>
          </cell>
        </row>
        <row r="21">
          <cell r="Q21">
            <v>16345.723857323232</v>
          </cell>
          <cell r="R21">
            <v>19047.926074669045</v>
          </cell>
        </row>
        <row r="22">
          <cell r="Q22">
            <v>583.33333333333337</v>
          </cell>
          <cell r="R22">
            <v>227.28647925033468</v>
          </cell>
        </row>
        <row r="50">
          <cell r="Q50">
            <v>97566.901857323217</v>
          </cell>
          <cell r="R50">
            <v>97648.663989290508</v>
          </cell>
        </row>
        <row r="56">
          <cell r="L56">
            <v>-549.68526321595857</v>
          </cell>
        </row>
        <row r="80">
          <cell r="H80">
            <v>31518.696</v>
          </cell>
          <cell r="I80">
            <v>38135.188999999998</v>
          </cell>
          <cell r="L80">
            <v>-6616.4929999999986</v>
          </cell>
        </row>
        <row r="85">
          <cell r="H85">
            <v>21821.325444444446</v>
          </cell>
          <cell r="I85">
            <v>21726.901550000002</v>
          </cell>
          <cell r="L85">
            <v>94.423894444443931</v>
          </cell>
          <cell r="Q85">
            <v>101766.56999999999</v>
          </cell>
          <cell r="R85">
            <v>95309.541573702212</v>
          </cell>
        </row>
        <row r="86">
          <cell r="H86">
            <v>-28142.012588383881</v>
          </cell>
          <cell r="I86">
            <v>-75588.009000000107</v>
          </cell>
          <cell r="K86">
            <v>-43410.602109999978</v>
          </cell>
          <cell r="M86">
            <v>3036.3600671552995</v>
          </cell>
        </row>
        <row r="89">
          <cell r="Q89">
            <v>79902.403857323225</v>
          </cell>
          <cell r="R89">
            <v>80533.023055183701</v>
          </cell>
        </row>
        <row r="92">
          <cell r="H92">
            <v>-70968.907448528029</v>
          </cell>
          <cell r="I92">
            <v>-144896.61764502717</v>
          </cell>
        </row>
      </sheetData>
      <sheetData sheetId="21">
        <row r="2">
          <cell r="O2">
            <v>1991</v>
          </cell>
        </row>
        <row r="5">
          <cell r="T5">
            <v>2500</v>
          </cell>
          <cell r="U5">
            <v>1991</v>
          </cell>
        </row>
        <row r="9">
          <cell r="E9">
            <v>336.4</v>
          </cell>
          <cell r="F9">
            <v>222.47145905707194</v>
          </cell>
          <cell r="G9">
            <v>97000</v>
          </cell>
          <cell r="H9">
            <v>100000.00000000001</v>
          </cell>
        </row>
        <row r="10">
          <cell r="E10">
            <v>0</v>
          </cell>
          <cell r="F10">
            <v>45.297270471464032</v>
          </cell>
          <cell r="G10">
            <v>0</v>
          </cell>
          <cell r="H10">
            <v>93101.135043933638</v>
          </cell>
        </row>
        <row r="11">
          <cell r="E11">
            <v>0</v>
          </cell>
          <cell r="F11">
            <v>0</v>
          </cell>
        </row>
        <row r="12">
          <cell r="E12">
            <v>27.74</v>
          </cell>
          <cell r="F12">
            <v>50.228287841191062</v>
          </cell>
          <cell r="G12">
            <v>61000.000000000007</v>
          </cell>
          <cell r="H12">
            <v>63595.524157691929</v>
          </cell>
        </row>
        <row r="13">
          <cell r="E13">
            <v>10.4</v>
          </cell>
          <cell r="F13">
            <v>29.464521091811413</v>
          </cell>
          <cell r="G13">
            <v>32500</v>
          </cell>
          <cell r="H13">
            <v>24374.471648705319</v>
          </cell>
        </row>
        <row r="14">
          <cell r="E14">
            <v>0</v>
          </cell>
          <cell r="F14">
            <v>0</v>
          </cell>
        </row>
        <row r="15">
          <cell r="E15">
            <v>374.53999999999996</v>
          </cell>
          <cell r="F15">
            <v>347.46153846153845</v>
          </cell>
        </row>
        <row r="16">
          <cell r="E16">
            <v>858</v>
          </cell>
          <cell r="F16">
            <v>877.0223325062035</v>
          </cell>
          <cell r="G16">
            <v>15133.333333333332</v>
          </cell>
          <cell r="H16">
            <v>15143.477252150295</v>
          </cell>
        </row>
        <row r="17">
          <cell r="E17">
            <v>818</v>
          </cell>
          <cell r="F17">
            <v>794.28535980148877</v>
          </cell>
          <cell r="G17">
            <v>15310.067420741872</v>
          </cell>
          <cell r="H17">
            <v>15538.761063052763</v>
          </cell>
        </row>
        <row r="19">
          <cell r="E19">
            <v>2.8</v>
          </cell>
          <cell r="F19">
            <v>2.6634987593052104</v>
          </cell>
        </row>
        <row r="20">
          <cell r="Q20">
            <v>62241.535150166856</v>
          </cell>
          <cell r="R20">
            <v>58104.627295285354</v>
          </cell>
        </row>
        <row r="21">
          <cell r="Q21">
            <v>14460.272882640842</v>
          </cell>
          <cell r="R21">
            <v>14738.278411910671</v>
          </cell>
        </row>
        <row r="22">
          <cell r="Q22">
            <v>136</v>
          </cell>
          <cell r="R22">
            <v>108.18660049627792</v>
          </cell>
        </row>
        <row r="50">
          <cell r="Q50">
            <v>101826.19523280769</v>
          </cell>
          <cell r="R50">
            <v>105700.33598014888</v>
          </cell>
        </row>
        <row r="56">
          <cell r="L56">
            <v>-7648.1650014798624</v>
          </cell>
        </row>
        <row r="80">
          <cell r="H80">
            <v>13176.483</v>
          </cell>
          <cell r="I80">
            <v>16510.530999999999</v>
          </cell>
          <cell r="L80">
            <v>-3334.0479999999989</v>
          </cell>
        </row>
        <row r="85">
          <cell r="H85">
            <v>10347.403</v>
          </cell>
          <cell r="I85">
            <v>10405.76829</v>
          </cell>
          <cell r="L85">
            <v>-58.365289999999732</v>
          </cell>
          <cell r="Q85">
            <v>115783.5576</v>
          </cell>
          <cell r="R85">
            <v>108945.32194876946</v>
          </cell>
        </row>
        <row r="86">
          <cell r="H86">
            <v>11369.519917980708</v>
          </cell>
          <cell r="I86">
            <v>-20390.282999999999</v>
          </cell>
          <cell r="K86">
            <v>-13614.927181600007</v>
          </cell>
          <cell r="M86">
            <v>-7104.2974449008907</v>
          </cell>
        </row>
        <row r="89">
          <cell r="Q89">
            <v>76837.80803280769</v>
          </cell>
          <cell r="R89">
            <v>72951.092307692306</v>
          </cell>
        </row>
        <row r="92">
          <cell r="H92">
            <v>-8932.8669065459344</v>
          </cell>
          <cell r="I92">
            <v>-43852.418320820856</v>
          </cell>
        </row>
      </sheetData>
      <sheetData sheetId="22">
        <row r="2">
          <cell r="O2">
            <v>1475</v>
          </cell>
        </row>
        <row r="5">
          <cell r="T5">
            <v>2999.8</v>
          </cell>
          <cell r="U5">
            <v>1475</v>
          </cell>
        </row>
        <row r="9">
          <cell r="E9">
            <v>349.73333333333341</v>
          </cell>
          <cell r="F9">
            <v>334.28204067796611</v>
          </cell>
          <cell r="G9">
            <v>96999.999999999985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10.997288135593219</v>
          </cell>
        </row>
        <row r="12">
          <cell r="E12">
            <v>9.4666666666666668</v>
          </cell>
          <cell r="F12">
            <v>51.320671186440677</v>
          </cell>
          <cell r="G12">
            <v>59999.999999999993</v>
          </cell>
          <cell r="H12">
            <v>60532.531973438126</v>
          </cell>
        </row>
        <row r="13">
          <cell r="E13">
            <v>4.666666666666667</v>
          </cell>
          <cell r="F13">
            <v>27.692888135593211</v>
          </cell>
          <cell r="G13">
            <v>44999.999999999993</v>
          </cell>
          <cell r="H13">
            <v>45991.346735048675</v>
          </cell>
        </row>
        <row r="14">
          <cell r="E14">
            <v>0</v>
          </cell>
          <cell r="F14">
            <v>0</v>
          </cell>
        </row>
        <row r="15">
          <cell r="E15">
            <v>363.86666666666673</v>
          </cell>
          <cell r="F15">
            <v>424.29288813559322</v>
          </cell>
        </row>
        <row r="16">
          <cell r="E16">
            <v>866.5333333333333</v>
          </cell>
          <cell r="F16">
            <v>862.69830508474615</v>
          </cell>
          <cell r="G16">
            <v>12466.666666666666</v>
          </cell>
          <cell r="H16">
            <v>13158.902301018477</v>
          </cell>
        </row>
        <row r="17">
          <cell r="E17">
            <v>880.66666666666663</v>
          </cell>
          <cell r="F17">
            <v>856.76949152542375</v>
          </cell>
          <cell r="G17">
            <v>12387.096774193547</v>
          </cell>
          <cell r="H17">
            <v>12382.198799590105</v>
          </cell>
        </row>
        <row r="19">
          <cell r="E19">
            <v>2.9813333333333336</v>
          </cell>
          <cell r="F19">
            <v>3.7118644067796609</v>
          </cell>
        </row>
        <row r="20">
          <cell r="Q20">
            <v>59069.28544802867</v>
          </cell>
          <cell r="R20">
            <v>64897.252203389835</v>
          </cell>
        </row>
        <row r="21">
          <cell r="Q21">
            <v>14796.948996620773</v>
          </cell>
          <cell r="R21">
            <v>15272.840677966102</v>
          </cell>
        </row>
        <row r="22">
          <cell r="Q22">
            <v>333.35555703713578</v>
          </cell>
          <cell r="R22">
            <v>1351.6203389830509</v>
          </cell>
        </row>
        <row r="50">
          <cell r="Q50">
            <v>97415.520424825896</v>
          </cell>
          <cell r="R50">
            <v>131107.38033898306</v>
          </cell>
        </row>
        <row r="56">
          <cell r="L56">
            <v>-49695.494075081231</v>
          </cell>
        </row>
        <row r="80">
          <cell r="H80">
            <v>12775.225999999999</v>
          </cell>
          <cell r="I80">
            <v>14747.013999999999</v>
          </cell>
          <cell r="L80">
            <v>-1971.7879999999998</v>
          </cell>
        </row>
        <row r="85">
          <cell r="H85">
            <v>6031.4589999999989</v>
          </cell>
          <cell r="I85">
            <v>6157.2217900000005</v>
          </cell>
          <cell r="L85">
            <v>-125.7627900000009</v>
          </cell>
          <cell r="Q85">
            <v>114801.84204280283</v>
          </cell>
          <cell r="R85">
            <v>128431.79661016951</v>
          </cell>
        </row>
        <row r="86">
          <cell r="H86">
            <v>33348.803589607181</v>
          </cell>
          <cell r="I86">
            <v>-24850.722000000002</v>
          </cell>
          <cell r="K86">
            <v>20104.182986865842</v>
          </cell>
          <cell r="M86">
            <v>-26510.663711391739</v>
          </cell>
        </row>
        <row r="89">
          <cell r="Q89">
            <v>74199.590001686578</v>
          </cell>
          <cell r="R89">
            <v>81521.713220338977</v>
          </cell>
        </row>
        <row r="92">
          <cell r="H92">
            <v>9194.1197619183222</v>
          </cell>
          <cell r="I92">
            <v>-45341.208357709023</v>
          </cell>
        </row>
      </sheetData>
      <sheetData sheetId="23">
        <row r="2">
          <cell r="O2">
            <v>3229</v>
          </cell>
        </row>
        <row r="5">
          <cell r="T5">
            <v>5000</v>
          </cell>
          <cell r="U5">
            <v>3229</v>
          </cell>
        </row>
        <row r="9">
          <cell r="E9">
            <v>365.52</v>
          </cell>
          <cell r="F9">
            <v>369.23475069681001</v>
          </cell>
          <cell r="G9">
            <v>114000</v>
          </cell>
          <cell r="H9">
            <v>116999.99901866967</v>
          </cell>
        </row>
        <row r="10">
          <cell r="E10">
            <v>0</v>
          </cell>
          <cell r="F10">
            <v>3.0929049241251168</v>
          </cell>
          <cell r="G10">
            <v>0</v>
          </cell>
          <cell r="H10">
            <v>116999.91689187632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365.52</v>
          </cell>
          <cell r="F15">
            <v>372.3276556209351</v>
          </cell>
        </row>
        <row r="16">
          <cell r="E16">
            <v>746.82</v>
          </cell>
          <cell r="F16">
            <v>829.25054196345616</v>
          </cell>
          <cell r="G16">
            <v>18000.000000000004</v>
          </cell>
          <cell r="H16">
            <v>17788.235206244281</v>
          </cell>
        </row>
        <row r="17">
          <cell r="E17">
            <v>987.06000000000006</v>
          </cell>
          <cell r="F17">
            <v>914.79250541963449</v>
          </cell>
          <cell r="G17">
            <v>19002.169136479206</v>
          </cell>
          <cell r="H17">
            <v>20298.595568856399</v>
          </cell>
        </row>
        <row r="19">
          <cell r="E19">
            <v>3.22</v>
          </cell>
          <cell r="F19">
            <v>3.7817838340043348</v>
          </cell>
        </row>
        <row r="20">
          <cell r="Q20">
            <v>76902.081067853156</v>
          </cell>
          <cell r="R20">
            <v>80876.958191390528</v>
          </cell>
        </row>
        <row r="21">
          <cell r="Q21">
            <v>17356.834311929309</v>
          </cell>
          <cell r="R21">
            <v>17098.887271601114</v>
          </cell>
        </row>
        <row r="22">
          <cell r="Q22">
            <v>500</v>
          </cell>
          <cell r="R22">
            <v>484.2415608547538</v>
          </cell>
        </row>
        <row r="50">
          <cell r="Q50">
            <v>109016.34497978247</v>
          </cell>
          <cell r="R50">
            <v>121353.58903685352</v>
          </cell>
        </row>
        <row r="56">
          <cell r="L56">
            <v>-39836.967500282364</v>
          </cell>
        </row>
        <row r="80">
          <cell r="H80">
            <v>17087.02</v>
          </cell>
          <cell r="I80">
            <v>19691.226999999999</v>
          </cell>
          <cell r="L80">
            <v>-2604.206999999999</v>
          </cell>
        </row>
        <row r="85">
          <cell r="H85">
            <v>12808.388620014095</v>
          </cell>
          <cell r="I85">
            <v>12587.19556</v>
          </cell>
          <cell r="L85">
            <v>221.19306001409473</v>
          </cell>
          <cell r="Q85">
            <v>120267.82000000002</v>
          </cell>
          <cell r="R85">
            <v>129027.91978940848</v>
          </cell>
        </row>
        <row r="86">
          <cell r="H86">
            <v>26361.966481073632</v>
          </cell>
          <cell r="I86">
            <v>-7498.0149999999776</v>
          </cell>
          <cell r="K86">
            <v>28286.362219999908</v>
          </cell>
          <cell r="M86">
            <v>-19926.362260805268</v>
          </cell>
        </row>
        <row r="89">
          <cell r="Q89">
            <v>94758.915379782469</v>
          </cell>
          <cell r="R89">
            <v>98460.087023846398</v>
          </cell>
        </row>
        <row r="92">
          <cell r="H92">
            <v>-15815.417852166833</v>
          </cell>
          <cell r="I92">
            <v>-52563.020586256309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99735.994266764363</v>
          </cell>
        </row>
        <row r="89">
          <cell r="Q89">
            <v>81063.082203057071</v>
          </cell>
        </row>
        <row r="90">
          <cell r="Q90">
            <v>18672.912063707292</v>
          </cell>
        </row>
      </sheetData>
      <sheetData sheetId="1">
        <row r="5">
          <cell r="T5">
            <v>74239.5</v>
          </cell>
        </row>
        <row r="85">
          <cell r="Q85">
            <v>96965.552073670318</v>
          </cell>
        </row>
        <row r="89">
          <cell r="Q89">
            <v>82274.26017537326</v>
          </cell>
        </row>
        <row r="90">
          <cell r="Q90">
            <v>14691.291898297059</v>
          </cell>
        </row>
      </sheetData>
      <sheetData sheetId="2">
        <row r="5">
          <cell r="T5">
            <v>95894</v>
          </cell>
        </row>
        <row r="85">
          <cell r="Q85">
            <v>100787.78490345353</v>
          </cell>
        </row>
        <row r="89">
          <cell r="Q89">
            <v>80685.911863111585</v>
          </cell>
        </row>
        <row r="90">
          <cell r="Q90">
            <v>20101.873040341947</v>
          </cell>
        </row>
      </sheetData>
      <sheetData sheetId="3"/>
      <sheetData sheetId="4"/>
      <sheetData sheetId="5">
        <row r="5">
          <cell r="T5">
            <v>40645.5</v>
          </cell>
        </row>
        <row r="85">
          <cell r="Q85">
            <v>102295.47925625638</v>
          </cell>
        </row>
        <row r="89">
          <cell r="Q89">
            <v>79762.985441723897</v>
          </cell>
        </row>
        <row r="90">
          <cell r="Q90">
            <v>22532.493814532485</v>
          </cell>
        </row>
      </sheetData>
      <sheetData sheetId="6">
        <row r="85">
          <cell r="Q85">
            <v>96859.207213209738</v>
          </cell>
        </row>
        <row r="86">
          <cell r="H86">
            <v>265584.45900000044</v>
          </cell>
        </row>
        <row r="89">
          <cell r="Q89">
            <v>80767.793482039386</v>
          </cell>
        </row>
        <row r="92">
          <cell r="H92">
            <v>65846.897219639039</v>
          </cell>
        </row>
      </sheetData>
      <sheetData sheetId="7">
        <row r="85">
          <cell r="Q85">
            <v>97514.16848964394</v>
          </cell>
        </row>
        <row r="86">
          <cell r="H86">
            <v>-49380.360000000168</v>
          </cell>
        </row>
        <row r="89">
          <cell r="Q89">
            <v>86203.914219222715</v>
          </cell>
        </row>
        <row r="92">
          <cell r="H92">
            <v>-173113.21760145019</v>
          </cell>
        </row>
      </sheetData>
      <sheetData sheetId="8">
        <row r="85">
          <cell r="Q85">
            <v>97410.416467209201</v>
          </cell>
        </row>
        <row r="86">
          <cell r="H86">
            <v>-42738.867999999915</v>
          </cell>
        </row>
        <row r="89">
          <cell r="Q89">
            <v>80870.415797032081</v>
          </cell>
        </row>
        <row r="92">
          <cell r="H92">
            <v>-102827.98298576636</v>
          </cell>
        </row>
      </sheetData>
      <sheetData sheetId="9">
        <row r="85">
          <cell r="Q85">
            <v>95239.125600270549</v>
          </cell>
        </row>
        <row r="86">
          <cell r="H86">
            <v>-46868.880000000041</v>
          </cell>
        </row>
        <row r="89">
          <cell r="Q89">
            <v>79871.523300642555</v>
          </cell>
        </row>
        <row r="92">
          <cell r="H92">
            <v>-88504.561851426901</v>
          </cell>
        </row>
      </sheetData>
      <sheetData sheetId="10">
        <row r="85">
          <cell r="Q85">
            <v>106178.75954311417</v>
          </cell>
        </row>
        <row r="86">
          <cell r="H86">
            <v>133312.5780000001</v>
          </cell>
        </row>
        <row r="89">
          <cell r="Q89">
            <v>84408.739343777706</v>
          </cell>
        </row>
        <row r="92">
          <cell r="H92">
            <v>20797.695312000826</v>
          </cell>
        </row>
      </sheetData>
      <sheetData sheetId="11">
        <row r="85">
          <cell r="Q85">
            <v>95281.803921568629</v>
          </cell>
        </row>
        <row r="86">
          <cell r="H86">
            <v>77502.493999999861</v>
          </cell>
        </row>
        <row r="89">
          <cell r="Q89">
            <v>78548.451209826875</v>
          </cell>
        </row>
        <row r="92">
          <cell r="H92">
            <v>-29159.797971095395</v>
          </cell>
        </row>
      </sheetData>
      <sheetData sheetId="12">
        <row r="85">
          <cell r="Q85">
            <v>99140.018005851904</v>
          </cell>
        </row>
        <row r="86">
          <cell r="H86">
            <v>-73487.828000000038</v>
          </cell>
        </row>
        <row r="89">
          <cell r="Q89">
            <v>83284.995948683325</v>
          </cell>
        </row>
        <row r="92">
          <cell r="H92">
            <v>-101925.56280028114</v>
          </cell>
        </row>
      </sheetData>
      <sheetData sheetId="13">
        <row r="85">
          <cell r="Q85">
            <v>103912.71371011651</v>
          </cell>
        </row>
        <row r="86">
          <cell r="H86">
            <v>150811.39700000003</v>
          </cell>
        </row>
        <row r="89">
          <cell r="Q89">
            <v>85082.053940779442</v>
          </cell>
        </row>
        <row r="92">
          <cell r="H92">
            <v>31124.671030812926</v>
          </cell>
        </row>
      </sheetData>
      <sheetData sheetId="14">
        <row r="85">
          <cell r="Q85">
            <v>96674.462628236448</v>
          </cell>
        </row>
        <row r="86">
          <cell r="H86">
            <v>32887.763999999996</v>
          </cell>
        </row>
        <row r="89">
          <cell r="Q89">
            <v>74256.72503052502</v>
          </cell>
        </row>
        <row r="92">
          <cell r="H92">
            <v>-16754.584721313826</v>
          </cell>
        </row>
      </sheetData>
      <sheetData sheetId="15">
        <row r="85">
          <cell r="Q85">
            <v>99956.742452135499</v>
          </cell>
        </row>
        <row r="86">
          <cell r="H86">
            <v>108750.22300000013</v>
          </cell>
        </row>
        <row r="89">
          <cell r="Q89">
            <v>74426.786818851251</v>
          </cell>
        </row>
        <row r="92">
          <cell r="H92">
            <v>40647.485178095754</v>
          </cell>
        </row>
      </sheetData>
      <sheetData sheetId="16">
        <row r="85">
          <cell r="Q85">
            <v>93545.332732669063</v>
          </cell>
        </row>
        <row r="86">
          <cell r="H86">
            <v>11519.028999999902</v>
          </cell>
        </row>
        <row r="89">
          <cell r="Q89">
            <v>76356.338986644056</v>
          </cell>
        </row>
        <row r="92">
          <cell r="H92">
            <v>-43826.267232468424</v>
          </cell>
        </row>
      </sheetData>
      <sheetData sheetId="17">
        <row r="85">
          <cell r="Q85">
            <v>107802.98507462686</v>
          </cell>
        </row>
        <row r="86">
          <cell r="H86">
            <v>78016.51999999996</v>
          </cell>
        </row>
        <row r="89">
          <cell r="Q89">
            <v>85472.134490907236</v>
          </cell>
        </row>
        <row r="92">
          <cell r="H92">
            <v>12336.040914530895</v>
          </cell>
        </row>
      </sheetData>
      <sheetData sheetId="18">
        <row r="85">
          <cell r="Q85">
            <v>100356.98767377723</v>
          </cell>
        </row>
        <row r="86">
          <cell r="H86">
            <v>71697.308999999979</v>
          </cell>
        </row>
        <row r="89">
          <cell r="Q89">
            <v>83852.327500419284</v>
          </cell>
        </row>
        <row r="92">
          <cell r="H92">
            <v>-33606.403486350668</v>
          </cell>
        </row>
      </sheetData>
      <sheetData sheetId="19">
        <row r="85">
          <cell r="Q85">
            <v>112766.3680781759</v>
          </cell>
        </row>
        <row r="86">
          <cell r="H86">
            <v>-36517.006999999998</v>
          </cell>
        </row>
        <row r="89">
          <cell r="Q89">
            <v>75882.359934853419</v>
          </cell>
        </row>
        <row r="92">
          <cell r="H92">
            <v>-44695.248352362316</v>
          </cell>
        </row>
      </sheetData>
      <sheetData sheetId="20">
        <row r="85">
          <cell r="Q85">
            <v>106486.71714579055</v>
          </cell>
        </row>
        <row r="86">
          <cell r="H86">
            <v>57866.905000000035</v>
          </cell>
        </row>
        <row r="89">
          <cell r="Q89">
            <v>71564.787217659134</v>
          </cell>
        </row>
        <row r="92">
          <cell r="H92">
            <v>33365.19756319208</v>
          </cell>
        </row>
      </sheetData>
      <sheetData sheetId="21">
        <row r="85">
          <cell r="Q85">
            <v>96124.124880510833</v>
          </cell>
        </row>
        <row r="86">
          <cell r="H86">
            <v>149180.40499999985</v>
          </cell>
        </row>
        <row r="89">
          <cell r="Q89">
            <v>73533.898902611545</v>
          </cell>
        </row>
        <row r="92">
          <cell r="H92">
            <v>74945.88917633277</v>
          </cell>
        </row>
      </sheetData>
      <sheetData sheetId="22">
        <row r="85">
          <cell r="Q85">
            <v>120936.46410756886</v>
          </cell>
        </row>
        <row r="86">
          <cell r="H86">
            <v>53836.507999999871</v>
          </cell>
        </row>
        <row r="89">
          <cell r="Q89">
            <v>89525.331381479074</v>
          </cell>
        </row>
        <row r="92">
          <cell r="H92">
            <v>20425.29679328671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13181.720279720281</v>
          </cell>
          <cell r="X10">
            <v>9950</v>
          </cell>
        </row>
        <row r="14">
          <cell r="W14">
            <v>5000</v>
          </cell>
          <cell r="X14">
            <v>6392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U27">
            <v>1</v>
          </cell>
          <cell r="V27">
            <v>13256</v>
          </cell>
        </row>
        <row r="29">
          <cell r="U29">
            <v>0</v>
          </cell>
          <cell r="V29">
            <v>976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 refreshError="1"/>
      <sheetData sheetId="1">
        <row r="10">
          <cell r="F10">
            <v>21952.98</v>
          </cell>
          <cell r="G10">
            <v>14324</v>
          </cell>
        </row>
        <row r="12">
          <cell r="F12">
            <v>20160</v>
          </cell>
          <cell r="G12">
            <v>5776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X10">
            <v>9902</v>
          </cell>
        </row>
        <row r="14">
          <cell r="X14">
            <v>14671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V27">
            <v>14366</v>
          </cell>
        </row>
        <row r="29">
          <cell r="V29">
            <v>6048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25">
          <cell r="Y25">
            <v>7142</v>
          </cell>
        </row>
        <row r="27">
          <cell r="Y27">
            <v>5808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매출이익,매출이익률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7000</v>
          </cell>
          <cell r="I6">
            <v>8500</v>
          </cell>
          <cell r="J6">
            <v>9400</v>
          </cell>
          <cell r="K6">
            <v>8100</v>
          </cell>
          <cell r="L6">
            <v>8500</v>
          </cell>
          <cell r="M6">
            <v>9500</v>
          </cell>
          <cell r="N6">
            <v>10000</v>
          </cell>
          <cell r="O6">
            <v>11000</v>
          </cell>
          <cell r="P6">
            <v>11600</v>
          </cell>
          <cell r="Q6">
            <v>11600</v>
          </cell>
          <cell r="R6">
            <v>10800</v>
          </cell>
          <cell r="S6">
            <v>114000</v>
          </cell>
          <cell r="T6"/>
          <cell r="U6"/>
          <cell r="V6">
            <v>15000</v>
          </cell>
          <cell r="W6">
            <v>23500</v>
          </cell>
          <cell r="X6">
            <v>32900</v>
          </cell>
          <cell r="Y6">
            <v>41000</v>
          </cell>
          <cell r="Z6">
            <v>49500</v>
          </cell>
          <cell r="AA6">
            <v>59000</v>
          </cell>
          <cell r="AB6">
            <v>69000</v>
          </cell>
          <cell r="AC6">
            <v>80000</v>
          </cell>
          <cell r="AD6">
            <v>91600</v>
          </cell>
          <cell r="AE6">
            <v>103200</v>
          </cell>
          <cell r="AF6">
            <v>114000</v>
          </cell>
        </row>
        <row r="7">
          <cell r="G7">
            <v>7664843.438000001</v>
          </cell>
          <cell r="H7">
            <v>6724612.3420000011</v>
          </cell>
          <cell r="I7">
            <v>8197613.5220000008</v>
          </cell>
          <cell r="J7">
            <v>9270292.1250000019</v>
          </cell>
          <cell r="K7">
            <v>8182096.0099999998</v>
          </cell>
          <cell r="L7">
            <v>8768426.0300000012</v>
          </cell>
          <cell r="M7">
            <v>9997633.0600000005</v>
          </cell>
          <cell r="N7">
            <v>10755852.659999998</v>
          </cell>
          <cell r="O7">
            <v>12095400.806</v>
          </cell>
          <cell r="P7">
            <v>13010178.374</v>
          </cell>
          <cell r="Q7">
            <v>13245843.674000001</v>
          </cell>
          <cell r="R7">
            <v>12087608.564999999</v>
          </cell>
          <cell r="S7">
            <v>120000400.60599999</v>
          </cell>
          <cell r="T7">
            <v>1052635.0930350877</v>
          </cell>
          <cell r="U7"/>
          <cell r="V7">
            <v>14389455.780000001</v>
          </cell>
          <cell r="W7">
            <v>22587069.302000001</v>
          </cell>
          <cell r="X7">
            <v>31857361.427000001</v>
          </cell>
          <cell r="Y7">
            <v>40039457.436999999</v>
          </cell>
          <cell r="Z7">
            <v>48807883.467</v>
          </cell>
          <cell r="AA7">
            <v>58805516.527000003</v>
          </cell>
          <cell r="AB7">
            <v>69561369.187000006</v>
          </cell>
          <cell r="AC7">
            <v>81656769.993000001</v>
          </cell>
          <cell r="AD7">
            <v>94666948.366999999</v>
          </cell>
          <cell r="AE7">
            <v>107912792.04099999</v>
          </cell>
          <cell r="AF7">
            <v>120000400.60599999</v>
          </cell>
        </row>
        <row r="8">
          <cell r="G8">
            <v>958105.42975000013</v>
          </cell>
          <cell r="H8">
            <v>960658.90600000008</v>
          </cell>
          <cell r="I8">
            <v>964425.12023529422</v>
          </cell>
          <cell r="J8">
            <v>986201.28989361716</v>
          </cell>
          <cell r="K8">
            <v>1010135.3098765431</v>
          </cell>
          <cell r="L8">
            <v>1031579.5329411767</v>
          </cell>
          <cell r="M8">
            <v>1052382.4273684211</v>
          </cell>
          <cell r="N8">
            <v>1075585.2659999998</v>
          </cell>
          <cell r="O8">
            <v>1099581.8914545455</v>
          </cell>
          <cell r="P8">
            <v>1121567.1012068966</v>
          </cell>
          <cell r="Q8">
            <v>1141883.0753448275</v>
          </cell>
          <cell r="R8">
            <v>1119223.0152777776</v>
          </cell>
          <cell r="S8">
            <v>12521328.365349099</v>
          </cell>
          <cell r="T8">
            <v>109836.21373113245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7497045.0560000008</v>
          </cell>
          <cell r="H9">
            <v>6587018.6040000003</v>
          </cell>
          <cell r="I9">
            <v>8020259.3359999992</v>
          </cell>
          <cell r="J9">
            <v>9047355.0950000007</v>
          </cell>
          <cell r="K9">
            <v>7960224.5199999986</v>
          </cell>
          <cell r="L9">
            <v>8509567.8339999989</v>
          </cell>
          <cell r="M9">
            <v>9686395.1279999986</v>
          </cell>
          <cell r="N9">
            <v>10399756.106000002</v>
          </cell>
          <cell r="O9">
            <v>11655315.384</v>
          </cell>
          <cell r="P9">
            <v>12510523.375999996</v>
          </cell>
          <cell r="Q9">
            <v>12713703.596000001</v>
          </cell>
          <cell r="R9">
            <v>11610766.225000001</v>
          </cell>
          <cell r="S9">
            <v>116197930.25999999</v>
          </cell>
          <cell r="T9">
            <v>1019280.09</v>
          </cell>
          <cell r="U9"/>
          <cell r="V9">
            <v>14084063.66</v>
          </cell>
          <cell r="W9">
            <v>22104322.995999999</v>
          </cell>
          <cell r="X9">
            <v>31151678.090999998</v>
          </cell>
          <cell r="Y9">
            <v>39111902.610999994</v>
          </cell>
          <cell r="Z9">
            <v>47621470.444999993</v>
          </cell>
          <cell r="AA9">
            <v>57307865.572999991</v>
          </cell>
          <cell r="AB9">
            <v>67707621.67899999</v>
          </cell>
          <cell r="AC9">
            <v>79362937.062999994</v>
          </cell>
          <cell r="AD9">
            <v>91873460.438999996</v>
          </cell>
          <cell r="AE9">
            <v>104587164.035</v>
          </cell>
          <cell r="AF9">
            <v>116197930.25999999</v>
          </cell>
        </row>
        <row r="10">
          <cell r="G10">
            <v>937130.6320000001</v>
          </cell>
          <cell r="H10">
            <v>941002.65771428577</v>
          </cell>
          <cell r="I10">
            <v>943559.92188235279</v>
          </cell>
          <cell r="J10">
            <v>962484.5845744682</v>
          </cell>
          <cell r="K10">
            <v>982743.76790123433</v>
          </cell>
          <cell r="L10">
            <v>1001125.6275294117</v>
          </cell>
          <cell r="M10">
            <v>1019620.5397894736</v>
          </cell>
          <cell r="N10">
            <v>1039975.6106000002</v>
          </cell>
          <cell r="O10">
            <v>1059574.1258181818</v>
          </cell>
          <cell r="P10">
            <v>1078493.3944827584</v>
          </cell>
          <cell r="Q10">
            <v>1096008.9306896552</v>
          </cell>
          <cell r="R10">
            <v>1075070.9467592593</v>
          </cell>
          <cell r="S10">
            <v>12136790.739741081</v>
          </cell>
          <cell r="T10">
            <v>106463.07666439544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167798.38200000022</v>
          </cell>
          <cell r="H11">
            <v>137593.73800000083</v>
          </cell>
          <cell r="I11">
            <v>177354.18600000162</v>
          </cell>
          <cell r="J11">
            <v>222937.03000000119</v>
          </cell>
          <cell r="K11">
            <v>221871.49000000115</v>
          </cell>
          <cell r="L11">
            <v>258858.19600000232</v>
          </cell>
          <cell r="M11">
            <v>311237.93200000189</v>
          </cell>
          <cell r="N11">
            <v>356096.55399999581</v>
          </cell>
          <cell r="O11">
            <v>440085.42200000025</v>
          </cell>
          <cell r="P11">
            <v>499654.9980000034</v>
          </cell>
          <cell r="Q11">
            <v>532140.07799999975</v>
          </cell>
          <cell r="R11">
            <v>476842.33999999799</v>
          </cell>
          <cell r="S11">
            <v>3802470.3460000064</v>
          </cell>
          <cell r="T11">
            <v>33355.003035087779</v>
          </cell>
          <cell r="U11"/>
          <cell r="V11">
            <v>305392.12000000104</v>
          </cell>
          <cell r="W11">
            <v>482746.30600000173</v>
          </cell>
          <cell r="X11">
            <v>705683.33600000292</v>
          </cell>
          <cell r="Y11">
            <v>927554.82600000501</v>
          </cell>
          <cell r="Z11">
            <v>1186413.0220000073</v>
          </cell>
          <cell r="AA11">
            <v>1497650.9540000111</v>
          </cell>
          <cell r="AB11">
            <v>1853747.5080000162</v>
          </cell>
          <cell r="AC11">
            <v>2293832.9300000072</v>
          </cell>
          <cell r="AD11">
            <v>2793487.9280000031</v>
          </cell>
          <cell r="AE11">
            <v>3325628.0059999973</v>
          </cell>
          <cell r="AF11">
            <v>3802470.3460000008</v>
          </cell>
        </row>
        <row r="12">
          <cell r="G12">
            <v>20974.797750000027</v>
          </cell>
          <cell r="H12">
            <v>19656.248285714406</v>
          </cell>
          <cell r="I12">
            <v>20865.198352941366</v>
          </cell>
          <cell r="J12">
            <v>23716.705319149063</v>
          </cell>
          <cell r="K12">
            <v>27391.541975308784</v>
          </cell>
          <cell r="L12">
            <v>30453.905411764979</v>
          </cell>
          <cell r="M12">
            <v>32761.887578947564</v>
          </cell>
          <cell r="N12">
            <v>35609.655399999581</v>
          </cell>
          <cell r="O12">
            <v>40007.765636363656</v>
          </cell>
          <cell r="P12">
            <v>43073.706724138225</v>
          </cell>
          <cell r="Q12">
            <v>45874.144655172393</v>
          </cell>
          <cell r="R12">
            <v>44152.068518518332</v>
          </cell>
          <cell r="S12">
            <v>384537.62560801837</v>
          </cell>
          <cell r="T12">
            <v>3373.1370667370034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2.189195165658649E-2</v>
          </cell>
          <cell r="H13">
            <v>2.046121486299363E-2</v>
          </cell>
          <cell r="I13">
            <v>2.1634855744788989E-2</v>
          </cell>
          <cell r="J13">
            <v>2.4048544209171956E-2</v>
          </cell>
          <cell r="K13">
            <v>2.7116705759604152E-2</v>
          </cell>
          <cell r="L13">
            <v>2.9521626243336433E-2</v>
          </cell>
          <cell r="M13">
            <v>3.1131161759201619E-2</v>
          </cell>
          <cell r="N13">
            <v>3.3107236149141885E-2</v>
          </cell>
          <cell r="O13">
            <v>3.6384525743181087E-2</v>
          </cell>
          <cell r="P13">
            <v>3.8404930634812172E-2</v>
          </cell>
          <cell r="Q13">
            <v>4.0174117337993864E-2</v>
          </cell>
          <cell r="R13">
            <v>3.9448856855003399E-2</v>
          </cell>
          <cell r="S13">
            <v>3.1687147099489631E-2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162117.92599999998</v>
          </cell>
          <cell r="H14">
            <v>137838.93599999999</v>
          </cell>
          <cell r="I14">
            <v>142380.815</v>
          </cell>
          <cell r="J14">
            <v>162462.32500000001</v>
          </cell>
          <cell r="K14">
            <v>132151.32500000001</v>
          </cell>
          <cell r="L14">
            <v>133701.32500000001</v>
          </cell>
          <cell r="M14">
            <v>160201.32500000001</v>
          </cell>
          <cell r="N14">
            <v>130201.32500000001</v>
          </cell>
          <cell r="O14">
            <v>151849.35500000001</v>
          </cell>
          <cell r="P14">
            <v>161241.32500000001</v>
          </cell>
          <cell r="Q14">
            <v>145201.32500000001</v>
          </cell>
          <cell r="R14">
            <v>150901.32500000001</v>
          </cell>
          <cell r="S14">
            <v>1770248.6319999998</v>
          </cell>
          <cell r="T14">
            <v>15528.496771929822</v>
          </cell>
          <cell r="U14"/>
          <cell r="V14">
            <v>299956.86199999996</v>
          </cell>
          <cell r="W14">
            <v>442337.67699999997</v>
          </cell>
          <cell r="X14">
            <v>604800.00199999998</v>
          </cell>
          <cell r="Y14">
            <v>736951.32700000005</v>
          </cell>
          <cell r="Z14">
            <v>870652.652</v>
          </cell>
          <cell r="AA14">
            <v>1030853.9770000001</v>
          </cell>
          <cell r="AB14">
            <v>1161055.3020000001</v>
          </cell>
          <cell r="AC14">
            <v>1312904.6570000001</v>
          </cell>
          <cell r="AD14">
            <v>1474145.9820000003</v>
          </cell>
          <cell r="AE14">
            <v>1619347.3070000003</v>
          </cell>
          <cell r="AF14">
            <v>1770248.6320000002</v>
          </cell>
        </row>
        <row r="15">
          <cell r="D15">
            <v>11</v>
          </cell>
          <cell r="G15">
            <v>93613.635999999984</v>
          </cell>
          <cell r="H15">
            <v>93613.635999999984</v>
          </cell>
          <cell r="I15">
            <v>95152.545000000013</v>
          </cell>
          <cell r="J15">
            <v>95152.545000000013</v>
          </cell>
          <cell r="K15">
            <v>95152.545000000013</v>
          </cell>
          <cell r="L15">
            <v>95152.545000000013</v>
          </cell>
          <cell r="M15">
            <v>95152.545000000013</v>
          </cell>
          <cell r="N15">
            <v>95152.545000000013</v>
          </cell>
          <cell r="O15">
            <v>95152.545000000013</v>
          </cell>
          <cell r="P15">
            <v>95152.545000000013</v>
          </cell>
          <cell r="Q15">
            <v>95152.545000000013</v>
          </cell>
          <cell r="R15">
            <v>95152.545000000013</v>
          </cell>
          <cell r="S15">
            <v>1138752.7220000003</v>
          </cell>
          <cell r="T15">
            <v>9989.058964912283</v>
          </cell>
          <cell r="U15"/>
          <cell r="V15">
            <v>187227.27199999997</v>
          </cell>
          <cell r="W15">
            <v>282379.81699999998</v>
          </cell>
          <cell r="X15">
            <v>377532.36199999996</v>
          </cell>
          <cell r="Y15">
            <v>472684.90700000001</v>
          </cell>
          <cell r="Z15">
            <v>567837.45200000005</v>
          </cell>
          <cell r="AA15">
            <v>662989.99700000009</v>
          </cell>
          <cell r="AB15">
            <v>758142.54200000013</v>
          </cell>
          <cell r="AC15">
            <v>853295.08700000017</v>
          </cell>
          <cell r="AD15">
            <v>948447.63200000022</v>
          </cell>
          <cell r="AE15">
            <v>1043600.1770000003</v>
          </cell>
          <cell r="AF15">
            <v>1138752.7220000003</v>
          </cell>
        </row>
        <row r="16">
          <cell r="D16">
            <v>12</v>
          </cell>
          <cell r="G16">
            <v>68504.289999999994</v>
          </cell>
          <cell r="H16">
            <v>44225.3</v>
          </cell>
          <cell r="I16">
            <v>47228.27</v>
          </cell>
          <cell r="J16">
            <v>67309.78</v>
          </cell>
          <cell r="K16">
            <v>36998.78</v>
          </cell>
          <cell r="L16">
            <v>38548.78</v>
          </cell>
          <cell r="M16">
            <v>65048.78</v>
          </cell>
          <cell r="N16">
            <v>35048.78</v>
          </cell>
          <cell r="O16">
            <v>56696.81</v>
          </cell>
          <cell r="P16">
            <v>66088.78</v>
          </cell>
          <cell r="Q16">
            <v>50048.78</v>
          </cell>
          <cell r="R16">
            <v>55748.78</v>
          </cell>
          <cell r="S16">
            <v>631495.91</v>
          </cell>
          <cell r="T16">
            <v>5539.4378070175435</v>
          </cell>
          <cell r="U16"/>
          <cell r="V16">
            <v>112729.59</v>
          </cell>
          <cell r="W16">
            <v>159957.85999999999</v>
          </cell>
          <cell r="X16">
            <v>227267.63999999998</v>
          </cell>
          <cell r="Y16">
            <v>264266.42</v>
          </cell>
          <cell r="Z16">
            <v>302815.19999999995</v>
          </cell>
          <cell r="AA16">
            <v>367863.98</v>
          </cell>
          <cell r="AB16">
            <v>402912.76</v>
          </cell>
          <cell r="AC16">
            <v>459609.57</v>
          </cell>
          <cell r="AD16">
            <v>525698.35</v>
          </cell>
          <cell r="AE16">
            <v>575747.13</v>
          </cell>
          <cell r="AF16">
            <v>631495.91</v>
          </cell>
        </row>
        <row r="17">
          <cell r="G17">
            <v>5680.4560000002384</v>
          </cell>
          <cell r="H17">
            <v>-245.19799999915995</v>
          </cell>
          <cell r="I17">
            <v>34973.371000001614</v>
          </cell>
          <cell r="J17">
            <v>60474.70500000118</v>
          </cell>
          <cell r="K17">
            <v>89720.165000001143</v>
          </cell>
          <cell r="L17">
            <v>125156.87100000231</v>
          </cell>
          <cell r="M17">
            <v>151036.60700000188</v>
          </cell>
          <cell r="N17">
            <v>225895.2289999958</v>
          </cell>
          <cell r="O17">
            <v>288236.06700000027</v>
          </cell>
          <cell r="P17">
            <v>338413.67300000339</v>
          </cell>
          <cell r="Q17">
            <v>386938.75299999974</v>
          </cell>
          <cell r="R17">
            <v>325941.01499999798</v>
          </cell>
          <cell r="S17">
            <v>2032221.7140000064</v>
          </cell>
          <cell r="T17">
            <v>17826.506263157953</v>
          </cell>
          <cell r="U17"/>
          <cell r="V17">
            <v>5435.2580000010785</v>
          </cell>
          <cell r="W17">
            <v>40408.629000001762</v>
          </cell>
          <cell r="X17">
            <v>100883.33400000294</v>
          </cell>
          <cell r="Y17">
            <v>190603.49900000496</v>
          </cell>
          <cell r="Z17">
            <v>315760.37000000733</v>
          </cell>
          <cell r="AA17">
            <v>466796.97700001101</v>
          </cell>
          <cell r="AB17">
            <v>692692.20600001607</v>
          </cell>
          <cell r="AC17">
            <v>980928.27300000703</v>
          </cell>
          <cell r="AD17">
            <v>1319341.9460000028</v>
          </cell>
          <cell r="AE17">
            <v>1706280.698999997</v>
          </cell>
          <cell r="AF17">
            <v>2032221.7140000006</v>
          </cell>
        </row>
        <row r="18">
          <cell r="G18">
            <v>7.4110528753114997E-4</v>
          </cell>
          <cell r="H18">
            <v>-3.6462771016215097E-5</v>
          </cell>
          <cell r="I18">
            <v>4.2662868780216703E-3</v>
          </cell>
          <cell r="J18">
            <v>6.5234950727079887E-3</v>
          </cell>
          <cell r="K18">
            <v>1.0965425593924452E-2</v>
          </cell>
          <cell r="L18">
            <v>1.4273584628734366E-2</v>
          </cell>
          <cell r="M18">
            <v>1.510723649223448E-2</v>
          </cell>
          <cell r="N18">
            <v>2.1002075441222699E-2</v>
          </cell>
          <cell r="O18">
            <v>2.3830220397245451E-2</v>
          </cell>
          <cell r="P18">
            <v>2.6011455283065237E-2</v>
          </cell>
          <cell r="Q18">
            <v>2.9212088148036504E-2</v>
          </cell>
          <cell r="R18">
            <v>2.69648883190815E-2</v>
          </cell>
          <cell r="S18">
            <v>1.6935124414062964E-2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D19">
            <v>15</v>
          </cell>
          <cell r="G19">
            <v>5186.2629999999999</v>
          </cell>
          <cell r="H19">
            <v>5186.2629999999999</v>
          </cell>
          <cell r="I19">
            <v>5186.2629999999999</v>
          </cell>
          <cell r="J19">
            <v>5186.2629999999999</v>
          </cell>
          <cell r="K19">
            <v>5186.2629999999999</v>
          </cell>
          <cell r="L19">
            <v>5186.2629999999999</v>
          </cell>
          <cell r="M19">
            <v>5186.2629999999999</v>
          </cell>
          <cell r="N19">
            <v>5186.2629999999999</v>
          </cell>
          <cell r="O19">
            <v>5186.2629999999999</v>
          </cell>
          <cell r="P19">
            <v>5186.2629999999999</v>
          </cell>
          <cell r="Q19">
            <v>5186.2629999999999</v>
          </cell>
          <cell r="R19">
            <v>5186.2629999999999</v>
          </cell>
          <cell r="S19">
            <v>62235.155999999995</v>
          </cell>
          <cell r="T19">
            <v>545.92242105263153</v>
          </cell>
          <cell r="U19"/>
          <cell r="V19">
            <v>10372.526</v>
          </cell>
          <cell r="W19">
            <v>15558.789000000001</v>
          </cell>
          <cell r="X19">
            <v>20745.052</v>
          </cell>
          <cell r="Y19">
            <v>25931.314999999999</v>
          </cell>
          <cell r="Z19">
            <v>31117.577999999998</v>
          </cell>
          <cell r="AA19">
            <v>36303.841</v>
          </cell>
          <cell r="AB19">
            <v>41490.103999999999</v>
          </cell>
          <cell r="AC19">
            <v>46676.366999999998</v>
          </cell>
          <cell r="AD19">
            <v>51862.63</v>
          </cell>
          <cell r="AE19">
            <v>57048.892999999996</v>
          </cell>
          <cell r="AF19">
            <v>62235.155999999995</v>
          </cell>
        </row>
        <row r="20">
          <cell r="G20">
            <v>5186.2629999999999</v>
          </cell>
          <cell r="H20">
            <v>5186.2629999999999</v>
          </cell>
          <cell r="I20">
            <v>5186.2629999999999</v>
          </cell>
          <cell r="J20">
            <v>5186.2629999999999</v>
          </cell>
          <cell r="K20">
            <v>5186.2629999999999</v>
          </cell>
          <cell r="L20">
            <v>5186.2629999999999</v>
          </cell>
          <cell r="M20">
            <v>5186.2629999999999</v>
          </cell>
          <cell r="N20">
            <v>5186.2629999999999</v>
          </cell>
          <cell r="O20">
            <v>5186.2629999999999</v>
          </cell>
          <cell r="P20">
            <v>5186.2629999999999</v>
          </cell>
          <cell r="Q20">
            <v>5186.2629999999999</v>
          </cell>
          <cell r="R20">
            <v>5186.2629999999999</v>
          </cell>
          <cell r="S20">
            <v>62235.155999999995</v>
          </cell>
          <cell r="T20">
            <v>545.92242105263153</v>
          </cell>
          <cell r="U20"/>
          <cell r="V20">
            <v>10372.526</v>
          </cell>
          <cell r="W20">
            <v>15558.789000000001</v>
          </cell>
          <cell r="X20">
            <v>20745.052</v>
          </cell>
          <cell r="Y20">
            <v>25931.314999999999</v>
          </cell>
          <cell r="Z20">
            <v>31117.577999999998</v>
          </cell>
          <cell r="AA20">
            <v>36303.841</v>
          </cell>
          <cell r="AB20">
            <v>41490.103999999999</v>
          </cell>
          <cell r="AC20">
            <v>46676.366999999998</v>
          </cell>
          <cell r="AD20">
            <v>51862.63</v>
          </cell>
          <cell r="AE20">
            <v>57048.892999999996</v>
          </cell>
          <cell r="AF20">
            <v>62235.155999999995</v>
          </cell>
        </row>
        <row r="21">
          <cell r="G21">
            <v>494.1930000002385</v>
          </cell>
          <cell r="H21">
            <v>-5431.4609999991599</v>
          </cell>
          <cell r="I21">
            <v>29787.108000001615</v>
          </cell>
          <cell r="J21">
            <v>55288.442000001181</v>
          </cell>
          <cell r="K21">
            <v>84533.902000001137</v>
          </cell>
          <cell r="L21">
            <v>119970.60800000231</v>
          </cell>
          <cell r="M21">
            <v>145850.34400000187</v>
          </cell>
          <cell r="N21">
            <v>220708.96599999579</v>
          </cell>
          <cell r="O21">
            <v>283049.80400000029</v>
          </cell>
          <cell r="P21">
            <v>333227.41000000341</v>
          </cell>
          <cell r="Q21">
            <v>381752.48999999976</v>
          </cell>
          <cell r="R21">
            <v>320754.751999998</v>
          </cell>
          <cell r="S21">
            <v>1969986.5580000065</v>
          </cell>
          <cell r="T21">
            <v>17280.583842105319</v>
          </cell>
          <cell r="U21"/>
          <cell r="V21">
            <v>-4937.2679999989214</v>
          </cell>
          <cell r="W21">
            <v>24849.840000001761</v>
          </cell>
          <cell r="X21">
            <v>80138.282000002946</v>
          </cell>
          <cell r="Y21">
            <v>164672.18400000496</v>
          </cell>
          <cell r="Z21">
            <v>284642.79200000735</v>
          </cell>
          <cell r="AA21">
            <v>430493.136000011</v>
          </cell>
          <cell r="AB21">
            <v>651202.10200001602</v>
          </cell>
          <cell r="AC21">
            <v>934251.90600000706</v>
          </cell>
          <cell r="AD21">
            <v>1267479.3160000029</v>
          </cell>
          <cell r="AE21">
            <v>1649231.8059999971</v>
          </cell>
          <cell r="AF21">
            <v>1969986.5580000007</v>
          </cell>
        </row>
        <row r="22">
          <cell r="G22">
            <v>6.4475289547360801E-5</v>
          </cell>
          <cell r="H22">
            <v>-8.0769875254753517E-4</v>
          </cell>
          <cell r="I22">
            <v>3.6336316563426313E-3</v>
          </cell>
          <cell r="J22">
            <v>5.9640452808277788E-3</v>
          </cell>
          <cell r="K22">
            <v>1.0331570528711156E-2</v>
          </cell>
          <cell r="L22">
            <v>1.3682114394252612E-2</v>
          </cell>
          <cell r="M22">
            <v>1.4588487407438603E-2</v>
          </cell>
          <cell r="N22">
            <v>2.0519894886696581E-2</v>
          </cell>
          <cell r="O22">
            <v>2.3401440641767874E-2</v>
          </cell>
          <cell r="P22">
            <v>2.5612824084405857E-2</v>
          </cell>
          <cell r="Q22">
            <v>2.8820549252693811E-2</v>
          </cell>
          <cell r="R22">
            <v>2.6535832152006653E-2</v>
          </cell>
          <cell r="S22">
            <v>1.6416499845430581E-2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D23">
            <v>19</v>
          </cell>
          <cell r="G23">
            <v>46711.785891015665</v>
          </cell>
          <cell r="H23">
            <v>31064.681835606094</v>
          </cell>
          <cell r="I23">
            <v>32500.88350237425</v>
          </cell>
          <cell r="J23">
            <v>53262.669134276592</v>
          </cell>
          <cell r="K23">
            <v>40928.836279637973</v>
          </cell>
          <cell r="L23">
            <v>36973.36228764063</v>
          </cell>
          <cell r="M23">
            <v>39636.337685581108</v>
          </cell>
          <cell r="N23">
            <v>38609.148357060745</v>
          </cell>
          <cell r="O23">
            <v>34777.95497231694</v>
          </cell>
          <cell r="P23">
            <v>35414.757381865682</v>
          </cell>
          <cell r="Q23">
            <v>35208.407481104048</v>
          </cell>
          <cell r="R23">
            <v>44414.015062429309</v>
          </cell>
          <cell r="S23">
            <v>469502.83987090905</v>
          </cell>
          <cell r="T23">
            <v>4118.4459637799046</v>
          </cell>
          <cell r="U23"/>
          <cell r="V23">
            <v>77776.467726621762</v>
          </cell>
          <cell r="W23">
            <v>110277.35122899601</v>
          </cell>
          <cell r="X23">
            <v>163540.0203632726</v>
          </cell>
          <cell r="Y23">
            <v>204468.85664291057</v>
          </cell>
          <cell r="Z23">
            <v>241442.2189305512</v>
          </cell>
          <cell r="AA23">
            <v>281078.55661613232</v>
          </cell>
          <cell r="AB23">
            <v>319687.70497319306</v>
          </cell>
          <cell r="AC23">
            <v>354465.65994550998</v>
          </cell>
          <cell r="AD23">
            <v>389880.41732737568</v>
          </cell>
          <cell r="AE23">
            <v>425088.82480847975</v>
          </cell>
          <cell r="AF23">
            <v>469502.83987090905</v>
          </cell>
        </row>
        <row r="24">
          <cell r="G24">
            <v>-46217.592891015425</v>
          </cell>
          <cell r="H24">
            <v>-36496.142835605257</v>
          </cell>
          <cell r="I24">
            <v>-2713.7755023726349</v>
          </cell>
          <cell r="J24">
            <v>2025.7728657245898</v>
          </cell>
          <cell r="K24">
            <v>43605.065720363164</v>
          </cell>
          <cell r="L24">
            <v>82997.245712361677</v>
          </cell>
          <cell r="M24">
            <v>106214.00631442077</v>
          </cell>
          <cell r="N24">
            <v>182099.81764293506</v>
          </cell>
          <cell r="O24">
            <v>248271.84902768335</v>
          </cell>
          <cell r="P24">
            <v>297812.65261813771</v>
          </cell>
          <cell r="Q24">
            <v>346544.08251889574</v>
          </cell>
          <cell r="R24">
            <v>276340.7369375687</v>
          </cell>
          <cell r="S24">
            <v>1500483.7181290977</v>
          </cell>
          <cell r="T24">
            <v>13162.137878325419</v>
          </cell>
          <cell r="U24"/>
          <cell r="V24">
            <v>-82713.735726620682</v>
          </cell>
          <cell r="W24">
            <v>-85427.511228994248</v>
          </cell>
          <cell r="X24">
            <v>-83401.738363269658</v>
          </cell>
          <cell r="Y24">
            <v>-39796.672642905614</v>
          </cell>
          <cell r="Z24">
            <v>43200.57306945615</v>
          </cell>
          <cell r="AA24">
            <v>149414.57938387868</v>
          </cell>
          <cell r="AB24">
            <v>331514.39702682296</v>
          </cell>
          <cell r="AC24">
            <v>579786.24605449708</v>
          </cell>
          <cell r="AD24">
            <v>877598.89867262729</v>
          </cell>
          <cell r="AE24">
            <v>1224142.9811915173</v>
          </cell>
          <cell r="AF24">
            <v>1500483.7181290917</v>
          </cell>
        </row>
        <row r="25">
          <cell r="G25">
            <v>-6.0298156465769968E-3</v>
          </cell>
          <cell r="H25">
            <v>-5.4272485876488089E-3</v>
          </cell>
          <cell r="I25">
            <v>-3.3104457719184419E-4</v>
          </cell>
          <cell r="J25">
            <v>2.1852308842150854E-4</v>
          </cell>
          <cell r="K25">
            <v>5.329327065713956E-3</v>
          </cell>
          <cell r="L25">
            <v>9.4654668270448602E-3</v>
          </cell>
          <cell r="M25">
            <v>1.0623915248437889E-2</v>
          </cell>
          <cell r="N25">
            <v>1.6930300497713872E-2</v>
          </cell>
          <cell r="O25">
            <v>2.0526136587762062E-2</v>
          </cell>
          <cell r="P25">
            <v>2.2890743236333871E-2</v>
          </cell>
          <cell r="Q25">
            <v>2.6162477154937299E-2</v>
          </cell>
          <cell r="R25">
            <v>2.2861489553667451E-2</v>
          </cell>
          <cell r="S25">
            <v>1.2503989241299866E-2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</row>
        <row r="26">
          <cell r="G26">
            <v>214015.97489101565</v>
          </cell>
          <cell r="H26">
            <v>174089.88083560608</v>
          </cell>
          <cell r="I26">
            <v>180067.96150237427</v>
          </cell>
          <cell r="J26">
            <v>220911.25713427662</v>
          </cell>
          <cell r="K26">
            <v>178266.42427963798</v>
          </cell>
          <cell r="L26">
            <v>175860.95028764065</v>
          </cell>
          <cell r="M26">
            <v>205023.92568558111</v>
          </cell>
          <cell r="N26">
            <v>173996.73635706076</v>
          </cell>
          <cell r="O26">
            <v>191813.57297231696</v>
          </cell>
          <cell r="P26">
            <v>201842.34538186569</v>
          </cell>
          <cell r="Q26">
            <v>185595.99548110407</v>
          </cell>
          <cell r="R26">
            <v>200501.60306242932</v>
          </cell>
          <cell r="S26">
            <v>2301986.6278709089</v>
          </cell>
          <cell r="T26">
            <v>20192.86515676236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</row>
        <row r="27"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</row>
        <row r="28">
          <cell r="S28"/>
        </row>
        <row r="29">
          <cell r="D29">
            <v>25</v>
          </cell>
          <cell r="G29">
            <v>8000</v>
          </cell>
          <cell r="H29">
            <v>7000</v>
          </cell>
          <cell r="I29">
            <v>8500</v>
          </cell>
          <cell r="J29">
            <v>9400</v>
          </cell>
          <cell r="K29">
            <v>8100</v>
          </cell>
          <cell r="L29">
            <v>8500</v>
          </cell>
          <cell r="M29">
            <v>9500</v>
          </cell>
          <cell r="N29">
            <v>10000</v>
          </cell>
          <cell r="O29">
            <v>11000</v>
          </cell>
          <cell r="P29">
            <v>11600</v>
          </cell>
          <cell r="Q29">
            <v>11600</v>
          </cell>
          <cell r="R29">
            <v>10800</v>
          </cell>
          <cell r="S29">
            <v>114000</v>
          </cell>
          <cell r="T29"/>
          <cell r="U29"/>
          <cell r="V29">
            <v>15000</v>
          </cell>
          <cell r="W29">
            <v>23500</v>
          </cell>
          <cell r="X29">
            <v>32900</v>
          </cell>
          <cell r="Y29">
            <v>41000</v>
          </cell>
          <cell r="Z29">
            <v>49500</v>
          </cell>
          <cell r="AA29">
            <v>59000</v>
          </cell>
          <cell r="AB29">
            <v>69000</v>
          </cell>
          <cell r="AC29">
            <v>80000</v>
          </cell>
          <cell r="AD29">
            <v>91600</v>
          </cell>
          <cell r="AE29">
            <v>103200</v>
          </cell>
          <cell r="AF29">
            <v>114000</v>
          </cell>
        </row>
        <row r="30">
          <cell r="D30">
            <v>26</v>
          </cell>
          <cell r="G30">
            <v>743250</v>
          </cell>
          <cell r="H30">
            <v>742142.85714285716</v>
          </cell>
          <cell r="I30">
            <v>745617.6470588235</v>
          </cell>
          <cell r="J30">
            <v>766053.19148936169</v>
          </cell>
          <cell r="K30">
            <v>784722.22222222213</v>
          </cell>
          <cell r="L30">
            <v>802811.76470588229</v>
          </cell>
          <cell r="M30">
            <v>822568.42105263157</v>
          </cell>
          <cell r="N30">
            <v>844000</v>
          </cell>
          <cell r="O30">
            <v>861454.54545454553</v>
          </cell>
          <cell r="P30">
            <v>880801.72413793101</v>
          </cell>
          <cell r="Q30">
            <v>899637.93103448278</v>
          </cell>
          <cell r="R30">
            <v>880185.18518518517</v>
          </cell>
          <cell r="S30">
            <v>822362.28070175438</v>
          </cell>
          <cell r="T30"/>
          <cell r="U30"/>
          <cell r="V30">
            <v>742733.33333333337</v>
          </cell>
          <cell r="W30">
            <v>743776.59574468085</v>
          </cell>
          <cell r="X30">
            <v>750141.33738601825</v>
          </cell>
          <cell r="Y30">
            <v>756973.17073170736</v>
          </cell>
          <cell r="Z30">
            <v>764844.44444444438</v>
          </cell>
          <cell r="AA30">
            <v>774138.98305084754</v>
          </cell>
          <cell r="AB30">
            <v>784263.76811594202</v>
          </cell>
          <cell r="AC30">
            <v>794877.5</v>
          </cell>
          <cell r="AD30">
            <v>805758.73362445412</v>
          </cell>
          <cell r="AE30">
            <v>816311.04651162785</v>
          </cell>
          <cell r="AF30">
            <v>822362.28070175438</v>
          </cell>
        </row>
        <row r="31">
          <cell r="D31">
            <v>27</v>
          </cell>
          <cell r="G31">
            <v>5946000</v>
          </cell>
          <cell r="H31">
            <v>5195000</v>
          </cell>
          <cell r="I31">
            <v>6337750</v>
          </cell>
          <cell r="J31">
            <v>7200900</v>
          </cell>
          <cell r="K31">
            <v>6356250</v>
          </cell>
          <cell r="L31">
            <v>6823900</v>
          </cell>
          <cell r="M31">
            <v>7814400</v>
          </cell>
          <cell r="N31">
            <v>8440000</v>
          </cell>
          <cell r="O31">
            <v>9476000</v>
          </cell>
          <cell r="P31">
            <v>10217300</v>
          </cell>
          <cell r="Q31">
            <v>10435800</v>
          </cell>
          <cell r="R31">
            <v>9506000</v>
          </cell>
          <cell r="S31">
            <v>93749300</v>
          </cell>
          <cell r="T31"/>
          <cell r="U31"/>
          <cell r="V31">
            <v>11141000</v>
          </cell>
          <cell r="W31">
            <v>17478750</v>
          </cell>
          <cell r="X31">
            <v>24679650</v>
          </cell>
          <cell r="Y31">
            <v>31035900</v>
          </cell>
          <cell r="Z31">
            <v>37859800</v>
          </cell>
          <cell r="AA31">
            <v>45674200</v>
          </cell>
          <cell r="AB31">
            <v>54114200</v>
          </cell>
          <cell r="AC31">
            <v>63590200</v>
          </cell>
          <cell r="AD31">
            <v>73807500</v>
          </cell>
          <cell r="AE31">
            <v>84243300</v>
          </cell>
          <cell r="AF31">
            <v>93749300</v>
          </cell>
        </row>
        <row r="32">
          <cell r="D32">
            <v>28</v>
          </cell>
          <cell r="G32">
            <v>1718843.438000001</v>
          </cell>
          <cell r="H32">
            <v>1529612.3420000011</v>
          </cell>
          <cell r="I32">
            <v>1859863.5220000008</v>
          </cell>
          <cell r="J32">
            <v>2069392.1250000019</v>
          </cell>
          <cell r="K32">
            <v>1825846.0099999998</v>
          </cell>
          <cell r="L32">
            <v>1944526.0300000012</v>
          </cell>
          <cell r="M32">
            <v>2183233.0600000005</v>
          </cell>
          <cell r="N32">
            <v>2315852.6599999983</v>
          </cell>
          <cell r="O32">
            <v>2619400.8059999999</v>
          </cell>
          <cell r="P32">
            <v>2792878.3739999998</v>
          </cell>
          <cell r="Q32">
            <v>2810043.6740000006</v>
          </cell>
          <cell r="R32">
            <v>2581608.5649999995</v>
          </cell>
          <cell r="S32">
            <v>26251100.606000006</v>
          </cell>
          <cell r="T32"/>
          <cell r="U32"/>
          <cell r="V32">
            <v>3248455.7800000021</v>
          </cell>
          <cell r="W32">
            <v>5108319.3020000029</v>
          </cell>
          <cell r="X32">
            <v>7177711.4270000048</v>
          </cell>
          <cell r="Y32">
            <v>9003557.4370000046</v>
          </cell>
          <cell r="Z32">
            <v>10948083.467000006</v>
          </cell>
          <cell r="AA32">
            <v>13131316.527000006</v>
          </cell>
          <cell r="AB32">
            <v>15447169.187000005</v>
          </cell>
          <cell r="AC32">
            <v>18066569.993000004</v>
          </cell>
          <cell r="AD32">
            <v>20859448.367000006</v>
          </cell>
          <cell r="AE32">
            <v>23669492.041000009</v>
          </cell>
          <cell r="AF32">
            <v>26251100.606000006</v>
          </cell>
        </row>
        <row r="33">
          <cell r="G33">
            <v>7664843.438000001</v>
          </cell>
          <cell r="H33">
            <v>6724612.3420000011</v>
          </cell>
          <cell r="I33">
            <v>8197613.5220000008</v>
          </cell>
          <cell r="J33">
            <v>9270292.1250000019</v>
          </cell>
          <cell r="K33">
            <v>8182096.0099999998</v>
          </cell>
          <cell r="L33">
            <v>8768426.0300000012</v>
          </cell>
          <cell r="M33">
            <v>9997633.0600000005</v>
          </cell>
          <cell r="N33">
            <v>10755852.659999998</v>
          </cell>
          <cell r="O33">
            <v>12095400.806</v>
          </cell>
          <cell r="P33">
            <v>13010178.374</v>
          </cell>
          <cell r="Q33">
            <v>13245843.674000001</v>
          </cell>
          <cell r="R33">
            <v>12087608.564999999</v>
          </cell>
          <cell r="S33">
            <v>120000400.60599999</v>
          </cell>
          <cell r="T33"/>
          <cell r="U33"/>
          <cell r="V33">
            <v>14389455.780000001</v>
          </cell>
          <cell r="W33">
            <v>22587069.302000001</v>
          </cell>
          <cell r="X33">
            <v>31857361.427000005</v>
          </cell>
          <cell r="Y33">
            <v>40039457.437000006</v>
          </cell>
          <cell r="Z33">
            <v>48807883.467000008</v>
          </cell>
          <cell r="AA33">
            <v>58805516.52700001</v>
          </cell>
          <cell r="AB33">
            <v>69561369.187000006</v>
          </cell>
          <cell r="AC33">
            <v>81656769.993000001</v>
          </cell>
          <cell r="AD33">
            <v>94666948.367000014</v>
          </cell>
          <cell r="AE33">
            <v>107912792.04100001</v>
          </cell>
          <cell r="AF33">
            <v>120000400.60600001</v>
          </cell>
        </row>
        <row r="34">
          <cell r="D34">
            <v>30</v>
          </cell>
          <cell r="G34">
            <v>5848200</v>
          </cell>
          <cell r="H34">
            <v>5121500</v>
          </cell>
          <cell r="I34">
            <v>6228300</v>
          </cell>
          <cell r="J34">
            <v>7056700</v>
          </cell>
          <cell r="K34">
            <v>6207750</v>
          </cell>
          <cell r="L34">
            <v>6644300</v>
          </cell>
          <cell r="M34">
            <v>7589800</v>
          </cell>
          <cell r="N34">
            <v>8177200</v>
          </cell>
          <cell r="O34">
            <v>9145000</v>
          </cell>
          <cell r="P34">
            <v>9834400</v>
          </cell>
          <cell r="Q34">
            <v>10031500</v>
          </cell>
          <cell r="R34">
            <v>9149200</v>
          </cell>
          <cell r="S34">
            <v>91033850</v>
          </cell>
          <cell r="T34"/>
          <cell r="U34"/>
          <cell r="V34">
            <v>10969700</v>
          </cell>
          <cell r="W34">
            <v>17198000</v>
          </cell>
          <cell r="X34">
            <v>24254700</v>
          </cell>
          <cell r="Y34">
            <v>30462450</v>
          </cell>
          <cell r="Z34">
            <v>37106750</v>
          </cell>
          <cell r="AA34">
            <v>44696550</v>
          </cell>
          <cell r="AB34">
            <v>52873750</v>
          </cell>
          <cell r="AC34">
            <v>62018750</v>
          </cell>
          <cell r="AD34">
            <v>71853150</v>
          </cell>
          <cell r="AE34">
            <v>81884650</v>
          </cell>
          <cell r="AF34">
            <v>91033850</v>
          </cell>
        </row>
        <row r="35">
          <cell r="D35">
            <v>31</v>
          </cell>
          <cell r="G35">
            <v>1648845.0560000008</v>
          </cell>
          <cell r="H35">
            <v>1465518.6040000003</v>
          </cell>
          <cell r="I35">
            <v>1791959.3359999992</v>
          </cell>
          <cell r="J35">
            <v>1990655.0950000007</v>
          </cell>
          <cell r="K35">
            <v>1752474.5199999986</v>
          </cell>
          <cell r="L35">
            <v>1865267.8339999989</v>
          </cell>
          <cell r="M35">
            <v>2096595.1279999986</v>
          </cell>
          <cell r="N35">
            <v>2222556.1060000025</v>
          </cell>
          <cell r="O35">
            <v>2510315.3839999996</v>
          </cell>
          <cell r="P35">
            <v>2676123.3759999964</v>
          </cell>
          <cell r="Q35">
            <v>2682203.5960000008</v>
          </cell>
          <cell r="R35">
            <v>2461566.2250000015</v>
          </cell>
          <cell r="S35">
            <v>25164080.259999998</v>
          </cell>
          <cell r="T35"/>
          <cell r="U35"/>
          <cell r="V35">
            <v>3114363.6600000011</v>
          </cell>
          <cell r="W35">
            <v>4906322.9960000003</v>
          </cell>
          <cell r="X35">
            <v>6896978.0910000009</v>
          </cell>
          <cell r="Y35">
            <v>8649452.6109999996</v>
          </cell>
          <cell r="Z35">
            <v>10514720.444999998</v>
          </cell>
          <cell r="AA35">
            <v>12611315.572999997</v>
          </cell>
          <cell r="AB35">
            <v>14833871.679</v>
          </cell>
          <cell r="AC35">
            <v>17344187.063000001</v>
          </cell>
          <cell r="AD35">
            <v>20020310.438999996</v>
          </cell>
          <cell r="AE35">
            <v>22702514.034999996</v>
          </cell>
          <cell r="AF35">
            <v>25164080.259999998</v>
          </cell>
        </row>
        <row r="36">
          <cell r="G36">
            <v>7497045.0560000008</v>
          </cell>
          <cell r="H36">
            <v>6587018.6040000003</v>
          </cell>
          <cell r="I36">
            <v>8020259.3359999992</v>
          </cell>
          <cell r="J36">
            <v>9047355.0950000007</v>
          </cell>
          <cell r="K36">
            <v>7960224.5199999986</v>
          </cell>
          <cell r="L36">
            <v>8509567.8339999989</v>
          </cell>
          <cell r="M36">
            <v>9686395.1279999986</v>
          </cell>
          <cell r="N36">
            <v>10399756.106000002</v>
          </cell>
          <cell r="O36">
            <v>11655315.384</v>
          </cell>
          <cell r="P36">
            <v>12510523.375999996</v>
          </cell>
          <cell r="Q36">
            <v>12713703.596000001</v>
          </cell>
          <cell r="R36">
            <v>11610766.225000001</v>
          </cell>
          <cell r="S36">
            <v>116197930.25999999</v>
          </cell>
          <cell r="T36"/>
          <cell r="U36"/>
          <cell r="V36">
            <v>14084063.66</v>
          </cell>
          <cell r="W36">
            <v>22104322.995999999</v>
          </cell>
          <cell r="X36">
            <v>31151678.091000002</v>
          </cell>
          <cell r="Y36">
            <v>39111902.611000001</v>
          </cell>
          <cell r="Z36">
            <v>47621470.445</v>
          </cell>
          <cell r="AA36">
            <v>57307865.572999999</v>
          </cell>
          <cell r="AB36">
            <v>67707621.679000005</v>
          </cell>
          <cell r="AC36">
            <v>79362937.062999994</v>
          </cell>
          <cell r="AD36">
            <v>91873460.438999996</v>
          </cell>
          <cell r="AE36">
            <v>104587164.035</v>
          </cell>
          <cell r="AF36">
            <v>116197930.25999999</v>
          </cell>
        </row>
        <row r="37">
          <cell r="G37">
            <v>97800</v>
          </cell>
          <cell r="H37">
            <v>73500</v>
          </cell>
          <cell r="I37">
            <v>109450</v>
          </cell>
          <cell r="J37">
            <v>144200</v>
          </cell>
          <cell r="K37">
            <v>148500</v>
          </cell>
          <cell r="L37">
            <v>179600</v>
          </cell>
          <cell r="M37">
            <v>224600</v>
          </cell>
          <cell r="N37">
            <v>262800</v>
          </cell>
          <cell r="O37">
            <v>331000</v>
          </cell>
          <cell r="P37">
            <v>382900</v>
          </cell>
          <cell r="Q37">
            <v>404300</v>
          </cell>
          <cell r="R37">
            <v>356800</v>
          </cell>
          <cell r="S37">
            <v>2715450</v>
          </cell>
          <cell r="T37"/>
          <cell r="U37"/>
          <cell r="V37">
            <v>171300</v>
          </cell>
          <cell r="W37">
            <v>280750</v>
          </cell>
          <cell r="X37">
            <v>424950</v>
          </cell>
          <cell r="Y37">
            <v>573450</v>
          </cell>
          <cell r="Z37">
            <v>753050</v>
          </cell>
          <cell r="AA37">
            <v>977650</v>
          </cell>
          <cell r="AB37">
            <v>1240450</v>
          </cell>
          <cell r="AC37">
            <v>1571450</v>
          </cell>
          <cell r="AD37">
            <v>1954350</v>
          </cell>
          <cell r="AE37">
            <v>2358650</v>
          </cell>
          <cell r="AF37">
            <v>2715450</v>
          </cell>
        </row>
        <row r="38">
          <cell r="G38">
            <v>1.644803229061554E-2</v>
          </cell>
          <cell r="H38">
            <v>1.4148219441770934E-2</v>
          </cell>
          <cell r="I38">
            <v>1.7269535718512089E-2</v>
          </cell>
          <cell r="J38">
            <v>2.0025274618450471E-2</v>
          </cell>
          <cell r="K38">
            <v>2.3362831858407079E-2</v>
          </cell>
          <cell r="L38">
            <v>2.631926024707279E-2</v>
          </cell>
          <cell r="M38">
            <v>2.8741809991809992E-2</v>
          </cell>
          <cell r="N38">
            <v>3.113744075829384E-2</v>
          </cell>
          <cell r="O38">
            <v>3.4930350358801182E-2</v>
          </cell>
          <cell r="P38">
            <v>3.7475654037759487E-2</v>
          </cell>
          <cell r="Q38">
            <v>3.8741639356829373E-2</v>
          </cell>
          <cell r="R38">
            <v>3.7534188933305283E-2</v>
          </cell>
          <cell r="S38">
            <v>2.8965016272121499E-2</v>
          </cell>
          <cell r="T38"/>
          <cell r="U38"/>
          <cell r="V38">
            <v>1.5375639529665201E-2</v>
          </cell>
          <cell r="W38">
            <v>1.6062361438890081E-2</v>
          </cell>
          <cell r="X38">
            <v>1.7218639648455308E-2</v>
          </cell>
          <cell r="Y38">
            <v>1.8476989550810514E-2</v>
          </cell>
          <cell r="Z38">
            <v>1.9890490705180692E-2</v>
          </cell>
          <cell r="AA38">
            <v>2.1404863139365331E-2</v>
          </cell>
          <cell r="AB38">
            <v>2.2922818779544E-2</v>
          </cell>
          <cell r="AC38">
            <v>2.47121411789867E-2</v>
          </cell>
          <cell r="AD38">
            <v>2.6479016360126003E-2</v>
          </cell>
          <cell r="AE38">
            <v>2.7998072250256103E-2</v>
          </cell>
          <cell r="AF38">
            <v>2.8965016272121499E-2</v>
          </cell>
        </row>
        <row r="39">
          <cell r="G39">
            <v>69998.382000000216</v>
          </cell>
          <cell r="H39">
            <v>64093.738000000827</v>
          </cell>
          <cell r="I39">
            <v>67904.186000001617</v>
          </cell>
          <cell r="J39">
            <v>78737.030000001192</v>
          </cell>
          <cell r="K39">
            <v>73371.490000001155</v>
          </cell>
          <cell r="L39">
            <v>79258.196000002325</v>
          </cell>
          <cell r="M39">
            <v>86637.932000001892</v>
          </cell>
          <cell r="N39">
            <v>93296.553999995813</v>
          </cell>
          <cell r="O39">
            <v>109085.42200000025</v>
          </cell>
          <cell r="P39">
            <v>116754.9980000034</v>
          </cell>
          <cell r="Q39">
            <v>127840.07799999975</v>
          </cell>
          <cell r="R39">
            <v>120042.33999999799</v>
          </cell>
          <cell r="S39">
            <v>1087020.3460000083</v>
          </cell>
          <cell r="T39"/>
          <cell r="U39"/>
          <cell r="V39">
            <v>134092.12000000104</v>
          </cell>
          <cell r="W39">
            <v>201996.30600000266</v>
          </cell>
          <cell r="X39">
            <v>280733.33600000385</v>
          </cell>
          <cell r="Y39">
            <v>354104.82600000501</v>
          </cell>
          <cell r="Z39">
            <v>433363.02200000733</v>
          </cell>
          <cell r="AA39">
            <v>520000.95400000922</v>
          </cell>
          <cell r="AB39">
            <v>613297.50800000504</v>
          </cell>
          <cell r="AC39">
            <v>722382.93000000343</v>
          </cell>
          <cell r="AD39">
            <v>839137.92800001055</v>
          </cell>
          <cell r="AE39">
            <v>966978.00600001216</v>
          </cell>
          <cell r="AF39">
            <v>1087020.3460000083</v>
          </cell>
        </row>
        <row r="40">
          <cell r="G40">
            <v>4.0724117422496847E-2</v>
          </cell>
          <cell r="H40">
            <v>4.1901948774940509E-2</v>
          </cell>
          <cell r="I40">
            <v>3.6510305835226541E-2</v>
          </cell>
          <cell r="J40">
            <v>3.8048385827312028E-2</v>
          </cell>
          <cell r="K40">
            <v>4.0184927753026206E-2</v>
          </cell>
          <cell r="L40">
            <v>4.0759647737912914E-2</v>
          </cell>
          <cell r="M40">
            <v>3.9683318097061916E-2</v>
          </cell>
          <cell r="N40">
            <v>4.0286049113329982E-2</v>
          </cell>
          <cell r="O40">
            <v>4.1645181504918673E-2</v>
          </cell>
          <cell r="P40">
            <v>4.1804540823159889E-2</v>
          </cell>
          <cell r="Q40">
            <v>4.5493982596371461E-2</v>
          </cell>
          <cell r="R40">
            <v>4.6499047774889148E-2</v>
          </cell>
          <cell r="S40">
            <v>4.1408562723330412E-2</v>
          </cell>
          <cell r="T40"/>
          <cell r="U40"/>
          <cell r="V40">
            <v>4.1278727211118436E-2</v>
          </cell>
          <cell r="W40">
            <v>3.9542615498000942E-2</v>
          </cell>
          <cell r="X40">
            <v>3.9111817026243854E-2</v>
          </cell>
          <cell r="Y40">
            <v>3.9329434890348534E-2</v>
          </cell>
          <cell r="Z40">
            <v>3.9583459817991093E-2</v>
          </cell>
          <cell r="AA40">
            <v>3.9600062410407005E-2</v>
          </cell>
          <cell r="AB40">
            <v>3.9702906116684644E-2</v>
          </cell>
          <cell r="AC40">
            <v>3.9984508973197171E-2</v>
          </cell>
          <cell r="AD40">
            <v>4.0228193633708005E-2</v>
          </cell>
          <cell r="AE40">
            <v>4.0853348450614169E-2</v>
          </cell>
          <cell r="AF40">
            <v>4.1408562723330412E-2</v>
          </cell>
        </row>
        <row r="41">
          <cell r="G41">
            <v>167798.38200000022</v>
          </cell>
          <cell r="H41">
            <v>137593.73800000083</v>
          </cell>
          <cell r="I41">
            <v>177354.18600000162</v>
          </cell>
          <cell r="J41">
            <v>222937.03000000119</v>
          </cell>
          <cell r="K41">
            <v>221871.49000000115</v>
          </cell>
          <cell r="L41">
            <v>258858.19600000232</v>
          </cell>
          <cell r="M41">
            <v>311237.93200000189</v>
          </cell>
          <cell r="N41">
            <v>356096.55399999581</v>
          </cell>
          <cell r="O41">
            <v>440085.42200000025</v>
          </cell>
          <cell r="P41">
            <v>499654.9980000034</v>
          </cell>
          <cell r="Q41">
            <v>532140.07799999975</v>
          </cell>
          <cell r="R41">
            <v>476842.33999999799</v>
          </cell>
          <cell r="S41">
            <v>3802470.3460000083</v>
          </cell>
          <cell r="T41"/>
          <cell r="U41"/>
          <cell r="V41">
            <v>305392.12000000104</v>
          </cell>
          <cell r="W41">
            <v>482746.30600000266</v>
          </cell>
          <cell r="X41">
            <v>705683.33600000385</v>
          </cell>
          <cell r="Y41">
            <v>927554.82600000501</v>
          </cell>
          <cell r="Z41">
            <v>1186413.0220000073</v>
          </cell>
          <cell r="AA41">
            <v>1497650.9540000092</v>
          </cell>
          <cell r="AB41">
            <v>1853747.508000005</v>
          </cell>
          <cell r="AC41">
            <v>2293832.9300000034</v>
          </cell>
          <cell r="AD41">
            <v>2793487.9280000106</v>
          </cell>
          <cell r="AE41">
            <v>3325628.0060000122</v>
          </cell>
          <cell r="AF41">
            <v>3802470.3460000083</v>
          </cell>
        </row>
        <row r="42">
          <cell r="G42">
            <v>2.189195165658649E-2</v>
          </cell>
          <cell r="H42">
            <v>2.046121486299363E-2</v>
          </cell>
          <cell r="I42">
            <v>2.1634855744788989E-2</v>
          </cell>
          <cell r="J42">
            <v>2.4048544209171956E-2</v>
          </cell>
          <cell r="K42">
            <v>2.7116705759604152E-2</v>
          </cell>
          <cell r="L42">
            <v>2.9521626243336433E-2</v>
          </cell>
          <cell r="M42">
            <v>3.1131161759201619E-2</v>
          </cell>
          <cell r="N42">
            <v>3.3107236149141885E-2</v>
          </cell>
          <cell r="O42">
            <v>3.6384525743181087E-2</v>
          </cell>
          <cell r="P42">
            <v>3.8404930634812172E-2</v>
          </cell>
          <cell r="Q42">
            <v>4.0174117337993864E-2</v>
          </cell>
          <cell r="R42">
            <v>3.9448856855003399E-2</v>
          </cell>
          <cell r="S42">
            <v>3.1687147099489645E-2</v>
          </cell>
          <cell r="T42"/>
          <cell r="U42"/>
          <cell r="V42">
            <v>2.122332662674203E-2</v>
          </cell>
          <cell r="W42">
            <v>2.1372684501271586E-2</v>
          </cell>
          <cell r="X42">
            <v>2.2151342873045269E-2</v>
          </cell>
          <cell r="Y42">
            <v>2.3166018856760586E-2</v>
          </cell>
          <cell r="Z42">
            <v>2.4307815412691784E-2</v>
          </cell>
          <cell r="AA42">
            <v>2.5467864963185496E-2</v>
          </cell>
          <cell r="AB42">
            <v>2.6649094600432952E-2</v>
          </cell>
          <cell r="AC42">
            <v>2.8091154354949889E-2</v>
          </cell>
          <cell r="AD42">
            <v>2.9508587486842382E-2</v>
          </cell>
          <cell r="AE42">
            <v>3.0817736647352101E-2</v>
          </cell>
          <cell r="AF42">
            <v>3.1687147099489645E-2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/>
      <sheetData sheetId="5">
        <row r="4">
          <cell r="E4" t="str">
            <v>계정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</sheetNames>
    <sheetDataSet>
      <sheetData sheetId="0"/>
      <sheetData sheetId="1">
        <row r="8">
          <cell r="G8">
            <v>4969.8379999999997</v>
          </cell>
        </row>
      </sheetData>
      <sheetData sheetId="2">
        <row r="8">
          <cell r="G8">
            <v>4982.9359999999997</v>
          </cell>
          <cell r="Q8">
            <v>9952.7739999999994</v>
          </cell>
        </row>
        <row r="9">
          <cell r="G9">
            <v>3941486.085</v>
          </cell>
          <cell r="J9">
            <v>935217.02199999988</v>
          </cell>
          <cell r="Q9">
            <v>7901458.875</v>
          </cell>
          <cell r="T9">
            <v>2075130.9759999998</v>
          </cell>
        </row>
        <row r="10">
          <cell r="F10">
            <v>742142.85714285716</v>
          </cell>
          <cell r="G10">
            <v>790996.73064233619</v>
          </cell>
        </row>
        <row r="11">
          <cell r="G11">
            <v>3840070.5180000002</v>
          </cell>
          <cell r="J11">
            <v>895941.35400000028</v>
          </cell>
          <cell r="Q11">
            <v>7718382.267</v>
          </cell>
          <cell r="T11">
            <v>1989586.2710000006</v>
          </cell>
        </row>
        <row r="15">
          <cell r="F15">
            <v>1.4148219441770934E-2</v>
          </cell>
          <cell r="G15">
            <v>2.5730286702255301E-2</v>
          </cell>
        </row>
        <row r="19">
          <cell r="M19">
            <v>118274.91600000001</v>
          </cell>
          <cell r="W19">
            <v>210435.98199999999</v>
          </cell>
        </row>
        <row r="37">
          <cell r="M37">
            <v>39900.266000000003</v>
          </cell>
          <cell r="W37">
            <v>75967.433999999994</v>
          </cell>
        </row>
        <row r="40">
          <cell r="M40">
            <v>4725.1729999999998</v>
          </cell>
          <cell r="W40">
            <v>9463.6990000000005</v>
          </cell>
        </row>
        <row r="43">
          <cell r="M43">
            <v>59090.002</v>
          </cell>
          <cell r="W43">
            <v>92868.72099999999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/>
      <sheetData sheetId="1"/>
      <sheetData sheetId="2">
        <row r="8">
          <cell r="G8">
            <v>9724.5229999999992</v>
          </cell>
          <cell r="Q8">
            <v>18460.025000000001</v>
          </cell>
        </row>
        <row r="9">
          <cell r="G9">
            <v>7241703.784</v>
          </cell>
          <cell r="J9">
            <v>1035291.3360000001</v>
          </cell>
          <cell r="Q9">
            <v>13849412.305</v>
          </cell>
          <cell r="T9">
            <v>1907702.4990000008</v>
          </cell>
        </row>
        <row r="10">
          <cell r="G10">
            <v>744684.72993482568</v>
          </cell>
        </row>
        <row r="11">
          <cell r="G11">
            <v>7128840.7779999999</v>
          </cell>
          <cell r="J11">
            <v>998493.29900000058</v>
          </cell>
          <cell r="Q11">
            <v>13619413.033</v>
          </cell>
          <cell r="T11">
            <v>1842130.2360000014</v>
          </cell>
        </row>
        <row r="15">
          <cell r="G15">
            <v>1.5585145342365754E-2</v>
          </cell>
        </row>
        <row r="19">
          <cell r="M19">
            <v>94794.214999999997</v>
          </cell>
          <cell r="W19">
            <v>190177.24</v>
          </cell>
        </row>
        <row r="37">
          <cell r="M37">
            <v>38210.773999999998</v>
          </cell>
          <cell r="W37">
            <v>81246.646000000008</v>
          </cell>
        </row>
        <row r="40">
          <cell r="M40">
            <v>5794.3410000000003</v>
          </cell>
          <cell r="W40">
            <v>11588.687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100740.98189435306</v>
          </cell>
          <cell r="R85">
            <v>105529.58691678525</v>
          </cell>
        </row>
        <row r="89">
          <cell r="Q89">
            <v>82681.961739613471</v>
          </cell>
          <cell r="R89">
            <v>86780.294354792131</v>
          </cell>
        </row>
      </sheetData>
      <sheetData sheetId="1">
        <row r="85">
          <cell r="Q85">
            <v>98611.675545856648</v>
          </cell>
          <cell r="R85">
            <v>103371.72153540501</v>
          </cell>
        </row>
        <row r="89">
          <cell r="Q89">
            <v>83676.868894576866</v>
          </cell>
          <cell r="R89">
            <v>88890.066224669441</v>
          </cell>
        </row>
      </sheetData>
      <sheetData sheetId="2">
        <row r="85">
          <cell r="Q85">
            <v>100417.89273252165</v>
          </cell>
          <cell r="R85">
            <v>106925.3023394554</v>
          </cell>
        </row>
        <row r="89">
          <cell r="Q89">
            <v>82023.534871792828</v>
          </cell>
          <cell r="R89">
            <v>85365.7070411483</v>
          </cell>
        </row>
      </sheetData>
      <sheetData sheetId="3"/>
      <sheetData sheetId="4"/>
      <sheetData sheetId="5"/>
      <sheetData sheetId="6">
        <row r="85">
          <cell r="Q85">
            <v>107386.12200053583</v>
          </cell>
          <cell r="R85">
            <v>106781.86564831916</v>
          </cell>
        </row>
        <row r="89">
          <cell r="Q89">
            <v>82234.303077899312</v>
          </cell>
          <cell r="R89">
            <v>85689.559334207472</v>
          </cell>
        </row>
      </sheetData>
      <sheetData sheetId="7">
        <row r="85">
          <cell r="Q85">
            <v>98344.759754385959</v>
          </cell>
          <cell r="R85">
            <v>106387.56110083178</v>
          </cell>
        </row>
        <row r="86">
          <cell r="H86">
            <v>285753.43044949498</v>
          </cell>
          <cell r="I86">
            <v>384639.03599999938</v>
          </cell>
        </row>
        <row r="89">
          <cell r="Q89">
            <v>81857.903841041989</v>
          </cell>
          <cell r="R89">
            <v>88596.361821605315</v>
          </cell>
        </row>
        <row r="92">
          <cell r="H92">
            <v>-168694.72207933327</v>
          </cell>
          <cell r="I92">
            <v>-160894.99363925308</v>
          </cell>
        </row>
      </sheetData>
      <sheetData sheetId="8">
        <row r="85">
          <cell r="Q85">
            <v>100028.8025122143</v>
          </cell>
          <cell r="R85">
            <v>102525.09291236516</v>
          </cell>
        </row>
        <row r="86">
          <cell r="H86">
            <v>-65318.117476397194</v>
          </cell>
          <cell r="I86">
            <v>-108805.80900000126</v>
          </cell>
        </row>
        <row r="89">
          <cell r="Q89">
            <v>87297.989668922528</v>
          </cell>
          <cell r="R89">
            <v>89895.044442386934</v>
          </cell>
        </row>
        <row r="92">
          <cell r="H92">
            <v>-448464.2995431833</v>
          </cell>
          <cell r="I92">
            <v>-492771.06271728571</v>
          </cell>
        </row>
      </sheetData>
      <sheetData sheetId="9">
        <row r="85">
          <cell r="Q85">
            <v>94238.47482105263</v>
          </cell>
          <cell r="R85">
            <v>99074.532047646062</v>
          </cell>
        </row>
        <row r="86">
          <cell r="H86">
            <v>-208533.52174159564</v>
          </cell>
          <cell r="I86">
            <v>-263561.87999999989</v>
          </cell>
        </row>
        <row r="89">
          <cell r="Q89">
            <v>80585.071035522546</v>
          </cell>
          <cell r="R89">
            <v>88595.501795501812</v>
          </cell>
        </row>
        <row r="92">
          <cell r="H92">
            <v>-354295.29412385705</v>
          </cell>
          <cell r="I92">
            <v>-401715.45390099351</v>
          </cell>
        </row>
      </sheetData>
      <sheetData sheetId="10">
        <row r="85">
          <cell r="Q85">
            <v>100592.92845000001</v>
          </cell>
          <cell r="R85">
            <v>98054.885514834197</v>
          </cell>
        </row>
        <row r="86">
          <cell r="H86">
            <v>-96434.709425836831</v>
          </cell>
          <cell r="I86">
            <v>-220930.77300000022</v>
          </cell>
        </row>
        <row r="89">
          <cell r="Q89">
            <v>83191.399580781464</v>
          </cell>
          <cell r="R89">
            <v>87423.415850524398</v>
          </cell>
        </row>
        <row r="92">
          <cell r="H92">
            <v>-226474.83269475729</v>
          </cell>
          <cell r="I92">
            <v>-344617.04075702996</v>
          </cell>
        </row>
      </sheetData>
      <sheetData sheetId="11">
        <row r="85">
          <cell r="Q85">
            <v>107781.90817058824</v>
          </cell>
          <cell r="R85">
            <v>117771.29764505947</v>
          </cell>
        </row>
        <row r="86">
          <cell r="H86">
            <v>161173.28280288179</v>
          </cell>
          <cell r="I86">
            <v>480148.91199999943</v>
          </cell>
        </row>
        <row r="89">
          <cell r="Q89">
            <v>87130.255377366222</v>
          </cell>
          <cell r="R89">
            <v>93134.196709376833</v>
          </cell>
        </row>
        <row r="92">
          <cell r="H92">
            <v>-152971.70945297624</v>
          </cell>
          <cell r="I92">
            <v>44207.975664312602</v>
          </cell>
        </row>
      </sheetData>
      <sheetData sheetId="12">
        <row r="85">
          <cell r="Q85">
            <v>100053.28299794118</v>
          </cell>
          <cell r="R85">
            <v>105343.83214260451</v>
          </cell>
        </row>
        <row r="86">
          <cell r="H86">
            <v>257033.75633615052</v>
          </cell>
          <cell r="I86">
            <v>178533.20400000003</v>
          </cell>
        </row>
        <row r="89">
          <cell r="Q89">
            <v>78883.737053413875</v>
          </cell>
          <cell r="R89">
            <v>81949.245412924196</v>
          </cell>
        </row>
        <row r="92">
          <cell r="H92">
            <v>-34567.418468762131</v>
          </cell>
          <cell r="I92">
            <v>-80634.448735879152</v>
          </cell>
        </row>
      </sheetData>
      <sheetData sheetId="13">
        <row r="85">
          <cell r="Q85">
            <v>96107.972545714292</v>
          </cell>
          <cell r="R85">
            <v>96515.635808748732</v>
          </cell>
        </row>
        <row r="86">
          <cell r="H86">
            <v>-71551.452867816974</v>
          </cell>
          <cell r="I86">
            <v>-131510.89999999988</v>
          </cell>
        </row>
        <row r="89">
          <cell r="Q89">
            <v>80088.917544209165</v>
          </cell>
          <cell r="R89">
            <v>79619.366632756864</v>
          </cell>
        </row>
        <row r="92">
          <cell r="H92">
            <v>-185793.99143859698</v>
          </cell>
          <cell r="I92">
            <v>-220947.89158294955</v>
          </cell>
        </row>
      </sheetData>
      <sheetData sheetId="14">
        <row r="85">
          <cell r="Q85">
            <v>99897.381019729743</v>
          </cell>
          <cell r="R85">
            <v>104899.03496435673</v>
          </cell>
        </row>
        <row r="86">
          <cell r="H86">
            <v>136078.41645487113</v>
          </cell>
          <cell r="I86">
            <v>-113653.94900000012</v>
          </cell>
        </row>
        <row r="89">
          <cell r="Q89">
            <v>84061.184376805279</v>
          </cell>
          <cell r="R89">
            <v>87290.566296601537</v>
          </cell>
        </row>
        <row r="92">
          <cell r="H92">
            <v>-179520.93376038066</v>
          </cell>
          <cell r="I92">
            <v>-313581.74270665931</v>
          </cell>
        </row>
      </sheetData>
      <sheetData sheetId="15">
        <row r="85">
          <cell r="Q85">
            <v>95922.479333333322</v>
          </cell>
          <cell r="R85">
            <v>101171.26195474689</v>
          </cell>
        </row>
        <row r="86">
          <cell r="H86">
            <v>-71146.106909535127</v>
          </cell>
          <cell r="I86">
            <v>-95344.321000000185</v>
          </cell>
        </row>
        <row r="89">
          <cell r="Q89">
            <v>77130.892946164939</v>
          </cell>
          <cell r="R89">
            <v>80814.402729181238</v>
          </cell>
        </row>
        <row r="92">
          <cell r="H92">
            <v>-169076.11078367612</v>
          </cell>
          <cell r="I92">
            <v>-171209.69732173788</v>
          </cell>
        </row>
      </sheetData>
      <sheetData sheetId="16">
        <row r="85">
          <cell r="Q85">
            <v>98340.371688339219</v>
          </cell>
          <cell r="R85">
            <v>97432.154245895828</v>
          </cell>
        </row>
        <row r="86">
          <cell r="H86">
            <v>-41279.720823817763</v>
          </cell>
          <cell r="I86">
            <v>-18894.894999999975</v>
          </cell>
        </row>
        <row r="89">
          <cell r="Q89">
            <v>79262.709606080127</v>
          </cell>
          <cell r="R89">
            <v>75847.004133695533</v>
          </cell>
        </row>
        <row r="92">
          <cell r="H92">
            <v>-183582.6972149479</v>
          </cell>
          <cell r="I92">
            <v>-172145.67794494395</v>
          </cell>
        </row>
      </sheetData>
      <sheetData sheetId="17">
        <row r="85">
          <cell r="Q85">
            <v>90688.747412076918</v>
          </cell>
          <cell r="R85">
            <v>88854.162730028911</v>
          </cell>
        </row>
        <row r="86">
          <cell r="H86">
            <v>-74589.893266336061</v>
          </cell>
          <cell r="I86">
            <v>-182910.56400000001</v>
          </cell>
        </row>
        <row r="89">
          <cell r="Q89">
            <v>73146.738057722658</v>
          </cell>
          <cell r="R89">
            <v>72854.847352464232</v>
          </cell>
        </row>
        <row r="92">
          <cell r="H92">
            <v>-174978.31164073083</v>
          </cell>
          <cell r="I92">
            <v>-243203.17507994786</v>
          </cell>
        </row>
      </sheetData>
      <sheetData sheetId="18">
        <row r="85">
          <cell r="Q85">
            <v>104830.17963846153</v>
          </cell>
          <cell r="R85">
            <v>110937.20093901404</v>
          </cell>
        </row>
        <row r="86">
          <cell r="H86">
            <v>-127706.21922086968</v>
          </cell>
          <cell r="I86">
            <v>95465.084000000119</v>
          </cell>
        </row>
        <row r="89">
          <cell r="Q89">
            <v>90166.637236690061</v>
          </cell>
          <cell r="R89">
            <v>89523.706959341493</v>
          </cell>
        </row>
        <row r="92">
          <cell r="H92">
            <v>-245839.13002705522</v>
          </cell>
          <cell r="I92">
            <v>-104126.1742869131</v>
          </cell>
        </row>
      </sheetData>
      <sheetData sheetId="19">
        <row r="85">
          <cell r="Q85">
            <v>98718.315999999992</v>
          </cell>
          <cell r="R85">
            <v>102986.4671732123</v>
          </cell>
        </row>
        <row r="86">
          <cell r="H86">
            <v>-128781.2407310882</v>
          </cell>
          <cell r="I86">
            <v>-5431.1159999996453</v>
          </cell>
        </row>
        <row r="89">
          <cell r="Q89">
            <v>80317.420261554391</v>
          </cell>
          <cell r="R89">
            <v>85963.069488292545</v>
          </cell>
        </row>
        <row r="92">
          <cell r="H92">
            <v>-288322.73452313646</v>
          </cell>
          <cell r="I92">
            <v>-278749.79596085125</v>
          </cell>
        </row>
      </sheetData>
      <sheetData sheetId="20">
        <row r="85">
          <cell r="Q85">
            <v>101886.71909090907</v>
          </cell>
          <cell r="R85">
            <v>98968.270617949165</v>
          </cell>
        </row>
        <row r="86">
          <cell r="H86">
            <v>-71759.242541666899</v>
          </cell>
          <cell r="I86">
            <v>-91461.025999999838</v>
          </cell>
        </row>
        <row r="89">
          <cell r="Q89">
            <v>79823.498614898985</v>
          </cell>
          <cell r="R89">
            <v>82739.654352584621</v>
          </cell>
        </row>
        <row r="92">
          <cell r="H92">
            <v>-161251.88585961337</v>
          </cell>
          <cell r="I92">
            <v>-214648.61320887919</v>
          </cell>
        </row>
      </sheetData>
      <sheetData sheetId="21">
        <row r="85">
          <cell r="Q85">
            <v>115783.5576</v>
          </cell>
          <cell r="R85">
            <v>114133.93392504932</v>
          </cell>
        </row>
        <row r="86">
          <cell r="H86">
            <v>17596.196502628129</v>
          </cell>
          <cell r="I86">
            <v>-16544.514999999923</v>
          </cell>
        </row>
        <row r="89">
          <cell r="Q89">
            <v>76845.374699474371</v>
          </cell>
          <cell r="R89">
            <v>75360.750980392157</v>
          </cell>
        </row>
        <row r="92">
          <cell r="H92">
            <v>-29184.083197599084</v>
          </cell>
          <cell r="I92">
            <v>-55956.933505065754</v>
          </cell>
        </row>
      </sheetData>
      <sheetData sheetId="22">
        <row r="85">
          <cell r="Q85">
            <v>114787.18470682355</v>
          </cell>
          <cell r="R85">
            <v>126138.57202043915</v>
          </cell>
        </row>
        <row r="86">
          <cell r="H86">
            <v>51635.53160612483</v>
          </cell>
          <cell r="I86">
            <v>-17716.925000000072</v>
          </cell>
        </row>
        <row r="89">
          <cell r="Q89">
            <v>74532.430086204273</v>
          </cell>
          <cell r="R89">
            <v>82927.702527275236</v>
          </cell>
        </row>
        <row r="92">
          <cell r="H92">
            <v>-4015.1757364433288</v>
          </cell>
          <cell r="I92">
            <v>-55517.789781762811</v>
          </cell>
        </row>
      </sheetData>
      <sheetData sheetId="23">
        <row r="85">
          <cell r="Q85">
            <v>120791.34727272727</v>
          </cell>
          <cell r="R85">
            <v>125813.50502930746</v>
          </cell>
        </row>
        <row r="86">
          <cell r="H86">
            <v>77498.13579325848</v>
          </cell>
          <cell r="I86">
            <v>-4859.8830000000489</v>
          </cell>
        </row>
        <row r="89">
          <cell r="Q89">
            <v>94780.743522226461</v>
          </cell>
          <cell r="R89">
            <v>98365.531573236905</v>
          </cell>
        </row>
        <row r="92">
          <cell r="H92">
            <v>-31214.12452695657</v>
          </cell>
          <cell r="I92">
            <v>-80412.317947006566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100282.95748359266</v>
          </cell>
        </row>
        <row r="89">
          <cell r="Q89">
            <v>81815.649760285844</v>
          </cell>
        </row>
      </sheetData>
      <sheetData sheetId="1">
        <row r="85">
          <cell r="Q85">
            <v>97851.268109902041</v>
          </cell>
        </row>
        <row r="89">
          <cell r="Q89">
            <v>83605.223298299243</v>
          </cell>
        </row>
      </sheetData>
      <sheetData sheetId="2">
        <row r="85">
          <cell r="Q85">
            <v>100867.09655870675</v>
          </cell>
        </row>
        <row r="89">
          <cell r="Q89">
            <v>80740.081721491471</v>
          </cell>
        </row>
      </sheetData>
      <sheetData sheetId="3"/>
      <sheetData sheetId="4"/>
      <sheetData sheetId="5"/>
      <sheetData sheetId="6">
        <row r="85">
          <cell r="Q85">
            <v>102977.57780273701</v>
          </cell>
        </row>
        <row r="89">
          <cell r="Q89">
            <v>81312.557262666043</v>
          </cell>
        </row>
      </sheetData>
      <sheetData sheetId="7">
        <row r="2">
          <cell r="N2">
            <v>61717</v>
          </cell>
        </row>
        <row r="85">
          <cell r="Q85">
            <v>98025.663399063473</v>
          </cell>
        </row>
        <row r="86">
          <cell r="H86">
            <v>353642.14400000044</v>
          </cell>
        </row>
        <row r="89">
          <cell r="Q89">
            <v>82531.062187079748</v>
          </cell>
        </row>
        <row r="92">
          <cell r="H92">
            <v>-87162.062015004398</v>
          </cell>
        </row>
      </sheetData>
      <sheetData sheetId="8">
        <row r="2">
          <cell r="N2">
            <v>36959</v>
          </cell>
        </row>
        <row r="85">
          <cell r="Q85">
            <v>98889.344780550426</v>
          </cell>
        </row>
        <row r="86">
          <cell r="H86">
            <v>-176530.10199999984</v>
          </cell>
        </row>
        <row r="89">
          <cell r="Q89">
            <v>87267.399652638604</v>
          </cell>
        </row>
        <row r="92">
          <cell r="H92">
            <v>-442989.5508620952</v>
          </cell>
        </row>
      </sheetData>
      <sheetData sheetId="9">
        <row r="2">
          <cell r="N2">
            <v>18888</v>
          </cell>
        </row>
        <row r="85">
          <cell r="Q85">
            <v>96284.603981363834</v>
          </cell>
        </row>
        <row r="86">
          <cell r="H86">
            <v>-149284.01499999966</v>
          </cell>
        </row>
        <row r="89">
          <cell r="Q89">
            <v>80397.387847994061</v>
          </cell>
        </row>
        <row r="92">
          <cell r="H92">
            <v>-280739.17800891871</v>
          </cell>
        </row>
      </sheetData>
      <sheetData sheetId="10">
        <row r="2">
          <cell r="N2">
            <v>12777</v>
          </cell>
        </row>
        <row r="85">
          <cell r="Q85">
            <v>96287.156766064014</v>
          </cell>
        </row>
        <row r="86">
          <cell r="H86">
            <v>-154205.77600000013</v>
          </cell>
        </row>
        <row r="89">
          <cell r="Q89">
            <v>82811.251466103684</v>
          </cell>
        </row>
        <row r="92">
          <cell r="H92">
            <v>-242714.33326518442</v>
          </cell>
        </row>
      </sheetData>
      <sheetData sheetId="11">
        <row r="2">
          <cell r="N2">
            <v>30628</v>
          </cell>
        </row>
        <row r="85">
          <cell r="Q85">
            <v>105796.62726916547</v>
          </cell>
        </row>
        <row r="86">
          <cell r="H86">
            <v>160243.81700000018</v>
          </cell>
        </row>
        <row r="89">
          <cell r="Q89">
            <v>84537.42596996449</v>
          </cell>
        </row>
        <row r="92">
          <cell r="H92">
            <v>-87469.863247592177</v>
          </cell>
        </row>
      </sheetData>
      <sheetData sheetId="12">
        <row r="2">
          <cell r="N2">
            <v>30296</v>
          </cell>
        </row>
        <row r="85">
          <cell r="Q85">
            <v>96402.475574333235</v>
          </cell>
        </row>
        <row r="86">
          <cell r="H86">
            <v>112661.52699999977</v>
          </cell>
        </row>
        <row r="89">
          <cell r="Q89">
            <v>77993.925104515671</v>
          </cell>
        </row>
        <row r="92">
          <cell r="H92">
            <v>-108034.27862168377</v>
          </cell>
        </row>
      </sheetData>
      <sheetData sheetId="13">
        <row r="2">
          <cell r="N2">
            <v>9574</v>
          </cell>
        </row>
        <row r="85">
          <cell r="Q85">
            <v>96617.04616670149</v>
          </cell>
        </row>
        <row r="86">
          <cell r="H86">
            <v>-137975.54900000006</v>
          </cell>
        </row>
        <row r="89">
          <cell r="Q89">
            <v>79590.53603509505</v>
          </cell>
        </row>
        <row r="92">
          <cell r="H92">
            <v>-212468.41785610351</v>
          </cell>
        </row>
      </sheetData>
      <sheetData sheetId="14">
        <row r="2">
          <cell r="N2">
            <v>34533</v>
          </cell>
        </row>
        <row r="85">
          <cell r="Q85">
            <v>103487.97382214114</v>
          </cell>
        </row>
        <row r="86">
          <cell r="H86">
            <v>245219.8869999999</v>
          </cell>
        </row>
        <row r="89">
          <cell r="Q89">
            <v>85181.269977714095</v>
          </cell>
        </row>
        <row r="92">
          <cell r="H92">
            <v>-30143.379687944049</v>
          </cell>
        </row>
      </sheetData>
      <sheetData sheetId="15">
        <row r="2">
          <cell r="N2">
            <v>14014</v>
          </cell>
        </row>
        <row r="85">
          <cell r="Q85">
            <v>94975.338946767501</v>
          </cell>
        </row>
        <row r="86">
          <cell r="H86">
            <v>-17321.488000000165</v>
          </cell>
        </row>
        <row r="89">
          <cell r="Q89">
            <v>74723.736729452066</v>
          </cell>
        </row>
        <row r="92">
          <cell r="H92">
            <v>-117389.96386187355</v>
          </cell>
        </row>
      </sheetData>
      <sheetData sheetId="16">
        <row r="2">
          <cell r="N2">
            <v>19934</v>
          </cell>
        </row>
        <row r="85">
          <cell r="Q85">
            <v>100397.54690478579</v>
          </cell>
        </row>
        <row r="86">
          <cell r="H86">
            <v>115959.34000000033</v>
          </cell>
        </row>
        <row r="89">
          <cell r="Q89">
            <v>75938.512992876495</v>
          </cell>
        </row>
        <row r="92">
          <cell r="H92">
            <v>-37717.401392609274</v>
          </cell>
        </row>
      </sheetData>
      <sheetData sheetId="17">
        <row r="2">
          <cell r="N2">
            <v>18967</v>
          </cell>
        </row>
        <row r="85">
          <cell r="Q85">
            <v>95670.383771814202</v>
          </cell>
        </row>
        <row r="86">
          <cell r="H86">
            <v>33549.730999999781</v>
          </cell>
        </row>
        <row r="89">
          <cell r="Q89">
            <v>76909.190857805661</v>
          </cell>
        </row>
        <row r="92">
          <cell r="H92">
            <v>-108928.76075328539</v>
          </cell>
        </row>
      </sheetData>
      <sheetData sheetId="18">
        <row r="2">
          <cell r="N2">
            <v>18848</v>
          </cell>
        </row>
        <row r="85">
          <cell r="Q85">
            <v>107496.70522071306</v>
          </cell>
        </row>
        <row r="86">
          <cell r="H86">
            <v>135741.00799999977</v>
          </cell>
        </row>
        <row r="89">
          <cell r="Q89">
            <v>85315.024594508621</v>
          </cell>
        </row>
        <row r="92">
          <cell r="H92">
            <v>-21440.051240244444</v>
          </cell>
        </row>
      </sheetData>
      <sheetData sheetId="19">
        <row r="2">
          <cell r="N2">
            <v>34763</v>
          </cell>
        </row>
        <row r="85">
          <cell r="Q85">
            <v>100748.16146477578</v>
          </cell>
        </row>
        <row r="86">
          <cell r="H86">
            <v>40915.752000000371</v>
          </cell>
        </row>
        <row r="89">
          <cell r="Q89">
            <v>85903.774810144707</v>
          </cell>
        </row>
        <row r="92">
          <cell r="H92">
            <v>-217535.13959487964</v>
          </cell>
        </row>
      </sheetData>
      <sheetData sheetId="20">
        <row r="2">
          <cell r="N2">
            <v>25126.5</v>
          </cell>
        </row>
        <row r="85">
          <cell r="Q85">
            <v>96285.796111674921</v>
          </cell>
        </row>
        <row r="86">
          <cell r="H86">
            <v>252884.5659999997</v>
          </cell>
        </row>
        <row r="89">
          <cell r="Q89">
            <v>74212.461443602442</v>
          </cell>
        </row>
        <row r="92">
          <cell r="H92">
            <v>75110.594154497376</v>
          </cell>
        </row>
      </sheetData>
      <sheetData sheetId="21">
        <row r="2">
          <cell r="N2">
            <v>6521.5</v>
          </cell>
        </row>
        <row r="85">
          <cell r="Q85">
            <v>108630.22724833245</v>
          </cell>
        </row>
        <row r="86">
          <cell r="H86">
            <v>67924.104999999981</v>
          </cell>
        </row>
        <row r="89">
          <cell r="Q89">
            <v>73564.860384880769</v>
          </cell>
        </row>
        <row r="92">
          <cell r="H92">
            <v>17272.948539839024</v>
          </cell>
        </row>
      </sheetData>
      <sheetData sheetId="22">
        <row r="2">
          <cell r="N2">
            <v>3406</v>
          </cell>
        </row>
        <row r="85">
          <cell r="Q85">
            <v>113578.94891368174</v>
          </cell>
        </row>
        <row r="86">
          <cell r="H86">
            <v>-40546.711000000018</v>
          </cell>
        </row>
        <row r="89">
          <cell r="Q89">
            <v>75816.065179095705</v>
          </cell>
        </row>
        <row r="92">
          <cell r="H92">
            <v>-70849.277213078691</v>
          </cell>
        </row>
      </sheetData>
      <sheetData sheetId="23">
        <row r="2">
          <cell r="N2">
            <v>9868.5</v>
          </cell>
        </row>
        <row r="85">
          <cell r="Q85">
            <v>120474.68774383138</v>
          </cell>
        </row>
        <row r="86">
          <cell r="H86">
            <v>122232.65299999992</v>
          </cell>
        </row>
        <row r="89">
          <cell r="Q89">
            <v>90181.471449561737</v>
          </cell>
        </row>
        <row r="92">
          <cell r="H92">
            <v>24220.916978682435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176120.5</v>
          </cell>
        </row>
      </sheetData>
      <sheetData sheetId="1">
        <row r="5">
          <cell r="T5">
            <v>66817</v>
          </cell>
        </row>
        <row r="85">
          <cell r="Q85">
            <v>104188.77459703996</v>
          </cell>
        </row>
      </sheetData>
      <sheetData sheetId="2">
        <row r="5">
          <cell r="T5">
            <v>78610.5</v>
          </cell>
        </row>
        <row r="85">
          <cell r="Q85">
            <v>107645.51524287467</v>
          </cell>
        </row>
      </sheetData>
      <sheetData sheetId="3" refreshError="1"/>
      <sheetData sheetId="4" refreshError="1"/>
      <sheetData sheetId="5">
        <row r="5">
          <cell r="T5">
            <v>30693</v>
          </cell>
        </row>
        <row r="85">
          <cell r="Q85">
            <v>108148.78762062354</v>
          </cell>
        </row>
      </sheetData>
      <sheetData sheetId="6">
        <row r="5">
          <cell r="T5">
            <v>30862</v>
          </cell>
        </row>
        <row r="85">
          <cell r="Q85">
            <v>108132.36054047047</v>
          </cell>
        </row>
      </sheetData>
      <sheetData sheetId="7">
        <row r="5">
          <cell r="T5">
            <v>21869</v>
          </cell>
        </row>
        <row r="85">
          <cell r="Q85">
            <v>101637.02766473089</v>
          </cell>
        </row>
      </sheetData>
      <sheetData sheetId="8">
        <row r="5">
          <cell r="T5">
            <v>7450</v>
          </cell>
        </row>
        <row r="85">
          <cell r="Q85">
            <v>100634.00974025975</v>
          </cell>
        </row>
      </sheetData>
      <sheetData sheetId="9">
        <row r="5">
          <cell r="T5">
            <v>6636</v>
          </cell>
        </row>
        <row r="85">
          <cell r="Q85">
            <v>98214.709482888575</v>
          </cell>
        </row>
      </sheetData>
      <sheetData sheetId="10">
        <row r="5">
          <cell r="T5">
            <v>21564</v>
          </cell>
        </row>
        <row r="85">
          <cell r="Q85">
            <v>119144.63457614541</v>
          </cell>
        </row>
      </sheetData>
      <sheetData sheetId="11">
        <row r="5">
          <cell r="T5">
            <v>16480</v>
          </cell>
        </row>
        <row r="85">
          <cell r="Q85">
            <v>107459.8307038835</v>
          </cell>
        </row>
      </sheetData>
      <sheetData sheetId="12">
        <row r="5">
          <cell r="T5">
            <v>4548</v>
          </cell>
        </row>
        <row r="85">
          <cell r="Q85">
            <v>89614.555848724718</v>
          </cell>
        </row>
      </sheetData>
      <sheetData sheetId="13">
        <row r="5">
          <cell r="T5">
            <v>10089</v>
          </cell>
        </row>
        <row r="85">
          <cell r="Q85">
            <v>101084.0618495391</v>
          </cell>
        </row>
      </sheetData>
      <sheetData sheetId="14">
        <row r="5">
          <cell r="T5">
            <v>5181</v>
          </cell>
        </row>
        <row r="85">
          <cell r="Q85">
            <v>97835.417872997481</v>
          </cell>
        </row>
      </sheetData>
      <sheetData sheetId="15">
        <row r="5">
          <cell r="T5">
            <v>7500</v>
          </cell>
        </row>
        <row r="85">
          <cell r="Q85">
            <v>101424.97333333334</v>
          </cell>
        </row>
      </sheetData>
      <sheetData sheetId="16">
        <row r="5">
          <cell r="T5">
            <v>2698.5</v>
          </cell>
        </row>
        <row r="85">
          <cell r="Q85">
            <v>92786.535482675565</v>
          </cell>
        </row>
      </sheetData>
      <sheetData sheetId="17">
        <row r="5">
          <cell r="T5">
            <v>10550</v>
          </cell>
        </row>
        <row r="85">
          <cell r="Q85">
            <v>111519.78199052133</v>
          </cell>
        </row>
      </sheetData>
      <sheetData sheetId="18">
        <row r="5">
          <cell r="T5">
            <v>14503</v>
          </cell>
        </row>
        <row r="85">
          <cell r="Q85">
            <v>103835.84534234295</v>
          </cell>
        </row>
      </sheetData>
      <sheetData sheetId="19">
        <row r="5">
          <cell r="T5">
            <v>8160.5</v>
          </cell>
        </row>
        <row r="85">
          <cell r="Q85">
            <v>101995.85820665887</v>
          </cell>
        </row>
      </sheetData>
      <sheetData sheetId="20">
        <row r="5">
          <cell r="T5">
            <v>2067.5</v>
          </cell>
        </row>
        <row r="85">
          <cell r="Q85">
            <v>119136.61016949153</v>
          </cell>
        </row>
      </sheetData>
      <sheetData sheetId="21">
        <row r="5">
          <cell r="T5">
            <v>2145.5</v>
          </cell>
        </row>
        <row r="85">
          <cell r="Q85">
            <v>124562.01351666277</v>
          </cell>
        </row>
      </sheetData>
      <sheetData sheetId="22">
        <row r="5">
          <cell r="T5">
            <v>3816.5</v>
          </cell>
        </row>
        <row r="85">
          <cell r="Q85">
            <v>122993.4139383236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영업계획"/>
      <sheetName val="재료비"/>
      <sheetName val="월별원가"/>
      <sheetName val="제조운반비"/>
      <sheetName val="인별예산"/>
      <sheetName val="제조4"/>
      <sheetName val="판매4"/>
      <sheetName val="제조6"/>
      <sheetName val="판매6"/>
      <sheetName val="계정통제"/>
      <sheetName val="본사산출"/>
    </sheetNames>
    <sheetDataSet>
      <sheetData sheetId="0"/>
      <sheetData sheetId="1">
        <row r="5">
          <cell r="G5" t="str">
            <v>1월</v>
          </cell>
        </row>
        <row r="6">
          <cell r="H6">
            <v>112393</v>
          </cell>
        </row>
        <row r="7">
          <cell r="H7">
            <v>104918.32130318211</v>
          </cell>
        </row>
        <row r="10">
          <cell r="H10">
            <v>93112.155954307338</v>
          </cell>
        </row>
        <row r="21">
          <cell r="H21">
            <v>176999.8</v>
          </cell>
        </row>
        <row r="22">
          <cell r="H22">
            <v>100556.99043344715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본사"/>
      <sheetName val="2019공장"/>
      <sheetName val="2019raw"/>
      <sheetName val="2020본사"/>
      <sheetName val="2020공장"/>
      <sheetName val="2020raw"/>
      <sheetName val="2021본사"/>
      <sheetName val="2021공장"/>
      <sheetName val="2021raw"/>
      <sheetName val="2022본사"/>
      <sheetName val="2022공장"/>
      <sheetName val="2022raw"/>
      <sheetName val="계획대비"/>
      <sheetName val="1군판가 차이분석(계획대비)"/>
      <sheetName val="1군판가 차이분석 (2)"/>
      <sheetName val="합계(내한영향차이)"/>
      <sheetName val="Sheet2"/>
      <sheetName val="합계"/>
      <sheetName val="수도권"/>
      <sheetName val="영남권"/>
      <sheetName val="중부권"/>
      <sheetName val="부산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2026raw"/>
      <sheetName val="Sheet1"/>
      <sheetName val="19년 정리"/>
      <sheetName val="20년 정리"/>
      <sheetName val="21년 정리"/>
      <sheetName val="22년 정리"/>
      <sheetName val="23년 정리"/>
      <sheetName val="한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4">
          <cell r="C44">
            <v>0.77512116370577655</v>
          </cell>
          <cell r="D44">
            <v>0.72177917899365862</v>
          </cell>
        </row>
        <row r="93">
          <cell r="C93">
            <v>96700.469163932736</v>
          </cell>
          <cell r="D93">
            <v>97667.596405363292</v>
          </cell>
        </row>
        <row r="94">
          <cell r="D94">
            <v>107321.91111828959</v>
          </cell>
        </row>
        <row r="95">
          <cell r="D95">
            <v>104606.76316734462</v>
          </cell>
        </row>
        <row r="105">
          <cell r="C105">
            <v>109597.27878396324</v>
          </cell>
        </row>
        <row r="106">
          <cell r="C106">
            <v>106677.81952980641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예산대비 차이"/>
      <sheetName val="Sheet1"/>
      <sheetName val="MS"/>
      <sheetName val="규격물량"/>
      <sheetName val="규격단가(실단가)"/>
      <sheetName val="규격단가(예산안)"/>
      <sheetName val="재료비(합계)"/>
      <sheetName val="재료비(1군)"/>
      <sheetName val="재료비(중소개인)"/>
      <sheetName val="재료비(관수)"/>
      <sheetName val="26년계획(강도)"/>
      <sheetName val="지역수요"/>
    </sheetNames>
    <sheetDataSet>
      <sheetData sheetId="0"/>
      <sheetData sheetId="1">
        <row r="4">
          <cell r="K4" t="str">
            <v>1월</v>
          </cell>
        </row>
        <row r="15">
          <cell r="L15">
            <v>29.720029466262993</v>
          </cell>
        </row>
        <row r="16">
          <cell r="L16">
            <v>26.939076843388094</v>
          </cell>
        </row>
        <row r="18">
          <cell r="L18">
            <v>28.677232347573536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구분"/>
      <sheetName val="규격"/>
      <sheetName val="평균강도집계"/>
      <sheetName val="생산량"/>
      <sheetName val="규격조정"/>
      <sheetName val="물차제외raw"/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합계RAW"/>
      <sheetName val="수도권RAW"/>
      <sheetName val="영남권RAW"/>
      <sheetName val="중부권RAW"/>
      <sheetName val="안양RAW"/>
      <sheetName val="인천RAW"/>
      <sheetName val="파주RAW"/>
      <sheetName val="김포RAW"/>
      <sheetName val="부산RAW"/>
      <sheetName val="서부산RAW"/>
      <sheetName val="김해RAW"/>
      <sheetName val="정관RAW"/>
      <sheetName val="양산RAW"/>
      <sheetName val="창원RAW"/>
      <sheetName val="대구RAW"/>
      <sheetName val="울산RAW"/>
      <sheetName val="아산RAW"/>
      <sheetName val="전주RAW"/>
      <sheetName val="군산RAW"/>
      <sheetName val="원주RAW"/>
      <sheetName val="제주RAW"/>
    </sheetNames>
    <sheetDataSet>
      <sheetData sheetId="0"/>
      <sheetData sheetId="1"/>
      <sheetData sheetId="2">
        <row r="5">
          <cell r="Q5" t="str">
            <v>1월</v>
          </cell>
        </row>
        <row r="27">
          <cell r="Q27">
            <v>32.113676025536236</v>
          </cell>
          <cell r="R27">
            <v>31.840642756413956</v>
          </cell>
        </row>
        <row r="49">
          <cell r="Q49">
            <v>28.139713357633465</v>
          </cell>
          <cell r="R49">
            <v>26.769608346511674</v>
          </cell>
        </row>
        <row r="71">
          <cell r="R71">
            <v>30.387781700500145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년10월~12월"/>
      <sheetName val="25년1월"/>
      <sheetName val="25년2월"/>
      <sheetName val="25년3월"/>
      <sheetName val="25년4월"/>
      <sheetName val="25년5월"/>
      <sheetName val="25년6월"/>
      <sheetName val="25년7월"/>
      <sheetName val="25년8월"/>
      <sheetName val="25년9월"/>
      <sheetName val="25년10월"/>
      <sheetName val="25년11월"/>
      <sheetName val="25년12월"/>
      <sheetName val="갑지"/>
      <sheetName val="25년 정산액"/>
      <sheetName val="2025년 소급분"/>
      <sheetName val="2025년 소급분(공장별)"/>
      <sheetName val="26년1월"/>
      <sheetName val="26년2월"/>
      <sheetName val="2026년 소급분"/>
      <sheetName val="2026년 소급분(공장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3">
          <cell r="K43">
            <v>8714400</v>
          </cell>
        </row>
      </sheetData>
      <sheetData sheetId="18">
        <row r="52">
          <cell r="K52">
            <v>5963300</v>
          </cell>
        </row>
      </sheetData>
      <sheetData sheetId="19"/>
      <sheetData sheetId="20">
        <row r="5">
          <cell r="D5">
            <v>256.27505571085925</v>
          </cell>
        </row>
        <row r="6">
          <cell r="D6">
            <v>638.74257734567652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구분"/>
      <sheetName val="규격"/>
      <sheetName val="생산량"/>
      <sheetName val="규격조정"/>
      <sheetName val="물차제외raw"/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합계RAW"/>
      <sheetName val="수도권RAW"/>
      <sheetName val="영남권RAW"/>
      <sheetName val="중부권RAW"/>
      <sheetName val="안양RAW"/>
      <sheetName val="인천RAW"/>
      <sheetName val="파주RAW"/>
      <sheetName val="김포RAW"/>
      <sheetName val="부산RAW"/>
      <sheetName val="서부산RAW"/>
      <sheetName val="김해RAW"/>
      <sheetName val="정관RAW"/>
      <sheetName val="양산RAW"/>
      <sheetName val="창원RAW"/>
      <sheetName val="대구RAW"/>
      <sheetName val="울산RAW"/>
      <sheetName val="아산RAW"/>
      <sheetName val="전주RAW"/>
      <sheetName val="군산RAW"/>
      <sheetName val="원주RAW"/>
      <sheetName val="제주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2">
          <cell r="Q82">
            <v>31.203777194894855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>
      <selection activeCell="A6" sqref="A6:M14"/>
    </sheetView>
  </sheetViews>
  <sheetFormatPr defaultRowHeight="16.5" x14ac:dyDescent="0.3"/>
  <cols>
    <col min="13" max="13" width="15.75" customWidth="1"/>
  </cols>
  <sheetData>
    <row r="6" spans="1:13" x14ac:dyDescent="0.3">
      <c r="A6" s="666" t="s">
        <v>181</v>
      </c>
      <c r="B6" s="667"/>
      <c r="C6" s="667"/>
      <c r="D6" s="667"/>
      <c r="E6" s="667"/>
      <c r="F6" s="667"/>
      <c r="G6" s="667"/>
      <c r="H6" s="667"/>
      <c r="I6" s="667"/>
      <c r="J6" s="667"/>
      <c r="K6" s="667"/>
      <c r="L6" s="667"/>
      <c r="M6" s="668"/>
    </row>
    <row r="7" spans="1:13" x14ac:dyDescent="0.3">
      <c r="A7" s="669"/>
      <c r="B7" s="670"/>
      <c r="C7" s="670"/>
      <c r="D7" s="670"/>
      <c r="E7" s="670"/>
      <c r="F7" s="670"/>
      <c r="G7" s="670"/>
      <c r="H7" s="670"/>
      <c r="I7" s="670"/>
      <c r="J7" s="670"/>
      <c r="K7" s="670"/>
      <c r="L7" s="670"/>
      <c r="M7" s="671"/>
    </row>
    <row r="8" spans="1:13" x14ac:dyDescent="0.3">
      <c r="A8" s="669"/>
      <c r="B8" s="670"/>
      <c r="C8" s="670"/>
      <c r="D8" s="670"/>
      <c r="E8" s="670"/>
      <c r="F8" s="670"/>
      <c r="G8" s="670"/>
      <c r="H8" s="670"/>
      <c r="I8" s="670"/>
      <c r="J8" s="670"/>
      <c r="K8" s="670"/>
      <c r="L8" s="670"/>
      <c r="M8" s="671"/>
    </row>
    <row r="9" spans="1:13" x14ac:dyDescent="0.3">
      <c r="A9" s="669"/>
      <c r="B9" s="670"/>
      <c r="C9" s="670"/>
      <c r="D9" s="670"/>
      <c r="E9" s="670"/>
      <c r="F9" s="670"/>
      <c r="G9" s="670"/>
      <c r="H9" s="670"/>
      <c r="I9" s="670"/>
      <c r="J9" s="670"/>
      <c r="K9" s="670"/>
      <c r="L9" s="670"/>
      <c r="M9" s="671"/>
    </row>
    <row r="10" spans="1:13" x14ac:dyDescent="0.3">
      <c r="A10" s="669"/>
      <c r="B10" s="670"/>
      <c r="C10" s="670"/>
      <c r="D10" s="670"/>
      <c r="E10" s="670"/>
      <c r="F10" s="670"/>
      <c r="G10" s="670"/>
      <c r="H10" s="670"/>
      <c r="I10" s="670"/>
      <c r="J10" s="670"/>
      <c r="K10" s="670"/>
      <c r="L10" s="670"/>
      <c r="M10" s="671"/>
    </row>
    <row r="11" spans="1:13" x14ac:dyDescent="0.3">
      <c r="A11" s="669"/>
      <c r="B11" s="670"/>
      <c r="C11" s="670"/>
      <c r="D11" s="670"/>
      <c r="E11" s="670"/>
      <c r="F11" s="670"/>
      <c r="G11" s="670"/>
      <c r="H11" s="670"/>
      <c r="I11" s="670"/>
      <c r="J11" s="670"/>
      <c r="K11" s="670"/>
      <c r="L11" s="670"/>
      <c r="M11" s="671"/>
    </row>
    <row r="12" spans="1:13" x14ac:dyDescent="0.3">
      <c r="A12" s="669"/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</row>
    <row r="13" spans="1:13" x14ac:dyDescent="0.3">
      <c r="A13" s="669"/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</row>
    <row r="14" spans="1:13" x14ac:dyDescent="0.3">
      <c r="A14" s="672"/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</row>
    <row r="24" spans="1:13" x14ac:dyDescent="0.3">
      <c r="A24" s="675" t="s">
        <v>167</v>
      </c>
      <c r="B24" s="675"/>
      <c r="C24" s="675"/>
      <c r="D24" s="675"/>
      <c r="E24" s="675"/>
      <c r="F24" s="675"/>
      <c r="G24" s="675"/>
      <c r="H24" s="675"/>
      <c r="I24" s="675"/>
      <c r="J24" s="675"/>
      <c r="K24" s="675"/>
      <c r="L24" s="675"/>
      <c r="M24" s="675"/>
    </row>
    <row r="25" spans="1:13" x14ac:dyDescent="0.3">
      <c r="A25" s="675"/>
      <c r="B25" s="675"/>
      <c r="C25" s="675"/>
      <c r="D25" s="675"/>
      <c r="E25" s="675"/>
      <c r="F25" s="675"/>
      <c r="G25" s="675"/>
      <c r="H25" s="675"/>
      <c r="I25" s="675"/>
      <c r="J25" s="675"/>
      <c r="K25" s="675"/>
      <c r="L25" s="675"/>
      <c r="M25" s="675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zoomScale="70" zoomScaleNormal="70" zoomScaleSheetLayoutView="70" workbookViewId="0">
      <selection activeCell="M7" sqref="M7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27" width="9.125" customWidth="1"/>
    <col min="28" max="28" width="11.375" bestFit="1" customWidth="1"/>
    <col min="29" max="37" width="9.125" customWidth="1"/>
  </cols>
  <sheetData>
    <row r="1" spans="1:29" ht="20.100000000000001" customHeight="1" x14ac:dyDescent="0.3"/>
    <row r="2" spans="1:29" ht="20.100000000000001" customHeight="1" x14ac:dyDescent="0.3"/>
    <row r="3" spans="1:29" ht="20.100000000000001" customHeight="1" x14ac:dyDescent="0.3">
      <c r="C3" s="2" t="s">
        <v>216</v>
      </c>
    </row>
    <row r="4" spans="1:29" ht="20.100000000000001" customHeight="1" x14ac:dyDescent="0.3">
      <c r="H4" s="211"/>
      <c r="X4" s="3" t="s">
        <v>99</v>
      </c>
    </row>
    <row r="5" spans="1:29" ht="27" customHeight="1" thickBot="1" x14ac:dyDescent="0.35">
      <c r="C5" s="678" t="s">
        <v>61</v>
      </c>
      <c r="D5" s="679"/>
      <c r="E5" s="526" t="s">
        <v>190</v>
      </c>
      <c r="F5" s="527"/>
      <c r="G5" s="527"/>
      <c r="H5" s="527"/>
      <c r="I5" s="528"/>
      <c r="J5" s="527" t="s">
        <v>192</v>
      </c>
      <c r="K5" s="527"/>
      <c r="L5" s="527"/>
      <c r="M5" s="527"/>
      <c r="N5" s="528"/>
      <c r="O5" s="114"/>
      <c r="P5" s="678" t="s">
        <v>193</v>
      </c>
      <c r="Q5" s="679"/>
      <c r="R5" s="679"/>
      <c r="S5" s="679"/>
      <c r="T5" s="679"/>
      <c r="U5" s="679"/>
      <c r="V5" s="679"/>
      <c r="W5" s="679"/>
      <c r="X5" s="682"/>
    </row>
    <row r="6" spans="1:29" ht="27" customHeight="1" thickTop="1" x14ac:dyDescent="0.3">
      <c r="C6" s="680"/>
      <c r="D6" s="681"/>
      <c r="E6" s="529" t="s">
        <v>62</v>
      </c>
      <c r="F6" s="530" t="s">
        <v>63</v>
      </c>
      <c r="G6" s="531" t="s">
        <v>64</v>
      </c>
      <c r="H6" s="532" t="s">
        <v>65</v>
      </c>
      <c r="I6" s="533" t="s">
        <v>66</v>
      </c>
      <c r="J6" s="529" t="s">
        <v>62</v>
      </c>
      <c r="K6" s="530" t="s">
        <v>63</v>
      </c>
      <c r="L6" s="531" t="s">
        <v>64</v>
      </c>
      <c r="M6" s="532" t="s">
        <v>65</v>
      </c>
      <c r="N6" s="533" t="s">
        <v>66</v>
      </c>
      <c r="O6" s="114"/>
      <c r="P6" s="680"/>
      <c r="Q6" s="681"/>
      <c r="R6" s="681"/>
      <c r="S6" s="681"/>
      <c r="T6" s="681"/>
      <c r="U6" s="681"/>
      <c r="V6" s="681"/>
      <c r="W6" s="681"/>
      <c r="X6" s="683"/>
    </row>
    <row r="7" spans="1:29" ht="21.75" customHeight="1" x14ac:dyDescent="0.3">
      <c r="A7" s="211"/>
      <c r="B7" s="211"/>
      <c r="C7" s="83" t="s">
        <v>0</v>
      </c>
      <c r="D7" s="84" t="s">
        <v>40</v>
      </c>
      <c r="E7" s="291">
        <f>+'[1]2월'!$Z$7/1000</f>
        <v>176.99979999999999</v>
      </c>
      <c r="F7" s="292">
        <f>+'[2]2월'!$Z$7/1000</f>
        <v>170.00899999999999</v>
      </c>
      <c r="G7" s="267">
        <f t="shared" ref="G7:G30" si="0">+F7-E7</f>
        <v>-6.9908000000000072</v>
      </c>
      <c r="H7" s="268">
        <f>+'[3]2월'!$Z$7/1000</f>
        <v>210.779</v>
      </c>
      <c r="I7" s="269">
        <f t="shared" ref="I7:I30" si="1">+F7-H7</f>
        <v>-40.77000000000001</v>
      </c>
      <c r="J7" s="291">
        <f>+'[1]2월누계'!$Z$7/1000</f>
        <v>365.99979999999999</v>
      </c>
      <c r="K7" s="292">
        <f>+'[2]2월누계'!$Z$7/1000</f>
        <v>346.12950000000001</v>
      </c>
      <c r="L7" s="267">
        <f t="shared" ref="L7" si="2">+K7-J7</f>
        <v>-19.870299999999986</v>
      </c>
      <c r="M7" s="268">
        <f>+'[3]2월누계'!$Z$7/1000</f>
        <v>388.6585</v>
      </c>
      <c r="N7" s="269">
        <f t="shared" ref="N7" si="3">+K7-M7</f>
        <v>-42.528999999999996</v>
      </c>
      <c r="O7" s="82"/>
      <c r="P7" s="519"/>
      <c r="Q7" s="520" t="s">
        <v>83</v>
      </c>
      <c r="R7" s="520"/>
      <c r="S7" s="521"/>
      <c r="T7" s="521"/>
      <c r="U7" s="521"/>
      <c r="V7" s="521"/>
      <c r="W7" s="521"/>
      <c r="X7" s="522"/>
      <c r="Y7" s="211"/>
    </row>
    <row r="8" spans="1:29" ht="21.75" customHeight="1" x14ac:dyDescent="0.3">
      <c r="B8" s="211"/>
      <c r="C8" s="83"/>
      <c r="D8" s="87" t="s">
        <v>1</v>
      </c>
      <c r="E8" s="293">
        <f>+'[1]2월'!$AE$7/1000</f>
        <v>60.295700279720286</v>
      </c>
      <c r="F8" s="294">
        <f>+'[2]2월'!$AN$7/1000</f>
        <v>50.673999999999999</v>
      </c>
      <c r="G8" s="270">
        <f t="shared" si="0"/>
        <v>-9.6217002797202866</v>
      </c>
      <c r="H8" s="271">
        <f>+'[3]2월'!$AN$7/1000</f>
        <v>57.936999999999998</v>
      </c>
      <c r="I8" s="272">
        <f t="shared" si="1"/>
        <v>-7.2629999999999981</v>
      </c>
      <c r="J8" s="293">
        <f>+'[1]2월누계'!$AE$7/1000</f>
        <v>135.05382722610722</v>
      </c>
      <c r="K8" s="294">
        <f>+'[2]2월누계'!$AN$7/1000</f>
        <v>106.167</v>
      </c>
      <c r="L8" s="270">
        <f t="shared" ref="L8:L30" si="4">+K8-J8</f>
        <v>-28.886827226107215</v>
      </c>
      <c r="M8" s="271">
        <f>+'[3]2월누계'!$AN$7/1000</f>
        <v>106.18899999999999</v>
      </c>
      <c r="N8" s="272">
        <f t="shared" ref="N8:N30" si="5">+K8-M8</f>
        <v>-2.199999999999136E-2</v>
      </c>
      <c r="O8" s="82"/>
      <c r="P8" s="85"/>
      <c r="Q8" s="197" t="s">
        <v>55</v>
      </c>
      <c r="R8" s="198"/>
      <c r="S8" s="199" t="s">
        <v>12</v>
      </c>
      <c r="T8" s="200" t="s">
        <v>67</v>
      </c>
      <c r="U8" s="201" t="s">
        <v>56</v>
      </c>
      <c r="V8" s="200" t="s">
        <v>39</v>
      </c>
      <c r="W8" s="202" t="s">
        <v>57</v>
      </c>
      <c r="X8" s="86"/>
      <c r="Y8" s="211"/>
    </row>
    <row r="9" spans="1:29" ht="21.75" customHeight="1" x14ac:dyDescent="0.3">
      <c r="B9" s="211"/>
      <c r="C9" s="90" t="s">
        <v>2</v>
      </c>
      <c r="D9" s="91" t="s">
        <v>40</v>
      </c>
      <c r="E9" s="295">
        <f>+'[1]2월'!$Z$8/1000</f>
        <v>17798.567195322063</v>
      </c>
      <c r="F9" s="296">
        <f>+'[2]2월'!$Z$8/1000</f>
        <v>17781.846266</v>
      </c>
      <c r="G9" s="297">
        <f t="shared" si="0"/>
        <v>-16.720929322062148</v>
      </c>
      <c r="H9" s="298">
        <f>+'[3]2월'!$Z$8/1000</f>
        <v>21022.767731000004</v>
      </c>
      <c r="I9" s="299">
        <f t="shared" si="1"/>
        <v>-3240.9214650000031</v>
      </c>
      <c r="J9" s="295">
        <f>+'[1]2월누계'!$Z$8/1000</f>
        <v>36871.179225136839</v>
      </c>
      <c r="K9" s="296">
        <f>+'[2]2월누계'!$Z$8/1000</f>
        <v>36527.701204000005</v>
      </c>
      <c r="L9" s="297">
        <f t="shared" si="4"/>
        <v>-343.47802113683429</v>
      </c>
      <c r="M9" s="298">
        <f>+'[3]2월누계'!$Z$8/1000</f>
        <v>38997.159802999995</v>
      </c>
      <c r="N9" s="299">
        <f t="shared" si="5"/>
        <v>-2469.4585989999905</v>
      </c>
      <c r="O9" s="82"/>
      <c r="P9" s="85"/>
      <c r="Q9" s="88" t="s">
        <v>51</v>
      </c>
      <c r="R9" s="162" t="s">
        <v>16</v>
      </c>
      <c r="S9" s="175">
        <f>+[4]수도권!$T$5/1000</f>
        <v>67</v>
      </c>
      <c r="T9" s="89">
        <f>+[4]수도권!$U$5/1000</f>
        <v>66.766999999999996</v>
      </c>
      <c r="U9" s="267">
        <f>+T9-S9</f>
        <v>-0.23300000000000409</v>
      </c>
      <c r="V9" s="268">
        <f>+[5]수도권!$T$5/1000</f>
        <v>74.239500000000007</v>
      </c>
      <c r="W9" s="269">
        <f>+T9-V9</f>
        <v>-7.4725000000000108</v>
      </c>
      <c r="X9" s="86"/>
      <c r="Y9" s="211"/>
    </row>
    <row r="10" spans="1:29" ht="21.75" customHeight="1" x14ac:dyDescent="0.3">
      <c r="B10" s="211"/>
      <c r="C10" s="83"/>
      <c r="D10" s="87" t="s">
        <v>1</v>
      </c>
      <c r="E10" s="293">
        <f>+'[1]2월'!$AE$8/1000</f>
        <v>1053.0676453613053</v>
      </c>
      <c r="F10" s="294">
        <f>+'[2]2월'!$AN$8/1000</f>
        <v>1044.5383999999999</v>
      </c>
      <c r="G10" s="270">
        <f t="shared" si="0"/>
        <v>-8.5292453613053567</v>
      </c>
      <c r="H10" s="271">
        <f>+'[3]2월'!$AN$8/1000</f>
        <v>1242.5835</v>
      </c>
      <c r="I10" s="272">
        <f t="shared" si="1"/>
        <v>-198.04510000000005</v>
      </c>
      <c r="J10" s="293">
        <f>+'[1]2월누계'!$AE$8/1000</f>
        <v>2460.7562454312356</v>
      </c>
      <c r="K10" s="294">
        <f>+'[2]2월누계'!$AN$8/1000</f>
        <v>2174.2787999999996</v>
      </c>
      <c r="L10" s="270">
        <f t="shared" si="4"/>
        <v>-286.47744543123599</v>
      </c>
      <c r="M10" s="271">
        <f>+'[3]2월누계'!$AN$8/1000</f>
        <v>2294.3314999999998</v>
      </c>
      <c r="N10" s="272">
        <f t="shared" si="5"/>
        <v>-120.05270000000019</v>
      </c>
      <c r="O10" s="82"/>
      <c r="P10" s="85"/>
      <c r="Q10" s="92"/>
      <c r="R10" s="163" t="s">
        <v>17</v>
      </c>
      <c r="S10" s="176">
        <f>+[4]영남권!$T$5/1000</f>
        <v>83.5</v>
      </c>
      <c r="T10" s="93">
        <f>+[4]영남권!$U$5/1000</f>
        <v>73.924999999999997</v>
      </c>
      <c r="U10" s="270">
        <f t="shared" ref="U10:U20" si="6">+T10-S10</f>
        <v>-9.5750000000000028</v>
      </c>
      <c r="V10" s="271">
        <f>+[5]영남권!$T$5/1000</f>
        <v>95.894000000000005</v>
      </c>
      <c r="W10" s="272">
        <f t="shared" ref="W10:W20" si="7">+T10-V10</f>
        <v>-21.969000000000008</v>
      </c>
      <c r="X10" s="86"/>
      <c r="Y10" s="211"/>
    </row>
    <row r="11" spans="1:29" ht="21.75" customHeight="1" x14ac:dyDescent="0.3">
      <c r="B11" s="211"/>
      <c r="C11" s="83"/>
      <c r="D11" s="97" t="s">
        <v>4</v>
      </c>
      <c r="E11" s="300">
        <f>+'[1]2월'!$E$8/1000-E9-E33-E10</f>
        <v>123.53333333333171</v>
      </c>
      <c r="F11" s="301">
        <f>+('[2]2월'!$BJ$8+'[2]2월'!$BA$8+'[2]2월'!$AP$8+'[2]2월'!$AH$8)/1000</f>
        <v>56.991225999999997</v>
      </c>
      <c r="G11" s="273">
        <f t="shared" si="0"/>
        <v>-66.542107333331714</v>
      </c>
      <c r="H11" s="274">
        <f>+'[3]2월'!$F$8/1000-H9-H33-H10</f>
        <v>164.5193680000018</v>
      </c>
      <c r="I11" s="275">
        <f t="shared" si="1"/>
        <v>-107.52814200000181</v>
      </c>
      <c r="J11" s="300">
        <f>+'[1]2월누계'!$E$8/1000-J9-J33-J10</f>
        <v>242.36666666666315</v>
      </c>
      <c r="K11" s="301">
        <f>+('[2]2월누계'!$BJ$8+'[2]2월누계'!$BA$8+'[2]2월누계'!$AP$8+'[2]2월누계'!$AH$8)/1000</f>
        <v>109.32610399999999</v>
      </c>
      <c r="L11" s="273">
        <f t="shared" si="4"/>
        <v>-133.04056266666316</v>
      </c>
      <c r="M11" s="274">
        <f>+'[3]2월누계'!$F$8/1000-M9-M33-M10</f>
        <v>331.7719669999974</v>
      </c>
      <c r="N11" s="275">
        <f t="shared" si="5"/>
        <v>-222.44586299999742</v>
      </c>
      <c r="O11" s="82"/>
      <c r="P11" s="85"/>
      <c r="Q11" s="92"/>
      <c r="R11" s="164" t="s">
        <v>104</v>
      </c>
      <c r="S11" s="177">
        <f>+[4]중부권!$T$5/1000</f>
        <v>26.4998</v>
      </c>
      <c r="T11" s="94">
        <f>+[4]중부권!$U$5/1000</f>
        <v>29.317</v>
      </c>
      <c r="U11" s="273">
        <f t="shared" si="6"/>
        <v>2.8171999999999997</v>
      </c>
      <c r="V11" s="274">
        <f>+[5]중부권!$T$5/1000</f>
        <v>40.645499999999998</v>
      </c>
      <c r="W11" s="275">
        <f t="shared" si="7"/>
        <v>-11.328499999999998</v>
      </c>
      <c r="X11" s="86"/>
      <c r="Y11" s="211"/>
    </row>
    <row r="12" spans="1:29" ht="21.75" customHeight="1" x14ac:dyDescent="0.3">
      <c r="B12" s="211"/>
      <c r="C12" s="98" t="s">
        <v>8</v>
      </c>
      <c r="D12" s="99"/>
      <c r="E12" s="300">
        <f>SUM(E9:E11)</f>
        <v>18975.168174016701</v>
      </c>
      <c r="F12" s="301">
        <f>SUM(F9:F11)</f>
        <v>18883.375892</v>
      </c>
      <c r="G12" s="273">
        <f t="shared" si="0"/>
        <v>-91.792282016700483</v>
      </c>
      <c r="H12" s="274">
        <f>SUM(H9:H11)</f>
        <v>22429.870599000005</v>
      </c>
      <c r="I12" s="275">
        <f t="shared" si="1"/>
        <v>-3546.4947070000053</v>
      </c>
      <c r="J12" s="300">
        <f>SUM(J9:J11)</f>
        <v>39574.302137234736</v>
      </c>
      <c r="K12" s="301">
        <f>SUM(K9:K11)</f>
        <v>38811.306108000004</v>
      </c>
      <c r="L12" s="273">
        <f t="shared" si="4"/>
        <v>-762.9960292347314</v>
      </c>
      <c r="M12" s="274">
        <f>SUM(M9:M11)</f>
        <v>41623.263269999996</v>
      </c>
      <c r="N12" s="275">
        <f t="shared" si="5"/>
        <v>-2811.9571619999915</v>
      </c>
      <c r="O12" s="82"/>
      <c r="P12" s="85"/>
      <c r="Q12" s="95" t="s">
        <v>58</v>
      </c>
      <c r="R12" s="165"/>
      <c r="S12" s="178">
        <f>SUM(S9:S11)</f>
        <v>176.99979999999999</v>
      </c>
      <c r="T12" s="96">
        <f>SUM(T9:T11)</f>
        <v>170.00900000000001</v>
      </c>
      <c r="U12" s="276">
        <f t="shared" si="6"/>
        <v>-6.9907999999999788</v>
      </c>
      <c r="V12" s="277">
        <f>SUM(V9:V11)</f>
        <v>210.77900000000002</v>
      </c>
      <c r="W12" s="278">
        <f t="shared" si="7"/>
        <v>-40.77000000000001</v>
      </c>
      <c r="X12" s="86"/>
      <c r="AA12" s="460"/>
      <c r="AB12" s="460"/>
      <c r="AC12" s="211"/>
    </row>
    <row r="13" spans="1:29" ht="21.75" customHeight="1" x14ac:dyDescent="0.3">
      <c r="B13" s="211"/>
      <c r="C13" s="83" t="s">
        <v>5</v>
      </c>
      <c r="D13" s="91" t="s">
        <v>40</v>
      </c>
      <c r="E13" s="295">
        <f>+('[1]2월'!$Z$10+'[1]2월'!$Z$19)/1000</f>
        <v>17104.216317948849</v>
      </c>
      <c r="F13" s="296">
        <f>+('[2]2월'!$Z$10+'[2]2월'!$Z$19)/1000</f>
        <v>17308.861787000002</v>
      </c>
      <c r="G13" s="297">
        <f t="shared" si="0"/>
        <v>204.64546905115276</v>
      </c>
      <c r="H13" s="298">
        <f>+('[3]2월'!$Z$10+'[3]2월'!$Z$19)/1000</f>
        <v>19459.467208999999</v>
      </c>
      <c r="I13" s="299">
        <f t="shared" si="1"/>
        <v>-2150.6054219999969</v>
      </c>
      <c r="J13" s="295">
        <f>+('[1]2월누계'!$Z$10+'[1]2월누계'!$Z$19)/1000</f>
        <v>35461.375994196387</v>
      </c>
      <c r="K13" s="296">
        <f>+('[2]2월누계'!$Z$10+'[2]2월누계'!$Z$19)/1000</f>
        <v>35156.213653000006</v>
      </c>
      <c r="L13" s="297">
        <f t="shared" si="4"/>
        <v>-305.16234119638102</v>
      </c>
      <c r="M13" s="298">
        <f>+('[3]2월누계'!$Z$10+'[3]2월누계'!$Z$19)/1000</f>
        <v>36700.19260599999</v>
      </c>
      <c r="N13" s="299">
        <f t="shared" si="5"/>
        <v>-1543.9789529999834</v>
      </c>
      <c r="O13" s="82"/>
      <c r="P13" s="85"/>
      <c r="Q13" s="88" t="s">
        <v>59</v>
      </c>
      <c r="R13" s="162" t="s">
        <v>16</v>
      </c>
      <c r="S13" s="175">
        <f>+[4]수도권!$T$61</f>
        <v>98247.172664470636</v>
      </c>
      <c r="T13" s="89">
        <f>+[4]수도권!$U$61</f>
        <v>102553.1111077759</v>
      </c>
      <c r="U13" s="267">
        <f t="shared" si="6"/>
        <v>4305.9384433052619</v>
      </c>
      <c r="V13" s="268">
        <f>+[5]수도권!$Q$85</f>
        <v>96965.552073670318</v>
      </c>
      <c r="W13" s="269">
        <f t="shared" si="7"/>
        <v>5587.5590341055795</v>
      </c>
      <c r="X13" s="86"/>
      <c r="AA13" s="460"/>
      <c r="AB13" s="460"/>
      <c r="AC13" s="211"/>
    </row>
    <row r="14" spans="1:29" ht="21.75" customHeight="1" x14ac:dyDescent="0.3">
      <c r="A14" s="211"/>
      <c r="B14" s="211"/>
      <c r="C14" s="83"/>
      <c r="D14" s="87" t="s">
        <v>1</v>
      </c>
      <c r="E14" s="293">
        <f>+('[1]2월'!$AE$10+'[1]2월'!$AE$19)/1000</f>
        <v>1117.0252938492815</v>
      </c>
      <c r="F14" s="294">
        <f>+('[2]2월'!$AN$10+'[2]2월'!$AN$19)/1000</f>
        <v>1151.3958729999999</v>
      </c>
      <c r="G14" s="270">
        <f t="shared" si="0"/>
        <v>34.370579150718413</v>
      </c>
      <c r="H14" s="271">
        <f>+('[3]2월'!$AN$10+'[3]2월'!$AN$19)/1000</f>
        <v>1294.0505049899998</v>
      </c>
      <c r="I14" s="272">
        <f t="shared" si="1"/>
        <v>-142.65463198999987</v>
      </c>
      <c r="J14" s="293">
        <f>+('[1]2월누계'!$AE$10+'[1]2월누계'!$AE$19)/1000</f>
        <v>2563.0946255599179</v>
      </c>
      <c r="K14" s="294">
        <f>+('[2]2월누계'!$AN$10+'[2]2월누계'!$AN$19)/1000</f>
        <v>2404.6473730000002</v>
      </c>
      <c r="L14" s="270">
        <f t="shared" si="4"/>
        <v>-158.44725255991762</v>
      </c>
      <c r="M14" s="271">
        <f>+('[3]2월누계'!$AN$10+'[3]2월누계'!$AN$19)/1000</f>
        <v>2576.3160469999998</v>
      </c>
      <c r="N14" s="272">
        <f t="shared" si="5"/>
        <v>-171.66867399999956</v>
      </c>
      <c r="O14" s="82"/>
      <c r="P14" s="85"/>
      <c r="Q14" s="92"/>
      <c r="R14" s="163" t="s">
        <v>17</v>
      </c>
      <c r="S14" s="176">
        <f>+[4]영남권!$T$61</f>
        <v>100395.73038374282</v>
      </c>
      <c r="T14" s="93">
        <f>+[4]영남권!$U$61</f>
        <v>106159.44104159619</v>
      </c>
      <c r="U14" s="270">
        <f t="shared" si="6"/>
        <v>5763.7106578533712</v>
      </c>
      <c r="V14" s="271">
        <f>+[5]영남권!$Q$85</f>
        <v>100787.78490345353</v>
      </c>
      <c r="W14" s="272">
        <f t="shared" si="7"/>
        <v>5371.6561381426582</v>
      </c>
      <c r="X14" s="86"/>
      <c r="Y14" s="211"/>
      <c r="AB14" s="460"/>
      <c r="AC14" s="211"/>
    </row>
    <row r="15" spans="1:29" ht="21.75" customHeight="1" x14ac:dyDescent="0.3">
      <c r="C15" s="83"/>
      <c r="D15" s="97" t="s">
        <v>4</v>
      </c>
      <c r="E15" s="300">
        <f>+('[1]2월'!$AL$10+'[1]2월'!$AL$19+'[1]2월'!$AV$10+'[1]2월'!$AV$19)/1000</f>
        <v>19.286963</v>
      </c>
      <c r="F15" s="301">
        <f>+('[2]2월'!$AH$10+'[2]2월'!$AH$19+'[2]2월'!$AP$10+'[2]2월'!$AP$19+'[2]2월'!$BA$10+'[2]2월'!$BA$19+'[2]2월'!$BJ$10+'[2]2월'!$BJ$19)/1000</f>
        <v>-341.84749900000003</v>
      </c>
      <c r="G15" s="273">
        <f t="shared" si="0"/>
        <v>-361.13446200000004</v>
      </c>
      <c r="H15" s="274">
        <f>+('[3]2월'!$F$10+'[3]2월'!$F$19)/1000-H13-H14-('[3]2월'!$AO$10+'[3]2월'!$AO$19)/1000</f>
        <v>28.233255000003737</v>
      </c>
      <c r="I15" s="275">
        <f t="shared" si="1"/>
        <v>-370.08075400000376</v>
      </c>
      <c r="J15" s="300">
        <f>+('[1]2월누계'!$AL$10+'[1]2월누계'!$AL$19+'[1]2월누계'!$AV$10+'[1]2월누계'!$AV$19)/1000</f>
        <v>38.573926</v>
      </c>
      <c r="K15" s="301">
        <f>+('[2]2월누계'!$AH$10+'[2]2월누계'!$AH$19+'[2]2월누계'!$AP$10+'[2]2월누계'!$AP$19+'[2]2월누계'!$BA$10+'[2]2월누계'!$BA$19+'[2]2월누계'!$BJ$10+'[2]2월누계'!$BJ$19)/1000</f>
        <v>-322.58391799999998</v>
      </c>
      <c r="L15" s="273">
        <f t="shared" si="4"/>
        <v>-361.15784399999995</v>
      </c>
      <c r="M15" s="274">
        <f>+('[3]2월누계'!$F$10+'[3]2월누계'!$F$19)/1000-M13-M14-('[3]2월누계'!$AO$10+'[3]2월누계'!$AO$19)/1000</f>
        <v>359.42361200000596</v>
      </c>
      <c r="N15" s="275">
        <f t="shared" si="5"/>
        <v>-682.007530000006</v>
      </c>
      <c r="O15" s="82"/>
      <c r="P15" s="85"/>
      <c r="Q15" s="92"/>
      <c r="R15" s="164" t="s">
        <v>103</v>
      </c>
      <c r="S15" s="177">
        <f>+[4]중부권!$T$61</f>
        <v>106905.07625566988</v>
      </c>
      <c r="T15" s="94">
        <f>+[4]중부권!$U$61</f>
        <v>105358.92304806084</v>
      </c>
      <c r="U15" s="273">
        <f t="shared" si="6"/>
        <v>-1546.1532076090371</v>
      </c>
      <c r="V15" s="274">
        <f>+[5]중부권!$Q$85</f>
        <v>102295.47925625638</v>
      </c>
      <c r="W15" s="275">
        <f t="shared" si="7"/>
        <v>3063.4437918044569</v>
      </c>
      <c r="X15" s="86"/>
      <c r="AB15" s="460"/>
    </row>
    <row r="16" spans="1:29" ht="21.75" customHeight="1" x14ac:dyDescent="0.3">
      <c r="C16" s="83" t="s">
        <v>8</v>
      </c>
      <c r="D16" s="102"/>
      <c r="E16" s="293">
        <f>SUM(E13:E15)</f>
        <v>18240.528574798129</v>
      </c>
      <c r="F16" s="294">
        <f>SUM(F13:F15)</f>
        <v>18118.410161000003</v>
      </c>
      <c r="G16" s="270">
        <f t="shared" si="0"/>
        <v>-122.1184137981254</v>
      </c>
      <c r="H16" s="271">
        <f>SUM(H13:H15)</f>
        <v>20781.75096899</v>
      </c>
      <c r="I16" s="272">
        <f t="shared" si="1"/>
        <v>-2663.3408079899964</v>
      </c>
      <c r="J16" s="293">
        <f>SUM(J13:J15)</f>
        <v>38063.044545756304</v>
      </c>
      <c r="K16" s="294">
        <f>SUM(K13:K15)</f>
        <v>37238.277108000009</v>
      </c>
      <c r="L16" s="270">
        <f t="shared" si="4"/>
        <v>-824.76743775629438</v>
      </c>
      <c r="M16" s="271">
        <f>SUM(M13:M15)</f>
        <v>39635.932264999996</v>
      </c>
      <c r="N16" s="272">
        <f t="shared" si="5"/>
        <v>-2397.6551569999865</v>
      </c>
      <c r="O16" s="82"/>
      <c r="P16" s="85"/>
      <c r="Q16" s="95" t="s">
        <v>58</v>
      </c>
      <c r="R16" s="165"/>
      <c r="S16" s="178">
        <f>+[4]합계!$T$61</f>
        <v>100556.99043344718</v>
      </c>
      <c r="T16" s="96">
        <f>+[4]합계!$U$61</f>
        <v>104606.76316734463</v>
      </c>
      <c r="U16" s="276">
        <f>+T16-S16</f>
        <v>4049.772733897451</v>
      </c>
      <c r="V16" s="277">
        <f>+[5]합계!$Q$85</f>
        <v>99735.994266764363</v>
      </c>
      <c r="W16" s="278">
        <f>+T16-V16</f>
        <v>4870.7689005802677</v>
      </c>
      <c r="X16" s="86"/>
    </row>
    <row r="17" spans="2:27" ht="21.75" customHeight="1" x14ac:dyDescent="0.3">
      <c r="C17" s="90" t="s">
        <v>15</v>
      </c>
      <c r="D17" s="91" t="s">
        <v>40</v>
      </c>
      <c r="E17" s="295">
        <f t="shared" ref="E17:F19" si="8">+E9-E13</f>
        <v>694.35087737321373</v>
      </c>
      <c r="F17" s="296">
        <f t="shared" si="8"/>
        <v>472.98447899999883</v>
      </c>
      <c r="G17" s="297">
        <f t="shared" si="0"/>
        <v>-221.36639837321491</v>
      </c>
      <c r="H17" s="298">
        <f>+H9-H13</f>
        <v>1563.300522000005</v>
      </c>
      <c r="I17" s="299">
        <f t="shared" si="1"/>
        <v>-1090.3160430000062</v>
      </c>
      <c r="J17" s="295">
        <f t="shared" ref="J17:K17" si="9">+J9-J13</f>
        <v>1409.8032309404516</v>
      </c>
      <c r="K17" s="296">
        <f t="shared" si="9"/>
        <v>1371.4875509999983</v>
      </c>
      <c r="L17" s="297">
        <f t="shared" si="4"/>
        <v>-38.315679940453265</v>
      </c>
      <c r="M17" s="298">
        <f>+M9-M13</f>
        <v>2296.9671970000054</v>
      </c>
      <c r="N17" s="299">
        <f t="shared" si="5"/>
        <v>-925.47964600000705</v>
      </c>
      <c r="O17" s="82"/>
      <c r="P17" s="85"/>
      <c r="Q17" s="159" t="s">
        <v>60</v>
      </c>
      <c r="R17" s="166" t="s">
        <v>16</v>
      </c>
      <c r="S17" s="179">
        <f>+[4]수도권!$Q$90</f>
        <v>14380.672028303132</v>
      </c>
      <c r="T17" s="100">
        <f>+[4]수도권!$R$90</f>
        <v>14559.600775368002</v>
      </c>
      <c r="U17" s="279">
        <f t="shared" si="6"/>
        <v>178.92874706487055</v>
      </c>
      <c r="V17" s="280">
        <f>+[5]수도권!$Q$90</f>
        <v>14691.291898297059</v>
      </c>
      <c r="W17" s="281">
        <f t="shared" si="7"/>
        <v>-131.69112292905629</v>
      </c>
      <c r="X17" s="86"/>
    </row>
    <row r="18" spans="2:27" ht="21.75" customHeight="1" x14ac:dyDescent="0.3">
      <c r="C18" s="83"/>
      <c r="D18" s="87" t="s">
        <v>1</v>
      </c>
      <c r="E18" s="293">
        <f t="shared" si="8"/>
        <v>-63.957648487976257</v>
      </c>
      <c r="F18" s="294">
        <f t="shared" si="8"/>
        <v>-106.85747300000003</v>
      </c>
      <c r="G18" s="270">
        <f t="shared" si="0"/>
        <v>-42.89982451202377</v>
      </c>
      <c r="H18" s="271">
        <f>+H10-H14</f>
        <v>-51.46700498999985</v>
      </c>
      <c r="I18" s="272">
        <f t="shared" si="1"/>
        <v>-55.390468010000177</v>
      </c>
      <c r="J18" s="293">
        <f t="shared" ref="J18:K18" si="10">+J10-J14</f>
        <v>-102.33838012868227</v>
      </c>
      <c r="K18" s="294">
        <f t="shared" si="10"/>
        <v>-230.36857300000065</v>
      </c>
      <c r="L18" s="270">
        <f t="shared" si="4"/>
        <v>-128.03019287131838</v>
      </c>
      <c r="M18" s="271">
        <f>+M10-M14</f>
        <v>-281.98454700000002</v>
      </c>
      <c r="N18" s="272">
        <f t="shared" si="5"/>
        <v>51.615973999999369</v>
      </c>
      <c r="O18" s="82"/>
      <c r="P18" s="85"/>
      <c r="Q18" s="160"/>
      <c r="R18" s="167" t="s">
        <v>17</v>
      </c>
      <c r="S18" s="180">
        <f>+[4]영남권!$Q$90</f>
        <v>18144.224123626482</v>
      </c>
      <c r="T18" s="101">
        <f>+[4]영남권!$R$90</f>
        <v>21619.922358286072</v>
      </c>
      <c r="U18" s="282">
        <f t="shared" si="6"/>
        <v>3475.6982346595905</v>
      </c>
      <c r="V18" s="283">
        <f>+[5]영남권!$Q$90</f>
        <v>20101.873040341947</v>
      </c>
      <c r="W18" s="284">
        <f t="shared" si="7"/>
        <v>1518.0493179441255</v>
      </c>
      <c r="X18" s="86"/>
    </row>
    <row r="19" spans="2:27" ht="21.75" customHeight="1" x14ac:dyDescent="0.3">
      <c r="C19" s="83"/>
      <c r="D19" s="97" t="s">
        <v>4</v>
      </c>
      <c r="E19" s="300">
        <f t="shared" si="8"/>
        <v>104.24637033333171</v>
      </c>
      <c r="F19" s="301">
        <f t="shared" si="8"/>
        <v>398.83872500000001</v>
      </c>
      <c r="G19" s="273">
        <f t="shared" si="0"/>
        <v>294.59235466666831</v>
      </c>
      <c r="H19" s="274">
        <f>+H11-H15</f>
        <v>136.28611299999807</v>
      </c>
      <c r="I19" s="275">
        <f t="shared" si="1"/>
        <v>262.55261200000194</v>
      </c>
      <c r="J19" s="300">
        <f t="shared" ref="J19:K19" si="11">+J11-J15</f>
        <v>203.79274066666315</v>
      </c>
      <c r="K19" s="301">
        <f t="shared" si="11"/>
        <v>431.91002199999997</v>
      </c>
      <c r="L19" s="273">
        <f t="shared" si="4"/>
        <v>228.11728133333682</v>
      </c>
      <c r="M19" s="274">
        <f>+M11-M15</f>
        <v>-27.651645000008557</v>
      </c>
      <c r="N19" s="275">
        <f t="shared" si="5"/>
        <v>459.56166700000853</v>
      </c>
      <c r="O19" s="82"/>
      <c r="P19" s="85"/>
      <c r="Q19" s="160"/>
      <c r="R19" s="168" t="s">
        <v>103</v>
      </c>
      <c r="S19" s="181">
        <f>+[4]중부권!$Q$90</f>
        <v>24884.489201145901</v>
      </c>
      <c r="T19" s="103">
        <f>+[4]중부권!$R$90</f>
        <v>20677.353231081186</v>
      </c>
      <c r="U19" s="285">
        <f t="shared" si="6"/>
        <v>-4207.1359700647154</v>
      </c>
      <c r="V19" s="286">
        <f>+[5]중부권!$Q$90</f>
        <v>22532.493814532485</v>
      </c>
      <c r="W19" s="287">
        <f t="shared" si="7"/>
        <v>-1855.1405834512989</v>
      </c>
      <c r="X19" s="86"/>
    </row>
    <row r="20" spans="2:27" ht="21.75" customHeight="1" x14ac:dyDescent="0.3">
      <c r="C20" s="98" t="s">
        <v>8</v>
      </c>
      <c r="D20" s="99"/>
      <c r="E20" s="300">
        <f>SUM(E17:E19)</f>
        <v>734.63959921856917</v>
      </c>
      <c r="F20" s="301">
        <f>SUM(F17:F19)</f>
        <v>764.96573099999887</v>
      </c>
      <c r="G20" s="273">
        <f t="shared" si="0"/>
        <v>30.326131781429694</v>
      </c>
      <c r="H20" s="274">
        <f>SUM(H17:H19)</f>
        <v>1648.1196300100032</v>
      </c>
      <c r="I20" s="275">
        <f t="shared" si="1"/>
        <v>-883.15389901000435</v>
      </c>
      <c r="J20" s="300">
        <f>SUM(J17:J19)</f>
        <v>1511.2575914784325</v>
      </c>
      <c r="K20" s="301">
        <f>SUM(K17:K19)</f>
        <v>1573.0289999999977</v>
      </c>
      <c r="L20" s="273">
        <f t="shared" si="4"/>
        <v>61.771408521565263</v>
      </c>
      <c r="M20" s="274">
        <f>SUM(M17:M19)</f>
        <v>1987.3310049999968</v>
      </c>
      <c r="N20" s="275">
        <f t="shared" si="5"/>
        <v>-414.3020049999991</v>
      </c>
      <c r="O20" s="82"/>
      <c r="P20" s="85"/>
      <c r="Q20" s="161" t="s">
        <v>58</v>
      </c>
      <c r="R20" s="169"/>
      <c r="S20" s="182">
        <f>+[4]합계!$Q$90</f>
        <v>17728.730355354375</v>
      </c>
      <c r="T20" s="104">
        <f>+[4]합계!$R$90</f>
        <v>18688.20708474057</v>
      </c>
      <c r="U20" s="288">
        <f t="shared" si="6"/>
        <v>959.47672938619507</v>
      </c>
      <c r="V20" s="289">
        <f>+[5]합계!$Q$90</f>
        <v>18672.912063707292</v>
      </c>
      <c r="W20" s="290">
        <f t="shared" si="7"/>
        <v>15.295021033278317</v>
      </c>
      <c r="X20" s="86"/>
    </row>
    <row r="21" spans="2:27" ht="21.75" customHeight="1" x14ac:dyDescent="0.3">
      <c r="C21" s="90" t="s">
        <v>6</v>
      </c>
      <c r="D21" s="91" t="s">
        <v>40</v>
      </c>
      <c r="E21" s="295">
        <f>+('[1]2월'!$Z$13+'[1]2월'!$Z$20+'[1]2월'!$Z$22)/1000</f>
        <v>1975.1272109259805</v>
      </c>
      <c r="F21" s="296">
        <f>+('[2]2월'!$Z$13+'[2]2월'!$Z$20+'[2]2월'!$Z$22)/1000</f>
        <v>2817.4626791519318</v>
      </c>
      <c r="G21" s="297">
        <f t="shared" si="0"/>
        <v>842.33546822595122</v>
      </c>
      <c r="H21" s="298">
        <f>+('[3]2월'!$Z$13+'[3]2월'!$Z$20+'[3]2월'!$Z$22)/1000</f>
        <v>1898.224975814624</v>
      </c>
      <c r="I21" s="299">
        <f t="shared" si="1"/>
        <v>919.23770333730772</v>
      </c>
      <c r="J21" s="295">
        <f>+('[1]2월누계'!$Z$13+'[1]2월누계'!$Z$20+'[1]2월누계'!$Z$22)/1000</f>
        <v>4448.0506860124551</v>
      </c>
      <c r="K21" s="296">
        <f>+('[2]2월누계'!$Z$13+'[2]2월누계'!$Z$20+'[2]2월누계'!$Z$22)/1000</f>
        <v>4718.4123844128435</v>
      </c>
      <c r="L21" s="297">
        <f t="shared" si="4"/>
        <v>270.36169840038838</v>
      </c>
      <c r="M21" s="298">
        <f>+('[3]2월누계'!$Z$13+'[3]2월누계'!$Z$20+'[3]2월누계'!$Z$22)/1000</f>
        <v>4245.9443949474789</v>
      </c>
      <c r="N21" s="299">
        <f t="shared" si="5"/>
        <v>472.46798946536455</v>
      </c>
      <c r="O21" s="82"/>
      <c r="P21" s="85"/>
      <c r="Q21" s="133" t="s">
        <v>87</v>
      </c>
      <c r="R21" s="138"/>
      <c r="S21" s="66"/>
      <c r="T21" s="139"/>
      <c r="U21" s="66"/>
      <c r="V21" s="523"/>
      <c r="W21" s="523"/>
      <c r="X21" s="86"/>
    </row>
    <row r="22" spans="2:27" ht="21.75" customHeight="1" x14ac:dyDescent="0.3">
      <c r="C22" s="83"/>
      <c r="D22" s="87" t="s">
        <v>1</v>
      </c>
      <c r="E22" s="293">
        <f>+('[1]2월'!$AE$13+'[1]2월'!$AE$20+'[1]2월'!$AE$22)/1000</f>
        <v>53.362178948680096</v>
      </c>
      <c r="F22" s="294">
        <f>+('[2]2월'!$AN$13+'[2]2월'!$AN$20+'[2]2월'!$AN$22)/1000</f>
        <v>60.143504846431838</v>
      </c>
      <c r="G22" s="270">
        <f t="shared" si="0"/>
        <v>6.7813258977517421</v>
      </c>
      <c r="H22" s="271">
        <f>+('[3]2월'!$AN$13+'[3]2월'!$AN$20+'[3]2월'!$AN$22)/1000</f>
        <v>46.675130187879333</v>
      </c>
      <c r="I22" s="272">
        <f t="shared" si="1"/>
        <v>13.468374658552506</v>
      </c>
      <c r="J22" s="293">
        <f>+('[1]2월누계'!$AE$13+'[1]2월누계'!$AE$20+'[1]2월누계'!$AE$22)/1000</f>
        <v>103.4775587291503</v>
      </c>
      <c r="K22" s="294">
        <f>+('[2]2월누계'!$AN$13+'[2]2월누계'!$AN$20+'[2]2월누계'!$AN$22)/1000</f>
        <v>106.90912358745115</v>
      </c>
      <c r="L22" s="270">
        <f t="shared" si="4"/>
        <v>3.4315648583008453</v>
      </c>
      <c r="M22" s="271">
        <f>+('[3]2월누계'!$AN$13+'[3]2월누계'!$AN$20+'[3]2월누계'!$AN$22)/1000</f>
        <v>96.245044140796438</v>
      </c>
      <c r="N22" s="272">
        <f t="shared" si="5"/>
        <v>10.664079446654711</v>
      </c>
      <c r="O22" s="82"/>
      <c r="P22" s="85"/>
      <c r="Q22" s="513" t="s">
        <v>11</v>
      </c>
      <c r="R22" s="514"/>
      <c r="S22" s="515" t="s">
        <v>12</v>
      </c>
      <c r="T22" s="516" t="s">
        <v>13</v>
      </c>
      <c r="U22" s="517" t="s">
        <v>91</v>
      </c>
      <c r="V22" s="516" t="s">
        <v>14</v>
      </c>
      <c r="W22" s="518" t="s">
        <v>92</v>
      </c>
      <c r="X22" s="86"/>
    </row>
    <row r="23" spans="2:27" ht="21.75" customHeight="1" x14ac:dyDescent="0.3">
      <c r="C23" s="83"/>
      <c r="D23" s="97" t="s">
        <v>4</v>
      </c>
      <c r="E23" s="300">
        <f>+('[1]2월'!$AL$13+'[1]2월'!$AV$13+'[1]2월'!$AL$20+'[1]2월'!$AV$20+'[1]2월'!$AL$22+'[1]2월'!$AV$22)/1000</f>
        <v>56.885058999999991</v>
      </c>
      <c r="F23" s="301">
        <f>+('[2]2월'!$F$13+'[2]2월'!$F$20+'[2]2월'!$F$22)/1000-F21-F22-('[2]2월'!$AO$13+'[2]2월'!$AO$20+'[2]2월'!$AO$22)/1000</f>
        <v>57.018409999999761</v>
      </c>
      <c r="G23" s="273">
        <f t="shared" si="0"/>
        <v>0.13335099999977018</v>
      </c>
      <c r="H23" s="274">
        <f>+('[3]2월'!$F$13+'[3]2월'!$F$20+'[3]2월'!$F$22)/1000-H21-H22-('[3]2월'!$AO$13+'[3]2월'!$AO$20+'[3]2월'!$AO$22)/1000</f>
        <v>49.451232999999633</v>
      </c>
      <c r="I23" s="275">
        <f t="shared" si="1"/>
        <v>7.5671770000001288</v>
      </c>
      <c r="J23" s="300">
        <f>+('[1]2월누계'!$AL$13+'[1]2월누계'!$AV$13+'[1]2월누계'!$AL$20+'[1]2월누계'!$AV$20+'[1]2월누계'!$AL$22+'[1]2월누계'!$AV$22)/1000</f>
        <v>118.77011799999998</v>
      </c>
      <c r="K23" s="301">
        <f>+('[2]2월누계'!$F$13+'[2]2월누계'!$F$20+'[2]2월누계'!$F$22)/1000-K21-K22-('[2]2월누계'!$AO$13+'[2]2월누계'!$AO$20+'[2]2월누계'!$AO$22)/1000</f>
        <v>120.19265900000011</v>
      </c>
      <c r="L23" s="273">
        <f t="shared" si="4"/>
        <v>1.4225410000001233</v>
      </c>
      <c r="M23" s="274">
        <f>+('[3]2월누계'!$F$13+'[3]2월누계'!$F$20+'[3]2월누계'!$F$22)/1000-M21-M22-('[3]2월누계'!$AO$13+'[3]2월누계'!$AO$20+'[3]2월누계'!$AO$22)/1000</f>
        <v>557.03219990999969</v>
      </c>
      <c r="N23" s="275">
        <f t="shared" si="5"/>
        <v>-436.83954090999958</v>
      </c>
      <c r="O23" s="82"/>
      <c r="P23" s="85"/>
      <c r="Q23" s="543" t="s">
        <v>88</v>
      </c>
      <c r="R23" s="544" t="s">
        <v>89</v>
      </c>
      <c r="S23" s="189">
        <f>+[6]원가손익!$W$10+[7]원가손익!$U$27+[8]손익!$F$10</f>
        <v>35135.70027972028</v>
      </c>
      <c r="T23" s="195">
        <f>+[6]원가손익!$X$10+[7]원가손익!$V$27+[8]손익!$G$10</f>
        <v>37530</v>
      </c>
      <c r="U23" s="192">
        <f>+T23-S23</f>
        <v>2394.2997202797196</v>
      </c>
      <c r="V23" s="173">
        <f>+[9]원가손익!$X$10+[10]원가손익!$V$27+[11]손익!$Y$25</f>
        <v>31410</v>
      </c>
      <c r="W23" s="170">
        <f>+T23-V23</f>
        <v>6120</v>
      </c>
      <c r="X23" s="86"/>
    </row>
    <row r="24" spans="2:27" ht="21.75" customHeight="1" x14ac:dyDescent="0.3">
      <c r="C24" s="98" t="s">
        <v>8</v>
      </c>
      <c r="D24" s="99"/>
      <c r="E24" s="300">
        <f>SUM(E21:E23)</f>
        <v>2085.3744488746606</v>
      </c>
      <c r="F24" s="301">
        <f>SUM(F21:F23)</f>
        <v>2934.6245939983633</v>
      </c>
      <c r="G24" s="273">
        <f t="shared" si="0"/>
        <v>849.25014512370262</v>
      </c>
      <c r="H24" s="274">
        <f>SUM(H21:H23)</f>
        <v>1994.351339002503</v>
      </c>
      <c r="I24" s="275">
        <f t="shared" si="1"/>
        <v>940.27325499586027</v>
      </c>
      <c r="J24" s="300">
        <f>SUM(J21:J23)</f>
        <v>4670.2983627416061</v>
      </c>
      <c r="K24" s="301">
        <f>SUM(K21:K23)</f>
        <v>4945.5141670002949</v>
      </c>
      <c r="L24" s="273">
        <f t="shared" si="4"/>
        <v>275.21580425868888</v>
      </c>
      <c r="M24" s="274">
        <f>SUM(M21:M23)</f>
        <v>4899.221638998275</v>
      </c>
      <c r="N24" s="275">
        <f t="shared" si="5"/>
        <v>46.292528002019935</v>
      </c>
      <c r="O24" s="82"/>
      <c r="P24" s="85"/>
      <c r="Q24" s="545"/>
      <c r="R24" s="546" t="s">
        <v>90</v>
      </c>
      <c r="S24" s="191">
        <f>+[6]원가손익!$W$14+[7]원가손익!$U$29+[8]손익!$F$12</f>
        <v>25160</v>
      </c>
      <c r="T24" s="130">
        <f>+[6]원가손익!$X$14+[7]원가손익!$V$29+[8]손익!$G$12</f>
        <v>13144</v>
      </c>
      <c r="U24" s="194">
        <f>+T24-S24</f>
        <v>-12016</v>
      </c>
      <c r="V24" s="65">
        <f>+[9]원가손익!$X$14+[10]원가손익!$V$29+[11]손익!$Y$27</f>
        <v>26527</v>
      </c>
      <c r="W24" s="172">
        <f>+T24-V24</f>
        <v>-13383</v>
      </c>
      <c r="X24" s="86"/>
    </row>
    <row r="25" spans="2:27" ht="21.75" customHeight="1" x14ac:dyDescent="0.3">
      <c r="C25" s="83" t="s">
        <v>7</v>
      </c>
      <c r="D25" s="91" t="s">
        <v>40</v>
      </c>
      <c r="E25" s="295">
        <f>+E17-E21</f>
        <v>-1280.7763335527668</v>
      </c>
      <c r="F25" s="302">
        <f>+F17-F21</f>
        <v>-2344.4782001519329</v>
      </c>
      <c r="G25" s="297">
        <f t="shared" si="0"/>
        <v>-1063.7018665991661</v>
      </c>
      <c r="H25" s="298">
        <f>+H17-H21</f>
        <v>-334.92445381461903</v>
      </c>
      <c r="I25" s="299">
        <f t="shared" si="1"/>
        <v>-2009.5537463373139</v>
      </c>
      <c r="J25" s="295">
        <f>+J17-J21</f>
        <v>-3038.2474550720035</v>
      </c>
      <c r="K25" s="302">
        <f>+K17-K21</f>
        <v>-3346.9248334128451</v>
      </c>
      <c r="L25" s="297">
        <f t="shared" si="4"/>
        <v>-308.67737834084164</v>
      </c>
      <c r="M25" s="298">
        <f>+M17-M21</f>
        <v>-1948.9771979474735</v>
      </c>
      <c r="N25" s="299">
        <f t="shared" si="5"/>
        <v>-1397.9476354653716</v>
      </c>
      <c r="O25" s="82"/>
      <c r="P25" s="85"/>
      <c r="Q25" s="511" t="s">
        <v>98</v>
      </c>
      <c r="R25" s="512"/>
      <c r="S25" s="191">
        <f>SUM(S23:S24)</f>
        <v>60295.70027972028</v>
      </c>
      <c r="T25" s="130">
        <f>SUM(T23:T24)</f>
        <v>50674</v>
      </c>
      <c r="U25" s="194">
        <f>+T25-S25</f>
        <v>-9621.7002797202804</v>
      </c>
      <c r="V25" s="65">
        <f>SUM(V23:V24)</f>
        <v>57937</v>
      </c>
      <c r="W25" s="172">
        <f>+T25-V25</f>
        <v>-7263</v>
      </c>
      <c r="X25" s="86"/>
    </row>
    <row r="26" spans="2:27" ht="21.75" customHeight="1" x14ac:dyDescent="0.3">
      <c r="C26" s="83"/>
      <c r="D26" s="105" t="s">
        <v>10</v>
      </c>
      <c r="E26" s="183">
        <f>+E25/E9</f>
        <v>-7.1959518960008698E-2</v>
      </c>
      <c r="F26" s="187">
        <f>+F25/F9</f>
        <v>-0.13184672531078628</v>
      </c>
      <c r="G26" s="185">
        <f t="shared" si="0"/>
        <v>-5.9887206350777586E-2</v>
      </c>
      <c r="H26" s="106">
        <f>+H25/H9</f>
        <v>-1.5931510926638939E-2</v>
      </c>
      <c r="I26" s="107">
        <f t="shared" si="1"/>
        <v>-0.11591521438414734</v>
      </c>
      <c r="J26" s="183">
        <f>+J25/J9</f>
        <v>-8.2401689311870058E-2</v>
      </c>
      <c r="K26" s="187">
        <f>+K25/K9</f>
        <v>-9.1627031625147459E-2</v>
      </c>
      <c r="L26" s="185">
        <f t="shared" si="4"/>
        <v>-9.2253423132774015E-3</v>
      </c>
      <c r="M26" s="106">
        <f>+M25/M9</f>
        <v>-4.9977413939708025E-2</v>
      </c>
      <c r="N26" s="107">
        <f t="shared" si="5"/>
        <v>-4.1649617685439434E-2</v>
      </c>
      <c r="O26" s="82"/>
      <c r="P26" s="85"/>
      <c r="Q26" s="133" t="s">
        <v>110</v>
      </c>
      <c r="R26" s="523"/>
      <c r="S26" s="523"/>
      <c r="T26" s="523"/>
      <c r="U26" s="523"/>
      <c r="V26" s="523"/>
      <c r="W26" s="523"/>
      <c r="X26" s="86"/>
    </row>
    <row r="27" spans="2:27" ht="21.75" customHeight="1" x14ac:dyDescent="0.3">
      <c r="C27" s="83"/>
      <c r="D27" s="87" t="s">
        <v>1</v>
      </c>
      <c r="E27" s="293">
        <f>+E18-E22</f>
        <v>-117.31982743665635</v>
      </c>
      <c r="F27" s="294">
        <f>+F18-F22</f>
        <v>-167.00097784643185</v>
      </c>
      <c r="G27" s="270">
        <f t="shared" si="0"/>
        <v>-49.681150409775498</v>
      </c>
      <c r="H27" s="271">
        <f>+H18-H22</f>
        <v>-98.142135177879183</v>
      </c>
      <c r="I27" s="272">
        <f t="shared" si="1"/>
        <v>-68.858842668552668</v>
      </c>
      <c r="J27" s="293">
        <f>+J18-J22</f>
        <v>-205.81593885783258</v>
      </c>
      <c r="K27" s="294">
        <f>+K18-K22</f>
        <v>-337.27769658745183</v>
      </c>
      <c r="L27" s="270">
        <f t="shared" si="4"/>
        <v>-131.46175772961925</v>
      </c>
      <c r="M27" s="271">
        <f>+M18-M22</f>
        <v>-378.22959114079646</v>
      </c>
      <c r="N27" s="272">
        <f t="shared" si="5"/>
        <v>40.95189455334463</v>
      </c>
      <c r="O27" s="82"/>
      <c r="P27" s="85"/>
      <c r="Q27" s="513" t="s">
        <v>11</v>
      </c>
      <c r="R27" s="514"/>
      <c r="S27" s="515" t="s">
        <v>12</v>
      </c>
      <c r="T27" s="516" t="s">
        <v>13</v>
      </c>
      <c r="U27" s="517" t="s">
        <v>91</v>
      </c>
      <c r="V27" s="516" t="s">
        <v>14</v>
      </c>
      <c r="W27" s="518" t="s">
        <v>92</v>
      </c>
      <c r="X27" s="86"/>
    </row>
    <row r="28" spans="2:27" ht="21.75" customHeight="1" x14ac:dyDescent="0.3">
      <c r="B28" s="80"/>
      <c r="C28" s="83"/>
      <c r="D28" s="97" t="s">
        <v>4</v>
      </c>
      <c r="E28" s="300">
        <f>+E19-E23</f>
        <v>47.36131133333172</v>
      </c>
      <c r="F28" s="301">
        <f>+F19-F23</f>
        <v>341.82031500000028</v>
      </c>
      <c r="G28" s="273">
        <f t="shared" si="0"/>
        <v>294.45900366666854</v>
      </c>
      <c r="H28" s="274">
        <f>+H19-H23</f>
        <v>86.834879999998435</v>
      </c>
      <c r="I28" s="275">
        <f t="shared" si="1"/>
        <v>254.98543500000184</v>
      </c>
      <c r="J28" s="300">
        <f>+J19-J23</f>
        <v>85.022622666663167</v>
      </c>
      <c r="K28" s="301">
        <f>+K19-K23</f>
        <v>311.71736299999986</v>
      </c>
      <c r="L28" s="273">
        <f t="shared" si="4"/>
        <v>226.69474033333671</v>
      </c>
      <c r="M28" s="274">
        <f>+M19-M23</f>
        <v>-584.68384491000825</v>
      </c>
      <c r="N28" s="275">
        <f t="shared" si="5"/>
        <v>896.40120791000811</v>
      </c>
      <c r="O28" s="82"/>
      <c r="P28" s="85"/>
      <c r="Q28" s="590" t="s">
        <v>102</v>
      </c>
      <c r="R28" s="591"/>
      <c r="S28" s="215">
        <f>+'사업장별(당월)'!T32</f>
        <v>29.628697666666667</v>
      </c>
      <c r="T28" s="216">
        <f>+'사업장별(당월)'!U32</f>
        <v>23.702033000000007</v>
      </c>
      <c r="U28" s="217">
        <f>+T28-S28</f>
        <v>-5.9266646666666603</v>
      </c>
      <c r="V28" s="218">
        <f>+'사업장별(당월)'!W32</f>
        <v>72.530954000000008</v>
      </c>
      <c r="W28" s="219">
        <f>+T28-V28</f>
        <v>-48.828921000000001</v>
      </c>
      <c r="X28" s="86"/>
    </row>
    <row r="29" spans="2:27" ht="21.75" customHeight="1" x14ac:dyDescent="0.3">
      <c r="C29" s="83" t="s">
        <v>8</v>
      </c>
      <c r="D29" s="102"/>
      <c r="E29" s="293">
        <f>+E25+E27+E28</f>
        <v>-1350.7348496560915</v>
      </c>
      <c r="F29" s="303">
        <f>+F25+F27+F28</f>
        <v>-2169.6588629983644</v>
      </c>
      <c r="G29" s="270">
        <f t="shared" si="0"/>
        <v>-818.92401334227293</v>
      </c>
      <c r="H29" s="271">
        <f>+H25+H27+H28</f>
        <v>-346.23170899249976</v>
      </c>
      <c r="I29" s="272">
        <f t="shared" si="1"/>
        <v>-1823.4271540058646</v>
      </c>
      <c r="J29" s="293">
        <f>+J25+J27+J28</f>
        <v>-3159.0407712631727</v>
      </c>
      <c r="K29" s="303">
        <f>+K25+K27+K28</f>
        <v>-3372.4851670002972</v>
      </c>
      <c r="L29" s="270">
        <f t="shared" si="4"/>
        <v>-213.44439573712452</v>
      </c>
      <c r="M29" s="271">
        <f>+M25+M27+M28</f>
        <v>-2911.8906339982782</v>
      </c>
      <c r="N29" s="272">
        <f t="shared" si="5"/>
        <v>-460.59453300201903</v>
      </c>
      <c r="O29" s="82"/>
      <c r="P29" s="85"/>
      <c r="Q29" s="592" t="s">
        <v>44</v>
      </c>
      <c r="R29" s="593"/>
      <c r="S29" s="156">
        <f>+'사업장별(당월)'!T33</f>
        <v>72.847672666666682</v>
      </c>
      <c r="T29" s="225">
        <f>+'사업장별(당월)'!U33</f>
        <v>4.8003729999999978</v>
      </c>
      <c r="U29" s="157">
        <f>+T29-S29</f>
        <v>-68.047299666666689</v>
      </c>
      <c r="V29" s="226">
        <f>+'사업장별(당월)'!W33</f>
        <v>61.899625</v>
      </c>
      <c r="W29" s="158">
        <f>+T29-V29</f>
        <v>-57.099252</v>
      </c>
      <c r="X29" s="86"/>
    </row>
    <row r="30" spans="2:27" ht="21.75" customHeight="1" thickBot="1" x14ac:dyDescent="0.35">
      <c r="B30" s="211"/>
      <c r="C30" s="108"/>
      <c r="D30" s="109" t="s">
        <v>9</v>
      </c>
      <c r="E30" s="184">
        <f>+E29/E12</f>
        <v>-7.1184341412356786E-2</v>
      </c>
      <c r="F30" s="188">
        <f>+F29/F12</f>
        <v>-0.11489782734863352</v>
      </c>
      <c r="G30" s="186">
        <f t="shared" si="0"/>
        <v>-4.3713485936276733E-2</v>
      </c>
      <c r="H30" s="110">
        <f>+H29/H12</f>
        <v>-1.5436188428476081E-2</v>
      </c>
      <c r="I30" s="111">
        <f t="shared" si="1"/>
        <v>-9.9461638920157441E-2</v>
      </c>
      <c r="J30" s="184">
        <f>+J29/J12</f>
        <v>-7.9825558523011556E-2</v>
      </c>
      <c r="K30" s="188">
        <f>+K29/K12</f>
        <v>-8.689440024552901E-2</v>
      </c>
      <c r="L30" s="186">
        <f t="shared" si="4"/>
        <v>-7.0688417225174549E-3</v>
      </c>
      <c r="M30" s="110">
        <f>+M29/M12</f>
        <v>-6.9958249431563091E-2</v>
      </c>
      <c r="N30" s="111">
        <f t="shared" si="5"/>
        <v>-1.6936150813965919E-2</v>
      </c>
      <c r="O30" s="82"/>
      <c r="P30" s="85"/>
      <c r="Q30" s="594" t="s">
        <v>29</v>
      </c>
      <c r="R30" s="595"/>
      <c r="S30" s="232">
        <f>+'사업장별(당월)'!T34</f>
        <v>-1285.2973779259803</v>
      </c>
      <c r="T30" s="233">
        <f>+'사업장별(당월)'!U34</f>
        <v>-1962.6588581519318</v>
      </c>
      <c r="U30" s="234">
        <f>+T30-S30</f>
        <v>-677.36148022595148</v>
      </c>
      <c r="V30" s="235">
        <f>+'사업장별(당월)'!W34</f>
        <v>-1276.8971018146242</v>
      </c>
      <c r="W30" s="236">
        <f>+T30-V30</f>
        <v>-685.76175633730759</v>
      </c>
      <c r="X30" s="86"/>
      <c r="Z30" s="211"/>
      <c r="AA30" s="211"/>
    </row>
    <row r="31" spans="2:27" ht="21.75" customHeight="1" thickTop="1" thickBot="1" x14ac:dyDescent="0.35">
      <c r="B31" s="211"/>
      <c r="C31" s="542" t="s">
        <v>173</v>
      </c>
      <c r="O31" s="82"/>
      <c r="P31" s="85"/>
      <c r="Q31" s="596" t="s">
        <v>101</v>
      </c>
      <c r="R31" s="597"/>
      <c r="S31" s="227">
        <f>+S32-S28-S29-S30</f>
        <v>-55.115059000002702</v>
      </c>
      <c r="T31" s="228">
        <f>+T32-T28-T29-T30</f>
        <v>313.31790899999737</v>
      </c>
      <c r="U31" s="229">
        <f>+T31-S31</f>
        <v>368.43296800000007</v>
      </c>
      <c r="V31" s="230">
        <f>+V32-V28-V29-V30</f>
        <v>-47.595698999994738</v>
      </c>
      <c r="W31" s="231">
        <f>+T31-V31</f>
        <v>360.91360799999211</v>
      </c>
      <c r="X31" s="86"/>
    </row>
    <row r="32" spans="2:27" ht="21.75" customHeight="1" thickTop="1" x14ac:dyDescent="0.3">
      <c r="B32" s="211"/>
      <c r="C32" s="534" t="s">
        <v>169</v>
      </c>
      <c r="D32" s="536"/>
      <c r="E32" s="537">
        <f>+IFERROR(HLOOKUP($E$5,[12]손익!$G$5:$AI$54,2,),)</f>
        <v>7000</v>
      </c>
      <c r="F32" s="541">
        <f>+'[2]2월'!$AO$7</f>
        <v>4982.9359999999997</v>
      </c>
      <c r="G32" s="538">
        <f t="shared" ref="G32:G33" si="12">+F32-E32</f>
        <v>-2017.0640000000003</v>
      </c>
      <c r="H32" s="539">
        <f>+'[3]2월'!$AO$7</f>
        <v>9724.5229999999992</v>
      </c>
      <c r="I32" s="540">
        <f t="shared" ref="I32:I33" si="13">+F32-H32</f>
        <v>-4741.5869999999995</v>
      </c>
      <c r="J32" s="537">
        <f>+'[1]2월누계'!$AA$7</f>
        <v>15000</v>
      </c>
      <c r="K32" s="541">
        <f>+'[2]2월누계'!$AO$7</f>
        <v>9952.7739999999994</v>
      </c>
      <c r="L32" s="538">
        <f t="shared" ref="L32:L33" si="14">+K32-J32</f>
        <v>-5047.2260000000006</v>
      </c>
      <c r="M32" s="539">
        <f>+'[3]2월누계'!$AO$7</f>
        <v>18460.025000000001</v>
      </c>
      <c r="N32" s="540">
        <f t="shared" ref="N32:N33" si="15">+K32-M32</f>
        <v>-8507.251000000002</v>
      </c>
      <c r="O32" s="82"/>
      <c r="P32" s="85"/>
      <c r="Q32" s="676" t="s">
        <v>100</v>
      </c>
      <c r="R32" s="677"/>
      <c r="S32" s="220">
        <f>+'사업장별(당월)'!T40</f>
        <v>-1237.9360665926495</v>
      </c>
      <c r="T32" s="221">
        <f>+'사업장별(당월)'!U40</f>
        <v>-1620.8385431519343</v>
      </c>
      <c r="U32" s="222">
        <f>+T32-S32</f>
        <v>-382.90247655928488</v>
      </c>
      <c r="V32" s="223">
        <f>+'사업장별(당월)'!W40</f>
        <v>-1190.0622218146189</v>
      </c>
      <c r="W32" s="224">
        <f>+T32-V32</f>
        <v>-430.77632133731549</v>
      </c>
      <c r="X32" s="86"/>
      <c r="Z32" s="211"/>
      <c r="AA32" s="211"/>
    </row>
    <row r="33" spans="2:31" ht="21.75" customHeight="1" x14ac:dyDescent="0.3">
      <c r="B33" s="211"/>
      <c r="C33" s="534" t="s">
        <v>170</v>
      </c>
      <c r="D33" s="535"/>
      <c r="E33" s="293">
        <f>+IFERROR(HLOOKUP($E$5,[12]손익!$G$5:$AI$54,3,),)/1000</f>
        <v>6724.6123420000013</v>
      </c>
      <c r="F33" s="294">
        <f>+'[2]2월'!$AO$8/1000</f>
        <v>4876.7031070000003</v>
      </c>
      <c r="G33" s="270">
        <f t="shared" si="12"/>
        <v>-1847.909235000001</v>
      </c>
      <c r="H33" s="271">
        <f>+'[3]2월'!$AO$8/1000</f>
        <v>8276.9951199999996</v>
      </c>
      <c r="I33" s="272">
        <f t="shared" si="13"/>
        <v>-3400.2920129999993</v>
      </c>
      <c r="J33" s="293">
        <f>+'[1]2월누계'!$AA$8/1000</f>
        <v>14389.455780000002</v>
      </c>
      <c r="K33" s="294">
        <f>+'[2]2월누계'!$AO$8/1000</f>
        <v>9976.5898510000006</v>
      </c>
      <c r="L33" s="270">
        <f t="shared" si="14"/>
        <v>-4412.8659290000014</v>
      </c>
      <c r="M33" s="271">
        <f>+'[3]2월누계'!$AO$8/1000</f>
        <v>15757.114804000001</v>
      </c>
      <c r="N33" s="272">
        <f t="shared" si="15"/>
        <v>-5780.5249530000001</v>
      </c>
      <c r="O33" s="82"/>
      <c r="P33" s="85"/>
      <c r="X33" s="86"/>
      <c r="Z33" s="211"/>
      <c r="AA33" s="211"/>
    </row>
    <row r="34" spans="2:31" ht="21.75" customHeight="1" x14ac:dyDescent="0.3">
      <c r="B34" s="211"/>
      <c r="C34" s="534" t="s">
        <v>171</v>
      </c>
      <c r="D34" s="598"/>
      <c r="E34" s="291">
        <f>+IFERROR(HLOOKUP($E$5,[12]손익!$G$5:$AI$54,7,),)/1000</f>
        <v>137.59373800000083</v>
      </c>
      <c r="F34" s="292">
        <f>+'[2]2월'!$AO$12/1000</f>
        <v>140.69123499999941</v>
      </c>
      <c r="G34" s="267">
        <f>+F34-E34</f>
        <v>3.0974969999985831</v>
      </c>
      <c r="H34" s="268">
        <f>+'[3]2월'!$AO$12/1000</f>
        <v>149.66104299999961</v>
      </c>
      <c r="I34" s="269">
        <f>+F34-H34</f>
        <v>-8.9698080000001994</v>
      </c>
      <c r="J34" s="291">
        <f>+'[1]2월누계'!$AA$12/1000</f>
        <v>305.39212000000106</v>
      </c>
      <c r="K34" s="292">
        <f>+'[2]2월누계'!$AO$12/1000</f>
        <v>268.62131299999913</v>
      </c>
      <c r="L34" s="267">
        <f>+K34-J34</f>
        <v>-36.770807000001923</v>
      </c>
      <c r="M34" s="268">
        <f>+'[3]2월누계'!$AO$12/1000</f>
        <v>295.57153500000015</v>
      </c>
      <c r="N34" s="269">
        <f>+K34-M34</f>
        <v>-26.95022200000102</v>
      </c>
      <c r="O34" s="82"/>
      <c r="P34" s="85"/>
      <c r="Q34" s="133" t="s">
        <v>84</v>
      </c>
      <c r="R34" s="138"/>
      <c r="S34" s="66"/>
      <c r="T34" s="139"/>
      <c r="U34" s="66"/>
      <c r="V34" s="523"/>
      <c r="W34" s="523"/>
      <c r="X34" s="86"/>
      <c r="Z34" s="211"/>
      <c r="AA34" s="211"/>
    </row>
    <row r="35" spans="2:31" ht="21.75" customHeight="1" x14ac:dyDescent="0.3">
      <c r="B35" s="211"/>
      <c r="C35" s="599" t="s">
        <v>180</v>
      </c>
      <c r="D35" s="600"/>
      <c r="E35" s="601">
        <f>+E34/E33</f>
        <v>2.046121486299363E-2</v>
      </c>
      <c r="F35" s="602">
        <f t="shared" ref="F35" si="16">+F34/F33</f>
        <v>2.8849661731109234E-2</v>
      </c>
      <c r="G35" s="603">
        <f t="shared" ref="G35:G37" si="17">+F35-E35</f>
        <v>8.3884468681156045E-3</v>
      </c>
      <c r="H35" s="604">
        <f>+H34/H33</f>
        <v>1.8081567142448626E-2</v>
      </c>
      <c r="I35" s="605">
        <f>+I34/I33</f>
        <v>2.6379522598961565E-3</v>
      </c>
      <c r="J35" s="601">
        <f>+J34/J33</f>
        <v>2.122332662674203E-2</v>
      </c>
      <c r="K35" s="602">
        <f t="shared" ref="K35" si="18">+K34/K33</f>
        <v>2.6925163508959321E-2</v>
      </c>
      <c r="L35" s="603">
        <f>+K35-J35</f>
        <v>5.7018368822172906E-3</v>
      </c>
      <c r="M35" s="604">
        <f>+M34/M33</f>
        <v>1.8757973060205681E-2</v>
      </c>
      <c r="N35" s="605">
        <f>+K35-M35</f>
        <v>8.1671904487536397E-3</v>
      </c>
      <c r="O35" s="82"/>
      <c r="P35" s="85"/>
      <c r="Q35" s="203" t="s">
        <v>11</v>
      </c>
      <c r="R35" s="204"/>
      <c r="S35" s="205" t="s">
        <v>12</v>
      </c>
      <c r="T35" s="206" t="s">
        <v>13</v>
      </c>
      <c r="U35" s="207" t="s">
        <v>91</v>
      </c>
      <c r="V35" s="206" t="s">
        <v>14</v>
      </c>
      <c r="W35" s="208" t="s">
        <v>92</v>
      </c>
      <c r="X35" s="86"/>
      <c r="Z35" s="211"/>
      <c r="AA35" s="211"/>
      <c r="AD35" s="81"/>
      <c r="AE35" s="211"/>
    </row>
    <row r="36" spans="2:31" ht="21.75" customHeight="1" x14ac:dyDescent="0.3">
      <c r="B36" s="211"/>
      <c r="C36" s="534" t="s">
        <v>172</v>
      </c>
      <c r="D36" s="598"/>
      <c r="E36" s="291">
        <f>+IFERROR(HLOOKUP($E$5,[12]손익!$G$5:$AI$54,20,),)/1000</f>
        <v>-36.496142835605255</v>
      </c>
      <c r="F36" s="292">
        <f>+'[2]2월'!$AO$26/1000</f>
        <v>-81.299122000000622</v>
      </c>
      <c r="G36" s="267">
        <f t="shared" si="17"/>
        <v>-44.802979164395367</v>
      </c>
      <c r="H36" s="268">
        <f>+'[3]2월'!$AO$26/1000</f>
        <v>10.861712999999597</v>
      </c>
      <c r="I36" s="269">
        <f>+F36-H36</f>
        <v>-92.160835000000219</v>
      </c>
      <c r="J36" s="291">
        <f>+'[1]2월누계'!$AA$26/1000</f>
        <v>-82.713735726620683</v>
      </c>
      <c r="K36" s="292">
        <f>+'[2]2월누계'!$AO$26/1000</f>
        <v>-120.11452300000086</v>
      </c>
      <c r="L36" s="267">
        <f>+K36-J36</f>
        <v>-37.400787273380175</v>
      </c>
      <c r="M36" s="268">
        <f>+'[3]2월누계'!$AO$26/1000</f>
        <v>12.55896200000015</v>
      </c>
      <c r="N36" s="269">
        <f>+K36-M36</f>
        <v>-132.67348500000099</v>
      </c>
      <c r="O36" s="82"/>
      <c r="P36" s="85"/>
      <c r="Q36" s="134" t="s">
        <v>85</v>
      </c>
      <c r="R36" s="135"/>
      <c r="S36" s="189">
        <f>+'[13]2월'!$F$10</f>
        <v>742142.85714285716</v>
      </c>
      <c r="T36" s="195">
        <f>+'[13]2월'!$G$10</f>
        <v>790996.73064233619</v>
      </c>
      <c r="U36" s="192">
        <f>+T36-S36</f>
        <v>48853.873499479028</v>
      </c>
      <c r="V36" s="173">
        <f>+'[14]2월'!$G$10</f>
        <v>744684.72993482568</v>
      </c>
      <c r="W36" s="170">
        <f>+T36-V36</f>
        <v>46312.00070751051</v>
      </c>
      <c r="X36" s="86"/>
      <c r="AA36" s="211"/>
    </row>
    <row r="37" spans="2:31" ht="20.100000000000001" customHeight="1" thickBot="1" x14ac:dyDescent="0.35">
      <c r="C37" s="599" t="s">
        <v>180</v>
      </c>
      <c r="D37" s="600"/>
      <c r="E37" s="601">
        <f>+E36/E33</f>
        <v>-5.4272485876488089E-3</v>
      </c>
      <c r="F37" s="607">
        <f t="shared" ref="F37" si="19">+F36/F33</f>
        <v>-1.6670918900784464E-2</v>
      </c>
      <c r="G37" s="603">
        <f t="shared" si="17"/>
        <v>-1.1243670313135655E-2</v>
      </c>
      <c r="H37" s="604">
        <f>+H36/H33</f>
        <v>1.3122773231742098E-3</v>
      </c>
      <c r="I37" s="605">
        <f>+F37-H37</f>
        <v>-1.7983196223958674E-2</v>
      </c>
      <c r="J37" s="601">
        <f>+J36/J33</f>
        <v>-5.7482184865938462E-3</v>
      </c>
      <c r="K37" s="607">
        <f t="shared" ref="K37" si="20">+K36/K33</f>
        <v>-1.2039637270240313E-2</v>
      </c>
      <c r="L37" s="603">
        <f>+K37-J37</f>
        <v>-6.2914187836464672E-3</v>
      </c>
      <c r="M37" s="604">
        <f>+M36/M33</f>
        <v>7.9703436550528984E-4</v>
      </c>
      <c r="N37" s="605">
        <f>+K37-M37</f>
        <v>-1.2836671635745603E-2</v>
      </c>
      <c r="P37" s="524"/>
      <c r="Q37" s="136" t="s">
        <v>86</v>
      </c>
      <c r="R37" s="137"/>
      <c r="S37" s="190">
        <f>+'[13]2월'!$F$15</f>
        <v>1.4148219441770934E-2</v>
      </c>
      <c r="T37" s="196">
        <f>+'[13]2월'!$G$15</f>
        <v>2.5730286702255301E-2</v>
      </c>
      <c r="U37" s="193">
        <f>+T37-S37</f>
        <v>1.1582067260484366E-2</v>
      </c>
      <c r="V37" s="174">
        <f>+'[14]2월'!$G$15</f>
        <v>1.5585145342365754E-2</v>
      </c>
      <c r="W37" s="171">
        <f>+T37-V37</f>
        <v>1.0145141359889547E-2</v>
      </c>
      <c r="X37" s="525"/>
    </row>
    <row r="38" spans="2:31" ht="17.25" thickTop="1" x14ac:dyDescent="0.3">
      <c r="N38" s="213"/>
      <c r="O38" s="213"/>
      <c r="P38" s="523"/>
      <c r="Q38" s="523"/>
      <c r="R38" s="523"/>
      <c r="S38" s="523"/>
      <c r="T38" s="523"/>
      <c r="U38" s="523"/>
      <c r="V38" s="523"/>
      <c r="W38" s="523"/>
      <c r="X38" s="523"/>
    </row>
    <row r="39" spans="2:31" x14ac:dyDescent="0.3">
      <c r="E39" s="454">
        <f>+'[1]2월'!$E$26/1000</f>
        <v>-1387.2309924916956</v>
      </c>
      <c r="F39" s="460">
        <f>+'[2]2월'!$F$26/1000</f>
        <v>-2250.9579849983679</v>
      </c>
      <c r="G39" s="460"/>
      <c r="H39" s="460">
        <f>+'[3]2월'!$F$26/1000</f>
        <v>-335.36999599249896</v>
      </c>
      <c r="I39" s="460"/>
      <c r="J39" s="606">
        <f>+'[1]2월누계'!$E$26/1000</f>
        <v>-3241.7545069897919</v>
      </c>
      <c r="K39" s="606">
        <f>+'[2]2월누계'!$F$26/1000</f>
        <v>-3492.5996900002974</v>
      </c>
      <c r="L39" s="606"/>
      <c r="M39" s="606">
        <f>+'[3]2월누계'!$F$26/1000</f>
        <v>-2899.331671998279</v>
      </c>
      <c r="P39" s="523"/>
      <c r="Q39" s="523"/>
      <c r="R39" s="523"/>
      <c r="S39" s="523"/>
      <c r="T39" s="523"/>
      <c r="U39" s="523"/>
      <c r="V39" s="523"/>
      <c r="W39" s="523"/>
      <c r="X39" s="523"/>
    </row>
    <row r="40" spans="2:31" x14ac:dyDescent="0.3">
      <c r="E40" s="214">
        <f>+(E29+E36)-E39</f>
        <v>0</v>
      </c>
      <c r="F40" s="214">
        <f>+(F29+F36)-F39</f>
        <v>0</v>
      </c>
      <c r="G40" s="212"/>
      <c r="H40" s="214">
        <f>+(H29+H36)-H39</f>
        <v>-1.1937117960769683E-12</v>
      </c>
      <c r="I40" s="212"/>
      <c r="J40" s="214">
        <f>+(J29+J36)-J39</f>
        <v>0</v>
      </c>
      <c r="K40" s="214">
        <f>+(K29+K36)-K39</f>
        <v>0</v>
      </c>
      <c r="L40" s="212"/>
      <c r="M40" s="214">
        <f>+(M29+M36)-M39</f>
        <v>0</v>
      </c>
      <c r="N40" s="212"/>
      <c r="O40" s="81"/>
      <c r="P40" s="81"/>
    </row>
    <row r="42" spans="2:31" x14ac:dyDescent="0.3">
      <c r="E42" s="80"/>
      <c r="F42" s="80"/>
      <c r="G42" s="80"/>
    </row>
  </sheetData>
  <mergeCells count="3">
    <mergeCell ref="Q32:R32"/>
    <mergeCell ref="C5:D6"/>
    <mergeCell ref="P5:X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9" zoomScale="85" zoomScaleNormal="85" zoomScaleSheetLayoutView="85" workbookViewId="0">
      <selection activeCell="D7" sqref="D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2"/>
      <c r="K1" s="4"/>
      <c r="L1" s="4"/>
      <c r="P1" s="4"/>
      <c r="Q1" s="4"/>
    </row>
    <row r="2" spans="1:32" ht="18" customHeight="1" x14ac:dyDescent="0.3">
      <c r="H2" s="5"/>
    </row>
    <row r="3" spans="1:32" ht="26.25" x14ac:dyDescent="0.3">
      <c r="H3" s="2" t="s">
        <v>196</v>
      </c>
    </row>
    <row r="4" spans="1:32" ht="18" customHeight="1" x14ac:dyDescent="0.3">
      <c r="H4" s="5"/>
    </row>
    <row r="5" spans="1:32" ht="18" customHeight="1" x14ac:dyDescent="0.3">
      <c r="H5" s="684" t="s">
        <v>11</v>
      </c>
      <c r="I5" s="685"/>
      <c r="J5" s="508" t="s">
        <v>197</v>
      </c>
      <c r="K5" s="509"/>
      <c r="L5" s="509"/>
      <c r="M5" s="509"/>
      <c r="N5" s="509"/>
      <c r="O5" s="509"/>
      <c r="P5" s="509"/>
      <c r="Q5" s="509"/>
      <c r="R5" s="509"/>
      <c r="S5" s="510"/>
      <c r="T5" s="508" t="s">
        <v>195</v>
      </c>
      <c r="U5" s="509"/>
      <c r="V5" s="509"/>
      <c r="W5" s="509"/>
      <c r="X5" s="509"/>
      <c r="Y5" s="509"/>
      <c r="Z5" s="509"/>
      <c r="AA5" s="509"/>
      <c r="AB5" s="509"/>
      <c r="AC5" s="510"/>
    </row>
    <row r="6" spans="1:32" s="6" customFormat="1" ht="19.5" customHeight="1" x14ac:dyDescent="0.3">
      <c r="G6" s="304"/>
      <c r="H6" s="684"/>
      <c r="I6" s="685"/>
      <c r="J6" s="145" t="s">
        <v>97</v>
      </c>
      <c r="K6" s="146"/>
      <c r="L6" s="146"/>
      <c r="M6" s="146"/>
      <c r="N6" s="147"/>
      <c r="O6" s="145" t="s">
        <v>166</v>
      </c>
      <c r="P6" s="146"/>
      <c r="Q6" s="146"/>
      <c r="R6" s="146"/>
      <c r="S6" s="147"/>
      <c r="T6" s="145" t="s">
        <v>97</v>
      </c>
      <c r="U6" s="146"/>
      <c r="V6" s="146"/>
      <c r="W6" s="146"/>
      <c r="X6" s="147"/>
      <c r="Y6" s="145" t="s">
        <v>97</v>
      </c>
      <c r="Z6" s="146"/>
      <c r="AA6" s="146"/>
      <c r="AB6" s="146"/>
      <c r="AC6" s="147"/>
    </row>
    <row r="7" spans="1:32" s="6" customFormat="1" ht="19.5" customHeight="1" x14ac:dyDescent="0.3">
      <c r="A7" s="6" t="s">
        <v>168</v>
      </c>
      <c r="G7" s="304"/>
      <c r="H7" s="686"/>
      <c r="I7" s="687"/>
      <c r="J7" s="148" t="s">
        <v>12</v>
      </c>
      <c r="K7" s="149" t="s">
        <v>13</v>
      </c>
      <c r="L7" s="150" t="s">
        <v>28</v>
      </c>
      <c r="M7" s="149" t="s">
        <v>14</v>
      </c>
      <c r="N7" s="151" t="s">
        <v>28</v>
      </c>
      <c r="O7" s="148" t="s">
        <v>12</v>
      </c>
      <c r="P7" s="149" t="s">
        <v>13</v>
      </c>
      <c r="Q7" s="150" t="s">
        <v>28</v>
      </c>
      <c r="R7" s="149" t="s">
        <v>14</v>
      </c>
      <c r="S7" s="151" t="s">
        <v>28</v>
      </c>
      <c r="T7" s="148" t="s">
        <v>12</v>
      </c>
      <c r="U7" s="149" t="s">
        <v>13</v>
      </c>
      <c r="V7" s="150" t="s">
        <v>28</v>
      </c>
      <c r="W7" s="149" t="s">
        <v>14</v>
      </c>
      <c r="X7" s="151" t="s">
        <v>28</v>
      </c>
      <c r="Y7" s="148" t="s">
        <v>12</v>
      </c>
      <c r="Z7" s="149" t="s">
        <v>13</v>
      </c>
      <c r="AA7" s="150" t="s">
        <v>28</v>
      </c>
      <c r="AB7" s="149" t="s">
        <v>14</v>
      </c>
      <c r="AC7" s="151" t="s">
        <v>28</v>
      </c>
    </row>
    <row r="8" spans="1:32" s="6" customFormat="1" ht="22.5" customHeight="1" x14ac:dyDescent="0.3">
      <c r="B8" s="6" t="s">
        <v>18</v>
      </c>
      <c r="G8" s="305"/>
      <c r="H8" s="67" t="s">
        <v>40</v>
      </c>
      <c r="I8" s="68" t="s">
        <v>18</v>
      </c>
      <c r="J8" s="30">
        <f>+[4]안양!$H$86/1000</f>
        <v>111.30885866837716</v>
      </c>
      <c r="K8" s="31">
        <f>+[4]안양!$I$86/1000</f>
        <v>153.40702300000007</v>
      </c>
      <c r="L8" s="35">
        <f>+K8-J8</f>
        <v>42.098164331622911</v>
      </c>
      <c r="M8" s="36">
        <f>+[5]안양!$H$86/1000</f>
        <v>265.58445900000044</v>
      </c>
      <c r="N8" s="34">
        <f>+K8-M8</f>
        <v>-112.17743600000037</v>
      </c>
      <c r="O8" s="30">
        <f>+[4]안양!$H$92/1000</f>
        <v>-80.428067296648393</v>
      </c>
      <c r="P8" s="31">
        <f>+[4]안양!$I$92/1000</f>
        <v>-175.96857824830462</v>
      </c>
      <c r="Q8" s="35">
        <f>+P8-O8</f>
        <v>-95.540510951656231</v>
      </c>
      <c r="R8" s="36">
        <f>+[5]안양!$H$92/1000</f>
        <v>65.846897219639033</v>
      </c>
      <c r="S8" s="34">
        <f>+P8-R8</f>
        <v>-241.81547546794366</v>
      </c>
      <c r="T8" s="30">
        <f>+[15]안양!$H$86/1000</f>
        <v>285.753430449495</v>
      </c>
      <c r="U8" s="31">
        <f>+[15]안양!$I$86/1000</f>
        <v>384.63903599999941</v>
      </c>
      <c r="V8" s="35">
        <f>+U8-T8</f>
        <v>98.885605550504408</v>
      </c>
      <c r="W8" s="36">
        <f>+[16]안양!$H$86/1000</f>
        <v>353.64214400000043</v>
      </c>
      <c r="X8" s="34">
        <f>+U8-W8</f>
        <v>30.996891999998979</v>
      </c>
      <c r="Y8" s="30">
        <f>+[15]안양!$H$92/1000</f>
        <v>-168.69472207933327</v>
      </c>
      <c r="Z8" s="31">
        <f>+[15]안양!$I$92/1000</f>
        <v>-160.89499363925307</v>
      </c>
      <c r="AA8" s="35">
        <f>+Z8-Y8</f>
        <v>7.7997284400802016</v>
      </c>
      <c r="AB8" s="36">
        <f>+[16]안양!$H$92/1000</f>
        <v>-87.162062015004395</v>
      </c>
      <c r="AC8" s="34">
        <f>+Z8-AB8</f>
        <v>-73.732931624248678</v>
      </c>
    </row>
    <row r="9" spans="1:32" s="6" customFormat="1" ht="22.5" customHeight="1" x14ac:dyDescent="0.3">
      <c r="B9" s="6" t="s">
        <v>19</v>
      </c>
      <c r="G9" s="306"/>
      <c r="H9" s="69" t="s">
        <v>41</v>
      </c>
      <c r="I9" s="70" t="s">
        <v>19</v>
      </c>
      <c r="J9" s="40">
        <f>+[4]인천!$H$86/1000</f>
        <v>-35.878111800606568</v>
      </c>
      <c r="K9" s="41">
        <f>+[4]인천!$I$86/1000</f>
        <v>-78.239109000000667</v>
      </c>
      <c r="L9" s="42">
        <f t="shared" ref="L9:L28" si="0">+K9-J9</f>
        <v>-42.360997199394099</v>
      </c>
      <c r="M9" s="43">
        <f>+[5]인천!$H$86/1000</f>
        <v>-49.380360000000167</v>
      </c>
      <c r="N9" s="44">
        <f t="shared" ref="N9:N28" si="1">+K9-M9</f>
        <v>-28.8587490000005</v>
      </c>
      <c r="O9" s="40">
        <f>+[4]인천!$H$92/1000</f>
        <v>-190.07915377520226</v>
      </c>
      <c r="P9" s="41">
        <f>+[4]인천!$I$92/1000</f>
        <v>-318.23393206010479</v>
      </c>
      <c r="Q9" s="42">
        <f t="shared" ref="Q9:Q28" si="2">+P9-O9</f>
        <v>-128.15477828490253</v>
      </c>
      <c r="R9" s="43">
        <f>+[5]인천!$H$92/1000</f>
        <v>-173.1132176014502</v>
      </c>
      <c r="S9" s="44">
        <f t="shared" ref="S9:S28" si="3">+P9-R9</f>
        <v>-145.12071445865459</v>
      </c>
      <c r="T9" s="40">
        <f>+[15]인천!$H$86/1000</f>
        <v>-65.318117476397191</v>
      </c>
      <c r="U9" s="41">
        <f>+[15]인천!$I$86/1000</f>
        <v>-108.80580900000126</v>
      </c>
      <c r="V9" s="42">
        <f t="shared" ref="V9:V24" si="4">+U9-T9</f>
        <v>-43.48769152360407</v>
      </c>
      <c r="W9" s="43">
        <f>+[16]인천!$H$86/1000</f>
        <v>-176.53010199999983</v>
      </c>
      <c r="X9" s="44">
        <f t="shared" ref="X9:X24" si="5">+U9-W9</f>
        <v>67.724292999998568</v>
      </c>
      <c r="Y9" s="40">
        <f>+[15]인천!$H$92/1000</f>
        <v>-448.4642995431833</v>
      </c>
      <c r="Z9" s="41">
        <f>+[15]인천!$I$92/1000</f>
        <v>-492.7710627172857</v>
      </c>
      <c r="AA9" s="42">
        <f t="shared" ref="AA9:AA24" si="6">+Z9-Y9</f>
        <v>-44.3067631741024</v>
      </c>
      <c r="AB9" s="43">
        <f>+[16]인천!$H$92/1000</f>
        <v>-442.9895508620952</v>
      </c>
      <c r="AC9" s="44">
        <f t="shared" ref="AC9:AC24" si="7">+Z9-AB9</f>
        <v>-49.781511855190502</v>
      </c>
    </row>
    <row r="10" spans="1:32" s="6" customFormat="1" ht="22.5" customHeight="1" x14ac:dyDescent="0.3">
      <c r="B10" s="6" t="s">
        <v>20</v>
      </c>
      <c r="G10" s="306"/>
      <c r="H10" s="69"/>
      <c r="I10" s="70" t="s">
        <v>20</v>
      </c>
      <c r="J10" s="40">
        <f>+[4]파주!$H$86/1000</f>
        <v>-120.66918984187414</v>
      </c>
      <c r="K10" s="41">
        <f>+[4]파주!$I$86/1000</f>
        <v>-146.03662099999994</v>
      </c>
      <c r="L10" s="42">
        <f t="shared" si="0"/>
        <v>-25.367431158125797</v>
      </c>
      <c r="M10" s="43">
        <f>+[5]파주!$H$86/1000</f>
        <v>-42.738867999999918</v>
      </c>
      <c r="N10" s="44">
        <f t="shared" si="1"/>
        <v>-103.29775300000003</v>
      </c>
      <c r="O10" s="40">
        <f>+[4]파주!$H$92/1000</f>
        <v>-179.92701490971695</v>
      </c>
      <c r="P10" s="41">
        <f>+[4]파주!$I$92/1000</f>
        <v>-235.61138693484799</v>
      </c>
      <c r="Q10" s="42">
        <f t="shared" si="2"/>
        <v>-55.68437202513104</v>
      </c>
      <c r="R10" s="43">
        <f>+[5]파주!$H$92/1000</f>
        <v>-102.82798298576635</v>
      </c>
      <c r="S10" s="44">
        <f t="shared" si="3"/>
        <v>-132.78340394908162</v>
      </c>
      <c r="T10" s="40">
        <f>+[15]파주!$H$86/1000</f>
        <v>-208.53352174159565</v>
      </c>
      <c r="U10" s="41">
        <f>+[15]파주!$I$86/1000</f>
        <v>-263.56187999999986</v>
      </c>
      <c r="V10" s="42">
        <f t="shared" si="4"/>
        <v>-55.028358258404211</v>
      </c>
      <c r="W10" s="43">
        <f>+[16]파주!$H$86/1000</f>
        <v>-149.28401499999967</v>
      </c>
      <c r="X10" s="44">
        <f t="shared" si="5"/>
        <v>-114.27786500000019</v>
      </c>
      <c r="Y10" s="40">
        <f>+[15]파주!$H$92/1000</f>
        <v>-354.29529412385705</v>
      </c>
      <c r="Z10" s="41">
        <f>+[15]파주!$I$92/1000</f>
        <v>-401.71545390099351</v>
      </c>
      <c r="AA10" s="42">
        <f t="shared" si="6"/>
        <v>-47.420159777136462</v>
      </c>
      <c r="AB10" s="43">
        <f>+[16]파주!$H$92/1000</f>
        <v>-280.73917800891871</v>
      </c>
      <c r="AC10" s="44">
        <f t="shared" si="7"/>
        <v>-120.9762758920748</v>
      </c>
    </row>
    <row r="11" spans="1:32" s="6" customFormat="1" ht="22.5" customHeight="1" x14ac:dyDescent="0.3">
      <c r="B11" s="6" t="s">
        <v>107</v>
      </c>
      <c r="G11" s="306"/>
      <c r="H11" s="69"/>
      <c r="I11" s="70" t="s">
        <v>106</v>
      </c>
      <c r="J11" s="40">
        <f>+[4]김포!$H$86/1000</f>
        <v>-38.987186935140521</v>
      </c>
      <c r="K11" s="41">
        <f>+[4]김포!$I$86/1000</f>
        <v>-121.40124400000003</v>
      </c>
      <c r="L11" s="42">
        <f t="shared" si="0"/>
        <v>-82.41405706485952</v>
      </c>
      <c r="M11" s="43">
        <f>+[5]김포!$H$86/1000</f>
        <v>-46.86888000000004</v>
      </c>
      <c r="N11" s="44">
        <f t="shared" si="1"/>
        <v>-74.532364000000001</v>
      </c>
      <c r="O11" s="40">
        <f>+[4]김포!$H$92/1000</f>
        <v>-95.486279550916535</v>
      </c>
      <c r="P11" s="41">
        <f>+[4]김포!$I$92/1000</f>
        <v>-202.86892483086854</v>
      </c>
      <c r="Q11" s="42">
        <f t="shared" si="2"/>
        <v>-107.382645279952</v>
      </c>
      <c r="R11" s="43">
        <f>+[5]김포!$H$92/1000</f>
        <v>-88.504561851426899</v>
      </c>
      <c r="S11" s="44">
        <f t="shared" si="3"/>
        <v>-114.36436297944164</v>
      </c>
      <c r="T11" s="40">
        <f>+[15]김포!$H$86/1000</f>
        <v>-96.434709425836829</v>
      </c>
      <c r="U11" s="41">
        <f>+[15]김포!$I$86/1000</f>
        <v>-220.93077300000022</v>
      </c>
      <c r="V11" s="42">
        <f t="shared" si="4"/>
        <v>-124.49606357416339</v>
      </c>
      <c r="W11" s="43">
        <f>+[16]김포!$H$86/1000</f>
        <v>-154.20577600000013</v>
      </c>
      <c r="X11" s="44">
        <f t="shared" si="5"/>
        <v>-66.724997000000087</v>
      </c>
      <c r="Y11" s="40">
        <f>+[15]김포!$H$92/1000</f>
        <v>-226.47483269475728</v>
      </c>
      <c r="Z11" s="41">
        <f>+[15]김포!$I$92/1000</f>
        <v>-344.61704075702994</v>
      </c>
      <c r="AA11" s="42">
        <f t="shared" si="6"/>
        <v>-118.14220806227266</v>
      </c>
      <c r="AB11" s="43">
        <f>+[16]김포!$H$92/1000</f>
        <v>-242.71433326518442</v>
      </c>
      <c r="AC11" s="44">
        <f t="shared" si="7"/>
        <v>-101.90270749184552</v>
      </c>
    </row>
    <row r="12" spans="1:32" s="6" customFormat="1" ht="22.5" customHeight="1" x14ac:dyDescent="0.3">
      <c r="B12" s="6" t="s">
        <v>21</v>
      </c>
      <c r="G12" s="304"/>
      <c r="H12" s="69"/>
      <c r="I12" s="71" t="s">
        <v>21</v>
      </c>
      <c r="J12" s="57">
        <f>+[4]부산!$H$86/1000</f>
        <v>74.964892438548972</v>
      </c>
      <c r="K12" s="58">
        <f>+[4]부산!$I$86/1000</f>
        <v>207.73550799999992</v>
      </c>
      <c r="L12" s="59">
        <f t="shared" si="0"/>
        <v>132.77061556145094</v>
      </c>
      <c r="M12" s="60">
        <f>+[5]부산!$H$86/1000</f>
        <v>133.31257800000009</v>
      </c>
      <c r="N12" s="61">
        <f t="shared" si="1"/>
        <v>74.422929999999837</v>
      </c>
      <c r="O12" s="57">
        <f>+[4]부산!$H$92/1000</f>
        <v>-53.505451793205197</v>
      </c>
      <c r="P12" s="58">
        <f>+[4]부산!$I$92/1000</f>
        <v>-50.493193359360504</v>
      </c>
      <c r="Q12" s="59">
        <f t="shared" si="2"/>
        <v>3.0122584338446927</v>
      </c>
      <c r="R12" s="60">
        <f>+[5]부산!$H$92/1000</f>
        <v>20.797695312000826</v>
      </c>
      <c r="S12" s="61">
        <f t="shared" si="3"/>
        <v>-71.29088867136133</v>
      </c>
      <c r="T12" s="57">
        <f>+[15]부산!$H$86/1000</f>
        <v>161.1732828028818</v>
      </c>
      <c r="U12" s="58">
        <f>+[15]부산!$I$86/1000</f>
        <v>480.14891199999943</v>
      </c>
      <c r="V12" s="59">
        <f t="shared" si="4"/>
        <v>318.97562919711766</v>
      </c>
      <c r="W12" s="60">
        <f>+[16]부산!$H$86/1000</f>
        <v>160.24381700000018</v>
      </c>
      <c r="X12" s="61">
        <f t="shared" si="5"/>
        <v>319.90509499999928</v>
      </c>
      <c r="Y12" s="57">
        <f>+[15]부산!$H$92/1000</f>
        <v>-152.97170945297623</v>
      </c>
      <c r="Z12" s="58">
        <f>+[15]부산!$I$92/1000</f>
        <v>44.207975664312599</v>
      </c>
      <c r="AA12" s="59">
        <f t="shared" si="6"/>
        <v>197.17968511728884</v>
      </c>
      <c r="AB12" s="60">
        <f>+[16]부산!$H$92/1000</f>
        <v>-87.469863247592173</v>
      </c>
      <c r="AC12" s="61">
        <f t="shared" si="7"/>
        <v>131.67783891190476</v>
      </c>
      <c r="AD12" s="457"/>
      <c r="AE12" s="81"/>
    </row>
    <row r="13" spans="1:32" s="6" customFormat="1" ht="22.5" customHeight="1" x14ac:dyDescent="0.3">
      <c r="B13" s="6" t="s">
        <v>22</v>
      </c>
      <c r="G13" s="304"/>
      <c r="H13" s="69"/>
      <c r="I13" s="70" t="s">
        <v>22</v>
      </c>
      <c r="J13" s="40">
        <f>+[4]서부산!$H$86/1000</f>
        <v>118.33250841001413</v>
      </c>
      <c r="K13" s="41">
        <f>+[4]서부산!$I$86/1000</f>
        <v>-5.9900169999999049</v>
      </c>
      <c r="L13" s="42">
        <f t="shared" si="0"/>
        <v>-124.32252541001404</v>
      </c>
      <c r="M13" s="43">
        <f>+[5]서부산!$H$86/1000</f>
        <v>77.502493999999857</v>
      </c>
      <c r="N13" s="44">
        <f t="shared" si="1"/>
        <v>-83.492510999999766</v>
      </c>
      <c r="O13" s="40">
        <f>+[4]서부산!$H$92/1000</f>
        <v>-0.98819838981001518</v>
      </c>
      <c r="P13" s="41">
        <f>+[4]서부산!$I$92/1000</f>
        <v>-142.64957336355354</v>
      </c>
      <c r="Q13" s="42">
        <f t="shared" si="2"/>
        <v>-141.66137497374353</v>
      </c>
      <c r="R13" s="43">
        <f>+[5]서부산!$H$92/1000</f>
        <v>-29.159797971095394</v>
      </c>
      <c r="S13" s="44">
        <f t="shared" si="3"/>
        <v>-113.48977539245814</v>
      </c>
      <c r="T13" s="40">
        <f>+[15]서부산!$H$86/1000</f>
        <v>257.03375633615053</v>
      </c>
      <c r="U13" s="41">
        <f>+[15]서부산!$I$86/1000</f>
        <v>178.53320400000004</v>
      </c>
      <c r="V13" s="42">
        <f t="shared" si="4"/>
        <v>-78.500552336150491</v>
      </c>
      <c r="W13" s="43">
        <f>+[16]서부산!$H$86/1000</f>
        <v>112.66152699999977</v>
      </c>
      <c r="X13" s="44">
        <f t="shared" si="5"/>
        <v>65.871677000000275</v>
      </c>
      <c r="Y13" s="40">
        <f>+[15]서부산!$H$92/1000</f>
        <v>-34.567418468762128</v>
      </c>
      <c r="Z13" s="41">
        <f>+[15]서부산!$I$92/1000</f>
        <v>-80.634448735879147</v>
      </c>
      <c r="AA13" s="42">
        <f t="shared" si="6"/>
        <v>-46.067030267117019</v>
      </c>
      <c r="AB13" s="43">
        <f>+[16]서부산!$H$92/1000</f>
        <v>-108.03427862168377</v>
      </c>
      <c r="AC13" s="44">
        <f t="shared" si="7"/>
        <v>27.399829885804621</v>
      </c>
    </row>
    <row r="14" spans="1:32" s="6" customFormat="1" ht="22.5" customHeight="1" x14ac:dyDescent="0.3">
      <c r="B14" s="6" t="s">
        <v>23</v>
      </c>
      <c r="G14" s="304"/>
      <c r="H14" s="69"/>
      <c r="I14" s="70" t="s">
        <v>23</v>
      </c>
      <c r="J14" s="40">
        <f>+[4]김해!$H$86/1000</f>
        <v>-14.534889609526589</v>
      </c>
      <c r="K14" s="41">
        <f>+[4]김해!$I$86/1000</f>
        <v>-36.280646000000019</v>
      </c>
      <c r="L14" s="42">
        <f t="shared" si="0"/>
        <v>-21.745756390473431</v>
      </c>
      <c r="M14" s="43">
        <f>+[5]김해!$H$86/1000</f>
        <v>-73.487828000000036</v>
      </c>
      <c r="N14" s="44">
        <f t="shared" si="1"/>
        <v>37.207182000000017</v>
      </c>
      <c r="O14" s="40">
        <f>+[4]김해!$H$92/1000</f>
        <v>-65.592604925105022</v>
      </c>
      <c r="P14" s="41">
        <f>+[4]김해!$I$92/1000</f>
        <v>-97.526504700317446</v>
      </c>
      <c r="Q14" s="42">
        <f t="shared" si="2"/>
        <v>-31.933899775212424</v>
      </c>
      <c r="R14" s="43">
        <f>+[5]김해!$H$92/1000</f>
        <v>-101.92556280028114</v>
      </c>
      <c r="S14" s="44">
        <f t="shared" si="3"/>
        <v>4.3990580999636961</v>
      </c>
      <c r="T14" s="40">
        <f>+[15]김해!$H$86/1000</f>
        <v>-71.551452867816977</v>
      </c>
      <c r="U14" s="41">
        <f>+[15]김해!$I$86/1000</f>
        <v>-131.51089999999988</v>
      </c>
      <c r="V14" s="42">
        <f t="shared" si="4"/>
        <v>-59.959447132182902</v>
      </c>
      <c r="W14" s="43">
        <f>+[16]김해!$H$86/1000</f>
        <v>-137.97554900000006</v>
      </c>
      <c r="X14" s="44">
        <f t="shared" si="5"/>
        <v>6.4646490000001791</v>
      </c>
      <c r="Y14" s="40">
        <f>+[15]김해!$H$92/1000</f>
        <v>-185.79399143859698</v>
      </c>
      <c r="Z14" s="41">
        <f>+[15]김해!$I$92/1000</f>
        <v>-220.94789158294955</v>
      </c>
      <c r="AA14" s="42">
        <f t="shared" si="6"/>
        <v>-35.153900144352576</v>
      </c>
      <c r="AB14" s="43">
        <f>+[16]김해!$H$92/1000</f>
        <v>-212.46841785610351</v>
      </c>
      <c r="AC14" s="44">
        <f t="shared" si="7"/>
        <v>-8.4794737268460381</v>
      </c>
      <c r="AF14" s="453"/>
    </row>
    <row r="15" spans="1:32" s="6" customFormat="1" ht="22.5" customHeight="1" x14ac:dyDescent="0.3">
      <c r="B15" s="6" t="s">
        <v>24</v>
      </c>
      <c r="G15" s="304"/>
      <c r="H15" s="69"/>
      <c r="I15" s="70" t="s">
        <v>24</v>
      </c>
      <c r="J15" s="40">
        <f>+[4]정관!$H$86/1000</f>
        <v>71.756078305489581</v>
      </c>
      <c r="K15" s="41">
        <f>+[4]정관!$I$86/1000</f>
        <v>-47.580852000000263</v>
      </c>
      <c r="L15" s="42">
        <f t="shared" si="0"/>
        <v>-119.33693030548984</v>
      </c>
      <c r="M15" s="43">
        <f>+[5]정관!$H$86/1000</f>
        <v>150.81139700000003</v>
      </c>
      <c r="N15" s="44">
        <f t="shared" si="1"/>
        <v>-198.39224900000028</v>
      </c>
      <c r="O15" s="40">
        <f>+[4]정관!$H$92/1000</f>
        <v>-62.258637753457528</v>
      </c>
      <c r="P15" s="41">
        <f>+[4]정관!$I$92/1000</f>
        <v>-176.96720539196681</v>
      </c>
      <c r="Q15" s="42">
        <f t="shared" si="2"/>
        <v>-114.70856763850929</v>
      </c>
      <c r="R15" s="43">
        <f>+[5]정관!$H$92/1000</f>
        <v>31.124671030812927</v>
      </c>
      <c r="S15" s="44">
        <f t="shared" si="3"/>
        <v>-208.09187642277973</v>
      </c>
      <c r="T15" s="40">
        <f>+[15]정관!$H$86/1000</f>
        <v>136.07841645487113</v>
      </c>
      <c r="U15" s="41">
        <f>+[15]정관!$I$86/1000</f>
        <v>-113.65394900000013</v>
      </c>
      <c r="V15" s="42">
        <f t="shared" si="4"/>
        <v>-249.73236545487126</v>
      </c>
      <c r="W15" s="43">
        <f>+[16]정관!$H$86/1000</f>
        <v>245.21988699999991</v>
      </c>
      <c r="X15" s="44">
        <f t="shared" si="5"/>
        <v>-358.87383600000004</v>
      </c>
      <c r="Y15" s="40">
        <f>+[15]정관!$H$92/1000</f>
        <v>-179.52093376038067</v>
      </c>
      <c r="Z15" s="41">
        <f>+[15]정관!$I$92/1000</f>
        <v>-313.58174270665933</v>
      </c>
      <c r="AA15" s="42">
        <f t="shared" si="6"/>
        <v>-134.06080894627866</v>
      </c>
      <c r="AB15" s="43">
        <f>+[16]정관!$H$92/1000</f>
        <v>-30.143379687944048</v>
      </c>
      <c r="AC15" s="44">
        <f t="shared" si="7"/>
        <v>-283.43836301871528</v>
      </c>
      <c r="AF15" s="453"/>
    </row>
    <row r="16" spans="1:32" s="6" customFormat="1" ht="22.5" customHeight="1" x14ac:dyDescent="0.3">
      <c r="B16" s="6" t="s">
        <v>25</v>
      </c>
      <c r="G16" s="304"/>
      <c r="H16" s="69"/>
      <c r="I16" s="70" t="s">
        <v>25</v>
      </c>
      <c r="J16" s="40">
        <f>+[4]양산!$H$86/1000</f>
        <v>-26.949416812432034</v>
      </c>
      <c r="K16" s="41">
        <f>+[4]양산!$I$86/1000</f>
        <v>-66.233686000000034</v>
      </c>
      <c r="L16" s="42">
        <f t="shared" si="0"/>
        <v>-39.284269187568</v>
      </c>
      <c r="M16" s="43">
        <f>+[5]양산!$H$86/1000</f>
        <v>32.887763999999997</v>
      </c>
      <c r="N16" s="44">
        <f t="shared" si="1"/>
        <v>-99.121450000000038</v>
      </c>
      <c r="O16" s="40">
        <f>+[4]양산!$H$92/1000</f>
        <v>-69.933626648157031</v>
      </c>
      <c r="P16" s="41">
        <f>+[4]양산!$I$92/1000</f>
        <v>-107.03815000903104</v>
      </c>
      <c r="Q16" s="42">
        <f t="shared" si="2"/>
        <v>-37.104523360874012</v>
      </c>
      <c r="R16" s="43">
        <f>+[5]양산!$H$92/1000</f>
        <v>-16.754584721313826</v>
      </c>
      <c r="S16" s="44">
        <f t="shared" si="3"/>
        <v>-90.283565287717209</v>
      </c>
      <c r="T16" s="40">
        <f>+[15]양산!$H$86/1000</f>
        <v>-71.146106909535121</v>
      </c>
      <c r="U16" s="41">
        <f>+[15]양산!$I$86/1000</f>
        <v>-95.344321000000178</v>
      </c>
      <c r="V16" s="42">
        <f t="shared" si="4"/>
        <v>-24.198214090465058</v>
      </c>
      <c r="W16" s="43">
        <f>+[16]양산!$H$86/1000</f>
        <v>-17.321488000000166</v>
      </c>
      <c r="X16" s="44">
        <f t="shared" si="5"/>
        <v>-78.02283300000002</v>
      </c>
      <c r="Y16" s="40">
        <f>+[15]양산!$H$92/1000</f>
        <v>-169.07611078367611</v>
      </c>
      <c r="Z16" s="41">
        <f>+[15]양산!$I$92/1000</f>
        <v>-171.20969732173788</v>
      </c>
      <c r="AA16" s="42">
        <f t="shared" si="6"/>
        <v>-2.1335865380617633</v>
      </c>
      <c r="AB16" s="43">
        <f>+[16]양산!$H$92/1000</f>
        <v>-117.38996386187355</v>
      </c>
      <c r="AC16" s="44">
        <f t="shared" si="7"/>
        <v>-53.819733459864324</v>
      </c>
      <c r="AF16" s="453"/>
    </row>
    <row r="17" spans="2:30" s="6" customFormat="1" ht="22.5" customHeight="1" x14ac:dyDescent="0.3">
      <c r="B17" s="6" t="s">
        <v>26</v>
      </c>
      <c r="G17" s="304"/>
      <c r="H17" s="69"/>
      <c r="I17" s="70" t="s">
        <v>26</v>
      </c>
      <c r="J17" s="40">
        <f>+[4]창원!$H$86/1000</f>
        <v>-6.3142939279695307</v>
      </c>
      <c r="K17" s="41">
        <f>+[4]창원!$I$86/1000</f>
        <v>-25.872474999999948</v>
      </c>
      <c r="L17" s="42">
        <f t="shared" si="0"/>
        <v>-19.558181072030418</v>
      </c>
      <c r="M17" s="43">
        <f>+[5]창원!$H$86/1000</f>
        <v>108.75022300000013</v>
      </c>
      <c r="N17" s="44">
        <f t="shared" si="1"/>
        <v>-134.62269800000007</v>
      </c>
      <c r="O17" s="40">
        <f>+[4]창원!$H$92/1000</f>
        <v>-68.490085201168995</v>
      </c>
      <c r="P17" s="41">
        <f>+[4]창원!$I$92/1000</f>
        <v>-126.50703348017922</v>
      </c>
      <c r="Q17" s="42">
        <f t="shared" si="2"/>
        <v>-58.016948279010222</v>
      </c>
      <c r="R17" s="43">
        <f>+[5]창원!$H$92/1000</f>
        <v>40.647485178095756</v>
      </c>
      <c r="S17" s="44">
        <f t="shared" si="3"/>
        <v>-167.15451865827498</v>
      </c>
      <c r="T17" s="40">
        <f>+[15]창원!$H$86/1000</f>
        <v>-41.279720823817762</v>
      </c>
      <c r="U17" s="41">
        <f>+[15]창원!$I$86/1000</f>
        <v>-18.894894999999973</v>
      </c>
      <c r="V17" s="42">
        <f t="shared" si="4"/>
        <v>22.384825823817788</v>
      </c>
      <c r="W17" s="43">
        <f>+[16]창원!$H$86/1000</f>
        <v>115.95934000000032</v>
      </c>
      <c r="X17" s="44">
        <f t="shared" si="5"/>
        <v>-134.8542350000003</v>
      </c>
      <c r="Y17" s="40">
        <f>+[15]창원!$H$92/1000</f>
        <v>-183.5826972149479</v>
      </c>
      <c r="Z17" s="41">
        <f>+[15]창원!$I$92/1000</f>
        <v>-172.14567794494394</v>
      </c>
      <c r="AA17" s="42">
        <f t="shared" si="6"/>
        <v>11.437019270003958</v>
      </c>
      <c r="AB17" s="43">
        <f>+[16]창원!$H$92/1000</f>
        <v>-37.717401392609275</v>
      </c>
      <c r="AC17" s="44">
        <f t="shared" si="7"/>
        <v>-134.42827655233467</v>
      </c>
    </row>
    <row r="18" spans="2:30" s="6" customFormat="1" ht="22.5" customHeight="1" x14ac:dyDescent="0.3">
      <c r="B18" s="6" t="s">
        <v>69</v>
      </c>
      <c r="G18" s="304"/>
      <c r="H18" s="69"/>
      <c r="I18" s="70" t="s">
        <v>69</v>
      </c>
      <c r="J18" s="40">
        <f>+[4]대구!$H$86/1000</f>
        <v>-25.107902103687934</v>
      </c>
      <c r="K18" s="41">
        <f>+[4]대구!$I$86/1000</f>
        <v>-89.101346999999961</v>
      </c>
      <c r="L18" s="42">
        <f t="shared" si="0"/>
        <v>-63.993444896312027</v>
      </c>
      <c r="M18" s="43">
        <f>+[5]대구!$H$86/1000</f>
        <v>11.519028999999902</v>
      </c>
      <c r="N18" s="44">
        <f t="shared" si="1"/>
        <v>-100.62037599999987</v>
      </c>
      <c r="O18" s="40">
        <f>+[4]대구!$H$92/1000</f>
        <v>-68.829246116642082</v>
      </c>
      <c r="P18" s="41">
        <f>+[4]대구!$I$92/1000</f>
        <v>-132.07503443609804</v>
      </c>
      <c r="Q18" s="42">
        <f t="shared" si="2"/>
        <v>-63.245788319455954</v>
      </c>
      <c r="R18" s="43">
        <f>+[5]대구!$H$92/1000</f>
        <v>-43.826267232468425</v>
      </c>
      <c r="S18" s="44">
        <f t="shared" si="3"/>
        <v>-88.248767203629612</v>
      </c>
      <c r="T18" s="40">
        <f>+[15]대구!$H$86/1000</f>
        <v>-74.589893266336063</v>
      </c>
      <c r="U18" s="41">
        <f>+[15]대구!$I$86/1000</f>
        <v>-182.91056400000002</v>
      </c>
      <c r="V18" s="42">
        <f t="shared" si="4"/>
        <v>-108.32067073366396</v>
      </c>
      <c r="W18" s="43">
        <f>+[16]대구!$H$86/1000</f>
        <v>33.549730999999781</v>
      </c>
      <c r="X18" s="44">
        <f t="shared" si="5"/>
        <v>-216.4602949999998</v>
      </c>
      <c r="Y18" s="40">
        <f>+[15]대구!$H$92/1000</f>
        <v>-174.97831164073082</v>
      </c>
      <c r="Z18" s="41">
        <f>+[15]대구!$I$92/1000</f>
        <v>-243.20317507994787</v>
      </c>
      <c r="AA18" s="42">
        <f t="shared" si="6"/>
        <v>-68.224863439217046</v>
      </c>
      <c r="AB18" s="43">
        <f>+[16]대구!$H$92/1000</f>
        <v>-108.92876075328539</v>
      </c>
      <c r="AC18" s="44">
        <f t="shared" si="7"/>
        <v>-134.27441432666248</v>
      </c>
    </row>
    <row r="19" spans="2:30" s="6" customFormat="1" ht="22.5" customHeight="1" x14ac:dyDescent="0.3">
      <c r="B19" s="6" t="s">
        <v>70</v>
      </c>
      <c r="G19" s="306"/>
      <c r="H19" s="69"/>
      <c r="I19" s="72" t="s">
        <v>70</v>
      </c>
      <c r="J19" s="7">
        <f>+[4]울산!$H$86/1000</f>
        <v>-81.807409452711397</v>
      </c>
      <c r="K19" s="8">
        <f>+[4]울산!$I$86/1000</f>
        <v>11.388659000000008</v>
      </c>
      <c r="L19" s="9">
        <f t="shared" si="0"/>
        <v>93.196068452711401</v>
      </c>
      <c r="M19" s="10">
        <f>+[5]울산!$H$86/1000</f>
        <v>78.016519999999957</v>
      </c>
      <c r="N19" s="11">
        <f t="shared" si="1"/>
        <v>-66.627860999999953</v>
      </c>
      <c r="O19" s="7">
        <f>+[4]울산!$H$92/1000</f>
        <v>-124.96358425690011</v>
      </c>
      <c r="P19" s="8">
        <f>+[4]울산!$I$92/1000</f>
        <v>-106.8225614585439</v>
      </c>
      <c r="Q19" s="9">
        <f t="shared" si="2"/>
        <v>18.141022798356204</v>
      </c>
      <c r="R19" s="10">
        <f>+[5]울산!$H$92/1000</f>
        <v>12.336040914530894</v>
      </c>
      <c r="S19" s="11">
        <f t="shared" si="3"/>
        <v>-119.1586023730748</v>
      </c>
      <c r="T19" s="7">
        <f>+[15]울산!$H$86/1000</f>
        <v>-127.70621922086968</v>
      </c>
      <c r="U19" s="8">
        <f>+[15]울산!$I$86/1000</f>
        <v>95.465084000000118</v>
      </c>
      <c r="V19" s="9">
        <f t="shared" si="4"/>
        <v>223.17130322086979</v>
      </c>
      <c r="W19" s="10">
        <f>+[16]울산!$H$86/1000</f>
        <v>135.74100799999977</v>
      </c>
      <c r="X19" s="11">
        <f t="shared" si="5"/>
        <v>-40.275923999999648</v>
      </c>
      <c r="Y19" s="7">
        <f>+[15]울산!$H$92/1000</f>
        <v>-245.83913002705521</v>
      </c>
      <c r="Z19" s="8">
        <f>+[15]울산!$I$92/1000</f>
        <v>-104.1261742869131</v>
      </c>
      <c r="AA19" s="9">
        <f t="shared" si="6"/>
        <v>141.71295574014209</v>
      </c>
      <c r="AB19" s="10">
        <f>+[16]울산!$H$92/1000</f>
        <v>-21.440051240244443</v>
      </c>
      <c r="AC19" s="11">
        <f t="shared" si="7"/>
        <v>-82.686123046668655</v>
      </c>
    </row>
    <row r="20" spans="2:30" s="6" customFormat="1" ht="22.5" customHeight="1" x14ac:dyDescent="0.3">
      <c r="B20" s="6" t="s">
        <v>75</v>
      </c>
      <c r="G20" s="306"/>
      <c r="H20" s="69"/>
      <c r="I20" s="70" t="s">
        <v>27</v>
      </c>
      <c r="J20" s="40">
        <f>+[4]아산!$H$86/1000</f>
        <v>-64.531170365544128</v>
      </c>
      <c r="K20" s="41">
        <f>+[4]아산!$I$86/1000</f>
        <v>-9.2875060000000005</v>
      </c>
      <c r="L20" s="42">
        <f t="shared" si="0"/>
        <v>55.243664365544127</v>
      </c>
      <c r="M20" s="43">
        <f>+[5]아산!$H$86/1000</f>
        <v>71.697308999999976</v>
      </c>
      <c r="N20" s="44">
        <f t="shared" si="1"/>
        <v>-80.984814999999969</v>
      </c>
      <c r="O20" s="40">
        <f>+[4]아산!$H$92/1000</f>
        <v>-133.77131049051323</v>
      </c>
      <c r="P20" s="41">
        <f>+[4]아산!$I$92/1000</f>
        <v>-185.06285696894255</v>
      </c>
      <c r="Q20" s="42">
        <f t="shared" si="2"/>
        <v>-51.291546478429325</v>
      </c>
      <c r="R20" s="43">
        <f>+[5]아산!$H$92/1000</f>
        <v>-33.606403486350665</v>
      </c>
      <c r="S20" s="44">
        <f t="shared" si="3"/>
        <v>-151.45645348259188</v>
      </c>
      <c r="T20" s="40">
        <f>+[15]아산!$H$86/1000</f>
        <v>-128.78124073108819</v>
      </c>
      <c r="U20" s="41">
        <f>+[15]아산!$I$86/1000</f>
        <v>-5.431115999999645</v>
      </c>
      <c r="V20" s="42">
        <f t="shared" si="4"/>
        <v>123.35012473108854</v>
      </c>
      <c r="W20" s="43">
        <f>+[16]아산!$H$86/1000</f>
        <v>40.915752000000374</v>
      </c>
      <c r="X20" s="44">
        <f t="shared" si="5"/>
        <v>-46.346868000000022</v>
      </c>
      <c r="Y20" s="40">
        <f>+[15]아산!$H$92/1000</f>
        <v>-288.32273452313643</v>
      </c>
      <c r="Z20" s="41">
        <f>+[15]아산!$I$92/1000</f>
        <v>-278.74979596085126</v>
      </c>
      <c r="AA20" s="42">
        <f t="shared" si="6"/>
        <v>9.5729385622851737</v>
      </c>
      <c r="AB20" s="43">
        <f>+[16]아산!$H$92/1000</f>
        <v>-217.53513959487964</v>
      </c>
      <c r="AC20" s="44">
        <f t="shared" si="7"/>
        <v>-61.214656365971621</v>
      </c>
    </row>
    <row r="21" spans="2:30" s="6" customFormat="1" ht="22.5" customHeight="1" x14ac:dyDescent="0.3">
      <c r="B21" s="6" t="s">
        <v>71</v>
      </c>
      <c r="G21" s="306"/>
      <c r="H21" s="69"/>
      <c r="I21" s="70" t="s">
        <v>71</v>
      </c>
      <c r="J21" s="40">
        <f>+[4]전주!$H$86/1000</f>
        <v>-28.142012588383881</v>
      </c>
      <c r="K21" s="41">
        <f>+[4]전주!$I$86/1000</f>
        <v>-75.588009000000113</v>
      </c>
      <c r="L21" s="42">
        <f t="shared" si="0"/>
        <v>-47.445996411616235</v>
      </c>
      <c r="M21" s="43">
        <f>+[5]전주!$H$86/1000</f>
        <v>149.18040499999987</v>
      </c>
      <c r="N21" s="44">
        <f t="shared" si="1"/>
        <v>-224.76841399999998</v>
      </c>
      <c r="O21" s="40">
        <f>+[4]전주!$H$92/1000</f>
        <v>-70.968907448528029</v>
      </c>
      <c r="P21" s="41">
        <f>+[4]전주!$I$92/1000</f>
        <v>-144.89661764502716</v>
      </c>
      <c r="Q21" s="42">
        <f t="shared" si="2"/>
        <v>-73.927710196499135</v>
      </c>
      <c r="R21" s="43">
        <f>+[5]전주!$H$92/1000</f>
        <v>74.94588917633277</v>
      </c>
      <c r="S21" s="44">
        <f t="shared" si="3"/>
        <v>-219.84250682135993</v>
      </c>
      <c r="T21" s="40">
        <f>+[15]전주!$H$86/1000</f>
        <v>-71.759242541666893</v>
      </c>
      <c r="U21" s="41">
        <f>+[15]전주!$I$86/1000</f>
        <v>-91.461025999999833</v>
      </c>
      <c r="V21" s="42">
        <f t="shared" si="4"/>
        <v>-19.70178345833294</v>
      </c>
      <c r="W21" s="43">
        <f>+[16]전주!$H$86/1000</f>
        <v>252.88456599999969</v>
      </c>
      <c r="X21" s="44">
        <f t="shared" si="5"/>
        <v>-344.34559199999956</v>
      </c>
      <c r="Y21" s="40">
        <f>+[15]전주!$H$92/1000</f>
        <v>-161.25188585961337</v>
      </c>
      <c r="Z21" s="41">
        <f>+[15]전주!$I$92/1000</f>
        <v>-214.6486132088792</v>
      </c>
      <c r="AA21" s="42">
        <f t="shared" si="6"/>
        <v>-53.396727349265831</v>
      </c>
      <c r="AB21" s="43">
        <f>+[16]전주!$H$92/1000</f>
        <v>75.110594154497377</v>
      </c>
      <c r="AC21" s="44">
        <f t="shared" si="7"/>
        <v>-289.75920736337656</v>
      </c>
    </row>
    <row r="22" spans="2:30" s="6" customFormat="1" ht="22.5" customHeight="1" x14ac:dyDescent="0.3">
      <c r="B22" s="6" t="s">
        <v>72</v>
      </c>
      <c r="G22" s="306"/>
      <c r="H22" s="69"/>
      <c r="I22" s="70" t="s">
        <v>72</v>
      </c>
      <c r="J22" s="40">
        <f>+[4]군산!$H$86/1000</f>
        <v>11.369519917980707</v>
      </c>
      <c r="K22" s="41">
        <f>+[4]군산!$I$86/1000</f>
        <v>-20.390283</v>
      </c>
      <c r="L22" s="42">
        <f t="shared" si="0"/>
        <v>-31.759802917980707</v>
      </c>
      <c r="M22" s="43">
        <f>+[5]군산!$H$86/1000</f>
        <v>57.866905000000038</v>
      </c>
      <c r="N22" s="44">
        <f t="shared" si="1"/>
        <v>-78.257188000000042</v>
      </c>
      <c r="O22" s="40">
        <f>+[4]군산!$H$92/1000</f>
        <v>-8.9328669065459341</v>
      </c>
      <c r="P22" s="41">
        <f>+[4]군산!$I$92/1000</f>
        <v>-43.852418320820853</v>
      </c>
      <c r="Q22" s="42">
        <f t="shared" si="2"/>
        <v>-34.91955141427492</v>
      </c>
      <c r="R22" s="43">
        <f>+[5]군산!$H$92/1000</f>
        <v>33.365197563192076</v>
      </c>
      <c r="S22" s="44">
        <f t="shared" si="3"/>
        <v>-77.217615884012929</v>
      </c>
      <c r="T22" s="40">
        <f>+[15]군산!$H$86/1000</f>
        <v>17.596196502628128</v>
      </c>
      <c r="U22" s="41">
        <f>+[15]군산!$I$86/1000</f>
        <v>-16.544514999999922</v>
      </c>
      <c r="V22" s="42">
        <f t="shared" si="4"/>
        <v>-34.140711502628051</v>
      </c>
      <c r="W22" s="43">
        <f>+[16]군산!$H$86/1000</f>
        <v>67.924104999999983</v>
      </c>
      <c r="X22" s="44">
        <f t="shared" si="5"/>
        <v>-84.468619999999902</v>
      </c>
      <c r="Y22" s="40">
        <f>+[15]군산!$H$92/1000</f>
        <v>-29.184083197599083</v>
      </c>
      <c r="Z22" s="41">
        <f>+[15]군산!$I$92/1000</f>
        <v>-55.956933505065756</v>
      </c>
      <c r="AA22" s="42">
        <f t="shared" si="6"/>
        <v>-26.772850307466673</v>
      </c>
      <c r="AB22" s="43">
        <f>+[16]군산!$H$92/1000</f>
        <v>17.272948539839025</v>
      </c>
      <c r="AC22" s="44">
        <f t="shared" si="7"/>
        <v>-73.229882044904784</v>
      </c>
    </row>
    <row r="23" spans="2:30" s="6" customFormat="1" ht="22.5" customHeight="1" x14ac:dyDescent="0.3">
      <c r="B23" s="6" t="s">
        <v>73</v>
      </c>
      <c r="G23" s="306"/>
      <c r="H23" s="69"/>
      <c r="I23" s="70" t="s">
        <v>73</v>
      </c>
      <c r="J23" s="40">
        <f>+[4]원주!$H$86/1000</f>
        <v>33.348803589607179</v>
      </c>
      <c r="K23" s="41">
        <f>+[4]원주!$I$86/1000</f>
        <v>-24.850722000000001</v>
      </c>
      <c r="L23" s="42">
        <f t="shared" si="0"/>
        <v>-58.199525589607177</v>
      </c>
      <c r="M23" s="43">
        <f>+[5]원주!$H$86/1000</f>
        <v>-36.517007</v>
      </c>
      <c r="N23" s="44">
        <f t="shared" si="1"/>
        <v>11.666284999999998</v>
      </c>
      <c r="O23" s="40">
        <f>+[4]원주!$H$92/1000</f>
        <v>9.1941197619183228</v>
      </c>
      <c r="P23" s="41">
        <f>+[4]원주!$I$92/1000</f>
        <v>-45.341208357709021</v>
      </c>
      <c r="Q23" s="42">
        <f t="shared" si="2"/>
        <v>-54.535328119627344</v>
      </c>
      <c r="R23" s="43">
        <f>+[5]원주!$H$92/1000</f>
        <v>-44.695248352362313</v>
      </c>
      <c r="S23" s="44">
        <f t="shared" si="3"/>
        <v>-0.6459600053467085</v>
      </c>
      <c r="T23" s="40">
        <f>+[15]원주!$H$86/1000</f>
        <v>51.635531606124829</v>
      </c>
      <c r="U23" s="41">
        <f>+[15]원주!$I$86/1000</f>
        <v>-17.716925000000071</v>
      </c>
      <c r="V23" s="42">
        <f t="shared" si="4"/>
        <v>-69.352456606124903</v>
      </c>
      <c r="W23" s="43">
        <f>+[16]원주!$H$86/1000</f>
        <v>-40.546711000000016</v>
      </c>
      <c r="X23" s="44">
        <f t="shared" si="5"/>
        <v>22.829785999999945</v>
      </c>
      <c r="Y23" s="40">
        <f>+[15]원주!$H$92/1000</f>
        <v>-4.0151757364433287</v>
      </c>
      <c r="Z23" s="41">
        <f>+[15]원주!$I$92/1000</f>
        <v>-55.517789781762808</v>
      </c>
      <c r="AA23" s="42">
        <f t="shared" si="6"/>
        <v>-51.502614045319476</v>
      </c>
      <c r="AB23" s="43">
        <f>+[16]원주!$H$92/1000</f>
        <v>-70.849277213078693</v>
      </c>
      <c r="AC23" s="44">
        <f t="shared" si="7"/>
        <v>15.331487431315885</v>
      </c>
    </row>
    <row r="24" spans="2:30" s="6" customFormat="1" ht="22.5" customHeight="1" x14ac:dyDescent="0.3">
      <c r="B24" s="6" t="s">
        <v>74</v>
      </c>
      <c r="F24" s="79"/>
      <c r="G24" s="304"/>
      <c r="H24" s="69"/>
      <c r="I24" s="70" t="s">
        <v>74</v>
      </c>
      <c r="J24" s="40">
        <f>+[4]제주!$H$86/1000</f>
        <v>26.361966481073633</v>
      </c>
      <c r="K24" s="41">
        <f>+[4]제주!$I$86/1000</f>
        <v>-7.4980149999999774</v>
      </c>
      <c r="L24" s="42">
        <f t="shared" si="0"/>
        <v>-33.859981481073611</v>
      </c>
      <c r="M24" s="43">
        <f>+[5]제주!$H$86/1000</f>
        <v>53.836507999999874</v>
      </c>
      <c r="N24" s="44">
        <f t="shared" si="1"/>
        <v>-61.334522999999848</v>
      </c>
      <c r="O24" s="40">
        <f>+[4]제주!$H$92/1000</f>
        <v>-15.815417852166833</v>
      </c>
      <c r="P24" s="41">
        <f>+[4]제주!$I$92/1000</f>
        <v>-52.563020586256307</v>
      </c>
      <c r="Q24" s="42">
        <f t="shared" si="2"/>
        <v>-36.747602734089476</v>
      </c>
      <c r="R24" s="43">
        <f>+[5]제주!$H$92/1000</f>
        <v>20.425296793286712</v>
      </c>
      <c r="S24" s="44">
        <f t="shared" si="3"/>
        <v>-72.98831737954302</v>
      </c>
      <c r="T24" s="40">
        <f>+[15]제주!$H$86/1000</f>
        <v>77.498135793258484</v>
      </c>
      <c r="U24" s="41">
        <f>+[15]제주!$I$86/1000</f>
        <v>-4.8598830000000488</v>
      </c>
      <c r="V24" s="42">
        <f t="shared" si="4"/>
        <v>-82.358018793258537</v>
      </c>
      <c r="W24" s="43">
        <f>+[16]제주!$H$86/1000</f>
        <v>122.23265299999991</v>
      </c>
      <c r="X24" s="44">
        <f t="shared" si="5"/>
        <v>-127.09253599999997</v>
      </c>
      <c r="Y24" s="40">
        <f>+[15]제주!$H$92/1000</f>
        <v>-31.214124526956571</v>
      </c>
      <c r="Z24" s="41">
        <f>+[15]제주!$I$92/1000</f>
        <v>-80.412317947006571</v>
      </c>
      <c r="AA24" s="42">
        <f t="shared" si="6"/>
        <v>-49.198193420050004</v>
      </c>
      <c r="AB24" s="43">
        <f>+[16]제주!$H$92/1000</f>
        <v>24.220916978682435</v>
      </c>
      <c r="AC24" s="44">
        <f t="shared" si="7"/>
        <v>-104.63323492568901</v>
      </c>
    </row>
    <row r="25" spans="2:30" s="6" customFormat="1" ht="22.5" customHeight="1" x14ac:dyDescent="0.3">
      <c r="F25" s="463"/>
      <c r="G25" s="307"/>
      <c r="H25" s="69"/>
      <c r="I25" s="73" t="s">
        <v>42</v>
      </c>
      <c r="J25" s="20">
        <f>SUM(J8:J11)</f>
        <v>-84.225629909244077</v>
      </c>
      <c r="K25" s="17">
        <f>SUM(K8:K11)</f>
        <v>-192.26995100000056</v>
      </c>
      <c r="L25" s="18">
        <f t="shared" si="0"/>
        <v>-108.04432109075648</v>
      </c>
      <c r="M25" s="22">
        <f>SUM(M8:M11)</f>
        <v>126.59635100000031</v>
      </c>
      <c r="N25" s="19">
        <f t="shared" si="1"/>
        <v>-318.86630200000087</v>
      </c>
      <c r="O25" s="20">
        <f>SUM(O8:O11)</f>
        <v>-545.92051553248416</v>
      </c>
      <c r="P25" s="17">
        <f>SUM(P8:P11)</f>
        <v>-932.68282207412585</v>
      </c>
      <c r="Q25" s="18">
        <f t="shared" si="2"/>
        <v>-386.76230654164169</v>
      </c>
      <c r="R25" s="22">
        <f>SUM(R8:R11)</f>
        <v>-298.59886521900444</v>
      </c>
      <c r="S25" s="19">
        <f t="shared" si="3"/>
        <v>-634.08395685512141</v>
      </c>
      <c r="T25" s="20">
        <f>SUM(T8:T11)</f>
        <v>-84.53291819433467</v>
      </c>
      <c r="U25" s="17">
        <f>SUM(U8:U11)</f>
        <v>-208.65942600000193</v>
      </c>
      <c r="V25" s="18">
        <f>+U25-T25</f>
        <v>-124.12650780566726</v>
      </c>
      <c r="W25" s="22">
        <f>SUM(W8:W11)</f>
        <v>-126.3777489999992</v>
      </c>
      <c r="X25" s="19">
        <f>+U25-W25</f>
        <v>-82.28167700000273</v>
      </c>
      <c r="Y25" s="20">
        <f>SUM(Y8:Y11)</f>
        <v>-1197.9291484411308</v>
      </c>
      <c r="Z25" s="17">
        <f>SUM(Z8:Z11)</f>
        <v>-1399.9985510145621</v>
      </c>
      <c r="AA25" s="18">
        <f>+Z25-Y25</f>
        <v>-202.06940257343126</v>
      </c>
      <c r="AB25" s="22">
        <f>SUM(AB8:AB11)</f>
        <v>-1053.6051241512027</v>
      </c>
      <c r="AC25" s="19">
        <f>+Z25-AB25</f>
        <v>-346.39342686335931</v>
      </c>
    </row>
    <row r="26" spans="2:30" s="6" customFormat="1" ht="22.5" customHeight="1" x14ac:dyDescent="0.3">
      <c r="F26" s="463"/>
      <c r="G26" s="304"/>
      <c r="H26" s="69"/>
      <c r="I26" s="73" t="s">
        <v>43</v>
      </c>
      <c r="J26" s="20">
        <f>SUM(J12:J19)</f>
        <v>110.33956724772517</v>
      </c>
      <c r="K26" s="17">
        <f>SUM(K12:K19)</f>
        <v>-51.93485600000021</v>
      </c>
      <c r="L26" s="18">
        <f t="shared" si="0"/>
        <v>-162.27442324772539</v>
      </c>
      <c r="M26" s="22">
        <f>SUM(M12:M19)</f>
        <v>519.31217699999979</v>
      </c>
      <c r="N26" s="19">
        <f t="shared" si="1"/>
        <v>-571.24703299999999</v>
      </c>
      <c r="O26" s="20">
        <f>SUM(O12:O19)</f>
        <v>-514.56143508444598</v>
      </c>
      <c r="P26" s="17">
        <f>SUM(P12:P19)</f>
        <v>-940.07925619905041</v>
      </c>
      <c r="Q26" s="18">
        <f t="shared" si="2"/>
        <v>-425.51782111460443</v>
      </c>
      <c r="R26" s="22">
        <f>SUM(R12:R19)</f>
        <v>-86.760320289718393</v>
      </c>
      <c r="S26" s="19">
        <f t="shared" si="3"/>
        <v>-853.31893590933203</v>
      </c>
      <c r="T26" s="20">
        <f>SUM(T12:T19)</f>
        <v>168.01206250552792</v>
      </c>
      <c r="U26" s="17">
        <f>SUM(U12:U19)</f>
        <v>211.83257099999946</v>
      </c>
      <c r="V26" s="18">
        <f>+U26-T26</f>
        <v>43.82050849447154</v>
      </c>
      <c r="W26" s="22">
        <f>SUM(W12:W19)</f>
        <v>648.07827299999951</v>
      </c>
      <c r="X26" s="19">
        <f>+U26-W26</f>
        <v>-436.24570200000005</v>
      </c>
      <c r="Y26" s="20">
        <f>SUM(Y12:Y19)</f>
        <v>-1326.3303027871261</v>
      </c>
      <c r="Z26" s="17">
        <f>SUM(Z12:Z19)</f>
        <v>-1261.6408319947182</v>
      </c>
      <c r="AA26" s="18">
        <f>+Z26-Y26</f>
        <v>64.689470792407974</v>
      </c>
      <c r="AB26" s="22">
        <f>SUM(AB12:AB19)</f>
        <v>-723.59211666133615</v>
      </c>
      <c r="AC26" s="19">
        <f>+Z26-AB26</f>
        <v>-538.04871533338201</v>
      </c>
    </row>
    <row r="27" spans="2:30" s="6" customFormat="1" ht="22.5" customHeight="1" x14ac:dyDescent="0.3">
      <c r="F27" s="463"/>
      <c r="G27" s="304"/>
      <c r="H27" s="69"/>
      <c r="I27" s="73" t="s">
        <v>104</v>
      </c>
      <c r="J27" s="20">
        <f>SUM(J20:J24)</f>
        <v>-21.592892965266483</v>
      </c>
      <c r="K27" s="17">
        <f>SUM(K20:K24)</f>
        <v>-137.6145350000001</v>
      </c>
      <c r="L27" s="18">
        <f t="shared" si="0"/>
        <v>-116.02164203473362</v>
      </c>
      <c r="M27" s="22">
        <f>SUM(M20:M24)</f>
        <v>296.06411999999978</v>
      </c>
      <c r="N27" s="19">
        <f t="shared" si="1"/>
        <v>-433.67865499999988</v>
      </c>
      <c r="O27" s="20">
        <f>SUM(O20:O24)</f>
        <v>-220.2943829358357</v>
      </c>
      <c r="P27" s="17">
        <f>SUM(P20:P24)</f>
        <v>-471.71612187875593</v>
      </c>
      <c r="Q27" s="18">
        <f t="shared" si="2"/>
        <v>-251.42173894292023</v>
      </c>
      <c r="R27" s="22">
        <f>SUM(R20:R24)</f>
        <v>50.434731694098581</v>
      </c>
      <c r="S27" s="19">
        <f t="shared" si="3"/>
        <v>-522.15085357285454</v>
      </c>
      <c r="T27" s="20">
        <f>SUM(T20:T24)</f>
        <v>-53.810619370743638</v>
      </c>
      <c r="U27" s="17">
        <f>SUM(U20:U24)</f>
        <v>-136.01346499999951</v>
      </c>
      <c r="V27" s="18">
        <f>+U27-T27</f>
        <v>-82.202845629255876</v>
      </c>
      <c r="W27" s="22">
        <f>SUM(W20:W24)</f>
        <v>443.41036499999996</v>
      </c>
      <c r="X27" s="19">
        <f>+U27-W27</f>
        <v>-579.4238299999995</v>
      </c>
      <c r="Y27" s="20">
        <f>SUM(Y20:Y24)</f>
        <v>-513.98800384374874</v>
      </c>
      <c r="Z27" s="17">
        <f>SUM(Z20:Z24)</f>
        <v>-685.28545040356562</v>
      </c>
      <c r="AA27" s="18">
        <f>+Z27-Y27</f>
        <v>-171.29744655981688</v>
      </c>
      <c r="AB27" s="22">
        <f>SUM(AB20:AB24)</f>
        <v>-171.77995713493951</v>
      </c>
      <c r="AC27" s="19">
        <f>+Z27-AB27</f>
        <v>-513.50549326862608</v>
      </c>
    </row>
    <row r="28" spans="2:30" s="1" customFormat="1" ht="22.5" customHeight="1" x14ac:dyDescent="0.3">
      <c r="B28" s="23"/>
      <c r="F28" s="452"/>
      <c r="G28" s="306"/>
      <c r="H28" s="501" t="s">
        <v>93</v>
      </c>
      <c r="I28" s="502"/>
      <c r="J28" s="503">
        <f>SUM(J25:J27)</f>
        <v>4.5210443732146111</v>
      </c>
      <c r="K28" s="504">
        <f>SUM(K25:K27)</f>
        <v>-381.81934200000086</v>
      </c>
      <c r="L28" s="505">
        <f t="shared" si="0"/>
        <v>-386.34038637321549</v>
      </c>
      <c r="M28" s="506">
        <f>SUM(M25:M27)</f>
        <v>941.97264799999994</v>
      </c>
      <c r="N28" s="507">
        <f t="shared" si="1"/>
        <v>-1323.7919900000009</v>
      </c>
      <c r="O28" s="503">
        <f>SUM(O25:O27)</f>
        <v>-1280.7763335527659</v>
      </c>
      <c r="P28" s="504">
        <f>SUM(P25:P27)</f>
        <v>-2344.478200151932</v>
      </c>
      <c r="Q28" s="505">
        <f t="shared" si="2"/>
        <v>-1063.7018665991661</v>
      </c>
      <c r="R28" s="506">
        <f>SUM(R25:R27)</f>
        <v>-334.92445381462426</v>
      </c>
      <c r="S28" s="507">
        <f t="shared" si="3"/>
        <v>-2009.5537463373078</v>
      </c>
      <c r="T28" s="503">
        <f>SUM(T25:T27)</f>
        <v>29.668524940449615</v>
      </c>
      <c r="U28" s="504">
        <f>SUM(U25:U27)</f>
        <v>-132.84032000000198</v>
      </c>
      <c r="V28" s="505">
        <f>+U28-T28</f>
        <v>-162.50884494045158</v>
      </c>
      <c r="W28" s="506">
        <f>SUM(W25:W27)</f>
        <v>965.11088900000027</v>
      </c>
      <c r="X28" s="507">
        <f>+U28-W28</f>
        <v>-1097.9512090000023</v>
      </c>
      <c r="Y28" s="503">
        <f>SUM(Y25:Y27)</f>
        <v>-3038.2474550720053</v>
      </c>
      <c r="Z28" s="504">
        <f>SUM(Z25:Z27)</f>
        <v>-3346.9248334128461</v>
      </c>
      <c r="AA28" s="505">
        <f>+Z28-Y28</f>
        <v>-308.67737834084073</v>
      </c>
      <c r="AB28" s="506">
        <f>SUM(AB25:AB27)</f>
        <v>-1948.9771979474783</v>
      </c>
      <c r="AC28" s="507">
        <f>+Z28-AB28</f>
        <v>-1397.9476354653677</v>
      </c>
      <c r="AD28" s="23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Q80"/>
  <sheetViews>
    <sheetView showGridLines="0" showZeros="0" tabSelected="1" topLeftCell="F19" zoomScale="85" zoomScaleNormal="85" zoomScaleSheetLayoutView="85" workbookViewId="0">
      <selection activeCell="AG38" sqref="AG38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3" ht="18" customHeight="1" x14ac:dyDescent="0.3">
      <c r="H1" s="2"/>
      <c r="K1" s="4"/>
      <c r="L1" s="4"/>
      <c r="P1" s="4"/>
      <c r="Q1" s="4"/>
    </row>
    <row r="2" spans="1:43" ht="18" customHeight="1" x14ac:dyDescent="0.3">
      <c r="H2" s="5"/>
      <c r="AD2" s="3"/>
      <c r="AG2" s="3"/>
    </row>
    <row r="3" spans="1:43" ht="26.25" x14ac:dyDescent="0.3">
      <c r="H3" s="2" t="s">
        <v>186</v>
      </c>
      <c r="AD3" s="3"/>
      <c r="AG3" s="3"/>
    </row>
    <row r="4" spans="1:43" ht="18" customHeight="1" x14ac:dyDescent="0.3">
      <c r="H4" s="5"/>
      <c r="AD4" s="3"/>
      <c r="AG4" s="3" t="s">
        <v>76</v>
      </c>
    </row>
    <row r="5" spans="1:43" s="6" customFormat="1" ht="19.5" customHeight="1" x14ac:dyDescent="0.3">
      <c r="G5" s="304"/>
      <c r="H5" s="688" t="s">
        <v>35</v>
      </c>
      <c r="I5" s="689"/>
      <c r="J5" s="145" t="s">
        <v>51</v>
      </c>
      <c r="K5" s="146"/>
      <c r="L5" s="146"/>
      <c r="M5" s="146"/>
      <c r="N5" s="147"/>
      <c r="O5" s="145" t="s">
        <v>52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I5" s="636" t="s">
        <v>208</v>
      </c>
      <c r="AJ5" s="636"/>
      <c r="AK5" s="636"/>
      <c r="AL5" s="636"/>
    </row>
    <row r="6" spans="1:43" s="6" customFormat="1" ht="19.5" customHeight="1" x14ac:dyDescent="0.3">
      <c r="A6" s="6" t="s">
        <v>187</v>
      </c>
      <c r="G6" s="304"/>
      <c r="H6" s="690"/>
      <c r="I6" s="687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I6" s="608" t="s">
        <v>209</v>
      </c>
      <c r="AJ6" s="608" t="s">
        <v>36</v>
      </c>
      <c r="AK6" s="608" t="s">
        <v>210</v>
      </c>
      <c r="AL6" s="608" t="s">
        <v>38</v>
      </c>
      <c r="AO6" s="661" t="s">
        <v>198</v>
      </c>
      <c r="AP6" s="661" t="s">
        <v>38</v>
      </c>
    </row>
    <row r="7" spans="1:43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+IFERROR(HLOOKUP($B7,'[1]2월'!$D$6:$BN$259,2,),)/1000</f>
        <v>28</v>
      </c>
      <c r="K7" s="31">
        <f>+IFERROR(HLOOKUP($B7,'[2]2월'!$F$6:$CP$99,2,),)/1000</f>
        <v>29.129000000000001</v>
      </c>
      <c r="L7" s="32">
        <f t="shared" ref="L7:L26" si="0">+K7-J7</f>
        <v>1.1290000000000013</v>
      </c>
      <c r="M7" s="33">
        <f>+IFERROR(HLOOKUP($B7,'[3]2월'!$F$6:$CC$57,2,),)/1000</f>
        <v>34.905000000000001</v>
      </c>
      <c r="N7" s="34">
        <f>+K7-M7</f>
        <v>-5.7759999999999998</v>
      </c>
      <c r="O7" s="30">
        <f>+IFERROR(HLOOKUP($B7,'[1]2월'!$D$6:$BN$259,3,),)/1000</f>
        <v>2733.6666869999995</v>
      </c>
      <c r="P7" s="31">
        <f>+IFERROR(HLOOKUP($B7,'[2]2월'!$F$6:$CP$99,3,),)/1000</f>
        <v>3045.1152670000001</v>
      </c>
      <c r="Q7" s="32">
        <f>+P7-O7</f>
        <v>311.44858000000067</v>
      </c>
      <c r="R7" s="33">
        <f>+IFERROR(HLOOKUP($B7,'[3]2월'!$F$6:$CC$57,3,),)/1000</f>
        <v>3382.0325330000005</v>
      </c>
      <c r="S7" s="34">
        <f>+P7-R7</f>
        <v>-336.91726600000038</v>
      </c>
      <c r="T7" s="30">
        <f>+IFERROR(HLOOKUP($B7,'[1]2월'!$D$6:$BN$259,16,),)/1000</f>
        <v>111.30885866837716</v>
      </c>
      <c r="U7" s="31">
        <f>+IFERROR(HLOOKUP($B7,'[2]2월'!$F$6:$CP$99,16,),)/1000</f>
        <v>153.40702300000007</v>
      </c>
      <c r="V7" s="35">
        <f>+U7-T7</f>
        <v>42.098164331622911</v>
      </c>
      <c r="W7" s="36">
        <f>+IFERROR(HLOOKUP($B7,'[3]2월'!$F$6:$CC$57,16,),)/1000</f>
        <v>265.58445900000044</v>
      </c>
      <c r="X7" s="34">
        <f>+U7-W7</f>
        <v>-112.17743600000037</v>
      </c>
      <c r="Y7" s="30">
        <f>+[4]안양!$Q$85</f>
        <v>97630.95310714285</v>
      </c>
      <c r="Z7" s="31">
        <f>+[4]안양!$R$85</f>
        <v>104538.95660681794</v>
      </c>
      <c r="AA7" s="37">
        <f>+[5]안양!$Q$85</f>
        <v>96859.207213209738</v>
      </c>
      <c r="AB7" s="38">
        <f>+[4]안양!$Q$89</f>
        <v>81756.360397756362</v>
      </c>
      <c r="AC7" s="31">
        <f>+[4]안양!$R$89</f>
        <v>86705.368972026772</v>
      </c>
      <c r="AD7" s="39">
        <f>+[5]안양!$Q$89</f>
        <v>80767.793482039386</v>
      </c>
      <c r="AE7" s="38">
        <f>+Y7-AB7</f>
        <v>15874.592709386488</v>
      </c>
      <c r="AF7" s="31">
        <f>+Z7-AC7</f>
        <v>17833.587634791169</v>
      </c>
      <c r="AG7" s="39">
        <f>+AA7-AD7</f>
        <v>16091.413731170353</v>
      </c>
      <c r="AH7" s="15"/>
      <c r="AI7" s="637" t="str">
        <f t="shared" ref="AI7:AI26" si="1">+I7</f>
        <v>안양</v>
      </c>
      <c r="AJ7" s="463">
        <f t="shared" ref="AJ7:AJ27" si="2">+J7/$J$27</f>
        <v>0.15819226914380694</v>
      </c>
      <c r="AK7" s="463">
        <f t="shared" ref="AK7:AK27" si="3">+K7/$K$27</f>
        <v>0.17133798798887118</v>
      </c>
      <c r="AL7" s="463">
        <f>+AK7-AJ7</f>
        <v>1.3145718845064241E-2</v>
      </c>
      <c r="AM7" s="453">
        <f t="shared" ref="AM7:AM26" si="4">+Y7*AL7</f>
        <v>1283.429060122151</v>
      </c>
      <c r="AO7" s="463">
        <f>+[17]안양!$T$5/[17]합계!$T$5</f>
        <v>0.17523229834119253</v>
      </c>
      <c r="AP7" s="463">
        <f>+AK7-AO7</f>
        <v>-3.8943103523213507E-3</v>
      </c>
      <c r="AQ7" s="453">
        <f>+[17]안양!$Q$85*AP7</f>
        <v>-421.10097107369887</v>
      </c>
    </row>
    <row r="8" spans="1:43" s="6" customFormat="1" ht="22.5" customHeight="1" x14ac:dyDescent="0.3">
      <c r="B8" s="6" t="s">
        <v>19</v>
      </c>
      <c r="G8" s="306" t="str">
        <f t="shared" ref="G8:G26" si="5">+I8</f>
        <v>인천</v>
      </c>
      <c r="H8" s="69" t="s">
        <v>41</v>
      </c>
      <c r="I8" s="70" t="s">
        <v>19</v>
      </c>
      <c r="J8" s="40">
        <f>+IFERROR(HLOOKUP($B8,'[1]2월'!$D$6:$BN$259,2,),)/1000</f>
        <v>21.999999999999996</v>
      </c>
      <c r="K8" s="41">
        <f>+IFERROR(HLOOKUP($B8,'[2]2월'!$F$6:$CP$99,2,),)/1000</f>
        <v>21.471</v>
      </c>
      <c r="L8" s="42">
        <f t="shared" si="0"/>
        <v>-0.52899999999999636</v>
      </c>
      <c r="M8" s="43">
        <f>+IFERROR(HLOOKUP($B8,'[3]2월'!$F$6:$CC$57,2,),)/1000</f>
        <v>21.484999999999999</v>
      </c>
      <c r="N8" s="44">
        <f t="shared" ref="N8:N26" si="6">+K8-M8</f>
        <v>-1.3999999999999346E-2</v>
      </c>
      <c r="O8" s="40">
        <f>+IFERROR(HLOOKUP($B8,'[1]2월'!$D$6:$BN$259,3,),)/1000</f>
        <v>2198.5032326195333</v>
      </c>
      <c r="P8" s="41">
        <f>+IFERROR(HLOOKUP($B8,'[2]2월'!$F$6:$CP$99,3,),)/1000</f>
        <v>2218.7797059999998</v>
      </c>
      <c r="Q8" s="42">
        <f t="shared" ref="Q8:Q26" si="7">+P8-O8</f>
        <v>20.276473380466541</v>
      </c>
      <c r="R8" s="43">
        <f>+IFERROR(HLOOKUP($B8,'[3]2월'!$F$6:$CC$57,3,),)/1000</f>
        <v>2095.0919100000001</v>
      </c>
      <c r="S8" s="44">
        <f t="shared" ref="S8:S26" si="8">+P8-R8</f>
        <v>123.68779599999971</v>
      </c>
      <c r="T8" s="40">
        <f>+IFERROR(HLOOKUP($B8,'[1]2월'!$D$6:$BN$259,16,),)/1000</f>
        <v>-35.878111800606568</v>
      </c>
      <c r="U8" s="41">
        <f>+IFERROR(HLOOKUP($B8,'[2]2월'!$F$6:$CP$99,16,),)/1000</f>
        <v>-78.239109000000667</v>
      </c>
      <c r="V8" s="42">
        <f t="shared" ref="V8:V26" si="9">+U8-T8</f>
        <v>-42.360997199394099</v>
      </c>
      <c r="W8" s="43">
        <f>+IFERROR(HLOOKUP($B8,'[3]2월'!$F$6:$CC$57,16,),)/1000</f>
        <v>-49.380360000000167</v>
      </c>
      <c r="X8" s="44">
        <f t="shared" ref="X8:X26" si="10">+U8-W8</f>
        <v>-28.8587490000005</v>
      </c>
      <c r="Y8" s="40">
        <f>+[4]인천!$Q$85</f>
        <v>99931.965119069719</v>
      </c>
      <c r="Z8" s="41">
        <f>+[4]인천!$R$85</f>
        <v>103435.4711479867</v>
      </c>
      <c r="AA8" s="45">
        <f>+[5]인천!$Q$85</f>
        <v>97514.16848964394</v>
      </c>
      <c r="AB8" s="46">
        <f>+[4]인천!$Q$89</f>
        <v>87676.920175662963</v>
      </c>
      <c r="AC8" s="41">
        <f>+[4]인천!$R$89</f>
        <v>89863.360568133867</v>
      </c>
      <c r="AD8" s="47">
        <f>+[5]인천!$Q$89</f>
        <v>86203.914219222715</v>
      </c>
      <c r="AE8" s="46">
        <f t="shared" ref="AE8:AE27" si="11">+Y8-AB8</f>
        <v>12255.044943406756</v>
      </c>
      <c r="AF8" s="41">
        <f t="shared" ref="AF8:AF27" si="12">+Z8-AC8</f>
        <v>13572.11057985283</v>
      </c>
      <c r="AG8" s="47">
        <f t="shared" ref="AG8:AG27" si="13">+AA8-AD8</f>
        <v>11310.254270421225</v>
      </c>
      <c r="AH8" s="15"/>
      <c r="AI8" s="638" t="str">
        <f t="shared" si="1"/>
        <v>인천</v>
      </c>
      <c r="AJ8" s="463">
        <f t="shared" si="2"/>
        <v>0.1242939257558483</v>
      </c>
      <c r="AK8" s="463">
        <f t="shared" si="3"/>
        <v>0.12629331388338264</v>
      </c>
      <c r="AL8" s="463">
        <f t="shared" ref="AL8:AL27" si="14">+AK8-AJ8</f>
        <v>1.999388127534335E-3</v>
      </c>
      <c r="AM8" s="453">
        <f t="shared" si="4"/>
        <v>199.80278462024327</v>
      </c>
      <c r="AO8" s="463">
        <f>+[17]인천!$T$5/[17]합계!$T$5</f>
        <v>0.12417066724203031</v>
      </c>
      <c r="AP8" s="463">
        <f t="shared" ref="AP8:AP27" si="15">+AK8-AO8</f>
        <v>2.1226466413523243E-3</v>
      </c>
      <c r="AQ8" s="453">
        <f>+[17]인천!$Q$85*AP8</f>
        <v>215.73949540957429</v>
      </c>
    </row>
    <row r="9" spans="1:43" s="6" customFormat="1" ht="22.5" customHeight="1" x14ac:dyDescent="0.3">
      <c r="B9" s="6" t="s">
        <v>20</v>
      </c>
      <c r="G9" s="306" t="str">
        <f t="shared" si="5"/>
        <v>파주</v>
      </c>
      <c r="H9" s="69"/>
      <c r="I9" s="70" t="s">
        <v>20</v>
      </c>
      <c r="J9" s="40">
        <f>+IFERROR(HLOOKUP($B9,'[1]2월'!$D$6:$BN$259,2,),)/1000</f>
        <v>9</v>
      </c>
      <c r="K9" s="41">
        <f>+IFERROR(HLOOKUP($B9,'[2]2월'!$F$6:$CP$99,2,),)/1000</f>
        <v>8.4749999999999996</v>
      </c>
      <c r="L9" s="42">
        <f t="shared" si="0"/>
        <v>-0.52500000000000036</v>
      </c>
      <c r="M9" s="43">
        <f>+IFERROR(HLOOKUP($B9,'[3]2월'!$F$6:$CC$57,2,),)/1000</f>
        <v>10.445</v>
      </c>
      <c r="N9" s="44">
        <f t="shared" si="6"/>
        <v>-1.9700000000000006</v>
      </c>
      <c r="O9" s="40">
        <f>+IFERROR(HLOOKUP($B9,'[1]2월'!$D$6:$BN$259,3,),)/1000</f>
        <v>844.86147630000005</v>
      </c>
      <c r="P9" s="41">
        <f>+IFERROR(HLOOKUP($B9,'[2]2월'!$F$6:$CP$99,3,),)/1000</f>
        <v>828.12900000000002</v>
      </c>
      <c r="Q9" s="42">
        <f t="shared" si="7"/>
        <v>-16.73247630000003</v>
      </c>
      <c r="R9" s="43">
        <f>+IFERROR(HLOOKUP($B9,'[3]2월'!$F$6:$CC$57,3,),)/1000</f>
        <v>1017.4518</v>
      </c>
      <c r="S9" s="44">
        <f t="shared" si="8"/>
        <v>-189.32280000000003</v>
      </c>
      <c r="T9" s="40">
        <f>+IFERROR(HLOOKUP($B9,'[1]2월'!$D$6:$BN$259,16,),)/1000</f>
        <v>-120.66918984187414</v>
      </c>
      <c r="U9" s="41">
        <f>+IFERROR(HLOOKUP($B9,'[2]2월'!$F$6:$CP$99,16,),)/1000</f>
        <v>-146.03662099999994</v>
      </c>
      <c r="V9" s="42">
        <f t="shared" si="9"/>
        <v>-25.367431158125797</v>
      </c>
      <c r="W9" s="43">
        <f>+IFERROR(HLOOKUP($B9,'[3]2월'!$F$6:$CC$57,16,),)/1000</f>
        <v>-42.738867999999918</v>
      </c>
      <c r="X9" s="44">
        <f t="shared" si="10"/>
        <v>-103.29775300000003</v>
      </c>
      <c r="Y9" s="40">
        <f>+[4]파주!$Q$85</f>
        <v>93873.497366666677</v>
      </c>
      <c r="Z9" s="41">
        <f>+[4]파주!$R$85</f>
        <v>97714.336283185839</v>
      </c>
      <c r="AA9" s="45">
        <f>+[5]파주!$Q$85</f>
        <v>97410.416467209201</v>
      </c>
      <c r="AB9" s="46">
        <f>+[4]파주!$Q$89</f>
        <v>81194.056775023069</v>
      </c>
      <c r="AC9" s="41">
        <f>+[4]파주!$R$89</f>
        <v>88151.277168141576</v>
      </c>
      <c r="AD9" s="47">
        <f>+[5]파주!$Q$89</f>
        <v>80870.415797032081</v>
      </c>
      <c r="AE9" s="46">
        <f t="shared" si="11"/>
        <v>12679.440591643608</v>
      </c>
      <c r="AF9" s="41">
        <f t="shared" si="12"/>
        <v>9563.0591150442633</v>
      </c>
      <c r="AG9" s="47">
        <f t="shared" si="13"/>
        <v>16540.00067017712</v>
      </c>
      <c r="AH9" s="15"/>
      <c r="AI9" s="638" t="str">
        <f t="shared" si="1"/>
        <v>파주</v>
      </c>
      <c r="AJ9" s="463">
        <f t="shared" si="2"/>
        <v>5.0847515081937945E-2</v>
      </c>
      <c r="AK9" s="463">
        <f t="shared" si="3"/>
        <v>4.9850302042833021E-2</v>
      </c>
      <c r="AL9" s="463">
        <f t="shared" si="14"/>
        <v>-9.9721303910492443E-4</v>
      </c>
      <c r="AM9" s="453">
        <f t="shared" si="4"/>
        <v>-93.611875600421797</v>
      </c>
      <c r="AO9" s="463">
        <f>+[17]파주!$T$5/[17]합계!$T$5</f>
        <v>4.2300583975176088E-2</v>
      </c>
      <c r="AP9" s="463">
        <f t="shared" si="15"/>
        <v>7.5497180676569325E-3</v>
      </c>
      <c r="AQ9" s="453">
        <f>+[17]파주!$Q$85*AP9</f>
        <v>759.75840155680271</v>
      </c>
    </row>
    <row r="10" spans="1:43" s="6" customFormat="1" ht="22.5" customHeight="1" x14ac:dyDescent="0.3">
      <c r="B10" s="6" t="s">
        <v>107</v>
      </c>
      <c r="G10" s="306" t="str">
        <f t="shared" si="5"/>
        <v>김포</v>
      </c>
      <c r="H10" s="69"/>
      <c r="I10" s="70" t="s">
        <v>106</v>
      </c>
      <c r="J10" s="40">
        <f>+IFERROR(HLOOKUP($B10,'[1]2월'!$D$6:$BN$259,2,),)/1000</f>
        <v>8</v>
      </c>
      <c r="K10" s="41">
        <f>+IFERROR(HLOOKUP($B10,'[2]2월'!$F$6:$CP$99,2,),)/1000</f>
        <v>7.6920000000000002</v>
      </c>
      <c r="L10" s="42">
        <f t="shared" si="0"/>
        <v>-0.30799999999999983</v>
      </c>
      <c r="M10" s="43">
        <f>+IFERROR(HLOOKUP($B10,'[3]2월'!$F$6:$CC$57,2,),)/1000</f>
        <v>7.4044999999999996</v>
      </c>
      <c r="N10" s="44">
        <f t="shared" si="6"/>
        <v>0.28750000000000053</v>
      </c>
      <c r="O10" s="40">
        <f>+IFERROR(HLOOKUP($B10,'[1]2월'!$D$6:$BN$259,3,),)/1000</f>
        <v>805.52917260000015</v>
      </c>
      <c r="P10" s="41">
        <f>+IFERROR(HLOOKUP($B10,'[2]2월'!$F$6:$CP$99,3,),)/1000</f>
        <v>753.17806700000006</v>
      </c>
      <c r="Q10" s="42">
        <f t="shared" si="7"/>
        <v>-52.351105600000096</v>
      </c>
      <c r="R10" s="43">
        <f>+IFERROR(HLOOKUP($B10,'[3]2월'!$F$6:$CC$57,3,),)/1000</f>
        <v>704.99123600000007</v>
      </c>
      <c r="S10" s="44">
        <f t="shared" si="8"/>
        <v>48.186830999999984</v>
      </c>
      <c r="T10" s="40">
        <f>+IFERROR(HLOOKUP($B10,'[1]2월'!$D$6:$BN$259,16,),)/1000</f>
        <v>-38.987186935140521</v>
      </c>
      <c r="U10" s="41">
        <f>+IFERROR(HLOOKUP($B10,'[2]2월'!$F$6:$CP$99,16,),)/1000</f>
        <v>-121.40124400000003</v>
      </c>
      <c r="V10" s="42">
        <f t="shared" si="9"/>
        <v>-82.41405706485952</v>
      </c>
      <c r="W10" s="43">
        <f>+IFERROR(HLOOKUP($B10,'[3]2월'!$F$6:$CC$57,16,),)/1000</f>
        <v>-46.86888000000004</v>
      </c>
      <c r="X10" s="44">
        <f t="shared" si="10"/>
        <v>-74.532364000000001</v>
      </c>
      <c r="Y10" s="40">
        <f>+[4]김포!$Q$85</f>
        <v>100691.14657500002</v>
      </c>
      <c r="Z10" s="41">
        <f>+[4]김포!$R$85</f>
        <v>97917.06539261571</v>
      </c>
      <c r="AA10" s="45">
        <f>+[5]김포!$Q$85</f>
        <v>95239.125600270549</v>
      </c>
      <c r="AB10" s="46">
        <f>+[4]김포!$Q$89</f>
        <v>83779.837080781464</v>
      </c>
      <c r="AC10" s="41">
        <f>+[4]김포!$R$89</f>
        <v>87512.934347373899</v>
      </c>
      <c r="AD10" s="47">
        <f>+[5]김포!$Q$89</f>
        <v>79871.523300642555</v>
      </c>
      <c r="AE10" s="46">
        <f t="shared" si="11"/>
        <v>16911.309494218556</v>
      </c>
      <c r="AF10" s="41">
        <f t="shared" si="12"/>
        <v>10404.131045241811</v>
      </c>
      <c r="AG10" s="47">
        <f t="shared" si="13"/>
        <v>15367.602299627993</v>
      </c>
      <c r="AH10" s="15"/>
      <c r="AI10" s="638" t="str">
        <f t="shared" si="1"/>
        <v>김포</v>
      </c>
      <c r="AJ10" s="463">
        <f t="shared" si="2"/>
        <v>4.519779118394484E-2</v>
      </c>
      <c r="AK10" s="463">
        <f t="shared" si="3"/>
        <v>4.5244663517813762E-2</v>
      </c>
      <c r="AL10" s="463">
        <f t="shared" si="14"/>
        <v>4.6872333868921978E-5</v>
      </c>
      <c r="AM10" s="453">
        <f t="shared" si="4"/>
        <v>4.7196290399079608</v>
      </c>
      <c r="AO10" s="463">
        <f>+[17]김포!$T$5/[17]합계!$T$5</f>
        <v>3.7678748356948795E-2</v>
      </c>
      <c r="AP10" s="463">
        <f t="shared" si="15"/>
        <v>7.5659151608649666E-3</v>
      </c>
      <c r="AQ10" s="453">
        <f>+[17]김포!$Q$85*AP10</f>
        <v>743.08415949653488</v>
      </c>
    </row>
    <row r="11" spans="1:43" s="6" customFormat="1" ht="22.5" customHeight="1" x14ac:dyDescent="0.3">
      <c r="B11" s="6" t="s">
        <v>21</v>
      </c>
      <c r="G11" s="304" t="str">
        <f t="shared" si="5"/>
        <v>부산</v>
      </c>
      <c r="H11" s="69"/>
      <c r="I11" s="71" t="s">
        <v>21</v>
      </c>
      <c r="J11" s="57">
        <f>+IFERROR(HLOOKUP($B11,'[1]2월'!$D$6:$BN$259,2,),)/1000</f>
        <v>16</v>
      </c>
      <c r="K11" s="58">
        <f>+IFERROR(HLOOKUP($B11,'[2]2월'!$F$6:$CP$99,2,),)/1000</f>
        <v>19.626000000000001</v>
      </c>
      <c r="L11" s="59">
        <f t="shared" si="0"/>
        <v>3.6260000000000012</v>
      </c>
      <c r="M11" s="60">
        <f>+IFERROR(HLOOKUP($B11,'[3]2월'!$F$6:$CC$57,2,),)/1000</f>
        <v>16.896999999999998</v>
      </c>
      <c r="N11" s="61">
        <f t="shared" si="6"/>
        <v>2.7290000000000028</v>
      </c>
      <c r="O11" s="57">
        <f>+IFERROR(HLOOKUP($B11,'[1]2월'!$D$6:$BN$259,3,),)/1000</f>
        <v>1723.4289567000001</v>
      </c>
      <c r="P11" s="58">
        <f>+IFERROR(HLOOKUP($B11,'[2]2월'!$F$6:$CP$99,3,),)/1000</f>
        <v>2281.76485</v>
      </c>
      <c r="Q11" s="59">
        <f t="shared" si="7"/>
        <v>558.33589329999995</v>
      </c>
      <c r="R11" s="60">
        <f>+IFERROR(HLOOKUP($B11,'[3]2월'!$F$6:$CC$57,3,),)/1000</f>
        <v>1794.1025</v>
      </c>
      <c r="S11" s="61">
        <f t="shared" si="8"/>
        <v>487.66235000000006</v>
      </c>
      <c r="T11" s="57">
        <f>+IFERROR(HLOOKUP($B11,'[1]2월'!$D$6:$BN$259,16,),)/1000</f>
        <v>74.964892438548972</v>
      </c>
      <c r="U11" s="58">
        <f>+IFERROR(HLOOKUP($B11,'[2]2월'!$F$6:$CP$99,16,),)/1000</f>
        <v>207.73550799999992</v>
      </c>
      <c r="V11" s="59">
        <f t="shared" si="9"/>
        <v>132.77061556145094</v>
      </c>
      <c r="W11" s="60">
        <f>+IFERROR(HLOOKUP($B11,'[3]2월'!$F$6:$CC$57,16,),)/1000</f>
        <v>133.31257800000009</v>
      </c>
      <c r="X11" s="61">
        <f t="shared" si="10"/>
        <v>74.422929999999837</v>
      </c>
      <c r="Y11" s="57">
        <f>+[4]부산!$Q$85</f>
        <v>107714.30979375</v>
      </c>
      <c r="Z11" s="58">
        <f>+[4]부산!$R$85</f>
        <v>116262.34841536736</v>
      </c>
      <c r="AA11" s="62">
        <f>+[5]부산!$Q$85</f>
        <v>106178.75954311417</v>
      </c>
      <c r="AB11" s="63">
        <f>+[4]부산!$Q$89</f>
        <v>87368.819677799023</v>
      </c>
      <c r="AC11" s="58">
        <f>+[4]부산!$R$89</f>
        <v>91250.126731866345</v>
      </c>
      <c r="AD11" s="64">
        <f>+[5]부산!$Q$89</f>
        <v>84408.739343777706</v>
      </c>
      <c r="AE11" s="63">
        <f t="shared" si="11"/>
        <v>20345.490115950975</v>
      </c>
      <c r="AF11" s="58">
        <f t="shared" si="12"/>
        <v>25012.221683501019</v>
      </c>
      <c r="AG11" s="64">
        <f t="shared" si="13"/>
        <v>21770.020199336461</v>
      </c>
      <c r="AH11" s="15"/>
      <c r="AI11" s="638" t="str">
        <f t="shared" si="1"/>
        <v>부산</v>
      </c>
      <c r="AJ11" s="463">
        <f t="shared" si="2"/>
        <v>9.0395582367889679E-2</v>
      </c>
      <c r="AK11" s="463">
        <f t="shared" si="3"/>
        <v>0.11544094724396943</v>
      </c>
      <c r="AL11" s="463">
        <f t="shared" si="14"/>
        <v>2.5045364876079751E-2</v>
      </c>
      <c r="AM11" s="453">
        <f t="shared" si="4"/>
        <v>2697.7441911595593</v>
      </c>
      <c r="AO11" s="463">
        <f>+[17]부산!$T$5/[17]합계!$T$5</f>
        <v>0.12243889836787882</v>
      </c>
      <c r="AP11" s="463">
        <f t="shared" si="15"/>
        <v>-6.997951123909385E-3</v>
      </c>
      <c r="AQ11" s="453">
        <f>+[17]부산!$Q$85*AP11</f>
        <v>-833.76832943990973</v>
      </c>
    </row>
    <row r="12" spans="1:43" s="6" customFormat="1" ht="22.5" customHeight="1" x14ac:dyDescent="0.3">
      <c r="B12" s="6" t="s">
        <v>22</v>
      </c>
      <c r="G12" s="304" t="str">
        <f t="shared" si="5"/>
        <v>서부산</v>
      </c>
      <c r="H12" s="69"/>
      <c r="I12" s="70" t="s">
        <v>22</v>
      </c>
      <c r="J12" s="40">
        <f>+IFERROR(HLOOKUP($B12,'[1]2월'!$D$6:$BN$259,2,),)/1000</f>
        <v>16</v>
      </c>
      <c r="K12" s="41">
        <f>+IFERROR(HLOOKUP($B12,'[2]2월'!$F$6:$CP$99,2,),)/1000</f>
        <v>11.794</v>
      </c>
      <c r="L12" s="42">
        <f t="shared" si="0"/>
        <v>-4.2059999999999995</v>
      </c>
      <c r="M12" s="43">
        <f>+IFERROR(HLOOKUP($B12,'[3]2월'!$F$6:$CC$57,2,),)/1000</f>
        <v>17.850000000000001</v>
      </c>
      <c r="N12" s="44">
        <f t="shared" si="6"/>
        <v>-6.0560000000000009</v>
      </c>
      <c r="O12" s="40">
        <f>+IFERROR(HLOOKUP($B12,'[1]2월'!$D$6:$BN$259,3,),)/1000</f>
        <v>1600.6866212000004</v>
      </c>
      <c r="P12" s="41">
        <f>+IFERROR(HLOOKUP($B12,'[2]2월'!$F$6:$CP$99,3,),)/1000</f>
        <v>1207.5535</v>
      </c>
      <c r="Q12" s="42">
        <f t="shared" si="7"/>
        <v>-393.13312120000046</v>
      </c>
      <c r="R12" s="43">
        <f>+IFERROR(HLOOKUP($B12,'[3]2월'!$F$6:$CC$57,3,),)/1000</f>
        <v>1700.7801999999999</v>
      </c>
      <c r="S12" s="44">
        <f t="shared" si="8"/>
        <v>-493.22669999999994</v>
      </c>
      <c r="T12" s="40">
        <f>+IFERROR(HLOOKUP($B12,'[1]2월'!$D$6:$BN$259,16,),)/1000</f>
        <v>118.33250841001413</v>
      </c>
      <c r="U12" s="41">
        <f>+IFERROR(HLOOKUP($B12,'[2]2월'!$F$6:$CP$99,16,),)/1000</f>
        <v>-5.9900169999999049</v>
      </c>
      <c r="V12" s="42">
        <f t="shared" si="9"/>
        <v>-124.32252541001404</v>
      </c>
      <c r="W12" s="43">
        <f>+IFERROR(HLOOKUP($B12,'[3]2월'!$F$6:$CC$57,16,),)/1000</f>
        <v>77.502493999999857</v>
      </c>
      <c r="X12" s="44">
        <f t="shared" si="10"/>
        <v>-83.492510999999766</v>
      </c>
      <c r="Y12" s="40">
        <f>+[4]서부산!$Q$85</f>
        <v>100042.91382500003</v>
      </c>
      <c r="Z12" s="41">
        <f>+[4]서부산!$R$85</f>
        <v>102387.1036120061</v>
      </c>
      <c r="AA12" s="45">
        <f>+[5]서부산!$Q$85</f>
        <v>95281.803921568629</v>
      </c>
      <c r="AB12" s="46">
        <f>+[4]서부산!$Q$89</f>
        <v>79142.507493818586</v>
      </c>
      <c r="AC12" s="41">
        <f>+[4]서부산!$R$89</f>
        <v>81278.707966101691</v>
      </c>
      <c r="AD12" s="47">
        <f>+[5]서부산!$Q$89</f>
        <v>78548.451209826875</v>
      </c>
      <c r="AE12" s="46">
        <f t="shared" si="11"/>
        <v>20900.406331181439</v>
      </c>
      <c r="AF12" s="41">
        <f t="shared" si="12"/>
        <v>21108.395645904413</v>
      </c>
      <c r="AG12" s="47">
        <f t="shared" si="13"/>
        <v>16733.352711741754</v>
      </c>
      <c r="AH12" s="15"/>
      <c r="AI12" s="638" t="str">
        <f t="shared" si="1"/>
        <v>서부산</v>
      </c>
      <c r="AJ12" s="463">
        <f t="shared" si="2"/>
        <v>9.0395582367889679E-2</v>
      </c>
      <c r="AK12" s="463">
        <f t="shared" si="3"/>
        <v>6.9372797910698836E-2</v>
      </c>
      <c r="AL12" s="463">
        <f t="shared" si="14"/>
        <v>-2.1022784457190843E-2</v>
      </c>
      <c r="AM12" s="453">
        <f t="shared" si="4"/>
        <v>-2103.1806138122934</v>
      </c>
      <c r="AO12" s="463">
        <f>+[17]서부산!$T$5/[17]합계!$T$5</f>
        <v>9.3572298511530455E-2</v>
      </c>
      <c r="AP12" s="463">
        <f t="shared" si="15"/>
        <v>-2.4199500600831619E-2</v>
      </c>
      <c r="AQ12" s="453">
        <f>+[17]서부산!$Q$85*AP12</f>
        <v>-2600.4742376838931</v>
      </c>
    </row>
    <row r="13" spans="1:43" s="6" customFormat="1" ht="22.5" customHeight="1" x14ac:dyDescent="0.3">
      <c r="B13" s="6" t="s">
        <v>23</v>
      </c>
      <c r="G13" s="304" t="str">
        <f t="shared" si="5"/>
        <v>김해</v>
      </c>
      <c r="H13" s="69"/>
      <c r="I13" s="70" t="s">
        <v>23</v>
      </c>
      <c r="J13" s="40">
        <f>+IFERROR(HLOOKUP($B13,'[1]2월'!$D$6:$BN$259,2,),)/1000</f>
        <v>7</v>
      </c>
      <c r="K13" s="41">
        <f>+IFERROR(HLOOKUP($B13,'[2]2월'!$F$6:$CP$99,2,),)/1000</f>
        <v>5.282</v>
      </c>
      <c r="L13" s="42">
        <f t="shared" si="0"/>
        <v>-1.718</v>
      </c>
      <c r="M13" s="43">
        <f>+IFERROR(HLOOKUP($B13,'[3]2월'!$F$6:$CC$57,2,),)/1000</f>
        <v>4.58</v>
      </c>
      <c r="N13" s="44">
        <f t="shared" si="6"/>
        <v>0.70199999999999996</v>
      </c>
      <c r="O13" s="40">
        <f>+IFERROR(HLOOKUP($B13,'[1]2월'!$D$6:$BN$259,3,),)/1000</f>
        <v>684.93896831999996</v>
      </c>
      <c r="P13" s="41">
        <f>+IFERROR(HLOOKUP($B13,'[2]2월'!$F$6:$CP$99,3,),)/1000</f>
        <v>541.18169999999998</v>
      </c>
      <c r="Q13" s="42">
        <f t="shared" si="7"/>
        <v>-143.75726831999998</v>
      </c>
      <c r="R13" s="43">
        <f>+IFERROR(HLOOKUP($B13,'[3]2월'!$F$6:$CC$57,3,),)/1000</f>
        <v>453.45299999999997</v>
      </c>
      <c r="S13" s="44">
        <f t="shared" si="8"/>
        <v>87.728700000000003</v>
      </c>
      <c r="T13" s="40">
        <f>+IFERROR(HLOOKUP($B13,'[1]2월'!$D$6:$BN$259,16,),)/1000</f>
        <v>-14.534889609526589</v>
      </c>
      <c r="U13" s="41">
        <f>+IFERROR(HLOOKUP($B13,'[2]2월'!$F$6:$CP$99,16,),)/1000</f>
        <v>-36.280646000000019</v>
      </c>
      <c r="V13" s="42">
        <f t="shared" si="9"/>
        <v>-21.745756390473431</v>
      </c>
      <c r="W13" s="43">
        <f>+IFERROR(HLOOKUP($B13,'[3]2월'!$F$6:$CC$57,16,),)/1000</f>
        <v>-73.487828000000036</v>
      </c>
      <c r="X13" s="44">
        <f t="shared" si="10"/>
        <v>37.207182000000017</v>
      </c>
      <c r="Y13" s="40">
        <f>+[4]김해!$Q$85</f>
        <v>97848.424045714288</v>
      </c>
      <c r="Z13" s="41">
        <f>+[4]김해!$R$85</f>
        <v>102457.72434683831</v>
      </c>
      <c r="AA13" s="45">
        <f>+[5]김해!$Q$85</f>
        <v>99140.018005851904</v>
      </c>
      <c r="AB13" s="46">
        <f>+[4]김해!$Q$89</f>
        <v>80075.456958186347</v>
      </c>
      <c r="AC13" s="41">
        <f>+[4]김해!$R$89</f>
        <v>79308.16395304809</v>
      </c>
      <c r="AD13" s="47">
        <f>+[5]김해!$Q$89</f>
        <v>83284.995948683325</v>
      </c>
      <c r="AE13" s="46">
        <f t="shared" si="11"/>
        <v>17772.967087527941</v>
      </c>
      <c r="AF13" s="41">
        <f t="shared" si="12"/>
        <v>23149.56039379022</v>
      </c>
      <c r="AG13" s="47">
        <f t="shared" si="13"/>
        <v>15855.022057168579</v>
      </c>
      <c r="AH13" s="15"/>
      <c r="AI13" s="638" t="str">
        <f t="shared" si="1"/>
        <v>김해</v>
      </c>
      <c r="AJ13" s="463">
        <f t="shared" si="2"/>
        <v>3.9548067285951734E-2</v>
      </c>
      <c r="AK13" s="463">
        <f t="shared" si="3"/>
        <v>3.1068943408878349E-2</v>
      </c>
      <c r="AL13" s="463">
        <f t="shared" si="14"/>
        <v>-8.4791238770733843E-3</v>
      </c>
      <c r="AM13" s="453">
        <f t="shared" si="4"/>
        <v>-829.66890866001745</v>
      </c>
      <c r="AO13" s="463">
        <f>+[17]김해!$T$5/[17]합계!$T$5</f>
        <v>2.5823228982429645E-2</v>
      </c>
      <c r="AP13" s="463">
        <f t="shared" si="15"/>
        <v>5.2457144264487048E-3</v>
      </c>
      <c r="AQ13" s="453">
        <f>+[17]김해!$Q$85*AP13</f>
        <v>470.09236843544841</v>
      </c>
    </row>
    <row r="14" spans="1:43" s="6" customFormat="1" ht="22.5" customHeight="1" x14ac:dyDescent="0.3">
      <c r="B14" s="6" t="s">
        <v>24</v>
      </c>
      <c r="G14" s="304" t="str">
        <f t="shared" si="5"/>
        <v>정관</v>
      </c>
      <c r="H14" s="69"/>
      <c r="I14" s="70" t="s">
        <v>24</v>
      </c>
      <c r="J14" s="40">
        <f>+IFERROR(HLOOKUP($B14,'[1]2월'!$D$6:$BN$259,2,),)/1000</f>
        <v>18</v>
      </c>
      <c r="K14" s="41">
        <f>+IFERROR(HLOOKUP($B14,'[2]2월'!$F$6:$CP$99,2,),)/1000</f>
        <v>10.532</v>
      </c>
      <c r="L14" s="42">
        <f t="shared" si="0"/>
        <v>-7.468</v>
      </c>
      <c r="M14" s="43">
        <f>+IFERROR(HLOOKUP($B14,'[3]2월'!$F$6:$CC$57,2,),)/1000</f>
        <v>18.366</v>
      </c>
      <c r="N14" s="44">
        <f t="shared" si="6"/>
        <v>-7.8339999999999996</v>
      </c>
      <c r="O14" s="40">
        <f>+IFERROR(HLOOKUP($B14,'[1]2월'!$D$6:$BN$259,3,),)/1000</f>
        <v>1797.8066740700001</v>
      </c>
      <c r="P14" s="41">
        <f>+IFERROR(HLOOKUP($B14,'[2]2월'!$F$6:$CP$99,3,),)/1000</f>
        <v>1143.2858999999999</v>
      </c>
      <c r="Q14" s="42">
        <f t="shared" si="7"/>
        <v>-654.52077407000024</v>
      </c>
      <c r="R14" s="43">
        <f>+IFERROR(HLOOKUP($B14,'[3]2월'!$F$6:$CC$57,3,),)/1000</f>
        <v>1908.4608999999998</v>
      </c>
      <c r="S14" s="44">
        <f t="shared" si="8"/>
        <v>-765.17499999999995</v>
      </c>
      <c r="T14" s="40">
        <f>+IFERROR(HLOOKUP($B14,'[1]2월'!$D$6:$BN$259,16,),)/1000</f>
        <v>71.756078305489581</v>
      </c>
      <c r="U14" s="41">
        <f>+IFERROR(HLOOKUP($B14,'[2]2월'!$F$6:$CP$99,16,),)/1000</f>
        <v>-47.580852000000263</v>
      </c>
      <c r="V14" s="42">
        <f t="shared" si="9"/>
        <v>-119.33693030548984</v>
      </c>
      <c r="W14" s="43">
        <f>+IFERROR(HLOOKUP($B14,'[3]2월'!$F$6:$CC$57,16,),)/1000</f>
        <v>150.81139700000003</v>
      </c>
      <c r="X14" s="44">
        <f t="shared" si="10"/>
        <v>-198.39224900000028</v>
      </c>
      <c r="Y14" s="40">
        <f>+[4]정관!$Q$85</f>
        <v>99878.148559444453</v>
      </c>
      <c r="Z14" s="41">
        <f>+[4]정관!$R$85</f>
        <v>108553.54158754273</v>
      </c>
      <c r="AA14" s="45">
        <f>+[5]정관!$Q$85</f>
        <v>103912.71371011651</v>
      </c>
      <c r="AB14" s="46">
        <f>+[4]정관!$Q$89</f>
        <v>84282.857468398754</v>
      </c>
      <c r="AC14" s="41">
        <f>+[4]정관!$R$89</f>
        <v>87864.808393467523</v>
      </c>
      <c r="AD14" s="47">
        <f>+[5]정관!$Q$89</f>
        <v>85082.053940779442</v>
      </c>
      <c r="AE14" s="46">
        <f t="shared" si="11"/>
        <v>15595.291091045699</v>
      </c>
      <c r="AF14" s="41">
        <f t="shared" si="12"/>
        <v>20688.733194075205</v>
      </c>
      <c r="AG14" s="47">
        <f t="shared" si="13"/>
        <v>18830.659769337071</v>
      </c>
      <c r="AH14" s="15"/>
      <c r="AI14" s="638" t="str">
        <f t="shared" si="1"/>
        <v>정관</v>
      </c>
      <c r="AJ14" s="463">
        <f t="shared" si="2"/>
        <v>0.10169503016387589</v>
      </c>
      <c r="AK14" s="463">
        <f t="shared" si="3"/>
        <v>6.1949661488509424E-2</v>
      </c>
      <c r="AL14" s="463">
        <f t="shared" si="14"/>
        <v>-3.9745368675366467E-2</v>
      </c>
      <c r="AM14" s="453">
        <f t="shared" si="4"/>
        <v>-3969.6938371081419</v>
      </c>
      <c r="AO14" s="463">
        <f>+[17]정관!$T$5/[17]합계!$T$5</f>
        <v>5.7284643184637787E-2</v>
      </c>
      <c r="AP14" s="463">
        <f t="shared" si="15"/>
        <v>4.6650183038716361E-3</v>
      </c>
      <c r="AQ14" s="453">
        <f>+[17]정관!$Q$85*AP14</f>
        <v>471.55899875779244</v>
      </c>
    </row>
    <row r="15" spans="1:43" s="6" customFormat="1" ht="22.5" customHeight="1" x14ac:dyDescent="0.3">
      <c r="B15" s="6" t="s">
        <v>25</v>
      </c>
      <c r="G15" s="304" t="str">
        <f t="shared" si="5"/>
        <v>양산</v>
      </c>
      <c r="H15" s="69"/>
      <c r="I15" s="70" t="s">
        <v>25</v>
      </c>
      <c r="J15" s="40">
        <f>+IFERROR(HLOOKUP($B15,'[1]2월'!$D$6:$BN$259,2,),)/1000</f>
        <v>6</v>
      </c>
      <c r="K15" s="41">
        <f>+IFERROR(HLOOKUP($B15,'[2]2월'!$F$6:$CP$99,2,),)/1000</f>
        <v>3.3929999999999998</v>
      </c>
      <c r="L15" s="42">
        <f t="shared" si="0"/>
        <v>-2.6070000000000002</v>
      </c>
      <c r="M15" s="43">
        <f>+IFERROR(HLOOKUP($B15,'[3]2월'!$F$6:$CC$57,2,),)/1000</f>
        <v>8.1880000000000006</v>
      </c>
      <c r="N15" s="44">
        <f t="shared" si="6"/>
        <v>-4.7950000000000008</v>
      </c>
      <c r="O15" s="40">
        <f>+IFERROR(HLOOKUP($B15,'[1]2월'!$D$6:$BN$259,3,),)/1000</f>
        <v>576.63293700000008</v>
      </c>
      <c r="P15" s="41">
        <f>+IFERROR(HLOOKUP($B15,'[2]2월'!$F$6:$CP$99,3,),)/1000</f>
        <v>360.55709999999999</v>
      </c>
      <c r="Q15" s="42">
        <f t="shared" si="7"/>
        <v>-216.07583700000009</v>
      </c>
      <c r="R15" s="43">
        <f>+IFERROR(HLOOKUP($B15,'[3]2월'!$F$6:$CC$57,3,),)/1000</f>
        <v>791.57050000000004</v>
      </c>
      <c r="S15" s="44">
        <f t="shared" si="8"/>
        <v>-431.01340000000005</v>
      </c>
      <c r="T15" s="40">
        <f>+IFERROR(HLOOKUP($B15,'[1]2월'!$D$6:$BN$259,16,),)/1000</f>
        <v>-26.949416812432034</v>
      </c>
      <c r="U15" s="41">
        <f>+IFERROR(HLOOKUP($B15,'[2]2월'!$F$6:$CP$99,16,),)/1000</f>
        <v>-66.233686000000034</v>
      </c>
      <c r="V15" s="42">
        <f t="shared" si="9"/>
        <v>-39.284269187568</v>
      </c>
      <c r="W15" s="43">
        <f>+IFERROR(HLOOKUP($B15,'[3]2월'!$F$6:$CC$57,16,),)/1000</f>
        <v>32.887763999999997</v>
      </c>
      <c r="X15" s="44">
        <f t="shared" si="10"/>
        <v>-99.121450000000038</v>
      </c>
      <c r="Y15" s="40">
        <f>+[4]양산!$Q$85</f>
        <v>96105.489500000011</v>
      </c>
      <c r="Z15" s="41">
        <f>+[4]양산!$R$85</f>
        <v>106264.98673740053</v>
      </c>
      <c r="AA15" s="45">
        <f>+[5]양산!$Q$85</f>
        <v>96674.462628236448</v>
      </c>
      <c r="AB15" s="46">
        <f>+[4]양산!$Q$89</f>
        <v>77253.829135405322</v>
      </c>
      <c r="AC15" s="41">
        <f>+[4]양산!$R$89</f>
        <v>82411.796345417039</v>
      </c>
      <c r="AD15" s="47">
        <f>+[5]양산!$Q$89</f>
        <v>74256.72503052502</v>
      </c>
      <c r="AE15" s="46">
        <f t="shared" si="11"/>
        <v>18851.660364594689</v>
      </c>
      <c r="AF15" s="41">
        <f t="shared" si="12"/>
        <v>23853.190391983488</v>
      </c>
      <c r="AG15" s="47">
        <f t="shared" si="13"/>
        <v>22417.737597711428</v>
      </c>
      <c r="AH15" s="15"/>
      <c r="AI15" s="638" t="str">
        <f t="shared" si="1"/>
        <v>양산</v>
      </c>
      <c r="AJ15" s="463">
        <f t="shared" si="2"/>
        <v>3.3898343387958635E-2</v>
      </c>
      <c r="AK15" s="463">
        <f t="shared" si="3"/>
        <v>1.9957766941750138E-2</v>
      </c>
      <c r="AL15" s="463">
        <f t="shared" si="14"/>
        <v>-1.3940576446208497E-2</v>
      </c>
      <c r="AM15" s="453">
        <f t="shared" si="4"/>
        <v>-1339.7659232750382</v>
      </c>
      <c r="AO15" s="463">
        <f>+[17]양산!$T$5/[17]합계!$T$5</f>
        <v>2.9417359137635879E-2</v>
      </c>
      <c r="AP15" s="463">
        <f t="shared" si="15"/>
        <v>-9.459592195885741E-3</v>
      </c>
      <c r="AQ15" s="453">
        <f>+[17]양산!$Q$85*AP15</f>
        <v>-925.48315539262728</v>
      </c>
    </row>
    <row r="16" spans="1:43" s="6" customFormat="1" ht="22.5" customHeight="1" x14ac:dyDescent="0.3">
      <c r="B16" s="6" t="s">
        <v>26</v>
      </c>
      <c r="G16" s="304" t="str">
        <f t="shared" si="5"/>
        <v>창원</v>
      </c>
      <c r="H16" s="69"/>
      <c r="I16" s="70" t="s">
        <v>26</v>
      </c>
      <c r="J16" s="40">
        <f>+IFERROR(HLOOKUP($B16,'[1]2월'!$D$6:$BN$259,2,),)/1000</f>
        <v>8.4999999999999964</v>
      </c>
      <c r="K16" s="41">
        <f>+IFERROR(HLOOKUP($B16,'[2]2월'!$F$6:$CP$99,2,),)/1000</f>
        <v>9.4339999999999993</v>
      </c>
      <c r="L16" s="42">
        <f t="shared" si="0"/>
        <v>0.93400000000000283</v>
      </c>
      <c r="M16" s="43">
        <f>+IFERROR(HLOOKUP($B16,'[3]2월'!$F$6:$CC$57,2,),)/1000</f>
        <v>10.864000000000001</v>
      </c>
      <c r="N16" s="44">
        <f t="shared" si="6"/>
        <v>-1.4300000000000015</v>
      </c>
      <c r="O16" s="40">
        <f>+IFERROR(HLOOKUP($B16,'[1]2월'!$D$6:$BN$259,3,),)/1000</f>
        <v>834.08789574552566</v>
      </c>
      <c r="P16" s="41">
        <f>+IFERROR(HLOOKUP($B16,'[2]2월'!$F$6:$CP$99,3,),)/1000</f>
        <v>889.22880000000009</v>
      </c>
      <c r="Q16" s="42">
        <f t="shared" si="7"/>
        <v>55.140904254474435</v>
      </c>
      <c r="R16" s="43">
        <f>+IFERROR(HLOOKUP($B16,'[3]2월'!$F$6:$CC$57,3,),)/1000</f>
        <v>1085.9300499999999</v>
      </c>
      <c r="S16" s="44">
        <f t="shared" si="8"/>
        <v>-196.70124999999985</v>
      </c>
      <c r="T16" s="40">
        <f>+IFERROR(HLOOKUP($B16,'[1]2월'!$D$6:$BN$259,16,),)/1000</f>
        <v>-6.3142939279695307</v>
      </c>
      <c r="U16" s="41">
        <f>+IFERROR(HLOOKUP($B16,'[2]2월'!$F$6:$CP$99,16,),)/1000</f>
        <v>-25.872474999999948</v>
      </c>
      <c r="V16" s="42">
        <f t="shared" si="9"/>
        <v>-19.558181072030418</v>
      </c>
      <c r="W16" s="43">
        <f>+IFERROR(HLOOKUP($B16,'[3]2월'!$F$6:$CC$57,16,),)/1000</f>
        <v>108.75022300000013</v>
      </c>
      <c r="X16" s="44">
        <f t="shared" si="10"/>
        <v>-134.62269800000007</v>
      </c>
      <c r="Y16" s="40">
        <f>+[4]창원!$Q$85</f>
        <v>98127.987734767754</v>
      </c>
      <c r="Z16" s="41">
        <f>+[4]창원!$R$85</f>
        <v>94257.875768496931</v>
      </c>
      <c r="AA16" s="45">
        <f>+[5]창원!$Q$85</f>
        <v>99956.742452135499</v>
      </c>
      <c r="AB16" s="46">
        <f>+[4]창원!$Q$89</f>
        <v>79244.476719757615</v>
      </c>
      <c r="AC16" s="41">
        <f>+[4]창원!$R$89</f>
        <v>75692.192707229158</v>
      </c>
      <c r="AD16" s="47">
        <f>+[5]창원!$Q$89</f>
        <v>74426.786818851251</v>
      </c>
      <c r="AE16" s="46">
        <f t="shared" si="11"/>
        <v>18883.511015010139</v>
      </c>
      <c r="AF16" s="41">
        <f t="shared" si="12"/>
        <v>18565.683061267773</v>
      </c>
      <c r="AG16" s="47">
        <f t="shared" si="13"/>
        <v>25529.955633284248</v>
      </c>
      <c r="AH16" s="15"/>
      <c r="AI16" s="638" t="str">
        <f t="shared" si="1"/>
        <v>창원</v>
      </c>
      <c r="AJ16" s="463">
        <f t="shared" si="2"/>
        <v>4.8022653132941372E-2</v>
      </c>
      <c r="AK16" s="463">
        <f t="shared" si="3"/>
        <v>5.5491179878712292E-2</v>
      </c>
      <c r="AL16" s="463">
        <f t="shared" si="14"/>
        <v>7.4685267457709203E-3</v>
      </c>
      <c r="AM16" s="453">
        <f t="shared" si="4"/>
        <v>732.87150090579382</v>
      </c>
      <c r="AO16" s="463">
        <f>+[17]창원!$T$5/[17]합계!$T$5</f>
        <v>4.2584480511922235E-2</v>
      </c>
      <c r="AP16" s="463">
        <f t="shared" si="15"/>
        <v>1.2906699366790057E-2</v>
      </c>
      <c r="AQ16" s="453">
        <f>+[17]창원!$Q$85*AP16</f>
        <v>1309.0616390980319</v>
      </c>
    </row>
    <row r="17" spans="2:43" s="6" customFormat="1" ht="22.5" customHeight="1" x14ac:dyDescent="0.3">
      <c r="B17" s="6" t="s">
        <v>77</v>
      </c>
      <c r="G17" s="304" t="str">
        <f t="shared" si="5"/>
        <v>대구</v>
      </c>
      <c r="H17" s="69"/>
      <c r="I17" s="70" t="s">
        <v>69</v>
      </c>
      <c r="J17" s="40">
        <f>+IFERROR(HLOOKUP($B17,'[1]2월'!$D$6:$BN$259,2,),)/1000</f>
        <v>6.5</v>
      </c>
      <c r="K17" s="41">
        <f>+IFERROR(HLOOKUP($B17,'[2]2월'!$F$6:$CP$99,2,),)/1000</f>
        <v>4.3929999999999998</v>
      </c>
      <c r="L17" s="42">
        <f t="shared" si="0"/>
        <v>-2.1070000000000002</v>
      </c>
      <c r="M17" s="43">
        <f>+IFERROR(HLOOKUP($B17,'[3]2월'!$F$6:$CC$57,2,),)/1000</f>
        <v>9.4339999999999993</v>
      </c>
      <c r="N17" s="44">
        <f t="shared" si="6"/>
        <v>-5.0409999999999995</v>
      </c>
      <c r="O17" s="40">
        <f>+IFERROR(HLOOKUP($B17,'[1]2월'!$D$6:$BN$259,3,),)/1000</f>
        <v>586.52158790700003</v>
      </c>
      <c r="P17" s="41">
        <f>+IFERROR(HLOOKUP($B17,'[2]2월'!$F$6:$CP$99,3,),)/1000</f>
        <v>379.724829</v>
      </c>
      <c r="Q17" s="42">
        <f t="shared" si="7"/>
        <v>-206.79675890700003</v>
      </c>
      <c r="R17" s="43">
        <f>+IFERROR(HLOOKUP($B17,'[3]2월'!$F$6:$CC$57,3,),)/1000</f>
        <v>882.50666899999999</v>
      </c>
      <c r="S17" s="44">
        <f t="shared" si="8"/>
        <v>-502.78183999999999</v>
      </c>
      <c r="T17" s="40">
        <f>+IFERROR(HLOOKUP($B17,'[1]2월'!$D$6:$BN$259,16,),)/1000</f>
        <v>-25.107902103687934</v>
      </c>
      <c r="U17" s="41">
        <f>+IFERROR(HLOOKUP($B17,'[2]2월'!$F$6:$CP$99,16,),)/1000</f>
        <v>-89.101346999999961</v>
      </c>
      <c r="V17" s="42">
        <f t="shared" si="9"/>
        <v>-63.993444896312027</v>
      </c>
      <c r="W17" s="43">
        <f>+IFERROR(HLOOKUP($B17,'[3]2월'!$F$6:$CC$57,16,),)/1000</f>
        <v>11.519028999999902</v>
      </c>
      <c r="X17" s="44">
        <f t="shared" si="10"/>
        <v>-100.62037599999987</v>
      </c>
      <c r="Y17" s="40">
        <f>+[4]대구!$Q$85</f>
        <v>90234.090447230774</v>
      </c>
      <c r="Z17" s="41">
        <f>+[4]대구!$R$85</f>
        <v>86438.61347598453</v>
      </c>
      <c r="AA17" s="45">
        <f>+[5]대구!$Q$85</f>
        <v>93545.332732669063</v>
      </c>
      <c r="AB17" s="46">
        <f>+[4]대구!$Q$89</f>
        <v>73047.935780648782</v>
      </c>
      <c r="AC17" s="41">
        <f>+[4]대구!$R$89</f>
        <v>71234.762349191893</v>
      </c>
      <c r="AD17" s="47">
        <f>+[5]대구!$Q$89</f>
        <v>76356.338986644056</v>
      </c>
      <c r="AE17" s="46">
        <f t="shared" si="11"/>
        <v>17186.154666581991</v>
      </c>
      <c r="AF17" s="41">
        <f t="shared" si="12"/>
        <v>15203.851126792637</v>
      </c>
      <c r="AG17" s="47">
        <f t="shared" si="13"/>
        <v>17188.993746025008</v>
      </c>
      <c r="AH17" s="15"/>
      <c r="AI17" s="638" t="str">
        <f t="shared" si="1"/>
        <v>대구</v>
      </c>
      <c r="AJ17" s="463">
        <f t="shared" si="2"/>
        <v>3.6723205336955188E-2</v>
      </c>
      <c r="AK17" s="463">
        <f t="shared" si="3"/>
        <v>2.5839808480727488E-2</v>
      </c>
      <c r="AL17" s="463">
        <f t="shared" si="14"/>
        <v>-1.08833968562277E-2</v>
      </c>
      <c r="AM17" s="453">
        <f t="shared" si="4"/>
        <v>-982.05341629795737</v>
      </c>
      <c r="AO17" s="463">
        <f>+[17]대구!$T$5/[17]합계!$T$5</f>
        <v>1.532189608818962E-2</v>
      </c>
      <c r="AP17" s="463">
        <f t="shared" si="15"/>
        <v>1.0517912392537868E-2</v>
      </c>
      <c r="AQ17" s="453">
        <f>+[17]대구!$Q$85*AP17</f>
        <v>975.92065141388787</v>
      </c>
    </row>
    <row r="18" spans="2:43" s="6" customFormat="1" ht="22.5" customHeight="1" x14ac:dyDescent="0.3">
      <c r="B18" s="6" t="s">
        <v>78</v>
      </c>
      <c r="G18" s="306" t="str">
        <f t="shared" si="5"/>
        <v>울산</v>
      </c>
      <c r="H18" s="69"/>
      <c r="I18" s="72" t="s">
        <v>70</v>
      </c>
      <c r="J18" s="7">
        <f>+IFERROR(HLOOKUP($B18,'[1]2월'!$D$6:$BN$259,2,),)/1000</f>
        <v>5.5</v>
      </c>
      <c r="K18" s="8">
        <f>+IFERROR(HLOOKUP($B18,'[2]2월'!$F$6:$CP$99,2,),)/1000</f>
        <v>9.4710000000000001</v>
      </c>
      <c r="L18" s="9">
        <f t="shared" si="0"/>
        <v>3.9710000000000001</v>
      </c>
      <c r="M18" s="10">
        <f>+IFERROR(HLOOKUP($B18,'[3]2월'!$F$6:$CC$57,2,),)/1000</f>
        <v>9.7149999999999999</v>
      </c>
      <c r="N18" s="11">
        <f t="shared" si="6"/>
        <v>-0.24399999999999977</v>
      </c>
      <c r="O18" s="7">
        <f>+IFERROR(HLOOKUP($B18,'[1]2월'!$D$6:$BN$259,3,),)/1000</f>
        <v>578.93984610000007</v>
      </c>
      <c r="P18" s="8">
        <f>+IFERROR(HLOOKUP($B18,'[2]2월'!$F$6:$CP$99,3,),)/1000</f>
        <v>1044.54</v>
      </c>
      <c r="Q18" s="9">
        <f t="shared" si="7"/>
        <v>465.6001538999999</v>
      </c>
      <c r="R18" s="10">
        <f>+IFERROR(HLOOKUP($B18,'[3]2월'!$F$6:$CC$57,3,),)/1000</f>
        <v>1047.306</v>
      </c>
      <c r="S18" s="11">
        <f t="shared" si="8"/>
        <v>-2.7660000000000764</v>
      </c>
      <c r="T18" s="7">
        <f>+IFERROR(HLOOKUP($B18,'[1]2월'!$D$6:$BN$259,16,),)/1000</f>
        <v>-81.807409452711397</v>
      </c>
      <c r="U18" s="8">
        <f>+IFERROR(HLOOKUP($B18,'[2]2월'!$F$6:$CP$99,16,),)/1000</f>
        <v>11.388659000000008</v>
      </c>
      <c r="V18" s="9">
        <f t="shared" si="9"/>
        <v>93.196068452711401</v>
      </c>
      <c r="W18" s="10">
        <f>+IFERROR(HLOOKUP($B18,'[3]2월'!$F$6:$CC$57,16,),)/1000</f>
        <v>78.016519999999957</v>
      </c>
      <c r="X18" s="11">
        <f t="shared" si="10"/>
        <v>-66.627860999999953</v>
      </c>
      <c r="Y18" s="7">
        <f>+[4]울산!$Q$85</f>
        <v>105261.79020000002</v>
      </c>
      <c r="Z18" s="8">
        <f>+[4]울산!$R$85</f>
        <v>110288.24833702882</v>
      </c>
      <c r="AA18" s="12">
        <f>+[5]울산!$Q$85</f>
        <v>107802.98507462686</v>
      </c>
      <c r="AB18" s="13">
        <f>+[4]울산!$Q$89</f>
        <v>93506.780969229469</v>
      </c>
      <c r="AC18" s="8">
        <f>+[4]울산!$R$89</f>
        <v>89654.829798459439</v>
      </c>
      <c r="AD18" s="14">
        <f>+[5]울산!$Q$89</f>
        <v>85472.134490907236</v>
      </c>
      <c r="AE18" s="13">
        <f t="shared" si="11"/>
        <v>11755.009230770549</v>
      </c>
      <c r="AF18" s="8">
        <f t="shared" si="12"/>
        <v>20633.418538569385</v>
      </c>
      <c r="AG18" s="14">
        <f t="shared" si="13"/>
        <v>22330.850583719628</v>
      </c>
      <c r="AH18" s="15"/>
      <c r="AI18" s="638" t="str">
        <f t="shared" si="1"/>
        <v>울산</v>
      </c>
      <c r="AJ18" s="463">
        <f t="shared" si="2"/>
        <v>3.1073481438962079E-2</v>
      </c>
      <c r="AK18" s="463">
        <f t="shared" si="3"/>
        <v>5.5708815415654464E-2</v>
      </c>
      <c r="AL18" s="463">
        <f t="shared" si="14"/>
        <v>2.4635333976692386E-2</v>
      </c>
      <c r="AM18" s="453">
        <f t="shared" si="4"/>
        <v>2593.1593565615262</v>
      </c>
      <c r="AO18" s="463">
        <f>+[17]울산!$T$5/[17]합계!$T$5</f>
        <v>5.9902169253437276E-2</v>
      </c>
      <c r="AP18" s="463">
        <f t="shared" si="15"/>
        <v>-4.1933538377828122E-3</v>
      </c>
      <c r="AQ18" s="453">
        <f>+[17]울산!$Q$85*AP18</f>
        <v>-467.64190579865516</v>
      </c>
    </row>
    <row r="19" spans="2:43" s="6" customFormat="1" ht="22.5" customHeight="1" x14ac:dyDescent="0.3">
      <c r="B19" s="6" t="s">
        <v>75</v>
      </c>
      <c r="G19" s="306" t="str">
        <f t="shared" si="5"/>
        <v>아산</v>
      </c>
      <c r="H19" s="69"/>
      <c r="I19" s="70" t="s">
        <v>27</v>
      </c>
      <c r="J19" s="40">
        <f>+IFERROR(HLOOKUP($B19,'[1]2월'!$D$6:$BN$259,2,),)/1000</f>
        <v>10</v>
      </c>
      <c r="K19" s="41">
        <f>+IFERROR(HLOOKUP($B19,'[2]2월'!$F$6:$CP$99,2,),)/1000</f>
        <v>15.898999999999999</v>
      </c>
      <c r="L19" s="42">
        <f t="shared" si="0"/>
        <v>5.8989999999999991</v>
      </c>
      <c r="M19" s="43">
        <f>+IFERROR(HLOOKUP($B19,'[3]2월'!$F$6:$CC$57,2,),)/1000</f>
        <v>17.766999999999999</v>
      </c>
      <c r="N19" s="44">
        <f t="shared" si="6"/>
        <v>-1.8680000000000003</v>
      </c>
      <c r="O19" s="40">
        <f>+IFERROR(HLOOKUP($B19,'[1]2월'!$D$6:$BN$259,3,),)/1000</f>
        <v>987.18315999999993</v>
      </c>
      <c r="P19" s="41">
        <f>+IFERROR(HLOOKUP($B19,'[2]2월'!$F$6:$CP$99,3,),)/1000</f>
        <v>1625.06331</v>
      </c>
      <c r="Q19" s="42">
        <f t="shared" si="7"/>
        <v>637.88015000000007</v>
      </c>
      <c r="R19" s="43">
        <f>+IFERROR(HLOOKUP($B19,'[3]2월'!$F$6:$CC$57,3,),)/1000</f>
        <v>1783.0426</v>
      </c>
      <c r="S19" s="44">
        <f t="shared" si="8"/>
        <v>-157.97928999999999</v>
      </c>
      <c r="T19" s="40">
        <f>+IFERROR(HLOOKUP($B19,'[1]2월'!$D$6:$BN$259,16,),)/1000</f>
        <v>-64.531170365544128</v>
      </c>
      <c r="U19" s="41">
        <f>+IFERROR(HLOOKUP($B19,'[2]2월'!$F$6:$CP$99,16,),)/1000</f>
        <v>-9.2875060000000005</v>
      </c>
      <c r="V19" s="42">
        <f t="shared" si="9"/>
        <v>55.243664365544127</v>
      </c>
      <c r="W19" s="43">
        <f>+IFERROR(HLOOKUP($B19,'[3]2월'!$F$6:$CC$57,16,),)/1000</f>
        <v>71.697308999999976</v>
      </c>
      <c r="X19" s="44">
        <f t="shared" si="10"/>
        <v>-80.984814999999969</v>
      </c>
      <c r="Y19" s="40">
        <f>+[4]아산!$Q$85</f>
        <v>98718.315999999992</v>
      </c>
      <c r="Z19" s="41">
        <f>+[4]아산!$R$85</f>
        <v>102211.66802943581</v>
      </c>
      <c r="AA19" s="45">
        <f>+[5]아산!$Q$85</f>
        <v>100356.98767377723</v>
      </c>
      <c r="AB19" s="46">
        <f>+[4]아산!$Q$89</f>
        <v>80564.170261554391</v>
      </c>
      <c r="AC19" s="41">
        <f>+[4]아산!$R$89</f>
        <v>85417.310962953648</v>
      </c>
      <c r="AD19" s="47">
        <f>+[5]아산!$Q$89</f>
        <v>83852.327500419284</v>
      </c>
      <c r="AE19" s="46">
        <f t="shared" si="11"/>
        <v>18154.145738445601</v>
      </c>
      <c r="AF19" s="41">
        <f t="shared" si="12"/>
        <v>16794.35706648216</v>
      </c>
      <c r="AG19" s="47">
        <f t="shared" si="13"/>
        <v>16504.660173357945</v>
      </c>
      <c r="AH19" s="15"/>
      <c r="AI19" s="638" t="str">
        <f t="shared" si="1"/>
        <v>아산</v>
      </c>
      <c r="AJ19" s="463">
        <f t="shared" si="2"/>
        <v>5.6497238979931051E-2</v>
      </c>
      <c r="AK19" s="463">
        <f t="shared" si="3"/>
        <v>9.3518578428200841E-2</v>
      </c>
      <c r="AL19" s="463">
        <f t="shared" si="14"/>
        <v>3.702133944826979E-2</v>
      </c>
      <c r="AM19" s="453">
        <f t="shared" si="4"/>
        <v>3654.6842863975626</v>
      </c>
      <c r="AO19" s="463">
        <f>+[17]아산!$T$5/[17]합계!$T$5</f>
        <v>8.2347029448587752E-2</v>
      </c>
      <c r="AP19" s="463">
        <f t="shared" si="15"/>
        <v>1.1171548979613088E-2</v>
      </c>
      <c r="AQ19" s="453">
        <f>+[17]아산!$Q$85*AP19</f>
        <v>1160.0072320815138</v>
      </c>
    </row>
    <row r="20" spans="2:43" s="6" customFormat="1" ht="22.5" customHeight="1" x14ac:dyDescent="0.3">
      <c r="B20" s="6" t="s">
        <v>71</v>
      </c>
      <c r="G20" s="306" t="str">
        <f t="shared" si="5"/>
        <v>전주</v>
      </c>
      <c r="H20" s="69"/>
      <c r="I20" s="70" t="s">
        <v>71</v>
      </c>
      <c r="J20" s="40">
        <f>+IFERROR(HLOOKUP($B20,'[1]2월'!$D$6:$BN$259,2,),)/1000</f>
        <v>6</v>
      </c>
      <c r="K20" s="41">
        <f>+IFERROR(HLOOKUP($B20,'[2]2월'!$F$6:$CP$99,2,),)/1000</f>
        <v>6.7229999999999999</v>
      </c>
      <c r="L20" s="42">
        <f t="shared" si="0"/>
        <v>0.72299999999999986</v>
      </c>
      <c r="M20" s="43">
        <f>+IFERROR(HLOOKUP($B20,'[3]2월'!$F$6:$CC$57,2,),)/1000</f>
        <v>13.076499999999999</v>
      </c>
      <c r="N20" s="44">
        <f t="shared" si="6"/>
        <v>-6.3534999999999995</v>
      </c>
      <c r="O20" s="40">
        <f>+IFERROR(HLOOKUP($B20,'[1]2월'!$D$6:$BN$259,3,),)/1000</f>
        <v>610.5994199999999</v>
      </c>
      <c r="P20" s="41">
        <f>+IFERROR(HLOOKUP($B20,'[2]2월'!$F$6:$CP$99,3,),)/1000</f>
        <v>640.76604799999996</v>
      </c>
      <c r="Q20" s="42">
        <f t="shared" si="7"/>
        <v>30.16662800000006</v>
      </c>
      <c r="R20" s="43">
        <f>+IFERROR(HLOOKUP($B20,'[3]2월'!$F$6:$CC$57,3,),)/1000</f>
        <v>1256.9671189999999</v>
      </c>
      <c r="S20" s="44">
        <f t="shared" si="8"/>
        <v>-616.20107099999996</v>
      </c>
      <c r="T20" s="40">
        <f>+IFERROR(HLOOKUP($B20,'[1]2월'!$D$6:$BN$259,16,),)/1000</f>
        <v>-28.142012588383881</v>
      </c>
      <c r="U20" s="41">
        <f>+IFERROR(HLOOKUP($B20,'[2]2월'!$F$6:$CP$99,16,),)/1000</f>
        <v>-75.588009000000113</v>
      </c>
      <c r="V20" s="42">
        <f t="shared" si="9"/>
        <v>-47.445996411616235</v>
      </c>
      <c r="W20" s="43">
        <f>+IFERROR(HLOOKUP($B20,'[3]2월'!$F$6:$CC$57,16,),)/1000</f>
        <v>149.18040499999987</v>
      </c>
      <c r="X20" s="44">
        <f t="shared" si="10"/>
        <v>-224.76841399999998</v>
      </c>
      <c r="Y20" s="40">
        <f>+[4]전주!$Q$85</f>
        <v>101766.56999999999</v>
      </c>
      <c r="Z20" s="41">
        <f>+[4]전주!$R$85</f>
        <v>95309.541573702212</v>
      </c>
      <c r="AA20" s="45">
        <f>+[5]전주!$Q$85</f>
        <v>96124.124880510833</v>
      </c>
      <c r="AB20" s="46">
        <f>+[4]전주!$Q$89</f>
        <v>79902.403857323225</v>
      </c>
      <c r="AC20" s="41">
        <f>+[4]전주!$R$89</f>
        <v>80533.023055183701</v>
      </c>
      <c r="AD20" s="47">
        <f>+[5]전주!$Q$89</f>
        <v>73533.898902611545</v>
      </c>
      <c r="AE20" s="46">
        <f t="shared" si="11"/>
        <v>21864.166142676768</v>
      </c>
      <c r="AF20" s="41">
        <f t="shared" si="12"/>
        <v>14776.518518518511</v>
      </c>
      <c r="AG20" s="47">
        <f t="shared" si="13"/>
        <v>22590.225977899288</v>
      </c>
      <c r="AH20" s="15"/>
      <c r="AI20" s="638" t="str">
        <f t="shared" si="1"/>
        <v>전주</v>
      </c>
      <c r="AJ20" s="463">
        <f t="shared" si="2"/>
        <v>3.3898343387958635E-2</v>
      </c>
      <c r="AK20" s="463">
        <f t="shared" si="3"/>
        <v>3.9544965266544711E-2</v>
      </c>
      <c r="AL20" s="463">
        <f t="shared" si="14"/>
        <v>5.6466218785860764E-3</v>
      </c>
      <c r="AM20" s="453">
        <f t="shared" si="4"/>
        <v>574.63734067066139</v>
      </c>
      <c r="AO20" s="463">
        <f>+[17]전주!$T$5/[17]합계!$T$5</f>
        <v>4.6334753762338851E-2</v>
      </c>
      <c r="AP20" s="463">
        <f t="shared" si="15"/>
        <v>-6.7897884957941398E-3</v>
      </c>
      <c r="AQ20" s="453">
        <f>+[17]전주!$Q$85*AP20</f>
        <v>-692.53030467022268</v>
      </c>
    </row>
    <row r="21" spans="2:43" s="6" customFormat="1" ht="22.5" customHeight="1" x14ac:dyDescent="0.3">
      <c r="B21" s="6" t="s">
        <v>72</v>
      </c>
      <c r="G21" s="306" t="str">
        <f t="shared" si="5"/>
        <v>군산</v>
      </c>
      <c r="H21" s="69"/>
      <c r="I21" s="70" t="s">
        <v>72</v>
      </c>
      <c r="J21" s="40">
        <f>+IFERROR(HLOOKUP($B21,'[1]2월'!$D$6:$BN$259,2,),)/1000</f>
        <v>2.5</v>
      </c>
      <c r="K21" s="41">
        <f>+IFERROR(HLOOKUP($B21,'[2]2월'!$F$6:$CP$99,2,),)/1000</f>
        <v>1.9910000000000001</v>
      </c>
      <c r="L21" s="42">
        <f t="shared" si="0"/>
        <v>-0.5089999999999999</v>
      </c>
      <c r="M21" s="43">
        <f>+IFERROR(HLOOKUP($B21,'[3]2월'!$F$6:$CC$57,2,),)/1000</f>
        <v>3.8959999999999999</v>
      </c>
      <c r="N21" s="44">
        <f t="shared" si="6"/>
        <v>-1.9049999999999998</v>
      </c>
      <c r="O21" s="40">
        <f>+IFERROR(HLOOKUP($B21,'[1]2월'!$D$6:$BN$259,3,),)/1000</f>
        <v>289.45889399999999</v>
      </c>
      <c r="P21" s="41">
        <f>+IFERROR(HLOOKUP($B21,'[2]2월'!$F$6:$CP$99,3,),)/1000</f>
        <v>216.91013599999999</v>
      </c>
      <c r="Q21" s="42">
        <f t="shared" si="7"/>
        <v>-72.548757999999992</v>
      </c>
      <c r="R21" s="43">
        <f>+IFERROR(HLOOKUP($B21,'[3]2월'!$F$6:$CC$57,3,),)/1000</f>
        <v>414.87225000000001</v>
      </c>
      <c r="S21" s="44">
        <f t="shared" si="8"/>
        <v>-197.96211400000001</v>
      </c>
      <c r="T21" s="40">
        <f>+IFERROR(HLOOKUP($B21,'[1]2월'!$D$6:$BN$259,16,),)/1000</f>
        <v>11.369519917980707</v>
      </c>
      <c r="U21" s="41">
        <f>+IFERROR(HLOOKUP($B21,'[2]2월'!$F$6:$CP$99,16,),)/1000</f>
        <v>-20.390283</v>
      </c>
      <c r="V21" s="42">
        <f t="shared" si="9"/>
        <v>-31.759802917980707</v>
      </c>
      <c r="W21" s="43">
        <f>+IFERROR(HLOOKUP($B21,'[3]2월'!$F$6:$CC$57,16,),)/1000</f>
        <v>57.866905000000038</v>
      </c>
      <c r="X21" s="44">
        <f t="shared" si="10"/>
        <v>-78.257188000000042</v>
      </c>
      <c r="Y21" s="40">
        <f>+[4]군산!$Q$85</f>
        <v>115783.5576</v>
      </c>
      <c r="Z21" s="41">
        <f>+[4]군산!$R$85</f>
        <v>108945.32194876946</v>
      </c>
      <c r="AA21" s="45">
        <f>+[5]군산!$Q$85</f>
        <v>106486.71714579055</v>
      </c>
      <c r="AB21" s="46">
        <f>+[4]군산!$Q$89</f>
        <v>76837.80803280769</v>
      </c>
      <c r="AC21" s="41">
        <f>+[4]군산!$R$89</f>
        <v>72951.092307692306</v>
      </c>
      <c r="AD21" s="47">
        <f>+[5]군산!$Q$89</f>
        <v>71564.787217659134</v>
      </c>
      <c r="AE21" s="46">
        <f t="shared" si="11"/>
        <v>38945.74956719231</v>
      </c>
      <c r="AF21" s="41">
        <f t="shared" si="12"/>
        <v>35994.229641077152</v>
      </c>
      <c r="AG21" s="47">
        <f t="shared" si="13"/>
        <v>34921.929928131416</v>
      </c>
      <c r="AH21" s="15"/>
      <c r="AI21" s="638" t="str">
        <f t="shared" si="1"/>
        <v>군산</v>
      </c>
      <c r="AJ21" s="463">
        <f t="shared" si="2"/>
        <v>1.4124309744982763E-2</v>
      </c>
      <c r="AK21" s="463">
        <f t="shared" si="3"/>
        <v>1.17111447041039E-2</v>
      </c>
      <c r="AL21" s="463">
        <f t="shared" si="14"/>
        <v>-2.4131650408788629E-3</v>
      </c>
      <c r="AM21" s="453">
        <f t="shared" si="4"/>
        <v>-279.40483350890418</v>
      </c>
      <c r="AO21" s="463">
        <f>+[17]군산!$T$5/[17]합계!$T$5</f>
        <v>1.1739121794453229E-2</v>
      </c>
      <c r="AP21" s="463">
        <f t="shared" si="15"/>
        <v>-2.7977090349328923E-5</v>
      </c>
      <c r="AQ21" s="453">
        <f>+[17]군산!$Q$85*AP21</f>
        <v>-3.3330957066246434</v>
      </c>
    </row>
    <row r="22" spans="2:43" s="6" customFormat="1" ht="22.5" customHeight="1" x14ac:dyDescent="0.3">
      <c r="B22" s="6" t="s">
        <v>73</v>
      </c>
      <c r="G22" s="306" t="str">
        <f t="shared" si="5"/>
        <v>원주</v>
      </c>
      <c r="H22" s="69"/>
      <c r="I22" s="70" t="s">
        <v>73</v>
      </c>
      <c r="J22" s="40">
        <f>+IFERROR(HLOOKUP($B22,'[1]2월'!$D$6:$BN$259,2,),)/1000</f>
        <v>2.9998</v>
      </c>
      <c r="K22" s="41">
        <f>+IFERROR(HLOOKUP($B22,'[2]2월'!$F$6:$CP$99,2,),)/1000</f>
        <v>1.4750000000000001</v>
      </c>
      <c r="L22" s="42">
        <f t="shared" si="0"/>
        <v>-1.5247999999999999</v>
      </c>
      <c r="M22" s="43">
        <f>+IFERROR(HLOOKUP($B22,'[3]2월'!$F$6:$CC$57,2,),)/1000</f>
        <v>1.228</v>
      </c>
      <c r="N22" s="44">
        <f t="shared" si="6"/>
        <v>0.24700000000000011</v>
      </c>
      <c r="O22" s="40">
        <f>+IFERROR(HLOOKUP($B22,'[1]2월'!$D$6:$BN$259,3,),)/1000</f>
        <v>344.38256575999998</v>
      </c>
      <c r="P22" s="41">
        <f>+IFERROR(HLOOKUP($B22,'[2]2월'!$F$6:$CP$99,3,),)/1000</f>
        <v>189.43689999999998</v>
      </c>
      <c r="Q22" s="42">
        <f t="shared" si="7"/>
        <v>-154.94566576</v>
      </c>
      <c r="R22" s="43">
        <f>+IFERROR(HLOOKUP($B22,'[3]2월'!$F$6:$CC$57,3,),)/1000</f>
        <v>138.47710000000001</v>
      </c>
      <c r="S22" s="44">
        <f t="shared" si="8"/>
        <v>50.959799999999973</v>
      </c>
      <c r="T22" s="40">
        <f>+IFERROR(HLOOKUP($B22,'[1]2월'!$D$6:$BN$259,16,),)/1000</f>
        <v>33.348803589607179</v>
      </c>
      <c r="U22" s="41">
        <f>+IFERROR(HLOOKUP($B22,'[2]2월'!$F$6:$CP$99,16,),)/1000</f>
        <v>-24.850722000000001</v>
      </c>
      <c r="V22" s="42">
        <f t="shared" si="9"/>
        <v>-58.199525589607177</v>
      </c>
      <c r="W22" s="43">
        <f>+IFERROR(HLOOKUP($B22,'[3]2월'!$F$6:$CC$57,16,),)/1000</f>
        <v>-36.517007</v>
      </c>
      <c r="X22" s="44">
        <f t="shared" si="10"/>
        <v>11.666284999999998</v>
      </c>
      <c r="Y22" s="40">
        <f>+[4]원주!$Q$85</f>
        <v>114801.84204280283</v>
      </c>
      <c r="Z22" s="41">
        <f>+[4]원주!$R$85</f>
        <v>128431.79661016951</v>
      </c>
      <c r="AA22" s="45">
        <f>+[5]원주!$Q$85</f>
        <v>112766.3680781759</v>
      </c>
      <c r="AB22" s="46">
        <f>+[4]원주!$Q$89</f>
        <v>74199.590001686578</v>
      </c>
      <c r="AC22" s="41">
        <f>+[4]원주!$R$89</f>
        <v>81521.713220338977</v>
      </c>
      <c r="AD22" s="47">
        <f>+[5]원주!$Q$89</f>
        <v>75882.359934853419</v>
      </c>
      <c r="AE22" s="46">
        <f t="shared" si="11"/>
        <v>40602.252041116255</v>
      </c>
      <c r="AF22" s="41">
        <f t="shared" si="12"/>
        <v>46910.083389830528</v>
      </c>
      <c r="AG22" s="47">
        <f t="shared" si="13"/>
        <v>36884.008143322484</v>
      </c>
      <c r="AH22" s="15"/>
      <c r="AI22" s="638" t="str">
        <f t="shared" si="1"/>
        <v>원주</v>
      </c>
      <c r="AJ22" s="463">
        <f t="shared" si="2"/>
        <v>1.6948041749199717E-2</v>
      </c>
      <c r="AK22" s="463">
        <f t="shared" si="3"/>
        <v>8.6760112699915889E-3</v>
      </c>
      <c r="AL22" s="463">
        <f t="shared" si="14"/>
        <v>-8.2720304792081277E-3</v>
      </c>
      <c r="AM22" s="453">
        <f t="shared" si="4"/>
        <v>-949.64433644730207</v>
      </c>
      <c r="AO22" s="463">
        <f>+[17]원주!$T$5/[17]합계!$T$5</f>
        <v>1.218200039177722E-2</v>
      </c>
      <c r="AP22" s="463">
        <f t="shared" si="15"/>
        <v>-3.5059891217856312E-3</v>
      </c>
      <c r="AQ22" s="453">
        <f>+[17]원주!$Q$85*AP22</f>
        <v>-436.71306437713446</v>
      </c>
    </row>
    <row r="23" spans="2:43" s="6" customFormat="1" ht="22.5" customHeight="1" x14ac:dyDescent="0.3">
      <c r="B23" s="6" t="s">
        <v>74</v>
      </c>
      <c r="F23" s="79">
        <f>+K27-J27</f>
        <v>-6.9907999999999788</v>
      </c>
      <c r="G23" s="304" t="str">
        <f t="shared" si="5"/>
        <v>제주</v>
      </c>
      <c r="H23" s="69"/>
      <c r="I23" s="70" t="s">
        <v>74</v>
      </c>
      <c r="J23" s="40">
        <f>+IFERROR(HLOOKUP($B23,'[1]2월'!$D$6:$BN$259,2,),)/1000</f>
        <v>5</v>
      </c>
      <c r="K23" s="41">
        <f>+IFERROR(HLOOKUP($B23,'[2]2월'!$F$6:$CP$99,2,),)/1000</f>
        <v>3.2290000000000001</v>
      </c>
      <c r="L23" s="42">
        <f t="shared" si="0"/>
        <v>-1.7709999999999999</v>
      </c>
      <c r="M23" s="43">
        <f>+IFERROR(HLOOKUP($B23,'[3]2월'!$F$6:$CC$57,2,),)/1000</f>
        <v>4.6779999999999999</v>
      </c>
      <c r="N23" s="44">
        <f t="shared" si="6"/>
        <v>-1.4489999999999998</v>
      </c>
      <c r="O23" s="40">
        <f>+IFERROR(HLOOKUP($B23,'[1]2월'!$D$6:$BN$259,3,),)/1000</f>
        <v>601.33910000000014</v>
      </c>
      <c r="P23" s="41">
        <f>+IFERROR(HLOOKUP($B23,'[2]2월'!$F$6:$CP$99,3,),)/1000</f>
        <v>416.63115299999998</v>
      </c>
      <c r="Q23" s="42">
        <f t="shared" si="7"/>
        <v>-184.70794700000016</v>
      </c>
      <c r="R23" s="43">
        <f>+IFERROR(HLOOKUP($B23,'[3]2월'!$F$6:$CC$57,3,),)/1000</f>
        <v>565.73136399999999</v>
      </c>
      <c r="S23" s="44">
        <f t="shared" si="8"/>
        <v>-149.100211</v>
      </c>
      <c r="T23" s="40">
        <f>+IFERROR(HLOOKUP($B23,'[1]2월'!$D$6:$BN$259,16,),)/1000</f>
        <v>26.361966481073633</v>
      </c>
      <c r="U23" s="41">
        <f>+IFERROR(HLOOKUP($B23,'[2]2월'!$F$6:$CP$99,16,),)/1000</f>
        <v>-7.4980149999999774</v>
      </c>
      <c r="V23" s="42">
        <f t="shared" si="9"/>
        <v>-33.859981481073611</v>
      </c>
      <c r="W23" s="43">
        <f>+IFERROR(HLOOKUP($B23,'[3]2월'!$F$6:$CC$57,16,),)/1000</f>
        <v>53.836507999999874</v>
      </c>
      <c r="X23" s="44">
        <f t="shared" si="10"/>
        <v>-61.334522999999848</v>
      </c>
      <c r="Y23" s="40">
        <f>+[4]제주!$Q$85</f>
        <v>120267.82000000002</v>
      </c>
      <c r="Z23" s="41">
        <f>+[4]제주!$R$85</f>
        <v>129027.91978940848</v>
      </c>
      <c r="AA23" s="45">
        <f>+[5]제주!$Q$85</f>
        <v>120936.46410756886</v>
      </c>
      <c r="AB23" s="46">
        <f>+[4]제주!$Q$89</f>
        <v>94758.915379782469</v>
      </c>
      <c r="AC23" s="41">
        <f>+[4]제주!$R$89</f>
        <v>98460.087023846398</v>
      </c>
      <c r="AD23" s="47">
        <f>+[5]제주!$Q$89</f>
        <v>89525.331381479074</v>
      </c>
      <c r="AE23" s="46">
        <f t="shared" si="11"/>
        <v>25508.904620217552</v>
      </c>
      <c r="AF23" s="41">
        <f t="shared" si="12"/>
        <v>30567.832765562081</v>
      </c>
      <c r="AG23" s="47">
        <f t="shared" si="13"/>
        <v>31411.132726089781</v>
      </c>
      <c r="AH23" s="15"/>
      <c r="AI23" s="638" t="str">
        <f t="shared" si="1"/>
        <v>제주</v>
      </c>
      <c r="AJ23" s="463">
        <f t="shared" si="2"/>
        <v>2.8248619489965526E-2</v>
      </c>
      <c r="AK23" s="463">
        <f t="shared" si="3"/>
        <v>1.8993112129357857E-2</v>
      </c>
      <c r="AL23" s="463">
        <f t="shared" si="14"/>
        <v>-9.2555073606076683E-3</v>
      </c>
      <c r="AM23" s="453">
        <f t="shared" si="4"/>
        <v>-1113.1396932542384</v>
      </c>
      <c r="AO23" s="463">
        <f>+[17]제주!$T$5/[17]합계!$T$5</f>
        <v>2.1669822649833494E-2</v>
      </c>
      <c r="AP23" s="463">
        <f t="shared" si="15"/>
        <v>-2.6767105204756371E-3</v>
      </c>
      <c r="AQ23" s="453">
        <f>+[17]제주!$Q$85*AP23</f>
        <v>-329.21776503792563</v>
      </c>
    </row>
    <row r="24" spans="2:43" s="6" customFormat="1" ht="22.5" customHeight="1" x14ac:dyDescent="0.3">
      <c r="F24" s="463">
        <f>+K24/J24</f>
        <v>0.99652238805970139</v>
      </c>
      <c r="G24" s="307" t="str">
        <f t="shared" si="5"/>
        <v>수도권</v>
      </c>
      <c r="H24" s="69"/>
      <c r="I24" s="73" t="s">
        <v>42</v>
      </c>
      <c r="J24" s="20">
        <f>SUM(J7:J10)</f>
        <v>67</v>
      </c>
      <c r="K24" s="17">
        <f>SUM(K7:K10)</f>
        <v>66.766999999999996</v>
      </c>
      <c r="L24" s="18">
        <f t="shared" si="0"/>
        <v>-0.23300000000000409</v>
      </c>
      <c r="M24" s="22">
        <f>SUM(M7:M10)</f>
        <v>74.239500000000007</v>
      </c>
      <c r="N24" s="19">
        <f t="shared" si="6"/>
        <v>-7.4725000000000108</v>
      </c>
      <c r="O24" s="20">
        <f>SUM(O7:O10)</f>
        <v>6582.5605685195342</v>
      </c>
      <c r="P24" s="17">
        <f>SUM(P7:P10)</f>
        <v>6845.2020400000001</v>
      </c>
      <c r="Q24" s="18">
        <f t="shared" si="7"/>
        <v>262.64147148046595</v>
      </c>
      <c r="R24" s="22">
        <f>SUM(R7:R10)</f>
        <v>7199.5674790000003</v>
      </c>
      <c r="S24" s="19">
        <f t="shared" si="8"/>
        <v>-354.36543900000015</v>
      </c>
      <c r="T24" s="20">
        <f>SUM(T7:T10)</f>
        <v>-84.225629909244077</v>
      </c>
      <c r="U24" s="17">
        <f>SUM(U7:U10)</f>
        <v>-192.26995100000056</v>
      </c>
      <c r="V24" s="18">
        <f t="shared" si="9"/>
        <v>-108.04432109075648</v>
      </c>
      <c r="W24" s="22">
        <f>SUM(W7:W10)</f>
        <v>126.59635100000031</v>
      </c>
      <c r="X24" s="19">
        <f t="shared" si="10"/>
        <v>-318.86630200000087</v>
      </c>
      <c r="Y24" s="20">
        <f>+[4]수도권!$Q$85</f>
        <v>98247.172664470636</v>
      </c>
      <c r="Z24" s="17">
        <f>+[4]수도권!$R$85</f>
        <v>102553.1111077759</v>
      </c>
      <c r="AA24" s="21">
        <f>+[5]수도권!$Q$85</f>
        <v>96965.552073670318</v>
      </c>
      <c r="AB24" s="25">
        <f>+[4]수도권!$Q$89</f>
        <v>83866.500636167504</v>
      </c>
      <c r="AC24" s="17">
        <f>+[4]수도권!$R$89</f>
        <v>87993.510332407895</v>
      </c>
      <c r="AD24" s="26">
        <f>+[5]수도권!$Q$89</f>
        <v>82274.26017537326</v>
      </c>
      <c r="AE24" s="25">
        <f t="shared" si="11"/>
        <v>14380.672028303132</v>
      </c>
      <c r="AF24" s="17">
        <f t="shared" si="12"/>
        <v>14559.600775368002</v>
      </c>
      <c r="AG24" s="26">
        <f t="shared" si="13"/>
        <v>14691.291898297059</v>
      </c>
      <c r="AH24" s="15"/>
      <c r="AI24" s="638" t="str">
        <f t="shared" si="1"/>
        <v>수도권</v>
      </c>
      <c r="AJ24" s="463">
        <f t="shared" si="2"/>
        <v>0.37853150116553808</v>
      </c>
      <c r="AK24" s="463">
        <f t="shared" si="3"/>
        <v>0.39272626743290057</v>
      </c>
      <c r="AL24" s="463">
        <f t="shared" si="14"/>
        <v>1.4194766267362491E-2</v>
      </c>
      <c r="AM24" s="453">
        <f t="shared" si="4"/>
        <v>1394.5956524013659</v>
      </c>
      <c r="AO24" s="463">
        <f>+[17]수도권!$T$5/[17]합계!$T$5</f>
        <v>0.37938229791534772</v>
      </c>
      <c r="AP24" s="463">
        <f t="shared" si="15"/>
        <v>1.3343969517552845E-2</v>
      </c>
      <c r="AQ24" s="453">
        <f>+[17]수도권!$Q$85*AP24</f>
        <v>1390.2918322940855</v>
      </c>
    </row>
    <row r="25" spans="2:43" s="6" customFormat="1" ht="22.5" customHeight="1" x14ac:dyDescent="0.3">
      <c r="F25" s="463">
        <f>+K25/J25</f>
        <v>0.88532934131736518</v>
      </c>
      <c r="G25" s="304" t="str">
        <f t="shared" si="5"/>
        <v>영남권</v>
      </c>
      <c r="H25" s="69"/>
      <c r="I25" s="73" t="s">
        <v>43</v>
      </c>
      <c r="J25" s="20">
        <f>SUM(J11:J18)</f>
        <v>83.5</v>
      </c>
      <c r="K25" s="17">
        <f>SUM(K11:K18)</f>
        <v>73.924999999999997</v>
      </c>
      <c r="L25" s="18">
        <f t="shared" si="0"/>
        <v>-9.5750000000000028</v>
      </c>
      <c r="M25" s="22">
        <f>SUM(M11:M18)</f>
        <v>95.894000000000005</v>
      </c>
      <c r="N25" s="19">
        <f t="shared" si="6"/>
        <v>-21.969000000000008</v>
      </c>
      <c r="O25" s="20">
        <f>SUM(O11:O18)</f>
        <v>8383.043487042527</v>
      </c>
      <c r="P25" s="17">
        <f>SUM(P11:P18)</f>
        <v>7847.8366789999991</v>
      </c>
      <c r="Q25" s="18">
        <f t="shared" si="7"/>
        <v>-535.20680804252788</v>
      </c>
      <c r="R25" s="22">
        <f>SUM(R11:R18)</f>
        <v>9664.1098189999993</v>
      </c>
      <c r="S25" s="19">
        <f t="shared" si="8"/>
        <v>-1816.2731400000002</v>
      </c>
      <c r="T25" s="20">
        <f>SUM(T11:T18)</f>
        <v>110.33956724772517</v>
      </c>
      <c r="U25" s="17">
        <f>SUM(U11:U18)</f>
        <v>-51.93485600000021</v>
      </c>
      <c r="V25" s="18">
        <f t="shared" si="9"/>
        <v>-162.27442324772539</v>
      </c>
      <c r="W25" s="22">
        <f>SUM(W11:W18)</f>
        <v>519.31217699999979</v>
      </c>
      <c r="X25" s="19">
        <f t="shared" si="10"/>
        <v>-571.24703299999999</v>
      </c>
      <c r="Y25" s="20">
        <f>+[4]영남권!$Q$85</f>
        <v>100395.73038374282</v>
      </c>
      <c r="Z25" s="17">
        <f>+[4]영남권!$R$85</f>
        <v>106159.44104159619</v>
      </c>
      <c r="AA25" s="21">
        <f>+[5]영남권!$Q$85</f>
        <v>100787.78490345353</v>
      </c>
      <c r="AB25" s="25">
        <f>+[4]영남권!$Q$89</f>
        <v>82251.506260116337</v>
      </c>
      <c r="AC25" s="17">
        <f>+[4]영남권!$R$89</f>
        <v>84539.518683310118</v>
      </c>
      <c r="AD25" s="26">
        <f>+[5]영남권!$Q$89</f>
        <v>80685.911863111585</v>
      </c>
      <c r="AE25" s="25">
        <f t="shared" si="11"/>
        <v>18144.224123626482</v>
      </c>
      <c r="AF25" s="17">
        <f t="shared" si="12"/>
        <v>21619.922358286072</v>
      </c>
      <c r="AG25" s="26">
        <f t="shared" si="13"/>
        <v>20101.873040341947</v>
      </c>
      <c r="AH25" s="15"/>
      <c r="AI25" s="639" t="str">
        <f t="shared" si="1"/>
        <v>영남권</v>
      </c>
      <c r="AJ25" s="463">
        <f t="shared" si="2"/>
        <v>0.47175194548242427</v>
      </c>
      <c r="AK25" s="463">
        <f t="shared" si="3"/>
        <v>0.43482992076890042</v>
      </c>
      <c r="AL25" s="463">
        <f t="shared" si="14"/>
        <v>-3.6922024713523849E-2</v>
      </c>
      <c r="AM25" s="453">
        <f t="shared" si="4"/>
        <v>-3706.8136383608294</v>
      </c>
      <c r="AO25" s="463">
        <f>+[17]영남권!$T$5/[17]합계!$T$5</f>
        <v>0.44634497403766171</v>
      </c>
      <c r="AP25" s="463">
        <f t="shared" si="15"/>
        <v>-1.1515053268761288E-2</v>
      </c>
      <c r="AQ25" s="453">
        <f>+[17]영남권!$Q$85*AP25</f>
        <v>-1239.5438421649569</v>
      </c>
    </row>
    <row r="26" spans="2:43" s="6" customFormat="1" ht="22.5" customHeight="1" x14ac:dyDescent="0.3">
      <c r="F26" s="463">
        <f>+K26/J26</f>
        <v>1.1063102363036703</v>
      </c>
      <c r="G26" s="304" t="str">
        <f t="shared" si="5"/>
        <v>중부권</v>
      </c>
      <c r="H26" s="69"/>
      <c r="I26" s="73" t="s">
        <v>105</v>
      </c>
      <c r="J26" s="20">
        <f>SUM(J19:J23)</f>
        <v>26.4998</v>
      </c>
      <c r="K26" s="17">
        <f>SUM(K19:K23)</f>
        <v>29.317</v>
      </c>
      <c r="L26" s="18">
        <f t="shared" si="0"/>
        <v>2.8171999999999997</v>
      </c>
      <c r="M26" s="22">
        <f>SUM(M19:M23)</f>
        <v>40.645499999999998</v>
      </c>
      <c r="N26" s="19">
        <f t="shared" si="6"/>
        <v>-11.328499999999998</v>
      </c>
      <c r="O26" s="20">
        <f>SUM(O19:O23)</f>
        <v>2832.9631397600001</v>
      </c>
      <c r="P26" s="17">
        <f>SUM(P19:P23)</f>
        <v>3088.8075469999999</v>
      </c>
      <c r="Q26" s="18">
        <f t="shared" si="7"/>
        <v>255.84440723999978</v>
      </c>
      <c r="R26" s="22">
        <f>SUM(R19:R23)</f>
        <v>4159.0904329999994</v>
      </c>
      <c r="S26" s="19">
        <f t="shared" si="8"/>
        <v>-1070.2828859999995</v>
      </c>
      <c r="T26" s="20">
        <f>SUM(T19:T23)</f>
        <v>-21.592892965266483</v>
      </c>
      <c r="U26" s="17">
        <f>SUM(U19:U23)</f>
        <v>-137.6145350000001</v>
      </c>
      <c r="V26" s="18">
        <f t="shared" si="9"/>
        <v>-116.02164203473362</v>
      </c>
      <c r="W26" s="22">
        <f>SUM(W19:W23)</f>
        <v>296.06411999999978</v>
      </c>
      <c r="X26" s="19">
        <f t="shared" si="10"/>
        <v>-433.67865499999988</v>
      </c>
      <c r="Y26" s="20">
        <f>+[4]중부권!$Q$85</f>
        <v>106905.07625566988</v>
      </c>
      <c r="Z26" s="17">
        <f>+[4]중부권!$R$85</f>
        <v>105358.92304806084</v>
      </c>
      <c r="AA26" s="21">
        <f>+[5]중부권!$Q$85</f>
        <v>102295.47925625638</v>
      </c>
      <c r="AB26" s="25">
        <f>+[4]중부권!$Q$89</f>
        <v>82020.587054523974</v>
      </c>
      <c r="AC26" s="17">
        <f>+[4]중부권!$R$89</f>
        <v>84681.569816979652</v>
      </c>
      <c r="AD26" s="26">
        <f>+[5]중부권!$Q$89</f>
        <v>79762.985441723897</v>
      </c>
      <c r="AE26" s="25">
        <f t="shared" si="11"/>
        <v>24884.489201145901</v>
      </c>
      <c r="AF26" s="17">
        <f t="shared" si="12"/>
        <v>20677.353231081186</v>
      </c>
      <c r="AG26" s="26">
        <f t="shared" si="13"/>
        <v>22532.493814532485</v>
      </c>
      <c r="AH26" s="15"/>
      <c r="AI26" s="639" t="str">
        <f t="shared" si="1"/>
        <v>중부권</v>
      </c>
      <c r="AJ26" s="463">
        <f t="shared" si="2"/>
        <v>0.14971655335203771</v>
      </c>
      <c r="AK26" s="463">
        <f t="shared" si="3"/>
        <v>0.1724438117981989</v>
      </c>
      <c r="AL26" s="463">
        <f t="shared" si="14"/>
        <v>2.2727258446161192E-2</v>
      </c>
      <c r="AM26" s="453">
        <f t="shared" si="4"/>
        <v>2429.6592972691792</v>
      </c>
      <c r="AO26" s="463">
        <f>+[17]중부권!$T$5/[17]합계!$T$5</f>
        <v>0.17427272804699057</v>
      </c>
      <c r="AP26" s="463">
        <f t="shared" si="15"/>
        <v>-1.8289162487916677E-3</v>
      </c>
      <c r="AQ26" s="453">
        <f>+[17]중부권!$Q$85*AP26</f>
        <v>-197.79507496647756</v>
      </c>
    </row>
    <row r="27" spans="2:43" s="1" customFormat="1" ht="22.5" customHeight="1" x14ac:dyDescent="0.3">
      <c r="B27" s="23"/>
      <c r="F27" s="452">
        <f>+K27/M27</f>
        <v>0.80657465876581635</v>
      </c>
      <c r="G27" s="306">
        <f>+K27/J27</f>
        <v>0.9605039101739099</v>
      </c>
      <c r="H27" s="238" t="s">
        <v>93</v>
      </c>
      <c r="I27" s="239"/>
      <c r="J27" s="240">
        <f>SUM(J24:J26)</f>
        <v>176.99979999999999</v>
      </c>
      <c r="K27" s="241">
        <f>SUM(K24:K26)</f>
        <v>170.00900000000001</v>
      </c>
      <c r="L27" s="242">
        <f t="shared" ref="L27" si="16">+K27-J27</f>
        <v>-6.9907999999999788</v>
      </c>
      <c r="M27" s="243">
        <f>SUM(M24:M26)</f>
        <v>210.77900000000002</v>
      </c>
      <c r="N27" s="244">
        <f t="shared" ref="N27" si="17">+K27-M27</f>
        <v>-40.77000000000001</v>
      </c>
      <c r="O27" s="240">
        <f>SUM(O24:O26)</f>
        <v>17798.567195322059</v>
      </c>
      <c r="P27" s="241">
        <f>SUM(P24:P26)</f>
        <v>17781.846266</v>
      </c>
      <c r="Q27" s="242">
        <f t="shared" ref="Q27" si="18">+P27-O27</f>
        <v>-16.72092932205851</v>
      </c>
      <c r="R27" s="243">
        <f>SUM(R24:R26)</f>
        <v>21022.767731</v>
      </c>
      <c r="S27" s="244">
        <f t="shared" ref="S27" si="19">+P27-R27</f>
        <v>-3240.9214649999994</v>
      </c>
      <c r="T27" s="240">
        <f>SUM(T24:T26)</f>
        <v>4.5210443732146111</v>
      </c>
      <c r="U27" s="241">
        <f>SUM(U24:U26)</f>
        <v>-381.81934200000086</v>
      </c>
      <c r="V27" s="242">
        <f t="shared" ref="V27" si="20">+U27-T27</f>
        <v>-386.34038637321549</v>
      </c>
      <c r="W27" s="243">
        <f>SUM(W24:W26)</f>
        <v>941.97264799999994</v>
      </c>
      <c r="X27" s="244">
        <f t="shared" ref="X27" si="21">+U27-W27</f>
        <v>-1323.7919900000009</v>
      </c>
      <c r="Y27" s="641">
        <f>+[4]합계!$Q$85</f>
        <v>100556.99043344718</v>
      </c>
      <c r="Z27" s="642">
        <f>+[4]합계!$R$85</f>
        <v>104606.76316734463</v>
      </c>
      <c r="AA27" s="643">
        <f>+[5]합계!$Q$85</f>
        <v>99735.994266764363</v>
      </c>
      <c r="AB27" s="644">
        <f>+[4]합계!$Q$89</f>
        <v>82828.260078092804</v>
      </c>
      <c r="AC27" s="642">
        <f>+[4]합계!$R$89</f>
        <v>85918.55608260406</v>
      </c>
      <c r="AD27" s="645">
        <f>+[5]합계!$Q$89</f>
        <v>81063.082203057071</v>
      </c>
      <c r="AE27" s="644">
        <f t="shared" si="11"/>
        <v>17728.730355354375</v>
      </c>
      <c r="AF27" s="642">
        <f t="shared" si="12"/>
        <v>18688.20708474057</v>
      </c>
      <c r="AG27" s="645">
        <f t="shared" si="13"/>
        <v>18672.912063707292</v>
      </c>
      <c r="AH27" s="24"/>
      <c r="AI27" s="639" t="s">
        <v>8</v>
      </c>
      <c r="AJ27" s="463">
        <f t="shared" si="2"/>
        <v>1</v>
      </c>
      <c r="AK27" s="463">
        <f t="shared" si="3"/>
        <v>1</v>
      </c>
      <c r="AL27" s="463">
        <f t="shared" si="14"/>
        <v>0</v>
      </c>
      <c r="AM27" s="640">
        <f>SUM(AM7:AM23)</f>
        <v>80.884711513090224</v>
      </c>
      <c r="AO27" s="463">
        <f>+[17]합계!$T$5/[17]합계!$T$5</f>
        <v>1</v>
      </c>
      <c r="AP27" s="463">
        <f t="shared" si="15"/>
        <v>0</v>
      </c>
      <c r="AQ27" s="640">
        <f>SUM(AQ7:AQ23)</f>
        <v>-605.03988293110524</v>
      </c>
    </row>
    <row r="28" spans="2:43" s="6" customFormat="1" ht="22.5" customHeight="1" thickBot="1" x14ac:dyDescent="0.35">
      <c r="B28" s="6" t="s">
        <v>111</v>
      </c>
      <c r="E28" s="6" t="s">
        <v>179</v>
      </c>
      <c r="G28" s="304" t="s">
        <v>3</v>
      </c>
      <c r="H28" s="75" t="s">
        <v>45</v>
      </c>
      <c r="I28" s="68" t="s">
        <v>112</v>
      </c>
      <c r="J28" s="50">
        <f>+IFERROR(HLOOKUP($B29,'[1]2월'!$D$6:$BN$259,2,),)/1000</f>
        <v>18.181720279720281</v>
      </c>
      <c r="K28" s="51">
        <f>+IFERROR(HLOOKUP($C29,'[2]2월'!$F$6:$CP$99,2,),)/1000</f>
        <v>16.341999999999999</v>
      </c>
      <c r="L28" s="32">
        <f t="shared" ref="L28:L34" si="22">+K28-J28</f>
        <v>-1.8397202797202823</v>
      </c>
      <c r="M28" s="32">
        <f>+IFERROR(HLOOKUP($C29,'[3]2월'!$F$6:$CC$57,2,),)/1000</f>
        <v>24.573</v>
      </c>
      <c r="N28" s="52">
        <f>+K28-M28</f>
        <v>-8.2310000000000016</v>
      </c>
      <c r="O28" s="50">
        <f>+IFERROR(HLOOKUP($B29,'[1]2월'!$D$6:$BN$259,3,),)/1000</f>
        <v>517.37297202797197</v>
      </c>
      <c r="P28" s="51">
        <f>+IFERROR(HLOOKUP($C29,'[2]2월'!$F$6:$CP$99,3,),)/1000</f>
        <v>469.16</v>
      </c>
      <c r="Q28" s="32">
        <f t="shared" ref="Q28:Q37" si="23">+P28-O28</f>
        <v>-48.212972027971944</v>
      </c>
      <c r="R28" s="32">
        <f>+IFERROR(HLOOKUP($C29,'[3]2월'!$F$6:$CC$57,3,),)/1000</f>
        <v>679.8605</v>
      </c>
      <c r="S28" s="52">
        <f t="shared" ref="S28:S37" si="24">+P28-R28</f>
        <v>-210.70049999999998</v>
      </c>
      <c r="T28" s="50">
        <f>+IFERROR(HLOOKUP($B29,'[1]2월'!$D$6:$BN$259,21,),)/1000</f>
        <v>5.065007665270703</v>
      </c>
      <c r="U28" s="51">
        <f>+IFERROR(HLOOKUP($C29,'[2]2월'!$F$6:$CP$99,21,),)/1000</f>
        <v>0.81868564240534036</v>
      </c>
      <c r="V28" s="32">
        <f>+U28-T28</f>
        <v>-4.2463220228653622</v>
      </c>
      <c r="W28" s="32">
        <f>+IFERROR(HLOOKUP($C29,'[3]2월'!$F$6:$CC$57,21,),)/1000</f>
        <v>5.3680995453978717</v>
      </c>
      <c r="X28" s="52">
        <f>+U28-W28</f>
        <v>-4.5494139029925318</v>
      </c>
      <c r="Y28" s="449" t="s">
        <v>211</v>
      </c>
      <c r="Z28" s="210"/>
      <c r="AA28" s="210"/>
      <c r="AB28" s="210"/>
      <c r="AC28" s="210"/>
      <c r="AD28" s="210"/>
      <c r="AE28" s="609"/>
      <c r="AF28" s="609"/>
      <c r="AG28" s="610"/>
      <c r="AH28" s="15"/>
      <c r="AI28" s="16"/>
      <c r="AJ28" s="453"/>
      <c r="AK28" s="457"/>
    </row>
    <row r="29" spans="2:43" s="6" customFormat="1" ht="22.5" customHeight="1" thickTop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+IFERROR(HLOOKUP($B30,'[1]2월'!$D$6:$BN$259,2,),)/1000</f>
        <v>42.11298</v>
      </c>
      <c r="K29" s="53">
        <f>+IFERROR(HLOOKUP($C30,'[2]2월'!$F$6:$CP$99,2,),)/1000</f>
        <v>20.100000000000001</v>
      </c>
      <c r="L29" s="42">
        <f t="shared" si="22"/>
        <v>-22.012979999999999</v>
      </c>
      <c r="M29" s="42">
        <f>+IFERROR(HLOOKUP($C30,'[3]2월'!$F$6:$CC$57,2,),)/1000</f>
        <v>12.95</v>
      </c>
      <c r="N29" s="54">
        <f>+K29-M29</f>
        <v>7.1500000000000021</v>
      </c>
      <c r="O29" s="48">
        <f>+IFERROR(HLOOKUP($B30,'[1]2월'!$D$6:$BN$259,3,),)/1000</f>
        <v>535.6946733333333</v>
      </c>
      <c r="P29" s="53">
        <f>+IFERROR(HLOOKUP($C30,'[2]2월'!$F$6:$CP$99,3,),)/1000</f>
        <v>288.36799999999999</v>
      </c>
      <c r="Q29" s="42">
        <f t="shared" si="23"/>
        <v>-247.3266733333333</v>
      </c>
      <c r="R29" s="42">
        <f>+IFERROR(HLOOKUP($C30,'[3]2월'!$F$6:$CC$57,3,),)/1000</f>
        <v>179.00200000000001</v>
      </c>
      <c r="S29" s="54">
        <f t="shared" si="24"/>
        <v>109.36599999999999</v>
      </c>
      <c r="T29" s="48">
        <f>+IFERROR(HLOOKUP($B30,'[1]2월'!$D$6:$BN$259,21,),)/1000</f>
        <v>30.712773731406582</v>
      </c>
      <c r="U29" s="53">
        <f>+IFERROR(HLOOKUP($C30,'[2]2월'!$F$6:$CP$99,21,),)/1000</f>
        <v>-48.133780888837187</v>
      </c>
      <c r="V29" s="42">
        <f>+U29-T29</f>
        <v>-78.846554620243765</v>
      </c>
      <c r="W29" s="42">
        <f>+IFERROR(HLOOKUP($C30,'[3]2월'!$F$6:$CC$57,21,),)/1000</f>
        <v>2.8212827567227503</v>
      </c>
      <c r="X29" s="54">
        <f>+U29-W29</f>
        <v>-50.955063645559939</v>
      </c>
      <c r="Y29" s="611" t="s">
        <v>11</v>
      </c>
      <c r="Z29" s="612" t="s">
        <v>36</v>
      </c>
      <c r="AA29" s="613" t="s">
        <v>37</v>
      </c>
      <c r="AB29" s="614" t="s">
        <v>38</v>
      </c>
      <c r="AC29" s="611" t="s">
        <v>198</v>
      </c>
      <c r="AD29" s="611" t="s">
        <v>38</v>
      </c>
      <c r="AE29" s="210" t="s">
        <v>214</v>
      </c>
      <c r="AF29" s="210"/>
      <c r="AG29" s="45"/>
      <c r="AH29" s="15"/>
      <c r="AI29" s="210" t="s">
        <v>217</v>
      </c>
      <c r="AJ29" s="453"/>
      <c r="AK29" s="457"/>
    </row>
    <row r="30" spans="2:43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+IFERROR(HLOOKUP($B31,'[1]2월'!$D$6:$BN$259,2,),)/1000</f>
        <v>1E-3</v>
      </c>
      <c r="K30" s="53">
        <f>+IFERROR(HLOOKUP($C31,'[2]2월'!$F$6:$CP$99,2,),)/1000</f>
        <v>14.231999999999999</v>
      </c>
      <c r="L30" s="42">
        <f t="shared" si="22"/>
        <v>14.231</v>
      </c>
      <c r="M30" s="42">
        <f>+IFERROR(HLOOKUP($C31,'[3]2월'!$F$6:$CC$57,2,),)/1000</f>
        <v>20.414000000000001</v>
      </c>
      <c r="N30" s="54">
        <f>+K30-M30</f>
        <v>-6.1820000000000022</v>
      </c>
      <c r="O30" s="48">
        <f>+IFERROR(HLOOKUP($B31,'[1]2월'!$D$6:$BN$259,3,),)/1000</f>
        <v>0</v>
      </c>
      <c r="P30" s="53">
        <f>+IFERROR(HLOOKUP($C31,'[2]2월'!$F$6:$CP$99,3,),)/1000</f>
        <v>287.0104</v>
      </c>
      <c r="Q30" s="42">
        <f t="shared" si="23"/>
        <v>287.0104</v>
      </c>
      <c r="R30" s="42">
        <f>+IFERROR(HLOOKUP($C31,'[3]2월'!$F$6:$CC$57,3,),)/1000</f>
        <v>383.721</v>
      </c>
      <c r="S30" s="54">
        <f t="shared" si="24"/>
        <v>-96.710599999999999</v>
      </c>
      <c r="T30" s="48">
        <f>+IFERROR(HLOOKUP($B31,'[1]2월'!$D$6:$BN$259,21,),)/1000</f>
        <v>-153.09760883333334</v>
      </c>
      <c r="U30" s="53">
        <f>+IFERROR(HLOOKUP($C31,'[2]2월'!$F$6:$CP$99,21,),)/1000</f>
        <v>-119.68588259999994</v>
      </c>
      <c r="V30" s="42">
        <f>+U30-T30</f>
        <v>33.411726233333397</v>
      </c>
      <c r="W30" s="42">
        <f>+IFERROR(HLOOKUP($C31,'[3]2월'!$F$6:$CC$57,21,),)/1000</f>
        <v>-106.33151747999993</v>
      </c>
      <c r="X30" s="54">
        <f>+U30-W30</f>
        <v>-13.354365120000011</v>
      </c>
      <c r="Y30" s="615" t="s">
        <v>199</v>
      </c>
      <c r="Z30" s="616">
        <f>+[18]영업계획!$H$7</f>
        <v>104918.32130318211</v>
      </c>
      <c r="AA30" s="617">
        <f>+[19]합계!$D$94</f>
        <v>107321.91111828959</v>
      </c>
      <c r="AB30" s="37">
        <f>+AA30-Z30</f>
        <v>2403.5898151074798</v>
      </c>
      <c r="AC30" s="618">
        <f>+[19]합계!$C$105</f>
        <v>109597.27878396324</v>
      </c>
      <c r="AD30" s="618">
        <f>+AA30-AC30</f>
        <v>-2275.3676656736498</v>
      </c>
      <c r="AE30" s="210" t="s">
        <v>200</v>
      </c>
      <c r="AF30" s="210">
        <f>+(Z30-Z31)*AB36</f>
        <v>1024.6542680877994</v>
      </c>
      <c r="AG30" s="45" t="s">
        <v>213</v>
      </c>
      <c r="AH30" s="15"/>
      <c r="AI30" s="210" t="s">
        <v>200</v>
      </c>
      <c r="AJ30" s="210">
        <f>+(AC30-AC31)*AD36</f>
        <v>-687.94142158676243</v>
      </c>
      <c r="AK30" s="210" t="s">
        <v>213</v>
      </c>
      <c r="AL30" s="81"/>
    </row>
    <row r="31" spans="2:43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60.295700279720279</v>
      </c>
      <c r="K31" s="129">
        <f>SUM(K28:K30)</f>
        <v>50.673999999999999</v>
      </c>
      <c r="L31" s="127">
        <f t="shared" si="22"/>
        <v>-9.6217002797202795</v>
      </c>
      <c r="M31" s="127">
        <f>SUM(M28:M30)</f>
        <v>57.936999999999998</v>
      </c>
      <c r="N31" s="128">
        <f>+K31-M31</f>
        <v>-7.2629999999999981</v>
      </c>
      <c r="O31" s="125">
        <f>SUM(O28:O30)</f>
        <v>1053.0676453613053</v>
      </c>
      <c r="P31" s="129">
        <f>SUM(P28:P30)</f>
        <v>1044.5383999999999</v>
      </c>
      <c r="Q31" s="127">
        <f t="shared" si="23"/>
        <v>-8.5292453613053567</v>
      </c>
      <c r="R31" s="127">
        <f>SUM(R28:R30)</f>
        <v>1242.5835</v>
      </c>
      <c r="S31" s="128">
        <f t="shared" si="24"/>
        <v>-198.04510000000005</v>
      </c>
      <c r="T31" s="125">
        <f>SUM(T28:T30)</f>
        <v>-117.31982743665606</v>
      </c>
      <c r="U31" s="129">
        <f>SUM(U28:U30)</f>
        <v>-167.00097784643179</v>
      </c>
      <c r="V31" s="127">
        <f>+U31-T31</f>
        <v>-49.681150409775739</v>
      </c>
      <c r="W31" s="127">
        <f>SUM(W28:W30)</f>
        <v>-98.142135177879311</v>
      </c>
      <c r="X31" s="128">
        <f>+U31-W31</f>
        <v>-68.858842668552484</v>
      </c>
      <c r="Y31" s="619" t="s">
        <v>201</v>
      </c>
      <c r="Z31" s="620">
        <f>+[18]영업계획!$H$10</f>
        <v>93112.155954307338</v>
      </c>
      <c r="AA31" s="621">
        <f>+[19]합계!$D$93</f>
        <v>97667.596405363292</v>
      </c>
      <c r="AB31" s="622">
        <f t="shared" ref="AB31:AB32" si="25">+AA31-Z31</f>
        <v>4555.4404510559543</v>
      </c>
      <c r="AC31" s="623">
        <f>+[19]합계!$C$93</f>
        <v>96700.469163932736</v>
      </c>
      <c r="AD31" s="623">
        <f t="shared" ref="AD31:AD32" si="26">+AA31-AC31</f>
        <v>967.12724143055675</v>
      </c>
      <c r="AE31" s="210" t="s">
        <v>202</v>
      </c>
      <c r="AF31" s="210">
        <f>+AB35*120*10</f>
        <v>2052.659223511931</v>
      </c>
      <c r="AG31" s="45" t="s">
        <v>213</v>
      </c>
      <c r="AH31" s="15"/>
      <c r="AI31" s="210" t="s">
        <v>202</v>
      </c>
      <c r="AJ31" s="210">
        <f>+AD35*120*10</f>
        <v>-979.19459327365098</v>
      </c>
      <c r="AK31" s="210" t="s">
        <v>213</v>
      </c>
      <c r="AL31" s="81"/>
      <c r="AM31" s="453"/>
    </row>
    <row r="32" spans="2:43" s="1" customFormat="1" ht="22.5" customHeight="1" x14ac:dyDescent="0.3">
      <c r="G32" s="308"/>
      <c r="H32" s="78" t="s">
        <v>49</v>
      </c>
      <c r="I32" s="77" t="s">
        <v>79</v>
      </c>
      <c r="J32" s="40"/>
      <c r="K32" s="41"/>
      <c r="L32" s="43">
        <f t="shared" si="22"/>
        <v>0</v>
      </c>
      <c r="M32" s="42"/>
      <c r="N32" s="54">
        <f>+K32-M32</f>
        <v>0</v>
      </c>
      <c r="O32" s="40">
        <f>(IFERROR(HLOOKUP($B33,'[1]2월'!$D$6:$BN$259,3,),)++IFERROR(HLOOKUP($C33,'[1]2월'!$D$6:$BN$259,3,),)+IFERROR(HLOOKUP($D33,'[1]2월'!$D$6:$BN$259,3,),))/1000</f>
        <v>41.666666666666671</v>
      </c>
      <c r="P32" s="41">
        <f>+IFERROR(HLOOKUP($E33,'[2]2월'!$F$6:$CP$99,3,),)/1000</f>
        <v>43.34</v>
      </c>
      <c r="Q32" s="43">
        <f t="shared" si="23"/>
        <v>1.673333333333332</v>
      </c>
      <c r="R32" s="42">
        <f>+IFERROR(HLOOKUP($E33,'[3]2월'!$F$6:$CC$57,3,),)/1000</f>
        <v>90.84</v>
      </c>
      <c r="S32" s="54">
        <f t="shared" si="24"/>
        <v>-47.5</v>
      </c>
      <c r="T32" s="40">
        <f>(IFERROR(HLOOKUP($B33,'[1]2월'!$D$6:$BN$259,21,),)++IFERROR(HLOOKUP($C33,'[1]2월'!$D$6:$BN$259,21,),)+IFERROR(HLOOKUP($D33,'[1]2월'!$D$6:$BN$259,21,),))/1000</f>
        <v>29.628697666666667</v>
      </c>
      <c r="U32" s="41">
        <f>+IFERROR(HLOOKUP($E33,'[2]2월'!$F$6:$CP$99,16,),)/1000</f>
        <v>23.702033000000007</v>
      </c>
      <c r="V32" s="43">
        <f t="shared" ref="V32:V38" si="27">+U32-T32</f>
        <v>-5.9266646666666603</v>
      </c>
      <c r="W32" s="42">
        <f>+IFERROR(HLOOKUP($E33,'[3]2월'!$F$6:$CC$57,16,),)/1000</f>
        <v>72.530954000000008</v>
      </c>
      <c r="X32" s="54">
        <f t="shared" ref="X32:X40" si="28">+U32-W32</f>
        <v>-48.828921000000001</v>
      </c>
      <c r="Y32" s="611" t="s">
        <v>136</v>
      </c>
      <c r="Z32" s="624">
        <f>+[18]영업계획!$H$22</f>
        <v>100556.99043344715</v>
      </c>
      <c r="AA32" s="625">
        <f>+[19]합계!$D$95</f>
        <v>104606.76316734462</v>
      </c>
      <c r="AB32" s="626">
        <f t="shared" si="25"/>
        <v>4049.7727338974655</v>
      </c>
      <c r="AC32" s="627">
        <f>+[19]합계!$C$106</f>
        <v>106677.81952980641</v>
      </c>
      <c r="AD32" s="627">
        <f t="shared" si="26"/>
        <v>-2071.0563624617935</v>
      </c>
      <c r="AE32" s="210" t="s">
        <v>218</v>
      </c>
      <c r="AF32" s="210">
        <f>+AB32-AF30-AF31-AF34-AF33</f>
        <v>1530.3171081303217</v>
      </c>
      <c r="AG32" s="45" t="s">
        <v>213</v>
      </c>
      <c r="AH32" s="24"/>
      <c r="AI32" s="210" t="s">
        <v>218</v>
      </c>
      <c r="AJ32" s="210">
        <f>+AD32-AJ30-AJ31-AJ34-AJ33</f>
        <v>583.5870569645424</v>
      </c>
      <c r="AK32" s="210" t="s">
        <v>213</v>
      </c>
      <c r="AL32" s="458"/>
      <c r="AM32" s="455"/>
    </row>
    <row r="33" spans="2:43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29">+I32</f>
        <v>레미콘임대</v>
      </c>
      <c r="H33" s="78"/>
      <c r="I33" s="77" t="s">
        <v>44</v>
      </c>
      <c r="J33" s="40"/>
      <c r="K33" s="41"/>
      <c r="L33" s="43">
        <f t="shared" si="22"/>
        <v>0</v>
      </c>
      <c r="M33" s="42">
        <v>0</v>
      </c>
      <c r="N33" s="54">
        <f t="shared" ref="N33:N40" si="30">+K33-M33</f>
        <v>0</v>
      </c>
      <c r="O33" s="40">
        <f>(+IFERROR(HLOOKUP($B34,'[1]2월'!$D$6:$BN$259,3,),)+IFERROR(HLOOKUP($C34,'[1]2월'!$D$6:$BN$259,3,),))/1000</f>
        <v>80.096666666666678</v>
      </c>
      <c r="P33" s="41">
        <f>+IFERROR(HLOOKUP($E34,'[2]2월'!$F$6:$CP$99,3,),)/1000</f>
        <v>12.009926</v>
      </c>
      <c r="Q33" s="43">
        <f t="shared" si="23"/>
        <v>-68.086740666666685</v>
      </c>
      <c r="R33" s="42">
        <f>+IFERROR(HLOOKUP($E34,'[3]2월'!$F$6:$CC$57,3,),)/1000</f>
        <v>71.999517999999995</v>
      </c>
      <c r="S33" s="54">
        <f t="shared" si="24"/>
        <v>-59.989591999999995</v>
      </c>
      <c r="T33" s="40">
        <f>(+IFERROR(HLOOKUP($B34,'[1]2월'!$D$6:$BN$259,21,),)+IFERROR(HLOOKUP($C34,'[1]2월'!$D$6:$BN$259,21,),))/1000</f>
        <v>72.847672666666682</v>
      </c>
      <c r="U33" s="41">
        <f>+IFERROR(HLOOKUP($E34,'[2]2월'!$F$6:$CP$99,16,),)/1000</f>
        <v>4.8003729999999978</v>
      </c>
      <c r="V33" s="43">
        <f t="shared" si="27"/>
        <v>-68.047299666666689</v>
      </c>
      <c r="W33" s="42">
        <f>+IFERROR(HLOOKUP($E34,'[3]2월'!$F$6:$CC$57,16,),)/1000</f>
        <v>61.899625</v>
      </c>
      <c r="X33" s="54">
        <f t="shared" si="28"/>
        <v>-57.099252</v>
      </c>
      <c r="Y33" s="650" t="s">
        <v>199</v>
      </c>
      <c r="Z33" s="628">
        <f>+'[20]예산대비 차이'!$L$15</f>
        <v>29.720029466262993</v>
      </c>
      <c r="AA33" s="629">
        <f>+[21]평균강도집계!$R$27</f>
        <v>31.840642756413956</v>
      </c>
      <c r="AB33" s="630">
        <f>+AA33-Z33</f>
        <v>2.1206132901509633</v>
      </c>
      <c r="AC33" s="631">
        <f>+[21]평균강도집계!$Q$27</f>
        <v>32.113676025536236</v>
      </c>
      <c r="AD33" s="631">
        <f>+AA33-AC33</f>
        <v>-0.27303326912227988</v>
      </c>
      <c r="AE33" s="210" t="s">
        <v>212</v>
      </c>
      <c r="AF33" s="79">
        <f>+-'[22]2026년 소급분(공장별)'!$D$6</f>
        <v>-638.74257734567652</v>
      </c>
      <c r="AG33" s="45" t="s">
        <v>213</v>
      </c>
      <c r="AI33" s="210" t="s">
        <v>212</v>
      </c>
      <c r="AJ33" s="79">
        <f>+-'[22]2026년 소급분(공장별)'!$D$6--'[22]2026년 소급분(공장별)'!$D$5</f>
        <v>-382.46752163481727</v>
      </c>
      <c r="AK33" s="210" t="s">
        <v>213</v>
      </c>
      <c r="AL33" s="453"/>
    </row>
    <row r="34" spans="2:43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29"/>
        <v>임대</v>
      </c>
      <c r="H34" s="76"/>
      <c r="I34" s="77" t="s">
        <v>50</v>
      </c>
      <c r="J34" s="40"/>
      <c r="K34" s="41"/>
      <c r="L34" s="43">
        <f t="shared" si="22"/>
        <v>0</v>
      </c>
      <c r="M34" s="42"/>
      <c r="N34" s="54">
        <f t="shared" si="30"/>
        <v>0</v>
      </c>
      <c r="O34" s="40"/>
      <c r="P34" s="41"/>
      <c r="Q34" s="43">
        <f t="shared" si="23"/>
        <v>0</v>
      </c>
      <c r="R34" s="42"/>
      <c r="S34" s="54">
        <f t="shared" si="24"/>
        <v>0</v>
      </c>
      <c r="T34" s="40">
        <f>-'[1]2월'!$Z$22/1000</f>
        <v>-1285.2973779259803</v>
      </c>
      <c r="U34" s="41">
        <f>+-'[2]2월'!$Z$22/1000</f>
        <v>-1962.6588581519318</v>
      </c>
      <c r="V34" s="43">
        <f t="shared" si="27"/>
        <v>-677.36148022595148</v>
      </c>
      <c r="W34" s="42">
        <f>+-'[3]2월'!$Z$22/1000</f>
        <v>-1276.8971018146242</v>
      </c>
      <c r="X34" s="54">
        <f t="shared" si="28"/>
        <v>-685.76175633730759</v>
      </c>
      <c r="Y34" s="651" t="s">
        <v>201</v>
      </c>
      <c r="Z34" s="646">
        <f>+'[20]예산대비 차이'!$L$16</f>
        <v>26.939076843388094</v>
      </c>
      <c r="AA34" s="647">
        <f>+[21]평균강도집계!$R$49</f>
        <v>26.769608346511674</v>
      </c>
      <c r="AB34" s="648">
        <f t="shared" ref="AB34" si="31">+AA34-Z34</f>
        <v>-0.16946849687641929</v>
      </c>
      <c r="AC34" s="649">
        <f>+[21]평균강도집계!$Q$49</f>
        <v>28.139713357633465</v>
      </c>
      <c r="AD34" s="649">
        <f t="shared" ref="AD34" si="32">+AA34-AC34</f>
        <v>-1.3701050111217903</v>
      </c>
      <c r="AE34" s="210" t="s">
        <v>204</v>
      </c>
      <c r="AF34" s="210">
        <f>+AM27</f>
        <v>80.884711513090224</v>
      </c>
      <c r="AG34" s="45" t="s">
        <v>213</v>
      </c>
      <c r="AH34" s="15"/>
      <c r="AI34" s="210" t="s">
        <v>204</v>
      </c>
      <c r="AJ34" s="210">
        <f>+AQ27</f>
        <v>-605.03988293110524</v>
      </c>
      <c r="AK34" s="210" t="s">
        <v>213</v>
      </c>
      <c r="AM34" s="453"/>
    </row>
    <row r="35" spans="2:43" s="6" customFormat="1" ht="22.5" customHeight="1" x14ac:dyDescent="0.3">
      <c r="B35" s="6" t="s">
        <v>119</v>
      </c>
      <c r="D35"/>
      <c r="E35"/>
      <c r="F35"/>
      <c r="G35" s="304" t="str">
        <f t="shared" si="29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30"/>
        <v>0</v>
      </c>
      <c r="O35" s="40"/>
      <c r="P35" s="41"/>
      <c r="Q35" s="43">
        <f t="shared" si="23"/>
        <v>0</v>
      </c>
      <c r="R35" s="42"/>
      <c r="S35" s="54">
        <f t="shared" si="24"/>
        <v>0</v>
      </c>
      <c r="T35" s="40"/>
      <c r="U35" s="41">
        <f>'[2]2월'!$BD$26/1000</f>
        <v>361.08555999999999</v>
      </c>
      <c r="V35" s="43">
        <f t="shared" si="27"/>
        <v>361.08555999999999</v>
      </c>
      <c r="W35" s="42">
        <f>'[3]2월'!$BD$26/1000</f>
        <v>0</v>
      </c>
      <c r="X35" s="54">
        <f t="shared" si="28"/>
        <v>361.08555999999999</v>
      </c>
      <c r="Y35" s="611" t="s">
        <v>203</v>
      </c>
      <c r="Z35" s="652">
        <f>+'[20]예산대비 차이'!$L$18</f>
        <v>28.677232347573536</v>
      </c>
      <c r="AA35" s="653">
        <f>+[21]평균강도집계!$R$71</f>
        <v>30.387781700500145</v>
      </c>
      <c r="AB35" s="654">
        <f>+AA35-Z35</f>
        <v>1.7105493529266091</v>
      </c>
      <c r="AC35" s="655">
        <f>+[23]합계!$Q$82</f>
        <v>31.203777194894855</v>
      </c>
      <c r="AD35" s="655">
        <f>+AA35-AC35</f>
        <v>-0.8159954943947092</v>
      </c>
      <c r="AE35" s="658" t="s">
        <v>206</v>
      </c>
      <c r="AF35" s="658">
        <f>+SUM(AF30:AF34)</f>
        <v>4049.772733897466</v>
      </c>
      <c r="AG35" s="245" t="s">
        <v>207</v>
      </c>
      <c r="AH35" s="15"/>
      <c r="AI35" s="658" t="s">
        <v>206</v>
      </c>
      <c r="AJ35" s="658">
        <f>+SUM(AJ30:AJ34)</f>
        <v>-2071.0563624617935</v>
      </c>
      <c r="AK35" s="658" t="s">
        <v>207</v>
      </c>
      <c r="AL35" s="81"/>
    </row>
    <row r="36" spans="2:43" s="6" customFormat="1" ht="22.5" customHeight="1" thickBot="1" x14ac:dyDescent="0.35">
      <c r="D36"/>
      <c r="E36"/>
      <c r="F36"/>
      <c r="G36" s="304" t="str">
        <f t="shared" si="29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30"/>
        <v>0</v>
      </c>
      <c r="O36" s="40"/>
      <c r="P36" s="41"/>
      <c r="Q36" s="43">
        <f t="shared" si="23"/>
        <v>0</v>
      </c>
      <c r="R36" s="42"/>
      <c r="S36" s="54">
        <f t="shared" si="24"/>
        <v>0</v>
      </c>
      <c r="T36" s="40"/>
      <c r="U36" s="41">
        <f>'[2]2월'!$BE$26/1000</f>
        <v>0</v>
      </c>
      <c r="V36" s="43">
        <f t="shared" si="27"/>
        <v>0</v>
      </c>
      <c r="W36" s="42">
        <f>'[3]2월'!$BE$26/1000</f>
        <v>0</v>
      </c>
      <c r="X36" s="54">
        <f t="shared" si="28"/>
        <v>0</v>
      </c>
      <c r="Y36" s="619" t="s">
        <v>205</v>
      </c>
      <c r="Z36" s="632">
        <f>+[18]영업계획!$H$6/[18]영업계획!$H$21</f>
        <v>0.63498941806713916</v>
      </c>
      <c r="AA36" s="633">
        <f>+[19]합계!$D$44</f>
        <v>0.72177917899365862</v>
      </c>
      <c r="AB36" s="634">
        <f>+AA36-Z36</f>
        <v>8.6789760926519466E-2</v>
      </c>
      <c r="AC36" s="635">
        <f>+[19]합계!$C$44</f>
        <v>0.77512116370577655</v>
      </c>
      <c r="AD36" s="635">
        <f>+AA36-AC36</f>
        <v>-5.3341984712117929E-2</v>
      </c>
      <c r="AE36" s="210"/>
      <c r="AF36" s="210"/>
      <c r="AG36" s="45"/>
      <c r="AH36" s="15"/>
      <c r="AI36" s="16"/>
      <c r="AJ36" s="453"/>
      <c r="AK36" s="457"/>
      <c r="AL36" s="81"/>
    </row>
    <row r="37" spans="2:43" s="6" customFormat="1" ht="22.5" customHeight="1" thickTop="1" x14ac:dyDescent="0.3">
      <c r="D37"/>
      <c r="E37"/>
      <c r="F37"/>
      <c r="G37" s="304" t="str">
        <f t="shared" si="29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30"/>
        <v>0</v>
      </c>
      <c r="O37" s="40"/>
      <c r="P37" s="41"/>
      <c r="Q37" s="43">
        <f t="shared" si="23"/>
        <v>0</v>
      </c>
      <c r="R37" s="42">
        <f>+IFERROR(HLOOKUP($I$37,'[3]2월'!$F$6:$BJ$50,3,),)/1000</f>
        <v>0</v>
      </c>
      <c r="S37" s="54">
        <f t="shared" si="24"/>
        <v>0</v>
      </c>
      <c r="T37" s="40">
        <f>SUM('[1]2월'!$AM$26:$AQ$26)/1000</f>
        <v>-12.762081</v>
      </c>
      <c r="U37" s="41">
        <f>+'[2]2월'!$BF$26/1000</f>
        <v>-31.554265999999998</v>
      </c>
      <c r="V37" s="43">
        <f t="shared" si="27"/>
        <v>-18.792184999999996</v>
      </c>
      <c r="W37" s="42">
        <f>+'[3]2월'!$BF$26/1000</f>
        <v>-31.585608999999998</v>
      </c>
      <c r="X37" s="54">
        <f t="shared" si="28"/>
        <v>3.1342999999999677E-2</v>
      </c>
      <c r="Y37" s="237" t="s">
        <v>215</v>
      </c>
      <c r="AE37" s="210"/>
      <c r="AF37" s="210"/>
      <c r="AG37" s="45"/>
      <c r="AH37" s="15"/>
      <c r="AI37" s="16"/>
      <c r="AJ37" s="453"/>
      <c r="AK37" s="457"/>
      <c r="AL37" s="657"/>
      <c r="AM37" s="657"/>
      <c r="AO37" s="453"/>
      <c r="AP37" s="453"/>
      <c r="AQ37" s="453"/>
    </row>
    <row r="38" spans="2:43" s="6" customFormat="1" ht="22.5" customHeight="1" x14ac:dyDescent="0.3">
      <c r="D38"/>
      <c r="E38"/>
      <c r="F38"/>
      <c r="G38" s="304" t="str">
        <f t="shared" si="29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+'[2]2월'!$BG$26/1000</f>
        <v>0</v>
      </c>
      <c r="V38" s="43">
        <f t="shared" si="27"/>
        <v>0</v>
      </c>
      <c r="W38" s="42"/>
      <c r="X38" s="54">
        <f t="shared" si="28"/>
        <v>0</v>
      </c>
      <c r="Y38" s="1" t="s">
        <v>225</v>
      </c>
      <c r="Z38" s="210">
        <f>+[4]합계!$S$15</f>
        <v>3109.3720396658246</v>
      </c>
      <c r="AA38" s="210" t="s">
        <v>219</v>
      </c>
      <c r="AB38" s="210"/>
      <c r="AC38" s="210"/>
      <c r="AD38" s="210"/>
      <c r="AH38" s="663"/>
      <c r="AI38" s="210" t="s">
        <v>214</v>
      </c>
      <c r="AJ38" s="210"/>
      <c r="AK38" s="210"/>
      <c r="AL38" s="665"/>
      <c r="AM38" s="657"/>
      <c r="AQ38" s="453"/>
    </row>
    <row r="39" spans="2:43" s="6" customFormat="1" ht="22.5" customHeight="1" x14ac:dyDescent="0.3">
      <c r="B39" t="s">
        <v>30</v>
      </c>
      <c r="D39"/>
      <c r="G39" s="304" t="str">
        <f t="shared" si="29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IFERROR(HLOOKUP($B39,'[1]2월'!$D$6:$BN$259,3,),)/1000</f>
        <v>1.77</v>
      </c>
      <c r="P39" s="41">
        <f>+('[2]2월'!$F$8-SUM('[2]2월'!$Z$8,'[2]2월'!$AH$8,'[2]2월'!$AN$8,'[2]2월'!$AO$8,'[2]2월'!$BA$8,'[2]2월'!$BD$8,'[2]2월'!$BE$8,'[2]2월'!$BF$8))/1000</f>
        <v>1.6413000000007452</v>
      </c>
      <c r="Q39" s="49">
        <f>+P39-O39</f>
        <v>-0.12869999999925485</v>
      </c>
      <c r="R39" s="55">
        <f>+('[3]2월'!$F$8-SUM('[3]2월'!$Z$8,'[3]2월'!$AH$8,'[3]2월'!$AN$8,'[3]2월'!$AO$8,'[3]2월'!$BA$8,'[3]2월'!$BD$8,'[3]2월'!$BE$8,'[3]2월'!$BF$8))/1000</f>
        <v>1.6798500000014902</v>
      </c>
      <c r="S39" s="56">
        <f>+P39-R39</f>
        <v>-3.8550000000745044E-2</v>
      </c>
      <c r="T39" s="40">
        <f>+('[1]2월'!$E$26-'[1]2월'!$Z$26-'[1]2월'!$AA$26-'[1]2월'!$AE$26-'[1]2월'!$AL$26-'[1]2월'!$AM$26-'[1]2월'!$AN$26-'[1]2월'!$AO$26-'[1]2월'!$AP$26-'[1]2월'!$AQ$26-'[1]2월'!$AS$26+'[1]2월'!$AS$26)/1000</f>
        <v>-42.352978000002423</v>
      </c>
      <c r="U39" s="41">
        <f>+('[2]2월'!$F$26-SUM('[2]2월'!$Z$26,'[2]2월'!$AH$26,'[2]2월'!$AN$26,'[2]2월'!$AO$26,'[2]2월'!$BA$26,'[2]2월'!$BD$26,'[2]2월'!$BE$26,'[2]2월'!$BF$26))/1000-U38</f>
        <v>-16.213385000002571</v>
      </c>
      <c r="V39" s="43">
        <f>+U39-T39</f>
        <v>26.139592999999852</v>
      </c>
      <c r="W39" s="55">
        <f>+('[3]2월'!$F$26-SUM('[3]2월'!$Z$26,'[3]2월'!$AH$26,'[3]2월'!$AN$26,'[3]2월'!$AO$26,'[3]2월'!$BA$26,'[3]2월'!$BD$26,'[3]2월'!$BE$26,'[3]2월'!$BF$26))/1000</f>
        <v>-16.010089999994729</v>
      </c>
      <c r="X39" s="54">
        <f t="shared" si="28"/>
        <v>-0.20329500000784151</v>
      </c>
      <c r="Y39" s="209" t="s">
        <v>223</v>
      </c>
      <c r="Z39" s="210"/>
      <c r="AA39" s="210"/>
      <c r="AC39" s="210"/>
      <c r="AD39" s="210"/>
      <c r="AH39" s="663"/>
      <c r="AI39" s="210" t="s">
        <v>220</v>
      </c>
      <c r="AJ39" s="210">
        <f>-[4]합계!$H$6</f>
        <v>-127.29590192427854</v>
      </c>
      <c r="AK39" s="210" t="s">
        <v>213</v>
      </c>
      <c r="AL39" s="665"/>
      <c r="AM39" s="657"/>
    </row>
    <row r="40" spans="2:43" s="6" customFormat="1" ht="22.5" customHeight="1" x14ac:dyDescent="0.3">
      <c r="G40" s="304" t="str">
        <f t="shared" si="29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30"/>
        <v>0</v>
      </c>
      <c r="O40" s="125">
        <f>SUM(O32:O39)</f>
        <v>123.53333333333335</v>
      </c>
      <c r="P40" s="126">
        <f>SUM(P32:P39)</f>
        <v>56.991226000000751</v>
      </c>
      <c r="Q40" s="130">
        <f>+P40-O40</f>
        <v>-66.542107333332595</v>
      </c>
      <c r="R40" s="131">
        <f>SUM(R32:R39)</f>
        <v>164.51936800000149</v>
      </c>
      <c r="S40" s="132">
        <f>+P40-R40</f>
        <v>-107.52814200000074</v>
      </c>
      <c r="T40" s="125">
        <f>SUM(T32:T39)</f>
        <v>-1237.9360665926495</v>
      </c>
      <c r="U40" s="126">
        <f>SUM(U32:U39)</f>
        <v>-1620.8385431519343</v>
      </c>
      <c r="V40" s="130">
        <f>+U40-T40</f>
        <v>-382.90247655928488</v>
      </c>
      <c r="W40" s="131">
        <f>SUM(W32:W39)</f>
        <v>-1190.0622218146189</v>
      </c>
      <c r="X40" s="132">
        <f t="shared" si="28"/>
        <v>-430.77632133731549</v>
      </c>
      <c r="Y40" s="210" t="s">
        <v>224</v>
      </c>
      <c r="Z40" s="210"/>
      <c r="AA40" s="210"/>
      <c r="AB40" s="210"/>
      <c r="AC40" s="210"/>
      <c r="AD40" s="210"/>
      <c r="AH40" s="563"/>
      <c r="AI40" s="210" t="s">
        <v>221</v>
      </c>
      <c r="AJ40" s="210">
        <f>([4]합계!$F$15-[4]합계!$E$15-AB35*10)*[4]합계!$G$15/1000</f>
        <v>381.53322830977987</v>
      </c>
      <c r="AK40" s="210" t="s">
        <v>213</v>
      </c>
      <c r="AL40" s="665"/>
      <c r="AM40" s="657"/>
    </row>
    <row r="41" spans="2:43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18975.168174016697</v>
      </c>
      <c r="P41" s="251">
        <f>+P27+P31+P40</f>
        <v>18883.375892000004</v>
      </c>
      <c r="Q41" s="252">
        <f>+P41-O41</f>
        <v>-91.792282016693207</v>
      </c>
      <c r="R41" s="253">
        <f>+R27+R31+R40</f>
        <v>22429.870599000002</v>
      </c>
      <c r="S41" s="254">
        <f>+P41-R41</f>
        <v>-3546.494706999998</v>
      </c>
      <c r="T41" s="250">
        <f>+T27+T31+T40</f>
        <v>-1350.734849656091</v>
      </c>
      <c r="U41" s="251">
        <f>+U27+U31+U40</f>
        <v>-2169.6588629983671</v>
      </c>
      <c r="V41" s="252">
        <f>+U41-T41</f>
        <v>-818.92401334227611</v>
      </c>
      <c r="W41" s="253">
        <f>+W27+W31+W40</f>
        <v>-346.23170899249817</v>
      </c>
      <c r="X41" s="254">
        <f>+U41-W41</f>
        <v>-1823.4271540058689</v>
      </c>
      <c r="Y41" s="209"/>
      <c r="Z41" s="210"/>
      <c r="AA41" s="210"/>
      <c r="AB41" s="210"/>
      <c r="AC41" s="210"/>
      <c r="AD41" s="210"/>
      <c r="AH41" s="664"/>
      <c r="AI41" s="210" t="s">
        <v>222</v>
      </c>
      <c r="AJ41" s="210">
        <f>[4]합계!$U$15-AJ39-AJ40</f>
        <v>1662.0421291382577</v>
      </c>
      <c r="AK41" s="210" t="s">
        <v>213</v>
      </c>
      <c r="AL41" s="665"/>
      <c r="AM41" s="657"/>
    </row>
    <row r="42" spans="2:43" s="6" customFormat="1" ht="19.5" customHeight="1" x14ac:dyDescent="0.3">
      <c r="G42" s="309">
        <f>+P41/O41</f>
        <v>0.99516250495516623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L42" s="665"/>
      <c r="AM42" s="657"/>
      <c r="AO42" s="453"/>
    </row>
    <row r="43" spans="2:43" s="1" customFormat="1" ht="22.5" customHeight="1" x14ac:dyDescent="0.3">
      <c r="H43" s="547" t="s">
        <v>48</v>
      </c>
      <c r="I43" s="548"/>
      <c r="J43" s="140">
        <f>+IFERROR(HLOOKUP($B28,'[1]2월'!$D$6:$BN$259,2,),)</f>
        <v>7000</v>
      </c>
      <c r="K43" s="141">
        <f>+IFERROR(HLOOKUP($E28,'[2]2월'!$F$6:$CP$99,2,),)</f>
        <v>4982.9359999999997</v>
      </c>
      <c r="L43" s="142">
        <f>+K43-J43</f>
        <v>-2017.0640000000003</v>
      </c>
      <c r="M43" s="143">
        <f>+IFERROR(HLOOKUP($E28,'[3]2월'!$F$6:$CC$57,2,),)</f>
        <v>9724.5229999999992</v>
      </c>
      <c r="N43" s="144">
        <f>+K43-M43</f>
        <v>-4741.5869999999995</v>
      </c>
      <c r="O43" s="140">
        <f>+IFERROR(HLOOKUP($B28,'[1]2월'!$D$6:$BN$259,3,),)/1000</f>
        <v>6724.6123420000013</v>
      </c>
      <c r="P43" s="141">
        <f>+IFERROR(HLOOKUP($E28,'[2]2월'!$F$6:$CP$99,3,),)/1000</f>
        <v>4876.7031070000003</v>
      </c>
      <c r="Q43" s="142">
        <f>+P43-O43</f>
        <v>-1847.909235000001</v>
      </c>
      <c r="R43" s="143">
        <f>+IFERROR(HLOOKUP($E28,'[3]2월'!$F$6:$CC$57,3,),)/1000</f>
        <v>8276.9951199999996</v>
      </c>
      <c r="S43" s="144">
        <f>+P43-R43</f>
        <v>-3400.2920129999993</v>
      </c>
      <c r="T43" s="140">
        <f>+IFERROR(HLOOKUP($B28,'[1]2월'!$D$6:$BN$259,21,),)/1000</f>
        <v>-36.496142835605255</v>
      </c>
      <c r="U43" s="141">
        <f>+IFERROR(HLOOKUP($E28,'[2]2월'!$F$6:$CP$99,21,),)/1000</f>
        <v>-81.299122000000622</v>
      </c>
      <c r="V43" s="142">
        <f>+U43-T43</f>
        <v>-44.802979164395367</v>
      </c>
      <c r="W43" s="143">
        <f>+IFERROR(HLOOKUP($E28,'[3]2월'!$F$6:$CC$57,16,),)/1000</f>
        <v>10.861712999999597</v>
      </c>
      <c r="X43" s="144">
        <f>+U43-W43</f>
        <v>-92.160835000000219</v>
      </c>
      <c r="Y43" s="209" t="s">
        <v>226</v>
      </c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L43" s="657"/>
      <c r="AM43" s="657"/>
      <c r="AO43" s="455"/>
    </row>
    <row r="44" spans="2:43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25699.780516016697</v>
      </c>
      <c r="P44" s="251">
        <f>+P41+P43</f>
        <v>23760.078999000005</v>
      </c>
      <c r="Q44" s="252">
        <f>+P44-O44</f>
        <v>-1939.7015170166924</v>
      </c>
      <c r="R44" s="253">
        <f>+R41+R43</f>
        <v>30706.865719000001</v>
      </c>
      <c r="S44" s="254">
        <f>+P44-R44</f>
        <v>-6946.7867199999964</v>
      </c>
      <c r="T44" s="250">
        <f>+T41+T43</f>
        <v>-1387.2309924916963</v>
      </c>
      <c r="U44" s="251">
        <f>+U41+U43</f>
        <v>-2250.9579849983679</v>
      </c>
      <c r="V44" s="252">
        <f>+U44-T44</f>
        <v>-863.72699250667165</v>
      </c>
      <c r="W44" s="253">
        <f>+W41+W43</f>
        <v>-335.36999599249856</v>
      </c>
      <c r="X44" s="254">
        <f>+U44-W44</f>
        <v>-1915.5879890058693</v>
      </c>
      <c r="Y44" s="620"/>
      <c r="Z44" s="662"/>
      <c r="AA44" s="662"/>
      <c r="AB44" s="662"/>
      <c r="AC44" s="662"/>
      <c r="AD44" s="662"/>
      <c r="AE44" s="662"/>
      <c r="AF44" s="662"/>
      <c r="AG44" s="622"/>
      <c r="AH44" s="23"/>
      <c r="AJ44" s="455"/>
      <c r="AK44" s="457"/>
      <c r="AO44" s="455"/>
    </row>
    <row r="45" spans="2:43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3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3" s="28" customFormat="1" ht="17.25" thickBot="1" x14ac:dyDescent="0.35">
      <c r="G47" s="310"/>
      <c r="AC47" s="29"/>
      <c r="AF47" s="29"/>
      <c r="AJ47" s="456"/>
    </row>
    <row r="48" spans="2:43" s="28" customFormat="1" x14ac:dyDescent="0.3">
      <c r="F48" s="266">
        <f>+K43/M43</f>
        <v>0.51240929760770781</v>
      </c>
      <c r="G48" s="306">
        <f>+K43/J43</f>
        <v>0.71184799999999993</v>
      </c>
      <c r="I48" s="691" t="s">
        <v>81</v>
      </c>
      <c r="J48" s="115">
        <f>+'[1]2월'!$Z$7/1000</f>
        <v>176.99979999999999</v>
      </c>
      <c r="K48" s="116">
        <f>+'[2]2월'!$AI$7/1000</f>
        <v>170.00899999999999</v>
      </c>
      <c r="L48" s="116"/>
      <c r="M48" s="116">
        <f>+'[3]2월'!$Z$7/1000</f>
        <v>210.779</v>
      </c>
      <c r="N48" s="116"/>
      <c r="O48" s="116">
        <f>+'[1]2월'!$E$8/1000</f>
        <v>25699.780516016701</v>
      </c>
      <c r="P48" s="116">
        <f>+'[2]2월'!$F$8/1000</f>
        <v>23760.078998999998</v>
      </c>
      <c r="Q48" s="116"/>
      <c r="R48" s="116">
        <f>+'[3]2월'!$F$8/1000</f>
        <v>30706.865719000005</v>
      </c>
      <c r="S48" s="116"/>
      <c r="T48" s="121">
        <f>+'[1]2월'!$E$26/1000</f>
        <v>-1387.2309924916956</v>
      </c>
      <c r="U48" s="116">
        <f>+'[2]2월'!$F$26/1000</f>
        <v>-2250.9579849983679</v>
      </c>
      <c r="V48" s="116"/>
      <c r="W48" s="116">
        <f>+'[3]2월'!$F$26/1000</f>
        <v>-335.36999599249896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0.87463969484094795</v>
      </c>
      <c r="G49" s="306">
        <f>+K31/J31</f>
        <v>0.84042476934368704</v>
      </c>
      <c r="I49" s="691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0</v>
      </c>
      <c r="U49" s="122">
        <f>+U48-U44</f>
        <v>0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12250.555832016697</v>
      </c>
      <c r="P51" s="460">
        <f>+P41-P43</f>
        <v>14006.672785000002</v>
      </c>
      <c r="Q51" s="460">
        <f>+P51-O51</f>
        <v>1756.116952983306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122.50555832016697</v>
      </c>
      <c r="P52" s="460">
        <f>+P51/100</f>
        <v>140.06672785000004</v>
      </c>
      <c r="Q52" s="460">
        <f>+P52-O52</f>
        <v>17.561169529833066</v>
      </c>
      <c r="S52" t="s">
        <v>40</v>
      </c>
      <c r="T52" s="212">
        <f>(+T27+T34)/100</f>
        <v>-12.807763335527657</v>
      </c>
      <c r="U52" s="212">
        <f>(+U27+U34)/100</f>
        <v>-23.444782001519325</v>
      </c>
      <c r="V52" s="212">
        <f>+U52-T52</f>
        <v>-10.637018665991668</v>
      </c>
      <c r="W52" s="211">
        <f>+U52/T52-1</f>
        <v>0.83051336812927157</v>
      </c>
      <c r="AC52" s="29"/>
      <c r="AD52" s="28"/>
      <c r="AE52" s="28"/>
      <c r="AF52" s="29"/>
      <c r="AJ52" s="460"/>
    </row>
    <row r="53" spans="6:36" x14ac:dyDescent="0.3">
      <c r="Q53" s="211">
        <f>+P52/O52</f>
        <v>1.1433499815897099</v>
      </c>
      <c r="S53" t="s">
        <v>1</v>
      </c>
      <c r="T53" s="4">
        <f>+T31/100</f>
        <v>-1.1731982743665605</v>
      </c>
      <c r="U53" s="4">
        <f>+U31/100</f>
        <v>-1.670009778464318</v>
      </c>
      <c r="V53" s="212">
        <f>+U53-T53</f>
        <v>-0.49681150409775743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1.0247637033333334</v>
      </c>
      <c r="U54" s="4">
        <f>(U32+U33)/100</f>
        <v>0.28502406000000002</v>
      </c>
      <c r="V54" s="265">
        <f>+U54-T54</f>
        <v>-0.73973964333333342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-0.55115059000001909</v>
      </c>
      <c r="U55" s="212">
        <f>((U48-U43)/100)-U52-U53-U54</f>
        <v>3.1331790899999707</v>
      </c>
      <c r="V55" s="212">
        <f>+U55-T55</f>
        <v>3.6843296799999896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0.47361311333331435</v>
      </c>
      <c r="U56" s="212">
        <f>SUM(U54:U55)</f>
        <v>3.4182031499999708</v>
      </c>
      <c r="V56" s="212">
        <f>SUM(V54:V55)</f>
        <v>2.9445900366666562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-13.507348496560903</v>
      </c>
      <c r="U57" s="212">
        <f>SUM(U52:U55)</f>
        <v>-21.696588629983673</v>
      </c>
      <c r="V57" s="212">
        <f>+U57-T57</f>
        <v>-8.1892401334227696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1.0247637033333334</v>
      </c>
      <c r="U60" s="265">
        <f>+(U32+U33)/100</f>
        <v>0.28502406000000002</v>
      </c>
      <c r="V60" s="212">
        <f>+U60-T60</f>
        <v>-0.73973964333333342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33">+T35/100</f>
        <v>0</v>
      </c>
      <c r="U61" s="212">
        <f t="shared" si="33"/>
        <v>3.6108555999999998</v>
      </c>
      <c r="V61" s="212">
        <f>+U61-T61</f>
        <v>3.6108555999999998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33"/>
        <v>0</v>
      </c>
      <c r="U62" s="212">
        <f t="shared" si="33"/>
        <v>0</v>
      </c>
      <c r="V62" s="212">
        <f>+U62-T62</f>
        <v>0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33"/>
        <v>-0.12762081</v>
      </c>
      <c r="U63" s="212">
        <f t="shared" si="33"/>
        <v>-0.31554265999999997</v>
      </c>
      <c r="V63" s="212">
        <f>+U63-T63</f>
        <v>-0.18792184999999997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-0.42352978000002423</v>
      </c>
      <c r="U64" s="212">
        <f>+U39/100</f>
        <v>-0.1621338500000257</v>
      </c>
      <c r="V64" s="212">
        <f>+U64-T64</f>
        <v>0.2613959299999985</v>
      </c>
      <c r="AC64" s="212"/>
      <c r="AD64" s="212"/>
      <c r="AE64" s="212"/>
    </row>
    <row r="65" spans="20:31" x14ac:dyDescent="0.3">
      <c r="T65" s="4">
        <f>SUM(T60:T64)</f>
        <v>0.47361311333330919</v>
      </c>
      <c r="U65" s="4">
        <f>SUM(U60:U64)</f>
        <v>3.4182031499999743</v>
      </c>
      <c r="V65" s="4">
        <f>SUM(V60:V64)</f>
        <v>2.9445900366666651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47.361311333330931</v>
      </c>
      <c r="U68" s="4">
        <f>SUM(U32:U33,U35,U37:U39)</f>
        <v>341.82031499999744</v>
      </c>
      <c r="V68" s="4">
        <f>+U68-T68</f>
        <v>294.45900366666649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-1314.2387068204857</v>
      </c>
      <c r="U70" s="460">
        <f>+U41-U43</f>
        <v>-2088.3597409983663</v>
      </c>
      <c r="V70" s="460"/>
      <c r="AC70" s="212"/>
      <c r="AE70" s="212"/>
    </row>
    <row r="71" spans="20:31" x14ac:dyDescent="0.3">
      <c r="T71" s="460">
        <f>+T70/100</f>
        <v>-13.142387068204858</v>
      </c>
      <c r="U71" s="460">
        <f>+U70/100</f>
        <v>-20.883597409983665</v>
      </c>
      <c r="V71" s="460">
        <f>+U71-T71</f>
        <v>-7.7412103417788067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5561-3E2E-4676-938F-53896FB4585D}">
  <sheetPr>
    <tabColor theme="1" tint="0.34998626667073579"/>
    <pageSetUpPr fitToPage="1"/>
  </sheetPr>
  <dimension ref="A1:AS80"/>
  <sheetViews>
    <sheetView showGridLines="0" showZeros="0" topLeftCell="F1" zoomScale="85" zoomScaleNormal="85" zoomScaleSheetLayoutView="85" workbookViewId="0">
      <selection activeCell="V41" sqref="V4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5" ht="18" customHeight="1" x14ac:dyDescent="0.3">
      <c r="H1" s="2"/>
      <c r="K1" s="4"/>
      <c r="L1" s="4"/>
      <c r="P1" s="4"/>
      <c r="Q1" s="4"/>
    </row>
    <row r="2" spans="1:45" ht="18" customHeight="1" x14ac:dyDescent="0.3">
      <c r="H2" s="5"/>
      <c r="AD2" s="3"/>
      <c r="AG2" s="3"/>
    </row>
    <row r="3" spans="1:45" ht="26.25" x14ac:dyDescent="0.3">
      <c r="H3" s="2" t="s">
        <v>189</v>
      </c>
      <c r="AD3" s="3"/>
      <c r="AG3" s="3"/>
    </row>
    <row r="4" spans="1:45" ht="18" customHeight="1" x14ac:dyDescent="0.3">
      <c r="H4" s="5"/>
      <c r="AD4" s="3"/>
      <c r="AG4" s="3" t="s">
        <v>76</v>
      </c>
    </row>
    <row r="5" spans="1:45" s="6" customFormat="1" ht="19.5" customHeight="1" x14ac:dyDescent="0.3">
      <c r="G5" s="304"/>
      <c r="H5" s="688" t="s">
        <v>11</v>
      </c>
      <c r="I5" s="689"/>
      <c r="J5" s="145" t="s">
        <v>0</v>
      </c>
      <c r="K5" s="146"/>
      <c r="L5" s="146"/>
      <c r="M5" s="146"/>
      <c r="N5" s="147"/>
      <c r="O5" s="145" t="s">
        <v>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O5"/>
      <c r="AP5"/>
      <c r="AQ5"/>
      <c r="AR5"/>
      <c r="AS5"/>
    </row>
    <row r="6" spans="1:45" s="6" customFormat="1" ht="19.5" customHeight="1" x14ac:dyDescent="0.3">
      <c r="A6" s="6" t="s">
        <v>188</v>
      </c>
      <c r="G6" s="304"/>
      <c r="H6" s="690"/>
      <c r="I6" s="687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O6"/>
      <c r="AP6"/>
      <c r="AQ6"/>
      <c r="AR6"/>
      <c r="AS6"/>
    </row>
    <row r="7" spans="1:45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+IFERROR(HLOOKUP($B7,'[1]2월누계'!$D$6:$BN$259,2,),)/1000</f>
        <v>57</v>
      </c>
      <c r="K7" s="31">
        <f>+IFERROR(HLOOKUP($B7,'[2]2월누계'!$F$6:$CP$99,2,),)/1000</f>
        <v>59.991</v>
      </c>
      <c r="L7" s="32">
        <f t="shared" ref="L7:L34" si="0">+K7-J7</f>
        <v>2.9909999999999997</v>
      </c>
      <c r="M7" s="33">
        <f>+IFERROR(HLOOKUP($B7,'[3]2월누계'!$F$6:$CC$57,2,),)/1000</f>
        <v>62.101999999999997</v>
      </c>
      <c r="N7" s="34">
        <f>+K7-M7</f>
        <v>-2.1109999999999971</v>
      </c>
      <c r="O7" s="30">
        <f>+IFERROR(HLOOKUP($B7,'[1]2월누계'!$D$6:$BN$259,3,),)/1000</f>
        <v>5605.6513059999997</v>
      </c>
      <c r="P7" s="31">
        <f>+IFERROR(HLOOKUP($B7,'[2]2월누계'!$F$6:$CP$99,3,),)/1000</f>
        <v>6382.2961779999996</v>
      </c>
      <c r="Q7" s="32">
        <f>+P7-O7</f>
        <v>776.64487199999985</v>
      </c>
      <c r="R7" s="33">
        <f>+IFERROR(HLOOKUP($B7,'[3]2월누계'!$F$6:$CC$57,3,),)/1000</f>
        <v>6088.3025680000001</v>
      </c>
      <c r="S7" s="34">
        <f>+P7-R7</f>
        <v>293.99360999999953</v>
      </c>
      <c r="T7" s="30">
        <f>+IFERROR(HLOOKUP($B7,'[1]2월누계'!$D$6:$BN$259,16,),)/1000</f>
        <v>285.753430449495</v>
      </c>
      <c r="U7" s="31">
        <f>+IFERROR(HLOOKUP($B7,'[2]2월누계'!$F$6:$CP$99,16,),)/1000</f>
        <v>384.63903599999941</v>
      </c>
      <c r="V7" s="35">
        <f>+U7-T7</f>
        <v>98.885605550504408</v>
      </c>
      <c r="W7" s="36">
        <f>+IFERROR(HLOOKUP($B7,'[3]2월누계'!$F$6:$CC$57,16,),)/1000</f>
        <v>353.64214400000043</v>
      </c>
      <c r="X7" s="34">
        <f>+U7-W7</f>
        <v>30.996891999998979</v>
      </c>
      <c r="Y7" s="30">
        <f>+[15]안양!$Q$85</f>
        <v>98344.759754385959</v>
      </c>
      <c r="Z7" s="31">
        <f>+[15]안양!$R$85</f>
        <v>106387.56110083178</v>
      </c>
      <c r="AA7" s="37">
        <f>+[16]안양!$Q$85</f>
        <v>98025.663399063473</v>
      </c>
      <c r="AB7" s="38">
        <f>+[15]안양!$Q$89</f>
        <v>81857.903841041989</v>
      </c>
      <c r="AC7" s="31">
        <f>+[15]안양!$R$89</f>
        <v>88596.361821605315</v>
      </c>
      <c r="AD7" s="39">
        <f>+[16]안양!$Q$89</f>
        <v>82531.062187079748</v>
      </c>
      <c r="AE7" s="38">
        <f>+Y7-AB7</f>
        <v>16486.85591334397</v>
      </c>
      <c r="AF7" s="31">
        <f>+Z7-AC7</f>
        <v>17791.199279226465</v>
      </c>
      <c r="AG7" s="39">
        <f>+AA7-AD7</f>
        <v>15494.601211983725</v>
      </c>
      <c r="AH7" s="15"/>
      <c r="AI7" s="16"/>
      <c r="AJ7" s="453"/>
      <c r="AK7" s="453"/>
      <c r="AO7"/>
      <c r="AP7"/>
      <c r="AQ7"/>
      <c r="AR7"/>
      <c r="AS7"/>
    </row>
    <row r="8" spans="1:45" s="6" customFormat="1" ht="22.5" customHeight="1" x14ac:dyDescent="0.3">
      <c r="B8" s="6" t="s">
        <v>19</v>
      </c>
      <c r="G8" s="306" t="str">
        <f t="shared" ref="G8:G26" si="1">+I8</f>
        <v>인천</v>
      </c>
      <c r="H8" s="69" t="s">
        <v>41</v>
      </c>
      <c r="I8" s="70" t="s">
        <v>19</v>
      </c>
      <c r="J8" s="40">
        <f>+IFERROR(HLOOKUP($B8,'[1]2월누계'!$D$6:$BN$259,2,),)/1000</f>
        <v>47</v>
      </c>
      <c r="K8" s="41">
        <f>+IFERROR(HLOOKUP($B8,'[2]2월누계'!$F$6:$CP$99,2,),)/1000</f>
        <v>43.34</v>
      </c>
      <c r="L8" s="42">
        <f t="shared" si="0"/>
        <v>-3.6599999999999966</v>
      </c>
      <c r="M8" s="43">
        <f>+IFERROR(HLOOKUP($B8,'[3]2월누계'!$F$6:$CC$57,2,),)/1000</f>
        <v>37.389000000000003</v>
      </c>
      <c r="N8" s="44">
        <f t="shared" ref="N8:N27" si="2">+K8-M8</f>
        <v>5.9510000000000005</v>
      </c>
      <c r="O8" s="40">
        <f>+IFERROR(HLOOKUP($B8,'[1]2월누계'!$D$6:$BN$259,3,),)/1000</f>
        <v>4701.3537180740723</v>
      </c>
      <c r="P8" s="41">
        <f>+IFERROR(HLOOKUP($B8,'[2]2월누계'!$F$6:$CP$99,3,),)/1000</f>
        <v>4441.4798639999999</v>
      </c>
      <c r="Q8" s="42">
        <f t="shared" ref="Q8:Q37" si="3">+P8-O8</f>
        <v>-259.87385407407237</v>
      </c>
      <c r="R8" s="43">
        <f>+IFERROR(HLOOKUP($B8,'[3]2월누계'!$F$6:$CC$57,3,),)/1000</f>
        <v>3697.3737119999996</v>
      </c>
      <c r="S8" s="44">
        <f t="shared" ref="S8:S37" si="4">+P8-R8</f>
        <v>744.10615200000029</v>
      </c>
      <c r="T8" s="40">
        <f>+IFERROR(HLOOKUP($B8,'[1]2월누계'!$D$6:$BN$259,16,),)/1000</f>
        <v>-65.318117476397191</v>
      </c>
      <c r="U8" s="41">
        <f>+IFERROR(HLOOKUP($B8,'[2]2월누계'!$F$6:$CP$99,16,),)/1000</f>
        <v>-108.80580900000032</v>
      </c>
      <c r="V8" s="42">
        <f t="shared" ref="V8:V27" si="5">+U8-T8</f>
        <v>-43.487691523603132</v>
      </c>
      <c r="W8" s="43">
        <f>+IFERROR(HLOOKUP($B8,'[3]2월누계'!$F$6:$CC$57,16,),)/1000</f>
        <v>-176.53010199999983</v>
      </c>
      <c r="X8" s="44">
        <f t="shared" ref="X8:X27" si="6">+U8-W8</f>
        <v>67.724292999999506</v>
      </c>
      <c r="Y8" s="40">
        <f>+[15]인천!$Q$85</f>
        <v>100028.8025122143</v>
      </c>
      <c r="Z8" s="41">
        <f>+[15]인천!$R$85</f>
        <v>102525.09291236516</v>
      </c>
      <c r="AA8" s="45">
        <f>+[16]인천!$Q$85</f>
        <v>98889.344780550426</v>
      </c>
      <c r="AB8" s="46">
        <f>+[15]인천!$Q$89</f>
        <v>87297.989668922528</v>
      </c>
      <c r="AC8" s="41">
        <f>+[15]인천!$R$89</f>
        <v>89895.044442386934</v>
      </c>
      <c r="AD8" s="47">
        <f>+[16]인천!$Q$89</f>
        <v>87267.399652638604</v>
      </c>
      <c r="AE8" s="46">
        <f t="shared" ref="AE8:AG27" si="7">+Y8-AB8</f>
        <v>12730.812843291773</v>
      </c>
      <c r="AF8" s="41">
        <f t="shared" si="7"/>
        <v>12630.048469978225</v>
      </c>
      <c r="AG8" s="47">
        <f t="shared" si="7"/>
        <v>11621.945127911822</v>
      </c>
      <c r="AH8" s="15"/>
      <c r="AI8" s="16"/>
      <c r="AJ8" s="453"/>
      <c r="AK8" s="453"/>
      <c r="AO8"/>
      <c r="AP8"/>
      <c r="AQ8"/>
      <c r="AR8"/>
      <c r="AS8"/>
    </row>
    <row r="9" spans="1:45" s="6" customFormat="1" ht="22.5" customHeight="1" x14ac:dyDescent="0.3">
      <c r="B9" s="6" t="s">
        <v>20</v>
      </c>
      <c r="G9" s="306" t="str">
        <f t="shared" si="1"/>
        <v>파주</v>
      </c>
      <c r="H9" s="69"/>
      <c r="I9" s="70" t="s">
        <v>20</v>
      </c>
      <c r="J9" s="40">
        <f>+IFERROR(HLOOKUP($B9,'[1]2월누계'!$D$6:$BN$259,2,),)/1000</f>
        <v>19</v>
      </c>
      <c r="K9" s="41">
        <f>+IFERROR(HLOOKUP($B9,'[2]2월누계'!$F$6:$CP$99,2,),)/1000</f>
        <v>15.925000000000001</v>
      </c>
      <c r="L9" s="42">
        <f t="shared" si="0"/>
        <v>-3.0749999999999993</v>
      </c>
      <c r="M9" s="43">
        <f>+IFERROR(HLOOKUP($B9,'[3]2월누계'!$F$6:$CC$57,2,),)/1000</f>
        <v>18.888000000000002</v>
      </c>
      <c r="N9" s="44">
        <f t="shared" si="2"/>
        <v>-2.963000000000001</v>
      </c>
      <c r="O9" s="40">
        <f>+IFERROR(HLOOKUP($B9,'[1]2월누계'!$D$6:$BN$259,3,),)/1000</f>
        <v>1790.5310216</v>
      </c>
      <c r="P9" s="41">
        <f>+IFERROR(HLOOKUP($B9,'[2]2월누계'!$F$6:$CP$99,3,),)/1000</f>
        <v>1578.1171999999999</v>
      </c>
      <c r="Q9" s="42">
        <f t="shared" si="3"/>
        <v>-212.41382160000012</v>
      </c>
      <c r="R9" s="43">
        <f>+IFERROR(HLOOKUP($B9,'[3]2월누계'!$F$6:$CC$57,3,),)/1000</f>
        <v>1818.6236000000001</v>
      </c>
      <c r="S9" s="44">
        <f t="shared" si="4"/>
        <v>-240.50640000000021</v>
      </c>
      <c r="T9" s="40">
        <f>+IFERROR(HLOOKUP($B9,'[1]2월누계'!$D$6:$BN$259,16,),)/1000</f>
        <v>-208.53352174159565</v>
      </c>
      <c r="U9" s="41">
        <f>+IFERROR(HLOOKUP($B9,'[2]2월누계'!$F$6:$CP$99,16,),)/1000</f>
        <v>-263.56187999999986</v>
      </c>
      <c r="V9" s="42">
        <f t="shared" si="5"/>
        <v>-55.028358258404211</v>
      </c>
      <c r="W9" s="43">
        <f>+IFERROR(HLOOKUP($B9,'[3]2월누계'!$F$6:$CC$57,16,),)/1000</f>
        <v>-149.2840149999997</v>
      </c>
      <c r="X9" s="44">
        <f t="shared" si="6"/>
        <v>-114.27786500000016</v>
      </c>
      <c r="Y9" s="40">
        <f>+[15]파주!$Q$85</f>
        <v>94238.47482105263</v>
      </c>
      <c r="Z9" s="41">
        <f>+[15]파주!$R$85</f>
        <v>99074.532047646062</v>
      </c>
      <c r="AA9" s="45">
        <f>+[16]파주!$Q$85</f>
        <v>96284.603981363834</v>
      </c>
      <c r="AB9" s="46">
        <f>+[15]파주!$Q$89</f>
        <v>80585.071035522546</v>
      </c>
      <c r="AC9" s="41">
        <f>+[15]파주!$R$89</f>
        <v>88595.501795501812</v>
      </c>
      <c r="AD9" s="47">
        <f>+[16]파주!$Q$89</f>
        <v>80397.387847994061</v>
      </c>
      <c r="AE9" s="46">
        <f t="shared" si="7"/>
        <v>13653.403785530085</v>
      </c>
      <c r="AF9" s="41">
        <f t="shared" si="7"/>
        <v>10479.03025214425</v>
      </c>
      <c r="AG9" s="47">
        <f t="shared" si="7"/>
        <v>15887.216133369773</v>
      </c>
      <c r="AH9" s="15"/>
      <c r="AI9" s="16"/>
      <c r="AJ9" s="453"/>
      <c r="AK9" s="457"/>
      <c r="AO9"/>
      <c r="AP9"/>
      <c r="AQ9"/>
      <c r="AR9"/>
      <c r="AS9"/>
    </row>
    <row r="10" spans="1:45" s="6" customFormat="1" ht="22.5" customHeight="1" x14ac:dyDescent="0.3">
      <c r="B10" s="6" t="s">
        <v>107</v>
      </c>
      <c r="G10" s="306" t="str">
        <f t="shared" si="1"/>
        <v>김포</v>
      </c>
      <c r="H10" s="69"/>
      <c r="I10" s="70" t="s">
        <v>106</v>
      </c>
      <c r="J10" s="40">
        <f>+IFERROR(HLOOKUP($B10,'[1]2월누계'!$D$6:$BN$259,2,),)/1000</f>
        <v>16</v>
      </c>
      <c r="K10" s="41">
        <f>+IFERROR(HLOOKUP($B10,'[2]2월누계'!$F$6:$CP$99,2,),)/1000</f>
        <v>14.327999999999999</v>
      </c>
      <c r="L10" s="42">
        <f t="shared" si="0"/>
        <v>-1.6720000000000006</v>
      </c>
      <c r="M10" s="43">
        <f>+IFERROR(HLOOKUP($B10,'[3]2월누계'!$F$6:$CC$57,2,),)/1000</f>
        <v>12.789</v>
      </c>
      <c r="N10" s="44">
        <f t="shared" si="2"/>
        <v>1.5389999999999997</v>
      </c>
      <c r="O10" s="40">
        <f>+IFERROR(HLOOKUP($B10,'[1]2월누계'!$D$6:$BN$259,3,),)/1000</f>
        <v>1609.4868552</v>
      </c>
      <c r="P10" s="41">
        <f>+IFERROR(HLOOKUP($B10,'[2]2월누계'!$F$6:$CP$99,3,),)/1000</f>
        <v>1404.9734350000001</v>
      </c>
      <c r="Q10" s="42">
        <f t="shared" si="3"/>
        <v>-204.51342019999993</v>
      </c>
      <c r="R10" s="43">
        <f>+IFERROR(HLOOKUP($B10,'[3]2월누계'!$F$6:$CC$57,3,),)/1000</f>
        <v>1231.1970019999999</v>
      </c>
      <c r="S10" s="44">
        <f t="shared" si="4"/>
        <v>173.77643300000022</v>
      </c>
      <c r="T10" s="40">
        <f>+IFERROR(HLOOKUP($B10,'[1]2월누계'!$D$6:$BN$259,16,),)/1000</f>
        <v>-96.434709425836829</v>
      </c>
      <c r="U10" s="41">
        <f>+IFERROR(HLOOKUP($B10,'[2]2월누계'!$F$6:$CP$99,16,),)/1000</f>
        <v>-220.93077299999999</v>
      </c>
      <c r="V10" s="42">
        <f t="shared" si="5"/>
        <v>-124.49606357416316</v>
      </c>
      <c r="W10" s="43">
        <f>+IFERROR(HLOOKUP($B10,'[3]2월누계'!$F$6:$CC$57,16,),)/1000</f>
        <v>-154.20577600000016</v>
      </c>
      <c r="X10" s="44">
        <f t="shared" si="6"/>
        <v>-66.724996999999831</v>
      </c>
      <c r="Y10" s="40">
        <f>+[15]김포!$Q$85</f>
        <v>100592.92845000001</v>
      </c>
      <c r="Z10" s="41">
        <f>+[15]김포!$R$85</f>
        <v>98054.885514834197</v>
      </c>
      <c r="AA10" s="45">
        <f>+[16]김포!$Q$85</f>
        <v>96287.156766064014</v>
      </c>
      <c r="AB10" s="46">
        <f>+[15]김포!$Q$89</f>
        <v>83191.399580781464</v>
      </c>
      <c r="AC10" s="41">
        <f>+[15]김포!$R$89</f>
        <v>87423.415850524398</v>
      </c>
      <c r="AD10" s="47">
        <f>+[16]김포!$Q$89</f>
        <v>82811.251466103684</v>
      </c>
      <c r="AE10" s="46">
        <f t="shared" si="7"/>
        <v>17401.528869218542</v>
      </c>
      <c r="AF10" s="41">
        <f t="shared" si="7"/>
        <v>10631.4696643098</v>
      </c>
      <c r="AG10" s="47">
        <f t="shared" si="7"/>
        <v>13475.90529996033</v>
      </c>
      <c r="AH10" s="15"/>
      <c r="AI10" s="16"/>
      <c r="AJ10" s="453"/>
      <c r="AK10" s="457"/>
      <c r="AO10"/>
      <c r="AP10"/>
      <c r="AQ10"/>
      <c r="AR10"/>
      <c r="AS10"/>
    </row>
    <row r="11" spans="1:45" s="6" customFormat="1" ht="22.5" customHeight="1" x14ac:dyDescent="0.3">
      <c r="B11" s="6" t="s">
        <v>21</v>
      </c>
      <c r="G11" s="304" t="str">
        <f t="shared" si="1"/>
        <v>부산</v>
      </c>
      <c r="H11" s="69"/>
      <c r="I11" s="71" t="s">
        <v>21</v>
      </c>
      <c r="J11" s="57">
        <f>+IFERROR(HLOOKUP($B11,'[1]2월누계'!$D$6:$BN$259,2,),)/1000</f>
        <v>34</v>
      </c>
      <c r="K11" s="58">
        <f>+IFERROR(HLOOKUP($B11,'[2]2월누계'!$F$6:$CP$99,2,),)/1000</f>
        <v>41.19</v>
      </c>
      <c r="L11" s="59">
        <f t="shared" si="0"/>
        <v>7.1899999999999977</v>
      </c>
      <c r="M11" s="60">
        <f>+IFERROR(HLOOKUP($B11,'[3]2월누계'!$F$6:$CC$57,2,),)/1000</f>
        <v>30.628</v>
      </c>
      <c r="N11" s="61">
        <f t="shared" si="2"/>
        <v>10.561999999999998</v>
      </c>
      <c r="O11" s="57">
        <f>+IFERROR(HLOOKUP($B11,'[1]2월누계'!$D$6:$BN$259,3,),)/1000</f>
        <v>3664.5848778</v>
      </c>
      <c r="P11" s="58">
        <f>+IFERROR(HLOOKUP($B11,'[2]2월누계'!$F$6:$CP$99,3,),)/1000</f>
        <v>4850.9997499999999</v>
      </c>
      <c r="Q11" s="59">
        <f t="shared" si="3"/>
        <v>1186.4148722</v>
      </c>
      <c r="R11" s="60">
        <f>+IFERROR(HLOOKUP($B11,'[3]2월누계'!$F$6:$CC$57,3,),)/1000</f>
        <v>3240.3391000000001</v>
      </c>
      <c r="S11" s="61">
        <f t="shared" si="4"/>
        <v>1610.6606499999998</v>
      </c>
      <c r="T11" s="57">
        <f>+IFERROR(HLOOKUP($B11,'[1]2월누계'!$D$6:$BN$259,16,),)/1000</f>
        <v>161.1732828028818</v>
      </c>
      <c r="U11" s="58">
        <f>+IFERROR(HLOOKUP($B11,'[2]2월누계'!$F$6:$CP$99,16,),)/1000</f>
        <v>480.14891199999943</v>
      </c>
      <c r="V11" s="59">
        <f t="shared" si="5"/>
        <v>318.97562919711766</v>
      </c>
      <c r="W11" s="60">
        <f>+IFERROR(HLOOKUP($B11,'[3]2월누계'!$F$6:$CC$57,16,),)/1000</f>
        <v>160.24381700000018</v>
      </c>
      <c r="X11" s="61">
        <f t="shared" si="6"/>
        <v>319.90509499999928</v>
      </c>
      <c r="Y11" s="57">
        <f>+[15]부산!$Q$85</f>
        <v>107781.90817058824</v>
      </c>
      <c r="Z11" s="58">
        <f>+[15]부산!$R$85</f>
        <v>117771.29764505947</v>
      </c>
      <c r="AA11" s="62">
        <f>+[16]부산!$Q$85</f>
        <v>105796.62726916547</v>
      </c>
      <c r="AB11" s="63">
        <f>+[15]부산!$Q$89</f>
        <v>87130.255377366222</v>
      </c>
      <c r="AC11" s="58">
        <f>+[15]부산!$R$89</f>
        <v>93134.196709376833</v>
      </c>
      <c r="AD11" s="64">
        <f>+[16]부산!$Q$89</f>
        <v>84537.42596996449</v>
      </c>
      <c r="AE11" s="63">
        <f t="shared" si="7"/>
        <v>20651.65279322202</v>
      </c>
      <c r="AF11" s="58">
        <f t="shared" si="7"/>
        <v>24637.10093568264</v>
      </c>
      <c r="AG11" s="64">
        <f t="shared" si="7"/>
        <v>21259.201299200984</v>
      </c>
      <c r="AH11" s="15"/>
      <c r="AI11" s="16"/>
      <c r="AJ11" s="459"/>
      <c r="AK11" s="453"/>
      <c r="AL11" s="457"/>
      <c r="AM11" s="81"/>
      <c r="AO11"/>
      <c r="AP11"/>
      <c r="AQ11"/>
      <c r="AR11"/>
      <c r="AS11"/>
    </row>
    <row r="12" spans="1:45" s="6" customFormat="1" ht="22.5" customHeight="1" x14ac:dyDescent="0.3">
      <c r="B12" s="6" t="s">
        <v>22</v>
      </c>
      <c r="G12" s="304" t="str">
        <f t="shared" si="1"/>
        <v>서부산</v>
      </c>
      <c r="H12" s="69"/>
      <c r="I12" s="70" t="s">
        <v>22</v>
      </c>
      <c r="J12" s="40">
        <f>+IFERROR(HLOOKUP($B12,'[1]2월누계'!$D$6:$BN$259,2,),)/1000</f>
        <v>34</v>
      </c>
      <c r="K12" s="41">
        <f>+IFERROR(HLOOKUP($B12,'[2]2월누계'!$F$6:$CP$99,2,),)/1000</f>
        <v>28.274000000000001</v>
      </c>
      <c r="L12" s="42">
        <f t="shared" si="0"/>
        <v>-5.7259999999999991</v>
      </c>
      <c r="M12" s="43">
        <f>+IFERROR(HLOOKUP($B12,'[3]2월누계'!$F$6:$CC$57,2,),)/1000</f>
        <v>30.295999999999999</v>
      </c>
      <c r="N12" s="44">
        <f t="shared" si="2"/>
        <v>-2.0219999999999985</v>
      </c>
      <c r="O12" s="40">
        <f>+IFERROR(HLOOKUP($B12,'[1]2월누계'!$D$6:$BN$259,3,),)/1000</f>
        <v>3401.8116219300005</v>
      </c>
      <c r="P12" s="41">
        <f>+IFERROR(HLOOKUP($B12,'[2]2월누계'!$F$6:$CP$99,3,),)/1000</f>
        <v>2978.6869100000004</v>
      </c>
      <c r="Q12" s="42">
        <f t="shared" si="3"/>
        <v>-423.1247119300001</v>
      </c>
      <c r="R12" s="43">
        <f>+IFERROR(HLOOKUP($B12,'[3]2월누계'!$F$6:$CC$57,3,),)/1000</f>
        <v>2920.6093999999998</v>
      </c>
      <c r="S12" s="44">
        <f t="shared" si="4"/>
        <v>58.07751000000053</v>
      </c>
      <c r="T12" s="40">
        <f>+IFERROR(HLOOKUP($B12,'[1]2월누계'!$D$6:$BN$259,16,),)/1000</f>
        <v>257.03375633615053</v>
      </c>
      <c r="U12" s="41">
        <f>+IFERROR(HLOOKUP($B12,'[2]2월누계'!$F$6:$CP$99,16,),)/1000</f>
        <v>178.5332040000005</v>
      </c>
      <c r="V12" s="42">
        <f t="shared" si="5"/>
        <v>-78.500552336150037</v>
      </c>
      <c r="W12" s="43">
        <f>+IFERROR(HLOOKUP($B12,'[3]2월누계'!$F$6:$CC$57,16,),)/1000</f>
        <v>112.66152699999979</v>
      </c>
      <c r="X12" s="44">
        <f t="shared" si="6"/>
        <v>65.871677000000702</v>
      </c>
      <c r="Y12" s="40">
        <f>+[15]서부산!$Q$85</f>
        <v>100053.28299794118</v>
      </c>
      <c r="Z12" s="41">
        <f>+[15]서부산!$R$85</f>
        <v>105343.83214260451</v>
      </c>
      <c r="AA12" s="45">
        <f>+[16]서부산!$Q$85</f>
        <v>96402.475574333235</v>
      </c>
      <c r="AB12" s="46">
        <f>+[15]서부산!$Q$89</f>
        <v>78883.737053413875</v>
      </c>
      <c r="AC12" s="41">
        <f>+[15]서부산!$R$89</f>
        <v>81949.245412924196</v>
      </c>
      <c r="AD12" s="47">
        <f>+[16]서부산!$Q$89</f>
        <v>77993.925104515671</v>
      </c>
      <c r="AE12" s="46">
        <f t="shared" si="7"/>
        <v>21169.545944527301</v>
      </c>
      <c r="AF12" s="41">
        <f t="shared" si="7"/>
        <v>23394.586729680319</v>
      </c>
      <c r="AG12" s="47">
        <f t="shared" si="7"/>
        <v>18408.550469817565</v>
      </c>
      <c r="AH12" s="15"/>
      <c r="AI12" s="16"/>
      <c r="AJ12" s="453"/>
      <c r="AK12" s="457"/>
      <c r="AO12"/>
      <c r="AP12"/>
      <c r="AQ12"/>
      <c r="AR12"/>
      <c r="AS12"/>
    </row>
    <row r="13" spans="1:45" s="6" customFormat="1" ht="22.5" customHeight="1" x14ac:dyDescent="0.3">
      <c r="B13" s="6" t="s">
        <v>23</v>
      </c>
      <c r="G13" s="304" t="str">
        <f t="shared" si="1"/>
        <v>김해</v>
      </c>
      <c r="H13" s="69"/>
      <c r="I13" s="70" t="s">
        <v>23</v>
      </c>
      <c r="J13" s="40">
        <f>+IFERROR(HLOOKUP($B13,'[1]2월누계'!$D$6:$BN$259,2,),)/1000</f>
        <v>14</v>
      </c>
      <c r="K13" s="41">
        <f>+IFERROR(HLOOKUP($B13,'[2]2월누계'!$F$6:$CP$99,2,),)/1000</f>
        <v>9.83</v>
      </c>
      <c r="L13" s="42">
        <f t="shared" si="0"/>
        <v>-4.17</v>
      </c>
      <c r="M13" s="43">
        <f>+IFERROR(HLOOKUP($B13,'[3]2월누계'!$F$6:$CC$57,2,),)/1000</f>
        <v>9.7970000000000006</v>
      </c>
      <c r="N13" s="44">
        <f t="shared" si="2"/>
        <v>3.2999999999999474E-2</v>
      </c>
      <c r="O13" s="40">
        <f>+IFERROR(HLOOKUP($B13,'[1]2월누계'!$D$6:$BN$259,3,),)/1000</f>
        <v>1345.5116156399999</v>
      </c>
      <c r="P13" s="41">
        <f>+IFERROR(HLOOKUP($B13,'[2]2월누계'!$F$6:$CP$99,3,),)/1000</f>
        <v>948.74869999999999</v>
      </c>
      <c r="Q13" s="42">
        <f t="shared" si="3"/>
        <v>-396.76291563999996</v>
      </c>
      <c r="R13" s="43">
        <f>+IFERROR(HLOOKUP($B13,'[3]2월누계'!$F$6:$CC$57,3,),)/1000</f>
        <v>946.10990000000004</v>
      </c>
      <c r="S13" s="44">
        <f t="shared" si="4"/>
        <v>2.6387999999999465</v>
      </c>
      <c r="T13" s="40">
        <f>+IFERROR(HLOOKUP($B13,'[1]2월누계'!$D$6:$BN$259,16,),)/1000</f>
        <v>-71.551452867816977</v>
      </c>
      <c r="U13" s="41">
        <f>+IFERROR(HLOOKUP($B13,'[2]2월누계'!$F$6:$CP$99,16,),)/1000</f>
        <v>-131.51089999999988</v>
      </c>
      <c r="V13" s="42">
        <f t="shared" si="5"/>
        <v>-59.959447132182902</v>
      </c>
      <c r="W13" s="43">
        <f>+IFERROR(HLOOKUP($B13,'[3]2월누계'!$F$6:$CC$57,16,),)/1000</f>
        <v>-137.97554900000014</v>
      </c>
      <c r="X13" s="44">
        <f t="shared" si="6"/>
        <v>6.4646490000002643</v>
      </c>
      <c r="Y13" s="40">
        <f>+[15]김해!$Q$85</f>
        <v>96107.972545714292</v>
      </c>
      <c r="Z13" s="41">
        <f>+[15]김해!$R$85</f>
        <v>96515.635808748732</v>
      </c>
      <c r="AA13" s="45">
        <f>+[16]김해!$Q$85</f>
        <v>96617.04616670149</v>
      </c>
      <c r="AB13" s="46">
        <f>+[15]김해!$Q$89</f>
        <v>80088.917544209165</v>
      </c>
      <c r="AC13" s="41">
        <f>+[15]김해!$R$89</f>
        <v>79619.366632756864</v>
      </c>
      <c r="AD13" s="47">
        <f>+[16]김해!$Q$89</f>
        <v>79590.53603509505</v>
      </c>
      <c r="AE13" s="46">
        <f t="shared" si="7"/>
        <v>16019.055001505127</v>
      </c>
      <c r="AF13" s="41">
        <f t="shared" si="7"/>
        <v>16896.269175991867</v>
      </c>
      <c r="AG13" s="47">
        <f t="shared" si="7"/>
        <v>17026.510131606439</v>
      </c>
      <c r="AH13" s="15"/>
      <c r="AI13" s="16"/>
      <c r="AJ13" s="453"/>
      <c r="AK13" s="457"/>
      <c r="AO13"/>
      <c r="AP13"/>
      <c r="AQ13"/>
      <c r="AR13"/>
      <c r="AS13"/>
    </row>
    <row r="14" spans="1:45" s="6" customFormat="1" ht="22.5" customHeight="1" x14ac:dyDescent="0.3">
      <c r="B14" s="6" t="s">
        <v>24</v>
      </c>
      <c r="G14" s="304" t="str">
        <f t="shared" si="1"/>
        <v>정관</v>
      </c>
      <c r="H14" s="69"/>
      <c r="I14" s="70" t="s">
        <v>24</v>
      </c>
      <c r="J14" s="40">
        <f>+IFERROR(HLOOKUP($B14,'[1]2월누계'!$D$6:$BN$259,2,),)/1000</f>
        <v>37</v>
      </c>
      <c r="K14" s="41">
        <f>+IFERROR(HLOOKUP($B14,'[2]2월누계'!$F$6:$CP$99,2,),)/1000</f>
        <v>20.620999999999999</v>
      </c>
      <c r="L14" s="42">
        <f t="shared" si="0"/>
        <v>-16.379000000000001</v>
      </c>
      <c r="M14" s="43">
        <f>+IFERROR(HLOOKUP($B14,'[3]2월누계'!$F$6:$CC$57,2,),)/1000</f>
        <v>34.533000000000001</v>
      </c>
      <c r="N14" s="44">
        <f t="shared" si="2"/>
        <v>-13.912000000000003</v>
      </c>
      <c r="O14" s="40">
        <f>+IFERROR(HLOOKUP($B14,'[1]2월누계'!$D$6:$BN$259,3,),)/1000</f>
        <v>3696.2030977300001</v>
      </c>
      <c r="P14" s="41">
        <f>+IFERROR(HLOOKUP($B14,'[2]2월누계'!$F$6:$CP$99,3,),)/1000</f>
        <v>2163.123</v>
      </c>
      <c r="Q14" s="42">
        <f t="shared" si="3"/>
        <v>-1533.08009773</v>
      </c>
      <c r="R14" s="43">
        <f>+IFERROR(HLOOKUP($B14,'[3]2월누계'!$F$6:$CC$57,3,),)/1000</f>
        <v>3573.7502000000004</v>
      </c>
      <c r="S14" s="44">
        <f t="shared" si="4"/>
        <v>-1410.6272000000004</v>
      </c>
      <c r="T14" s="40">
        <f>+IFERROR(HLOOKUP($B14,'[1]2월누계'!$D$6:$BN$259,16,),)/1000</f>
        <v>136.07841645487113</v>
      </c>
      <c r="U14" s="41">
        <f>+IFERROR(HLOOKUP($B14,'[2]2월누계'!$F$6:$CP$99,16,),)/1000</f>
        <v>-113.65394900000014</v>
      </c>
      <c r="V14" s="42">
        <f t="shared" si="5"/>
        <v>-249.73236545487129</v>
      </c>
      <c r="W14" s="43">
        <f>+IFERROR(HLOOKUP($B14,'[3]2월누계'!$F$6:$CC$57,16,),)/1000</f>
        <v>245.21988699999991</v>
      </c>
      <c r="X14" s="44">
        <f t="shared" si="6"/>
        <v>-358.87383600000004</v>
      </c>
      <c r="Y14" s="40">
        <f>+[15]정관!$Q$85</f>
        <v>99897.381019729743</v>
      </c>
      <c r="Z14" s="41">
        <f>+[15]정관!$R$85</f>
        <v>104899.03496435673</v>
      </c>
      <c r="AA14" s="45">
        <f>+[16]정관!$Q$85</f>
        <v>103487.97382214114</v>
      </c>
      <c r="AB14" s="46">
        <f>+[15]정관!$Q$89</f>
        <v>84061.184376805279</v>
      </c>
      <c r="AC14" s="41">
        <f>+[15]정관!$R$89</f>
        <v>87290.566296601537</v>
      </c>
      <c r="AD14" s="47">
        <f>+[16]정관!$Q$89</f>
        <v>85181.269977714095</v>
      </c>
      <c r="AE14" s="46">
        <f t="shared" si="7"/>
        <v>15836.196642924464</v>
      </c>
      <c r="AF14" s="41">
        <f t="shared" si="7"/>
        <v>17608.468667755194</v>
      </c>
      <c r="AG14" s="47">
        <f t="shared" si="7"/>
        <v>18306.703844427044</v>
      </c>
      <c r="AH14" s="15"/>
      <c r="AI14" s="16"/>
      <c r="AJ14" s="453"/>
      <c r="AK14" s="457"/>
      <c r="AO14"/>
      <c r="AP14"/>
      <c r="AQ14"/>
      <c r="AR14"/>
      <c r="AS14"/>
    </row>
    <row r="15" spans="1:45" s="6" customFormat="1" ht="22.5" customHeight="1" x14ac:dyDescent="0.3">
      <c r="B15" s="6" t="s">
        <v>25</v>
      </c>
      <c r="G15" s="304" t="str">
        <f t="shared" si="1"/>
        <v>양산</v>
      </c>
      <c r="H15" s="69"/>
      <c r="I15" s="70" t="s">
        <v>25</v>
      </c>
      <c r="J15" s="40">
        <f>+IFERROR(HLOOKUP($B15,'[1]2월누계'!$D$6:$BN$259,2,),)/1000</f>
        <v>12</v>
      </c>
      <c r="K15" s="41">
        <f>+IFERROR(HLOOKUP($B15,'[2]2월누계'!$F$6:$CP$99,2,),)/1000</f>
        <v>8.5739999999999998</v>
      </c>
      <c r="L15" s="42">
        <f t="shared" si="0"/>
        <v>-3.4260000000000002</v>
      </c>
      <c r="M15" s="43">
        <f>+IFERROR(HLOOKUP($B15,'[3]2월누계'!$F$6:$CC$57,2,),)/1000</f>
        <v>14.013999999999999</v>
      </c>
      <c r="N15" s="44">
        <f t="shared" si="2"/>
        <v>-5.4399999999999995</v>
      </c>
      <c r="O15" s="40">
        <f>+IFERROR(HLOOKUP($B15,'[1]2월누계'!$D$6:$BN$259,3,),)/1000</f>
        <v>1151.0697519999999</v>
      </c>
      <c r="P15" s="41">
        <f>+IFERROR(HLOOKUP($B15,'[2]2월누계'!$F$6:$CP$99,3,),)/1000</f>
        <v>867.44239999999991</v>
      </c>
      <c r="Q15" s="42">
        <f t="shared" si="3"/>
        <v>-283.62735199999997</v>
      </c>
      <c r="R15" s="43">
        <f>+IFERROR(HLOOKUP($B15,'[3]2월누계'!$F$6:$CC$57,3,),)/1000</f>
        <v>1330.9843999999998</v>
      </c>
      <c r="S15" s="44">
        <f t="shared" si="4"/>
        <v>-463.54199999999992</v>
      </c>
      <c r="T15" s="40">
        <f>+IFERROR(HLOOKUP($B15,'[1]2월누계'!$D$6:$BN$259,16,),)/1000</f>
        <v>-71.146106909535121</v>
      </c>
      <c r="U15" s="41">
        <f>+IFERROR(HLOOKUP($B15,'[2]2월누계'!$F$6:$CP$99,16,),)/1000</f>
        <v>-95.344321000000164</v>
      </c>
      <c r="V15" s="42">
        <f t="shared" si="5"/>
        <v>-24.198214090465044</v>
      </c>
      <c r="W15" s="43">
        <f>+IFERROR(HLOOKUP($B15,'[3]2월누계'!$F$6:$CC$57,16,),)/1000</f>
        <v>-17.321488000000166</v>
      </c>
      <c r="X15" s="44">
        <f t="shared" si="6"/>
        <v>-78.022832999999991</v>
      </c>
      <c r="Y15" s="40">
        <f>+[15]양산!$Q$85</f>
        <v>95922.479333333322</v>
      </c>
      <c r="Z15" s="41">
        <f>+[15]양산!$R$85</f>
        <v>101171.26195474689</v>
      </c>
      <c r="AA15" s="45">
        <f>+[16]양산!$Q$85</f>
        <v>94975.338946767501</v>
      </c>
      <c r="AB15" s="46">
        <f>+[15]양산!$Q$89</f>
        <v>77130.892946164939</v>
      </c>
      <c r="AC15" s="41">
        <f>+[15]양산!$R$89</f>
        <v>80814.402729181238</v>
      </c>
      <c r="AD15" s="47">
        <f>+[16]양산!$Q$89</f>
        <v>74723.736729452066</v>
      </c>
      <c r="AE15" s="46">
        <f t="shared" si="7"/>
        <v>18791.586387168383</v>
      </c>
      <c r="AF15" s="41">
        <f t="shared" si="7"/>
        <v>20356.859225565655</v>
      </c>
      <c r="AG15" s="47">
        <f t="shared" si="7"/>
        <v>20251.602217315434</v>
      </c>
      <c r="AH15" s="15"/>
      <c r="AI15" s="16"/>
      <c r="AJ15" s="453"/>
      <c r="AK15" s="457"/>
      <c r="AO15"/>
      <c r="AP15"/>
      <c r="AQ15"/>
      <c r="AR15"/>
      <c r="AS15"/>
    </row>
    <row r="16" spans="1:45" s="6" customFormat="1" ht="22.5" customHeight="1" x14ac:dyDescent="0.3">
      <c r="B16" s="6" t="s">
        <v>26</v>
      </c>
      <c r="G16" s="304" t="str">
        <f t="shared" si="1"/>
        <v>창원</v>
      </c>
      <c r="H16" s="69"/>
      <c r="I16" s="70" t="s">
        <v>26</v>
      </c>
      <c r="J16" s="40">
        <f>+IFERROR(HLOOKUP($B16,'[1]2월누계'!$D$6:$BN$259,2,),)/1000</f>
        <v>16.999999999999993</v>
      </c>
      <c r="K16" s="41">
        <f>+IFERROR(HLOOKUP($B16,'[2]2월누계'!$F$6:$CP$99,2,),)/1000</f>
        <v>16.934000000000001</v>
      </c>
      <c r="L16" s="42">
        <f t="shared" si="0"/>
        <v>-6.5999999999991843E-2</v>
      </c>
      <c r="M16" s="43">
        <f>+IFERROR(HLOOKUP($B16,'[3]2월누계'!$F$6:$CC$57,2,),)/1000</f>
        <v>19.934000000000001</v>
      </c>
      <c r="N16" s="44">
        <f t="shared" si="2"/>
        <v>-3</v>
      </c>
      <c r="O16" s="40">
        <f>+IFERROR(HLOOKUP($B16,'[1]2월누계'!$D$6:$BN$259,3,),)/1000</f>
        <v>1671.786318701766</v>
      </c>
      <c r="P16" s="41">
        <f>+IFERROR(HLOOKUP($B16,'[2]2월누계'!$F$6:$CP$99,3,),)/1000</f>
        <v>1649.9161000000001</v>
      </c>
      <c r="Q16" s="42">
        <f t="shared" si="3"/>
        <v>-21.870218701765907</v>
      </c>
      <c r="R16" s="43">
        <f>+IFERROR(HLOOKUP($B16,'[3]2월누계'!$F$6:$CC$57,3,),)/1000</f>
        <v>2001.3247000000001</v>
      </c>
      <c r="S16" s="44">
        <f t="shared" si="4"/>
        <v>-351.40859999999998</v>
      </c>
      <c r="T16" s="40">
        <f>+IFERROR(HLOOKUP($B16,'[1]2월누계'!$D$6:$BN$259,16,),)/1000</f>
        <v>-41.279720823817762</v>
      </c>
      <c r="U16" s="41">
        <f>+IFERROR(HLOOKUP($B16,'[2]2월누계'!$F$6:$CP$99,16,),)/1000</f>
        <v>-18.894894999999973</v>
      </c>
      <c r="V16" s="42">
        <f t="shared" si="5"/>
        <v>22.384825823817788</v>
      </c>
      <c r="W16" s="43">
        <f>+IFERROR(HLOOKUP($B16,'[3]2월누계'!$F$6:$CC$57,16,),)/1000</f>
        <v>115.95934000000032</v>
      </c>
      <c r="X16" s="44">
        <f t="shared" si="6"/>
        <v>-134.8542350000003</v>
      </c>
      <c r="Y16" s="40">
        <f>+[15]창원!$Q$85</f>
        <v>98340.371688339219</v>
      </c>
      <c r="Z16" s="41">
        <f>+[15]창원!$R$85</f>
        <v>97432.154245895828</v>
      </c>
      <c r="AA16" s="45">
        <f>+[16]창원!$Q$85</f>
        <v>100397.54690478579</v>
      </c>
      <c r="AB16" s="46">
        <f>+[15]창원!$Q$89</f>
        <v>79262.709606080127</v>
      </c>
      <c r="AC16" s="41">
        <f>+[15]창원!$R$89</f>
        <v>75847.004133695533</v>
      </c>
      <c r="AD16" s="47">
        <f>+[16]창원!$Q$89</f>
        <v>75938.512992876495</v>
      </c>
      <c r="AE16" s="46">
        <f t="shared" si="7"/>
        <v>19077.662082259092</v>
      </c>
      <c r="AF16" s="41">
        <f t="shared" si="7"/>
        <v>21585.150112200296</v>
      </c>
      <c r="AG16" s="47">
        <f t="shared" si="7"/>
        <v>24459.033911909297</v>
      </c>
      <c r="AH16" s="15"/>
      <c r="AI16" s="16"/>
      <c r="AJ16" s="453"/>
      <c r="AK16" s="457"/>
      <c r="AO16"/>
      <c r="AP16"/>
      <c r="AQ16"/>
      <c r="AR16"/>
      <c r="AS16"/>
    </row>
    <row r="17" spans="2:45" s="6" customFormat="1" ht="22.5" customHeight="1" x14ac:dyDescent="0.3">
      <c r="B17" s="6" t="s">
        <v>69</v>
      </c>
      <c r="G17" s="304" t="str">
        <f t="shared" si="1"/>
        <v>대구</v>
      </c>
      <c r="H17" s="69"/>
      <c r="I17" s="70" t="s">
        <v>69</v>
      </c>
      <c r="J17" s="40">
        <f>+IFERROR(HLOOKUP($B17,'[1]2월누계'!$D$6:$BN$259,2,),)/1000</f>
        <v>13</v>
      </c>
      <c r="K17" s="41">
        <f>+IFERROR(HLOOKUP($B17,'[2]2월누계'!$F$6:$CP$99,2,),)/1000</f>
        <v>7.0914999999999999</v>
      </c>
      <c r="L17" s="42">
        <f t="shared" si="0"/>
        <v>-5.9085000000000001</v>
      </c>
      <c r="M17" s="43">
        <f>+IFERROR(HLOOKUP($B17,'[3]2월누계'!$F$6:$CC$57,2,),)/1000</f>
        <v>18.966999999999999</v>
      </c>
      <c r="N17" s="44">
        <f t="shared" si="2"/>
        <v>-11.875499999999999</v>
      </c>
      <c r="O17" s="40">
        <f>+IFERROR(HLOOKUP($B17,'[1]2월누계'!$D$6:$BN$259,3,),)/1000</f>
        <v>1178.9537163569998</v>
      </c>
      <c r="P17" s="41">
        <f>+IFERROR(HLOOKUP($B17,'[2]2월누계'!$F$6:$CP$99,3,),)/1000</f>
        <v>630.10929500000009</v>
      </c>
      <c r="Q17" s="42">
        <f t="shared" si="3"/>
        <v>-548.84442135699976</v>
      </c>
      <c r="R17" s="43">
        <f>+IFERROR(HLOOKUP($B17,'[3]2월누계'!$F$6:$CC$57,3,),)/1000</f>
        <v>1814.5801690000001</v>
      </c>
      <c r="S17" s="44">
        <f t="shared" si="4"/>
        <v>-1184.4708740000001</v>
      </c>
      <c r="T17" s="40">
        <f>+IFERROR(HLOOKUP($B17,'[1]2월누계'!$D$6:$BN$259,16,),)/1000</f>
        <v>-74.589893266336063</v>
      </c>
      <c r="U17" s="41">
        <f>+IFERROR(HLOOKUP($B17,'[2]2월누계'!$F$6:$CP$99,16,),)/1000</f>
        <v>-182.91056400000002</v>
      </c>
      <c r="V17" s="42">
        <f t="shared" si="5"/>
        <v>-108.32067073366396</v>
      </c>
      <c r="W17" s="43">
        <f>+IFERROR(HLOOKUP($B17,'[3]2월누계'!$F$6:$CC$57,16,),)/1000</f>
        <v>33.549730999999781</v>
      </c>
      <c r="X17" s="44">
        <f t="shared" si="6"/>
        <v>-216.4602949999998</v>
      </c>
      <c r="Y17" s="40">
        <f>+[15]대구!$Q$85</f>
        <v>90688.747412076918</v>
      </c>
      <c r="Z17" s="41">
        <f>+[15]대구!$R$85</f>
        <v>88854.162730028911</v>
      </c>
      <c r="AA17" s="45">
        <f>+[16]대구!$Q$85</f>
        <v>95670.383771814202</v>
      </c>
      <c r="AB17" s="46">
        <f>+[15]대구!$Q$89</f>
        <v>73146.738057722658</v>
      </c>
      <c r="AC17" s="41">
        <f>+[15]대구!$R$89</f>
        <v>72854.847352464232</v>
      </c>
      <c r="AD17" s="47">
        <f>+[16]대구!$Q$89</f>
        <v>76909.190857805661</v>
      </c>
      <c r="AE17" s="46">
        <f t="shared" si="7"/>
        <v>17542.009354354261</v>
      </c>
      <c r="AF17" s="41">
        <f t="shared" si="7"/>
        <v>15999.315377564679</v>
      </c>
      <c r="AG17" s="47">
        <f t="shared" si="7"/>
        <v>18761.192914008541</v>
      </c>
      <c r="AH17" s="15"/>
      <c r="AI17" s="16"/>
      <c r="AJ17" s="453"/>
      <c r="AK17" s="457"/>
      <c r="AO17"/>
      <c r="AP17"/>
      <c r="AQ17"/>
      <c r="AR17"/>
      <c r="AS17"/>
    </row>
    <row r="18" spans="2:45" s="6" customFormat="1" ht="22.5" customHeight="1" x14ac:dyDescent="0.3">
      <c r="B18" s="6" t="s">
        <v>70</v>
      </c>
      <c r="G18" s="306" t="str">
        <f t="shared" si="1"/>
        <v>울산</v>
      </c>
      <c r="H18" s="69"/>
      <c r="I18" s="72" t="s">
        <v>70</v>
      </c>
      <c r="J18" s="7">
        <f>+IFERROR(HLOOKUP($B18,'[1]2월누계'!$D$6:$BN$259,2,),)/1000</f>
        <v>13</v>
      </c>
      <c r="K18" s="8">
        <f>+IFERROR(HLOOKUP($B18,'[2]2월누계'!$F$6:$CP$99,2,),)/1000</f>
        <v>20.021000000000001</v>
      </c>
      <c r="L18" s="9">
        <f t="shared" si="0"/>
        <v>7.0210000000000008</v>
      </c>
      <c r="M18" s="10">
        <f>+IFERROR(HLOOKUP($B18,'[3]2월누계'!$F$6:$CC$57,2,),)/1000</f>
        <v>18.847999999999999</v>
      </c>
      <c r="N18" s="11">
        <f t="shared" si="2"/>
        <v>1.1730000000000018</v>
      </c>
      <c r="O18" s="7">
        <f>+IFERROR(HLOOKUP($B18,'[1]2월누계'!$D$6:$BN$259,3,),)/1000</f>
        <v>1362.7923352999999</v>
      </c>
      <c r="P18" s="8">
        <f>+IFERROR(HLOOKUP($B18,'[2]2월누계'!$F$6:$CP$99,3,),)/1000</f>
        <v>2221.0737000000004</v>
      </c>
      <c r="Q18" s="9">
        <f t="shared" si="3"/>
        <v>858.28136470000049</v>
      </c>
      <c r="R18" s="10">
        <f>+IFERROR(HLOOKUP($B18,'[3]2월누계'!$F$6:$CC$57,3,),)/1000</f>
        <v>2026.0979</v>
      </c>
      <c r="S18" s="11">
        <f t="shared" si="4"/>
        <v>194.97580000000039</v>
      </c>
      <c r="T18" s="7">
        <f>+IFERROR(HLOOKUP($B18,'[1]2월누계'!$D$6:$BN$259,16,),)/1000</f>
        <v>-127.70621922086968</v>
      </c>
      <c r="U18" s="8">
        <f>+IFERROR(HLOOKUP($B18,'[2]2월누계'!$F$6:$CP$99,16,),)/1000</f>
        <v>95.465084000000147</v>
      </c>
      <c r="V18" s="9">
        <f t="shared" si="5"/>
        <v>223.17130322086985</v>
      </c>
      <c r="W18" s="10">
        <f>+IFERROR(HLOOKUP($B18,'[3]2월누계'!$F$6:$CC$57,16,),)/1000</f>
        <v>135.74100799999977</v>
      </c>
      <c r="X18" s="11">
        <f t="shared" si="6"/>
        <v>-40.27592399999962</v>
      </c>
      <c r="Y18" s="7">
        <f>+[15]울산!$Q$85</f>
        <v>104830.17963846153</v>
      </c>
      <c r="Z18" s="8">
        <f>+[15]울산!$R$85</f>
        <v>110937.20093901404</v>
      </c>
      <c r="AA18" s="12">
        <f>+[16]울산!$Q$85</f>
        <v>107496.70522071306</v>
      </c>
      <c r="AB18" s="13">
        <f>+[15]울산!$Q$89</f>
        <v>90166.637236690061</v>
      </c>
      <c r="AC18" s="8">
        <f>+[15]울산!$R$89</f>
        <v>89523.706959341493</v>
      </c>
      <c r="AD18" s="14">
        <f>+[16]울산!$Q$89</f>
        <v>85315.024594508621</v>
      </c>
      <c r="AE18" s="13">
        <f t="shared" si="7"/>
        <v>14663.542401771469</v>
      </c>
      <c r="AF18" s="8">
        <f t="shared" si="7"/>
        <v>21413.493979672552</v>
      </c>
      <c r="AG18" s="14">
        <f t="shared" si="7"/>
        <v>22181.680626204441</v>
      </c>
      <c r="AH18" s="15"/>
      <c r="AI18" s="16"/>
      <c r="AJ18" s="453"/>
      <c r="AK18" s="457"/>
      <c r="AO18"/>
      <c r="AP18"/>
      <c r="AQ18"/>
      <c r="AR18"/>
      <c r="AS18"/>
    </row>
    <row r="19" spans="2:45" s="6" customFormat="1" ht="22.5" customHeight="1" x14ac:dyDescent="0.3">
      <c r="B19" s="6" t="s">
        <v>75</v>
      </c>
      <c r="G19" s="306" t="str">
        <f t="shared" si="1"/>
        <v>아산</v>
      </c>
      <c r="H19" s="69"/>
      <c r="I19" s="70" t="s">
        <v>27</v>
      </c>
      <c r="J19" s="40">
        <f>+IFERROR(HLOOKUP($B19,'[1]2월누계'!$D$6:$BN$259,2,),)/1000</f>
        <v>20</v>
      </c>
      <c r="K19" s="41">
        <f>+IFERROR(HLOOKUP($B19,'[2]2월누계'!$F$6:$CP$99,2,),)/1000</f>
        <v>30.402000000000001</v>
      </c>
      <c r="L19" s="42">
        <f t="shared" si="0"/>
        <v>10.402000000000001</v>
      </c>
      <c r="M19" s="43">
        <f>+IFERROR(HLOOKUP($B19,'[3]2월누계'!$F$6:$CC$57,2,),)/1000</f>
        <v>34.762999999999998</v>
      </c>
      <c r="N19" s="44">
        <f t="shared" si="2"/>
        <v>-4.3609999999999971</v>
      </c>
      <c r="O19" s="40">
        <f>+IFERROR(HLOOKUP($B19,'[1]2월누계'!$D$6:$BN$259,3,),)/1000</f>
        <v>1974.3663199999999</v>
      </c>
      <c r="P19" s="41">
        <f>+IFERROR(HLOOKUP($B19,'[2]2월누계'!$F$6:$CP$99,3,),)/1000</f>
        <v>3130.9945750000002</v>
      </c>
      <c r="Q19" s="42">
        <f t="shared" si="3"/>
        <v>1156.6282550000003</v>
      </c>
      <c r="R19" s="43">
        <f>+IFERROR(HLOOKUP($B19,'[3]2월누계'!$F$6:$CC$57,3,),)/1000</f>
        <v>3502.3083370000004</v>
      </c>
      <c r="S19" s="44">
        <f t="shared" si="4"/>
        <v>-371.31376200000022</v>
      </c>
      <c r="T19" s="40">
        <f>+IFERROR(HLOOKUP($B19,'[1]2월누계'!$D$6:$BN$259,16,),)/1000</f>
        <v>-128.78124073108819</v>
      </c>
      <c r="U19" s="41">
        <f>+IFERROR(HLOOKUP($B19,'[2]2월누계'!$F$6:$CP$99,16,),)/1000</f>
        <v>-5.431115999999645</v>
      </c>
      <c r="V19" s="42">
        <f t="shared" si="5"/>
        <v>123.35012473108854</v>
      </c>
      <c r="W19" s="43">
        <f>+IFERROR(HLOOKUP($B19,'[3]2월누계'!$F$6:$CC$57,16,),)/1000</f>
        <v>40.915752000000374</v>
      </c>
      <c r="X19" s="44">
        <f t="shared" si="6"/>
        <v>-46.346868000000022</v>
      </c>
      <c r="Y19" s="40">
        <f>+[15]아산!$Q$85</f>
        <v>98718.315999999992</v>
      </c>
      <c r="Z19" s="41">
        <f>+[15]아산!$R$85</f>
        <v>102986.4671732123</v>
      </c>
      <c r="AA19" s="45">
        <f>+[16]아산!$Q$85</f>
        <v>100748.16146477578</v>
      </c>
      <c r="AB19" s="46">
        <f>+[15]아산!$Q$89</f>
        <v>80317.420261554391</v>
      </c>
      <c r="AC19" s="41">
        <f>+[15]아산!$R$89</f>
        <v>85963.069488292545</v>
      </c>
      <c r="AD19" s="47">
        <f>+[16]아산!$Q$89</f>
        <v>85903.774810144707</v>
      </c>
      <c r="AE19" s="46">
        <f t="shared" si="7"/>
        <v>18400.895738445601</v>
      </c>
      <c r="AF19" s="41">
        <f t="shared" si="7"/>
        <v>17023.39768491975</v>
      </c>
      <c r="AG19" s="47">
        <f t="shared" si="7"/>
        <v>14844.386654631075</v>
      </c>
      <c r="AH19" s="15"/>
      <c r="AI19" s="16"/>
      <c r="AJ19" s="453"/>
      <c r="AK19" s="457"/>
      <c r="AO19"/>
      <c r="AP19"/>
      <c r="AQ19"/>
      <c r="AR19"/>
      <c r="AS19"/>
    </row>
    <row r="20" spans="2:45" s="6" customFormat="1" ht="22.5" customHeight="1" x14ac:dyDescent="0.3">
      <c r="B20" s="6" t="s">
        <v>71</v>
      </c>
      <c r="G20" s="306" t="str">
        <f t="shared" si="1"/>
        <v>전주</v>
      </c>
      <c r="H20" s="69"/>
      <c r="I20" s="70" t="s">
        <v>71</v>
      </c>
      <c r="J20" s="40">
        <f>+IFERROR(HLOOKUP($B20,'[1]2월누계'!$D$6:$BN$259,2,),)/1000</f>
        <v>11</v>
      </c>
      <c r="K20" s="41">
        <f>+IFERROR(HLOOKUP($B20,'[2]2월누계'!$F$6:$CP$99,2,),)/1000</f>
        <v>14.8835</v>
      </c>
      <c r="L20" s="42">
        <f t="shared" si="0"/>
        <v>3.8834999999999997</v>
      </c>
      <c r="M20" s="43">
        <f>+IFERROR(HLOOKUP($B20,'[3]2월누계'!$F$6:$CC$57,2,),)/1000</f>
        <v>25.1265</v>
      </c>
      <c r="N20" s="44">
        <f t="shared" si="2"/>
        <v>-10.243</v>
      </c>
      <c r="O20" s="40">
        <f>+IFERROR(HLOOKUP($B20,'[1]2월누계'!$D$6:$BN$259,3,),)/1000</f>
        <v>1120.7539099999997</v>
      </c>
      <c r="P20" s="41">
        <f>+IFERROR(HLOOKUP($B20,'[2]2월누계'!$F$6:$CP$99,3,),)/1000</f>
        <v>1472.581398</v>
      </c>
      <c r="Q20" s="42">
        <f t="shared" si="3"/>
        <v>351.82748800000036</v>
      </c>
      <c r="R20" s="43">
        <f>+IFERROR(HLOOKUP($B20,'[3]2월누계'!$F$6:$CC$57,3,),)/1000</f>
        <v>2419.3250559999997</v>
      </c>
      <c r="S20" s="44">
        <f t="shared" si="4"/>
        <v>-946.74365799999964</v>
      </c>
      <c r="T20" s="40">
        <f>+IFERROR(HLOOKUP($B20,'[1]2월누계'!$D$6:$BN$259,16,),)/1000</f>
        <v>-71.759242541666893</v>
      </c>
      <c r="U20" s="41">
        <f>+IFERROR(HLOOKUP($B20,'[2]2월누계'!$F$6:$CP$99,16,),)/1000</f>
        <v>-91.461025999999833</v>
      </c>
      <c r="V20" s="42">
        <f t="shared" si="5"/>
        <v>-19.70178345833294</v>
      </c>
      <c r="W20" s="43">
        <f>+IFERROR(HLOOKUP($B20,'[3]2월누계'!$F$6:$CC$57,16,),)/1000</f>
        <v>252.88456599999969</v>
      </c>
      <c r="X20" s="44">
        <f t="shared" si="6"/>
        <v>-344.34559199999956</v>
      </c>
      <c r="Y20" s="40">
        <f>+[15]전주!$Q$85</f>
        <v>101886.71909090907</v>
      </c>
      <c r="Z20" s="41">
        <f>+[15]전주!$R$85</f>
        <v>98968.270617949165</v>
      </c>
      <c r="AA20" s="45">
        <f>+[16]전주!$Q$85</f>
        <v>96285.796111674921</v>
      </c>
      <c r="AB20" s="46">
        <f>+[15]전주!$Q$89</f>
        <v>79823.498614898985</v>
      </c>
      <c r="AC20" s="41">
        <f>+[15]전주!$R$89</f>
        <v>82739.654352584621</v>
      </c>
      <c r="AD20" s="47">
        <f>+[16]전주!$Q$89</f>
        <v>74212.461443602442</v>
      </c>
      <c r="AE20" s="46">
        <f t="shared" si="7"/>
        <v>22063.220476010087</v>
      </c>
      <c r="AF20" s="41">
        <f t="shared" si="7"/>
        <v>16228.616265364544</v>
      </c>
      <c r="AG20" s="47">
        <f t="shared" si="7"/>
        <v>22073.334668072479</v>
      </c>
      <c r="AH20" s="15"/>
      <c r="AI20" s="16"/>
      <c r="AJ20" s="453"/>
      <c r="AK20" s="457"/>
      <c r="AO20"/>
      <c r="AP20"/>
      <c r="AQ20"/>
      <c r="AR20"/>
      <c r="AS20"/>
    </row>
    <row r="21" spans="2:45" s="6" customFormat="1" ht="22.5" customHeight="1" x14ac:dyDescent="0.3">
      <c r="B21" s="6" t="s">
        <v>72</v>
      </c>
      <c r="G21" s="306" t="str">
        <f t="shared" si="1"/>
        <v>군산</v>
      </c>
      <c r="H21" s="69"/>
      <c r="I21" s="70" t="s">
        <v>72</v>
      </c>
      <c r="J21" s="40">
        <f>+IFERROR(HLOOKUP($B21,'[1]2월누계'!$D$6:$BN$259,2,),)/1000</f>
        <v>5</v>
      </c>
      <c r="K21" s="41">
        <f>+IFERROR(HLOOKUP($B21,'[2]2월누계'!$F$6:$CP$99,2,),)/1000</f>
        <v>4.0585000000000004</v>
      </c>
      <c r="L21" s="42">
        <f t="shared" si="0"/>
        <v>-0.94149999999999956</v>
      </c>
      <c r="M21" s="43">
        <f>+IFERROR(HLOOKUP($B21,'[3]2월누계'!$F$6:$CC$57,2,),)/1000</f>
        <v>6.5214999999999996</v>
      </c>
      <c r="N21" s="44">
        <f t="shared" si="2"/>
        <v>-2.4629999999999992</v>
      </c>
      <c r="O21" s="40">
        <f>+IFERROR(HLOOKUP($B21,'[1]2월누계'!$D$6:$BN$259,3,),)/1000</f>
        <v>578.91778799999997</v>
      </c>
      <c r="P21" s="41">
        <f>+IFERROR(HLOOKUP($B21,'[2]2월누계'!$F$6:$CP$99,3,),)/1000</f>
        <v>463.15998600000006</v>
      </c>
      <c r="Q21" s="42">
        <f t="shared" si="3"/>
        <v>-115.75780199999991</v>
      </c>
      <c r="R21" s="43">
        <f>+IFERROR(HLOOKUP($B21,'[3]2월누계'!$F$6:$CC$57,3,),)/1000</f>
        <v>708.43202699999995</v>
      </c>
      <c r="S21" s="44">
        <f t="shared" si="4"/>
        <v>-245.27204099999989</v>
      </c>
      <c r="T21" s="40">
        <f>+IFERROR(HLOOKUP($B21,'[1]2월누계'!$D$6:$BN$259,16,),)/1000</f>
        <v>17.596196502628128</v>
      </c>
      <c r="U21" s="41">
        <f>+IFERROR(HLOOKUP($B21,'[2]2월누계'!$F$6:$CP$99,16,),)/1000</f>
        <v>-16.544514999999926</v>
      </c>
      <c r="V21" s="42">
        <f t="shared" si="5"/>
        <v>-34.140711502628051</v>
      </c>
      <c r="W21" s="43">
        <f>+IFERROR(HLOOKUP($B21,'[3]2월누계'!$F$6:$CC$57,16,),)/1000</f>
        <v>67.924104999999983</v>
      </c>
      <c r="X21" s="44">
        <f t="shared" si="6"/>
        <v>-84.468619999999902</v>
      </c>
      <c r="Y21" s="40">
        <f>+[15]군산!$Q$85</f>
        <v>115783.5576</v>
      </c>
      <c r="Z21" s="41">
        <f>+[15]군산!$R$85</f>
        <v>114133.93392504932</v>
      </c>
      <c r="AA21" s="45">
        <f>+[16]군산!$Q$85</f>
        <v>108630.22724833245</v>
      </c>
      <c r="AB21" s="46">
        <f>+[15]군산!$Q$89</f>
        <v>76845.374699474371</v>
      </c>
      <c r="AC21" s="41">
        <f>+[15]군산!$R$89</f>
        <v>75360.750980392157</v>
      </c>
      <c r="AD21" s="47">
        <f>+[16]군산!$Q$89</f>
        <v>73564.860384880769</v>
      </c>
      <c r="AE21" s="46">
        <f t="shared" si="7"/>
        <v>38938.18290052563</v>
      </c>
      <c r="AF21" s="41">
        <f t="shared" si="7"/>
        <v>38773.182944657165</v>
      </c>
      <c r="AG21" s="47">
        <f t="shared" si="7"/>
        <v>35065.36686345168</v>
      </c>
      <c r="AH21" s="15"/>
      <c r="AI21" s="16"/>
      <c r="AJ21" s="453"/>
      <c r="AK21" s="457"/>
      <c r="AO21"/>
      <c r="AP21"/>
      <c r="AQ21"/>
      <c r="AR21"/>
      <c r="AS21"/>
    </row>
    <row r="22" spans="2:45" s="6" customFormat="1" ht="22.5" customHeight="1" x14ac:dyDescent="0.3">
      <c r="B22" s="6" t="s">
        <v>73</v>
      </c>
      <c r="G22" s="306" t="str">
        <f t="shared" si="1"/>
        <v>원주</v>
      </c>
      <c r="H22" s="69"/>
      <c r="I22" s="70" t="s">
        <v>73</v>
      </c>
      <c r="J22" s="40">
        <f>+IFERROR(HLOOKUP($B22,'[1]2월누계'!$D$6:$BN$259,2,),)/1000</f>
        <v>5.9998000000000005</v>
      </c>
      <c r="K22" s="41">
        <f>+IFERROR(HLOOKUP($B22,'[2]2월누계'!$F$6:$CP$99,2,),)/1000</f>
        <v>3.6204999999999998</v>
      </c>
      <c r="L22" s="42">
        <f t="shared" si="0"/>
        <v>-2.3793000000000006</v>
      </c>
      <c r="M22" s="43">
        <f>+IFERROR(HLOOKUP($B22,'[3]2월누계'!$F$6:$CC$57,2,),)/1000</f>
        <v>3.4060000000000001</v>
      </c>
      <c r="N22" s="44">
        <f t="shared" si="2"/>
        <v>0.21449999999999969</v>
      </c>
      <c r="O22" s="40">
        <f>+IFERROR(HLOOKUP($B22,'[1]2월누계'!$D$6:$BN$259,3,),)/1000</f>
        <v>688.70015080400003</v>
      </c>
      <c r="P22" s="41">
        <f>+IFERROR(HLOOKUP($B22,'[2]2월누계'!$F$6:$CP$99,3,),)/1000</f>
        <v>456.68469999999996</v>
      </c>
      <c r="Q22" s="42">
        <f t="shared" si="3"/>
        <v>-232.01545080400007</v>
      </c>
      <c r="R22" s="43">
        <f>+IFERROR(HLOOKUP($B22,'[3]2월누계'!$F$6:$CC$57,3,),)/1000</f>
        <v>386.84990000000005</v>
      </c>
      <c r="S22" s="44">
        <f t="shared" si="4"/>
        <v>69.834799999999916</v>
      </c>
      <c r="T22" s="40">
        <f>+IFERROR(HLOOKUP($B22,'[1]2월누계'!$D$6:$BN$259,16,),)/1000</f>
        <v>51.635531606124829</v>
      </c>
      <c r="U22" s="41">
        <f>+IFERROR(HLOOKUP($B22,'[2]2월누계'!$F$6:$CP$99,16,),)/1000</f>
        <v>-17.716925000000071</v>
      </c>
      <c r="V22" s="42">
        <f t="shared" si="5"/>
        <v>-69.352456606124903</v>
      </c>
      <c r="W22" s="43">
        <f>+IFERROR(HLOOKUP($B22,'[3]2월누계'!$F$6:$CC$57,16,),)/1000</f>
        <v>-40.546711000000016</v>
      </c>
      <c r="X22" s="44">
        <f t="shared" si="6"/>
        <v>22.829785999999945</v>
      </c>
      <c r="Y22" s="40">
        <f>+[15]원주!$Q$85</f>
        <v>114787.18470682355</v>
      </c>
      <c r="Z22" s="41">
        <f>+[15]원주!$R$85</f>
        <v>126138.57202043915</v>
      </c>
      <c r="AA22" s="45">
        <f>+[16]원주!$Q$85</f>
        <v>113578.94891368174</v>
      </c>
      <c r="AB22" s="46">
        <f>+[15]원주!$Q$89</f>
        <v>74532.430086204273</v>
      </c>
      <c r="AC22" s="41">
        <f>+[15]원주!$R$89</f>
        <v>82927.702527275236</v>
      </c>
      <c r="AD22" s="47">
        <f>+[16]원주!$Q$89</f>
        <v>75816.065179095705</v>
      </c>
      <c r="AE22" s="46">
        <f t="shared" si="7"/>
        <v>40254.754620619278</v>
      </c>
      <c r="AF22" s="41">
        <f t="shared" si="7"/>
        <v>43210.869493163918</v>
      </c>
      <c r="AG22" s="47">
        <f t="shared" si="7"/>
        <v>37762.883734586037</v>
      </c>
      <c r="AH22" s="15"/>
      <c r="AI22" s="16"/>
      <c r="AJ22" s="453"/>
      <c r="AK22" s="457"/>
      <c r="AO22"/>
      <c r="AP22"/>
      <c r="AQ22"/>
      <c r="AR22"/>
      <c r="AS22"/>
    </row>
    <row r="23" spans="2:45" s="6" customFormat="1" ht="22.5" customHeight="1" x14ac:dyDescent="0.3">
      <c r="B23" s="6" t="s">
        <v>74</v>
      </c>
      <c r="F23" s="79">
        <f>+K27-J27</f>
        <v>-19.870299999999986</v>
      </c>
      <c r="G23" s="304" t="str">
        <f t="shared" si="1"/>
        <v>제주</v>
      </c>
      <c r="H23" s="69"/>
      <c r="I23" s="70" t="s">
        <v>74</v>
      </c>
      <c r="J23" s="40">
        <f>+IFERROR(HLOOKUP($B23,'[1]2월누계'!$D$6:$BN$259,2,),)/1000</f>
        <v>11</v>
      </c>
      <c r="K23" s="41">
        <f>+IFERROR(HLOOKUP($B23,'[2]2월누계'!$F$6:$CP$99,2,),)/1000</f>
        <v>7.0454999999999997</v>
      </c>
      <c r="L23" s="42">
        <f t="shared" si="0"/>
        <v>-3.9545000000000003</v>
      </c>
      <c r="M23" s="43">
        <f>+IFERROR(HLOOKUP($B23,'[3]2월누계'!$F$6:$CC$57,2,),)/1000</f>
        <v>10.656499999999999</v>
      </c>
      <c r="N23" s="44">
        <f t="shared" si="2"/>
        <v>-3.6109999999999998</v>
      </c>
      <c r="O23" s="40">
        <f>+IFERROR(HLOOKUP($B23,'[1]2월누계'!$D$6:$BN$259,3,),)/1000</f>
        <v>1328.7048200000002</v>
      </c>
      <c r="P23" s="41">
        <f>+IFERROR(HLOOKUP($B23,'[2]2월누계'!$F$6:$CP$99,3,),)/1000</f>
        <v>887.31401300000005</v>
      </c>
      <c r="Q23" s="42">
        <f t="shared" si="3"/>
        <v>-441.39080700000011</v>
      </c>
      <c r="R23" s="43">
        <f>+IFERROR(HLOOKUP($B23,'[3]2월누계'!$F$6:$CC$57,3,),)/1000</f>
        <v>1290.951832</v>
      </c>
      <c r="S23" s="44">
        <f t="shared" si="4"/>
        <v>-403.63781899999992</v>
      </c>
      <c r="T23" s="40">
        <f>+IFERROR(HLOOKUP($B23,'[1]2월누계'!$D$6:$BN$259,16,),)/1000</f>
        <v>77.498135793258484</v>
      </c>
      <c r="U23" s="41">
        <f>+IFERROR(HLOOKUP($B23,'[2]2월누계'!$F$6:$CP$99,16,),)/1000</f>
        <v>-4.8598829999998161</v>
      </c>
      <c r="V23" s="42">
        <f t="shared" si="5"/>
        <v>-82.358018793258296</v>
      </c>
      <c r="W23" s="43">
        <f>+IFERROR(HLOOKUP($B23,'[3]2월누계'!$F$6:$CC$57,16,),)/1000</f>
        <v>122.23265299999989</v>
      </c>
      <c r="X23" s="44">
        <f t="shared" si="6"/>
        <v>-127.0925359999997</v>
      </c>
      <c r="Y23" s="40">
        <f>+[15]제주!$Q$85</f>
        <v>120791.34727272727</v>
      </c>
      <c r="Z23" s="41">
        <f>+[15]제주!$R$85</f>
        <v>125813.50502930746</v>
      </c>
      <c r="AA23" s="45">
        <f>+[16]제주!$Q$85</f>
        <v>120474.68774383138</v>
      </c>
      <c r="AB23" s="46">
        <f>+[15]제주!$Q$89</f>
        <v>94780.743522226461</v>
      </c>
      <c r="AC23" s="41">
        <f>+[15]제주!$R$89</f>
        <v>98365.531573236905</v>
      </c>
      <c r="AD23" s="47">
        <f>+[16]제주!$Q$89</f>
        <v>90181.471449561737</v>
      </c>
      <c r="AE23" s="46">
        <f t="shared" si="7"/>
        <v>26010.603750500813</v>
      </c>
      <c r="AF23" s="41">
        <f t="shared" si="7"/>
        <v>27447.973456070555</v>
      </c>
      <c r="AG23" s="47">
        <f t="shared" si="7"/>
        <v>30293.216294269645</v>
      </c>
      <c r="AH23" s="15"/>
      <c r="AI23" s="16"/>
      <c r="AJ23" s="453"/>
      <c r="AK23" s="457"/>
      <c r="AO23"/>
      <c r="AP23"/>
      <c r="AQ23"/>
      <c r="AR23"/>
      <c r="AS23"/>
    </row>
    <row r="24" spans="2:45" s="6" customFormat="1" ht="22.5" customHeight="1" x14ac:dyDescent="0.3">
      <c r="F24" s="463">
        <f>+K24/J24</f>
        <v>0.96103597122302165</v>
      </c>
      <c r="G24" s="307" t="str">
        <f t="shared" si="1"/>
        <v>수도권</v>
      </c>
      <c r="H24" s="69"/>
      <c r="I24" s="73" t="s">
        <v>42</v>
      </c>
      <c r="J24" s="20">
        <f>SUM(J7:J10)</f>
        <v>139</v>
      </c>
      <c r="K24" s="17">
        <f>SUM(K7:K10)</f>
        <v>133.584</v>
      </c>
      <c r="L24" s="18">
        <f t="shared" si="0"/>
        <v>-5.4159999999999968</v>
      </c>
      <c r="M24" s="22">
        <f>SUM(M7:M10)</f>
        <v>131.16800000000001</v>
      </c>
      <c r="N24" s="19">
        <f t="shared" si="2"/>
        <v>2.4159999999999968</v>
      </c>
      <c r="O24" s="20">
        <f>SUM(O7:O10)</f>
        <v>13707.022900874072</v>
      </c>
      <c r="P24" s="17">
        <f>SUM(P7:P10)</f>
        <v>13806.866677</v>
      </c>
      <c r="Q24" s="18">
        <f t="shared" si="3"/>
        <v>99.843776125928343</v>
      </c>
      <c r="R24" s="22">
        <f>SUM(R7:R10)</f>
        <v>12835.496881999999</v>
      </c>
      <c r="S24" s="19">
        <f t="shared" si="4"/>
        <v>971.36979500000052</v>
      </c>
      <c r="T24" s="20">
        <f>SUM(T7:T10)</f>
        <v>-84.53291819433467</v>
      </c>
      <c r="U24" s="17">
        <f>SUM(U7:U10)</f>
        <v>-208.65942600000079</v>
      </c>
      <c r="V24" s="18">
        <f t="shared" si="5"/>
        <v>-124.12650780566612</v>
      </c>
      <c r="W24" s="22">
        <f>SUM(W7:W10)</f>
        <v>-126.37774899999926</v>
      </c>
      <c r="X24" s="19">
        <f t="shared" si="6"/>
        <v>-82.281677000001537</v>
      </c>
      <c r="Y24" s="20">
        <f>+[15]수도권!$Q$85</f>
        <v>98611.675545856648</v>
      </c>
      <c r="Z24" s="17">
        <f>+[15]수도권!$R$85</f>
        <v>103371.72153540501</v>
      </c>
      <c r="AA24" s="21">
        <f>+[16]수도권!$Q$85</f>
        <v>97851.268109902041</v>
      </c>
      <c r="AB24" s="25">
        <f>+[15]수도권!$Q$89</f>
        <v>83676.868894576866</v>
      </c>
      <c r="AC24" s="17">
        <f>+[15]수도권!$R$89</f>
        <v>88890.066224669441</v>
      </c>
      <c r="AD24" s="26">
        <f>+[16]수도권!$Q$89</f>
        <v>83605.223298299243</v>
      </c>
      <c r="AE24" s="25">
        <f t="shared" si="7"/>
        <v>14934.806651279781</v>
      </c>
      <c r="AF24" s="17">
        <f t="shared" si="7"/>
        <v>14481.655310735572</v>
      </c>
      <c r="AG24" s="26">
        <f t="shared" si="7"/>
        <v>14246.044811602798</v>
      </c>
      <c r="AH24" s="15"/>
      <c r="AI24" s="16"/>
      <c r="AJ24" s="453"/>
      <c r="AK24" s="457"/>
      <c r="AO24"/>
      <c r="AP24"/>
      <c r="AQ24"/>
      <c r="AR24"/>
      <c r="AS24"/>
    </row>
    <row r="25" spans="2:45" s="6" customFormat="1" ht="22.5" customHeight="1" x14ac:dyDescent="0.3">
      <c r="F25" s="463">
        <f>+K25/J25</f>
        <v>0.87664080459770122</v>
      </c>
      <c r="G25" s="304" t="str">
        <f t="shared" si="1"/>
        <v>영남권</v>
      </c>
      <c r="H25" s="69"/>
      <c r="I25" s="73" t="s">
        <v>43</v>
      </c>
      <c r="J25" s="20">
        <f>SUM(J11:J18)</f>
        <v>174</v>
      </c>
      <c r="K25" s="17">
        <f>SUM(K11:K18)</f>
        <v>152.53550000000001</v>
      </c>
      <c r="L25" s="18">
        <f t="shared" si="0"/>
        <v>-21.464499999999987</v>
      </c>
      <c r="M25" s="22">
        <f>SUM(M11:M18)</f>
        <v>177.017</v>
      </c>
      <c r="N25" s="19">
        <f t="shared" si="2"/>
        <v>-24.481499999999983</v>
      </c>
      <c r="O25" s="20">
        <f>SUM(O11:O18)</f>
        <v>17472.713335458768</v>
      </c>
      <c r="P25" s="17">
        <f>SUM(P11:P18)</f>
        <v>16310.099855</v>
      </c>
      <c r="Q25" s="18">
        <f t="shared" si="3"/>
        <v>-1162.6134804587673</v>
      </c>
      <c r="R25" s="22">
        <f>SUM(R11:R18)</f>
        <v>17853.795769</v>
      </c>
      <c r="S25" s="19">
        <f t="shared" si="4"/>
        <v>-1543.6959139999999</v>
      </c>
      <c r="T25" s="20">
        <f>SUM(T11:T18)</f>
        <v>168.01206250552792</v>
      </c>
      <c r="U25" s="17">
        <f>SUM(U11:U18)</f>
        <v>211.83257099999997</v>
      </c>
      <c r="V25" s="18">
        <f t="shared" si="5"/>
        <v>43.820508494472051</v>
      </c>
      <c r="W25" s="22">
        <f>SUM(W11:W18)</f>
        <v>648.0782729999994</v>
      </c>
      <c r="X25" s="19">
        <f t="shared" si="6"/>
        <v>-436.24570199999943</v>
      </c>
      <c r="Y25" s="20">
        <f>+[15]영남권!$Q$85</f>
        <v>100417.89273252165</v>
      </c>
      <c r="Z25" s="17">
        <f>+[15]영남권!$R$85</f>
        <v>106925.3023394554</v>
      </c>
      <c r="AA25" s="21">
        <f>+[16]영남권!$Q$85</f>
        <v>100867.09655870675</v>
      </c>
      <c r="AB25" s="25">
        <f>+[15]영남권!$Q$89</f>
        <v>82023.534871792828</v>
      </c>
      <c r="AC25" s="17">
        <f>+[15]영남권!$R$89</f>
        <v>85365.7070411483</v>
      </c>
      <c r="AD25" s="26">
        <f>+[16]영남권!$Q$89</f>
        <v>80740.081721491471</v>
      </c>
      <c r="AE25" s="25">
        <f t="shared" si="7"/>
        <v>18394.357860728822</v>
      </c>
      <c r="AF25" s="17">
        <f t="shared" si="7"/>
        <v>21559.595298307104</v>
      </c>
      <c r="AG25" s="26">
        <f t="shared" si="7"/>
        <v>20127.014837215276</v>
      </c>
      <c r="AH25" s="15"/>
      <c r="AI25" s="16"/>
      <c r="AJ25" s="453"/>
      <c r="AK25" s="457"/>
      <c r="AO25"/>
      <c r="AP25"/>
      <c r="AQ25"/>
      <c r="AR25"/>
      <c r="AS25"/>
    </row>
    <row r="26" spans="2:45" s="6" customFormat="1" ht="22.5" customHeight="1" x14ac:dyDescent="0.3">
      <c r="F26" s="463">
        <f>+K26/J26</f>
        <v>1.1322684236544289</v>
      </c>
      <c r="G26" s="304" t="str">
        <f t="shared" si="1"/>
        <v>중부권</v>
      </c>
      <c r="H26" s="69"/>
      <c r="I26" s="73" t="s">
        <v>104</v>
      </c>
      <c r="J26" s="20">
        <f>SUM(J19:J23)</f>
        <v>52.9998</v>
      </c>
      <c r="K26" s="17">
        <f>SUM(K19:K23)</f>
        <v>60.01</v>
      </c>
      <c r="L26" s="18">
        <f t="shared" si="0"/>
        <v>7.0101999999999975</v>
      </c>
      <c r="M26" s="22">
        <f>SUM(M19:M23)</f>
        <v>80.473500000000001</v>
      </c>
      <c r="N26" s="19">
        <f t="shared" si="2"/>
        <v>-20.463500000000003</v>
      </c>
      <c r="O26" s="20">
        <f>SUM(O19:O23)</f>
        <v>5691.4429888039995</v>
      </c>
      <c r="P26" s="17">
        <f>SUM(P19:P23)</f>
        <v>6410.7346719999996</v>
      </c>
      <c r="Q26" s="18">
        <f t="shared" si="3"/>
        <v>719.29168319600012</v>
      </c>
      <c r="R26" s="22">
        <f>SUM(R19:R23)</f>
        <v>8307.8671520000007</v>
      </c>
      <c r="S26" s="19">
        <f t="shared" si="4"/>
        <v>-1897.1324800000011</v>
      </c>
      <c r="T26" s="20">
        <f>SUM(T19:T23)</f>
        <v>-53.810619370743638</v>
      </c>
      <c r="U26" s="17">
        <f>SUM(U19:U23)</f>
        <v>-136.01346499999929</v>
      </c>
      <c r="V26" s="18">
        <f t="shared" si="5"/>
        <v>-82.202845629255648</v>
      </c>
      <c r="W26" s="22">
        <f>SUM(W19:W23)</f>
        <v>443.41036499999996</v>
      </c>
      <c r="X26" s="19">
        <f t="shared" si="6"/>
        <v>-579.42382999999927</v>
      </c>
      <c r="Y26" s="20">
        <f>+[15]중부권!$Q$85</f>
        <v>107386.12200053583</v>
      </c>
      <c r="Z26" s="17">
        <f>+[15]중부권!$R$85</f>
        <v>106781.86564831916</v>
      </c>
      <c r="AA26" s="21">
        <f>+[16]중부권!$Q$85</f>
        <v>102977.57780273701</v>
      </c>
      <c r="AB26" s="25">
        <f>+[15]중부권!$Q$89</f>
        <v>82234.303077899312</v>
      </c>
      <c r="AC26" s="17">
        <f>+[15]중부권!$R$89</f>
        <v>85689.559334207472</v>
      </c>
      <c r="AD26" s="26">
        <f>+[16]중부권!$Q$89</f>
        <v>81312.557262666043</v>
      </c>
      <c r="AE26" s="25">
        <f t="shared" si="7"/>
        <v>25151.818922636521</v>
      </c>
      <c r="AF26" s="17">
        <f t="shared" si="7"/>
        <v>21092.306314111687</v>
      </c>
      <c r="AG26" s="26">
        <f t="shared" si="7"/>
        <v>21665.020540070967</v>
      </c>
      <c r="AH26" s="15"/>
      <c r="AI26" s="16"/>
      <c r="AJ26" s="453"/>
      <c r="AK26" s="457"/>
      <c r="AO26"/>
      <c r="AP26"/>
      <c r="AQ26"/>
      <c r="AR26"/>
      <c r="AS26"/>
    </row>
    <row r="27" spans="2:45" s="1" customFormat="1" ht="22.5" customHeight="1" x14ac:dyDescent="0.3">
      <c r="B27" s="23"/>
      <c r="F27" s="452">
        <f>+K27/M27</f>
        <v>0.89057488772276949</v>
      </c>
      <c r="G27" s="306">
        <f>+K27/J27</f>
        <v>0.94570953317460837</v>
      </c>
      <c r="H27" s="238" t="s">
        <v>93</v>
      </c>
      <c r="I27" s="239"/>
      <c r="J27" s="240">
        <f>SUM(J24:J26)</f>
        <v>365.99979999999999</v>
      </c>
      <c r="K27" s="241">
        <f>SUM(K24:K26)</f>
        <v>346.12950000000001</v>
      </c>
      <c r="L27" s="242">
        <f t="shared" si="0"/>
        <v>-19.870299999999986</v>
      </c>
      <c r="M27" s="243">
        <f>SUM(M24:M26)</f>
        <v>388.6585</v>
      </c>
      <c r="N27" s="244">
        <f t="shared" si="2"/>
        <v>-42.528999999999996</v>
      </c>
      <c r="O27" s="240">
        <f>SUM(O24:O26)</f>
        <v>36871.179225136839</v>
      </c>
      <c r="P27" s="241">
        <f>SUM(P24:P26)</f>
        <v>36527.701203999997</v>
      </c>
      <c r="Q27" s="242">
        <f t="shared" si="3"/>
        <v>-343.47802113684156</v>
      </c>
      <c r="R27" s="243">
        <f>SUM(R24:R26)</f>
        <v>38997.159803000002</v>
      </c>
      <c r="S27" s="244">
        <f t="shared" si="4"/>
        <v>-2469.4585990000051</v>
      </c>
      <c r="T27" s="240">
        <f>SUM(T24:T26)</f>
        <v>29.668524940449615</v>
      </c>
      <c r="U27" s="241">
        <f>SUM(U24:U26)</f>
        <v>-132.8403200000001</v>
      </c>
      <c r="V27" s="242">
        <f t="shared" si="5"/>
        <v>-162.50884494044971</v>
      </c>
      <c r="W27" s="243">
        <f>SUM(W24:W26)</f>
        <v>965.11088900000004</v>
      </c>
      <c r="X27" s="244">
        <f t="shared" si="6"/>
        <v>-1097.9512090000001</v>
      </c>
      <c r="Y27" s="240">
        <f>+[15]합계!$Q$85</f>
        <v>100740.98189435306</v>
      </c>
      <c r="Z27" s="241">
        <f>+[15]합계!$R$85</f>
        <v>105529.58691678525</v>
      </c>
      <c r="AA27" s="245">
        <f>+[16]합계!$Q$85</f>
        <v>100282.95748359266</v>
      </c>
      <c r="AB27" s="246">
        <f>+[15]합계!$Q$89</f>
        <v>82681.961739613471</v>
      </c>
      <c r="AC27" s="241">
        <f>+[15]합계!$R$89</f>
        <v>86780.294354792131</v>
      </c>
      <c r="AD27" s="247">
        <f>+[16]합계!$Q$89</f>
        <v>81815.649760285844</v>
      </c>
      <c r="AE27" s="246">
        <f t="shared" si="7"/>
        <v>18059.020154739585</v>
      </c>
      <c r="AF27" s="241">
        <f t="shared" si="7"/>
        <v>18749.292561993119</v>
      </c>
      <c r="AG27" s="247">
        <f t="shared" si="7"/>
        <v>18467.307723306818</v>
      </c>
      <c r="AH27" s="24"/>
      <c r="AI27" s="461"/>
      <c r="AJ27" s="462"/>
      <c r="AK27" s="457"/>
      <c r="AL27" s="23"/>
      <c r="AO27"/>
      <c r="AP27"/>
      <c r="AQ27"/>
      <c r="AR27"/>
      <c r="AS27"/>
    </row>
    <row r="28" spans="2:45" s="6" customFormat="1" ht="22.5" customHeight="1" x14ac:dyDescent="0.3">
      <c r="B28" s="6" t="s">
        <v>3</v>
      </c>
      <c r="E28" s="6" t="s">
        <v>179</v>
      </c>
      <c r="G28" s="304" t="s">
        <v>3</v>
      </c>
      <c r="H28" s="75" t="s">
        <v>1</v>
      </c>
      <c r="I28" s="68" t="s">
        <v>112</v>
      </c>
      <c r="J28" s="50">
        <f>+IFERROR(HLOOKUP($B29,'[1]2월누계'!$D$6:$BN$259,2,),)/1000</f>
        <v>37.935200559440567</v>
      </c>
      <c r="K28" s="51">
        <f>+IFERROR(HLOOKUP($C29,'[2]2월누계'!$F$6:$CP$99,2,),)/1000</f>
        <v>32.695999999999998</v>
      </c>
      <c r="L28" s="32">
        <f t="shared" si="0"/>
        <v>-5.2392005594405688</v>
      </c>
      <c r="M28" s="32">
        <f>+IFERROR(HLOOKUP($C29,'[3]2월누계'!$F$6:$CC$57,2,),)/1000</f>
        <v>45.152999999999999</v>
      </c>
      <c r="N28" s="52">
        <f>+K28-M28</f>
        <v>-12.457000000000001</v>
      </c>
      <c r="O28" s="50">
        <f>+IFERROR(HLOOKUP($B29,'[1]2월누계'!$D$6:$BN$259,3,),)/1000</f>
        <v>1080.1413020979021</v>
      </c>
      <c r="P28" s="51">
        <f>+IFERROR(HLOOKUP($C29,'[2]2월누계'!$F$6:$CP$99,3,),)/1000</f>
        <v>940.47749999999996</v>
      </c>
      <c r="Q28" s="32">
        <f t="shared" si="3"/>
        <v>-139.66380209790213</v>
      </c>
      <c r="R28" s="32">
        <f>+IFERROR(HLOOKUP($C29,'[3]2월누계'!$F$6:$CC$57,3,),)/1000</f>
        <v>1251.7284999999999</v>
      </c>
      <c r="S28" s="52">
        <f t="shared" si="4"/>
        <v>-311.25099999999998</v>
      </c>
      <c r="T28" s="50">
        <f>+IFERROR(HLOOKUP($B29,'[1]2월누계'!$D$6:$BN$259,21,),)/1000</f>
        <v>7.8397553847088348</v>
      </c>
      <c r="U28" s="51">
        <f>+IFERROR(HLOOKUP($C29,'[2]2월누계'!$F$6:$CP$99,21,),)/1000</f>
        <v>26.674856521649925</v>
      </c>
      <c r="V28" s="32">
        <f>+U28-T28</f>
        <v>18.835101136941091</v>
      </c>
      <c r="W28" s="32">
        <f>+IFERROR(HLOOKUP($C29,'[3]2월누계'!$F$6:$CC$57,21,),)/1000</f>
        <v>2.5895542725256453</v>
      </c>
      <c r="X28" s="52">
        <f>+U28-W28</f>
        <v>24.085302249124279</v>
      </c>
      <c r="Y28" s="258"/>
      <c r="Z28" s="259"/>
      <c r="AA28" s="259"/>
      <c r="AB28" s="259"/>
      <c r="AC28" s="259"/>
      <c r="AD28" s="259"/>
      <c r="AE28" s="259"/>
      <c r="AF28" s="259"/>
      <c r="AG28" s="260"/>
      <c r="AH28" s="15"/>
      <c r="AI28" s="16"/>
      <c r="AJ28" s="453"/>
      <c r="AK28" s="457"/>
      <c r="AO28"/>
      <c r="AP28"/>
      <c r="AQ28"/>
      <c r="AR28"/>
      <c r="AS28"/>
    </row>
    <row r="29" spans="2:45" s="6" customFormat="1" ht="22.5" customHeight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+IFERROR(HLOOKUP($B30,'[1]2월누계'!$D$6:$BN$259,2,),)/1000</f>
        <v>78.900386666666662</v>
      </c>
      <c r="K29" s="53">
        <f>+IFERROR(HLOOKUP($C30,'[2]2월누계'!$F$6:$CP$99,2,),)/1000</f>
        <v>41.787999999999997</v>
      </c>
      <c r="L29" s="42">
        <f t="shared" si="0"/>
        <v>-37.112386666666666</v>
      </c>
      <c r="M29" s="42">
        <f>+IFERROR(HLOOKUP($C30,'[3]2월누계'!$F$6:$CC$57,2,),)/1000</f>
        <v>13.95</v>
      </c>
      <c r="N29" s="54">
        <f>+K29-M29</f>
        <v>27.837999999999997</v>
      </c>
      <c r="O29" s="48">
        <f>+IFERROR(HLOOKUP($B30,'[1]2월누계'!$D$6:$BN$259,3,),)/1000</f>
        <v>1012.9065833333334</v>
      </c>
      <c r="P29" s="53">
        <f>+IFERROR(HLOOKUP($C30,'[2]2월누계'!$F$6:$CP$99,3,),)/1000</f>
        <v>602.68799999999999</v>
      </c>
      <c r="Q29" s="42">
        <f t="shared" si="3"/>
        <v>-410.21858333333341</v>
      </c>
      <c r="R29" s="42">
        <f>+IFERROR(HLOOKUP($C30,'[3]2월누계'!$F$6:$CC$57,3,),)/1000</f>
        <v>190.50200000000001</v>
      </c>
      <c r="S29" s="54">
        <f t="shared" si="4"/>
        <v>412.18599999999998</v>
      </c>
      <c r="T29" s="48">
        <f>+IFERROR(HLOOKUP($B30,'[1]2월누계'!$D$6:$BN$259,21,),)/1000</f>
        <v>40.21666412332236</v>
      </c>
      <c r="U29" s="53">
        <f>+IFERROR(HLOOKUP($C30,'[2]2월누계'!$F$6:$CP$99,21,),)/1000</f>
        <v>-137.19421842910117</v>
      </c>
      <c r="V29" s="42">
        <f>+U29-T29</f>
        <v>-177.41088255242352</v>
      </c>
      <c r="W29" s="42">
        <f>+IFERROR(HLOOKUP($C30,'[3]2월누계'!$F$6:$CC$57,21,),)/1000</f>
        <v>-116.57832251332211</v>
      </c>
      <c r="X29" s="54">
        <f>+U29-W29</f>
        <v>-20.615895915779063</v>
      </c>
      <c r="Y29" s="464"/>
      <c r="Z29" s="210"/>
      <c r="AA29" s="210"/>
      <c r="AB29" s="311"/>
      <c r="AC29" s="210"/>
      <c r="AD29" s="210"/>
      <c r="AE29" s="210"/>
      <c r="AF29" s="210"/>
      <c r="AG29" s="45"/>
      <c r="AH29" s="15"/>
      <c r="AI29" s="210"/>
      <c r="AJ29" s="453"/>
      <c r="AK29" s="457"/>
    </row>
    <row r="30" spans="2:45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+IFERROR(HLOOKUP($B31,'[1]2월누계'!$D$6:$BN$259,2,),)/1000</f>
        <v>18.218239999999998</v>
      </c>
      <c r="K30" s="53">
        <f>+IFERROR(HLOOKUP($C31,'[2]2월누계'!$F$6:$CP$99,2,),)/1000</f>
        <v>31.683</v>
      </c>
      <c r="L30" s="42">
        <f t="shared" si="0"/>
        <v>13.464760000000002</v>
      </c>
      <c r="M30" s="42">
        <f>+IFERROR(HLOOKUP($C31,'[3]2월누계'!$F$6:$CC$57,2,),)/1000</f>
        <v>47.085999999999999</v>
      </c>
      <c r="N30" s="54">
        <f>+K30-M30</f>
        <v>-15.402999999999999</v>
      </c>
      <c r="O30" s="48">
        <f>+IFERROR(HLOOKUP($B31,'[1]2월누계'!$D$6:$BN$259,3,),)/1000</f>
        <v>367.70835999999997</v>
      </c>
      <c r="P30" s="53">
        <f>+IFERROR(HLOOKUP($C31,'[2]2월누계'!$F$6:$CP$99,3,),)/1000</f>
        <v>631.11330000000009</v>
      </c>
      <c r="Q30" s="42">
        <f t="shared" si="3"/>
        <v>263.40494000000012</v>
      </c>
      <c r="R30" s="42">
        <f>+IFERROR(HLOOKUP($C31,'[3]2월누계'!$F$6:$CC$57,3,),)/1000</f>
        <v>852.101</v>
      </c>
      <c r="S30" s="54">
        <f t="shared" si="4"/>
        <v>-220.9876999999999</v>
      </c>
      <c r="T30" s="48">
        <f>+IFERROR(HLOOKUP($B31,'[1]2월누계'!$D$6:$BN$259,21,),)/1000</f>
        <v>-253.87235836586348</v>
      </c>
      <c r="U30" s="53">
        <f>+IFERROR(HLOOKUP($C31,'[2]2월누계'!$F$6:$CP$99,21,),)/1000</f>
        <v>-226.75833468000002</v>
      </c>
      <c r="V30" s="42">
        <f>+U30-T30</f>
        <v>27.114023685863458</v>
      </c>
      <c r="W30" s="42">
        <f>+IFERROR(HLOOKUP($C31,'[3]2월누계'!$F$6:$CC$57,21,),)/1000</f>
        <v>-264.24082289999984</v>
      </c>
      <c r="X30" s="54">
        <f>+U30-W30</f>
        <v>37.482488219999823</v>
      </c>
      <c r="Y30" s="464"/>
      <c r="Z30" s="210"/>
      <c r="AA30" s="210"/>
      <c r="AB30" s="210"/>
      <c r="AC30" s="210"/>
      <c r="AD30" s="210"/>
      <c r="AE30" s="210"/>
      <c r="AF30" s="210"/>
      <c r="AG30" s="45"/>
      <c r="AH30" s="15"/>
      <c r="AI30" s="210"/>
      <c r="AJ30" s="210">
        <f>+(AC30-AC31)*AD36</f>
        <v>0</v>
      </c>
      <c r="AK30" s="210"/>
      <c r="AL30" s="81"/>
    </row>
    <row r="31" spans="2:45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135.05382722610724</v>
      </c>
      <c r="K31" s="129">
        <f>SUM(K28:K30)</f>
        <v>106.167</v>
      </c>
      <c r="L31" s="127">
        <f t="shared" si="0"/>
        <v>-28.886827226107243</v>
      </c>
      <c r="M31" s="127">
        <f>SUM(M28:M30)</f>
        <v>106.18899999999999</v>
      </c>
      <c r="N31" s="128">
        <f>+K31-M31</f>
        <v>-2.199999999999136E-2</v>
      </c>
      <c r="O31" s="125">
        <f>SUM(O28:O30)</f>
        <v>2460.7562454312356</v>
      </c>
      <c r="P31" s="129">
        <f>SUM(P28:P30)</f>
        <v>2174.2788</v>
      </c>
      <c r="Q31" s="127">
        <f t="shared" si="3"/>
        <v>-286.47744543123554</v>
      </c>
      <c r="R31" s="127">
        <f>SUM(R28:R30)</f>
        <v>2294.3314999999998</v>
      </c>
      <c r="S31" s="128">
        <f t="shared" si="4"/>
        <v>-120.05269999999973</v>
      </c>
      <c r="T31" s="125">
        <f>SUM(T28:T30)</f>
        <v>-205.81593885783229</v>
      </c>
      <c r="U31" s="129">
        <f>SUM(U28:U30)</f>
        <v>-337.27769658745126</v>
      </c>
      <c r="V31" s="127">
        <f>+U31-T31</f>
        <v>-131.46175772961897</v>
      </c>
      <c r="W31" s="127">
        <f>SUM(W28:W30)</f>
        <v>-378.22959114079629</v>
      </c>
      <c r="X31" s="128">
        <f>+U31-W31</f>
        <v>40.951894553345028</v>
      </c>
      <c r="Y31" s="464"/>
      <c r="Z31" s="210"/>
      <c r="AA31" s="210"/>
      <c r="AB31" s="210"/>
      <c r="AC31" s="210"/>
      <c r="AD31" s="210"/>
      <c r="AE31" s="210"/>
      <c r="AF31" s="210"/>
      <c r="AG31" s="45"/>
      <c r="AH31" s="15"/>
      <c r="AI31" s="210"/>
      <c r="AJ31" s="210">
        <f>+AD35*120*10</f>
        <v>0</v>
      </c>
      <c r="AK31" s="210"/>
      <c r="AL31" s="81"/>
    </row>
    <row r="32" spans="2:45" s="1" customFormat="1" ht="22.5" customHeight="1" x14ac:dyDescent="0.3">
      <c r="G32" s="308"/>
      <c r="H32" s="78" t="s">
        <v>4</v>
      </c>
      <c r="I32" s="77" t="s">
        <v>79</v>
      </c>
      <c r="J32" s="40"/>
      <c r="K32" s="41"/>
      <c r="L32" s="43">
        <f t="shared" si="0"/>
        <v>0</v>
      </c>
      <c r="M32" s="42"/>
      <c r="N32" s="54">
        <f>+K32-M32</f>
        <v>0</v>
      </c>
      <c r="O32" s="40">
        <f>(IFERROR(HLOOKUP($B33,'[1]2월누계'!$D$6:$BN$259,3,),)++IFERROR(HLOOKUP($C33,'[1]2월누계'!$D$6:$BN$259,3,),)+IFERROR(HLOOKUP($D33,'[1]2월누계'!$D$6:$BN$259,3,),))/1000</f>
        <v>83.333333333333343</v>
      </c>
      <c r="P32" s="41">
        <f>+IFERROR(HLOOKUP($E33,'[2]2월누계'!$F$6:$CP$99,3,),)/1000</f>
        <v>86.68</v>
      </c>
      <c r="Q32" s="43">
        <f t="shared" si="3"/>
        <v>3.346666666666664</v>
      </c>
      <c r="R32" s="42">
        <f>+IFERROR(HLOOKUP($E33,'[3]2월누계'!$F$6:$CC$57,3,),)/1000</f>
        <v>181.68</v>
      </c>
      <c r="S32" s="54">
        <f t="shared" si="4"/>
        <v>-95</v>
      </c>
      <c r="T32" s="40">
        <f>(IFERROR(HLOOKUP($B33,'[1]2월누계'!$D$6:$BN$259,21,),)++IFERROR(HLOOKUP($C33,'[1]2월누계'!$D$6:$BN$259,21,),)+IFERROR(HLOOKUP($D33,'[1]2월누계'!$D$6:$BN$259,21,),))/1000</f>
        <v>59.257395333333335</v>
      </c>
      <c r="U32" s="41">
        <f>+IFERROR(HLOOKUP($E33,'[2]2월누계'!$F$6:$CP$99,16,),)/1000</f>
        <v>47.143695000000001</v>
      </c>
      <c r="V32" s="43">
        <f t="shared" ref="V32:V38" si="8">+U32-T32</f>
        <v>-12.113700333333334</v>
      </c>
      <c r="W32" s="42">
        <f>+IFERROR(HLOOKUP($E33,'[3]2월누계'!$F$6:$CC$57,16,),)/1000</f>
        <v>144.836229</v>
      </c>
      <c r="X32" s="54">
        <f t="shared" ref="X32:X40" si="9">+U32-W32</f>
        <v>-97.692533999999995</v>
      </c>
      <c r="Y32" s="464"/>
      <c r="Z32" s="210"/>
      <c r="AA32" s="210"/>
      <c r="AB32" s="210"/>
      <c r="AC32" s="210"/>
      <c r="AD32" s="210"/>
      <c r="AE32" s="210"/>
      <c r="AF32" s="210"/>
      <c r="AG32" s="45"/>
      <c r="AH32" s="24"/>
      <c r="AI32" s="210"/>
      <c r="AJ32" s="210"/>
      <c r="AK32" s="210"/>
      <c r="AL32" s="458"/>
      <c r="AM32" s="455"/>
    </row>
    <row r="33" spans="2:43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10">+I32</f>
        <v>레미콘임대</v>
      </c>
      <c r="H33" s="78"/>
      <c r="I33" s="77" t="s">
        <v>44</v>
      </c>
      <c r="J33" s="40"/>
      <c r="K33" s="41"/>
      <c r="L33" s="43">
        <f t="shared" si="0"/>
        <v>0</v>
      </c>
      <c r="M33" s="42">
        <v>0</v>
      </c>
      <c r="N33" s="54">
        <f t="shared" ref="N33:N40" si="11">+K33-M33</f>
        <v>0</v>
      </c>
      <c r="O33" s="40">
        <f>(+IFERROR(HLOOKUP($B34,'[1]2월누계'!$D$6:$BN$259,3,),)+IFERROR(HLOOKUP($C34,'[1]2월누계'!$D$6:$BN$259,3,),))/1000</f>
        <v>155.49333333333334</v>
      </c>
      <c r="P33" s="41">
        <f>+IFERROR(HLOOKUP($E34,'[2]2월누계'!$F$6:$CP$99,3,),)/1000</f>
        <v>19.363504000000002</v>
      </c>
      <c r="Q33" s="43">
        <f t="shared" si="3"/>
        <v>-136.12982933333333</v>
      </c>
      <c r="R33" s="42">
        <f>+IFERROR(HLOOKUP($E34,'[3]2월누계'!$F$6:$CC$57,3,),)/1000</f>
        <v>146.73226699999998</v>
      </c>
      <c r="S33" s="54">
        <f t="shared" si="4"/>
        <v>-127.36876299999997</v>
      </c>
      <c r="T33" s="40">
        <f>(+IFERROR(HLOOKUP($B34,'[1]2월누계'!$D$6:$BN$259,21,),)+IFERROR(HLOOKUP($C34,'[1]2월누계'!$D$6:$BN$259,21,),))/1000</f>
        <v>140.99534533333332</v>
      </c>
      <c r="U33" s="41">
        <f>+IFERROR(HLOOKUP($E34,'[2]2월누계'!$F$6:$CP$99,16,),)/1000</f>
        <v>4.9044819999999998</v>
      </c>
      <c r="V33" s="43">
        <f t="shared" si="8"/>
        <v>-136.09086333333332</v>
      </c>
      <c r="W33" s="42">
        <f>+IFERROR(HLOOKUP($E34,'[3]2월누계'!$F$6:$CC$57,16,),)/1000</f>
        <v>126.50061799999999</v>
      </c>
      <c r="X33" s="54">
        <f t="shared" si="9"/>
        <v>-121.59613599999999</v>
      </c>
      <c r="Y33" s="464"/>
      <c r="Z33" s="210"/>
      <c r="AA33" s="210"/>
      <c r="AB33" s="210"/>
      <c r="AC33" s="210"/>
      <c r="AD33" s="210"/>
      <c r="AE33" s="210"/>
      <c r="AF33" s="210"/>
      <c r="AG33" s="45"/>
      <c r="AI33" s="210"/>
      <c r="AJ33" s="210"/>
      <c r="AK33" s="210"/>
    </row>
    <row r="34" spans="2:43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10"/>
        <v>임대</v>
      </c>
      <c r="H34" s="76"/>
      <c r="I34" s="77" t="s">
        <v>29</v>
      </c>
      <c r="J34" s="40"/>
      <c r="K34" s="41"/>
      <c r="L34" s="43">
        <f t="shared" si="0"/>
        <v>0</v>
      </c>
      <c r="M34" s="42"/>
      <c r="N34" s="54">
        <f t="shared" si="11"/>
        <v>0</v>
      </c>
      <c r="O34" s="40"/>
      <c r="P34" s="41"/>
      <c r="Q34" s="43">
        <f t="shared" si="3"/>
        <v>0</v>
      </c>
      <c r="R34" s="42"/>
      <c r="S34" s="54">
        <f t="shared" si="4"/>
        <v>0</v>
      </c>
      <c r="T34" s="40">
        <f>-'[1]2월누계'!$Z$22/1000</f>
        <v>-3067.9159800124553</v>
      </c>
      <c r="U34" s="41">
        <f>+-'[2]2월누계'!$Z$22/1000</f>
        <v>-3214.0845134128444</v>
      </c>
      <c r="V34" s="43">
        <f t="shared" si="8"/>
        <v>-146.16853340038915</v>
      </c>
      <c r="W34" s="42">
        <f>+-'[3]2월누계'!$Z$22/1000</f>
        <v>-2914.0880869474781</v>
      </c>
      <c r="X34" s="54">
        <f t="shared" si="9"/>
        <v>-299.99642646536631</v>
      </c>
      <c r="Y34" s="464"/>
      <c r="Z34" s="210"/>
      <c r="AA34" s="210"/>
      <c r="AB34" s="210"/>
      <c r="AC34" s="210"/>
      <c r="AD34" s="210"/>
      <c r="AE34" s="210"/>
      <c r="AF34" s="210">
        <f>+AM27</f>
        <v>0</v>
      </c>
      <c r="AG34" s="45"/>
      <c r="AH34" s="15"/>
      <c r="AI34" s="210"/>
      <c r="AJ34" s="210">
        <f>+AQ27</f>
        <v>0</v>
      </c>
      <c r="AK34" s="210"/>
    </row>
    <row r="35" spans="2:43" s="6" customFormat="1" ht="22.5" customHeight="1" x14ac:dyDescent="0.3">
      <c r="B35" s="6" t="s">
        <v>119</v>
      </c>
      <c r="D35"/>
      <c r="E35"/>
      <c r="F35"/>
      <c r="G35" s="304" t="str">
        <f t="shared" si="10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11"/>
        <v>0</v>
      </c>
      <c r="O35" s="40"/>
      <c r="P35" s="41"/>
      <c r="Q35" s="43">
        <f t="shared" si="3"/>
        <v>0</v>
      </c>
      <c r="R35" s="42"/>
      <c r="S35" s="54">
        <f t="shared" si="4"/>
        <v>0</v>
      </c>
      <c r="T35" s="40"/>
      <c r="U35" s="41">
        <f>'[2]2월누계'!$BD$26/1000</f>
        <v>361.08555999999999</v>
      </c>
      <c r="V35" s="43">
        <f t="shared" si="8"/>
        <v>361.08555999999999</v>
      </c>
      <c r="W35" s="42">
        <f>'[3]2월누계'!$BD$26/1000</f>
        <v>0</v>
      </c>
      <c r="X35" s="54">
        <f t="shared" si="9"/>
        <v>361.08555999999999</v>
      </c>
      <c r="Y35" s="464"/>
      <c r="Z35" s="210"/>
      <c r="AA35" s="210"/>
      <c r="AB35" s="210"/>
      <c r="AC35" s="210"/>
      <c r="AD35" s="210"/>
      <c r="AE35" s="659"/>
      <c r="AF35" s="659"/>
      <c r="AG35" s="660"/>
      <c r="AH35" s="15"/>
      <c r="AI35" s="659"/>
      <c r="AJ35" s="659"/>
      <c r="AK35" s="659"/>
      <c r="AL35" s="81"/>
    </row>
    <row r="36" spans="2:43" s="6" customFormat="1" ht="22.5" customHeight="1" x14ac:dyDescent="0.3">
      <c r="D36"/>
      <c r="E36"/>
      <c r="F36"/>
      <c r="G36" s="304" t="str">
        <f t="shared" si="10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11"/>
        <v>0</v>
      </c>
      <c r="O36" s="40"/>
      <c r="P36" s="41"/>
      <c r="Q36" s="43">
        <f t="shared" si="3"/>
        <v>0</v>
      </c>
      <c r="R36" s="42"/>
      <c r="S36" s="54">
        <f t="shared" si="4"/>
        <v>0</v>
      </c>
      <c r="T36" s="40"/>
      <c r="U36" s="41">
        <f>'[2]2월누계'!$BE$26/1000</f>
        <v>0</v>
      </c>
      <c r="V36" s="43">
        <f t="shared" si="8"/>
        <v>0</v>
      </c>
      <c r="W36" s="42">
        <f>'[3]2월누계'!$BE$26/1000</f>
        <v>0</v>
      </c>
      <c r="X36" s="54">
        <f t="shared" si="9"/>
        <v>0</v>
      </c>
      <c r="Y36" s="464"/>
      <c r="Z36" s="210"/>
      <c r="AA36" s="210"/>
      <c r="AB36" s="210"/>
      <c r="AC36" s="210"/>
      <c r="AD36" s="210"/>
      <c r="AE36" s="210"/>
      <c r="AF36" s="210"/>
      <c r="AG36" s="45"/>
      <c r="AH36" s="15"/>
      <c r="AI36" s="16"/>
      <c r="AJ36" s="453"/>
      <c r="AK36" s="457"/>
      <c r="AL36" s="81"/>
    </row>
    <row r="37" spans="2:43" s="6" customFormat="1" ht="22.5" customHeight="1" x14ac:dyDescent="0.3">
      <c r="D37"/>
      <c r="E37"/>
      <c r="F37"/>
      <c r="G37" s="304" t="str">
        <f t="shared" si="10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11"/>
        <v>0</v>
      </c>
      <c r="O37" s="40"/>
      <c r="P37" s="41"/>
      <c r="Q37" s="43">
        <f t="shared" si="3"/>
        <v>0</v>
      </c>
      <c r="R37" s="42">
        <f>+IFERROR(HLOOKUP($I$37,'[3]2월누계'!$F$6:$BJ$50,3,),)/1000</f>
        <v>0</v>
      </c>
      <c r="S37" s="54">
        <f t="shared" si="4"/>
        <v>0</v>
      </c>
      <c r="T37" s="40">
        <f>SUM('[1]2월누계'!$AM$26:$AQ$26)/1000</f>
        <v>-25.524162</v>
      </c>
      <c r="U37" s="41">
        <f>+'[2]2월누계'!$BF$26/1000</f>
        <v>-68.702489999999997</v>
      </c>
      <c r="V37" s="43">
        <f t="shared" si="8"/>
        <v>-43.178327999999993</v>
      </c>
      <c r="W37" s="42">
        <f>+'[3]2월누계'!$BF$26/1000</f>
        <v>-64.657320999999996</v>
      </c>
      <c r="X37" s="54">
        <f t="shared" si="9"/>
        <v>-4.0451690000000013</v>
      </c>
      <c r="Y37" s="464"/>
      <c r="AE37" s="210"/>
      <c r="AF37" s="210"/>
      <c r="AG37" s="45"/>
      <c r="AH37" s="15"/>
      <c r="AI37" s="16"/>
      <c r="AJ37" s="453"/>
      <c r="AK37" s="457"/>
      <c r="AL37" s="81"/>
      <c r="AM37" s="457"/>
      <c r="AO37" s="453"/>
      <c r="AP37" s="453"/>
      <c r="AQ37" s="453"/>
    </row>
    <row r="38" spans="2:43" s="6" customFormat="1" ht="22.5" customHeight="1" x14ac:dyDescent="0.3">
      <c r="D38"/>
      <c r="E38"/>
      <c r="F38"/>
      <c r="G38" s="304" t="str">
        <f t="shared" si="10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+'[2]2월누계'!$BG$26/1000</f>
        <v>0</v>
      </c>
      <c r="V38" s="43">
        <f t="shared" si="8"/>
        <v>0</v>
      </c>
      <c r="W38" s="42"/>
      <c r="X38" s="54">
        <f t="shared" si="9"/>
        <v>0</v>
      </c>
      <c r="Y38" s="209"/>
      <c r="Z38" s="210"/>
      <c r="AA38" s="210"/>
      <c r="AB38" s="210"/>
      <c r="AC38" s="210"/>
      <c r="AD38" s="210"/>
      <c r="AE38" s="210"/>
      <c r="AF38" s="210"/>
      <c r="AG38" s="45"/>
      <c r="AH38" s="15"/>
      <c r="AI38" s="16"/>
      <c r="AJ38" s="453"/>
      <c r="AK38" s="453"/>
      <c r="AL38" s="81"/>
      <c r="AM38" s="453"/>
      <c r="AQ38" s="453"/>
    </row>
    <row r="39" spans="2:43" s="6" customFormat="1" ht="22.5" customHeight="1" x14ac:dyDescent="0.3">
      <c r="B39" t="s">
        <v>30</v>
      </c>
      <c r="D39"/>
      <c r="G39" s="304" t="str">
        <f t="shared" si="10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IFERROR(HLOOKUP($B39,'[1]2월누계'!$D$6:$BN$259,3,),)/1000</f>
        <v>3.54</v>
      </c>
      <c r="P39" s="41">
        <f>+('[2]2월누계'!$F$8-SUM('[2]2월누계'!$Z$8,'[2]2월누계'!$AH$8,'[2]2월누계'!$AN$8,'[2]2월누계'!$AO$8,'[2]2월누계'!$BA$8,'[2]2월누계'!$BD$8,'[2]2월누계'!$BE$8,'[2]2월누계'!$BF$8))/1000</f>
        <v>3.2826000000014903</v>
      </c>
      <c r="Q39" s="49">
        <f>+P39-O39</f>
        <v>-0.25739999999850971</v>
      </c>
      <c r="R39" s="55">
        <f>+('[3]2월누계'!$F$8-SUM('[3]2월누계'!$Z$8,'[3]2월누계'!$AH$8,'[3]2월누계'!$AN$8,'[3]2월누계'!$AO$8,'[3]2월누계'!$BA$8,'[3]2월누계'!$BD$8,'[3]2월누계'!$BE$8,'[3]2월누계'!$BF$8))/1000</f>
        <v>3.3597000000029804</v>
      </c>
      <c r="S39" s="56">
        <f>+P39-R39</f>
        <v>-7.7100000001490088E-2</v>
      </c>
      <c r="T39" s="40">
        <f>+('[1]2월누계'!$E$26-'[1]2월누계'!$Z$26-'[1]2월누계'!$AA$26-'[1]2월누계'!$AE$26-'[1]2월누계'!$AL$26-'[1]2월누계'!$AM$26-'[1]2월누계'!$AN$26-'[1]2월누계'!$AO$26-'[1]2월누계'!$AP$26-'[1]2월누계'!$AQ$26-'[1]2월누계'!$AS$26+'[1]2월누계'!$AS$26)/1000</f>
        <v>-89.705956000003781</v>
      </c>
      <c r="U39" s="41">
        <f>+('[2]2월누계'!$F$26-SUM('[2]2월누계'!$Z$26,'[2]2월누계'!$AH$26,'[2]2월누계'!$AN$26,'[2]2월누계'!$AO$26,'[2]2월누계'!$BA$26,'[2]2월누계'!$BD$26,'[2]2월누계'!$BE$26,'[2]2월누계'!$BF$26))/1000-U38</f>
        <v>-32.713883999999609</v>
      </c>
      <c r="V39" s="43">
        <f>+U39-T39</f>
        <v>56.992072000004171</v>
      </c>
      <c r="W39" s="55">
        <f>+('[3]2월누계'!$F$26-SUM('[3]2월누계'!$Z$26,'[3]2월누계'!$AH$26,'[3]2월누계'!$AN$26,'[3]2월누계'!$AO$26,'[3]2월누계'!$BA$26,'[3]2월누계'!$BD$26,'[3]2월누계'!$BE$26,'[3]2월누계'!$BF$26))/1000</f>
        <v>-791.36337091000655</v>
      </c>
      <c r="X39" s="54">
        <f t="shared" si="9"/>
        <v>758.649486910007</v>
      </c>
      <c r="Y39" s="656"/>
      <c r="Z39" s="210"/>
      <c r="AA39" s="210"/>
      <c r="AB39" s="210"/>
      <c r="AC39" s="210"/>
      <c r="AD39" s="210"/>
      <c r="AE39" s="210"/>
      <c r="AF39" s="210"/>
      <c r="AG39" s="45"/>
      <c r="AH39" s="15"/>
      <c r="AI39" s="16"/>
      <c r="AJ39" s="453">
        <f>-[4]합계!$H$6</f>
        <v>-127.29590192427854</v>
      </c>
      <c r="AK39" s="457"/>
    </row>
    <row r="40" spans="2:43" s="6" customFormat="1" ht="22.5" customHeight="1" x14ac:dyDescent="0.3">
      <c r="G40" s="304" t="str">
        <f t="shared" si="10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11"/>
        <v>0</v>
      </c>
      <c r="O40" s="125">
        <f>SUM(O32:O39)</f>
        <v>242.36666666666667</v>
      </c>
      <c r="P40" s="126">
        <f>SUM(P32:P39)</f>
        <v>109.32610400000151</v>
      </c>
      <c r="Q40" s="130">
        <f>+P40-O40</f>
        <v>-133.04056266666515</v>
      </c>
      <c r="R40" s="131">
        <f>SUM(R32:R39)</f>
        <v>331.77196700000297</v>
      </c>
      <c r="S40" s="132">
        <f>+P40-R40</f>
        <v>-222.44586300000145</v>
      </c>
      <c r="T40" s="125">
        <f>SUM(T32:T39)</f>
        <v>-2982.8933573457925</v>
      </c>
      <c r="U40" s="126">
        <f>SUM(U32:U39)</f>
        <v>-2902.3671504128442</v>
      </c>
      <c r="V40" s="130">
        <f>+U40-T40</f>
        <v>80.526206932948298</v>
      </c>
      <c r="W40" s="131">
        <f>SUM(W32:W39)</f>
        <v>-3498.7719318574846</v>
      </c>
      <c r="X40" s="132">
        <f t="shared" si="9"/>
        <v>596.40478144464032</v>
      </c>
      <c r="Y40" s="209"/>
      <c r="Z40" s="210"/>
      <c r="AA40" s="210"/>
      <c r="AB40" s="210"/>
      <c r="AC40" s="210"/>
      <c r="AD40" s="210"/>
      <c r="AE40" s="210"/>
      <c r="AF40" s="210"/>
      <c r="AG40" s="45"/>
      <c r="AH40" s="27"/>
      <c r="AJ40" s="453"/>
      <c r="AK40" s="457"/>
    </row>
    <row r="41" spans="2:43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39574.302137234743</v>
      </c>
      <c r="P41" s="251">
        <f>+P27+P31+P40</f>
        <v>38811.306107999997</v>
      </c>
      <c r="Q41" s="252">
        <f>+P41-O41</f>
        <v>-762.99602923474595</v>
      </c>
      <c r="R41" s="253">
        <f>+R27+R31+R40</f>
        <v>41623.263270000003</v>
      </c>
      <c r="S41" s="254">
        <f>+P41-R41</f>
        <v>-2811.9571620000061</v>
      </c>
      <c r="T41" s="250">
        <f>+T27+T31+T40</f>
        <v>-3159.040771263175</v>
      </c>
      <c r="U41" s="251">
        <f>+U27+U31+U40</f>
        <v>-3372.4851670002954</v>
      </c>
      <c r="V41" s="252">
        <f>+U41-T41</f>
        <v>-213.44439573712043</v>
      </c>
      <c r="W41" s="253">
        <f>+W27+W31+W40</f>
        <v>-2911.8906339982809</v>
      </c>
      <c r="X41" s="254">
        <f>+U41-W41</f>
        <v>-460.59453300201449</v>
      </c>
      <c r="Y41" s="209"/>
      <c r="Z41" s="210"/>
      <c r="AA41" s="210"/>
      <c r="AB41" s="210"/>
      <c r="AC41" s="210"/>
      <c r="AD41" s="210"/>
      <c r="AE41" s="210"/>
      <c r="AF41" s="210"/>
      <c r="AG41" s="45"/>
      <c r="AH41" s="23"/>
      <c r="AJ41" s="455">
        <f>[4]합계!$U$15-AJ39-AJ40</f>
        <v>2043.5753574480375</v>
      </c>
      <c r="AK41" s="457"/>
    </row>
    <row r="42" spans="2:43" s="6" customFormat="1" ht="19.5" customHeight="1" x14ac:dyDescent="0.3">
      <c r="G42" s="309">
        <f>+P41/O41</f>
        <v>0.98071991196234243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O42" s="453"/>
    </row>
    <row r="43" spans="2:43" s="1" customFormat="1" ht="22.5" customHeight="1" x14ac:dyDescent="0.3">
      <c r="H43" s="547" t="s">
        <v>3</v>
      </c>
      <c r="I43" s="548"/>
      <c r="J43" s="140">
        <f>+IFERROR(HLOOKUP($B28,'[1]2월누계'!$D$6:$BN$259,2,),)</f>
        <v>15000</v>
      </c>
      <c r="K43" s="141">
        <f>+IFERROR(HLOOKUP($E28,'[2]2월누계'!$F$6:$CP$99,2,),)</f>
        <v>9952.7739999999994</v>
      </c>
      <c r="L43" s="142">
        <f>+K43-J43</f>
        <v>-5047.2260000000006</v>
      </c>
      <c r="M43" s="143">
        <f>+IFERROR(HLOOKUP($E28,'[3]2월누계'!$F$6:$CC$57,2,),)</f>
        <v>18460.025000000001</v>
      </c>
      <c r="N43" s="144">
        <f>+K43-M43</f>
        <v>-8507.251000000002</v>
      </c>
      <c r="O43" s="140">
        <f>+IFERROR(HLOOKUP($B28,'[1]2월누계'!$D$6:$BN$259,3,),)/1000</f>
        <v>14389.455780000002</v>
      </c>
      <c r="P43" s="141">
        <f>+IFERROR(HLOOKUP($E28,'[2]2월누계'!$F$6:$CP$99,3,),)/1000</f>
        <v>9976.5898510000006</v>
      </c>
      <c r="Q43" s="142">
        <f>+P43-O43</f>
        <v>-4412.8659290000014</v>
      </c>
      <c r="R43" s="143">
        <f>+IFERROR(HLOOKUP($E28,'[3]2월누계'!$F$6:$CC$57,3,),)/1000</f>
        <v>15757.114804000001</v>
      </c>
      <c r="S43" s="144">
        <f>+P43-R43</f>
        <v>-5780.5249530000001</v>
      </c>
      <c r="T43" s="140">
        <f>+IFERROR(HLOOKUP($B28,'[1]2월누계'!$D$6:$BN$259,21,),)/1000</f>
        <v>-82.713735726620683</v>
      </c>
      <c r="U43" s="141">
        <f>+IFERROR(HLOOKUP($E28,'[2]2월누계'!$F$6:$CP$99,21,),)/1000</f>
        <v>-120.11452300000086</v>
      </c>
      <c r="V43" s="142">
        <f>+U43-T43</f>
        <v>-37.400787273380175</v>
      </c>
      <c r="W43" s="143">
        <f>+IFERROR(HLOOKUP($E28,'[3]2월누계'!$F$6:$CC$57,16,),)/1000</f>
        <v>12.55896200000015</v>
      </c>
      <c r="X43" s="144">
        <f>+U43-W43</f>
        <v>-132.67348500000099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O43" s="455"/>
    </row>
    <row r="44" spans="2:43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53963.757917234747</v>
      </c>
      <c r="P44" s="251">
        <f>+P41+P43</f>
        <v>48787.895959000001</v>
      </c>
      <c r="Q44" s="252">
        <f>+P44-O44</f>
        <v>-5175.8619582347455</v>
      </c>
      <c r="R44" s="253">
        <f>+R41+R43</f>
        <v>57380.378074000007</v>
      </c>
      <c r="S44" s="254">
        <f>+P44-R44</f>
        <v>-8592.4821150000062</v>
      </c>
      <c r="T44" s="250">
        <f>+T41+T43</f>
        <v>-3241.7545069897956</v>
      </c>
      <c r="U44" s="251">
        <f>+U41+U43</f>
        <v>-3492.5996900002961</v>
      </c>
      <c r="V44" s="252">
        <f>+U44-T44</f>
        <v>-250.84518301050048</v>
      </c>
      <c r="W44" s="253">
        <f>+W41+W43</f>
        <v>-2899.3316719982809</v>
      </c>
      <c r="X44" s="254">
        <f>+U44-W44</f>
        <v>-593.2680180020152</v>
      </c>
      <c r="Y44" s="620"/>
      <c r="Z44" s="662"/>
      <c r="AA44" s="662"/>
      <c r="AB44" s="662"/>
      <c r="AC44" s="662"/>
      <c r="AD44" s="662"/>
      <c r="AE44" s="662"/>
      <c r="AF44" s="662"/>
      <c r="AG44" s="622"/>
      <c r="AH44" s="23"/>
      <c r="AJ44" s="455"/>
      <c r="AK44" s="457"/>
      <c r="AO44" s="455"/>
    </row>
    <row r="45" spans="2:43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3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3" s="28" customFormat="1" ht="17.25" thickBot="1" x14ac:dyDescent="0.35">
      <c r="G47" s="310"/>
      <c r="AC47" s="29"/>
      <c r="AF47" s="29"/>
      <c r="AJ47" s="456"/>
    </row>
    <row r="48" spans="2:43" s="28" customFormat="1" x14ac:dyDescent="0.3">
      <c r="F48" s="266">
        <f>+K43/M43</f>
        <v>0.53915279096317581</v>
      </c>
      <c r="G48" s="306">
        <f>+K43/J43</f>
        <v>0.66351826666666658</v>
      </c>
      <c r="I48" s="691" t="s">
        <v>81</v>
      </c>
      <c r="J48" s="115">
        <f>+'[1]2월누계'!$Z$7/1000</f>
        <v>365.99979999999999</v>
      </c>
      <c r="K48" s="116">
        <f>+'[2]2월누계'!$AI$7/1000</f>
        <v>346.12950000000001</v>
      </c>
      <c r="L48" s="116"/>
      <c r="M48" s="116">
        <f>+'[3]2월누계'!$Z$7/1000</f>
        <v>388.6585</v>
      </c>
      <c r="N48" s="116"/>
      <c r="O48" s="116">
        <f>+'[1]2월누계'!$E$8/1000</f>
        <v>53963.75791723474</v>
      </c>
      <c r="P48" s="116">
        <f>+'[2]2월누계'!$F$8/1000</f>
        <v>48787.895959000009</v>
      </c>
      <c r="Q48" s="116"/>
      <c r="R48" s="116">
        <f>+'[3]2월누계'!$F$8/1000</f>
        <v>57380.378073999993</v>
      </c>
      <c r="S48" s="116"/>
      <c r="T48" s="121">
        <f>+'[1]2월누계'!$E$26/1000</f>
        <v>-3241.7545069897919</v>
      </c>
      <c r="U48" s="116">
        <f>+'[2]2월누계'!$F$26/1000</f>
        <v>-3492.5996900002974</v>
      </c>
      <c r="V48" s="116"/>
      <c r="W48" s="116">
        <f>+'[3]2월누계'!$F$26/1000</f>
        <v>-2899.331671998279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0.99979282223205801</v>
      </c>
      <c r="G49" s="306">
        <f>+K31/J31</f>
        <v>0.78610878477553336</v>
      </c>
      <c r="I49" s="691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3.637978807091713E-12</v>
      </c>
      <c r="U49" s="122">
        <f>+U48-U44</f>
        <v>0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25184.846357234739</v>
      </c>
      <c r="P51" s="460">
        <f>+P41-P43</f>
        <v>28834.716256999996</v>
      </c>
      <c r="Q51" s="460">
        <f>+P51-O51</f>
        <v>3649.8698997652573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251.84846357234738</v>
      </c>
      <c r="P52" s="460">
        <f>+P51/100</f>
        <v>288.34716256999997</v>
      </c>
      <c r="Q52" s="460">
        <f>+P52-O52</f>
        <v>36.498698997652582</v>
      </c>
      <c r="S52" t="s">
        <v>40</v>
      </c>
      <c r="T52" s="212">
        <f>(+T27+T34)/100</f>
        <v>-30.382474550720058</v>
      </c>
      <c r="U52" s="212">
        <f>(+U27+U34)/100</f>
        <v>-33.469248334128444</v>
      </c>
      <c r="V52" s="212">
        <f>+U52-T52</f>
        <v>-3.0867737834083862</v>
      </c>
      <c r="W52" s="211">
        <f>+U52/T52-1</f>
        <v>0.10159718156779407</v>
      </c>
      <c r="AC52" s="29"/>
      <c r="AD52" s="28"/>
      <c r="AE52" s="28"/>
      <c r="AF52" s="29"/>
      <c r="AJ52" s="460"/>
    </row>
    <row r="53" spans="6:36" x14ac:dyDescent="0.3">
      <c r="Q53" s="211">
        <f>+P52/O52</f>
        <v>1.1449232545632257</v>
      </c>
      <c r="S53" t="s">
        <v>1</v>
      </c>
      <c r="T53" s="4">
        <f>+T31/100</f>
        <v>-2.0581593885783231</v>
      </c>
      <c r="U53" s="4">
        <f>+U31/100</f>
        <v>-3.3727769658745128</v>
      </c>
      <c r="V53" s="212">
        <f>+U53-T53</f>
        <v>-1.3146175772961897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2.0025274066666667</v>
      </c>
      <c r="U54" s="4">
        <f>(U32+U33)/100</f>
        <v>0.52048177000000007</v>
      </c>
      <c r="V54" s="265">
        <f>+U54-T54</f>
        <v>-1.4820456366666668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-1.152301179999998</v>
      </c>
      <c r="U55" s="212">
        <f>((U48-U43)/100)-U52-U53-U54</f>
        <v>2.5966918599999875</v>
      </c>
      <c r="V55" s="212">
        <f>+U55-T55</f>
        <v>3.7489930399999856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0.85022622666666869</v>
      </c>
      <c r="U56" s="212">
        <f>SUM(U54:U55)</f>
        <v>3.1171736299999875</v>
      </c>
      <c r="V56" s="212">
        <f>SUM(V54:V55)</f>
        <v>2.2669474033333188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-31.590407712631713</v>
      </c>
      <c r="U57" s="212">
        <f>SUM(U52:U55)</f>
        <v>-33.72485167000297</v>
      </c>
      <c r="V57" s="212">
        <f>+U57-T57</f>
        <v>-2.134443957371257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2.0025274066666667</v>
      </c>
      <c r="U60" s="265">
        <f>+(U32+U33)/100</f>
        <v>0.52048177000000007</v>
      </c>
      <c r="V60" s="212">
        <f>+U60-T60</f>
        <v>-1.4820456366666668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12">+T35/100</f>
        <v>0</v>
      </c>
      <c r="U61" s="212">
        <f t="shared" si="12"/>
        <v>3.6108555999999998</v>
      </c>
      <c r="V61" s="212">
        <f>+U61-T61</f>
        <v>3.6108555999999998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12"/>
        <v>0</v>
      </c>
      <c r="U62" s="212">
        <f t="shared" si="12"/>
        <v>0</v>
      </c>
      <c r="V62" s="212">
        <f>+U62-T62</f>
        <v>0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12"/>
        <v>-0.25524162</v>
      </c>
      <c r="U63" s="212">
        <f t="shared" si="12"/>
        <v>-0.68702489999999994</v>
      </c>
      <c r="V63" s="212">
        <f>+U63-T63</f>
        <v>-0.43178327999999994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-0.89705956000003784</v>
      </c>
      <c r="U64" s="212">
        <f>+U39/100</f>
        <v>-0.3271388399999961</v>
      </c>
      <c r="V64" s="212">
        <f>+U64-T64</f>
        <v>0.56992072000004179</v>
      </c>
      <c r="AC64" s="212"/>
      <c r="AD64" s="212"/>
      <c r="AE64" s="212"/>
    </row>
    <row r="65" spans="20:31" x14ac:dyDescent="0.3">
      <c r="T65" s="4">
        <f>SUM(T60:T64)</f>
        <v>0.85022622666662884</v>
      </c>
      <c r="U65" s="4">
        <f>SUM(U60:U64)</f>
        <v>3.1171736300000039</v>
      </c>
      <c r="V65" s="4">
        <f>SUM(V60:V64)</f>
        <v>2.2669474033333747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85.022622666662883</v>
      </c>
      <c r="U68" s="4">
        <f>SUM(U32:U33,U35,U37:U39)</f>
        <v>311.71736300000038</v>
      </c>
      <c r="V68" s="4">
        <f>+U68-T68</f>
        <v>226.69474033333751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-3076.3270355365544</v>
      </c>
      <c r="U70" s="460">
        <f>+U41-U43</f>
        <v>-3252.3706440002948</v>
      </c>
      <c r="V70" s="460"/>
      <c r="AC70" s="212"/>
      <c r="AE70" s="212"/>
    </row>
    <row r="71" spans="20:31" x14ac:dyDescent="0.3">
      <c r="T71" s="460">
        <f>+T70/100</f>
        <v>-30.763270355365545</v>
      </c>
      <c r="U71" s="460">
        <f>+U70/100</f>
        <v>-32.523706440002947</v>
      </c>
      <c r="V71" s="460">
        <f>+U71-T71</f>
        <v>-1.7604360846374014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A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D7" sqref="D7"/>
      <selection pane="topRight" activeCell="D7" sqref="D7"/>
      <selection pane="bottomLeft" activeCell="D7" sqref="D7"/>
      <selection pane="bottomRight" activeCell="D6" sqref="D6:D7"/>
    </sheetView>
  </sheetViews>
  <sheetFormatPr defaultRowHeight="16.5" x14ac:dyDescent="0.3"/>
  <cols>
    <col min="1" max="3" width="5.625" style="4" customWidth="1"/>
    <col min="4" max="4" width="9.875" style="4" customWidth="1"/>
    <col min="5" max="7" width="9.625" style="4" customWidth="1"/>
    <col min="8" max="10" width="8.625" style="4" customWidth="1"/>
    <col min="11" max="23" width="9.625" style="4" customWidth="1"/>
    <col min="24" max="16384" width="9" style="4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68" t="s">
        <v>182</v>
      </c>
      <c r="F4" s="368"/>
      <c r="I4" s="368"/>
      <c r="J4" s="368"/>
    </row>
    <row r="5" spans="1:26" ht="21.95" customHeight="1" x14ac:dyDescent="0.3">
      <c r="W5" s="367" t="s">
        <v>135</v>
      </c>
    </row>
    <row r="6" spans="1:26" ht="24" customHeight="1" thickBot="1" x14ac:dyDescent="0.35">
      <c r="A6" s="4" t="s">
        <v>168</v>
      </c>
      <c r="D6" s="692" t="s">
        <v>11</v>
      </c>
      <c r="E6" s="366" t="s">
        <v>134</v>
      </c>
      <c r="F6" s="365"/>
      <c r="G6" s="364"/>
      <c r="H6" s="366" t="s">
        <v>133</v>
      </c>
      <c r="I6" s="365"/>
      <c r="J6" s="365"/>
      <c r="K6" s="364"/>
      <c r="L6" s="366" t="s">
        <v>132</v>
      </c>
      <c r="M6" s="365"/>
      <c r="N6" s="365"/>
      <c r="O6" s="364"/>
      <c r="P6" s="366" t="s">
        <v>131</v>
      </c>
      <c r="Q6" s="365"/>
      <c r="R6" s="365"/>
      <c r="S6" s="364"/>
      <c r="T6" s="366" t="s">
        <v>130</v>
      </c>
      <c r="U6" s="365"/>
      <c r="V6" s="365"/>
      <c r="W6" s="364"/>
    </row>
    <row r="7" spans="1:26" ht="24" customHeight="1" x14ac:dyDescent="0.3">
      <c r="D7" s="693"/>
      <c r="E7" s="362" t="s">
        <v>36</v>
      </c>
      <c r="F7" s="361" t="s">
        <v>37</v>
      </c>
      <c r="G7" s="363" t="s">
        <v>38</v>
      </c>
      <c r="H7" s="362" t="s">
        <v>12</v>
      </c>
      <c r="I7" s="361" t="s">
        <v>13</v>
      </c>
      <c r="J7" s="360" t="s">
        <v>38</v>
      </c>
      <c r="K7" s="359" t="s">
        <v>129</v>
      </c>
      <c r="L7" s="362" t="s">
        <v>12</v>
      </c>
      <c r="M7" s="361" t="s">
        <v>13</v>
      </c>
      <c r="N7" s="360" t="s">
        <v>38</v>
      </c>
      <c r="O7" s="359" t="s">
        <v>129</v>
      </c>
      <c r="P7" s="362" t="s">
        <v>12</v>
      </c>
      <c r="Q7" s="361" t="s">
        <v>13</v>
      </c>
      <c r="R7" s="360" t="s">
        <v>38</v>
      </c>
      <c r="S7" s="359" t="s">
        <v>129</v>
      </c>
      <c r="T7" s="362" t="s">
        <v>12</v>
      </c>
      <c r="U7" s="361" t="s">
        <v>13</v>
      </c>
      <c r="V7" s="360" t="s">
        <v>38</v>
      </c>
      <c r="W7" s="359" t="s">
        <v>129</v>
      </c>
    </row>
    <row r="8" spans="1:26" ht="24" customHeight="1" x14ac:dyDescent="0.3">
      <c r="D8" s="358" t="s">
        <v>32</v>
      </c>
      <c r="E8" s="356">
        <f>+[4]합계!$H$86/1000</f>
        <v>4.5210443732153509</v>
      </c>
      <c r="F8" s="355">
        <f>+[4]합계!$I$86/1000</f>
        <v>-381.81934200000268</v>
      </c>
      <c r="G8" s="354">
        <f t="shared" ref="G8:G28" si="0">+F8-E8</f>
        <v>-386.34038637321805</v>
      </c>
      <c r="H8" s="356">
        <f>+[4]합계!$T$5/1000</f>
        <v>176.99979999999999</v>
      </c>
      <c r="I8" s="355">
        <f>+[4]합계!$U$5/1000</f>
        <v>170.00899999999999</v>
      </c>
      <c r="J8" s="354">
        <f t="shared" ref="J8:J28" si="1">+I8-H8</f>
        <v>-6.9908000000000072</v>
      </c>
      <c r="K8" s="357">
        <f>+[4]합계!$M$86/1000</f>
        <v>-42.169043110192518</v>
      </c>
      <c r="L8" s="356">
        <f>+[4]합계!$Q$85</f>
        <v>100556.99043344718</v>
      </c>
      <c r="M8" s="355">
        <f>+[4]합계!$R$85</f>
        <v>104606.76316734463</v>
      </c>
      <c r="N8" s="354">
        <f t="shared" ref="N8:N28" si="2">+M8-L8</f>
        <v>4049.772733897451</v>
      </c>
      <c r="O8" s="357">
        <f>+[4]합계!$K$86/1000</f>
        <v>687.93894407989399</v>
      </c>
      <c r="P8" s="356">
        <f>+[4]합계!$Q$50</f>
        <v>94592.362014931161</v>
      </c>
      <c r="Q8" s="355">
        <f>+[4]합계!$R$50</f>
        <v>99688.754012205813</v>
      </c>
      <c r="R8" s="354">
        <f t="shared" ref="R8:R28" si="3">+Q8-P8</f>
        <v>5096.3919972746517</v>
      </c>
      <c r="S8" s="357">
        <f>+[4]합계!$L$56/1000</f>
        <v>-750.29129667135555</v>
      </c>
      <c r="T8" s="356">
        <f>+([4]합계!$H$80+[4]합계!$H$85)/1000</f>
        <v>1051.2169937784342</v>
      </c>
      <c r="U8" s="355">
        <f>+([4]합계!$I$80+[4]합계!$I$85)/1000</f>
        <v>1333.0359844500001</v>
      </c>
      <c r="V8" s="354">
        <f t="shared" ref="V8:V28" si="4">+U8-T8</f>
        <v>281.81899067156587</v>
      </c>
      <c r="W8" s="353">
        <f>+([4]합계!$L$80+[4]합계!$L$85)/1000</f>
        <v>-281.81899067156559</v>
      </c>
      <c r="Y8" s="4">
        <f t="shared" ref="Y8:Y28" si="5">+G8-K8-O8-S8-W8</f>
        <v>1.6484591469634324E-12</v>
      </c>
      <c r="Z8" s="4">
        <f t="shared" ref="Z8:Z28" si="6">+Y8*1000000</f>
        <v>1.6484591469634324E-6</v>
      </c>
    </row>
    <row r="9" spans="1:26" ht="24" customHeight="1" x14ac:dyDescent="0.3">
      <c r="D9" s="352" t="s">
        <v>16</v>
      </c>
      <c r="E9" s="351">
        <f>+[4]수도권!$H$86/1000</f>
        <v>-84.225629909245228</v>
      </c>
      <c r="F9" s="350">
        <f>+[4]수도권!$I$86/1000</f>
        <v>-192.26995100000039</v>
      </c>
      <c r="G9" s="349">
        <f t="shared" si="0"/>
        <v>-108.04432109075516</v>
      </c>
      <c r="H9" s="351">
        <f>+[4]수도권!$T$5/1000</f>
        <v>67</v>
      </c>
      <c r="I9" s="350">
        <f>+[4]수도권!$U$5/1000</f>
        <v>66.766999999999996</v>
      </c>
      <c r="J9" s="349">
        <f t="shared" si="1"/>
        <v>-0.23300000000000409</v>
      </c>
      <c r="K9" s="348">
        <f>+[4]수도권!$M$86/1000</f>
        <v>-1.0724849008275779</v>
      </c>
      <c r="L9" s="351">
        <f>+[4]수도권!$Q$85</f>
        <v>98247.172664470636</v>
      </c>
      <c r="M9" s="350">
        <f>+[4]수도권!$R$85</f>
        <v>102553.1111077759</v>
      </c>
      <c r="N9" s="349">
        <f t="shared" si="2"/>
        <v>4305.9384433052619</v>
      </c>
      <c r="O9" s="348">
        <f>+[4]수도권!$K$86/1000</f>
        <v>286.90037253898629</v>
      </c>
      <c r="P9" s="351">
        <f>+[4]수도권!$Q$50</f>
        <v>94408.668888655069</v>
      </c>
      <c r="Q9" s="350">
        <f>+[4]수도권!$R$50</f>
        <v>99596.651564493135</v>
      </c>
      <c r="R9" s="349">
        <f t="shared" si="3"/>
        <v>5187.9826758380659</v>
      </c>
      <c r="S9" s="348">
        <f>+[4]수도권!$L$56/1000</f>
        <v>-345.69910165780243</v>
      </c>
      <c r="T9" s="351">
        <f>+([4]수도권!$H$80+[4]수도권!$H$85)/1000</f>
        <v>341.40538288888888</v>
      </c>
      <c r="U9" s="350">
        <f>+([4]수도권!$I$80+[4]수도권!$I$85)/1000</f>
        <v>389.5784899599999</v>
      </c>
      <c r="V9" s="349">
        <f t="shared" si="4"/>
        <v>48.173107071111019</v>
      </c>
      <c r="W9" s="348">
        <f>+([4]수도권!$L$80+[4]수도권!$L$85)/1000</f>
        <v>-48.173107071111119</v>
      </c>
      <c r="Y9" s="4">
        <f t="shared" si="5"/>
        <v>-2.9842794901924208E-13</v>
      </c>
      <c r="Z9" s="4">
        <f t="shared" si="6"/>
        <v>-2.9842794901924208E-7</v>
      </c>
    </row>
    <row r="10" spans="1:26" ht="24" customHeight="1" x14ac:dyDescent="0.3">
      <c r="D10" s="347" t="s">
        <v>17</v>
      </c>
      <c r="E10" s="346">
        <f>+[4]영남권!$H$86/1000</f>
        <v>110.33956724772422</v>
      </c>
      <c r="F10" s="345">
        <f>+[4]영남권!$I$86/1000</f>
        <v>-51.934856000000437</v>
      </c>
      <c r="G10" s="344">
        <f t="shared" si="0"/>
        <v>-162.27442324772466</v>
      </c>
      <c r="H10" s="346">
        <f>+[4]영남권!$T$5/1000</f>
        <v>83.5</v>
      </c>
      <c r="I10" s="345">
        <f>+[4]영남권!$U$5/1000</f>
        <v>73.924999999999997</v>
      </c>
      <c r="J10" s="344">
        <f t="shared" si="1"/>
        <v>-9.5750000000000028</v>
      </c>
      <c r="K10" s="343">
        <f>+[4]영남권!$M$86/1000</f>
        <v>-69.640733177111827</v>
      </c>
      <c r="L10" s="346">
        <f>+[4]영남권!$Q$85</f>
        <v>100395.73038374282</v>
      </c>
      <c r="M10" s="345">
        <f>+[4]영남권!$R$85</f>
        <v>106159.44104159619</v>
      </c>
      <c r="N10" s="344">
        <f t="shared" si="2"/>
        <v>5763.7106578533712</v>
      </c>
      <c r="O10" s="343">
        <f>+[4]영남권!$K$86/1000</f>
        <v>426.08231038181049</v>
      </c>
      <c r="P10" s="346">
        <f>+[4]영남권!$Q$50</f>
        <v>93122.546762112353</v>
      </c>
      <c r="Q10" s="345">
        <f>+[4]영남권!$R$50</f>
        <v>98845.671733632655</v>
      </c>
      <c r="R10" s="344">
        <f t="shared" si="3"/>
        <v>5723.1249715203012</v>
      </c>
      <c r="S10" s="343">
        <f>+[4]영남권!$L$56/1000</f>
        <v>-307.80888937084444</v>
      </c>
      <c r="T10" s="346">
        <f>+([4]영남권!$H$80+[4]영남권!$H$85)/1000</f>
        <v>496.97126515842035</v>
      </c>
      <c r="U10" s="345">
        <f>+([4]영남권!$I$80+[4]영남권!$I$85)/1000</f>
        <v>707.87837623999985</v>
      </c>
      <c r="V10" s="344">
        <f t="shared" si="4"/>
        <v>210.9071110815795</v>
      </c>
      <c r="W10" s="343">
        <f>+([4]영남권!$L$80+[4]영남권!$L$85)/1000</f>
        <v>-210.90711108157964</v>
      </c>
      <c r="Y10" s="4">
        <f t="shared" si="5"/>
        <v>8.2422957348171622E-13</v>
      </c>
      <c r="Z10" s="4">
        <f t="shared" si="6"/>
        <v>8.2422957348171622E-7</v>
      </c>
    </row>
    <row r="11" spans="1:26" ht="24" customHeight="1" x14ac:dyDescent="0.3">
      <c r="D11" s="342" t="s">
        <v>128</v>
      </c>
      <c r="E11" s="341">
        <f>+[4]중부권!$H$86/1000</f>
        <v>-21.592892965266</v>
      </c>
      <c r="F11" s="340">
        <f>+[4]중부권!$I$86/1000</f>
        <v>-137.61453500000033</v>
      </c>
      <c r="G11" s="339">
        <f t="shared" si="0"/>
        <v>-116.02164203473433</v>
      </c>
      <c r="H11" s="341">
        <f>+[4]중부권!$T$5/1000</f>
        <v>26.4998</v>
      </c>
      <c r="I11" s="340">
        <f>+[4]중부권!$U$5/1000</f>
        <v>29.317</v>
      </c>
      <c r="J11" s="339">
        <f t="shared" si="1"/>
        <v>2.8171999999999997</v>
      </c>
      <c r="K11" s="338">
        <f>+[4]중부권!$M$86/1000</f>
        <v>20.331561896013504</v>
      </c>
      <c r="L11" s="341">
        <f>+[4]중부권!$Q$85</f>
        <v>106905.07625566988</v>
      </c>
      <c r="M11" s="340">
        <f>+[4]중부권!$R$85</f>
        <v>105358.92304806084</v>
      </c>
      <c r="N11" s="339">
        <f t="shared" si="2"/>
        <v>-1546.1532076090371</v>
      </c>
      <c r="O11" s="338">
        <f>+[4]중부권!$K$86/1000</f>
        <v>-45.328573587474139</v>
      </c>
      <c r="P11" s="341">
        <f>+[4]중부권!$Q$50</f>
        <v>99688.136815905818</v>
      </c>
      <c r="Q11" s="340">
        <f>+[4]중부권!$R$50</f>
        <v>102022.59674176067</v>
      </c>
      <c r="R11" s="339">
        <f t="shared" si="3"/>
        <v>2334.4599258548551</v>
      </c>
      <c r="S11" s="338">
        <f>+[4]중부권!$L$56/1000</f>
        <v>-68.285857824399358</v>
      </c>
      <c r="T11" s="341">
        <f>+([4]중부권!$H$80+[4]중부권!$H$85)/1000</f>
        <v>212.84034573112521</v>
      </c>
      <c r="U11" s="340">
        <f>+([4]중부권!$I$80+[4]중부권!$I$85)/1000</f>
        <v>235.57911824999999</v>
      </c>
      <c r="V11" s="339">
        <f t="shared" si="4"/>
        <v>22.738772518874782</v>
      </c>
      <c r="W11" s="338">
        <f>+([4]중부권!$L$80+[4]중부권!$L$85)/1000</f>
        <v>-22.738772518874796</v>
      </c>
      <c r="Y11" s="4">
        <f t="shared" si="5"/>
        <v>4.5474735088646412E-13</v>
      </c>
      <c r="Z11" s="4">
        <f t="shared" si="6"/>
        <v>4.5474735088646412E-7</v>
      </c>
    </row>
    <row r="12" spans="1:26" ht="24" customHeight="1" x14ac:dyDescent="0.3">
      <c r="D12" s="337" t="s">
        <v>18</v>
      </c>
      <c r="E12" s="335">
        <f>+[4]안양!$H$86/1000</f>
        <v>111.30885866837716</v>
      </c>
      <c r="F12" s="334">
        <f>+[4]안양!$I$86/1000</f>
        <v>153.40702300000007</v>
      </c>
      <c r="G12" s="336">
        <f t="shared" si="0"/>
        <v>42.098164331622911</v>
      </c>
      <c r="H12" s="335">
        <f>+[4]안양!$T$5/1000</f>
        <v>28</v>
      </c>
      <c r="I12" s="334">
        <f>+[4]안양!$U$5/1000</f>
        <v>29.129000000000001</v>
      </c>
      <c r="J12" s="333">
        <f t="shared" si="1"/>
        <v>1.1290000000000013</v>
      </c>
      <c r="K12" s="332">
        <f>+[4]안양!$M$86/1000</f>
        <v>8.5899896902277106</v>
      </c>
      <c r="L12" s="335">
        <f>+[4]안양!$Q$85</f>
        <v>97630.95310714285</v>
      </c>
      <c r="M12" s="334">
        <f>+[4]안양!$R$85</f>
        <v>104538.95660681794</v>
      </c>
      <c r="N12" s="333">
        <f t="shared" si="2"/>
        <v>6908.003499675091</v>
      </c>
      <c r="O12" s="332">
        <f>+[4]안양!$K$86/1000</f>
        <v>201.22323394203573</v>
      </c>
      <c r="P12" s="335">
        <f>+[4]안양!$Q$50</f>
        <v>90022.459138827791</v>
      </c>
      <c r="Q12" s="334">
        <f>+[4]안양!$R$50</f>
        <v>95013.631474171954</v>
      </c>
      <c r="R12" s="333">
        <f t="shared" si="3"/>
        <v>4991.172335344163</v>
      </c>
      <c r="S12" s="332">
        <f>+[4]안양!$L$56/1000</f>
        <v>-145.38933078508535</v>
      </c>
      <c r="T12" s="335">
        <f>+([4]안양!$H$80+[4]안양!$H$85)/1000</f>
        <v>101.72897244444442</v>
      </c>
      <c r="U12" s="334">
        <f>+([4]안양!$I$80+[4]안양!$I$85)/1000</f>
        <v>124.05470096000001</v>
      </c>
      <c r="V12" s="333">
        <f t="shared" si="4"/>
        <v>22.325728515555582</v>
      </c>
      <c r="W12" s="332">
        <f>+([4]안양!$L$80+[4]안양!$L$85)/1000</f>
        <v>-22.325728515555554</v>
      </c>
      <c r="Y12" s="4">
        <f t="shared" si="5"/>
        <v>3.836930773104541E-13</v>
      </c>
      <c r="Z12" s="4">
        <f t="shared" si="6"/>
        <v>3.836930773104541E-7</v>
      </c>
    </row>
    <row r="13" spans="1:26" ht="24" customHeight="1" x14ac:dyDescent="0.3">
      <c r="D13" s="324" t="s">
        <v>19</v>
      </c>
      <c r="E13" s="321">
        <f>+[4]인천!$H$86/1000</f>
        <v>-35.878111800606568</v>
      </c>
      <c r="F13" s="320">
        <f>+[4]인천!$I$86/1000</f>
        <v>-78.239109000000667</v>
      </c>
      <c r="G13" s="322">
        <f t="shared" si="0"/>
        <v>-42.360997199394099</v>
      </c>
      <c r="H13" s="321">
        <f>+[4]인천!$T$5/1000</f>
        <v>21.999999999999996</v>
      </c>
      <c r="I13" s="320">
        <f>+[4]인천!$U$5/1000</f>
        <v>21.471</v>
      </c>
      <c r="J13" s="139">
        <f t="shared" si="1"/>
        <v>-0.52899999999999636</v>
      </c>
      <c r="K13" s="319">
        <f>+[4]인천!$M$86/1000</f>
        <v>-1.747759147570483</v>
      </c>
      <c r="L13" s="321">
        <f>+[4]인천!$Q$85</f>
        <v>99931.965119069719</v>
      </c>
      <c r="M13" s="320">
        <f>+[4]인천!$R$85</f>
        <v>103435.4711479867</v>
      </c>
      <c r="N13" s="139">
        <f t="shared" si="2"/>
        <v>3503.5060289169778</v>
      </c>
      <c r="O13" s="319">
        <f>+[4]인천!$K$86/1000</f>
        <v>74.740294114885884</v>
      </c>
      <c r="P13" s="321">
        <f>+[4]인천!$Q$50</f>
        <v>96784.500130208413</v>
      </c>
      <c r="Q13" s="320">
        <f>+[4]인천!$R$50</f>
        <v>101275.51877373084</v>
      </c>
      <c r="R13" s="139">
        <f t="shared" si="3"/>
        <v>4491.0186435224314</v>
      </c>
      <c r="S13" s="319">
        <f>+[4]인천!$L$56/1000</f>
        <v>-95.806942892264445</v>
      </c>
      <c r="T13" s="321">
        <f>+([4]인천!$H$80+[4]인천!$H$85)/1000</f>
        <v>105.12234155555555</v>
      </c>
      <c r="U13" s="320">
        <f>+([4]인천!$I$80+[4]인천!$I$85)/1000</f>
        <v>124.66893082999999</v>
      </c>
      <c r="V13" s="139">
        <f t="shared" si="4"/>
        <v>19.546589274444443</v>
      </c>
      <c r="W13" s="319">
        <f>+([4]인천!$L$80+[4]인천!$L$85)/1000</f>
        <v>-19.54658927444444</v>
      </c>
      <c r="Y13" s="4">
        <f t="shared" si="5"/>
        <v>-6.1461946643248666E-13</v>
      </c>
      <c r="Z13" s="4">
        <f t="shared" si="6"/>
        <v>-6.1461946643248666E-7</v>
      </c>
    </row>
    <row r="14" spans="1:26" ht="24" customHeight="1" x14ac:dyDescent="0.3">
      <c r="D14" s="324" t="s">
        <v>20</v>
      </c>
      <c r="E14" s="321">
        <f>+[4]파주!$H$86/1000</f>
        <v>-120.66918984187414</v>
      </c>
      <c r="F14" s="320">
        <f>+[4]파주!$I$86/1000</f>
        <v>-146.03662099999994</v>
      </c>
      <c r="G14" s="322">
        <f t="shared" si="0"/>
        <v>-25.367431158125797</v>
      </c>
      <c r="H14" s="321">
        <f>+[4]파주!$T$5/1000</f>
        <v>9</v>
      </c>
      <c r="I14" s="320">
        <f>+[4]파주!$U$5/1000</f>
        <v>8.4749999999999996</v>
      </c>
      <c r="J14" s="139">
        <f t="shared" si="1"/>
        <v>-0.52500000000000036</v>
      </c>
      <c r="K14" s="319">
        <f>+[4]파주!$M$86/1000</f>
        <v>2.5254387963315383</v>
      </c>
      <c r="L14" s="321">
        <f>+[4]파주!$Q$85</f>
        <v>93873.497366666677</v>
      </c>
      <c r="M14" s="320">
        <f>+[4]파주!$R$85</f>
        <v>97714.336283185839</v>
      </c>
      <c r="N14" s="139">
        <f t="shared" si="2"/>
        <v>3840.838916519162</v>
      </c>
      <c r="O14" s="319">
        <f>+[4]파주!$K$86/1000</f>
        <v>32.551109817499899</v>
      </c>
      <c r="P14" s="321">
        <f>+[4]파주!$Q$50</f>
        <v>98683.856978726762</v>
      </c>
      <c r="Q14" s="320">
        <f>+[4]파주!$R$50</f>
        <v>105888.77179941002</v>
      </c>
      <c r="R14" s="139">
        <f t="shared" si="3"/>
        <v>7204.9148206832615</v>
      </c>
      <c r="S14" s="319">
        <f>+[4]파주!$L$56/1000</f>
        <v>-61.061645115290602</v>
      </c>
      <c r="T14" s="321">
        <f>+([4]파주!$H$80+[4]파주!$H$85)/1000</f>
        <v>77.375953333333342</v>
      </c>
      <c r="U14" s="320">
        <f>+([4]파주!$I$80+[4]파주!$I$85)/1000</f>
        <v>76.758287989999999</v>
      </c>
      <c r="V14" s="139">
        <f t="shared" si="4"/>
        <v>-0.61766534333334278</v>
      </c>
      <c r="W14" s="319">
        <f>+([4]파주!$L$80+[4]파주!$L$85)/1000</f>
        <v>0.61766534333334266</v>
      </c>
      <c r="Y14" s="4">
        <f t="shared" si="5"/>
        <v>2.8532731732866523E-14</v>
      </c>
      <c r="Z14" s="4">
        <f t="shared" si="6"/>
        <v>2.8532731732866523E-8</v>
      </c>
    </row>
    <row r="15" spans="1:26" ht="24" customHeight="1" x14ac:dyDescent="0.3">
      <c r="D15" s="324" t="s">
        <v>106</v>
      </c>
      <c r="E15" s="321">
        <f>+[4]김포!$H$86/1000</f>
        <v>-38.987186935140521</v>
      </c>
      <c r="F15" s="320">
        <f>+[4]김포!$I$86/1000</f>
        <v>-121.40124400000003</v>
      </c>
      <c r="G15" s="322">
        <f t="shared" si="0"/>
        <v>-82.41405706485952</v>
      </c>
      <c r="H15" s="321">
        <f>+[4]김포!$T$5/1000</f>
        <v>8</v>
      </c>
      <c r="I15" s="320">
        <f>+[4]김포!$U$5/1000</f>
        <v>7.6920000000000002</v>
      </c>
      <c r="J15" s="139">
        <f t="shared" si="1"/>
        <v>-0.30799999999999983</v>
      </c>
      <c r="K15" s="319">
        <f>+[4]김포!$M$86/1000</f>
        <v>-0.70035075188597695</v>
      </c>
      <c r="L15" s="321">
        <f>+[4]김포!$Q$85</f>
        <v>100691.14657500002</v>
      </c>
      <c r="M15" s="320">
        <f>+[4]김포!$R$85</f>
        <v>97917.06539261571</v>
      </c>
      <c r="N15" s="139">
        <f t="shared" si="2"/>
        <v>-2774.0811823843105</v>
      </c>
      <c r="O15" s="319">
        <f>+[4]김포!$K$86/1000</f>
        <v>-21.338232454900115</v>
      </c>
      <c r="P15" s="321">
        <f>+[4]김포!$Q$50</f>
        <v>98417.280497448126</v>
      </c>
      <c r="Q15" s="331">
        <f>+[4]김포!$R$50</f>
        <v>105366.97100884037</v>
      </c>
      <c r="R15" s="139">
        <f t="shared" si="3"/>
        <v>6949.6905113922403</v>
      </c>
      <c r="S15" s="319">
        <f>+[4]김포!$L$56/1000</f>
        <v>-53.457019233628898</v>
      </c>
      <c r="T15" s="321">
        <f>+([4]김포!$H$80+[4]김포!$H$85)/1000</f>
        <v>57.178115555555557</v>
      </c>
      <c r="U15" s="320">
        <f>+([4]김포!$I$80+[4]김포!$I$85)/1000</f>
        <v>64.096570180000001</v>
      </c>
      <c r="V15" s="139">
        <f t="shared" si="4"/>
        <v>6.9184546244444434</v>
      </c>
      <c r="W15" s="319">
        <f>+([4]김포!$L$80+[4]김포!$L$85)/1000</f>
        <v>-6.9184546244444443</v>
      </c>
      <c r="Y15" s="4">
        <f t="shared" si="5"/>
        <v>-8.4376949871511897E-14</v>
      </c>
      <c r="Z15" s="4">
        <f t="shared" si="6"/>
        <v>-8.4376949871511897E-8</v>
      </c>
    </row>
    <row r="16" spans="1:26" ht="24" customHeight="1" x14ac:dyDescent="0.3">
      <c r="D16" s="330" t="s">
        <v>21</v>
      </c>
      <c r="E16" s="328">
        <f>+[4]부산!$H$86/1000</f>
        <v>74.964892438548972</v>
      </c>
      <c r="F16" s="327">
        <f>+[4]부산!$I$86/1000</f>
        <v>207.73550799999992</v>
      </c>
      <c r="G16" s="329">
        <f t="shared" si="0"/>
        <v>132.77061556145094</v>
      </c>
      <c r="H16" s="328">
        <f>+[4]부산!$T$5/1000</f>
        <v>16</v>
      </c>
      <c r="I16" s="327">
        <f>+[4]부산!$U$5/1000</f>
        <v>19.626000000000001</v>
      </c>
      <c r="J16" s="326">
        <f t="shared" si="1"/>
        <v>3.6260000000000012</v>
      </c>
      <c r="K16" s="325">
        <f>+[4]부산!$M$86/1000</f>
        <v>41.180328372094429</v>
      </c>
      <c r="L16" s="328">
        <f>+[4]부산!$Q$85</f>
        <v>107714.30979375</v>
      </c>
      <c r="M16" s="327">
        <f>+[4]부산!$R$85</f>
        <v>116262.34841536736</v>
      </c>
      <c r="N16" s="326">
        <f t="shared" si="2"/>
        <v>8548.0386216173647</v>
      </c>
      <c r="O16" s="325">
        <f>+[4]부산!$K$86/1000</f>
        <v>167.76380598786241</v>
      </c>
      <c r="P16" s="328">
        <f>+[4]부산!$Q$50</f>
        <v>96357.352162174022</v>
      </c>
      <c r="Q16" s="327">
        <f>+[4]부산!$R$50</f>
        <v>100079.61578035861</v>
      </c>
      <c r="R16" s="326">
        <f t="shared" si="3"/>
        <v>3722.2636181845883</v>
      </c>
      <c r="S16" s="325">
        <f>+[4]부산!$L$56/1000</f>
        <v>-8.0551036451727693</v>
      </c>
      <c r="T16" s="328">
        <f>+([4]부산!$H$80+[4]부산!$H$85)/1000</f>
        <v>106.74642966666666</v>
      </c>
      <c r="U16" s="327">
        <f>+([4]부산!$I$80+[4]부산!$I$85)/1000</f>
        <v>174.86484482</v>
      </c>
      <c r="V16" s="326">
        <f t="shared" si="4"/>
        <v>68.118415153333345</v>
      </c>
      <c r="W16" s="325">
        <f>+([4]부산!$L$80+[4]부산!$L$85)/1000</f>
        <v>-68.118415153333331</v>
      </c>
      <c r="Y16" s="4">
        <f t="shared" si="5"/>
        <v>1.8474111129762605E-13</v>
      </c>
      <c r="Z16" s="4">
        <f t="shared" si="6"/>
        <v>1.8474111129762605E-7</v>
      </c>
    </row>
    <row r="17" spans="4:26" ht="24" customHeight="1" x14ac:dyDescent="0.3">
      <c r="D17" s="324" t="s">
        <v>22</v>
      </c>
      <c r="E17" s="321">
        <f>+[4]서부산!$H$86/1000</f>
        <v>118.33250841001413</v>
      </c>
      <c r="F17" s="320">
        <f>+[4]서부산!$I$86/1000</f>
        <v>-5.9900169999999049</v>
      </c>
      <c r="G17" s="322">
        <f t="shared" si="0"/>
        <v>-124.32252541001404</v>
      </c>
      <c r="H17" s="321">
        <f>+[4]서부산!$T$5/1000</f>
        <v>16</v>
      </c>
      <c r="I17" s="320">
        <f>+[4]서부산!$U$5/1000</f>
        <v>11.794</v>
      </c>
      <c r="J17" s="139">
        <f t="shared" si="1"/>
        <v>-4.2059999999999995</v>
      </c>
      <c r="K17" s="319">
        <f>+[4]서부산!$M$86/1000</f>
        <v>-52.961100626449102</v>
      </c>
      <c r="L17" s="321">
        <f>+[4]서부산!$Q$85</f>
        <v>100042.91382500003</v>
      </c>
      <c r="M17" s="320">
        <f>+[4]서부산!$R$85</f>
        <v>102387.1036120061</v>
      </c>
      <c r="N17" s="139">
        <f t="shared" si="2"/>
        <v>2344.1897870060784</v>
      </c>
      <c r="O17" s="319">
        <f>+[4]서부산!$K$86/1000</f>
        <v>27.64737434794969</v>
      </c>
      <c r="P17" s="321">
        <f>+[4]서부산!$Q$50</f>
        <v>87451.116243818586</v>
      </c>
      <c r="Q17" s="320">
        <f>+[4]서부산!$R$50</f>
        <v>94610.558983050854</v>
      </c>
      <c r="R17" s="139">
        <f t="shared" si="3"/>
        <v>7159.4427392322687</v>
      </c>
      <c r="S17" s="319">
        <f>+[4]서부산!$L$56/1000</f>
        <v>-48.028612520403527</v>
      </c>
      <c r="T17" s="321">
        <f>+([4]서부산!$H$80+[4]서부산!$H$85)/1000</f>
        <v>83.136252888888905</v>
      </c>
      <c r="U17" s="320">
        <f>+([4]서부산!$I$80+[4]서부산!$I$85)/1000</f>
        <v>134.11643950000001</v>
      </c>
      <c r="V17" s="139">
        <f t="shared" si="4"/>
        <v>50.980186611111108</v>
      </c>
      <c r="W17" s="319">
        <f>+([4]서부산!$L$80+[4]서부산!$L$85)/1000</f>
        <v>-50.980186611111101</v>
      </c>
      <c r="Y17" s="4">
        <f t="shared" si="5"/>
        <v>0</v>
      </c>
      <c r="Z17" s="4">
        <f t="shared" si="6"/>
        <v>0</v>
      </c>
    </row>
    <row r="18" spans="4:26" ht="24" customHeight="1" x14ac:dyDescent="0.3">
      <c r="D18" s="324" t="s">
        <v>23</v>
      </c>
      <c r="E18" s="321">
        <f>+[4]김해!$H$86/1000</f>
        <v>-14.534889609526589</v>
      </c>
      <c r="F18" s="320">
        <f>+[4]김해!$I$86/1000</f>
        <v>-36.280646000000019</v>
      </c>
      <c r="G18" s="322">
        <f t="shared" si="0"/>
        <v>-21.745756390473431</v>
      </c>
      <c r="H18" s="321">
        <f>+[4]김해!$T$5/1000</f>
        <v>7</v>
      </c>
      <c r="I18" s="320">
        <f>+[4]김해!$U$5/1000</f>
        <v>5.282</v>
      </c>
      <c r="J18" s="139">
        <f t="shared" si="1"/>
        <v>-1.718</v>
      </c>
      <c r="K18" s="319">
        <f>+[4]김해!$M$86/1000</f>
        <v>-7.6500276198015777</v>
      </c>
      <c r="L18" s="321">
        <f>+[4]김해!$Q$85</f>
        <v>97848.424045714288</v>
      </c>
      <c r="M18" s="320">
        <f>+[4]김해!$R$85</f>
        <v>102457.72434683831</v>
      </c>
      <c r="N18" s="139">
        <f t="shared" si="2"/>
        <v>4609.3003011240216</v>
      </c>
      <c r="O18" s="319">
        <f>+[4]김해!$K$86/1000</f>
        <v>24.346324190537086</v>
      </c>
      <c r="P18" s="321">
        <f>+[4]김해!$Q$50</f>
        <v>93395.555815329208</v>
      </c>
      <c r="Q18" s="320">
        <f>+[4]김해!$R$50</f>
        <v>99053.898144642182</v>
      </c>
      <c r="R18" s="139">
        <f t="shared" si="3"/>
        <v>5658.3423293129745</v>
      </c>
      <c r="S18" s="319">
        <f>+[4]김해!$L$56/1000</f>
        <v>-27.253459763431209</v>
      </c>
      <c r="T18" s="321">
        <f>+([4]김해!$H$80+[4]김해!$H$85)/1000</f>
        <v>45.704967222222223</v>
      </c>
      <c r="U18" s="320">
        <f>+([4]김해!$I$80+[4]김해!$I$85)/1000</f>
        <v>56.89356042</v>
      </c>
      <c r="V18" s="139">
        <f t="shared" si="4"/>
        <v>11.188593197777777</v>
      </c>
      <c r="W18" s="319">
        <f>+([4]김해!$L$80+[4]김해!$L$85)/1000</f>
        <v>-11.188593197777779</v>
      </c>
      <c r="Y18" s="4">
        <f t="shared" si="5"/>
        <v>4.4408920985006262E-14</v>
      </c>
      <c r="Z18" s="4">
        <f t="shared" si="6"/>
        <v>4.4408920985006262E-8</v>
      </c>
    </row>
    <row r="19" spans="4:26" ht="24" customHeight="1" x14ac:dyDescent="0.3">
      <c r="D19" s="324" t="s">
        <v>24</v>
      </c>
      <c r="E19" s="321">
        <f>+[4]정관!$H$86/1000</f>
        <v>71.756078305489581</v>
      </c>
      <c r="F19" s="320">
        <f>+[4]정관!$I$86/1000</f>
        <v>-47.580852000000263</v>
      </c>
      <c r="G19" s="322">
        <f t="shared" si="0"/>
        <v>-119.33693030548984</v>
      </c>
      <c r="H19" s="321">
        <f>+[4]정관!$T$5/1000</f>
        <v>18</v>
      </c>
      <c r="I19" s="320">
        <f>+[4]정관!$U$5/1000</f>
        <v>10.532</v>
      </c>
      <c r="J19" s="139">
        <f t="shared" si="1"/>
        <v>-7.468</v>
      </c>
      <c r="K19" s="319">
        <f>+[4]정관!$M$86/1000</f>
        <v>-58.630029821707055</v>
      </c>
      <c r="L19" s="321">
        <f>+[4]정관!$Q$85</f>
        <v>99878.148559444453</v>
      </c>
      <c r="M19" s="320">
        <f>+[4]정관!$R$85</f>
        <v>108553.54158754273</v>
      </c>
      <c r="N19" s="139">
        <f t="shared" si="2"/>
        <v>8675.393028098275</v>
      </c>
      <c r="O19" s="319">
        <f>+[4]정관!$K$86/1000</f>
        <v>91.36923937193103</v>
      </c>
      <c r="P19" s="321">
        <f>+[4]정관!$Q$50</f>
        <v>92027.314357287643</v>
      </c>
      <c r="Q19" s="320">
        <f>+[4]정관!$R$50</f>
        <v>104797.57766805924</v>
      </c>
      <c r="R19" s="139">
        <f t="shared" si="3"/>
        <v>12770.263310771596</v>
      </c>
      <c r="S19" s="319">
        <f>+[4]정관!$L$56/1000</f>
        <v>-126.91130181904697</v>
      </c>
      <c r="T19" s="321">
        <f>+([4]정관!$H$80+[4]정관!$H$85)/1000</f>
        <v>69.558937333333333</v>
      </c>
      <c r="U19" s="320">
        <f>+([4]정관!$I$80+[4]정관!$I$85)/1000</f>
        <v>94.723775369999998</v>
      </c>
      <c r="V19" s="139">
        <f t="shared" si="4"/>
        <v>25.164838036666666</v>
      </c>
      <c r="W19" s="319">
        <f>+([4]정관!$L$80+[4]정관!$L$85)/1000</f>
        <v>-25.164838036666676</v>
      </c>
      <c r="Y19" s="4">
        <f t="shared" si="5"/>
        <v>-1.7408297026122455E-13</v>
      </c>
      <c r="Z19" s="4">
        <f t="shared" si="6"/>
        <v>-1.7408297026122455E-7</v>
      </c>
    </row>
    <row r="20" spans="4:26" ht="24" customHeight="1" x14ac:dyDescent="0.3">
      <c r="D20" s="324" t="s">
        <v>25</v>
      </c>
      <c r="E20" s="321">
        <f>+[4]양산!$H$86/1000</f>
        <v>-26.949416812432034</v>
      </c>
      <c r="F20" s="320">
        <f>+[4]양산!$I$86/1000</f>
        <v>-66.233686000000034</v>
      </c>
      <c r="G20" s="322">
        <f t="shared" si="0"/>
        <v>-39.284269187568</v>
      </c>
      <c r="H20" s="321">
        <f>+[4]양산!$T$5/1000</f>
        <v>6</v>
      </c>
      <c r="I20" s="320">
        <f>+[4]양산!$U$5/1000</f>
        <v>3.3929999999999998</v>
      </c>
      <c r="J20" s="139">
        <f t="shared" si="1"/>
        <v>-2.6070000000000002</v>
      </c>
      <c r="K20" s="319">
        <f>+[4]양산!$M$86/1000</f>
        <v>-5.7498915254983292</v>
      </c>
      <c r="L20" s="321">
        <f>+[4]양산!$Q$85</f>
        <v>96105.489500000011</v>
      </c>
      <c r="M20" s="320">
        <f>+[4]양산!$R$85</f>
        <v>106264.98673740053</v>
      </c>
      <c r="N20" s="139">
        <f t="shared" si="2"/>
        <v>10159.497237400516</v>
      </c>
      <c r="O20" s="319">
        <f>+[4]양산!$K$86/1000</f>
        <v>34.471174126499953</v>
      </c>
      <c r="P20" s="321">
        <f>+[4]양산!$Q$50</f>
        <v>93899.930802071991</v>
      </c>
      <c r="Q20" s="320">
        <f>+[4]양산!$R$50</f>
        <v>110760.2437371058</v>
      </c>
      <c r="R20" s="139">
        <f t="shared" si="3"/>
        <v>16860.312935033813</v>
      </c>
      <c r="S20" s="319">
        <f>+[4]양산!$L$56/1000</f>
        <v>-57.20703780856968</v>
      </c>
      <c r="T20" s="321">
        <f>+([4]양산!$H$80+[4]양산!$H$85)/1000</f>
        <v>40.182769000000008</v>
      </c>
      <c r="U20" s="320">
        <f>+([4]양산!$I$80+[4]양산!$I$85)/1000</f>
        <v>50.981282980000003</v>
      </c>
      <c r="V20" s="139">
        <f t="shared" si="4"/>
        <v>10.798513979999996</v>
      </c>
      <c r="W20" s="319">
        <f>+([4]양산!$L$80+[4]양산!$L$85)/1000</f>
        <v>-10.798513980000001</v>
      </c>
      <c r="Y20" s="4">
        <f t="shared" si="5"/>
        <v>6.2172489379008766E-14</v>
      </c>
      <c r="Z20" s="4">
        <f t="shared" si="6"/>
        <v>6.2172489379008766E-8</v>
      </c>
    </row>
    <row r="21" spans="4:26" ht="24" customHeight="1" x14ac:dyDescent="0.3">
      <c r="D21" s="324" t="s">
        <v>26</v>
      </c>
      <c r="E21" s="321">
        <f>+[4]창원!$H$86/1000</f>
        <v>-6.3142939279695307</v>
      </c>
      <c r="F21" s="320">
        <f>+[4]창원!$I$86/1000</f>
        <v>-25.872474999999948</v>
      </c>
      <c r="G21" s="322">
        <f t="shared" si="0"/>
        <v>-19.558181072030418</v>
      </c>
      <c r="H21" s="321">
        <f>+[4]창원!$T$5/1000</f>
        <v>8.4999999999999964</v>
      </c>
      <c r="I21" s="320">
        <f>+[4]창원!$U$5/1000</f>
        <v>9.4339999999999993</v>
      </c>
      <c r="J21" s="139">
        <f t="shared" si="1"/>
        <v>0.93400000000000283</v>
      </c>
      <c r="K21" s="319">
        <f>+[4]창원!$M$86/1000</f>
        <v>5.9307694188430036</v>
      </c>
      <c r="L21" s="321">
        <f>+[4]창원!$Q$85</f>
        <v>98127.987734767754</v>
      </c>
      <c r="M21" s="320">
        <f>+[4]창원!$R$85</f>
        <v>94257.875768496931</v>
      </c>
      <c r="N21" s="139">
        <f t="shared" si="2"/>
        <v>-3870.1119662708224</v>
      </c>
      <c r="O21" s="319">
        <f>+[4]창원!$K$86/1000</f>
        <v>-36.510636289798938</v>
      </c>
      <c r="P21" s="321">
        <f>+[4]창원!$Q$50</f>
        <v>91778.127543287046</v>
      </c>
      <c r="Q21" s="320">
        <f>+[4]창원!$R$50</f>
        <v>88255.017595929618</v>
      </c>
      <c r="R21" s="139">
        <f t="shared" si="3"/>
        <v>-3523.1099473574286</v>
      </c>
      <c r="S21" s="319">
        <f>+[4]창원!$L$56/1000</f>
        <v>36.803551703369997</v>
      </c>
      <c r="T21" s="321">
        <f>+([4]창원!$H$80+[4]창원!$H$85)/1000</f>
        <v>60.288105555555553</v>
      </c>
      <c r="U21" s="320">
        <f>+([4]창원!$I$80+[4]창원!$I$85)/1000</f>
        <v>86.069971460000005</v>
      </c>
      <c r="V21" s="139">
        <f t="shared" si="4"/>
        <v>25.781865904444452</v>
      </c>
      <c r="W21" s="319">
        <f>+([4]창원!$L$80+[4]창원!$L$85)/1000</f>
        <v>-25.781865904444452</v>
      </c>
      <c r="Y21" s="4">
        <f t="shared" si="5"/>
        <v>-2.8421709430404007E-14</v>
      </c>
      <c r="Z21" s="4">
        <f t="shared" si="6"/>
        <v>-2.8421709430404007E-8</v>
      </c>
    </row>
    <row r="22" spans="4:26" ht="24" customHeight="1" x14ac:dyDescent="0.3">
      <c r="D22" s="324" t="s">
        <v>127</v>
      </c>
      <c r="E22" s="321">
        <f>+[4]대구!$H$86/1000</f>
        <v>-25.107902103687934</v>
      </c>
      <c r="F22" s="320">
        <f>+[4]대구!$I$86/1000</f>
        <v>-89.101346999999961</v>
      </c>
      <c r="G22" s="322">
        <f t="shared" si="0"/>
        <v>-63.993444896312027</v>
      </c>
      <c r="H22" s="321">
        <f>+[4]대구!$T$5/1000</f>
        <v>6.5</v>
      </c>
      <c r="I22" s="320">
        <f>+[4]대구!$U$5/1000</f>
        <v>4.3929999999999998</v>
      </c>
      <c r="J22" s="139">
        <f t="shared" si="1"/>
        <v>-2.1070000000000002</v>
      </c>
      <c r="K22" s="319">
        <f>+[4]대구!$M$86/1000</f>
        <v>-6.9510183918728723</v>
      </c>
      <c r="L22" s="321">
        <f>+[4]대구!$Q$85</f>
        <v>90234.090447230774</v>
      </c>
      <c r="M22" s="320">
        <f>+[4]대구!$R$85</f>
        <v>86438.61347598453</v>
      </c>
      <c r="N22" s="139">
        <f t="shared" si="2"/>
        <v>-3795.4769712462439</v>
      </c>
      <c r="O22" s="319">
        <f>+[4]대구!$K$86/1000</f>
        <v>-16.673530334684749</v>
      </c>
      <c r="P22" s="321">
        <f>+[4]대구!$Q$50</f>
        <v>86935.078396033394</v>
      </c>
      <c r="Q22" s="320">
        <f>+[4]대구!$R$50</f>
        <v>94339.338948326884</v>
      </c>
      <c r="R22" s="139">
        <f t="shared" si="3"/>
        <v>7404.26055229349</v>
      </c>
      <c r="S22" s="319">
        <f>+[4]대구!$L$56/1000</f>
        <v>-32.526921916225284</v>
      </c>
      <c r="T22" s="321">
        <f>+([4]대구!$H$80+[4]대구!$H$85)/1000</f>
        <v>46.551480436470889</v>
      </c>
      <c r="U22" s="320">
        <f>+([4]대구!$I$80+[4]대구!$I$85)/1000</f>
        <v>54.393454689999999</v>
      </c>
      <c r="V22" s="139">
        <f t="shared" si="4"/>
        <v>7.8419742535291093</v>
      </c>
      <c r="W22" s="319">
        <f>+([4]대구!$L$80+[4]대구!$L$85)/1000</f>
        <v>-7.8419742535291119</v>
      </c>
      <c r="Y22" s="4">
        <f t="shared" si="5"/>
        <v>-1.1546319456101628E-14</v>
      </c>
      <c r="Z22" s="4">
        <f t="shared" si="6"/>
        <v>-1.1546319456101628E-8</v>
      </c>
    </row>
    <row r="23" spans="4:26" ht="24" customHeight="1" x14ac:dyDescent="0.3">
      <c r="D23" s="324" t="s">
        <v>126</v>
      </c>
      <c r="E23" s="321">
        <f>+[4]울산!$H$86/1000</f>
        <v>-81.807409452711397</v>
      </c>
      <c r="F23" s="320">
        <f>+[4]울산!$I$86/1000</f>
        <v>11.388659000000008</v>
      </c>
      <c r="G23" s="322">
        <f t="shared" si="0"/>
        <v>93.196068452711401</v>
      </c>
      <c r="H23" s="321">
        <f>+[4]울산!$T$5/1000</f>
        <v>5.5</v>
      </c>
      <c r="I23" s="320">
        <f>+[4]울산!$U$5/1000</f>
        <v>9.4710000000000001</v>
      </c>
      <c r="J23" s="139">
        <f t="shared" si="1"/>
        <v>3.9710000000000001</v>
      </c>
      <c r="K23" s="319">
        <f>+[4]울산!$M$86/1000</f>
        <v>-26.717672378943476</v>
      </c>
      <c r="L23" s="321">
        <f>+[4]울산!$Q$85</f>
        <v>105261.79020000002</v>
      </c>
      <c r="M23" s="320">
        <f>+[4]울산!$R$85</f>
        <v>110288.24833702882</v>
      </c>
      <c r="N23" s="139">
        <f t="shared" si="2"/>
        <v>5026.458137028807</v>
      </c>
      <c r="O23" s="319">
        <f>+[4]울산!$K$86/1000</f>
        <v>47.605585015799825</v>
      </c>
      <c r="P23" s="321">
        <f>+[4]울산!$Q$50</f>
        <v>111989.98772680522</v>
      </c>
      <c r="Q23" s="320">
        <f>+[4]울산!$R$50</f>
        <v>103197.958742218</v>
      </c>
      <c r="R23" s="139">
        <f t="shared" si="3"/>
        <v>-8792.0289845872176</v>
      </c>
      <c r="S23" s="319">
        <f>+[4]울산!$L$56/1000</f>
        <v>83.340879760572207</v>
      </c>
      <c r="T23" s="321">
        <f>+([4]울산!$H$80+[4]울산!$H$85)/1000</f>
        <v>44.802323055282727</v>
      </c>
      <c r="U23" s="320">
        <f>+([4]울산!$I$80+[4]울산!$I$85)/1000</f>
        <v>55.835046999999996</v>
      </c>
      <c r="V23" s="139">
        <f t="shared" si="4"/>
        <v>11.032723944717269</v>
      </c>
      <c r="W23" s="319">
        <f>+([4]울산!$L$80+[4]울산!$L$85)/1000</f>
        <v>-11.032723944717269</v>
      </c>
      <c r="Y23" s="4">
        <f t="shared" si="5"/>
        <v>1.2079226507921703E-13</v>
      </c>
      <c r="Z23" s="4">
        <f t="shared" si="6"/>
        <v>1.2079226507921703E-7</v>
      </c>
    </row>
    <row r="24" spans="4:26" ht="24" customHeight="1" x14ac:dyDescent="0.3">
      <c r="D24" s="330" t="s">
        <v>27</v>
      </c>
      <c r="E24" s="328">
        <f>+[4]아산!$H$86/1000</f>
        <v>-64.531170365544128</v>
      </c>
      <c r="F24" s="327">
        <f>+[4]아산!$I$86/1000</f>
        <v>-9.2875060000000005</v>
      </c>
      <c r="G24" s="329">
        <f t="shared" si="0"/>
        <v>55.243664365544127</v>
      </c>
      <c r="H24" s="328">
        <f>+[4]아산!$T$5/1000</f>
        <v>10</v>
      </c>
      <c r="I24" s="327">
        <f>+[4]아산!$U$5/1000</f>
        <v>15.898999999999999</v>
      </c>
      <c r="J24" s="326">
        <f t="shared" si="1"/>
        <v>5.8989999999999991</v>
      </c>
      <c r="K24" s="325">
        <f>+[4]아산!$M$86/1000</f>
        <v>13.416198520232225</v>
      </c>
      <c r="L24" s="328">
        <f>+[4]아산!$Q$85</f>
        <v>98718.315999999992</v>
      </c>
      <c r="M24" s="327">
        <f>+[4]아산!$R$85</f>
        <v>102211.66802943581</v>
      </c>
      <c r="N24" s="326">
        <f t="shared" si="2"/>
        <v>3493.3520294358168</v>
      </c>
      <c r="O24" s="325">
        <f>+[4]아산!$K$86/1000</f>
        <v>55.540803916000058</v>
      </c>
      <c r="P24" s="328">
        <f>+[4]아산!$Q$50</f>
        <v>96443.998569887728</v>
      </c>
      <c r="Q24" s="327">
        <f>+[4]아산!$R$50</f>
        <v>96781.730989370408</v>
      </c>
      <c r="R24" s="326">
        <f t="shared" si="3"/>
        <v>337.73241948267969</v>
      </c>
      <c r="S24" s="325">
        <f>+[4]아산!$L$56/1000</f>
        <v>-5.3696126773547883</v>
      </c>
      <c r="T24" s="328">
        <f>+([4]아산!$H$80+[4]아산!$H$85)/1000</f>
        <v>87.274344666666678</v>
      </c>
      <c r="U24" s="327">
        <f>+([4]아산!$I$80+[4]아산!$I$85)/1000</f>
        <v>95.618070059999994</v>
      </c>
      <c r="V24" s="326">
        <f t="shared" si="4"/>
        <v>8.3437253933333153</v>
      </c>
      <c r="W24" s="325">
        <f>+([4]아산!$L$80+[4]아산!$L$85)/1000</f>
        <v>-8.3437253933333384</v>
      </c>
      <c r="Y24" s="4">
        <f t="shared" si="5"/>
        <v>-2.6645352591003757E-14</v>
      </c>
      <c r="Z24" s="4">
        <f t="shared" si="6"/>
        <v>-2.6645352591003757E-8</v>
      </c>
    </row>
    <row r="25" spans="4:26" ht="24" customHeight="1" x14ac:dyDescent="0.3">
      <c r="D25" s="324" t="s">
        <v>125</v>
      </c>
      <c r="E25" s="321">
        <f>+[4]전주!$H$86/1000</f>
        <v>-28.142012588383881</v>
      </c>
      <c r="F25" s="320">
        <f>+[4]전주!$I$86/1000</f>
        <v>-75.588009000000113</v>
      </c>
      <c r="G25" s="322">
        <f t="shared" si="0"/>
        <v>-47.445996411616235</v>
      </c>
      <c r="H25" s="321">
        <f>+[4]전주!$T$5/1000</f>
        <v>6</v>
      </c>
      <c r="I25" s="320">
        <f>+[4]전주!$U$5/1000</f>
        <v>6.7229999999999999</v>
      </c>
      <c r="J25" s="139">
        <f t="shared" si="1"/>
        <v>0.72299999999999986</v>
      </c>
      <c r="K25" s="319">
        <f>+[4]전주!$M$86/1000</f>
        <v>3.0363600671552993</v>
      </c>
      <c r="L25" s="321">
        <f>+[4]전주!$Q$85</f>
        <v>101766.56999999999</v>
      </c>
      <c r="M25" s="320">
        <f>+[4]전주!$R$85</f>
        <v>95309.541573702212</v>
      </c>
      <c r="N25" s="139">
        <f t="shared" si="2"/>
        <v>-6457.0284262977802</v>
      </c>
      <c r="O25" s="319">
        <f>+[4]전주!$K$86/1000</f>
        <v>-43.410602109999978</v>
      </c>
      <c r="P25" s="321">
        <f>+[4]전주!$Q$50</f>
        <v>97566.901857323217</v>
      </c>
      <c r="Q25" s="320">
        <f>+[4]전주!$R$50</f>
        <v>97648.663989290508</v>
      </c>
      <c r="R25" s="139">
        <f t="shared" si="3"/>
        <v>81.76213196729077</v>
      </c>
      <c r="S25" s="319">
        <f>+[4]전주!$L$56/1000</f>
        <v>-0.54968526321595856</v>
      </c>
      <c r="T25" s="321">
        <f>+([4]전주!$H$80+[4]전주!$H$85)/1000</f>
        <v>53.340021444444446</v>
      </c>
      <c r="U25" s="320">
        <f>+([4]전주!$I$80+[4]전주!$I$85)/1000</f>
        <v>59.862090549999998</v>
      </c>
      <c r="V25" s="139">
        <f t="shared" si="4"/>
        <v>6.522069105555552</v>
      </c>
      <c r="W25" s="319">
        <f>+([4]전주!$L$80+[4]전주!$L$85)/1000</f>
        <v>-6.5220691055555546</v>
      </c>
      <c r="Y25" s="4">
        <f t="shared" si="5"/>
        <v>-4.4408920985006262E-14</v>
      </c>
      <c r="Z25" s="4">
        <f t="shared" si="6"/>
        <v>-4.4408920985006262E-8</v>
      </c>
    </row>
    <row r="26" spans="4:26" ht="24" customHeight="1" x14ac:dyDescent="0.3">
      <c r="D26" s="323" t="s">
        <v>124</v>
      </c>
      <c r="E26" s="321">
        <f>+[4]군산!$H$86/1000</f>
        <v>11.369519917980707</v>
      </c>
      <c r="F26" s="320">
        <f>+[4]군산!$I$86/1000</f>
        <v>-20.390283</v>
      </c>
      <c r="G26" s="322">
        <f t="shared" si="0"/>
        <v>-31.759802917980707</v>
      </c>
      <c r="H26" s="321">
        <f>+[4]군산!$T$5/1000</f>
        <v>2.5</v>
      </c>
      <c r="I26" s="320">
        <f>+[4]군산!$U$5/1000</f>
        <v>1.9910000000000001</v>
      </c>
      <c r="J26" s="139">
        <f t="shared" si="1"/>
        <v>-0.5089999999999999</v>
      </c>
      <c r="K26" s="319">
        <f>+[4]군산!$M$86/1000</f>
        <v>-7.1042974449008911</v>
      </c>
      <c r="L26" s="321">
        <f>+[4]군산!$Q$85</f>
        <v>115783.5576</v>
      </c>
      <c r="M26" s="320">
        <f>+[4]군산!$R$85</f>
        <v>108945.32194876946</v>
      </c>
      <c r="N26" s="139">
        <f t="shared" si="2"/>
        <v>-6838.2356512305414</v>
      </c>
      <c r="O26" s="319">
        <f>+[4]군산!$K$86/1000</f>
        <v>-13.614927181600008</v>
      </c>
      <c r="P26" s="321">
        <f>+[4]군산!$Q$50</f>
        <v>101826.19523280769</v>
      </c>
      <c r="Q26" s="320">
        <f>+[4]군산!$R$50</f>
        <v>105700.33598014888</v>
      </c>
      <c r="R26" s="139">
        <f t="shared" si="3"/>
        <v>3874.1407473411964</v>
      </c>
      <c r="S26" s="319">
        <f>+[4]군산!$L$56/1000</f>
        <v>-7.6481650014798621</v>
      </c>
      <c r="T26" s="321">
        <f>+([4]군산!$H$80+[4]군산!$H$85)/1000</f>
        <v>23.523885999999997</v>
      </c>
      <c r="U26" s="320">
        <f>+([4]군산!$I$80+[4]군산!$I$85)/1000</f>
        <v>26.916299289999998</v>
      </c>
      <c r="V26" s="139">
        <f t="shared" si="4"/>
        <v>3.3924132900000004</v>
      </c>
      <c r="W26" s="319">
        <f>+([4]군산!$L$80+[4]군산!$L$85)/1000</f>
        <v>-3.3924132899999986</v>
      </c>
      <c r="Y26" s="4">
        <f t="shared" si="5"/>
        <v>5.1514348342607263E-14</v>
      </c>
      <c r="Z26" s="4">
        <f t="shared" si="6"/>
        <v>5.1514348342607263E-8</v>
      </c>
    </row>
    <row r="27" spans="4:26" ht="24" customHeight="1" x14ac:dyDescent="0.3">
      <c r="D27" s="323" t="s">
        <v>123</v>
      </c>
      <c r="E27" s="321">
        <f>+[4]원주!$H$86/1000</f>
        <v>33.348803589607179</v>
      </c>
      <c r="F27" s="320">
        <f>+[4]원주!$I$86/1000</f>
        <v>-24.850722000000001</v>
      </c>
      <c r="G27" s="322">
        <f t="shared" si="0"/>
        <v>-58.199525589607177</v>
      </c>
      <c r="H27" s="321">
        <f>+[4]원주!$T$5/1000</f>
        <v>2.9998</v>
      </c>
      <c r="I27" s="320">
        <f>+[4]원주!$U$5/1000</f>
        <v>1.4750000000000001</v>
      </c>
      <c r="J27" s="139">
        <f t="shared" si="1"/>
        <v>-1.5247999999999999</v>
      </c>
      <c r="K27" s="319">
        <f>+[4]원주!$M$86/1000</f>
        <v>-26.510663711391739</v>
      </c>
      <c r="L27" s="321">
        <f>+[4]원주!$Q$85</f>
        <v>114801.84204280283</v>
      </c>
      <c r="M27" s="320">
        <f>+[4]원주!$R$85</f>
        <v>128431.79661016951</v>
      </c>
      <c r="N27" s="139">
        <f t="shared" si="2"/>
        <v>13629.954567366673</v>
      </c>
      <c r="O27" s="319">
        <f>+[4]원주!$K$86/1000</f>
        <v>20.104182986865844</v>
      </c>
      <c r="P27" s="321">
        <f>+[4]원주!$Q$50</f>
        <v>97415.520424825896</v>
      </c>
      <c r="Q27" s="320">
        <f>+[4]원주!$R$50</f>
        <v>131107.38033898306</v>
      </c>
      <c r="R27" s="139">
        <f t="shared" si="3"/>
        <v>33691.859914157161</v>
      </c>
      <c r="S27" s="319">
        <f>+[4]원주!$L$56/1000</f>
        <v>-49.695494075081228</v>
      </c>
      <c r="T27" s="321">
        <f>+([4]원주!$H$80+[4]원주!$H$85)/1000</f>
        <v>18.806684999999998</v>
      </c>
      <c r="U27" s="320">
        <f>+([4]원주!$I$80+[4]원주!$I$85)/1000</f>
        <v>20.904235789999998</v>
      </c>
      <c r="V27" s="139">
        <f t="shared" si="4"/>
        <v>2.0975507899999997</v>
      </c>
      <c r="W27" s="319">
        <f>+([4]원주!$L$80+[4]원주!$L$85)/1000</f>
        <v>-2.0975507900000006</v>
      </c>
      <c r="Y27" s="4">
        <f t="shared" si="5"/>
        <v>-5.595524044110789E-14</v>
      </c>
      <c r="Z27" s="4">
        <f t="shared" si="6"/>
        <v>-5.595524044110789E-8</v>
      </c>
    </row>
    <row r="28" spans="4:26" ht="24" customHeight="1" thickBot="1" x14ac:dyDescent="0.35">
      <c r="D28" s="318" t="s">
        <v>122</v>
      </c>
      <c r="E28" s="316">
        <f>+[4]제주!$H$86/1000</f>
        <v>26.361966481073633</v>
      </c>
      <c r="F28" s="315">
        <f>+[4]제주!$I$86/1000</f>
        <v>-7.4980149999999774</v>
      </c>
      <c r="G28" s="317">
        <f t="shared" si="0"/>
        <v>-33.859981481073611</v>
      </c>
      <c r="H28" s="316">
        <f>+[4]제주!$T$5/1000</f>
        <v>5</v>
      </c>
      <c r="I28" s="315">
        <f>+[4]제주!$U$5/1000</f>
        <v>3.2290000000000001</v>
      </c>
      <c r="J28" s="314">
        <f t="shared" si="1"/>
        <v>-1.7709999999999999</v>
      </c>
      <c r="K28" s="313">
        <f>+[4]제주!$M$86/1000</f>
        <v>-19.92636226080527</v>
      </c>
      <c r="L28" s="316">
        <f>+[4]제주!$Q$85</f>
        <v>120267.82000000002</v>
      </c>
      <c r="M28" s="315">
        <f>+[4]제주!$R$85</f>
        <v>129027.91978940848</v>
      </c>
      <c r="N28" s="314">
        <f t="shared" si="2"/>
        <v>8760.0997894084576</v>
      </c>
      <c r="O28" s="313">
        <f>+[4]제주!$K$86/1000</f>
        <v>28.286362219999909</v>
      </c>
      <c r="P28" s="316">
        <f>+[4]제주!$Q$50</f>
        <v>109016.34497978247</v>
      </c>
      <c r="Q28" s="315">
        <f>+[4]제주!$R$50</f>
        <v>121353.58903685352</v>
      </c>
      <c r="R28" s="314">
        <f t="shared" si="3"/>
        <v>12337.244057071046</v>
      </c>
      <c r="S28" s="313">
        <f>+[4]제주!$L$56/1000</f>
        <v>-39.836967500282363</v>
      </c>
      <c r="T28" s="316">
        <f>+([4]제주!$H$80+[4]제주!$H$85)/1000</f>
        <v>29.895408620014095</v>
      </c>
      <c r="U28" s="315">
        <f>+([4]제주!$I$80+[4]제주!$I$85)/1000</f>
        <v>32.278422559999996</v>
      </c>
      <c r="V28" s="314">
        <f t="shared" si="4"/>
        <v>2.3830139399859007</v>
      </c>
      <c r="W28" s="313">
        <f>+([4]제주!$L$80+[4]제주!$L$85)/1000</f>
        <v>-2.3830139399859043</v>
      </c>
      <c r="Y28" s="4">
        <f t="shared" si="5"/>
        <v>1.7763568394002505E-14</v>
      </c>
      <c r="Z28" s="4">
        <f t="shared" si="6"/>
        <v>1.7763568394002505E-8</v>
      </c>
    </row>
    <row r="29" spans="4:26" ht="24" customHeight="1" x14ac:dyDescent="0.3">
      <c r="Y29" s="450"/>
    </row>
    <row r="30" spans="4:26" ht="24" customHeight="1" x14ac:dyDescent="0.3">
      <c r="Y30" s="450"/>
    </row>
    <row r="31" spans="4:26" ht="24" customHeight="1" x14ac:dyDescent="0.3">
      <c r="Y31" s="450"/>
    </row>
    <row r="32" spans="4:26" ht="21.95" customHeight="1" x14ac:dyDescent="0.3">
      <c r="F32" s="312"/>
      <c r="Y32" s="450"/>
    </row>
    <row r="33" spans="25:25" ht="21.95" customHeight="1" x14ac:dyDescent="0.3"/>
    <row r="34" spans="25:25" ht="21.95" customHeight="1" x14ac:dyDescent="0.3">
      <c r="Y34" s="451"/>
    </row>
    <row r="35" spans="25:25" ht="21.95" customHeight="1" x14ac:dyDescent="0.3">
      <c r="Y35" s="4" t="s">
        <v>155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D7" sqref="D7"/>
      <selection pane="topRight" activeCell="D7" sqref="D7"/>
      <selection pane="bottomLeft" activeCell="D7" sqref="D7"/>
      <selection pane="bottomRight" activeCell="D6" sqref="D6:D7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68" t="s">
        <v>185</v>
      </c>
      <c r="F4" s="368"/>
      <c r="I4" s="368"/>
    </row>
    <row r="5" spans="1:22" ht="21.95" customHeight="1" x14ac:dyDescent="0.3">
      <c r="V5" s="367" t="s">
        <v>141</v>
      </c>
    </row>
    <row r="6" spans="1:22" ht="24" customHeight="1" thickBot="1" x14ac:dyDescent="0.35">
      <c r="A6" s="4" t="s">
        <v>168</v>
      </c>
      <c r="D6" s="692" t="s">
        <v>11</v>
      </c>
      <c r="E6" s="366" t="s">
        <v>53</v>
      </c>
      <c r="F6" s="365"/>
      <c r="G6" s="364"/>
      <c r="H6" s="366" t="s">
        <v>140</v>
      </c>
      <c r="I6" s="365"/>
      <c r="J6" s="364"/>
      <c r="K6" s="366" t="s">
        <v>139</v>
      </c>
      <c r="L6" s="365"/>
      <c r="M6" s="364"/>
      <c r="N6" s="366" t="s">
        <v>138</v>
      </c>
      <c r="O6" s="365"/>
      <c r="P6" s="364"/>
      <c r="Q6" s="366" t="s">
        <v>137</v>
      </c>
      <c r="R6" s="365"/>
      <c r="S6" s="364"/>
      <c r="T6" s="366" t="s">
        <v>54</v>
      </c>
      <c r="U6" s="365"/>
      <c r="V6" s="364"/>
    </row>
    <row r="7" spans="1:22" ht="24" customHeight="1" x14ac:dyDescent="0.3">
      <c r="D7" s="693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1:22" ht="24" customHeight="1" x14ac:dyDescent="0.3">
      <c r="D8" s="358" t="s">
        <v>136</v>
      </c>
      <c r="E8" s="356">
        <f>+[4]합계!$Q$85</f>
        <v>100556.99043344718</v>
      </c>
      <c r="F8" s="355">
        <f>+[4]합계!$R$85</f>
        <v>104606.76316734463</v>
      </c>
      <c r="G8" s="386">
        <f t="shared" ref="G8:G28" si="0">+F8-E8</f>
        <v>4049.772733897451</v>
      </c>
      <c r="H8" s="356">
        <f>+[4]합계!$Q$20</f>
        <v>62575.745418790539</v>
      </c>
      <c r="I8" s="355">
        <f>+[4]합계!$R$20</f>
        <v>65317.952536208431</v>
      </c>
      <c r="J8" s="386">
        <f t="shared" ref="J8:J28" si="1">+I8-H8</f>
        <v>2742.2071174178927</v>
      </c>
      <c r="K8" s="356">
        <f>+[4]합계!$Q$21</f>
        <v>19824.789599725937</v>
      </c>
      <c r="L8" s="355">
        <f>+[4]합계!$R$21</f>
        <v>20218.440757066601</v>
      </c>
      <c r="M8" s="386">
        <f t="shared" ref="M8:M28" si="2">+L8-K8</f>
        <v>393.65115734066421</v>
      </c>
      <c r="N8" s="356">
        <f>+[4]합계!$Q$22</f>
        <v>427.72505957633854</v>
      </c>
      <c r="O8" s="355">
        <f>+[4]합계!$R$22</f>
        <v>382.16278932903327</v>
      </c>
      <c r="P8" s="386">
        <f t="shared" ref="P8:P28" si="3">+O8-N8</f>
        <v>-45.562270247305264</v>
      </c>
      <c r="Q8" s="356">
        <f t="shared" ref="Q8:Q28" si="4">H8+K8+N8</f>
        <v>82828.260078092804</v>
      </c>
      <c r="R8" s="355">
        <f t="shared" ref="R8:R28" si="5">I8+L8+O8</f>
        <v>85918.55608260406</v>
      </c>
      <c r="S8" s="386">
        <f t="shared" ref="S8:S28" si="6">+R8-Q8</f>
        <v>3090.2960045112559</v>
      </c>
      <c r="T8" s="356">
        <f t="shared" ref="T8:T28" si="7">+E8-Q8</f>
        <v>17728.730355354375</v>
      </c>
      <c r="U8" s="355">
        <f t="shared" ref="U8:U28" si="8">+F8-R8</f>
        <v>18688.20708474057</v>
      </c>
      <c r="V8" s="386">
        <f t="shared" ref="V8:V28" si="9">+U8-T8</f>
        <v>959.47672938619507</v>
      </c>
    </row>
    <row r="9" spans="1:22" ht="24" customHeight="1" x14ac:dyDescent="0.3">
      <c r="D9" s="352" t="s">
        <v>16</v>
      </c>
      <c r="E9" s="351">
        <f>+[4]수도권!$Q$85</f>
        <v>98247.172664470636</v>
      </c>
      <c r="F9" s="350">
        <f>+[4]수도권!$R$85</f>
        <v>102553.1111077759</v>
      </c>
      <c r="G9" s="385">
        <f t="shared" si="0"/>
        <v>4305.9384433052619</v>
      </c>
      <c r="H9" s="351">
        <f>+[4]수도권!$Q$20</f>
        <v>63697.561054759048</v>
      </c>
      <c r="I9" s="350">
        <f>+[4]수도권!$R$20</f>
        <v>67919.084069933218</v>
      </c>
      <c r="J9" s="385">
        <f t="shared" si="1"/>
        <v>4221.5230151741707</v>
      </c>
      <c r="K9" s="351">
        <f>+[4]수도권!$Q$21</f>
        <v>19675.398536632329</v>
      </c>
      <c r="L9" s="350">
        <f>+[4]수도권!$R$21</f>
        <v>19622.095610414948</v>
      </c>
      <c r="M9" s="385">
        <f t="shared" si="2"/>
        <v>-53.302926217380445</v>
      </c>
      <c r="N9" s="351">
        <f>+[4]수도권!$Q$22</f>
        <v>493.54104477611935</v>
      </c>
      <c r="O9" s="350">
        <f>+[4]수도권!$R$22</f>
        <v>452.33065205972838</v>
      </c>
      <c r="P9" s="385">
        <f t="shared" si="3"/>
        <v>-41.21039271639097</v>
      </c>
      <c r="Q9" s="351">
        <f t="shared" si="4"/>
        <v>83866.500636167504</v>
      </c>
      <c r="R9" s="350">
        <f t="shared" si="5"/>
        <v>87993.510332407895</v>
      </c>
      <c r="S9" s="385">
        <f t="shared" si="6"/>
        <v>4127.0096962403913</v>
      </c>
      <c r="T9" s="351">
        <f t="shared" si="7"/>
        <v>14380.672028303132</v>
      </c>
      <c r="U9" s="350">
        <f t="shared" si="8"/>
        <v>14559.600775368002</v>
      </c>
      <c r="V9" s="385">
        <f t="shared" si="9"/>
        <v>178.92874706487055</v>
      </c>
    </row>
    <row r="10" spans="1:22" ht="24" customHeight="1" x14ac:dyDescent="0.3">
      <c r="D10" s="347" t="s">
        <v>17</v>
      </c>
      <c r="E10" s="346">
        <f>+[4]영남권!$Q$85</f>
        <v>100395.73038374282</v>
      </c>
      <c r="F10" s="345">
        <f>+[4]영남권!$R$85</f>
        <v>106159.44104159619</v>
      </c>
      <c r="G10" s="384">
        <f t="shared" si="0"/>
        <v>5763.7106578533712</v>
      </c>
      <c r="H10" s="346">
        <f>+[4]영남권!$Q$20</f>
        <v>61329.0746651675</v>
      </c>
      <c r="I10" s="345">
        <f>+[4]영남권!$R$20</f>
        <v>63413.142488132748</v>
      </c>
      <c r="J10" s="384">
        <f t="shared" si="1"/>
        <v>2084.0678229652476</v>
      </c>
      <c r="K10" s="346">
        <f>+[4]영남권!$Q$21</f>
        <v>20535.605247643445</v>
      </c>
      <c r="L10" s="345">
        <f>+[4]영남권!$R$21</f>
        <v>20772.163747751649</v>
      </c>
      <c r="M10" s="384">
        <f t="shared" si="2"/>
        <v>236.55850010820359</v>
      </c>
      <c r="N10" s="346">
        <f>+[4]영남권!$Q$22</f>
        <v>386.82634730538922</v>
      </c>
      <c r="O10" s="345">
        <f>+[4]영남권!$R$22</f>
        <v>354.2124474257198</v>
      </c>
      <c r="P10" s="384">
        <f t="shared" si="3"/>
        <v>-32.613899879669418</v>
      </c>
      <c r="Q10" s="346">
        <f t="shared" si="4"/>
        <v>82251.506260116337</v>
      </c>
      <c r="R10" s="345">
        <f t="shared" si="5"/>
        <v>84539.518683310118</v>
      </c>
      <c r="S10" s="384">
        <f t="shared" si="6"/>
        <v>2288.0124231937807</v>
      </c>
      <c r="T10" s="346">
        <f t="shared" si="7"/>
        <v>18144.224123626482</v>
      </c>
      <c r="U10" s="345">
        <f t="shared" si="8"/>
        <v>21619.922358286072</v>
      </c>
      <c r="V10" s="384">
        <f t="shared" si="9"/>
        <v>3475.6982346595905</v>
      </c>
    </row>
    <row r="11" spans="1:22" ht="24" customHeight="1" x14ac:dyDescent="0.3">
      <c r="D11" s="342" t="s">
        <v>128</v>
      </c>
      <c r="E11" s="341">
        <f>+[4]중부권!$Q$85</f>
        <v>106905.07625566988</v>
      </c>
      <c r="F11" s="340">
        <f>+[4]중부권!$R$85</f>
        <v>105358.92304806084</v>
      </c>
      <c r="G11" s="383">
        <f t="shared" si="0"/>
        <v>-1546.1532076090371</v>
      </c>
      <c r="H11" s="341">
        <f>+[4]중부권!$Q$20</f>
        <v>63667.654048955039</v>
      </c>
      <c r="I11" s="340">
        <f>+[4]중부권!$R$20</f>
        <v>64211.002181248085</v>
      </c>
      <c r="J11" s="383">
        <f t="shared" si="1"/>
        <v>543.34813229304564</v>
      </c>
      <c r="K11" s="341">
        <f>+[4]중부권!$Q$21</f>
        <v>17962.741381481206</v>
      </c>
      <c r="L11" s="340">
        <f>+[4]중부권!$R$21</f>
        <v>20177.321495518219</v>
      </c>
      <c r="M11" s="383">
        <f t="shared" si="2"/>
        <v>2214.5801140370131</v>
      </c>
      <c r="N11" s="341">
        <f>+[4]중부권!$Q$22</f>
        <v>390.19162408772894</v>
      </c>
      <c r="O11" s="340">
        <f>+[4]중부권!$R$22</f>
        <v>293.24614021335333</v>
      </c>
      <c r="P11" s="383">
        <f t="shared" si="3"/>
        <v>-96.945483874375611</v>
      </c>
      <c r="Q11" s="341">
        <f t="shared" si="4"/>
        <v>82020.587054523974</v>
      </c>
      <c r="R11" s="340">
        <f t="shared" si="5"/>
        <v>84681.569816979652</v>
      </c>
      <c r="S11" s="383">
        <f t="shared" si="6"/>
        <v>2660.9827624556783</v>
      </c>
      <c r="T11" s="341">
        <f t="shared" si="7"/>
        <v>24884.489201145901</v>
      </c>
      <c r="U11" s="340">
        <f t="shared" si="8"/>
        <v>20677.353231081186</v>
      </c>
      <c r="V11" s="383">
        <f t="shared" si="9"/>
        <v>-4207.1359700647154</v>
      </c>
    </row>
    <row r="12" spans="1:22" ht="24" customHeight="1" x14ac:dyDescent="0.3">
      <c r="D12" s="382" t="s">
        <v>18</v>
      </c>
      <c r="E12" s="381">
        <f>+[4]안양!$Q$85</f>
        <v>97630.95310714285</v>
      </c>
      <c r="F12" s="380">
        <f>+[4]안양!$R$85</f>
        <v>104538.95660681794</v>
      </c>
      <c r="G12" s="379">
        <f t="shared" si="0"/>
        <v>6908.003499675091</v>
      </c>
      <c r="H12" s="381">
        <f>+[4]안양!$Q$20</f>
        <v>62205.41858678955</v>
      </c>
      <c r="I12" s="380">
        <f>+[4]안양!$R$20</f>
        <v>67226.174875579207</v>
      </c>
      <c r="J12" s="379">
        <f t="shared" si="1"/>
        <v>5020.7562887896565</v>
      </c>
      <c r="K12" s="381">
        <f>+[4]안양!$Q$21</f>
        <v>19140.227525252525</v>
      </c>
      <c r="L12" s="380">
        <f>+[4]안양!$R$21</f>
        <v>19150.477672902009</v>
      </c>
      <c r="M12" s="379">
        <f t="shared" si="2"/>
        <v>10.250147649483552</v>
      </c>
      <c r="N12" s="381">
        <f>+[4]안양!$Q$22</f>
        <v>410.71428571428572</v>
      </c>
      <c r="O12" s="380">
        <f>+[4]안양!$R$22</f>
        <v>328.71642354556371</v>
      </c>
      <c r="P12" s="379">
        <f t="shared" si="3"/>
        <v>-81.997862168722008</v>
      </c>
      <c r="Q12" s="381">
        <f t="shared" si="4"/>
        <v>81756.360397756362</v>
      </c>
      <c r="R12" s="380">
        <f t="shared" si="5"/>
        <v>86705.368972026772</v>
      </c>
      <c r="S12" s="379">
        <f t="shared" si="6"/>
        <v>4949.0085742704105</v>
      </c>
      <c r="T12" s="381">
        <f t="shared" si="7"/>
        <v>15874.592709386488</v>
      </c>
      <c r="U12" s="380">
        <f t="shared" si="8"/>
        <v>17833.587634791169</v>
      </c>
      <c r="V12" s="379">
        <f t="shared" si="9"/>
        <v>1958.9949254046805</v>
      </c>
    </row>
    <row r="13" spans="1:22" ht="24" customHeight="1" x14ac:dyDescent="0.3">
      <c r="D13" s="323" t="s">
        <v>19</v>
      </c>
      <c r="E13" s="374">
        <f>+[4]인천!$Q$85</f>
        <v>99931.965119069719</v>
      </c>
      <c r="F13" s="373">
        <f>+[4]인천!$R$85</f>
        <v>103435.4711479867</v>
      </c>
      <c r="G13" s="372">
        <f t="shared" si="0"/>
        <v>3503.5060289169778</v>
      </c>
      <c r="H13" s="374">
        <f>+[4]인천!$Q$20</f>
        <v>66914.360798193287</v>
      </c>
      <c r="I13" s="373">
        <f>+[4]인천!$R$20</f>
        <v>69649.854357099335</v>
      </c>
      <c r="J13" s="372">
        <f t="shared" si="1"/>
        <v>2735.4935589060478</v>
      </c>
      <c r="K13" s="374">
        <f>+[4]인천!$Q$21</f>
        <v>20068.923013833304</v>
      </c>
      <c r="L13" s="373">
        <f>+[4]인천!$R$21</f>
        <v>19498.613931467677</v>
      </c>
      <c r="M13" s="372">
        <f t="shared" si="2"/>
        <v>-570.30908236562755</v>
      </c>
      <c r="N13" s="374">
        <f>+[4]인천!$Q$22</f>
        <v>693.63636363636374</v>
      </c>
      <c r="O13" s="373">
        <f>+[4]인천!$R$22</f>
        <v>714.8922795668683</v>
      </c>
      <c r="P13" s="372">
        <f t="shared" si="3"/>
        <v>21.255915930504557</v>
      </c>
      <c r="Q13" s="374">
        <f t="shared" si="4"/>
        <v>87676.920175662963</v>
      </c>
      <c r="R13" s="373">
        <f t="shared" si="5"/>
        <v>89863.360568133867</v>
      </c>
      <c r="S13" s="372">
        <f t="shared" si="6"/>
        <v>2186.440392470904</v>
      </c>
      <c r="T13" s="374">
        <f t="shared" si="7"/>
        <v>12255.044943406756</v>
      </c>
      <c r="U13" s="373">
        <f t="shared" si="8"/>
        <v>13572.11057985283</v>
      </c>
      <c r="V13" s="372">
        <f t="shared" si="9"/>
        <v>1317.0656364460738</v>
      </c>
    </row>
    <row r="14" spans="1:22" ht="24" customHeight="1" x14ac:dyDescent="0.3">
      <c r="D14" s="323" t="s">
        <v>20</v>
      </c>
      <c r="E14" s="374">
        <f>+[4]파주!$Q$85</f>
        <v>93873.497366666677</v>
      </c>
      <c r="F14" s="373">
        <f>+[4]파주!$R$85</f>
        <v>97714.336283185839</v>
      </c>
      <c r="G14" s="372">
        <f t="shared" si="0"/>
        <v>3840.838916519162</v>
      </c>
      <c r="H14" s="374">
        <f>+[4]파주!$Q$20</f>
        <v>60290.138163140342</v>
      </c>
      <c r="I14" s="373">
        <f>+[4]파주!$R$20</f>
        <v>67269.801769911501</v>
      </c>
      <c r="J14" s="372">
        <f t="shared" si="1"/>
        <v>6979.6636067711588</v>
      </c>
      <c r="K14" s="374">
        <f>+[4]파주!$Q$21</f>
        <v>20423.113056327162</v>
      </c>
      <c r="L14" s="373">
        <f>+[4]파주!$R$21</f>
        <v>20605.260294985252</v>
      </c>
      <c r="M14" s="372">
        <f t="shared" si="2"/>
        <v>182.14723865808992</v>
      </c>
      <c r="N14" s="374">
        <f>+[4]파주!$Q$22</f>
        <v>480.80555555555554</v>
      </c>
      <c r="O14" s="373">
        <f>+[4]파주!$R$22</f>
        <v>276.21510324483774</v>
      </c>
      <c r="P14" s="372">
        <f t="shared" si="3"/>
        <v>-204.59045231071781</v>
      </c>
      <c r="Q14" s="374">
        <f t="shared" si="4"/>
        <v>81194.056775023069</v>
      </c>
      <c r="R14" s="373">
        <f t="shared" si="5"/>
        <v>88151.277168141576</v>
      </c>
      <c r="S14" s="372">
        <f t="shared" si="6"/>
        <v>6957.2203931185068</v>
      </c>
      <c r="T14" s="374">
        <f t="shared" si="7"/>
        <v>12679.440591643608</v>
      </c>
      <c r="U14" s="373">
        <f t="shared" si="8"/>
        <v>9563.0591150442633</v>
      </c>
      <c r="V14" s="372">
        <f t="shared" si="9"/>
        <v>-3116.3814765993448</v>
      </c>
    </row>
    <row r="15" spans="1:22" ht="24" customHeight="1" x14ac:dyDescent="0.3">
      <c r="D15" s="323" t="s">
        <v>106</v>
      </c>
      <c r="E15" s="374">
        <f>+[4]김포!$Q$85</f>
        <v>100691.14657500002</v>
      </c>
      <c r="F15" s="373">
        <f>+[4]김포!$R$85</f>
        <v>97917.06539261571</v>
      </c>
      <c r="G15" s="372">
        <f t="shared" si="0"/>
        <v>-2774.0811823843105</v>
      </c>
      <c r="H15" s="374">
        <f>+[4]김포!$Q$20</f>
        <v>63907.211151279196</v>
      </c>
      <c r="I15" s="373">
        <f>+[4]김포!$R$20</f>
        <v>66458.872724909001</v>
      </c>
      <c r="J15" s="372">
        <f t="shared" si="1"/>
        <v>2551.6615736298045</v>
      </c>
      <c r="K15" s="374">
        <f>+[4]김포!$Q$21</f>
        <v>19625.125929502272</v>
      </c>
      <c r="L15" s="373">
        <f>+[4]김포!$R$21</f>
        <v>20667.662766510664</v>
      </c>
      <c r="M15" s="372">
        <f t="shared" si="2"/>
        <v>1042.5368370083925</v>
      </c>
      <c r="N15" s="374">
        <f>+[4]김포!$Q$22</f>
        <v>247.5</v>
      </c>
      <c r="O15" s="373">
        <f>+[4]김포!$R$22</f>
        <v>386.39885595423817</v>
      </c>
      <c r="P15" s="372">
        <f t="shared" si="3"/>
        <v>138.89885595423817</v>
      </c>
      <c r="Q15" s="374">
        <f t="shared" si="4"/>
        <v>83779.837080781464</v>
      </c>
      <c r="R15" s="373">
        <f t="shared" si="5"/>
        <v>87512.934347373899</v>
      </c>
      <c r="S15" s="372">
        <f t="shared" si="6"/>
        <v>3733.0972665924346</v>
      </c>
      <c r="T15" s="374">
        <f t="shared" si="7"/>
        <v>16911.309494218556</v>
      </c>
      <c r="U15" s="373">
        <f t="shared" si="8"/>
        <v>10404.131045241811</v>
      </c>
      <c r="V15" s="372">
        <f t="shared" si="9"/>
        <v>-6507.1784489767451</v>
      </c>
    </row>
    <row r="16" spans="1:22" ht="24" customHeight="1" x14ac:dyDescent="0.3">
      <c r="D16" s="378" t="s">
        <v>21</v>
      </c>
      <c r="E16" s="377">
        <f>+[4]부산!$Q$85</f>
        <v>107714.30979375</v>
      </c>
      <c r="F16" s="376">
        <f>+[4]부산!$R$85</f>
        <v>116262.34841536736</v>
      </c>
      <c r="G16" s="375">
        <f t="shared" si="0"/>
        <v>8548.0386216173647</v>
      </c>
      <c r="H16" s="377">
        <f>+[4]부산!$Q$20</f>
        <v>64746.788775021247</v>
      </c>
      <c r="I16" s="376">
        <f>+[4]부산!$R$20</f>
        <v>68338.279237978815</v>
      </c>
      <c r="J16" s="375">
        <f t="shared" si="1"/>
        <v>3591.4904629575685</v>
      </c>
      <c r="K16" s="377">
        <f>+[4]부산!$Q$21</f>
        <v>22028.280902777777</v>
      </c>
      <c r="L16" s="376">
        <f>+[4]부산!$R$21</f>
        <v>22361.911063569682</v>
      </c>
      <c r="M16" s="375">
        <f t="shared" si="2"/>
        <v>333.63016079190493</v>
      </c>
      <c r="N16" s="377">
        <f>+[4]부산!$Q$22</f>
        <v>593.75</v>
      </c>
      <c r="O16" s="376">
        <f>+[4]부산!$R$22</f>
        <v>549.93643031784848</v>
      </c>
      <c r="P16" s="375">
        <f t="shared" si="3"/>
        <v>-43.813569682151524</v>
      </c>
      <c r="Q16" s="377">
        <f t="shared" si="4"/>
        <v>87368.819677799023</v>
      </c>
      <c r="R16" s="376">
        <f t="shared" si="5"/>
        <v>91250.126731866345</v>
      </c>
      <c r="S16" s="375">
        <f t="shared" si="6"/>
        <v>3881.3070540673216</v>
      </c>
      <c r="T16" s="377">
        <f t="shared" si="7"/>
        <v>20345.490115950975</v>
      </c>
      <c r="U16" s="376">
        <f t="shared" si="8"/>
        <v>25012.221683501019</v>
      </c>
      <c r="V16" s="375">
        <f t="shared" si="9"/>
        <v>4666.7315675500431</v>
      </c>
    </row>
    <row r="17" spans="4:22" ht="24" customHeight="1" x14ac:dyDescent="0.3">
      <c r="D17" s="323" t="s">
        <v>22</v>
      </c>
      <c r="E17" s="374">
        <f>+[4]서부산!$Q$85</f>
        <v>100042.91382500003</v>
      </c>
      <c r="F17" s="373">
        <f>+[4]서부산!$R$85</f>
        <v>102387.1036120061</v>
      </c>
      <c r="G17" s="372">
        <f t="shared" si="0"/>
        <v>2344.1897870060784</v>
      </c>
      <c r="H17" s="374">
        <f>+[4]서부산!$Q$20</f>
        <v>61606.713085766729</v>
      </c>
      <c r="I17" s="373">
        <f>+[4]서부산!$R$20</f>
        <v>62920.172203389833</v>
      </c>
      <c r="J17" s="372">
        <f t="shared" si="1"/>
        <v>1313.4591176231042</v>
      </c>
      <c r="K17" s="374">
        <f>+[4]서부산!$Q$21</f>
        <v>17310.794408051857</v>
      </c>
      <c r="L17" s="373">
        <f>+[4]서부산!$R$21</f>
        <v>18074.297881355931</v>
      </c>
      <c r="M17" s="372">
        <f t="shared" si="2"/>
        <v>763.50347330407385</v>
      </c>
      <c r="N17" s="374">
        <f>+[4]서부산!$Q$22</f>
        <v>225</v>
      </c>
      <c r="O17" s="373">
        <f>+[4]서부산!$R$22</f>
        <v>284.23788135593219</v>
      </c>
      <c r="P17" s="372">
        <f t="shared" si="3"/>
        <v>59.237881355932188</v>
      </c>
      <c r="Q17" s="374">
        <f t="shared" si="4"/>
        <v>79142.507493818586</v>
      </c>
      <c r="R17" s="373">
        <f t="shared" si="5"/>
        <v>81278.707966101691</v>
      </c>
      <c r="S17" s="372">
        <f t="shared" si="6"/>
        <v>2136.2004722831043</v>
      </c>
      <c r="T17" s="374">
        <f t="shared" si="7"/>
        <v>20900.406331181439</v>
      </c>
      <c r="U17" s="373">
        <f t="shared" si="8"/>
        <v>21108.395645904413</v>
      </c>
      <c r="V17" s="372">
        <f t="shared" si="9"/>
        <v>207.98931472297409</v>
      </c>
    </row>
    <row r="18" spans="4:22" ht="24" customHeight="1" x14ac:dyDescent="0.3">
      <c r="D18" s="323" t="s">
        <v>23</v>
      </c>
      <c r="E18" s="374">
        <f>+[4]김해!$Q$85</f>
        <v>97848.424045714288</v>
      </c>
      <c r="F18" s="373">
        <f>+[4]김해!$R$85</f>
        <v>102457.72434683831</v>
      </c>
      <c r="G18" s="372">
        <f t="shared" si="0"/>
        <v>4609.3003011240216</v>
      </c>
      <c r="H18" s="374">
        <f>+[4]김해!$Q$20</f>
        <v>58042.604011689669</v>
      </c>
      <c r="I18" s="373">
        <f>+[4]김해!$R$20</f>
        <v>57019.584059068533</v>
      </c>
      <c r="J18" s="372">
        <f t="shared" si="1"/>
        <v>-1023.0199526211363</v>
      </c>
      <c r="K18" s="374">
        <f>+[4]김해!$Q$21</f>
        <v>21547.138660782392</v>
      </c>
      <c r="L18" s="373">
        <f>+[4]김해!$R$21</f>
        <v>21597.771298750475</v>
      </c>
      <c r="M18" s="372">
        <f t="shared" si="2"/>
        <v>50.632637968083145</v>
      </c>
      <c r="N18" s="374">
        <f>+[4]김해!$Q$22</f>
        <v>485.71428571428572</v>
      </c>
      <c r="O18" s="373">
        <f>+[4]김해!$R$22</f>
        <v>690.80859522907986</v>
      </c>
      <c r="P18" s="372">
        <f t="shared" si="3"/>
        <v>205.09430951479413</v>
      </c>
      <c r="Q18" s="374">
        <f t="shared" si="4"/>
        <v>80075.456958186347</v>
      </c>
      <c r="R18" s="373">
        <f t="shared" si="5"/>
        <v>79308.16395304809</v>
      </c>
      <c r="S18" s="372">
        <f t="shared" si="6"/>
        <v>-767.29300513825729</v>
      </c>
      <c r="T18" s="374">
        <f t="shared" si="7"/>
        <v>17772.967087527941</v>
      </c>
      <c r="U18" s="373">
        <f t="shared" si="8"/>
        <v>23149.56039379022</v>
      </c>
      <c r="V18" s="372">
        <f t="shared" si="9"/>
        <v>5376.5933062622789</v>
      </c>
    </row>
    <row r="19" spans="4:22" ht="24" customHeight="1" x14ac:dyDescent="0.3">
      <c r="D19" s="323" t="s">
        <v>24</v>
      </c>
      <c r="E19" s="374">
        <f>+[4]정관!$Q$85</f>
        <v>99878.148559444453</v>
      </c>
      <c r="F19" s="373">
        <f>+[4]정관!$R$85</f>
        <v>108553.54158754273</v>
      </c>
      <c r="G19" s="372">
        <f t="shared" si="0"/>
        <v>8675.393028098275</v>
      </c>
      <c r="H19" s="374">
        <f>+[4]정관!$Q$20</f>
        <v>63203.636528227806</v>
      </c>
      <c r="I19" s="373">
        <f>+[4]정관!$R$20</f>
        <v>67131.747341435621</v>
      </c>
      <c r="J19" s="372">
        <f t="shared" si="1"/>
        <v>3928.1108132078152</v>
      </c>
      <c r="K19" s="374">
        <f>+[4]정관!$Q$21</f>
        <v>20751.443162393167</v>
      </c>
      <c r="L19" s="373">
        <f>+[4]정관!$R$21</f>
        <v>20428.206988226357</v>
      </c>
      <c r="M19" s="372">
        <f t="shared" si="2"/>
        <v>-323.23617416681009</v>
      </c>
      <c r="N19" s="374">
        <f>+[4]정관!$Q$22</f>
        <v>327.77777777777777</v>
      </c>
      <c r="O19" s="373">
        <f>+[4]정관!$R$22</f>
        <v>304.85406380554502</v>
      </c>
      <c r="P19" s="372">
        <f t="shared" si="3"/>
        <v>-22.923713972232747</v>
      </c>
      <c r="Q19" s="374">
        <f t="shared" si="4"/>
        <v>84282.857468398754</v>
      </c>
      <c r="R19" s="373">
        <f t="shared" si="5"/>
        <v>87864.808393467523</v>
      </c>
      <c r="S19" s="372">
        <f t="shared" si="6"/>
        <v>3581.9509250687697</v>
      </c>
      <c r="T19" s="374">
        <f t="shared" si="7"/>
        <v>15595.291091045699</v>
      </c>
      <c r="U19" s="373">
        <f t="shared" si="8"/>
        <v>20688.733194075205</v>
      </c>
      <c r="V19" s="372">
        <f t="shared" si="9"/>
        <v>5093.4421030295052</v>
      </c>
    </row>
    <row r="20" spans="4:22" ht="24" customHeight="1" x14ac:dyDescent="0.3">
      <c r="D20" s="323" t="s">
        <v>25</v>
      </c>
      <c r="E20" s="374">
        <f>+[4]양산!$Q$85</f>
        <v>96105.489500000011</v>
      </c>
      <c r="F20" s="373">
        <f>+[4]양산!$R$85</f>
        <v>106264.98673740053</v>
      </c>
      <c r="G20" s="372">
        <f t="shared" si="0"/>
        <v>10159.497237400516</v>
      </c>
      <c r="H20" s="374">
        <f>+[4]양산!$Q$20</f>
        <v>55517.208694846122</v>
      </c>
      <c r="I20" s="373">
        <f>+[4]양산!$R$20</f>
        <v>56963.454170350728</v>
      </c>
      <c r="J20" s="372">
        <f t="shared" si="1"/>
        <v>1446.2454755046056</v>
      </c>
      <c r="K20" s="374">
        <f>+[4]양산!$Q$21</f>
        <v>21503.287107225871</v>
      </c>
      <c r="L20" s="373">
        <f>+[4]양산!$R$21</f>
        <v>25358.964927792513</v>
      </c>
      <c r="M20" s="372">
        <f t="shared" si="2"/>
        <v>3855.6778205666415</v>
      </c>
      <c r="N20" s="374">
        <f>+[4]양산!$Q$22</f>
        <v>233.33333333333334</v>
      </c>
      <c r="O20" s="373">
        <f>+[4]양산!$R$22</f>
        <v>89.377247273799</v>
      </c>
      <c r="P20" s="372">
        <f t="shared" si="3"/>
        <v>-143.95608605953436</v>
      </c>
      <c r="Q20" s="374">
        <f t="shared" si="4"/>
        <v>77253.829135405322</v>
      </c>
      <c r="R20" s="373">
        <f t="shared" si="5"/>
        <v>82411.796345417039</v>
      </c>
      <c r="S20" s="372">
        <f t="shared" si="6"/>
        <v>5157.9672100117168</v>
      </c>
      <c r="T20" s="374">
        <f t="shared" si="7"/>
        <v>18851.660364594689</v>
      </c>
      <c r="U20" s="373">
        <f t="shared" si="8"/>
        <v>23853.190391983488</v>
      </c>
      <c r="V20" s="372">
        <f t="shared" si="9"/>
        <v>5001.5300273887988</v>
      </c>
    </row>
    <row r="21" spans="4:22" ht="24" customHeight="1" x14ac:dyDescent="0.3">
      <c r="D21" s="323" t="s">
        <v>26</v>
      </c>
      <c r="E21" s="374">
        <f>+[4]창원!$Q$85</f>
        <v>98127.987734767754</v>
      </c>
      <c r="F21" s="373">
        <f>+[4]창원!$R$85</f>
        <v>94257.875768496931</v>
      </c>
      <c r="G21" s="372">
        <f t="shared" si="0"/>
        <v>-3870.1119662708224</v>
      </c>
      <c r="H21" s="374">
        <f>+[4]창원!$Q$20</f>
        <v>60005.562080088981</v>
      </c>
      <c r="I21" s="373">
        <f>+[4]창원!$R$20</f>
        <v>57680.048123807501</v>
      </c>
      <c r="J21" s="372">
        <f t="shared" si="1"/>
        <v>-2325.5139562814802</v>
      </c>
      <c r="K21" s="374">
        <f>+[4]창원!$Q$21</f>
        <v>18885.973463198054</v>
      </c>
      <c r="L21" s="373">
        <f>+[4]창원!$R$21</f>
        <v>17932.048441806233</v>
      </c>
      <c r="M21" s="372">
        <f t="shared" si="2"/>
        <v>-953.92502139182034</v>
      </c>
      <c r="N21" s="374">
        <f>+[4]창원!$Q$22</f>
        <v>352.94117647058835</v>
      </c>
      <c r="O21" s="373">
        <f>+[4]창원!$R$22</f>
        <v>80.096141615433538</v>
      </c>
      <c r="P21" s="372">
        <f t="shared" si="3"/>
        <v>-272.84503485515484</v>
      </c>
      <c r="Q21" s="374">
        <f t="shared" si="4"/>
        <v>79244.476719757615</v>
      </c>
      <c r="R21" s="373">
        <f t="shared" si="5"/>
        <v>75692.192707229158</v>
      </c>
      <c r="S21" s="372">
        <f t="shared" si="6"/>
        <v>-3552.2840125284565</v>
      </c>
      <c r="T21" s="374">
        <f t="shared" si="7"/>
        <v>18883.511015010139</v>
      </c>
      <c r="U21" s="373">
        <f t="shared" si="8"/>
        <v>18565.683061267773</v>
      </c>
      <c r="V21" s="372">
        <f t="shared" si="9"/>
        <v>-317.82795374236593</v>
      </c>
    </row>
    <row r="22" spans="4:22" ht="24" customHeight="1" x14ac:dyDescent="0.3">
      <c r="D22" s="323" t="s">
        <v>127</v>
      </c>
      <c r="E22" s="374">
        <f>+[4]대구!$Q$85</f>
        <v>90234.090447230774</v>
      </c>
      <c r="F22" s="373">
        <f>+[4]대구!$R$85</f>
        <v>86438.61347598453</v>
      </c>
      <c r="G22" s="372">
        <f t="shared" si="0"/>
        <v>-3795.4769712462439</v>
      </c>
      <c r="H22" s="374">
        <f>+[4]대구!$Q$20</f>
        <v>54712.221757829495</v>
      </c>
      <c r="I22" s="373">
        <f>+[4]대구!$R$20</f>
        <v>53046.811063054862</v>
      </c>
      <c r="J22" s="372">
        <f t="shared" si="1"/>
        <v>-1665.4106947746332</v>
      </c>
      <c r="K22" s="374">
        <f>+[4]대구!$Q$21</f>
        <v>17874.175561280827</v>
      </c>
      <c r="L22" s="373">
        <f>+[4]대구!$R$21</f>
        <v>17850.862280901434</v>
      </c>
      <c r="M22" s="372">
        <f t="shared" si="2"/>
        <v>-23.313280379392381</v>
      </c>
      <c r="N22" s="374">
        <f>+[4]대구!$Q$22</f>
        <v>461.53846153846155</v>
      </c>
      <c r="O22" s="373">
        <f>+[4]대구!$R$22</f>
        <v>337.08900523560214</v>
      </c>
      <c r="P22" s="372">
        <f t="shared" si="3"/>
        <v>-124.4494563028594</v>
      </c>
      <c r="Q22" s="374">
        <f t="shared" si="4"/>
        <v>73047.935780648782</v>
      </c>
      <c r="R22" s="373">
        <f t="shared" si="5"/>
        <v>71234.762349191893</v>
      </c>
      <c r="S22" s="372">
        <f t="shared" si="6"/>
        <v>-1813.1734314568894</v>
      </c>
      <c r="T22" s="374">
        <f t="shared" si="7"/>
        <v>17186.154666581991</v>
      </c>
      <c r="U22" s="373">
        <f t="shared" si="8"/>
        <v>15203.851126792637</v>
      </c>
      <c r="V22" s="372">
        <f t="shared" si="9"/>
        <v>-1982.3035397893545</v>
      </c>
    </row>
    <row r="23" spans="4:22" ht="24" customHeight="1" x14ac:dyDescent="0.3">
      <c r="D23" s="323" t="s">
        <v>126</v>
      </c>
      <c r="E23" s="374">
        <f>+[4]울산!$Q$85</f>
        <v>105261.79020000002</v>
      </c>
      <c r="F23" s="373">
        <f>+[4]울산!$R$85</f>
        <v>110288.24833702882</v>
      </c>
      <c r="G23" s="372">
        <f t="shared" si="0"/>
        <v>5026.458137028807</v>
      </c>
      <c r="H23" s="374">
        <f>+[4]울산!$Q$20</f>
        <v>64832.372346041062</v>
      </c>
      <c r="I23" s="373">
        <f>+[4]울산!$R$20</f>
        <v>66076.674475044856</v>
      </c>
      <c r="J23" s="372">
        <f t="shared" si="1"/>
        <v>1244.3021290037941</v>
      </c>
      <c r="K23" s="374">
        <f>+[4]울산!$Q$21</f>
        <v>28219.863168642954</v>
      </c>
      <c r="L23" s="373">
        <f>+[4]울산!$R$21</f>
        <v>23299.387569906088</v>
      </c>
      <c r="M23" s="372">
        <f t="shared" si="2"/>
        <v>-4920.4755987368662</v>
      </c>
      <c r="N23" s="374">
        <f>+[4]울산!$Q$22</f>
        <v>454.5454545454545</v>
      </c>
      <c r="O23" s="373">
        <f>+[4]울산!$R$22</f>
        <v>278.76775350849425</v>
      </c>
      <c r="P23" s="372">
        <f t="shared" si="3"/>
        <v>-175.77770103696025</v>
      </c>
      <c r="Q23" s="374">
        <f t="shared" si="4"/>
        <v>93506.780969229469</v>
      </c>
      <c r="R23" s="373">
        <f t="shared" si="5"/>
        <v>89654.829798459439</v>
      </c>
      <c r="S23" s="372">
        <f t="shared" si="6"/>
        <v>-3851.9511707700294</v>
      </c>
      <c r="T23" s="374">
        <f t="shared" si="7"/>
        <v>11755.009230770549</v>
      </c>
      <c r="U23" s="373">
        <f t="shared" si="8"/>
        <v>20633.418538569385</v>
      </c>
      <c r="V23" s="372">
        <f t="shared" si="9"/>
        <v>8878.4093077988364</v>
      </c>
    </row>
    <row r="24" spans="4:22" ht="24" customHeight="1" x14ac:dyDescent="0.3">
      <c r="D24" s="378" t="s">
        <v>27</v>
      </c>
      <c r="E24" s="377">
        <f>+[4]아산!$Q$85</f>
        <v>98718.315999999992</v>
      </c>
      <c r="F24" s="376">
        <f>+[4]아산!$R$85</f>
        <v>102211.66802943581</v>
      </c>
      <c r="G24" s="375">
        <f t="shared" si="0"/>
        <v>3493.3520294358168</v>
      </c>
      <c r="H24" s="377">
        <f>+[4]아산!$Q$20</f>
        <v>59202.97330648193</v>
      </c>
      <c r="I24" s="376">
        <f>+[4]아산!$R$20</f>
        <v>62785.256053839861</v>
      </c>
      <c r="J24" s="375">
        <f t="shared" si="1"/>
        <v>3582.2827473579309</v>
      </c>
      <c r="K24" s="377">
        <f>+[4]아산!$Q$21</f>
        <v>21061.196955072464</v>
      </c>
      <c r="L24" s="376">
        <f>+[4]아산!$R$21</f>
        <v>22424.442103276939</v>
      </c>
      <c r="M24" s="375">
        <f t="shared" si="2"/>
        <v>1363.2451482044744</v>
      </c>
      <c r="N24" s="377">
        <f>+[4]아산!$Q$22</f>
        <v>300</v>
      </c>
      <c r="O24" s="376">
        <f>+[4]아산!$R$22</f>
        <v>207.61280583684507</v>
      </c>
      <c r="P24" s="375">
        <f t="shared" si="3"/>
        <v>-92.38719416315493</v>
      </c>
      <c r="Q24" s="377">
        <f t="shared" si="4"/>
        <v>80564.170261554391</v>
      </c>
      <c r="R24" s="376">
        <f t="shared" si="5"/>
        <v>85417.310962953648</v>
      </c>
      <c r="S24" s="375">
        <f t="shared" si="6"/>
        <v>4853.1407013992575</v>
      </c>
      <c r="T24" s="377">
        <f t="shared" si="7"/>
        <v>18154.145738445601</v>
      </c>
      <c r="U24" s="376">
        <f t="shared" si="8"/>
        <v>16794.35706648216</v>
      </c>
      <c r="V24" s="375">
        <f t="shared" si="9"/>
        <v>-1359.7886719634407</v>
      </c>
    </row>
    <row r="25" spans="4:22" ht="24" customHeight="1" x14ac:dyDescent="0.3">
      <c r="D25" s="323" t="s">
        <v>125</v>
      </c>
      <c r="E25" s="374">
        <f>+[4]전주!$Q$85</f>
        <v>101766.56999999999</v>
      </c>
      <c r="F25" s="373">
        <f>+[4]전주!$R$85</f>
        <v>95309.541573702212</v>
      </c>
      <c r="G25" s="372">
        <f t="shared" si="0"/>
        <v>-6457.0284262977802</v>
      </c>
      <c r="H25" s="374">
        <f>+[4]전주!$Q$20</f>
        <v>62973.346666666665</v>
      </c>
      <c r="I25" s="373">
        <f>+[4]전주!$R$20</f>
        <v>61257.810501264321</v>
      </c>
      <c r="J25" s="372">
        <f t="shared" si="1"/>
        <v>-1715.5361654023436</v>
      </c>
      <c r="K25" s="374">
        <f>+[4]전주!$Q$21</f>
        <v>16345.723857323232</v>
      </c>
      <c r="L25" s="373">
        <f>+[4]전주!$R$21</f>
        <v>19047.926074669045</v>
      </c>
      <c r="M25" s="372">
        <f t="shared" si="2"/>
        <v>2702.2022173458136</v>
      </c>
      <c r="N25" s="374">
        <f>+[4]전주!$Q$22</f>
        <v>583.33333333333337</v>
      </c>
      <c r="O25" s="373">
        <f>+[4]전주!$R$22</f>
        <v>227.28647925033468</v>
      </c>
      <c r="P25" s="372">
        <f t="shared" si="3"/>
        <v>-356.04685408299872</v>
      </c>
      <c r="Q25" s="374">
        <f t="shared" si="4"/>
        <v>79902.403857323225</v>
      </c>
      <c r="R25" s="373">
        <f t="shared" si="5"/>
        <v>80533.023055183701</v>
      </c>
      <c r="S25" s="372">
        <f t="shared" si="6"/>
        <v>630.61919786047656</v>
      </c>
      <c r="T25" s="374">
        <f t="shared" si="7"/>
        <v>21864.166142676768</v>
      </c>
      <c r="U25" s="373">
        <f t="shared" si="8"/>
        <v>14776.518518518511</v>
      </c>
      <c r="V25" s="372">
        <f t="shared" si="9"/>
        <v>-7087.6476241582568</v>
      </c>
    </row>
    <row r="26" spans="4:22" ht="24" customHeight="1" x14ac:dyDescent="0.3">
      <c r="D26" s="323" t="s">
        <v>124</v>
      </c>
      <c r="E26" s="374">
        <f>+[4]군산!$Q$85</f>
        <v>115783.5576</v>
      </c>
      <c r="F26" s="373">
        <f>+[4]군산!$R$85</f>
        <v>108945.32194876946</v>
      </c>
      <c r="G26" s="372">
        <f t="shared" si="0"/>
        <v>-6838.2356512305414</v>
      </c>
      <c r="H26" s="374">
        <f>+[4]군산!$Q$20</f>
        <v>62241.535150166856</v>
      </c>
      <c r="I26" s="373">
        <f>+[4]군산!$R$20</f>
        <v>58104.627295285354</v>
      </c>
      <c r="J26" s="372">
        <f t="shared" si="1"/>
        <v>-4136.9078548815014</v>
      </c>
      <c r="K26" s="374">
        <f>+[4]군산!$Q$21</f>
        <v>14460.272882640842</v>
      </c>
      <c r="L26" s="373">
        <f>+[4]군산!$R$21</f>
        <v>14738.278411910671</v>
      </c>
      <c r="M26" s="372">
        <f t="shared" si="2"/>
        <v>278.00552926982891</v>
      </c>
      <c r="N26" s="374">
        <f>+[4]군산!$Q$22</f>
        <v>136</v>
      </c>
      <c r="O26" s="373">
        <f>+[4]군산!$R$22</f>
        <v>108.18660049627792</v>
      </c>
      <c r="P26" s="372">
        <f t="shared" si="3"/>
        <v>-27.813399503722081</v>
      </c>
      <c r="Q26" s="374">
        <f t="shared" si="4"/>
        <v>76837.80803280769</v>
      </c>
      <c r="R26" s="373">
        <f t="shared" si="5"/>
        <v>72951.092307692306</v>
      </c>
      <c r="S26" s="372">
        <f t="shared" si="6"/>
        <v>-3886.715725115384</v>
      </c>
      <c r="T26" s="374">
        <f t="shared" si="7"/>
        <v>38945.74956719231</v>
      </c>
      <c r="U26" s="373">
        <f t="shared" si="8"/>
        <v>35994.229641077152</v>
      </c>
      <c r="V26" s="372">
        <f t="shared" si="9"/>
        <v>-2951.5199261151574</v>
      </c>
    </row>
    <row r="27" spans="4:22" ht="24" customHeight="1" x14ac:dyDescent="0.3">
      <c r="D27" s="323" t="s">
        <v>123</v>
      </c>
      <c r="E27" s="374">
        <f>+[4]원주!$Q$85</f>
        <v>114801.84204280283</v>
      </c>
      <c r="F27" s="373">
        <f>+[4]원주!$R$85</f>
        <v>128431.79661016951</v>
      </c>
      <c r="G27" s="372">
        <f t="shared" si="0"/>
        <v>13629.954567366673</v>
      </c>
      <c r="H27" s="374">
        <f>+[4]원주!$Q$20</f>
        <v>59069.28544802867</v>
      </c>
      <c r="I27" s="373">
        <f>+[4]원주!$R$20</f>
        <v>64897.252203389835</v>
      </c>
      <c r="J27" s="372">
        <f t="shared" si="1"/>
        <v>5827.9667553611653</v>
      </c>
      <c r="K27" s="374">
        <f>+[4]원주!$Q$21</f>
        <v>14796.948996620773</v>
      </c>
      <c r="L27" s="373">
        <f>+[4]원주!$R$21</f>
        <v>15272.840677966102</v>
      </c>
      <c r="M27" s="372">
        <f t="shared" si="2"/>
        <v>475.89168134532883</v>
      </c>
      <c r="N27" s="374">
        <f>+[4]원주!$Q$22</f>
        <v>333.35555703713578</v>
      </c>
      <c r="O27" s="373">
        <f>+[4]원주!$R$22</f>
        <v>1351.6203389830509</v>
      </c>
      <c r="P27" s="372">
        <f t="shared" si="3"/>
        <v>1018.2647819459152</v>
      </c>
      <c r="Q27" s="374">
        <f t="shared" si="4"/>
        <v>74199.590001686578</v>
      </c>
      <c r="R27" s="373">
        <f t="shared" si="5"/>
        <v>81521.713220338977</v>
      </c>
      <c r="S27" s="372">
        <f t="shared" si="6"/>
        <v>7322.1232186523994</v>
      </c>
      <c r="T27" s="374">
        <f t="shared" si="7"/>
        <v>40602.252041116255</v>
      </c>
      <c r="U27" s="373">
        <f t="shared" si="8"/>
        <v>46910.083389830528</v>
      </c>
      <c r="V27" s="372">
        <f t="shared" si="9"/>
        <v>6307.8313487142732</v>
      </c>
    </row>
    <row r="28" spans="4:22" ht="24" customHeight="1" x14ac:dyDescent="0.3">
      <c r="D28" s="318" t="s">
        <v>122</v>
      </c>
      <c r="E28" s="371">
        <f>+[4]제주!$Q$85</f>
        <v>120267.82000000002</v>
      </c>
      <c r="F28" s="370">
        <f>+[4]제주!$R$85</f>
        <v>129027.91978940848</v>
      </c>
      <c r="G28" s="369">
        <f t="shared" si="0"/>
        <v>8760.0997894084576</v>
      </c>
      <c r="H28" s="371">
        <f>+[4]제주!$Q$20</f>
        <v>76902.081067853156</v>
      </c>
      <c r="I28" s="370">
        <f>+[4]제주!$R$20</f>
        <v>80876.958191390528</v>
      </c>
      <c r="J28" s="369">
        <f t="shared" si="1"/>
        <v>3974.8771235373715</v>
      </c>
      <c r="K28" s="371">
        <f>+[4]제주!$Q$21</f>
        <v>17356.834311929309</v>
      </c>
      <c r="L28" s="370">
        <f>+[4]제주!$R$21</f>
        <v>17098.887271601114</v>
      </c>
      <c r="M28" s="369">
        <f t="shared" si="2"/>
        <v>-257.94704032819573</v>
      </c>
      <c r="N28" s="371">
        <f>+[4]제주!$Q$22</f>
        <v>500</v>
      </c>
      <c r="O28" s="370">
        <f>+[4]제주!$R$22</f>
        <v>484.2415608547538</v>
      </c>
      <c r="P28" s="369">
        <f t="shared" si="3"/>
        <v>-15.7584391452462</v>
      </c>
      <c r="Q28" s="371">
        <f t="shared" si="4"/>
        <v>94758.915379782469</v>
      </c>
      <c r="R28" s="370">
        <f t="shared" si="5"/>
        <v>98460.087023846398</v>
      </c>
      <c r="S28" s="369">
        <f t="shared" si="6"/>
        <v>3701.1716440639284</v>
      </c>
      <c r="T28" s="371">
        <f t="shared" si="7"/>
        <v>25508.904620217552</v>
      </c>
      <c r="U28" s="370">
        <f t="shared" si="8"/>
        <v>30567.832765562081</v>
      </c>
      <c r="V28" s="369">
        <f t="shared" si="9"/>
        <v>5058.9281453445292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A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68" t="s">
        <v>184</v>
      </c>
      <c r="F4" s="368"/>
      <c r="I4" s="368"/>
    </row>
    <row r="5" spans="1:22" ht="21.95" customHeight="1" x14ac:dyDescent="0.3"/>
    <row r="6" spans="1:22" ht="24" customHeight="1" thickBot="1" x14ac:dyDescent="0.35">
      <c r="A6" s="4" t="s">
        <v>168</v>
      </c>
      <c r="D6" s="692" t="s">
        <v>11</v>
      </c>
      <c r="E6" s="366" t="s">
        <v>147</v>
      </c>
      <c r="F6" s="365"/>
      <c r="G6" s="364"/>
      <c r="H6" s="366" t="s">
        <v>146</v>
      </c>
      <c r="I6" s="365"/>
      <c r="J6" s="364"/>
      <c r="K6" s="366" t="s">
        <v>145</v>
      </c>
      <c r="L6" s="365"/>
      <c r="M6" s="364"/>
      <c r="N6" s="366" t="s">
        <v>144</v>
      </c>
      <c r="O6" s="365"/>
      <c r="P6" s="364"/>
      <c r="Q6" s="366" t="s">
        <v>143</v>
      </c>
      <c r="R6" s="365"/>
      <c r="S6" s="364"/>
      <c r="T6" s="366" t="s">
        <v>142</v>
      </c>
      <c r="U6" s="365"/>
      <c r="V6" s="364"/>
    </row>
    <row r="7" spans="1:22" ht="24" customHeight="1" x14ac:dyDescent="0.3">
      <c r="D7" s="693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1:22" ht="24" customHeight="1" x14ac:dyDescent="0.3">
      <c r="D8" s="358" t="s">
        <v>136</v>
      </c>
      <c r="E8" s="411">
        <f>+[4]합계!$G$9</f>
        <v>97576.971461184512</v>
      </c>
      <c r="F8" s="410">
        <f>+[4]합계!$H$9</f>
        <v>101081.0433286576</v>
      </c>
      <c r="G8" s="409">
        <f t="shared" ref="G8:G28" si="0">+F8-E8</f>
        <v>3504.0718674730888</v>
      </c>
      <c r="H8" s="411">
        <f>+[4]합계!$G$10</f>
        <v>91514.410433449491</v>
      </c>
      <c r="I8" s="410">
        <f>+[4]합계!$H$10</f>
        <v>96155.537539493263</v>
      </c>
      <c r="J8" s="409">
        <f t="shared" ref="J8:J28" si="1">+I8-H8</f>
        <v>4641.1271060437721</v>
      </c>
      <c r="K8" s="411">
        <f>+[4]합계!$G$12</f>
        <v>59734.514811668261</v>
      </c>
      <c r="L8" s="410">
        <f>+[4]합계!$H$12</f>
        <v>60585.013656334937</v>
      </c>
      <c r="M8" s="409">
        <f t="shared" ref="M8:M28" si="2">+L8-K8</f>
        <v>850.49884466667572</v>
      </c>
      <c r="N8" s="411">
        <f>+[4]합계!$G$13</f>
        <v>35446.157560736472</v>
      </c>
      <c r="O8" s="410">
        <f>+[4]합계!$H$13</f>
        <v>33316.974907891636</v>
      </c>
      <c r="P8" s="409">
        <f t="shared" ref="P8:P28" si="3">+O8-N8</f>
        <v>-2129.1826528448364</v>
      </c>
      <c r="Q8" s="411">
        <f>+[4]합계!$G$16</f>
        <v>12874.697426968503</v>
      </c>
      <c r="R8" s="410">
        <f>+[4]합계!$H$16</f>
        <v>12845.150564299887</v>
      </c>
      <c r="S8" s="409">
        <f t="shared" ref="S8:S28" si="4">+R8-Q8</f>
        <v>-29.546862668616086</v>
      </c>
      <c r="T8" s="411">
        <f>+[4]합계!$G$17</f>
        <v>15822.101683761139</v>
      </c>
      <c r="U8" s="410">
        <f>+[4]합계!$H$17</f>
        <v>15538.897290360708</v>
      </c>
      <c r="V8" s="409">
        <f t="shared" ref="V8:V28" si="5">+U8-T8</f>
        <v>-283.20439340043049</v>
      </c>
    </row>
    <row r="9" spans="1:22" ht="24" customHeight="1" x14ac:dyDescent="0.3">
      <c r="D9" s="352" t="s">
        <v>16</v>
      </c>
      <c r="E9" s="408">
        <f>+[4]수도권!$G$9</f>
        <v>97000</v>
      </c>
      <c r="F9" s="407">
        <f>+[4]수도권!$H$9</f>
        <v>101621.98469671686</v>
      </c>
      <c r="G9" s="406">
        <f t="shared" si="0"/>
        <v>4621.984696716856</v>
      </c>
      <c r="H9" s="408">
        <f>+[4]수도권!$G$10</f>
        <v>95794.520547945198</v>
      </c>
      <c r="I9" s="407">
        <f>+[4]수도권!$H$10</f>
        <v>99717.569966374838</v>
      </c>
      <c r="J9" s="406">
        <f t="shared" si="1"/>
        <v>3923.0494184296404</v>
      </c>
      <c r="K9" s="408">
        <f>+[4]수도권!$G$12</f>
        <v>60000</v>
      </c>
      <c r="L9" s="407">
        <f>+[4]수도권!$H$12</f>
        <v>59931.217167333947</v>
      </c>
      <c r="M9" s="406">
        <f t="shared" si="2"/>
        <v>-68.782832666052855</v>
      </c>
      <c r="N9" s="408">
        <f>+[4]수도권!$G$13</f>
        <v>39540.564711894716</v>
      </c>
      <c r="O9" s="407">
        <f>+[4]수도권!$H$13</f>
        <v>37203.146516294953</v>
      </c>
      <c r="P9" s="406">
        <f t="shared" si="3"/>
        <v>-2337.4181955997628</v>
      </c>
      <c r="Q9" s="408">
        <f>+[4]수도권!$G$16</f>
        <v>14837.104612355011</v>
      </c>
      <c r="R9" s="407">
        <f>+[4]수도권!$H$16</f>
        <v>14650.637128496413</v>
      </c>
      <c r="S9" s="406">
        <f t="shared" si="4"/>
        <v>-186.46748385859792</v>
      </c>
      <c r="T9" s="408">
        <f>+[4]수도권!$G$17</f>
        <v>13707.875781623216</v>
      </c>
      <c r="U9" s="407">
        <f>+[4]수도권!$H$17</f>
        <v>13335.337719336232</v>
      </c>
      <c r="V9" s="406">
        <f t="shared" si="5"/>
        <v>-372.5380622869834</v>
      </c>
    </row>
    <row r="10" spans="1:22" ht="24" customHeight="1" x14ac:dyDescent="0.3">
      <c r="D10" s="347" t="s">
        <v>17</v>
      </c>
      <c r="E10" s="405">
        <f>+[4]영남권!$G$9</f>
        <v>97000.000000000015</v>
      </c>
      <c r="F10" s="404">
        <f>+[4]영남권!$H$9</f>
        <v>100000.00029465236</v>
      </c>
      <c r="G10" s="403">
        <f t="shared" si="0"/>
        <v>3000.0002946523455</v>
      </c>
      <c r="H10" s="405">
        <f>+[4]영남권!$G$10</f>
        <v>90465.05073599836</v>
      </c>
      <c r="I10" s="404">
        <f>+[4]영남권!$H$10</f>
        <v>94854.805349609567</v>
      </c>
      <c r="J10" s="403">
        <f t="shared" si="1"/>
        <v>4389.7546136112069</v>
      </c>
      <c r="K10" s="405">
        <f>+[4]영남권!$G$12</f>
        <v>59400.915866761941</v>
      </c>
      <c r="L10" s="404">
        <f>+[4]영남권!$H$12</f>
        <v>61120.035279958531</v>
      </c>
      <c r="M10" s="403">
        <f t="shared" si="2"/>
        <v>1719.1194131965894</v>
      </c>
      <c r="N10" s="405">
        <f>+[4]영남권!$G$13</f>
        <v>32388.930104247615</v>
      </c>
      <c r="O10" s="404">
        <f>+[4]영남권!$H$13</f>
        <v>31743.722444016996</v>
      </c>
      <c r="P10" s="403">
        <f t="shared" si="3"/>
        <v>-645.20766023061879</v>
      </c>
      <c r="Q10" s="405">
        <f>+[4]영남권!$G$16</f>
        <v>11017.653068244021</v>
      </c>
      <c r="R10" s="404">
        <f>+[4]영남권!$H$16</f>
        <v>11171.728819777341</v>
      </c>
      <c r="S10" s="403">
        <f t="shared" si="4"/>
        <v>154.07575153332073</v>
      </c>
      <c r="T10" s="405">
        <f>+[4]영남권!$G$17</f>
        <v>17777.903808744857</v>
      </c>
      <c r="U10" s="404">
        <f>+[4]영남권!$H$17</f>
        <v>17870.886788376745</v>
      </c>
      <c r="V10" s="403">
        <f t="shared" si="5"/>
        <v>92.982979631888156</v>
      </c>
    </row>
    <row r="11" spans="1:22" ht="24" customHeight="1" x14ac:dyDescent="0.3">
      <c r="D11" s="342" t="s">
        <v>128</v>
      </c>
      <c r="E11" s="402">
        <f>+[4]중부권!$G$9</f>
        <v>100365.82512645423</v>
      </c>
      <c r="F11" s="401">
        <f>+[4]중부권!$H$9</f>
        <v>101905.98155472244</v>
      </c>
      <c r="G11" s="400">
        <f t="shared" si="0"/>
        <v>1540.1564282682084</v>
      </c>
      <c r="H11" s="402">
        <f>+[4]중부권!$G$10</f>
        <v>94500</v>
      </c>
      <c r="I11" s="401">
        <f>+[4]중부권!$H$10</f>
        <v>97036.822724100872</v>
      </c>
      <c r="J11" s="400">
        <f t="shared" si="1"/>
        <v>2536.8227241008717</v>
      </c>
      <c r="K11" s="402">
        <f>+[4]중부권!$G$12</f>
        <v>60237.641252246787</v>
      </c>
      <c r="L11" s="401">
        <f>+[4]중부권!$H$12</f>
        <v>60844.519848602344</v>
      </c>
      <c r="M11" s="400">
        <f t="shared" si="2"/>
        <v>606.87859635555651</v>
      </c>
      <c r="N11" s="402">
        <f>+[4]중부권!$G$13</f>
        <v>36420.435600197241</v>
      </c>
      <c r="O11" s="401">
        <f>+[4]중부권!$H$13</f>
        <v>31736.858468104896</v>
      </c>
      <c r="P11" s="400">
        <f t="shared" si="3"/>
        <v>-4683.577132092345</v>
      </c>
      <c r="Q11" s="402">
        <f>+[4]중부권!$G$16</f>
        <v>13512.017529123115</v>
      </c>
      <c r="R11" s="401">
        <f>+[4]중부권!$H$16</f>
        <v>12688.409494888405</v>
      </c>
      <c r="S11" s="400">
        <f t="shared" si="4"/>
        <v>-823.60803423471043</v>
      </c>
      <c r="T11" s="402">
        <f>+[4]중부권!$G$17</f>
        <v>14902.491126929228</v>
      </c>
      <c r="U11" s="401">
        <f>+[4]중부권!$H$17</f>
        <v>14382.341579743856</v>
      </c>
      <c r="V11" s="400">
        <f t="shared" si="5"/>
        <v>-520.14954718537228</v>
      </c>
    </row>
    <row r="12" spans="1:22" ht="24" customHeight="1" x14ac:dyDescent="0.3">
      <c r="D12" s="382" t="s">
        <v>18</v>
      </c>
      <c r="E12" s="399">
        <f>+[4]안양!$G$9</f>
        <v>97000</v>
      </c>
      <c r="F12" s="398">
        <f>+[4]안양!$H$9</f>
        <v>99711.619108680854</v>
      </c>
      <c r="G12" s="397">
        <f t="shared" si="0"/>
        <v>2711.619108680854</v>
      </c>
      <c r="H12" s="399">
        <f>+[4]안양!$G$10</f>
        <v>0</v>
      </c>
      <c r="I12" s="398">
        <f>+[4]안양!$H$10</f>
        <v>100500.00540335383</v>
      </c>
      <c r="J12" s="397">
        <f t="shared" si="1"/>
        <v>100500.00540335383</v>
      </c>
      <c r="K12" s="399">
        <f>+[4]안양!$G$12</f>
        <v>60000</v>
      </c>
      <c r="L12" s="398">
        <f>+[4]안양!$H$12</f>
        <v>59953.241980720049</v>
      </c>
      <c r="M12" s="397">
        <f t="shared" si="2"/>
        <v>-46.758019279950531</v>
      </c>
      <c r="N12" s="399">
        <f>+[4]안양!$G$13</f>
        <v>38500</v>
      </c>
      <c r="O12" s="398">
        <f>+[4]안양!$H$13</f>
        <v>36517.646910226693</v>
      </c>
      <c r="P12" s="397">
        <f t="shared" si="3"/>
        <v>-1982.3530897733071</v>
      </c>
      <c r="Q12" s="399">
        <f>+[4]안양!$G$16</f>
        <v>14133.333333333332</v>
      </c>
      <c r="R12" s="398">
        <f>+[4]안양!$H$16</f>
        <v>14000.000040139324</v>
      </c>
      <c r="S12" s="397">
        <f t="shared" si="4"/>
        <v>-133.33329319400764</v>
      </c>
      <c r="T12" s="399">
        <f>+[4]안양!$G$17</f>
        <v>13548.387096774195</v>
      </c>
      <c r="U12" s="398">
        <f>+[4]안양!$H$17</f>
        <v>13586.006529827939</v>
      </c>
      <c r="V12" s="397">
        <f t="shared" si="5"/>
        <v>37.619433053743705</v>
      </c>
    </row>
    <row r="13" spans="1:22" ht="24" customHeight="1" x14ac:dyDescent="0.3">
      <c r="D13" s="323" t="s">
        <v>19</v>
      </c>
      <c r="E13" s="392">
        <f>+[4]인천!$G$9</f>
        <v>97000.000000000015</v>
      </c>
      <c r="F13" s="391">
        <f>+[4]인천!$H$9</f>
        <v>106733.21943502633</v>
      </c>
      <c r="G13" s="390">
        <f t="shared" si="0"/>
        <v>9733.2194350263162</v>
      </c>
      <c r="H13" s="392">
        <f>+[4]인천!$G$10</f>
        <v>97000</v>
      </c>
      <c r="I13" s="391">
        <f>+[4]인천!$H$10</f>
        <v>100411.51738441442</v>
      </c>
      <c r="J13" s="390">
        <f t="shared" si="1"/>
        <v>3411.5173844144156</v>
      </c>
      <c r="K13" s="392">
        <f>+[4]인천!$G$12</f>
        <v>60000</v>
      </c>
      <c r="L13" s="391">
        <f>+[4]인천!$H$12</f>
        <v>59930.554901991869</v>
      </c>
      <c r="M13" s="390">
        <f t="shared" si="2"/>
        <v>-69.445098008131026</v>
      </c>
      <c r="N13" s="392">
        <f>+[4]인천!$G$13</f>
        <v>39000</v>
      </c>
      <c r="O13" s="391">
        <f>+[4]인천!$H$13</f>
        <v>36933.925452530122</v>
      </c>
      <c r="P13" s="390">
        <f t="shared" si="3"/>
        <v>-2066.0745474698779</v>
      </c>
      <c r="Q13" s="392">
        <f>+[4]인천!$G$16</f>
        <v>15333.333333333336</v>
      </c>
      <c r="R13" s="391">
        <f>+[4]인천!$H$16</f>
        <v>15086.999741058546</v>
      </c>
      <c r="S13" s="390">
        <f t="shared" si="4"/>
        <v>-246.33359227479013</v>
      </c>
      <c r="T13" s="392">
        <f>+[4]인천!$G$17</f>
        <v>13953.691752307874</v>
      </c>
      <c r="U13" s="391">
        <f>+[4]인천!$H$17</f>
        <v>13326.262237458399</v>
      </c>
      <c r="V13" s="390">
        <f t="shared" si="5"/>
        <v>-627.4295148494748</v>
      </c>
    </row>
    <row r="14" spans="1:22" ht="24" customHeight="1" x14ac:dyDescent="0.3">
      <c r="D14" s="323" t="s">
        <v>20</v>
      </c>
      <c r="E14" s="392">
        <f>+[4]파주!$G$9</f>
        <v>97000.000000000044</v>
      </c>
      <c r="F14" s="391">
        <f>+[4]파주!$H$9</f>
        <v>100000.0031184877</v>
      </c>
      <c r="G14" s="390">
        <f t="shared" si="0"/>
        <v>3000.003118487657</v>
      </c>
      <c r="H14" s="392">
        <f>+[4]파주!$G$10</f>
        <v>0</v>
      </c>
      <c r="I14" s="391">
        <f>+[4]파주!$H$10</f>
        <v>0</v>
      </c>
      <c r="J14" s="390">
        <f t="shared" si="1"/>
        <v>0</v>
      </c>
      <c r="K14" s="392">
        <f>+[4]파주!$G$12</f>
        <v>59999.999999999993</v>
      </c>
      <c r="L14" s="391">
        <f>+[4]파주!$H$12</f>
        <v>59935.365846391607</v>
      </c>
      <c r="M14" s="390">
        <f t="shared" si="2"/>
        <v>-64.634153608385532</v>
      </c>
      <c r="N14" s="392">
        <f>+[4]파주!$G$13</f>
        <v>42000</v>
      </c>
      <c r="O14" s="391">
        <f>+[4]파주!$H$13</f>
        <v>40126.194462338819</v>
      </c>
      <c r="P14" s="390">
        <f t="shared" si="3"/>
        <v>-1873.805537661181</v>
      </c>
      <c r="Q14" s="392">
        <f>+[4]파주!$G$16</f>
        <v>15666.666666666668</v>
      </c>
      <c r="R14" s="391">
        <f>+[4]파주!$H$16</f>
        <v>15706.224596047594</v>
      </c>
      <c r="S14" s="390">
        <f t="shared" si="4"/>
        <v>39.557929380925998</v>
      </c>
      <c r="T14" s="392">
        <f>+[4]파주!$G$17</f>
        <v>13225.806451612903</v>
      </c>
      <c r="U14" s="391">
        <f>+[4]파주!$H$17</f>
        <v>11708.798322392411</v>
      </c>
      <c r="V14" s="390">
        <f t="shared" si="5"/>
        <v>-1517.0081292204923</v>
      </c>
    </row>
    <row r="15" spans="1:22" ht="24" customHeight="1" x14ac:dyDescent="0.3">
      <c r="D15" s="323" t="s">
        <v>106</v>
      </c>
      <c r="E15" s="392">
        <f>+[4]김포!$G$9</f>
        <v>97000</v>
      </c>
      <c r="F15" s="391">
        <f>+[4]김포!$H$9</f>
        <v>100000.00000000001</v>
      </c>
      <c r="G15" s="390">
        <f t="shared" si="0"/>
        <v>3000.0000000000146</v>
      </c>
      <c r="H15" s="392">
        <f>+[4]김포!$G$10</f>
        <v>91500</v>
      </c>
      <c r="I15" s="391">
        <f>+[4]김포!$H$10</f>
        <v>94500.000357879515</v>
      </c>
      <c r="J15" s="390">
        <f t="shared" si="1"/>
        <v>3000.0003578795149</v>
      </c>
      <c r="K15" s="392">
        <f>+[4]김포!$G$12</f>
        <v>60000</v>
      </c>
      <c r="L15" s="391">
        <f>+[4]김포!$H$12</f>
        <v>59834.44248964166</v>
      </c>
      <c r="M15" s="390">
        <f t="shared" si="2"/>
        <v>-165.55751035833964</v>
      </c>
      <c r="N15" s="392">
        <f>+[4]김포!$G$13</f>
        <v>41500</v>
      </c>
      <c r="O15" s="391">
        <f>+[4]김포!$H$13</f>
        <v>39205.700462002977</v>
      </c>
      <c r="P15" s="390">
        <f t="shared" si="3"/>
        <v>-2294.2995379970234</v>
      </c>
      <c r="Q15" s="392">
        <f>+[4]김포!$G$16</f>
        <v>14965.143025656149</v>
      </c>
      <c r="R15" s="391">
        <f>+[4]김포!$H$16</f>
        <v>14690.348903584681</v>
      </c>
      <c r="S15" s="390">
        <f t="shared" si="4"/>
        <v>-274.79412207146743</v>
      </c>
      <c r="T15" s="392">
        <f>+[4]김포!$G$17</f>
        <v>14159.59961626322</v>
      </c>
      <c r="U15" s="391">
        <f>+[4]김포!$H$17</f>
        <v>14164.536540301477</v>
      </c>
      <c r="V15" s="390">
        <f t="shared" si="5"/>
        <v>4.9369240382566204</v>
      </c>
    </row>
    <row r="16" spans="1:22" ht="24" customHeight="1" x14ac:dyDescent="0.3">
      <c r="D16" s="378" t="s">
        <v>21</v>
      </c>
      <c r="E16" s="395">
        <f>+[4]부산!$G$9</f>
        <v>96999.999999999985</v>
      </c>
      <c r="F16" s="394">
        <f>+[4]부산!$H$9</f>
        <v>100000.00040373299</v>
      </c>
      <c r="G16" s="393">
        <f t="shared" si="0"/>
        <v>3000.0004037330073</v>
      </c>
      <c r="H16" s="395">
        <f>+[4]부산!$G$10</f>
        <v>89600.000000000015</v>
      </c>
      <c r="I16" s="394">
        <f>+[4]부산!$H$10</f>
        <v>95728.044133590898</v>
      </c>
      <c r="J16" s="393">
        <f t="shared" si="1"/>
        <v>6128.0441335908836</v>
      </c>
      <c r="K16" s="395">
        <f>+[4]부산!$G$12</f>
        <v>0</v>
      </c>
      <c r="L16" s="394">
        <f>+[4]부산!$H$12</f>
        <v>0</v>
      </c>
      <c r="M16" s="393">
        <f t="shared" si="2"/>
        <v>0</v>
      </c>
      <c r="N16" s="395">
        <f>+[4]부산!$G$13</f>
        <v>34500</v>
      </c>
      <c r="O16" s="394">
        <f>+[4]부산!$H$13</f>
        <v>32524.68796548402</v>
      </c>
      <c r="P16" s="393">
        <f t="shared" si="3"/>
        <v>-1975.3120345159805</v>
      </c>
      <c r="Q16" s="395">
        <f>+[4]부산!$G$16</f>
        <v>11715.886274509803</v>
      </c>
      <c r="R16" s="394">
        <f>+[4]부산!$H$16</f>
        <v>11835.424616340877</v>
      </c>
      <c r="S16" s="393">
        <f t="shared" si="4"/>
        <v>119.53834183107392</v>
      </c>
      <c r="T16" s="395">
        <f>+[4]부산!$G$17</f>
        <v>18200.069930069931</v>
      </c>
      <c r="U16" s="394">
        <f>+[4]부산!$H$17</f>
        <v>18193.024450798857</v>
      </c>
      <c r="V16" s="393">
        <f t="shared" si="5"/>
        <v>-7.0454792710734182</v>
      </c>
    </row>
    <row r="17" spans="4:25" ht="24" customHeight="1" x14ac:dyDescent="0.3">
      <c r="D17" s="323" t="s">
        <v>22</v>
      </c>
      <c r="E17" s="392">
        <f>+[4]서부산!$G$9</f>
        <v>97000</v>
      </c>
      <c r="F17" s="391">
        <f>+[4]서부산!$H$9</f>
        <v>100000.00033200927</v>
      </c>
      <c r="G17" s="390">
        <f t="shared" si="0"/>
        <v>3000.0003320092655</v>
      </c>
      <c r="H17" s="392">
        <f>+[4]서부산!$G$10</f>
        <v>89100.000000000015</v>
      </c>
      <c r="I17" s="391">
        <f>+[4]서부산!$H$10</f>
        <v>92826.169548149148</v>
      </c>
      <c r="J17" s="390">
        <f t="shared" si="1"/>
        <v>3726.1695481491333</v>
      </c>
      <c r="K17" s="392">
        <f>+[4]서부산!$G$12</f>
        <v>61000.000000000022</v>
      </c>
      <c r="L17" s="391">
        <f>+[4]서부산!$H$12</f>
        <v>62999.938041029513</v>
      </c>
      <c r="M17" s="390">
        <f t="shared" si="2"/>
        <v>1999.9380410294907</v>
      </c>
      <c r="N17" s="392">
        <f>+[4]서부산!$G$13</f>
        <v>32500.000000000007</v>
      </c>
      <c r="O17" s="391">
        <f>+[4]서부산!$H$13</f>
        <v>31359.747604174183</v>
      </c>
      <c r="P17" s="390">
        <f t="shared" si="3"/>
        <v>-1140.2523958258244</v>
      </c>
      <c r="Q17" s="392">
        <f>+[4]서부산!$G$16</f>
        <v>10666.666666666666</v>
      </c>
      <c r="R17" s="391">
        <f>+[4]서부산!$H$16</f>
        <v>10675.766530396942</v>
      </c>
      <c r="S17" s="390">
        <f t="shared" si="4"/>
        <v>9.0998637302764109</v>
      </c>
      <c r="T17" s="392">
        <f>+[4]서부산!$G$17</f>
        <v>17845.172021139711</v>
      </c>
      <c r="U17" s="391">
        <f>+[4]서부산!$H$17</f>
        <v>16910.731816204636</v>
      </c>
      <c r="V17" s="390">
        <f t="shared" si="5"/>
        <v>-934.4402049350756</v>
      </c>
    </row>
    <row r="18" spans="4:25" ht="24" customHeight="1" x14ac:dyDescent="0.3">
      <c r="D18" s="323" t="s">
        <v>23</v>
      </c>
      <c r="E18" s="392">
        <f>+[4]김해!$G$9</f>
        <v>97000.000000000015</v>
      </c>
      <c r="F18" s="391">
        <f>+[4]김해!$H$9</f>
        <v>100000.00000000006</v>
      </c>
      <c r="G18" s="390">
        <f t="shared" si="0"/>
        <v>3000.0000000000437</v>
      </c>
      <c r="H18" s="392">
        <f>+[4]김해!$G$10</f>
        <v>89100</v>
      </c>
      <c r="I18" s="391">
        <f>+[4]김해!$H$10</f>
        <v>92100.006756695919</v>
      </c>
      <c r="J18" s="390">
        <f t="shared" si="1"/>
        <v>3000.0067566959187</v>
      </c>
      <c r="K18" s="392">
        <f>+[4]김해!$G$12</f>
        <v>0</v>
      </c>
      <c r="L18" s="391">
        <f>+[4]김해!$H$12</f>
        <v>62001.415488628831</v>
      </c>
      <c r="M18" s="390">
        <f t="shared" si="2"/>
        <v>62001.415488628831</v>
      </c>
      <c r="N18" s="392">
        <f>+[4]김해!$G$13</f>
        <v>32500</v>
      </c>
      <c r="O18" s="391">
        <f>+[4]김해!$H$13</f>
        <v>31575.670597280994</v>
      </c>
      <c r="P18" s="390">
        <f t="shared" si="3"/>
        <v>-924.32940271900588</v>
      </c>
      <c r="Q18" s="392">
        <f>+[4]김해!$G$16</f>
        <v>9000</v>
      </c>
      <c r="R18" s="391">
        <f>+[4]김해!$H$16</f>
        <v>9024.3217893217898</v>
      </c>
      <c r="S18" s="390">
        <f t="shared" si="4"/>
        <v>24.321789321789765</v>
      </c>
      <c r="T18" s="392">
        <f>+[4]김해!$G$17</f>
        <v>16710.977594439159</v>
      </c>
      <c r="U18" s="391">
        <f>+[4]김해!$H$17</f>
        <v>17130.214508679848</v>
      </c>
      <c r="V18" s="390">
        <f t="shared" si="5"/>
        <v>419.23691424068966</v>
      </c>
    </row>
    <row r="19" spans="4:25" ht="24" customHeight="1" x14ac:dyDescent="0.3">
      <c r="D19" s="323" t="s">
        <v>24</v>
      </c>
      <c r="E19" s="392">
        <f>+[4]정관!$G$9</f>
        <v>97000</v>
      </c>
      <c r="F19" s="391">
        <f>+[4]정관!$H$9</f>
        <v>99999.999999999956</v>
      </c>
      <c r="G19" s="390">
        <f t="shared" si="0"/>
        <v>2999.9999999999563</v>
      </c>
      <c r="H19" s="392">
        <f>+[4]정관!$G$10</f>
        <v>0</v>
      </c>
      <c r="I19" s="391">
        <f>+[4]정관!$H$10</f>
        <v>94257.139676643783</v>
      </c>
      <c r="J19" s="390">
        <f t="shared" si="1"/>
        <v>94257.139676643783</v>
      </c>
      <c r="K19" s="392">
        <f>+[4]정관!$G$12</f>
        <v>59000</v>
      </c>
      <c r="L19" s="391">
        <f>+[4]정관!$H$12</f>
        <v>60985.704435937754</v>
      </c>
      <c r="M19" s="390">
        <f t="shared" si="2"/>
        <v>1985.7044359377542</v>
      </c>
      <c r="N19" s="392">
        <f>+[4]정관!$G$13</f>
        <v>32500</v>
      </c>
      <c r="O19" s="391">
        <f>+[4]정관!$H$13</f>
        <v>31971.560491198183</v>
      </c>
      <c r="P19" s="390">
        <f t="shared" si="3"/>
        <v>-528.43950880181728</v>
      </c>
      <c r="Q19" s="392">
        <f>+[4]정관!$G$16</f>
        <v>11335.33035643304</v>
      </c>
      <c r="R19" s="391">
        <f>+[4]정관!$H$16</f>
        <v>11244.259108897182</v>
      </c>
      <c r="S19" s="390">
        <f t="shared" si="4"/>
        <v>-91.071247535857765</v>
      </c>
      <c r="T19" s="392">
        <f>+[4]정관!$G$17</f>
        <v>18859.421225908358</v>
      </c>
      <c r="U19" s="391">
        <f>+[4]정관!$H$17</f>
        <v>19297.330653989786</v>
      </c>
      <c r="V19" s="390">
        <f t="shared" si="5"/>
        <v>437.9094280814279</v>
      </c>
    </row>
    <row r="20" spans="4:25" ht="24" customHeight="1" x14ac:dyDescent="0.3">
      <c r="D20" s="323" t="s">
        <v>25</v>
      </c>
      <c r="E20" s="392">
        <f>+[4]양산!$G$9</f>
        <v>96999.999999999985</v>
      </c>
      <c r="F20" s="391">
        <f>+[4]양산!$H$9</f>
        <v>100000</v>
      </c>
      <c r="G20" s="390">
        <f t="shared" si="0"/>
        <v>3000.0000000000146</v>
      </c>
      <c r="H20" s="392">
        <f>+[4]양산!$G$10</f>
        <v>0</v>
      </c>
      <c r="I20" s="391">
        <f>+[4]양산!$H$10</f>
        <v>0</v>
      </c>
      <c r="J20" s="390">
        <f t="shared" si="1"/>
        <v>0</v>
      </c>
      <c r="K20" s="392">
        <f>+[4]양산!$G$12</f>
        <v>59000</v>
      </c>
      <c r="L20" s="391">
        <f>+[4]양산!$H$12</f>
        <v>61060.512401579996</v>
      </c>
      <c r="M20" s="390">
        <f t="shared" si="2"/>
        <v>2060.5124015799956</v>
      </c>
      <c r="N20" s="392">
        <f>+[4]양산!$G$13</f>
        <v>32000</v>
      </c>
      <c r="O20" s="391">
        <f>+[4]양산!$H$13</f>
        <v>32023.484593859997</v>
      </c>
      <c r="P20" s="390">
        <f t="shared" si="3"/>
        <v>23.484593859997403</v>
      </c>
      <c r="Q20" s="392">
        <f>+[4]양산!$G$16</f>
        <v>9400</v>
      </c>
      <c r="R20" s="391">
        <f>+[4]양산!$H$16</f>
        <v>9381.408367880982</v>
      </c>
      <c r="S20" s="390">
        <f t="shared" si="4"/>
        <v>-18.591632119017959</v>
      </c>
      <c r="T20" s="392">
        <f>+[4]양산!$G$17</f>
        <v>17713.500385116469</v>
      </c>
      <c r="U20" s="391">
        <f>+[4]양산!$H$17</f>
        <v>17780.141481065526</v>
      </c>
      <c r="V20" s="390">
        <f t="shared" si="5"/>
        <v>66.641095949056762</v>
      </c>
    </row>
    <row r="21" spans="4:25" ht="24" customHeight="1" x14ac:dyDescent="0.3">
      <c r="D21" s="323" t="s">
        <v>26</v>
      </c>
      <c r="E21" s="392">
        <f>+[4]창원!$G$9</f>
        <v>96999.999999999985</v>
      </c>
      <c r="F21" s="391">
        <f>+[4]창원!$H$9</f>
        <v>100000.00040932509</v>
      </c>
      <c r="G21" s="390">
        <f t="shared" si="0"/>
        <v>3000.0004093251046</v>
      </c>
      <c r="H21" s="392">
        <f>+[4]창원!$G$10</f>
        <v>100500.00000000001</v>
      </c>
      <c r="I21" s="391">
        <f>+[4]창원!$H$10</f>
        <v>100500.01185958256</v>
      </c>
      <c r="J21" s="390">
        <f t="shared" si="1"/>
        <v>1.1859582547913305E-2</v>
      </c>
      <c r="K21" s="392">
        <f>+[4]창원!$G$12</f>
        <v>61000.000000000007</v>
      </c>
      <c r="L21" s="391">
        <f>+[4]창원!$H$12</f>
        <v>63000.002423245962</v>
      </c>
      <c r="M21" s="390">
        <f t="shared" si="2"/>
        <v>2000.0024232459546</v>
      </c>
      <c r="N21" s="392">
        <f>+[4]창원!$G$13</f>
        <v>29500.000000000004</v>
      </c>
      <c r="O21" s="391">
        <f>+[4]창원!$H$13</f>
        <v>29267.149027563322</v>
      </c>
      <c r="P21" s="390">
        <f t="shared" si="3"/>
        <v>-232.85097243668133</v>
      </c>
      <c r="Q21" s="392">
        <f>+[4]창원!$G$16</f>
        <v>11466.666666666668</v>
      </c>
      <c r="R21" s="391">
        <f>+[4]창원!$H$16</f>
        <v>11623.978709522162</v>
      </c>
      <c r="S21" s="390">
        <f t="shared" si="4"/>
        <v>157.31204285549393</v>
      </c>
      <c r="T21" s="392">
        <f>+[4]창원!$G$17</f>
        <v>17046.455555657696</v>
      </c>
      <c r="U21" s="391">
        <f>+[4]창원!$H$17</f>
        <v>16842.946756378991</v>
      </c>
      <c r="V21" s="390">
        <f t="shared" si="5"/>
        <v>-203.50879927870483</v>
      </c>
      <c r="Y21" s="396"/>
    </row>
    <row r="22" spans="4:25" ht="24" customHeight="1" x14ac:dyDescent="0.3">
      <c r="D22" s="323" t="s">
        <v>127</v>
      </c>
      <c r="E22" s="392">
        <f>+[4]대구!$G$9</f>
        <v>97000</v>
      </c>
      <c r="F22" s="391">
        <f>+[4]대구!$H$9</f>
        <v>100000.00092261055</v>
      </c>
      <c r="G22" s="390">
        <f t="shared" si="0"/>
        <v>3000.0009226105467</v>
      </c>
      <c r="H22" s="392">
        <f>+[4]대구!$G$10</f>
        <v>0</v>
      </c>
      <c r="I22" s="391">
        <f>+[4]대구!$H$10</f>
        <v>98978.492859295191</v>
      </c>
      <c r="J22" s="390">
        <f t="shared" si="1"/>
        <v>98978.492859295191</v>
      </c>
      <c r="K22" s="392">
        <f>+[4]대구!$G$12</f>
        <v>57199.999999999993</v>
      </c>
      <c r="L22" s="391">
        <f>+[4]대구!$H$12</f>
        <v>59159.440329077013</v>
      </c>
      <c r="M22" s="390">
        <f t="shared" si="2"/>
        <v>1959.4403290770206</v>
      </c>
      <c r="N22" s="392">
        <f>+[4]대구!$G$13</f>
        <v>31000.000000000004</v>
      </c>
      <c r="O22" s="391">
        <f>+[4]대구!$H$13</f>
        <v>30385.349885668209</v>
      </c>
      <c r="P22" s="390">
        <f t="shared" si="3"/>
        <v>-614.65011433179461</v>
      </c>
      <c r="Q22" s="392">
        <f>+[4]대구!$G$16</f>
        <v>10933.333333333336</v>
      </c>
      <c r="R22" s="391">
        <f>+[4]대구!$H$16</f>
        <v>10748.431475626168</v>
      </c>
      <c r="S22" s="390">
        <f t="shared" si="4"/>
        <v>-184.90185770716744</v>
      </c>
      <c r="T22" s="392">
        <f>+[4]대구!$G$17</f>
        <v>14319.24360400445</v>
      </c>
      <c r="U22" s="391">
        <f>+[4]대구!$H$17</f>
        <v>14159.867264367986</v>
      </c>
      <c r="V22" s="390">
        <f t="shared" si="5"/>
        <v>-159.37633963646476</v>
      </c>
    </row>
    <row r="23" spans="4:25" ht="24" customHeight="1" x14ac:dyDescent="0.3">
      <c r="D23" s="323" t="s">
        <v>126</v>
      </c>
      <c r="E23" s="392">
        <f>+[4]울산!$G$9</f>
        <v>97000.000000000015</v>
      </c>
      <c r="F23" s="391">
        <f>+[4]울산!$H$9</f>
        <v>100000.00032033728</v>
      </c>
      <c r="G23" s="390">
        <f t="shared" si="0"/>
        <v>3000.0003203372617</v>
      </c>
      <c r="H23" s="392">
        <f>+[4]울산!$G$10</f>
        <v>0</v>
      </c>
      <c r="I23" s="391">
        <f>+[4]울산!$H$10</f>
        <v>0</v>
      </c>
      <c r="J23" s="390">
        <f t="shared" si="1"/>
        <v>0</v>
      </c>
      <c r="K23" s="392">
        <f>+[4]울산!$G$12</f>
        <v>57200.000000000007</v>
      </c>
      <c r="L23" s="391">
        <f>+[4]울산!$H$12</f>
        <v>59200.000551417441</v>
      </c>
      <c r="M23" s="390">
        <f t="shared" si="2"/>
        <v>2000.0005514174336</v>
      </c>
      <c r="N23" s="392">
        <f>+[4]울산!$G$13</f>
        <v>33500</v>
      </c>
      <c r="O23" s="391">
        <f>+[4]울산!$H$13</f>
        <v>33004.947640101251</v>
      </c>
      <c r="P23" s="390">
        <f t="shared" si="3"/>
        <v>-495.05235989874927</v>
      </c>
      <c r="Q23" s="392">
        <f>+[4]울산!$G$16</f>
        <v>12533.333333333336</v>
      </c>
      <c r="R23" s="391">
        <f>+[4]울산!$H$16</f>
        <v>11718.950019285699</v>
      </c>
      <c r="S23" s="390">
        <f t="shared" si="4"/>
        <v>-814.3833140476363</v>
      </c>
      <c r="T23" s="392">
        <f>+[4]울산!$G$17</f>
        <v>19929.174328825742</v>
      </c>
      <c r="U23" s="391">
        <f>+[4]울산!$H$17</f>
        <v>20086.719002017198</v>
      </c>
      <c r="V23" s="390">
        <f t="shared" si="5"/>
        <v>157.54467319145624</v>
      </c>
    </row>
    <row r="24" spans="4:25" ht="24" customHeight="1" x14ac:dyDescent="0.3">
      <c r="D24" s="378" t="s">
        <v>27</v>
      </c>
      <c r="E24" s="395">
        <f>+[4]아산!$G$9</f>
        <v>96999.999999999985</v>
      </c>
      <c r="F24" s="394">
        <f>+[4]아산!$H$9</f>
        <v>99716.274353840825</v>
      </c>
      <c r="G24" s="393">
        <f t="shared" si="0"/>
        <v>2716.2743538408395</v>
      </c>
      <c r="H24" s="395">
        <f>+[4]아산!$G$10</f>
        <v>0</v>
      </c>
      <c r="I24" s="394">
        <f>+[4]아산!$H$10</f>
        <v>0</v>
      </c>
      <c r="J24" s="393">
        <f t="shared" si="1"/>
        <v>0</v>
      </c>
      <c r="K24" s="395">
        <f>+[4]아산!$G$12</f>
        <v>60000</v>
      </c>
      <c r="L24" s="394">
        <f>+[4]아산!$H$12</f>
        <v>59955.066115566842</v>
      </c>
      <c r="M24" s="393">
        <f t="shared" si="2"/>
        <v>-44.9338844331578</v>
      </c>
      <c r="N24" s="395">
        <f>+[4]아산!$G$13</f>
        <v>37500</v>
      </c>
      <c r="O24" s="394">
        <f>+[4]아산!$H$13</f>
        <v>31311.462320344865</v>
      </c>
      <c r="P24" s="393">
        <f t="shared" si="3"/>
        <v>-6188.5376796551354</v>
      </c>
      <c r="Q24" s="395">
        <f>+[4]아산!$G$16</f>
        <v>10853.333333333334</v>
      </c>
      <c r="R24" s="394">
        <f>+[4]아산!$H$16</f>
        <v>10848.018335600605</v>
      </c>
      <c r="S24" s="393">
        <f t="shared" si="4"/>
        <v>-5.3149977327284432</v>
      </c>
      <c r="T24" s="395">
        <f>+[4]아산!$G$17</f>
        <v>12554.838709677419</v>
      </c>
      <c r="U24" s="394">
        <f>+[4]아산!$H$17</f>
        <v>12501.089949026946</v>
      </c>
      <c r="V24" s="393">
        <f t="shared" si="5"/>
        <v>-53.748760650472832</v>
      </c>
    </row>
    <row r="25" spans="4:25" ht="24" customHeight="1" x14ac:dyDescent="0.3">
      <c r="D25" s="323" t="s">
        <v>125</v>
      </c>
      <c r="E25" s="392">
        <f>+[4]전주!$G$9</f>
        <v>97000</v>
      </c>
      <c r="F25" s="391">
        <f>+[4]전주!$H$9</f>
        <v>100000</v>
      </c>
      <c r="G25" s="390">
        <f t="shared" si="0"/>
        <v>3000</v>
      </c>
      <c r="H25" s="392">
        <f>+[4]전주!$G$10</f>
        <v>94500</v>
      </c>
      <c r="I25" s="391">
        <f>+[4]전주!$H$10</f>
        <v>97493.324871230769</v>
      </c>
      <c r="J25" s="390">
        <f t="shared" si="1"/>
        <v>2993.3248712307686</v>
      </c>
      <c r="K25" s="392">
        <f>+[4]전주!$G$12</f>
        <v>60000</v>
      </c>
      <c r="L25" s="391">
        <f>+[4]전주!$H$12</f>
        <v>61092.309893884594</v>
      </c>
      <c r="M25" s="390">
        <f t="shared" si="2"/>
        <v>1092.3098938845942</v>
      </c>
      <c r="N25" s="392">
        <f>+[4]전주!$G$13</f>
        <v>32500</v>
      </c>
      <c r="O25" s="391">
        <f>+[4]전주!$H$13</f>
        <v>32433.403962542827</v>
      </c>
      <c r="P25" s="390">
        <f t="shared" si="3"/>
        <v>-66.596037457173225</v>
      </c>
      <c r="Q25" s="392">
        <f>+[4]전주!$G$16</f>
        <v>14733.333333333334</v>
      </c>
      <c r="R25" s="391">
        <f>+[4]전주!$H$16</f>
        <v>13767.987185029509</v>
      </c>
      <c r="S25" s="390">
        <f t="shared" si="4"/>
        <v>-965.34614830382452</v>
      </c>
      <c r="T25" s="392">
        <f>+[4]전주!$G$17</f>
        <v>16000</v>
      </c>
      <c r="U25" s="391">
        <f>+[4]전주!$H$17</f>
        <v>15985.907896256935</v>
      </c>
      <c r="V25" s="390">
        <f t="shared" si="5"/>
        <v>-14.092103743065309</v>
      </c>
    </row>
    <row r="26" spans="4:25" ht="24" customHeight="1" x14ac:dyDescent="0.3">
      <c r="D26" s="323" t="s">
        <v>124</v>
      </c>
      <c r="E26" s="392">
        <f>+[4]군산!$G$9</f>
        <v>97000</v>
      </c>
      <c r="F26" s="391">
        <f>+[4]군산!$H$9</f>
        <v>100000.00000000001</v>
      </c>
      <c r="G26" s="390">
        <f t="shared" si="0"/>
        <v>3000.0000000000146</v>
      </c>
      <c r="H26" s="392">
        <f>+[4]군산!$G$10</f>
        <v>0</v>
      </c>
      <c r="I26" s="391">
        <f>+[4]군산!$H$10</f>
        <v>93101.135043933638</v>
      </c>
      <c r="J26" s="390">
        <f t="shared" si="1"/>
        <v>93101.135043933638</v>
      </c>
      <c r="K26" s="392">
        <f>+[4]군산!$G$12</f>
        <v>61000.000000000007</v>
      </c>
      <c r="L26" s="391">
        <f>+[4]군산!$H$12</f>
        <v>63595.524157691929</v>
      </c>
      <c r="M26" s="390">
        <f t="shared" si="2"/>
        <v>2595.5241576919216</v>
      </c>
      <c r="N26" s="392">
        <f>+[4]군산!$G$13</f>
        <v>32500</v>
      </c>
      <c r="O26" s="391">
        <f>+[4]군산!$H$13</f>
        <v>24374.471648705319</v>
      </c>
      <c r="P26" s="390">
        <f t="shared" si="3"/>
        <v>-8125.5283512946808</v>
      </c>
      <c r="Q26" s="392">
        <f>+[4]군산!$G$16</f>
        <v>15133.333333333332</v>
      </c>
      <c r="R26" s="391">
        <f>+[4]군산!$H$16</f>
        <v>15143.477252150295</v>
      </c>
      <c r="S26" s="390">
        <f t="shared" si="4"/>
        <v>10.143918816962469</v>
      </c>
      <c r="T26" s="392">
        <f>+[4]군산!$G$17</f>
        <v>15310.067420741872</v>
      </c>
      <c r="U26" s="391">
        <f>+[4]군산!$H$17</f>
        <v>15538.761063052763</v>
      </c>
      <c r="V26" s="390">
        <f t="shared" si="5"/>
        <v>228.69364231089094</v>
      </c>
    </row>
    <row r="27" spans="4:25" ht="24" customHeight="1" x14ac:dyDescent="0.3">
      <c r="D27" s="323" t="s">
        <v>123</v>
      </c>
      <c r="E27" s="392">
        <f>+[4]원주!$G$9</f>
        <v>96999.999999999985</v>
      </c>
      <c r="F27" s="391">
        <f>+[4]원주!$H$9</f>
        <v>99999.999999999985</v>
      </c>
      <c r="G27" s="390">
        <f t="shared" si="0"/>
        <v>3000</v>
      </c>
      <c r="H27" s="392">
        <f>+[4]원주!$G$10</f>
        <v>0</v>
      </c>
      <c r="I27" s="391">
        <f>+[4]원주!$H$10</f>
        <v>0</v>
      </c>
      <c r="J27" s="390">
        <f t="shared" si="1"/>
        <v>0</v>
      </c>
      <c r="K27" s="392">
        <f>+[4]원주!$G$12</f>
        <v>59999.999999999993</v>
      </c>
      <c r="L27" s="391">
        <f>+[4]원주!$H$12</f>
        <v>60532.531973438126</v>
      </c>
      <c r="M27" s="390">
        <f t="shared" si="2"/>
        <v>532.53197343813372</v>
      </c>
      <c r="N27" s="392">
        <f>+[4]원주!$G$13</f>
        <v>44999.999999999993</v>
      </c>
      <c r="O27" s="391">
        <f>+[4]원주!$H$13</f>
        <v>45991.346735048675</v>
      </c>
      <c r="P27" s="390">
        <f t="shared" si="3"/>
        <v>991.3467350486826</v>
      </c>
      <c r="Q27" s="392">
        <f>+[4]원주!$G$16</f>
        <v>12466.666666666666</v>
      </c>
      <c r="R27" s="391">
        <f>+[4]원주!$H$16</f>
        <v>13158.902301018477</v>
      </c>
      <c r="S27" s="390">
        <f t="shared" si="4"/>
        <v>692.23563435181131</v>
      </c>
      <c r="T27" s="392">
        <f>+[4]원주!$G$17</f>
        <v>12387.096774193547</v>
      </c>
      <c r="U27" s="391">
        <f>+[4]원주!$H$17</f>
        <v>12382.198799590105</v>
      </c>
      <c r="V27" s="390">
        <f t="shared" si="5"/>
        <v>-4.8979746034419804</v>
      </c>
    </row>
    <row r="28" spans="4:25" ht="24" customHeight="1" x14ac:dyDescent="0.3">
      <c r="D28" s="318" t="s">
        <v>122</v>
      </c>
      <c r="E28" s="389">
        <f>+[4]제주!$G$9</f>
        <v>114000</v>
      </c>
      <c r="F28" s="388">
        <f>+[4]제주!$H$9</f>
        <v>116999.99901866967</v>
      </c>
      <c r="G28" s="387">
        <f t="shared" si="0"/>
        <v>2999.9990186696668</v>
      </c>
      <c r="H28" s="389">
        <f>+[4]제주!$G$10</f>
        <v>0</v>
      </c>
      <c r="I28" s="388">
        <f>+[4]제주!$H$10</f>
        <v>116999.91689187632</v>
      </c>
      <c r="J28" s="387">
        <f t="shared" si="1"/>
        <v>116999.91689187632</v>
      </c>
      <c r="K28" s="389">
        <f>+[4]제주!$G$12</f>
        <v>0</v>
      </c>
      <c r="L28" s="388">
        <f>+[4]제주!$H$12</f>
        <v>0</v>
      </c>
      <c r="M28" s="387">
        <f t="shared" si="2"/>
        <v>0</v>
      </c>
      <c r="N28" s="389">
        <f>+[4]제주!$G$13</f>
        <v>0</v>
      </c>
      <c r="O28" s="388">
        <f>+[4]제주!$H$13</f>
        <v>0</v>
      </c>
      <c r="P28" s="387">
        <f t="shared" si="3"/>
        <v>0</v>
      </c>
      <c r="Q28" s="389">
        <f>+[4]제주!$G$16</f>
        <v>18000.000000000004</v>
      </c>
      <c r="R28" s="388">
        <f>+[4]제주!$H$16</f>
        <v>17788.235206244281</v>
      </c>
      <c r="S28" s="387">
        <f t="shared" si="4"/>
        <v>-211.76479375572308</v>
      </c>
      <c r="T28" s="389">
        <f>+[4]제주!$G$17</f>
        <v>19002.169136479206</v>
      </c>
      <c r="U28" s="388">
        <f>+[4]제주!$H$17</f>
        <v>20298.595568856399</v>
      </c>
      <c r="V28" s="387">
        <f t="shared" si="5"/>
        <v>1296.4264323771931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68" t="s">
        <v>183</v>
      </c>
      <c r="F4" s="368"/>
      <c r="I4" s="368"/>
    </row>
    <row r="5" spans="1:22" ht="21.95" customHeight="1" x14ac:dyDescent="0.3">
      <c r="V5" s="367" t="s">
        <v>154</v>
      </c>
    </row>
    <row r="6" spans="1:22" ht="24" customHeight="1" thickBot="1" x14ac:dyDescent="0.35">
      <c r="A6" s="4" t="s">
        <v>168</v>
      </c>
      <c r="D6" s="692" t="s">
        <v>11</v>
      </c>
      <c r="E6" s="366" t="s">
        <v>153</v>
      </c>
      <c r="F6" s="365"/>
      <c r="G6" s="364"/>
      <c r="H6" s="366" t="s">
        <v>152</v>
      </c>
      <c r="I6" s="365"/>
      <c r="J6" s="364"/>
      <c r="K6" s="366" t="s">
        <v>151</v>
      </c>
      <c r="L6" s="365"/>
      <c r="M6" s="364"/>
      <c r="N6" s="366" t="s">
        <v>150</v>
      </c>
      <c r="O6" s="365"/>
      <c r="P6" s="364"/>
      <c r="Q6" s="366" t="s">
        <v>149</v>
      </c>
      <c r="R6" s="365"/>
      <c r="S6" s="364"/>
      <c r="T6" s="366" t="s">
        <v>148</v>
      </c>
      <c r="U6" s="365"/>
      <c r="V6" s="364"/>
    </row>
    <row r="7" spans="1:22" ht="24" customHeight="1" x14ac:dyDescent="0.3">
      <c r="D7" s="693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1:22" ht="24" customHeight="1" x14ac:dyDescent="0.3">
      <c r="D8" s="358" t="s">
        <v>136</v>
      </c>
      <c r="E8" s="356">
        <f>+[4]합계!$E$9</f>
        <v>304.23064837758238</v>
      </c>
      <c r="F8" s="355">
        <f>+[4]합계!$F$9</f>
        <v>269.27620713398733</v>
      </c>
      <c r="G8" s="386">
        <f t="shared" ref="G8:G28" si="0">+F8-E8</f>
        <v>-34.954441243595056</v>
      </c>
      <c r="H8" s="356">
        <f>+[4]합계!$E$15</f>
        <v>381.6315140448055</v>
      </c>
      <c r="I8" s="355">
        <f>+[4]합계!$F$15</f>
        <v>402.91119197970784</v>
      </c>
      <c r="J8" s="386">
        <f t="shared" ref="J8:J28" si="1">+I8-H8</f>
        <v>21.279677934902338</v>
      </c>
      <c r="K8" s="448">
        <f>+([4]합계!$E$10*0.4+[4]합계!$E$11+[4]합계!$E$12+[4]합계!$E$13+[4]합계!$E$14)/[4]합계!$E$15</f>
        <v>0.15176068799735656</v>
      </c>
      <c r="L8" s="447">
        <f>+([4]합계!$F$10*0.4+[4]합계!$F$11+[4]합계!$F$12+[4]합계!$F$13+[4]합계!$F$14)/[4]합계!$F$15</f>
        <v>0.24156110414902551</v>
      </c>
      <c r="M8" s="446">
        <f t="shared" ref="M8:M28" si="2">+L8-K8</f>
        <v>8.9800416151668949E-2</v>
      </c>
      <c r="N8" s="356">
        <f>+[4]합계!$E$16</f>
        <v>828.22543597664639</v>
      </c>
      <c r="O8" s="355">
        <f>+[4]합계!$F$16</f>
        <v>822.49721455517056</v>
      </c>
      <c r="P8" s="386">
        <f t="shared" ref="P8:P28" si="3">+O8-N8</f>
        <v>-5.7282214214758369</v>
      </c>
      <c r="Q8" s="356">
        <f>+[4]합계!$E$17</f>
        <v>895.09944963808391</v>
      </c>
      <c r="R8" s="355">
        <f>+[4]합계!$F$17</f>
        <v>868.28028160476424</v>
      </c>
      <c r="S8" s="386">
        <f t="shared" ref="S8:S28" si="4">+R8-Q8</f>
        <v>-26.81916803331967</v>
      </c>
      <c r="T8" s="356">
        <f>+[4]합계!$E$19</f>
        <v>3.2419271172983128</v>
      </c>
      <c r="U8" s="355">
        <f>+[4]합계!$F$19</f>
        <v>3.3793440403957171</v>
      </c>
      <c r="V8" s="386">
        <f t="shared" ref="V8:V28" si="5">+U8-T8</f>
        <v>0.13741692309740428</v>
      </c>
    </row>
    <row r="9" spans="1:22" ht="24" customHeight="1" x14ac:dyDescent="0.3">
      <c r="D9" s="352" t="s">
        <v>16</v>
      </c>
      <c r="E9" s="351">
        <f>+[4]수도권!$E$9</f>
        <v>328.71519402985075</v>
      </c>
      <c r="F9" s="350">
        <f>+[4]수도권!$F$9</f>
        <v>285.47058407743657</v>
      </c>
      <c r="G9" s="385">
        <f t="shared" si="0"/>
        <v>-43.24460995241418</v>
      </c>
      <c r="H9" s="351">
        <f>+[4]수도권!$E$15</f>
        <v>395.07340149253736</v>
      </c>
      <c r="I9" s="350">
        <f>+[4]수도권!$F$15</f>
        <v>418.11426922788303</v>
      </c>
      <c r="J9" s="385">
        <f t="shared" si="1"/>
        <v>23.040867735345671</v>
      </c>
      <c r="K9" s="445">
        <f>+([4]수도권!$E$10*0.4+[4]수도권!$E$11+[4]수도권!$E$12+[4]수도권!$E$13+[4]수도권!$E$14)/[4]수도권!$E$15</f>
        <v>0.14314362115947477</v>
      </c>
      <c r="L9" s="444">
        <f>+([4]수도권!$F$10*0.4+[4]수도권!$F$11+[4]수도권!$F$12+[4]수도권!$F$13+[4]수도권!$F$14)/[4]수도권!$F$15</f>
        <v>0.26237482814413954</v>
      </c>
      <c r="M9" s="443">
        <f t="shared" si="2"/>
        <v>0.11923120698466477</v>
      </c>
      <c r="N9" s="351">
        <f>+[4]수도권!$E$16</f>
        <v>854.6858208955224</v>
      </c>
      <c r="O9" s="350">
        <f>+[4]수도권!$F$16</f>
        <v>856.86493584452649</v>
      </c>
      <c r="P9" s="385">
        <f t="shared" si="3"/>
        <v>2.179114949004088</v>
      </c>
      <c r="Q9" s="351">
        <f>+[4]수도권!$E$17</f>
        <v>877.63283582089559</v>
      </c>
      <c r="R9" s="350">
        <f>+[4]수도권!$F$17</f>
        <v>820.10740856907023</v>
      </c>
      <c r="S9" s="385">
        <f t="shared" si="4"/>
        <v>-57.525427251825363</v>
      </c>
      <c r="T9" s="351">
        <f>+[4]수도권!$E$19</f>
        <v>3.4081946798358209</v>
      </c>
      <c r="U9" s="350">
        <f>+[4]수도권!$F$19</f>
        <v>3.7234157724919319</v>
      </c>
      <c r="V9" s="385">
        <f t="shared" si="5"/>
        <v>0.31522109265611098</v>
      </c>
    </row>
    <row r="10" spans="1:22" ht="24" customHeight="1" x14ac:dyDescent="0.3">
      <c r="D10" s="347" t="s">
        <v>17</v>
      </c>
      <c r="E10" s="346">
        <f>+[4]영남권!$E$9</f>
        <v>270.58758467356762</v>
      </c>
      <c r="F10" s="345">
        <f>+[4]영남권!$F$9</f>
        <v>229.48962579284037</v>
      </c>
      <c r="G10" s="384">
        <f t="shared" si="0"/>
        <v>-41.097958880727248</v>
      </c>
      <c r="H10" s="346">
        <f>+[4]영남권!$E$15</f>
        <v>373.89814833961884</v>
      </c>
      <c r="I10" s="345">
        <f>+[4]영남권!$F$15</f>
        <v>393.0598854523077</v>
      </c>
      <c r="J10" s="384">
        <f t="shared" si="1"/>
        <v>19.161737112688854</v>
      </c>
      <c r="K10" s="442">
        <f>+([4]영남권!$E$10*0.4+[4]영남권!$E$11+[4]영남권!$E$12+[4]영남권!$E$13+[4]영남권!$E$14)/[4]영남권!$E$15</f>
        <v>0.18782033045335403</v>
      </c>
      <c r="L10" s="441">
        <f>+([4]영남권!$F$10*0.4+[4]영남권!$F$11+[4]영남권!$F$12+[4]영남권!$F$13+[4]영남권!$F$14)/[4]영남권!$F$15</f>
        <v>0.26579624037516947</v>
      </c>
      <c r="M10" s="440">
        <f t="shared" si="2"/>
        <v>7.7975909921815439E-2</v>
      </c>
      <c r="N10" s="346">
        <f>+[4]영남권!$E$16</f>
        <v>812.8893392748007</v>
      </c>
      <c r="O10" s="345">
        <f>+[4]영남권!$F$16</f>
        <v>803.68758638410657</v>
      </c>
      <c r="P10" s="384">
        <f t="shared" si="3"/>
        <v>-9.2017528906941379</v>
      </c>
      <c r="Q10" s="346">
        <f>+[4]영남권!$E$17</f>
        <v>899.39158322615879</v>
      </c>
      <c r="R10" s="345">
        <f>+[4]영남권!$F$17</f>
        <v>883.30511339815803</v>
      </c>
      <c r="S10" s="384">
        <f t="shared" si="4"/>
        <v>-16.086469828000759</v>
      </c>
      <c r="T10" s="346">
        <f>+[4]영남권!$E$19</f>
        <v>3.1891856777729872</v>
      </c>
      <c r="U10" s="345">
        <f>+[4]영남권!$F$19</f>
        <v>3.1476775353988895</v>
      </c>
      <c r="V10" s="384">
        <f t="shared" si="5"/>
        <v>-4.1508142374097723E-2</v>
      </c>
    </row>
    <row r="11" spans="1:22" ht="24" customHeight="1" x14ac:dyDescent="0.3">
      <c r="D11" s="342" t="s">
        <v>128</v>
      </c>
      <c r="E11" s="341">
        <f>+[4]중부권!$E$9</f>
        <v>348.33404767053003</v>
      </c>
      <c r="F11" s="340">
        <f>+[4]중부권!$F$9</f>
        <v>332.76507515081278</v>
      </c>
      <c r="G11" s="383">
        <f t="shared" si="0"/>
        <v>-15.568972519717249</v>
      </c>
      <c r="H11" s="341">
        <f>+[4]중부권!$E$15</f>
        <v>372.01368966066138</v>
      </c>
      <c r="I11" s="340">
        <f>+[4]중부권!$F$15</f>
        <v>393.21070822398679</v>
      </c>
      <c r="J11" s="383">
        <f t="shared" si="1"/>
        <v>21.1970185633254</v>
      </c>
      <c r="K11" s="439">
        <f>+([4]중부권!$E$10*0.4+[4]중부권!$E$11+[4]중부권!$E$12+[4]중부권!$E$13+[4]중부권!$E$14)/[4]중부권!$E$15</f>
        <v>6.0699561034611896E-2</v>
      </c>
      <c r="L11" s="438">
        <f>+([4]중부권!$F$10*0.4+[4]중부권!$F$11+[4]중부권!$F$12+[4]중부권!$F$13+[4]중부권!$F$14)/[4]중부권!$F$15</f>
        <v>0.13024611815991793</v>
      </c>
      <c r="M11" s="437">
        <f t="shared" si="2"/>
        <v>6.9546557125306038E-2</v>
      </c>
      <c r="N11" s="341">
        <f>+[4]중부권!$E$16</f>
        <v>809.64862728523735</v>
      </c>
      <c r="O11" s="340">
        <f>+[4]중부권!$F$16</f>
        <v>791.84888040625742</v>
      </c>
      <c r="P11" s="383">
        <f t="shared" si="3"/>
        <v>-17.799746878979931</v>
      </c>
      <c r="Q11" s="341">
        <f>+[4]중부권!$E$17</f>
        <v>925.73628354427831</v>
      </c>
      <c r="R11" s="340">
        <f>+[4]중부권!$F$17</f>
        <v>939.81902457312253</v>
      </c>
      <c r="S11" s="383">
        <f t="shared" si="4"/>
        <v>14.082741028844225</v>
      </c>
      <c r="T11" s="341">
        <f>+[4]중부권!$E$19</f>
        <v>2.9877358973778421</v>
      </c>
      <c r="U11" s="340">
        <f>+[4]중부권!$F$19</f>
        <v>3.181767151767152</v>
      </c>
      <c r="V11" s="383">
        <f t="shared" si="5"/>
        <v>0.1940312543893099</v>
      </c>
    </row>
    <row r="12" spans="1:22" ht="24" customHeight="1" x14ac:dyDescent="0.3">
      <c r="D12" s="382" t="s">
        <v>18</v>
      </c>
      <c r="E12" s="335">
        <f>+[4]안양!$E$9</f>
        <v>338.35714285714283</v>
      </c>
      <c r="F12" s="334">
        <f>+[4]안양!$F$9</f>
        <v>308.31742543332723</v>
      </c>
      <c r="G12" s="336">
        <f t="shared" si="0"/>
        <v>-30.039717423815603</v>
      </c>
      <c r="H12" s="335">
        <f>+[4]안양!$E$15</f>
        <v>384.64285714285711</v>
      </c>
      <c r="I12" s="334">
        <f>+[4]안양!$F$15</f>
        <v>416.4484008923971</v>
      </c>
      <c r="J12" s="336">
        <f t="shared" si="1"/>
        <v>31.805543749539993</v>
      </c>
      <c r="K12" s="436">
        <f>+([4]안양!$E$10*0.4+[4]안양!$E$11+[4]안양!$E$12+[4]안양!$E$13+[4]안양!$E$14)/[4]안양!$E$15</f>
        <v>0.12033426183844012</v>
      </c>
      <c r="L12" s="435">
        <f>+([4]안양!$F$10*0.4+[4]안양!$F$11+[4]안양!$F$12+[4]안양!$F$13+[4]안양!$F$14)/[4]안양!$F$15</f>
        <v>0.23228615253738147</v>
      </c>
      <c r="M12" s="434">
        <f t="shared" si="2"/>
        <v>0.11195189069894135</v>
      </c>
      <c r="N12" s="335">
        <f>+[4]안양!$E$16</f>
        <v>845.28571428571433</v>
      </c>
      <c r="O12" s="334">
        <f>+[4]안양!$F$16</f>
        <v>855.09593272696111</v>
      </c>
      <c r="P12" s="336">
        <f t="shared" si="3"/>
        <v>9.810218441246775</v>
      </c>
      <c r="Q12" s="335">
        <f>+[4]안양!$E$17</f>
        <v>879.35714285714289</v>
      </c>
      <c r="R12" s="334">
        <f>+[4]안양!$F$17</f>
        <v>779.14690235112403</v>
      </c>
      <c r="S12" s="336">
        <f t="shared" si="4"/>
        <v>-100.21024050601886</v>
      </c>
      <c r="T12" s="433">
        <f>+[4]안양!$E$19</f>
        <v>3.46</v>
      </c>
      <c r="U12" s="432">
        <f>+[4]안양!$F$19</f>
        <v>4.0421729878153405</v>
      </c>
      <c r="V12" s="431">
        <f t="shared" si="5"/>
        <v>0.58217298781534055</v>
      </c>
    </row>
    <row r="13" spans="1:22" ht="24" customHeight="1" x14ac:dyDescent="0.3">
      <c r="D13" s="323" t="s">
        <v>19</v>
      </c>
      <c r="E13" s="321">
        <f>+[4]인천!$E$9</f>
        <v>329.13636363636363</v>
      </c>
      <c r="F13" s="320">
        <f>+[4]인천!$F$9</f>
        <v>232.83523742558464</v>
      </c>
      <c r="G13" s="322">
        <f t="shared" si="0"/>
        <v>-96.301126210778989</v>
      </c>
      <c r="H13" s="321">
        <f>+[4]인천!$E$15</f>
        <v>423.9545454545455</v>
      </c>
      <c r="I13" s="320">
        <f>+[4]인천!$F$15</f>
        <v>427.54895748371047</v>
      </c>
      <c r="J13" s="322">
        <f t="shared" si="1"/>
        <v>3.594412029164971</v>
      </c>
      <c r="K13" s="424">
        <f>+([4]인천!$E$10*0.4+[4]인천!$E$11+[4]인천!$E$12+[4]인천!$E$13+[4]인천!$E$14)/[4]인천!$E$15</f>
        <v>0.16865015546263534</v>
      </c>
      <c r="L13" s="423">
        <f>+([4]인천!$F$10*0.4+[4]인천!$F$11+[4]인천!$F$12+[4]인천!$F$13+[4]인천!$F$14)/[4]인천!$F$15</f>
        <v>0.34443832452091361</v>
      </c>
      <c r="M13" s="422">
        <f t="shared" si="2"/>
        <v>0.17578816905827827</v>
      </c>
      <c r="N13" s="321">
        <f>+[4]인천!$E$16</f>
        <v>880.27272727272725</v>
      </c>
      <c r="O13" s="320">
        <f>+[4]인천!$F$16</f>
        <v>838.16106501664115</v>
      </c>
      <c r="P13" s="322">
        <f t="shared" si="3"/>
        <v>-42.111662256086106</v>
      </c>
      <c r="Q13" s="321">
        <f>+[4]인천!$E$17</f>
        <v>850.22727272727275</v>
      </c>
      <c r="R13" s="320">
        <f>+[4]인천!$F$17</f>
        <v>865.72269113579887</v>
      </c>
      <c r="S13" s="322">
        <f t="shared" si="4"/>
        <v>15.49541840852612</v>
      </c>
      <c r="T13" s="421">
        <f>+[4]인천!$E$19</f>
        <v>3.5781818181818181</v>
      </c>
      <c r="U13" s="420">
        <f>+[4]인천!$F$19</f>
        <v>3.8147517929967636</v>
      </c>
      <c r="V13" s="419">
        <f t="shared" si="5"/>
        <v>0.23656997481494546</v>
      </c>
    </row>
    <row r="14" spans="1:22" ht="24" customHeight="1" x14ac:dyDescent="0.3">
      <c r="D14" s="323" t="s">
        <v>20</v>
      </c>
      <c r="E14" s="321">
        <f>+[4]파주!$E$9</f>
        <v>308.10199999999998</v>
      </c>
      <c r="F14" s="320">
        <f>+[4]파주!$F$9</f>
        <v>302.69569793510323</v>
      </c>
      <c r="G14" s="322">
        <f t="shared" si="0"/>
        <v>-5.4063020648967495</v>
      </c>
      <c r="H14" s="321">
        <f>+[4]파주!$E$15</f>
        <v>364.2131</v>
      </c>
      <c r="I14" s="320">
        <f>+[4]파주!$F$15</f>
        <v>411.12249675516222</v>
      </c>
      <c r="J14" s="322">
        <f t="shared" si="1"/>
        <v>46.90939675516222</v>
      </c>
      <c r="K14" s="424">
        <f>+([4]파주!$E$10*0.4+[4]파주!$E$11+[4]파주!$E$12+[4]파주!$E$13+[4]파주!$E$14)/[4]파주!$E$15</f>
        <v>0.15406118011680525</v>
      </c>
      <c r="L14" s="423">
        <f>+([4]파주!$F$10*0.4+[4]파주!$F$11+[4]파주!$F$12+[4]파주!$F$13+[4]파주!$F$14)/[4]파주!$F$15</f>
        <v>0.26373355794399872</v>
      </c>
      <c r="M14" s="422">
        <f t="shared" si="2"/>
        <v>0.10967237782719347</v>
      </c>
      <c r="N14" s="321">
        <f>+[4]파주!$E$16</f>
        <v>827.55</v>
      </c>
      <c r="O14" s="320">
        <f>+[4]파주!$F$16</f>
        <v>910.50914454277279</v>
      </c>
      <c r="P14" s="322">
        <f t="shared" si="3"/>
        <v>82.959144542772833</v>
      </c>
      <c r="Q14" s="321">
        <f>+[4]파주!$E$17</f>
        <v>911.59999999999991</v>
      </c>
      <c r="R14" s="320">
        <f>+[4]파주!$F$17</f>
        <v>802.37876106194722</v>
      </c>
      <c r="S14" s="322">
        <f t="shared" si="4"/>
        <v>-109.22123893805269</v>
      </c>
      <c r="T14" s="421">
        <f>+[4]파주!$E$19</f>
        <v>2.9132270610000002</v>
      </c>
      <c r="U14" s="420">
        <f>+[4]파주!$F$19</f>
        <v>2.7029970501474918</v>
      </c>
      <c r="V14" s="419">
        <f t="shared" si="5"/>
        <v>-0.21023001085250836</v>
      </c>
    </row>
    <row r="15" spans="1:22" ht="24" customHeight="1" x14ac:dyDescent="0.3">
      <c r="D15" s="323" t="s">
        <v>106</v>
      </c>
      <c r="E15" s="321">
        <f>+[4]김포!$E$9</f>
        <v>317</v>
      </c>
      <c r="F15" s="320">
        <f>+[4]김포!$F$9</f>
        <v>325.9339599583983</v>
      </c>
      <c r="G15" s="322">
        <f t="shared" si="0"/>
        <v>8.9339599583983045</v>
      </c>
      <c r="H15" s="321">
        <f>+[4]김포!$E$15</f>
        <v>386.875</v>
      </c>
      <c r="I15" s="320">
        <f>+[4]김포!$F$15</f>
        <v>405.96140145605818</v>
      </c>
      <c r="J15" s="322">
        <f t="shared" si="1"/>
        <v>19.086401456058184</v>
      </c>
      <c r="K15" s="424">
        <f>+([4]김포!$E$10*0.4+[4]김포!$E$11+[4]김포!$E$12+[4]김포!$E$13+[4]김포!$E$14)/[4]김포!$E$15</f>
        <v>0.13408723747980614</v>
      </c>
      <c r="L15" s="423">
        <f>+([4]김포!$F$10*0.4+[4]김포!$F$11+[4]김포!$F$12+[4]김포!$F$13+[4]김포!$F$14)/[4]김포!$F$15</f>
        <v>0.13807207462649335</v>
      </c>
      <c r="M15" s="422">
        <f t="shared" si="2"/>
        <v>3.984837146687209E-3</v>
      </c>
      <c r="N15" s="321">
        <f>+[4]김포!$E$16</f>
        <v>847.75</v>
      </c>
      <c r="O15" s="320">
        <f>+[4]김포!$F$16</f>
        <v>856.33385335413413</v>
      </c>
      <c r="P15" s="322">
        <f t="shared" si="3"/>
        <v>8.5838533541341349</v>
      </c>
      <c r="Q15" s="321">
        <f>+[4]김포!$E$17</f>
        <v>908.75</v>
      </c>
      <c r="R15" s="320">
        <f>+[4]김포!$F$17</f>
        <v>868.27743109724292</v>
      </c>
      <c r="S15" s="322">
        <f t="shared" si="4"/>
        <v>-40.472568902757075</v>
      </c>
      <c r="T15" s="421">
        <f>+[4]김포!$E$19</f>
        <v>3.3162500000000001</v>
      </c>
      <c r="U15" s="420">
        <f>+[4]김포!$F$19</f>
        <v>3.3870384815392613</v>
      </c>
      <c r="V15" s="419">
        <f t="shared" si="5"/>
        <v>7.0788481539261205E-2</v>
      </c>
    </row>
    <row r="16" spans="1:22" ht="24" customHeight="1" x14ac:dyDescent="0.3">
      <c r="D16" s="378" t="s">
        <v>21</v>
      </c>
      <c r="E16" s="328">
        <f>+[4]부산!$E$9</f>
        <v>231.88000000000002</v>
      </c>
      <c r="F16" s="327">
        <f>+[4]부산!$F$9</f>
        <v>126.16570242461275</v>
      </c>
      <c r="G16" s="329">
        <f t="shared" si="0"/>
        <v>-105.71429757538728</v>
      </c>
      <c r="H16" s="328">
        <f>+[4]부산!$E$15</f>
        <v>399.80000000000007</v>
      </c>
      <c r="I16" s="327">
        <f>+[4]부산!$F$15</f>
        <v>419.28067899347974</v>
      </c>
      <c r="J16" s="329">
        <f t="shared" si="1"/>
        <v>19.480678993479671</v>
      </c>
      <c r="K16" s="430">
        <f>+([4]부산!$E$10*0.4+[4]부산!$E$11+[4]부산!$E$12+[4]부산!$E$13+[4]부산!$E$14)/[4]부산!$E$15</f>
        <v>0.20402201100550274</v>
      </c>
      <c r="L16" s="429">
        <f>+([4]부산!$F$10*0.4+[4]부산!$F$11+[4]부산!$F$12+[4]부산!$F$13+[4]부산!$F$14)/[4]부산!$F$15</f>
        <v>0.36731794342993401</v>
      </c>
      <c r="M16" s="428">
        <f t="shared" si="2"/>
        <v>0.16329593242443127</v>
      </c>
      <c r="N16" s="328">
        <f>+[4]부산!$E$16</f>
        <v>850.4</v>
      </c>
      <c r="O16" s="327">
        <f>+[4]부산!$F$16</f>
        <v>889.96994702526467</v>
      </c>
      <c r="P16" s="329">
        <f t="shared" si="3"/>
        <v>39.569947025264696</v>
      </c>
      <c r="Q16" s="328">
        <f>+[4]부산!$E$17</f>
        <v>870.2</v>
      </c>
      <c r="R16" s="327">
        <f>+[4]부산!$F$17</f>
        <v>824.76059494702565</v>
      </c>
      <c r="S16" s="329">
        <f t="shared" si="4"/>
        <v>-45.439405052974394</v>
      </c>
      <c r="T16" s="427">
        <f>+[4]부산!$E$19</f>
        <v>3.0551786156250005</v>
      </c>
      <c r="U16" s="426">
        <f>+[4]부산!$F$19</f>
        <v>3.0251293806030981</v>
      </c>
      <c r="V16" s="425">
        <f t="shared" si="5"/>
        <v>-3.0049235021902376E-2</v>
      </c>
    </row>
    <row r="17" spans="4:22" ht="24" customHeight="1" x14ac:dyDescent="0.3">
      <c r="D17" s="323" t="s">
        <v>22</v>
      </c>
      <c r="E17" s="321">
        <f>+[4]서부산!$E$9</f>
        <v>270.27731300000005</v>
      </c>
      <c r="F17" s="320">
        <f>+[4]서부산!$F$9</f>
        <v>255.25119661016947</v>
      </c>
      <c r="G17" s="322">
        <f t="shared" si="0"/>
        <v>-15.026116389830577</v>
      </c>
      <c r="H17" s="321">
        <f>+[4]서부산!$E$15</f>
        <v>374.58514000000002</v>
      </c>
      <c r="I17" s="320">
        <f>+[4]서부산!$F$15</f>
        <v>387.61416271186448</v>
      </c>
      <c r="J17" s="322">
        <f t="shared" si="1"/>
        <v>13.029022711864457</v>
      </c>
      <c r="K17" s="424">
        <f>+([4]서부산!$E$10*0.4+[4]서부산!$E$11+[4]서부산!$E$12+[4]서부산!$E$13+[4]서부산!$E$14)/[4]서부산!$E$15</f>
        <v>0.17996609990988963</v>
      </c>
      <c r="L17" s="423">
        <f>+([4]서부산!$F$10*0.4+[4]서부산!$F$11+[4]서부산!$F$12+[4]서부산!$F$13+[4]서부산!$F$14)/[4]서부산!$F$15</f>
        <v>0.19581306512929536</v>
      </c>
      <c r="M17" s="422">
        <f t="shared" si="2"/>
        <v>1.5846965219405734E-2</v>
      </c>
      <c r="N17" s="321">
        <f>+[4]서부산!$E$16</f>
        <v>824.5</v>
      </c>
      <c r="O17" s="320">
        <f>+[4]서부산!$F$16</f>
        <v>803.28389830508468</v>
      </c>
      <c r="P17" s="322">
        <f t="shared" si="3"/>
        <v>-21.216101694915324</v>
      </c>
      <c r="Q17" s="321">
        <f>+[4]서부산!$E$17</f>
        <v>907.3</v>
      </c>
      <c r="R17" s="320">
        <f>+[4]서부산!$F$17</f>
        <v>924.45296610169498</v>
      </c>
      <c r="S17" s="322">
        <f t="shared" si="4"/>
        <v>17.152966101695029</v>
      </c>
      <c r="T17" s="421">
        <f>+[4]서부산!$E$19</f>
        <v>3.34</v>
      </c>
      <c r="U17" s="420">
        <f>+[4]서부산!$F$19</f>
        <v>3.2386694915254264</v>
      </c>
      <c r="V17" s="419">
        <f t="shared" si="5"/>
        <v>-0.10133050847457348</v>
      </c>
    </row>
    <row r="18" spans="4:22" ht="24" customHeight="1" x14ac:dyDescent="0.3">
      <c r="D18" s="323" t="s">
        <v>23</v>
      </c>
      <c r="E18" s="321">
        <f>+[4]김해!$E$9</f>
        <v>210.74896020539154</v>
      </c>
      <c r="F18" s="320">
        <f>+[4]김해!$F$9</f>
        <v>188.05944528587645</v>
      </c>
      <c r="G18" s="322">
        <f t="shared" si="0"/>
        <v>-22.689514919515091</v>
      </c>
      <c r="H18" s="321">
        <f>+[4]김해!$E$15</f>
        <v>365.60000000000008</v>
      </c>
      <c r="I18" s="320">
        <f>+[4]김해!$F$15</f>
        <v>362.50646156758785</v>
      </c>
      <c r="J18" s="322">
        <f t="shared" si="1"/>
        <v>-3.093538432412231</v>
      </c>
      <c r="K18" s="424">
        <f>+([4]김해!$E$10*0.4+[4]김해!$E$11+[4]김해!$E$12+[4]김해!$E$13+[4]김해!$E$14)/[4]김해!$E$15</f>
        <v>0.22019466128094423</v>
      </c>
      <c r="L18" s="423">
        <f>+([4]김해!$F$10*0.4+[4]김해!$F$11+[4]김해!$F$12+[4]김해!$F$13+[4]김해!$F$14)/[4]김해!$F$15</f>
        <v>0.27007005210101814</v>
      </c>
      <c r="M18" s="422">
        <f t="shared" si="2"/>
        <v>4.9875390820073917E-2</v>
      </c>
      <c r="N18" s="321">
        <f>+[4]김해!$E$16</f>
        <v>796</v>
      </c>
      <c r="O18" s="320">
        <f>+[4]김해!$F$16</f>
        <v>787.2018174933736</v>
      </c>
      <c r="P18" s="322">
        <f t="shared" si="3"/>
        <v>-8.7981825066264037</v>
      </c>
      <c r="Q18" s="321">
        <f>+[4]김해!$E$17</f>
        <v>914</v>
      </c>
      <c r="R18" s="320">
        <f>+[4]김해!$F$17</f>
        <v>890.35213934115939</v>
      </c>
      <c r="S18" s="322">
        <f t="shared" si="4"/>
        <v>-23.647860658840614</v>
      </c>
      <c r="T18" s="421">
        <f>+[4]김해!$E$19</f>
        <v>3.4622000000000002</v>
      </c>
      <c r="U18" s="420">
        <f>+[4]김해!$F$19</f>
        <v>2.809087466868609</v>
      </c>
      <c r="V18" s="419">
        <f t="shared" si="5"/>
        <v>-0.65311253313139117</v>
      </c>
    </row>
    <row r="19" spans="4:22" ht="24" customHeight="1" x14ac:dyDescent="0.3">
      <c r="D19" s="323" t="s">
        <v>24</v>
      </c>
      <c r="E19" s="321">
        <f>+[4]정관!$E$9</f>
        <v>311.01794671139777</v>
      </c>
      <c r="F19" s="320">
        <f>+[4]정관!$F$9</f>
        <v>274.91246391948357</v>
      </c>
      <c r="G19" s="322">
        <f t="shared" si="0"/>
        <v>-36.105482791914199</v>
      </c>
      <c r="H19" s="321">
        <f>+[4]정관!$E$15</f>
        <v>371.60911924212087</v>
      </c>
      <c r="I19" s="320">
        <f>+[4]정관!$F$15</f>
        <v>397.38624572730726</v>
      </c>
      <c r="J19" s="322">
        <f t="shared" si="1"/>
        <v>25.777126485186386</v>
      </c>
      <c r="K19" s="424">
        <f>+([4]정관!$E$10*0.4+[4]정관!$E$11+[4]정관!$E$12+[4]정관!$E$13+[4]정관!$E$14)/[4]정관!$E$15</f>
        <v>0.16305082247253758</v>
      </c>
      <c r="L19" s="423">
        <f>+([4]정관!$F$10*0.4+[4]정관!$F$11+[4]정관!$F$12+[4]정관!$F$13+[4]정관!$F$14)/[4]정관!$F$15</f>
        <v>0.18979369689416162</v>
      </c>
      <c r="M19" s="422">
        <f t="shared" si="2"/>
        <v>2.6742874421624041E-2</v>
      </c>
      <c r="N19" s="321">
        <f>+[4]정관!$E$16</f>
        <v>824.22794301506383</v>
      </c>
      <c r="O19" s="320">
        <f>+[4]정관!$F$16</f>
        <v>723.26386251424185</v>
      </c>
      <c r="P19" s="322">
        <f t="shared" si="3"/>
        <v>-100.96408050082198</v>
      </c>
      <c r="Q19" s="321">
        <f>+[4]정관!$E$17</f>
        <v>903.43950366932017</v>
      </c>
      <c r="R19" s="320">
        <f>+[4]정관!$F$17</f>
        <v>949.71990125332263</v>
      </c>
      <c r="S19" s="322">
        <f t="shared" si="4"/>
        <v>46.280397584002458</v>
      </c>
      <c r="T19" s="421">
        <f>+[4]정관!$E$19</f>
        <v>3.1586775135580267</v>
      </c>
      <c r="U19" s="420">
        <f>+[4]정관!$F$19</f>
        <v>3.6199060007595918</v>
      </c>
      <c r="V19" s="419">
        <f t="shared" si="5"/>
        <v>0.46122848720156506</v>
      </c>
    </row>
    <row r="20" spans="4:22" ht="24" customHeight="1" x14ac:dyDescent="0.3">
      <c r="D20" s="323" t="s">
        <v>25</v>
      </c>
      <c r="E20" s="321">
        <f>+[4]양산!$E$9</f>
        <v>271.06666666666666</v>
      </c>
      <c r="F20" s="320">
        <f>+[4]양산!$F$9</f>
        <v>277.91247273798996</v>
      </c>
      <c r="G20" s="322">
        <f t="shared" si="0"/>
        <v>6.8458060713232953</v>
      </c>
      <c r="H20" s="321">
        <f>+[4]양산!$E$15</f>
        <v>351.75</v>
      </c>
      <c r="I20" s="320">
        <f>+[4]양산!$F$15</f>
        <v>357.4757117595048</v>
      </c>
      <c r="J20" s="322">
        <f t="shared" si="1"/>
        <v>5.7257117595048044</v>
      </c>
      <c r="K20" s="424">
        <f>+([4]양산!$E$10*0.4+[4]양산!$E$11+[4]양산!$E$12+[4]양산!$E$13+[4]양산!$E$14)/[4]양산!$E$15</f>
        <v>0.22937692489931297</v>
      </c>
      <c r="L20" s="423">
        <f>+([4]양산!$F$10*0.4+[4]양산!$F$11+[4]양산!$F$12+[4]양산!$F$13+[4]양산!$F$14)/[4]양산!$F$15</f>
        <v>0.22256963593387236</v>
      </c>
      <c r="M20" s="422">
        <f t="shared" si="2"/>
        <v>-6.807288965440611E-3</v>
      </c>
      <c r="N20" s="321">
        <f>+[4]양산!$E$16</f>
        <v>781.41666666666663</v>
      </c>
      <c r="O20" s="320">
        <f>+[4]양산!$F$16</f>
        <v>751.7904509283818</v>
      </c>
      <c r="P20" s="322">
        <f t="shared" si="3"/>
        <v>-29.626215738284827</v>
      </c>
      <c r="Q20" s="321">
        <f>+[4]양산!$E$17</f>
        <v>895.43333333333339</v>
      </c>
      <c r="R20" s="320">
        <f>+[4]양산!$F$17</f>
        <v>886.99970527556741</v>
      </c>
      <c r="S20" s="322">
        <f t="shared" si="4"/>
        <v>-8.4336280577659863</v>
      </c>
      <c r="T20" s="421">
        <f>+[4]양산!$E$19</f>
        <v>3.0311666666666666</v>
      </c>
      <c r="U20" s="420">
        <f>+[4]양산!$F$19</f>
        <v>3.1716121426466253</v>
      </c>
      <c r="V20" s="419">
        <f t="shared" si="5"/>
        <v>0.14044547597995871</v>
      </c>
    </row>
    <row r="21" spans="4:22" ht="24" customHeight="1" x14ac:dyDescent="0.3">
      <c r="D21" s="323" t="s">
        <v>26</v>
      </c>
      <c r="E21" s="321">
        <f>+[4]창원!$E$9</f>
        <v>248.2</v>
      </c>
      <c r="F21" s="320">
        <f>+[4]창원!$F$9</f>
        <v>258.96184651261387</v>
      </c>
      <c r="G21" s="322">
        <f t="shared" si="0"/>
        <v>10.761846512613886</v>
      </c>
      <c r="H21" s="321">
        <f>+[4]창원!$E$15</f>
        <v>368.9799999999999</v>
      </c>
      <c r="I21" s="320">
        <f>+[4]창원!$F$15</f>
        <v>363.34716981132067</v>
      </c>
      <c r="J21" s="322">
        <f t="shared" si="1"/>
        <v>-5.632830188679236</v>
      </c>
      <c r="K21" s="424">
        <f>+([4]창원!$E$10*0.4+[4]창원!$E$11+[4]창원!$E$12+[4]창원!$E$13+[4]창원!$E$14)/[4]창원!$E$15</f>
        <v>0.24118380400021686</v>
      </c>
      <c r="L21" s="423">
        <f>+([4]창원!$F$10*0.4+[4]창원!$F$11+[4]창원!$F$12+[4]창원!$F$13+[4]창원!$F$14)/[4]창원!$F$15</f>
        <v>0.27252886764206691</v>
      </c>
      <c r="M21" s="422">
        <f t="shared" si="2"/>
        <v>3.1345063641850052E-2</v>
      </c>
      <c r="N21" s="321">
        <f>+[4]창원!$E$16</f>
        <v>832.2</v>
      </c>
      <c r="O21" s="320">
        <f>+[4]창원!$F$16</f>
        <v>821.63411066355718</v>
      </c>
      <c r="P21" s="322">
        <f t="shared" si="3"/>
        <v>-10.565889336442865</v>
      </c>
      <c r="Q21" s="321">
        <f>+[4]창원!$E$17</f>
        <v>871.19999999999993</v>
      </c>
      <c r="R21" s="320">
        <f>+[4]창원!$F$17</f>
        <v>863.39781640873412</v>
      </c>
      <c r="S21" s="322">
        <f t="shared" si="4"/>
        <v>-7.8021835912658162</v>
      </c>
      <c r="T21" s="421">
        <f>+[4]창원!$E$19</f>
        <v>3.0739999999999998</v>
      </c>
      <c r="U21" s="420">
        <f>+[4]창원!$F$19</f>
        <v>2.7238976044095828</v>
      </c>
      <c r="V21" s="419">
        <f t="shared" si="5"/>
        <v>-0.350102395590417</v>
      </c>
    </row>
    <row r="22" spans="4:22" ht="24" customHeight="1" x14ac:dyDescent="0.3">
      <c r="D22" s="323" t="s">
        <v>127</v>
      </c>
      <c r="E22" s="321">
        <f>+[4]대구!$E$9</f>
        <v>296.85393076923077</v>
      </c>
      <c r="F22" s="320">
        <f>+[4]대구!$F$9</f>
        <v>246.72912360573619</v>
      </c>
      <c r="G22" s="322">
        <f t="shared" si="0"/>
        <v>-50.12480716349458</v>
      </c>
      <c r="H22" s="321">
        <f>+[4]대구!$E$15</f>
        <v>340.59061538461538</v>
      </c>
      <c r="I22" s="320">
        <f>+[4]대구!$F$15</f>
        <v>346.91101752788506</v>
      </c>
      <c r="J22" s="322">
        <f t="shared" si="1"/>
        <v>6.3204021432696891</v>
      </c>
      <c r="K22" s="424">
        <f>+([4]대구!$E$10*0.4+[4]대구!$E$11+[4]대구!$E$12+[4]대구!$E$13+[4]대구!$E$14)/[4]대구!$E$15</f>
        <v>0.12841423879514274</v>
      </c>
      <c r="L22" s="423">
        <f>+([4]대구!$F$10*0.4+[4]대구!$F$11+[4]대구!$F$12+[4]대구!$F$13+[4]대구!$F$14)/[4]대구!$F$15</f>
        <v>0.27426634639126868</v>
      </c>
      <c r="M22" s="422">
        <f t="shared" si="2"/>
        <v>0.14585210759612594</v>
      </c>
      <c r="N22" s="321">
        <f>+[4]대구!$E$16</f>
        <v>714.78720848841647</v>
      </c>
      <c r="O22" s="320">
        <f>+[4]대구!$F$16</f>
        <v>738.29615297063526</v>
      </c>
      <c r="P22" s="322">
        <f t="shared" si="3"/>
        <v>23.508944482218794</v>
      </c>
      <c r="Q22" s="321">
        <f>+[4]대구!$E$17</f>
        <v>987.08709743638451</v>
      </c>
      <c r="R22" s="320">
        <f>+[4]대구!$F$17</f>
        <v>931.5604370589574</v>
      </c>
      <c r="S22" s="322">
        <f t="shared" si="4"/>
        <v>-55.526660377427106</v>
      </c>
      <c r="T22" s="421">
        <f>+[4]대구!$E$19</f>
        <v>3.0653155384615385</v>
      </c>
      <c r="U22" s="420">
        <f>+[4]대구!$F$19</f>
        <v>3.2078306396539933</v>
      </c>
      <c r="V22" s="419">
        <f t="shared" si="5"/>
        <v>0.14251510119245481</v>
      </c>
    </row>
    <row r="23" spans="4:22" ht="24" customHeight="1" x14ac:dyDescent="0.3">
      <c r="D23" s="323" t="s">
        <v>126</v>
      </c>
      <c r="E23" s="321">
        <f>+[4]울산!$E$9</f>
        <v>330.96909090909088</v>
      </c>
      <c r="F23" s="320">
        <f>+[4]울산!$F$9</f>
        <v>329.39854700854693</v>
      </c>
      <c r="G23" s="322">
        <f t="shared" si="0"/>
        <v>-1.570543900543953</v>
      </c>
      <c r="H23" s="321">
        <f>+[4]울산!$E$15</f>
        <v>385.72727272727269</v>
      </c>
      <c r="I23" s="320">
        <f>+[4]울산!$F$15</f>
        <v>421.45386092645344</v>
      </c>
      <c r="J23" s="322">
        <f t="shared" si="1"/>
        <v>35.726588199180753</v>
      </c>
      <c r="K23" s="424">
        <f>+([4]울산!$E$10*0.4+[4]울산!$E$11+[4]울산!$E$12+[4]울산!$E$13+[4]울산!$E$14)/[4]울산!$E$15</f>
        <v>0.14196087673815697</v>
      </c>
      <c r="L23" s="423">
        <f>+([4]울산!$F$10*0.4+[4]울산!$F$11+[4]울산!$F$12+[4]울산!$F$13+[4]울산!$F$14)/[4]울산!$F$15</f>
        <v>0.21842323075543207</v>
      </c>
      <c r="M23" s="422">
        <f t="shared" si="2"/>
        <v>7.6462354017275108E-2</v>
      </c>
      <c r="N23" s="321">
        <f>+[4]울산!$E$16</f>
        <v>774.80727272727268</v>
      </c>
      <c r="O23" s="320">
        <f>+[4]울산!$F$16</f>
        <v>755.04484541521583</v>
      </c>
      <c r="P23" s="322">
        <f t="shared" si="3"/>
        <v>-19.762427312056843</v>
      </c>
      <c r="Q23" s="321">
        <f>+[4]울산!$E$17</f>
        <v>873.71272727272742</v>
      </c>
      <c r="R23" s="320">
        <f>+[4]울산!$F$17</f>
        <v>871.73841933101198</v>
      </c>
      <c r="S23" s="322">
        <f t="shared" si="4"/>
        <v>-1.9743079417154377</v>
      </c>
      <c r="T23" s="421">
        <f>+[4]울산!$E$19</f>
        <v>3.3894545454545453</v>
      </c>
      <c r="U23" s="420">
        <f>+[4]울산!$F$19</f>
        <v>3.3375646301572233</v>
      </c>
      <c r="V23" s="419">
        <f t="shared" si="5"/>
        <v>-5.1889915297322009E-2</v>
      </c>
    </row>
    <row r="24" spans="4:22" ht="24" customHeight="1" x14ac:dyDescent="0.3">
      <c r="D24" s="378" t="s">
        <v>27</v>
      </c>
      <c r="E24" s="328">
        <f>+[4]아산!$E$9</f>
        <v>353.15325431261772</v>
      </c>
      <c r="F24" s="327">
        <f>+[4]아산!$F$9</f>
        <v>367.78162274356868</v>
      </c>
      <c r="G24" s="329">
        <f t="shared" si="0"/>
        <v>14.628368430950957</v>
      </c>
      <c r="H24" s="328">
        <f>+[4]아산!$E$15</f>
        <v>383.47711466029261</v>
      </c>
      <c r="I24" s="327">
        <f>+[4]아산!$F$15</f>
        <v>417.90409459714436</v>
      </c>
      <c r="J24" s="329">
        <f t="shared" si="1"/>
        <v>34.426979936851751</v>
      </c>
      <c r="K24" s="430">
        <f>+([4]아산!$E$10*0.4+[4]아산!$E$11+[4]아산!$E$12+[4]아산!$E$13+[4]아산!$E$14)/[4]아산!$E$15</f>
        <v>7.9076062660317165E-2</v>
      </c>
      <c r="L24" s="429">
        <f>+([4]아산!$F$10*0.4+[4]아산!$F$11+[4]아산!$F$12+[4]아산!$F$13+[4]아산!$F$14)/[4]아산!$F$15</f>
        <v>0.11993773811164325</v>
      </c>
      <c r="M24" s="428">
        <f t="shared" si="2"/>
        <v>4.0861675451326088E-2</v>
      </c>
      <c r="N24" s="328">
        <f>+[4]아산!$E$16</f>
        <v>860</v>
      </c>
      <c r="O24" s="327">
        <f>+[4]아산!$F$16</f>
        <v>807.82741052896381</v>
      </c>
      <c r="P24" s="329">
        <f t="shared" si="3"/>
        <v>-52.17258947103619</v>
      </c>
      <c r="Q24" s="328">
        <f>+[4]아산!$E$17</f>
        <v>893.57024999999987</v>
      </c>
      <c r="R24" s="327">
        <f>+[4]아산!$F$17</f>
        <v>932.91056041260413</v>
      </c>
      <c r="S24" s="329">
        <f t="shared" si="4"/>
        <v>39.340310412604254</v>
      </c>
      <c r="T24" s="427">
        <f>+[4]아산!$E$19</f>
        <v>3.0150999999999999</v>
      </c>
      <c r="U24" s="426">
        <f>+[4]아산!$F$19</f>
        <v>3.4848135102836664</v>
      </c>
      <c r="V24" s="425">
        <f t="shared" si="5"/>
        <v>0.46971351028366648</v>
      </c>
    </row>
    <row r="25" spans="4:22" ht="24" customHeight="1" x14ac:dyDescent="0.3">
      <c r="D25" s="323" t="s">
        <v>125</v>
      </c>
      <c r="E25" s="321">
        <f>+[4]전주!$E$9</f>
        <v>330.25333333333333</v>
      </c>
      <c r="F25" s="320">
        <f>+[4]전주!$F$9</f>
        <v>265.16362338241856</v>
      </c>
      <c r="G25" s="322">
        <f t="shared" si="0"/>
        <v>-65.089709950914767</v>
      </c>
      <c r="H25" s="321">
        <f>+[4]전주!$E$15</f>
        <v>361.34</v>
      </c>
      <c r="I25" s="320">
        <f>+[4]전주!$F$15</f>
        <v>351.73660270712475</v>
      </c>
      <c r="J25" s="322">
        <f t="shared" si="1"/>
        <v>-9.6033972928752291</v>
      </c>
      <c r="K25" s="424">
        <f>+([4]전주!$E$10*0.4+[4]전주!$E$11+[4]전주!$E$12+[4]전주!$E$13+[4]전주!$E$14)/[4]전주!$E$15</f>
        <v>7.2603826497666113E-2</v>
      </c>
      <c r="L25" s="423">
        <f>+([4]전주!$F$10*0.4+[4]전주!$F$11+[4]전주!$F$12+[4]전주!$F$13+[4]전주!$F$14)/[4]전주!$F$15</f>
        <v>0.15728099448748631</v>
      </c>
      <c r="M25" s="422">
        <f t="shared" si="2"/>
        <v>8.4677167989820196E-2</v>
      </c>
      <c r="N25" s="321">
        <f>+[4]전주!$E$16</f>
        <v>729.5</v>
      </c>
      <c r="O25" s="320">
        <f>+[4]전주!$F$16</f>
        <v>695.02603004611058</v>
      </c>
      <c r="P25" s="322">
        <f t="shared" si="3"/>
        <v>-34.473969953889423</v>
      </c>
      <c r="Q25" s="321">
        <f>+[4]전주!$E$17</f>
        <v>995.66666666666674</v>
      </c>
      <c r="R25" s="320">
        <f>+[4]전주!$F$17</f>
        <v>1030.0163617432693</v>
      </c>
      <c r="S25" s="322">
        <f t="shared" si="4"/>
        <v>34.349695076602529</v>
      </c>
      <c r="T25" s="421">
        <f>+[4]전주!$E$19</f>
        <v>2.83</v>
      </c>
      <c r="U25" s="420">
        <f>+[4]전주!$F$19</f>
        <v>2.2159526996876404</v>
      </c>
      <c r="V25" s="419">
        <f t="shared" si="5"/>
        <v>-0.61404730031235966</v>
      </c>
    </row>
    <row r="26" spans="4:22" ht="24" customHeight="1" x14ac:dyDescent="0.3">
      <c r="D26" s="323" t="s">
        <v>124</v>
      </c>
      <c r="E26" s="321">
        <f>+[4]군산!$E$9</f>
        <v>336.4</v>
      </c>
      <c r="F26" s="320">
        <f>+[4]군산!$F$9</f>
        <v>222.47145905707194</v>
      </c>
      <c r="G26" s="322">
        <f t="shared" si="0"/>
        <v>-113.92854094292804</v>
      </c>
      <c r="H26" s="321">
        <f>+[4]군산!$E$15</f>
        <v>374.53999999999996</v>
      </c>
      <c r="I26" s="320">
        <f>+[4]군산!$F$15</f>
        <v>347.46153846153845</v>
      </c>
      <c r="J26" s="322">
        <f t="shared" si="1"/>
        <v>-27.078461538461511</v>
      </c>
      <c r="K26" s="424">
        <f>+([4]군산!$E$10*0.4+[4]군산!$E$11+[4]군산!$E$12+[4]군산!$E$13+[4]군산!$E$14)/[4]군산!$E$15</f>
        <v>0.10183158007155445</v>
      </c>
      <c r="L26" s="423">
        <f>+([4]군산!$F$10*0.4+[4]군산!$F$11+[4]군산!$F$12+[4]군산!$F$13+[4]군산!$F$14)/[4]군산!$F$15</f>
        <v>0.28150372428174569</v>
      </c>
      <c r="M26" s="422">
        <f t="shared" si="2"/>
        <v>0.17967214421019123</v>
      </c>
      <c r="N26" s="321">
        <f>+[4]군산!$E$16</f>
        <v>858</v>
      </c>
      <c r="O26" s="320">
        <f>+[4]군산!$F$16</f>
        <v>877.0223325062035</v>
      </c>
      <c r="P26" s="322">
        <f t="shared" si="3"/>
        <v>19.022332506203497</v>
      </c>
      <c r="Q26" s="321">
        <f>+[4]군산!$E$17</f>
        <v>818</v>
      </c>
      <c r="R26" s="320">
        <f>+[4]군산!$F$17</f>
        <v>794.28535980148877</v>
      </c>
      <c r="S26" s="322">
        <f t="shared" si="4"/>
        <v>-23.714640198511233</v>
      </c>
      <c r="T26" s="421">
        <f>+[4]군산!$E$19</f>
        <v>2.8</v>
      </c>
      <c r="U26" s="420">
        <f>+[4]군산!$F$19</f>
        <v>2.6634987593052104</v>
      </c>
      <c r="V26" s="419">
        <f t="shared" si="5"/>
        <v>-0.13650124069478942</v>
      </c>
    </row>
    <row r="27" spans="4:22" ht="24" customHeight="1" x14ac:dyDescent="0.3">
      <c r="D27" s="323" t="s">
        <v>123</v>
      </c>
      <c r="E27" s="321">
        <f>+[4]원주!$E$9</f>
        <v>349.73333333333341</v>
      </c>
      <c r="F27" s="320">
        <f>+[4]원주!$F$9</f>
        <v>334.28204067796611</v>
      </c>
      <c r="G27" s="322">
        <f t="shared" si="0"/>
        <v>-15.451292655367297</v>
      </c>
      <c r="H27" s="321">
        <f>+[4]원주!$E$15</f>
        <v>363.86666666666673</v>
      </c>
      <c r="I27" s="320">
        <f>+[4]원주!$F$15</f>
        <v>424.29288813559322</v>
      </c>
      <c r="J27" s="322">
        <f t="shared" si="1"/>
        <v>60.426221468926485</v>
      </c>
      <c r="K27" s="424">
        <f>+([4]원주!$E$10*0.4+[4]원주!$E$11+[4]원주!$E$12+[4]원주!$E$13+[4]원주!$E$14)/[4]원주!$E$15</f>
        <v>3.8842066691095634E-2</v>
      </c>
      <c r="L27" s="423">
        <f>+([4]원주!$F$10*0.4+[4]원주!$F$11+[4]원주!$F$12+[4]원주!$F$13+[4]원주!$F$14)/[4]원주!$F$15</f>
        <v>0.21214319158906556</v>
      </c>
      <c r="M27" s="422">
        <f t="shared" si="2"/>
        <v>0.17330112489796992</v>
      </c>
      <c r="N27" s="321">
        <f>+[4]원주!$E$16</f>
        <v>866.5333333333333</v>
      </c>
      <c r="O27" s="320">
        <f>+[4]원주!$F$16</f>
        <v>862.69830508474615</v>
      </c>
      <c r="P27" s="322">
        <f t="shared" si="3"/>
        <v>-3.8350282485871503</v>
      </c>
      <c r="Q27" s="321">
        <f>+[4]원주!$E$17</f>
        <v>880.66666666666663</v>
      </c>
      <c r="R27" s="320">
        <f>+[4]원주!$F$17</f>
        <v>856.76949152542375</v>
      </c>
      <c r="S27" s="322">
        <f t="shared" si="4"/>
        <v>-23.897175141242883</v>
      </c>
      <c r="T27" s="421">
        <f>+[4]원주!$E$19</f>
        <v>2.9813333333333336</v>
      </c>
      <c r="U27" s="420">
        <f>+[4]원주!$F$19</f>
        <v>3.7118644067796609</v>
      </c>
      <c r="V27" s="419">
        <f t="shared" si="5"/>
        <v>0.73053107344632728</v>
      </c>
    </row>
    <row r="28" spans="4:22" ht="24" customHeight="1" x14ac:dyDescent="0.3">
      <c r="D28" s="318" t="s">
        <v>122</v>
      </c>
      <c r="E28" s="316">
        <f>+[4]제주!$E$9</f>
        <v>365.52</v>
      </c>
      <c r="F28" s="415">
        <f>+[4]제주!$F$9</f>
        <v>369.23475069681001</v>
      </c>
      <c r="G28" s="317">
        <f t="shared" si="0"/>
        <v>3.7147506968100288</v>
      </c>
      <c r="H28" s="316">
        <f>+[4]제주!$E$15</f>
        <v>365.52</v>
      </c>
      <c r="I28" s="415">
        <f>+[4]제주!$F$15</f>
        <v>372.3276556209351</v>
      </c>
      <c r="J28" s="317">
        <f t="shared" si="1"/>
        <v>6.8076556209351224</v>
      </c>
      <c r="K28" s="418">
        <f>+([4]제주!$E$10*0.4+[4]제주!$E$11+[4]제주!$E$12+[4]제주!$E$13+[4]제주!$E$14)/[4]제주!$E$15</f>
        <v>0</v>
      </c>
      <c r="L28" s="417">
        <f>+([4]제주!$F$10*0.4+[4]제주!$F$11+[4]제주!$F$12+[4]제주!$F$13+[4]제주!$F$14)/[4]제주!$F$15</f>
        <v>3.3227775347141959E-3</v>
      </c>
      <c r="M28" s="416">
        <f t="shared" si="2"/>
        <v>3.3227775347141959E-3</v>
      </c>
      <c r="N28" s="316">
        <f>+[4]제주!$E$16</f>
        <v>746.82</v>
      </c>
      <c r="O28" s="415">
        <f>+[4]제주!$F$16</f>
        <v>829.25054196345616</v>
      </c>
      <c r="P28" s="317">
        <f t="shared" si="3"/>
        <v>82.430541963456108</v>
      </c>
      <c r="Q28" s="316">
        <f>+[4]제주!$E$17</f>
        <v>987.06000000000006</v>
      </c>
      <c r="R28" s="415">
        <f>+[4]제주!$F$17</f>
        <v>914.79250541963449</v>
      </c>
      <c r="S28" s="317">
        <f t="shared" si="4"/>
        <v>-72.267494580365565</v>
      </c>
      <c r="T28" s="414">
        <f>+[4]제주!$E$19</f>
        <v>3.22</v>
      </c>
      <c r="U28" s="413">
        <f>+[4]제주!$F$19</f>
        <v>3.7817838340043348</v>
      </c>
      <c r="V28" s="412">
        <f t="shared" si="5"/>
        <v>0.56178383400433463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Q56"/>
  <sheetViews>
    <sheetView showGridLines="0" topLeftCell="A4" zoomScale="70" zoomScaleNormal="70" workbookViewId="0">
      <pane ySplit="6" topLeftCell="A10" activePane="bottomLeft" state="frozenSplit"/>
      <selection activeCell="D7" sqref="D7"/>
      <selection pane="bottomLeft" activeCell="D7" sqref="D7"/>
    </sheetView>
  </sheetViews>
  <sheetFormatPr defaultRowHeight="16.5" x14ac:dyDescent="0.3"/>
  <cols>
    <col min="1" max="3" width="5.625" style="4" customWidth="1"/>
    <col min="4" max="5" width="13" style="4" customWidth="1"/>
    <col min="6" max="15" width="15.75" style="4" customWidth="1"/>
    <col min="16" max="17" width="3.25" style="465" customWidth="1"/>
    <col min="18" max="16384" width="9" style="4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68" t="s">
        <v>194</v>
      </c>
      <c r="F6" s="368"/>
      <c r="G6" s="368"/>
      <c r="H6" s="368"/>
      <c r="I6" s="368"/>
      <c r="J6" s="368"/>
      <c r="K6" s="368"/>
      <c r="L6" s="368"/>
      <c r="M6" s="368"/>
    </row>
    <row r="7" spans="4:17" ht="21.95" customHeight="1" x14ac:dyDescent="0.3">
      <c r="D7" s="466"/>
      <c r="O7" s="367" t="s">
        <v>157</v>
      </c>
    </row>
    <row r="8" spans="4:17" ht="25.5" customHeight="1" x14ac:dyDescent="0.3">
      <c r="D8" s="694" t="s">
        <v>11</v>
      </c>
      <c r="E8" s="695"/>
      <c r="F8" s="557" t="s">
        <v>190</v>
      </c>
      <c r="G8" s="112"/>
      <c r="H8" s="112"/>
      <c r="I8" s="112"/>
      <c r="J8" s="112"/>
      <c r="K8" s="585" t="s">
        <v>191</v>
      </c>
      <c r="L8" s="112"/>
      <c r="M8" s="112"/>
      <c r="N8" s="112"/>
      <c r="O8" s="113"/>
      <c r="P8" s="467"/>
      <c r="Q8" s="467"/>
    </row>
    <row r="9" spans="4:17" ht="25.5" customHeight="1" x14ac:dyDescent="0.3">
      <c r="D9" s="696"/>
      <c r="E9" s="697"/>
      <c r="F9" s="558" t="s">
        <v>36</v>
      </c>
      <c r="G9" s="468" t="s">
        <v>37</v>
      </c>
      <c r="H9" s="469" t="s">
        <v>56</v>
      </c>
      <c r="I9" s="468" t="s">
        <v>39</v>
      </c>
      <c r="J9" s="469" t="s">
        <v>57</v>
      </c>
      <c r="K9" s="468" t="s">
        <v>36</v>
      </c>
      <c r="L9" s="469" t="s">
        <v>37</v>
      </c>
      <c r="M9" s="468" t="s">
        <v>56</v>
      </c>
      <c r="N9" s="468" t="s">
        <v>39</v>
      </c>
      <c r="O9" s="470" t="s">
        <v>57</v>
      </c>
      <c r="P9" s="467"/>
      <c r="Q9" s="467"/>
    </row>
    <row r="10" spans="4:17" ht="25.5" customHeight="1" x14ac:dyDescent="0.3">
      <c r="D10" s="471" t="s">
        <v>88</v>
      </c>
      <c r="E10" s="472" t="s">
        <v>68</v>
      </c>
      <c r="F10" s="559">
        <f>+IFERROR(HLOOKUP($F$8,[12]손익!$G$5:$AF$55,[12]손익!$D29,),)</f>
        <v>7000</v>
      </c>
      <c r="G10" s="473">
        <f>+'[13]2월'!$G$8</f>
        <v>4982.9359999999997</v>
      </c>
      <c r="H10" s="474">
        <f>+G10-F10</f>
        <v>-2017.0640000000003</v>
      </c>
      <c r="I10" s="473">
        <f>+'[14]2월'!$G$8</f>
        <v>9724.5229999999992</v>
      </c>
      <c r="J10" s="474">
        <f>+G10-I10</f>
        <v>-4741.5869999999995</v>
      </c>
      <c r="K10" s="473">
        <f>+IFERROR(HLOOKUP($K$8,[12]손익!$G$5:$AF$55,[12]손익!$D29,),)</f>
        <v>15000</v>
      </c>
      <c r="L10" s="474">
        <f>+'[13]2월'!$Q$8</f>
        <v>9952.7739999999994</v>
      </c>
      <c r="M10" s="473">
        <f>+L10-K10</f>
        <v>-5047.2260000000006</v>
      </c>
      <c r="N10" s="473">
        <f>+'[14]2월'!$Q$8</f>
        <v>18460.025000000001</v>
      </c>
      <c r="O10" s="560">
        <f>+L10-N10</f>
        <v>-8507.251000000002</v>
      </c>
      <c r="P10" s="475"/>
      <c r="Q10" s="475"/>
    </row>
    <row r="11" spans="4:17" ht="25.5" customHeight="1" x14ac:dyDescent="0.3">
      <c r="D11" s="476" t="s">
        <v>53</v>
      </c>
      <c r="E11" s="477" t="s">
        <v>158</v>
      </c>
      <c r="F11" s="561">
        <f>+IFERROR(HLOOKUP($F$8,[12]손익!$G$5:$AF$55,[12]손익!$D30,),)</f>
        <v>742142.85714285716</v>
      </c>
      <c r="G11" s="478">
        <f>+G12/G10*1000</f>
        <v>790996.73064233619</v>
      </c>
      <c r="H11" s="479">
        <f t="shared" ref="H11:H35" si="0">+G11-F11</f>
        <v>48853.873499479028</v>
      </c>
      <c r="I11" s="478">
        <f>+I12/I10*1000</f>
        <v>744684.72993482568</v>
      </c>
      <c r="J11" s="479">
        <f t="shared" ref="J11:J35" si="1">+G11-I11</f>
        <v>46312.00070751051</v>
      </c>
      <c r="K11" s="478">
        <f>+IFERROR(HLOOKUP($K$8,[12]손익!$G$5:$AF$55,[12]손익!$D30,),)</f>
        <v>742733.33333333337</v>
      </c>
      <c r="L11" s="479">
        <f>+L12/L10*1000</f>
        <v>793895.1366724493</v>
      </c>
      <c r="M11" s="478">
        <f t="shared" ref="M11:M35" si="2">+L11-K11</f>
        <v>51161.803339115926</v>
      </c>
      <c r="N11" s="478">
        <f>+N12/N10*1000</f>
        <v>750238.00374051498</v>
      </c>
      <c r="O11" s="562">
        <f t="shared" ref="O11:O35" si="3">+L11-N11</f>
        <v>43657.13293193432</v>
      </c>
      <c r="P11" s="475"/>
      <c r="Q11" s="475"/>
    </row>
    <row r="12" spans="4:17" ht="25.5" customHeight="1" x14ac:dyDescent="0.3">
      <c r="D12" s="480" t="s">
        <v>159</v>
      </c>
      <c r="E12" s="481" t="s">
        <v>158</v>
      </c>
      <c r="F12" s="563">
        <f>+IFERROR(HLOOKUP($F$8,[12]손익!$G$5:$AF$55,[12]손익!$D31,),)</f>
        <v>5195000</v>
      </c>
      <c r="G12" s="482">
        <f>+'[13]2월'!$G$9</f>
        <v>3941486.085</v>
      </c>
      <c r="H12" s="483">
        <f t="shared" si="0"/>
        <v>-1253513.915</v>
      </c>
      <c r="I12" s="482">
        <f>+'[14]2월'!$G$9</f>
        <v>7241703.784</v>
      </c>
      <c r="J12" s="483">
        <f t="shared" si="1"/>
        <v>-3300217.699</v>
      </c>
      <c r="K12" s="482">
        <f>+IFERROR(HLOOKUP($K$8,[12]손익!$G$5:$AF$55,[12]손익!$D31,),)</f>
        <v>11141000</v>
      </c>
      <c r="L12" s="483">
        <f>+'[13]2월'!$Q$9</f>
        <v>7901458.875</v>
      </c>
      <c r="M12" s="482">
        <f t="shared" si="2"/>
        <v>-3239541.125</v>
      </c>
      <c r="N12" s="482">
        <f>+'[14]2월'!$Q$9</f>
        <v>13849412.305</v>
      </c>
      <c r="O12" s="564">
        <f t="shared" si="3"/>
        <v>-5947953.4299999997</v>
      </c>
      <c r="P12" s="475"/>
      <c r="Q12" s="475"/>
    </row>
    <row r="13" spans="4:17" ht="25.5" customHeight="1" x14ac:dyDescent="0.3">
      <c r="D13" s="480"/>
      <c r="E13" s="484" t="s">
        <v>160</v>
      </c>
      <c r="F13" s="565">
        <f>+IFERROR(HLOOKUP($F$8,[12]손익!$G$5:$AF$55,[12]손익!$D32,),)</f>
        <v>1529612.3420000011</v>
      </c>
      <c r="G13" s="485">
        <f>+'[13]2월'!$J$9</f>
        <v>935217.02199999988</v>
      </c>
      <c r="H13" s="486">
        <f t="shared" si="0"/>
        <v>-594395.32000000123</v>
      </c>
      <c r="I13" s="485">
        <f>+'[14]2월'!$J$9</f>
        <v>1035291.3360000001</v>
      </c>
      <c r="J13" s="486">
        <f t="shared" si="1"/>
        <v>-100074.31400000025</v>
      </c>
      <c r="K13" s="485">
        <f>+IFERROR(HLOOKUP($K$8,[12]손익!$G$5:$AF$55,[12]손익!$D32,),)</f>
        <v>3248455.7800000021</v>
      </c>
      <c r="L13" s="486">
        <f>+'[13]2월'!$T$9</f>
        <v>2075130.9759999998</v>
      </c>
      <c r="M13" s="485">
        <f t="shared" si="2"/>
        <v>-1173324.8040000023</v>
      </c>
      <c r="N13" s="485">
        <f>+'[14]2월'!$T$9</f>
        <v>1907702.4990000008</v>
      </c>
      <c r="O13" s="566">
        <f t="shared" si="3"/>
        <v>167428.47699999902</v>
      </c>
      <c r="P13" s="475"/>
      <c r="Q13" s="475"/>
    </row>
    <row r="14" spans="4:17" ht="25.5" customHeight="1" x14ac:dyDescent="0.3">
      <c r="D14" s="480"/>
      <c r="E14" s="487" t="s">
        <v>161</v>
      </c>
      <c r="F14" s="156">
        <f>SUM(F12:F13)</f>
        <v>6724612.3420000011</v>
      </c>
      <c r="G14" s="488">
        <f>SUM(G12:G13)</f>
        <v>4876703.1069999998</v>
      </c>
      <c r="H14" s="157">
        <f t="shared" si="0"/>
        <v>-1847909.2350000013</v>
      </c>
      <c r="I14" s="488">
        <f>SUM(I12:I13)</f>
        <v>8276995.1200000001</v>
      </c>
      <c r="J14" s="157">
        <f t="shared" si="1"/>
        <v>-3400292.0130000003</v>
      </c>
      <c r="K14" s="488">
        <f>SUM(K12:K13)</f>
        <v>14389455.780000001</v>
      </c>
      <c r="L14" s="157">
        <f>SUM(L12:L13)</f>
        <v>9976589.8509999998</v>
      </c>
      <c r="M14" s="488">
        <f t="shared" si="2"/>
        <v>-4412865.9290000014</v>
      </c>
      <c r="N14" s="488">
        <f>SUM(N12:N13)</f>
        <v>15757114.804000001</v>
      </c>
      <c r="O14" s="158">
        <f t="shared" si="3"/>
        <v>-5780524.9530000016</v>
      </c>
      <c r="P14" s="475"/>
      <c r="Q14" s="475"/>
    </row>
    <row r="15" spans="4:17" ht="25.5" customHeight="1" x14ac:dyDescent="0.3">
      <c r="D15" s="471" t="s">
        <v>5</v>
      </c>
      <c r="E15" s="472" t="s">
        <v>158</v>
      </c>
      <c r="F15" s="559">
        <f>+IFERROR(HLOOKUP($F$8,[12]손익!$G$5:$AF$55,[12]손익!$D34,),)</f>
        <v>5121500</v>
      </c>
      <c r="G15" s="473">
        <f>+'[13]2월'!$G$11</f>
        <v>3840070.5180000002</v>
      </c>
      <c r="H15" s="474">
        <f t="shared" si="0"/>
        <v>-1281429.4819999998</v>
      </c>
      <c r="I15" s="473">
        <f>+'[14]2월'!$G$11</f>
        <v>7128840.7779999999</v>
      </c>
      <c r="J15" s="474">
        <f t="shared" si="1"/>
        <v>-3288770.26</v>
      </c>
      <c r="K15" s="473">
        <f>+IFERROR(HLOOKUP($K$8,[12]손익!$G$5:$AF$55,[12]손익!$D34,),)</f>
        <v>10969700</v>
      </c>
      <c r="L15" s="474">
        <f>+'[13]2월'!$Q$11</f>
        <v>7718382.267</v>
      </c>
      <c r="M15" s="473">
        <f t="shared" si="2"/>
        <v>-3251317.733</v>
      </c>
      <c r="N15" s="473">
        <f>+'[14]2월'!$Q$11</f>
        <v>13619413.033</v>
      </c>
      <c r="O15" s="560">
        <f t="shared" si="3"/>
        <v>-5901030.7659999998</v>
      </c>
      <c r="P15" s="475"/>
      <c r="Q15" s="475"/>
    </row>
    <row r="16" spans="4:17" ht="25.5" customHeight="1" x14ac:dyDescent="0.3">
      <c r="D16" s="480"/>
      <c r="E16" s="484" t="s">
        <v>160</v>
      </c>
      <c r="F16" s="565">
        <f>+IFERROR(HLOOKUP($F$8,[12]손익!$G$5:$AF$55,[12]손익!$D35,),)</f>
        <v>1465518.6040000003</v>
      </c>
      <c r="G16" s="485">
        <f>+'[13]2월'!$J$11</f>
        <v>895941.35400000028</v>
      </c>
      <c r="H16" s="486">
        <f t="shared" si="0"/>
        <v>-569577.25</v>
      </c>
      <c r="I16" s="485">
        <f>+'[14]2월'!$J$11</f>
        <v>998493.29900000058</v>
      </c>
      <c r="J16" s="486">
        <f t="shared" si="1"/>
        <v>-102551.9450000003</v>
      </c>
      <c r="K16" s="485">
        <f>+IFERROR(HLOOKUP($K$8,[12]손익!$G$5:$AF$55,[12]손익!$D35,),)</f>
        <v>3114363.6600000011</v>
      </c>
      <c r="L16" s="486">
        <f>+'[13]2월'!$T$11</f>
        <v>1989586.2710000006</v>
      </c>
      <c r="M16" s="485">
        <f t="shared" si="2"/>
        <v>-1124777.3890000004</v>
      </c>
      <c r="N16" s="485">
        <f>+'[14]2월'!$T$11</f>
        <v>1842130.2360000014</v>
      </c>
      <c r="O16" s="566">
        <f t="shared" si="3"/>
        <v>147456.03499999922</v>
      </c>
      <c r="P16" s="475"/>
      <c r="Q16" s="475"/>
    </row>
    <row r="17" spans="4:17" ht="25.5" customHeight="1" x14ac:dyDescent="0.3">
      <c r="D17" s="476"/>
      <c r="E17" s="489" t="s">
        <v>162</v>
      </c>
      <c r="F17" s="567">
        <f>SUM(F15:F16)</f>
        <v>6587018.6040000003</v>
      </c>
      <c r="G17" s="490">
        <f>SUM(G15:G16)</f>
        <v>4736011.8720000004</v>
      </c>
      <c r="H17" s="491">
        <f t="shared" si="0"/>
        <v>-1851006.7319999998</v>
      </c>
      <c r="I17" s="490">
        <f>SUM(I15:I16)</f>
        <v>8127334.0770000005</v>
      </c>
      <c r="J17" s="491">
        <f t="shared" si="1"/>
        <v>-3391322.2050000001</v>
      </c>
      <c r="K17" s="490">
        <f>SUM(K15:K16)</f>
        <v>14084063.66</v>
      </c>
      <c r="L17" s="491">
        <f>SUM(L15:L16)</f>
        <v>9707968.5380000006</v>
      </c>
      <c r="M17" s="490">
        <f t="shared" si="2"/>
        <v>-4376095.1219999995</v>
      </c>
      <c r="N17" s="490">
        <f>SUM(N15:N16)</f>
        <v>15461543.269000001</v>
      </c>
      <c r="O17" s="568">
        <f t="shared" si="3"/>
        <v>-5753574.7310000006</v>
      </c>
      <c r="P17" s="475"/>
      <c r="Q17" s="475"/>
    </row>
    <row r="18" spans="4:17" ht="25.5" customHeight="1" x14ac:dyDescent="0.3">
      <c r="D18" s="480" t="s">
        <v>15</v>
      </c>
      <c r="E18" s="481" t="s">
        <v>158</v>
      </c>
      <c r="F18" s="563">
        <f>+F12-F15</f>
        <v>73500</v>
      </c>
      <c r="G18" s="482">
        <f>+G12-G15</f>
        <v>101415.56699999981</v>
      </c>
      <c r="H18" s="483">
        <f t="shared" si="0"/>
        <v>27915.566999999806</v>
      </c>
      <c r="I18" s="482">
        <f>+I12-I15</f>
        <v>112863.00600000005</v>
      </c>
      <c r="J18" s="483">
        <f t="shared" si="1"/>
        <v>-11447.439000000246</v>
      </c>
      <c r="K18" s="482">
        <f>+K12-K15</f>
        <v>171300</v>
      </c>
      <c r="L18" s="483">
        <f>+L12-L15</f>
        <v>183076.60800000001</v>
      </c>
      <c r="M18" s="482">
        <f t="shared" si="2"/>
        <v>11776.608000000007</v>
      </c>
      <c r="N18" s="482">
        <f>+N12-N15</f>
        <v>229999.27199999988</v>
      </c>
      <c r="O18" s="564">
        <f t="shared" si="3"/>
        <v>-46922.663999999873</v>
      </c>
      <c r="P18" s="475"/>
      <c r="Q18" s="475"/>
    </row>
    <row r="19" spans="4:17" ht="25.5" customHeight="1" x14ac:dyDescent="0.3">
      <c r="D19" s="480"/>
      <c r="E19" s="492" t="s">
        <v>9</v>
      </c>
      <c r="F19" s="569">
        <f>+F18/F12</f>
        <v>1.4148219441770934E-2</v>
      </c>
      <c r="G19" s="493">
        <f>+G18/G12</f>
        <v>2.5730286702255301E-2</v>
      </c>
      <c r="H19" s="494">
        <f t="shared" si="0"/>
        <v>1.1582067260484366E-2</v>
      </c>
      <c r="I19" s="493">
        <f>+I18/I12</f>
        <v>1.5585145342365754E-2</v>
      </c>
      <c r="J19" s="494">
        <f t="shared" si="1"/>
        <v>1.0145141359889547E-2</v>
      </c>
      <c r="K19" s="493">
        <f>IFERROR(K18/K12,)</f>
        <v>1.5375639529665201E-2</v>
      </c>
      <c r="L19" s="494">
        <f>+L18/L12</f>
        <v>2.3169975430644762E-2</v>
      </c>
      <c r="M19" s="493">
        <f t="shared" si="2"/>
        <v>7.7943359009795612E-3</v>
      </c>
      <c r="N19" s="493">
        <f>+N18/N12</f>
        <v>1.6607150320520396E-2</v>
      </c>
      <c r="O19" s="570">
        <f t="shared" si="3"/>
        <v>6.5628251101243658E-3</v>
      </c>
      <c r="P19" s="475"/>
      <c r="Q19" s="475"/>
    </row>
    <row r="20" spans="4:17" ht="25.5" customHeight="1" x14ac:dyDescent="0.3">
      <c r="D20" s="480"/>
      <c r="E20" s="495" t="s">
        <v>160</v>
      </c>
      <c r="F20" s="156">
        <f>+F13-F16</f>
        <v>64093.738000000827</v>
      </c>
      <c r="G20" s="488">
        <f>+G13-G16</f>
        <v>39275.667999999598</v>
      </c>
      <c r="H20" s="157">
        <f t="shared" si="0"/>
        <v>-24818.070000001229</v>
      </c>
      <c r="I20" s="488">
        <f>+I13-I16</f>
        <v>36798.036999999546</v>
      </c>
      <c r="J20" s="157">
        <f t="shared" si="1"/>
        <v>2477.6310000000522</v>
      </c>
      <c r="K20" s="488">
        <f>+K13-K16</f>
        <v>134092.12000000104</v>
      </c>
      <c r="L20" s="157">
        <f>+L13-L16</f>
        <v>85544.704999999143</v>
      </c>
      <c r="M20" s="488">
        <f t="shared" si="2"/>
        <v>-48547.4150000019</v>
      </c>
      <c r="N20" s="488">
        <f>+N13-N16</f>
        <v>65572.262999999337</v>
      </c>
      <c r="O20" s="158">
        <f t="shared" si="3"/>
        <v>19972.441999999806</v>
      </c>
      <c r="P20" s="475"/>
      <c r="Q20" s="475"/>
    </row>
    <row r="21" spans="4:17" ht="25.5" customHeight="1" x14ac:dyDescent="0.3">
      <c r="D21" s="480"/>
      <c r="E21" s="496" t="s">
        <v>9</v>
      </c>
      <c r="F21" s="571">
        <f>+F20/F13</f>
        <v>4.1901948774940509E-2</v>
      </c>
      <c r="G21" s="497">
        <f>+G20/G13</f>
        <v>4.1996314305750099E-2</v>
      </c>
      <c r="H21" s="498">
        <f t="shared" si="0"/>
        <v>9.4365530809589759E-5</v>
      </c>
      <c r="I21" s="497">
        <f>+I20/I13</f>
        <v>3.5543653965244372E-2</v>
      </c>
      <c r="J21" s="498">
        <f t="shared" si="1"/>
        <v>6.4526603405057267E-3</v>
      </c>
      <c r="K21" s="497">
        <f>IFERROR(K20/K13,)</f>
        <v>4.1278727211118436E-2</v>
      </c>
      <c r="L21" s="498">
        <f>+L20/L13</f>
        <v>4.1223761771844496E-2</v>
      </c>
      <c r="M21" s="497">
        <f t="shared" si="2"/>
        <v>-5.4965439273940708E-5</v>
      </c>
      <c r="N21" s="497">
        <f>+N20/N13</f>
        <v>3.4372373593037533E-2</v>
      </c>
      <c r="O21" s="572">
        <f t="shared" si="3"/>
        <v>6.8513881788069622E-3</v>
      </c>
      <c r="P21" s="475"/>
      <c r="Q21" s="475"/>
    </row>
    <row r="22" spans="4:17" ht="25.5" customHeight="1" x14ac:dyDescent="0.3">
      <c r="D22" s="480"/>
      <c r="E22" s="487" t="s">
        <v>161</v>
      </c>
      <c r="F22" s="156">
        <f>SUM(F18,F20)</f>
        <v>137593.73800000083</v>
      </c>
      <c r="G22" s="488">
        <f>SUM(G18,G20)</f>
        <v>140691.2349999994</v>
      </c>
      <c r="H22" s="157">
        <f t="shared" si="0"/>
        <v>3097.4969999985769</v>
      </c>
      <c r="I22" s="488">
        <f>SUM(I18,I20)</f>
        <v>149661.0429999996</v>
      </c>
      <c r="J22" s="157">
        <f t="shared" si="1"/>
        <v>-8969.8080000001937</v>
      </c>
      <c r="K22" s="488">
        <f>SUM(K18,K20)</f>
        <v>305392.12000000104</v>
      </c>
      <c r="L22" s="157">
        <f>SUM(L18,L20)</f>
        <v>268621.31299999915</v>
      </c>
      <c r="M22" s="488">
        <f t="shared" si="2"/>
        <v>-36770.807000001892</v>
      </c>
      <c r="N22" s="488">
        <f>SUM(N18,N20)</f>
        <v>295571.53499999922</v>
      </c>
      <c r="O22" s="158">
        <f t="shared" si="3"/>
        <v>-26950.222000000067</v>
      </c>
      <c r="P22" s="475"/>
      <c r="Q22" s="475"/>
    </row>
    <row r="23" spans="4:17" ht="25.5" customHeight="1" x14ac:dyDescent="0.3">
      <c r="D23" s="480"/>
      <c r="E23" s="499" t="s">
        <v>9</v>
      </c>
      <c r="F23" s="569">
        <f>+F22/F14</f>
        <v>2.046121486299363E-2</v>
      </c>
      <c r="G23" s="493">
        <f>+G22/G14</f>
        <v>2.8849661731109234E-2</v>
      </c>
      <c r="H23" s="494">
        <f t="shared" si="0"/>
        <v>8.3884468681156045E-3</v>
      </c>
      <c r="I23" s="493">
        <f>+I22/I14</f>
        <v>1.8081567142448622E-2</v>
      </c>
      <c r="J23" s="494">
        <f t="shared" si="1"/>
        <v>1.0768094588660612E-2</v>
      </c>
      <c r="K23" s="493">
        <f>IFERROR(K22/K14,)</f>
        <v>2.122332662674203E-2</v>
      </c>
      <c r="L23" s="494">
        <f>+L22/L14</f>
        <v>2.6925163508959325E-2</v>
      </c>
      <c r="M23" s="493">
        <f t="shared" si="2"/>
        <v>5.7018368822172941E-3</v>
      </c>
      <c r="N23" s="493">
        <f>+N22/N14</f>
        <v>1.8757973060205622E-2</v>
      </c>
      <c r="O23" s="570">
        <f t="shared" si="3"/>
        <v>8.1671904487537021E-3</v>
      </c>
      <c r="P23" s="475"/>
      <c r="Q23" s="475"/>
    </row>
    <row r="24" spans="4:17" ht="25.5" customHeight="1" x14ac:dyDescent="0.3">
      <c r="D24" s="471" t="s">
        <v>163</v>
      </c>
      <c r="E24" s="472" t="s">
        <v>164</v>
      </c>
      <c r="F24" s="559">
        <f>+IFERROR(HLOOKUP($F$8,[12]손익!$G$5:$AF$55,[12]손익!$D15,),)</f>
        <v>93613.635999999984</v>
      </c>
      <c r="G24" s="473">
        <f>+'[13]2월'!$M$19</f>
        <v>118274.91600000001</v>
      </c>
      <c r="H24" s="474">
        <f t="shared" si="0"/>
        <v>24661.280000000028</v>
      </c>
      <c r="I24" s="473">
        <f>+'[14]2월'!$M$19</f>
        <v>94794.214999999997</v>
      </c>
      <c r="J24" s="474">
        <f t="shared" si="1"/>
        <v>23480.701000000015</v>
      </c>
      <c r="K24" s="473">
        <f>+IFERROR(HLOOKUP($K$8,[12]손익!$G$5:$AF$55,[12]손익!$D15,),)</f>
        <v>187227.27199999997</v>
      </c>
      <c r="L24" s="474">
        <f>+'[13]2월'!$W$19</f>
        <v>210435.98199999999</v>
      </c>
      <c r="M24" s="473">
        <f t="shared" si="2"/>
        <v>23208.710000000021</v>
      </c>
      <c r="N24" s="473">
        <f>+'[14]2월'!$W$19</f>
        <v>190177.24</v>
      </c>
      <c r="O24" s="560">
        <f t="shared" si="3"/>
        <v>20258.741999999998</v>
      </c>
      <c r="P24" s="475"/>
      <c r="Q24" s="475"/>
    </row>
    <row r="25" spans="4:17" ht="25.5" customHeight="1" x14ac:dyDescent="0.3">
      <c r="D25" s="480"/>
      <c r="E25" s="484" t="s">
        <v>165</v>
      </c>
      <c r="F25" s="565">
        <f>+IFERROR(HLOOKUP($F$8,[12]손익!$G$5:$AF$55,[12]손익!$D16,),)</f>
        <v>44225.3</v>
      </c>
      <c r="G25" s="485">
        <f>+'[13]2월'!$M$37</f>
        <v>39900.266000000003</v>
      </c>
      <c r="H25" s="486">
        <f t="shared" si="0"/>
        <v>-4325.0339999999997</v>
      </c>
      <c r="I25" s="485">
        <f>+'[14]2월'!$M$37</f>
        <v>38210.773999999998</v>
      </c>
      <c r="J25" s="486">
        <f t="shared" si="1"/>
        <v>1689.4920000000056</v>
      </c>
      <c r="K25" s="485">
        <f>+IFERROR(HLOOKUP($K$8,[12]손익!$G$5:$AF$55,[12]손익!$D16,),)</f>
        <v>112729.59</v>
      </c>
      <c r="L25" s="486">
        <f>+'[13]2월'!$W$37</f>
        <v>75967.433999999994</v>
      </c>
      <c r="M25" s="485">
        <f t="shared" si="2"/>
        <v>-36762.156000000003</v>
      </c>
      <c r="N25" s="485">
        <f>+'[14]2월'!$W$37</f>
        <v>81246.646000000008</v>
      </c>
      <c r="O25" s="566">
        <f t="shared" si="3"/>
        <v>-5279.2120000000141</v>
      </c>
      <c r="P25" s="475"/>
      <c r="Q25" s="475"/>
    </row>
    <row r="26" spans="4:17" ht="25.5" customHeight="1" x14ac:dyDescent="0.3">
      <c r="D26" s="476"/>
      <c r="E26" s="489" t="s">
        <v>161</v>
      </c>
      <c r="F26" s="567">
        <f>SUM(F24:F25)</f>
        <v>137838.93599999999</v>
      </c>
      <c r="G26" s="490">
        <f>SUM(G24:G25)</f>
        <v>158175.18200000003</v>
      </c>
      <c r="H26" s="491">
        <f t="shared" si="0"/>
        <v>20336.246000000043</v>
      </c>
      <c r="I26" s="490">
        <f>SUM(I24:I25)</f>
        <v>133004.989</v>
      </c>
      <c r="J26" s="491">
        <f t="shared" si="1"/>
        <v>25170.193000000028</v>
      </c>
      <c r="K26" s="490">
        <f>SUM(K24:K25)</f>
        <v>299956.86199999996</v>
      </c>
      <c r="L26" s="491">
        <f>SUM(L24:L25)</f>
        <v>286403.41599999997</v>
      </c>
      <c r="M26" s="490">
        <f t="shared" si="2"/>
        <v>-13553.445999999996</v>
      </c>
      <c r="N26" s="490">
        <f>SUM(N24:N25)</f>
        <v>271423.886</v>
      </c>
      <c r="O26" s="568">
        <f t="shared" si="3"/>
        <v>14979.52999999997</v>
      </c>
      <c r="P26" s="475"/>
      <c r="Q26" s="475"/>
    </row>
    <row r="27" spans="4:17" ht="25.5" customHeight="1" x14ac:dyDescent="0.3">
      <c r="D27" s="549" t="s">
        <v>174</v>
      </c>
      <c r="E27" s="554"/>
      <c r="F27" s="573">
        <f>+F22-F26</f>
        <v>-245.19799999915995</v>
      </c>
      <c r="G27" s="577">
        <f>+G22-G26</f>
        <v>-17483.947000000626</v>
      </c>
      <c r="H27" s="581">
        <f t="shared" si="0"/>
        <v>-17238.749000001466</v>
      </c>
      <c r="I27" s="577">
        <f>+I22-I26</f>
        <v>16656.053999999596</v>
      </c>
      <c r="J27" s="581">
        <f t="shared" si="1"/>
        <v>-34140.001000000222</v>
      </c>
      <c r="K27" s="577">
        <f>+K22-K26</f>
        <v>5435.2580000010785</v>
      </c>
      <c r="L27" s="581">
        <f>+L22-L26</f>
        <v>-17782.103000000818</v>
      </c>
      <c r="M27" s="577">
        <f t="shared" si="2"/>
        <v>-23217.361000001896</v>
      </c>
      <c r="N27" s="577">
        <f>+N22-N26</f>
        <v>24147.648999999219</v>
      </c>
      <c r="O27" s="586">
        <f t="shared" si="3"/>
        <v>-41929.752000000037</v>
      </c>
      <c r="P27" s="475"/>
      <c r="Q27" s="475"/>
    </row>
    <row r="28" spans="4:17" ht="25.5" customHeight="1" x14ac:dyDescent="0.3">
      <c r="D28" s="551"/>
      <c r="E28" s="555" t="s">
        <v>10</v>
      </c>
      <c r="F28" s="574">
        <f>+F27/F14</f>
        <v>-3.6462771016215097E-5</v>
      </c>
      <c r="G28" s="578">
        <f>+G27/G14</f>
        <v>-3.5851981587528342E-3</v>
      </c>
      <c r="H28" s="582">
        <f t="shared" si="0"/>
        <v>-3.5487353877366192E-3</v>
      </c>
      <c r="I28" s="578">
        <f>+I27/I14</f>
        <v>2.0123310160897615E-3</v>
      </c>
      <c r="J28" s="582">
        <f t="shared" si="1"/>
        <v>-5.5975291748425957E-3</v>
      </c>
      <c r="K28" s="578">
        <f>IFERROR(K27/K14,)</f>
        <v>3.7772505667348305E-4</v>
      </c>
      <c r="L28" s="582">
        <f>+L27/L14</f>
        <v>-1.7823828848911169E-3</v>
      </c>
      <c r="M28" s="578">
        <f t="shared" si="2"/>
        <v>-2.1601079415645998E-3</v>
      </c>
      <c r="N28" s="578">
        <f>+N27/N14</f>
        <v>1.5324917854802485E-3</v>
      </c>
      <c r="O28" s="587">
        <f t="shared" si="3"/>
        <v>-3.3148746703713654E-3</v>
      </c>
      <c r="P28" s="475"/>
      <c r="Q28" s="475"/>
    </row>
    <row r="29" spans="4:17" ht="25.5" customHeight="1" x14ac:dyDescent="0.3">
      <c r="D29" s="549" t="s">
        <v>175</v>
      </c>
      <c r="E29" s="554"/>
      <c r="F29" s="573">
        <f>+IFERROR(HLOOKUP($F$8,[12]손익!$G$5:$AF$55,[12]손익!$D19,),)</f>
        <v>5186.2629999999999</v>
      </c>
      <c r="G29" s="577">
        <f>+'[13]2월'!$M$40</f>
        <v>4725.1729999999998</v>
      </c>
      <c r="H29" s="581">
        <f t="shared" si="0"/>
        <v>-461.09000000000015</v>
      </c>
      <c r="I29" s="577">
        <f>+'[14]2월'!$M$40</f>
        <v>5794.3410000000003</v>
      </c>
      <c r="J29" s="581">
        <f t="shared" si="1"/>
        <v>-1069.1680000000006</v>
      </c>
      <c r="K29" s="577">
        <f>+IFERROR(HLOOKUP($K$8,[12]손익!$G$5:$AF$55,[12]손익!$D19,),)</f>
        <v>10372.526</v>
      </c>
      <c r="L29" s="581">
        <f>+'[13]2월'!$W$40</f>
        <v>9463.6990000000005</v>
      </c>
      <c r="M29" s="577">
        <f t="shared" si="2"/>
        <v>-908.82699999999932</v>
      </c>
      <c r="N29" s="577">
        <f>+'[14]2월'!$W$40</f>
        <v>11588.687</v>
      </c>
      <c r="O29" s="586">
        <f t="shared" si="3"/>
        <v>-2124.9879999999994</v>
      </c>
      <c r="P29" s="475"/>
      <c r="Q29" s="475"/>
    </row>
    <row r="30" spans="4:17" ht="25.5" customHeight="1" x14ac:dyDescent="0.3">
      <c r="D30" s="551"/>
      <c r="E30" s="556" t="s">
        <v>176</v>
      </c>
      <c r="F30" s="575">
        <f>+F29</f>
        <v>5186.2629999999999</v>
      </c>
      <c r="G30" s="579">
        <f>+G29</f>
        <v>4725.1729999999998</v>
      </c>
      <c r="H30" s="583">
        <f t="shared" si="0"/>
        <v>-461.09000000000015</v>
      </c>
      <c r="I30" s="579">
        <f>+I29</f>
        <v>5794.3410000000003</v>
      </c>
      <c r="J30" s="583">
        <f t="shared" si="1"/>
        <v>-1069.1680000000006</v>
      </c>
      <c r="K30" s="579">
        <f>+K29</f>
        <v>10372.526</v>
      </c>
      <c r="L30" s="583">
        <f>+L29</f>
        <v>9463.6990000000005</v>
      </c>
      <c r="M30" s="579">
        <f t="shared" si="2"/>
        <v>-908.82699999999932</v>
      </c>
      <c r="N30" s="579">
        <f>+N29</f>
        <v>11588.687</v>
      </c>
      <c r="O30" s="588">
        <f t="shared" si="3"/>
        <v>-2124.9879999999994</v>
      </c>
      <c r="P30" s="475"/>
      <c r="Q30" s="475"/>
    </row>
    <row r="31" spans="4:17" ht="25.5" customHeight="1" x14ac:dyDescent="0.3">
      <c r="D31" s="549" t="s">
        <v>177</v>
      </c>
      <c r="E31" s="554"/>
      <c r="F31" s="573">
        <f>+F27-F29</f>
        <v>-5431.4609999991599</v>
      </c>
      <c r="G31" s="577">
        <f>+G27-G29</f>
        <v>-22209.120000000625</v>
      </c>
      <c r="H31" s="581">
        <f t="shared" si="0"/>
        <v>-16777.659000001466</v>
      </c>
      <c r="I31" s="577">
        <f>+I27-I29</f>
        <v>10861.712999999596</v>
      </c>
      <c r="J31" s="581">
        <f t="shared" si="1"/>
        <v>-33070.833000000217</v>
      </c>
      <c r="K31" s="577">
        <f>+K27-K29</f>
        <v>-4937.2679999989214</v>
      </c>
      <c r="L31" s="581">
        <f>+L27-L29</f>
        <v>-27245.802000000818</v>
      </c>
      <c r="M31" s="577">
        <f t="shared" si="2"/>
        <v>-22308.534000001899</v>
      </c>
      <c r="N31" s="577">
        <f>+N27-N29</f>
        <v>12558.961999999219</v>
      </c>
      <c r="O31" s="586">
        <f t="shared" si="3"/>
        <v>-39804.764000000039</v>
      </c>
      <c r="P31" s="475"/>
      <c r="Q31" s="475"/>
    </row>
    <row r="32" spans="4:17" ht="25.5" customHeight="1" x14ac:dyDescent="0.3">
      <c r="D32" s="553"/>
      <c r="E32" s="555" t="s">
        <v>10</v>
      </c>
      <c r="F32" s="576">
        <f>+F31/F14</f>
        <v>-8.0769875254753517E-4</v>
      </c>
      <c r="G32" s="580">
        <f>+G31/G14</f>
        <v>-4.5541259151334725E-3</v>
      </c>
      <c r="H32" s="584">
        <f t="shared" si="0"/>
        <v>-3.7464271625859374E-3</v>
      </c>
      <c r="I32" s="580">
        <f>+I31/I14</f>
        <v>1.3122773231742095E-3</v>
      </c>
      <c r="J32" s="584">
        <f t="shared" si="1"/>
        <v>-5.8664032383076818E-3</v>
      </c>
      <c r="K32" s="580">
        <f>IFERROR(K31/K14,)</f>
        <v>-3.4311707652357934E-4</v>
      </c>
      <c r="L32" s="584">
        <f>+L31/L14</f>
        <v>-2.7309734495369522E-3</v>
      </c>
      <c r="M32" s="580">
        <f t="shared" si="2"/>
        <v>-2.3878563730133726E-3</v>
      </c>
      <c r="N32" s="580">
        <f>+N31/N14</f>
        <v>7.9703436550523075E-4</v>
      </c>
      <c r="O32" s="589">
        <f t="shared" si="3"/>
        <v>-3.5280078150421827E-3</v>
      </c>
      <c r="P32" s="475"/>
      <c r="Q32" s="475"/>
    </row>
    <row r="33" spans="4:17" ht="25.5" customHeight="1" x14ac:dyDescent="0.3">
      <c r="D33" s="549" t="s">
        <v>29</v>
      </c>
      <c r="E33" s="550"/>
      <c r="F33" s="573">
        <f>+IFERROR(HLOOKUP($F$8,[12]손익!$G$5:$AF$55,[12]손익!$D23,),)</f>
        <v>31064.681835606094</v>
      </c>
      <c r="G33" s="577">
        <f>+'[13]2월'!$M$43</f>
        <v>59090.002</v>
      </c>
      <c r="H33" s="581">
        <f t="shared" si="0"/>
        <v>28025.320164393906</v>
      </c>
      <c r="I33" s="577"/>
      <c r="J33" s="581">
        <f t="shared" si="1"/>
        <v>59090.002</v>
      </c>
      <c r="K33" s="577">
        <f>+IFERROR(HLOOKUP($K$8,[12]손익!$G$5:$AF$55,[12]손익!$D23,),)</f>
        <v>77776.467726621762</v>
      </c>
      <c r="L33" s="581">
        <f>+'[13]2월'!$W$43</f>
        <v>92868.72099999999</v>
      </c>
      <c r="M33" s="577">
        <f t="shared" si="2"/>
        <v>15092.253273378228</v>
      </c>
      <c r="N33" s="577"/>
      <c r="O33" s="586">
        <f t="shared" si="3"/>
        <v>92868.72099999999</v>
      </c>
      <c r="P33" s="475"/>
      <c r="Q33" s="475"/>
    </row>
    <row r="34" spans="4:17" ht="25.5" customHeight="1" x14ac:dyDescent="0.3">
      <c r="D34" s="549" t="s">
        <v>178</v>
      </c>
      <c r="E34" s="550"/>
      <c r="F34" s="573">
        <f>+F31-F33</f>
        <v>-36496.142835605257</v>
      </c>
      <c r="G34" s="577">
        <f>+G31-G33</f>
        <v>-81299.122000000629</v>
      </c>
      <c r="H34" s="581">
        <f t="shared" si="0"/>
        <v>-44802.979164395372</v>
      </c>
      <c r="I34" s="577">
        <f>+I31-I33</f>
        <v>10861.712999999596</v>
      </c>
      <c r="J34" s="581">
        <f t="shared" si="1"/>
        <v>-92160.835000000225</v>
      </c>
      <c r="K34" s="577">
        <f>+K31-K33</f>
        <v>-82713.735726620682</v>
      </c>
      <c r="L34" s="581">
        <f>+L31-L33</f>
        <v>-120114.5230000008</v>
      </c>
      <c r="M34" s="577">
        <f t="shared" si="2"/>
        <v>-37400.78727338012</v>
      </c>
      <c r="N34" s="577">
        <f>+N31-N33</f>
        <v>12558.961999999219</v>
      </c>
      <c r="O34" s="586">
        <f t="shared" si="3"/>
        <v>-132673.48500000002</v>
      </c>
      <c r="P34" s="475"/>
      <c r="Q34" s="475"/>
    </row>
    <row r="35" spans="4:17" ht="25.5" customHeight="1" x14ac:dyDescent="0.3">
      <c r="D35" s="553"/>
      <c r="E35" s="552" t="s">
        <v>10</v>
      </c>
      <c r="F35" s="576">
        <f>+F34/F14</f>
        <v>-5.4272485876488089E-3</v>
      </c>
      <c r="G35" s="580">
        <f>+G34/G14</f>
        <v>-1.6670918900784468E-2</v>
      </c>
      <c r="H35" s="584">
        <f t="shared" si="0"/>
        <v>-1.1243670313135659E-2</v>
      </c>
      <c r="I35" s="580">
        <f>+I34/I14</f>
        <v>1.3122773231742095E-3</v>
      </c>
      <c r="J35" s="584">
        <f t="shared" si="1"/>
        <v>-1.7983196223958678E-2</v>
      </c>
      <c r="K35" s="580">
        <f>IFERROR(K34/K14,)</f>
        <v>-5.7482184865938462E-3</v>
      </c>
      <c r="L35" s="584">
        <f>+L34/L14</f>
        <v>-1.2039637270240308E-2</v>
      </c>
      <c r="M35" s="580">
        <f t="shared" si="2"/>
        <v>-6.291418783646462E-3</v>
      </c>
      <c r="N35" s="580">
        <f>+N34/N14</f>
        <v>7.9703436550523075E-4</v>
      </c>
      <c r="O35" s="589">
        <f t="shared" si="3"/>
        <v>-1.2836671635745539E-2</v>
      </c>
      <c r="P35" s="475"/>
      <c r="Q35" s="475"/>
    </row>
    <row r="36" spans="4:17" ht="21.95" customHeight="1" x14ac:dyDescent="0.3">
      <c r="P36" s="475"/>
      <c r="Q36" s="475"/>
    </row>
    <row r="37" spans="4:17" ht="21.95" customHeight="1" x14ac:dyDescent="0.3">
      <c r="P37" s="475"/>
      <c r="Q37" s="475"/>
    </row>
    <row r="38" spans="4:17" ht="21.95" customHeight="1" x14ac:dyDescent="0.3">
      <c r="P38" s="475"/>
      <c r="Q38" s="475"/>
    </row>
    <row r="39" spans="4:17" ht="21.95" customHeight="1" x14ac:dyDescent="0.3">
      <c r="F39" s="500"/>
      <c r="G39" s="500"/>
      <c r="I39" s="500"/>
      <c r="K39" s="500"/>
      <c r="L39" s="500"/>
      <c r="N39" s="81"/>
      <c r="P39" s="475"/>
      <c r="Q39" s="475"/>
    </row>
    <row r="40" spans="4:17" ht="21.95" customHeight="1" x14ac:dyDescent="0.3"/>
    <row r="41" spans="4:17" ht="21.95" customHeight="1" x14ac:dyDescent="0.3"/>
    <row r="42" spans="4:17" ht="21.95" customHeight="1" x14ac:dyDescent="0.3"/>
    <row r="43" spans="4:17" ht="21.95" customHeight="1" x14ac:dyDescent="0.3"/>
    <row r="44" spans="4:17" ht="21.95" customHeight="1" x14ac:dyDescent="0.3"/>
    <row r="45" spans="4:17" ht="21.95" customHeight="1" x14ac:dyDescent="0.3"/>
    <row r="46" spans="4:17" ht="21.95" customHeight="1" x14ac:dyDescent="0.3"/>
    <row r="47" spans="4:17" ht="21.95" customHeight="1" x14ac:dyDescent="0.3"/>
    <row r="48" spans="4:17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</sheetData>
  <mergeCells count="1">
    <mergeCell ref="D8:E9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표지</vt:lpstr>
      <vt:lpstr>손익총괄</vt:lpstr>
      <vt:lpstr>레미콘 영업이익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2026-03-18T03:47:16Z</cp:lastPrinted>
  <dcterms:created xsi:type="dcterms:W3CDTF">2018-12-20T00:38:36Z</dcterms:created>
  <dcterms:modified xsi:type="dcterms:W3CDTF">2026-06-18T07:26:18Z</dcterms:modified>
</cp:coreProperties>
</file>