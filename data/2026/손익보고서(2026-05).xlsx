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605\00_보고서\"/>
    </mc:Choice>
  </mc:AlternateContent>
  <xr:revisionPtr revIDLastSave="0" documentId="13_ncr:1_{C2AAC9EA-E93E-4853-B63A-29B94A6F3936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레미콘 영업이익" sheetId="37" r:id="rId3"/>
    <sheet name="사업장별(당월)" sheetId="2" r:id="rId4"/>
    <sheet name="사업장별(누계)" sheetId="38" r:id="rId5"/>
    <sheet name="영업이익" sheetId="25" r:id="rId6"/>
    <sheet name="공헌이익" sheetId="26" r:id="rId7"/>
    <sheet name="재료비단가" sheetId="27" r:id="rId8"/>
    <sheet name="원단위" sheetId="28" r:id="rId9"/>
    <sheet name="건자재" sheetId="3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9" hidden="1">{"Header",#N/A,TRUE,"Summary";"ProjectInfo",#N/A,TRUE,"Total Value"}</definedName>
    <definedName name="edsd" localSheetId="6" hidden="1">{"Header",#N/A,TRUE,"Summary";"ProjectInfo",#N/A,TRUE,"Total Value"}</definedName>
    <definedName name="edsd" localSheetId="5" hidden="1">{"Header",#N/A,TRUE,"Summary";"ProjectInfo",#N/A,TRUE,"Total Value"}</definedName>
    <definedName name="edsd" localSheetId="8" hidden="1">{"Header",#N/A,TRUE,"Summary";"ProjectInfo",#N/A,TRUE,"Total Value"}</definedName>
    <definedName name="edsd" localSheetId="7" hidden="1">{"Header",#N/A,TRUE,"Summary";"ProjectInfo",#N/A,TRUE,"Total Value"}</definedName>
    <definedName name="edsd" hidden="1">{"Header",#N/A,TRUE,"Summary";"ProjectInfo",#N/A,TRUE,"Total Value"}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9" hidden="1">{"Header",#N/A,TRUE,"Summary";"ProjectInfo",#N/A,TRUE,"Total Value"}</definedName>
    <definedName name="jijk" localSheetId="6" hidden="1">{"Header",#N/A,TRUE,"Summary";"ProjectInfo",#N/A,TRUE,"Total Value"}</definedName>
    <definedName name="jijk" localSheetId="5" hidden="1">{"Header",#N/A,TRUE,"Summary";"ProjectInfo",#N/A,TRUE,"Total Value"}</definedName>
    <definedName name="jijk" localSheetId="8" hidden="1">{"Header",#N/A,TRUE,"Summary";"ProjectInfo",#N/A,TRUE,"Total Value"}</definedName>
    <definedName name="jijk" localSheetId="7" hidden="1">{"Header",#N/A,TRUE,"Summary";"ProjectInfo",#N/A,TRUE,"Total Value"}</definedName>
    <definedName name="jijk" hidden="1">{"Header",#N/A,TRUE,"Summary";"ProjectInfo",#N/A,TRUE,"Total Value"}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9">건자재!$D$6:$O$35</definedName>
    <definedName name="_xlnm.Print_Area" localSheetId="6">공헌이익!$D$4:$V$29</definedName>
    <definedName name="_xlnm.Print_Area" localSheetId="2">'레미콘 영업이익'!$H$3:$AC$28</definedName>
    <definedName name="_xlnm.Print_Area" localSheetId="4">'사업장별(누계)'!$H$3:$AG$44</definedName>
    <definedName name="_xlnm.Print_Area" localSheetId="3">'사업장별(당월)'!$H$3:$AG$44</definedName>
    <definedName name="_xlnm.Print_Area" localSheetId="1">손익총괄!$C$3:$X$37</definedName>
    <definedName name="_xlnm.Print_Area" localSheetId="5">영업이익!$D$4:$W$29</definedName>
    <definedName name="_xlnm.Print_Area" localSheetId="8">원단위!$D$4:$V$29</definedName>
    <definedName name="_xlnm.Print_Area" localSheetId="7">재료비단가!$D$4:$V$29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9" hidden="1">{"Header",#N/A,TRUE,"Summary";"ProjectInfo",#N/A,TRUE,"Total Value"}</definedName>
    <definedName name="w" localSheetId="6" hidden="1">{"Header",#N/A,TRUE,"Summary";"ProjectInfo",#N/A,TRUE,"Total Value"}</definedName>
    <definedName name="w" localSheetId="5" hidden="1">{"Header",#N/A,TRUE,"Summary";"ProjectInfo",#N/A,TRUE,"Total Value"}</definedName>
    <definedName name="w" localSheetId="8" hidden="1">{"Header",#N/A,TRUE,"Summary";"ProjectInfo",#N/A,TRUE,"Total Value"}</definedName>
    <definedName name="w" localSheetId="7" hidden="1">{"Header",#N/A,TRUE,"Summary";"ProjectInfo",#N/A,TRUE,"Total Value"}</definedName>
    <definedName name="w" hidden="1">{"Header",#N/A,TRUE,"Summary";"ProjectInfo",#N/A,TRUE,"Total Value"}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9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hidden="1">{"Header",#N/A,TRUE,"Summary";"ProjectInfo",#N/A,TRUE,"Total Value"}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9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9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7" hidden="1">{"Header",#N/A,TRUE,"Summary";"ProjectInfo",#N/A,TRUE,"Total Value"}</definedName>
    <definedName name="ㅈㅇ" hidden="1">{"Header",#N/A,TRUE,"Summary";"ProjectInfo",#N/A,TRUE,"Total Value"}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M36" i="2" l="1"/>
  <c r="AN36" i="2" s="1"/>
  <c r="AJ33" i="2" s="1"/>
  <c r="AF33" i="2" l="1"/>
  <c r="Z38" i="2"/>
  <c r="AC35" i="2" l="1"/>
  <c r="AC34" i="2"/>
  <c r="AC33" i="2"/>
  <c r="AC30" i="2"/>
  <c r="AC36" i="2" l="1"/>
  <c r="AC32" i="2"/>
  <c r="AC31" i="2"/>
  <c r="AA35" i="2"/>
  <c r="AA34" i="2"/>
  <c r="AA33" i="2"/>
  <c r="Z35" i="2" l="1"/>
  <c r="Z34" i="2"/>
  <c r="Z33" i="2"/>
  <c r="Z36" i="2" l="1"/>
  <c r="Z32" i="2"/>
  <c r="Z31" i="2"/>
  <c r="Z30" i="2"/>
  <c r="AA31" i="2" l="1"/>
  <c r="AA30" i="2"/>
  <c r="AA32" i="2" l="1"/>
  <c r="AA36" i="2" l="1"/>
  <c r="W48" i="2" l="1"/>
  <c r="U48" i="2"/>
  <c r="T48" i="2"/>
  <c r="R48" i="2"/>
  <c r="P48" i="2"/>
  <c r="O48" i="2"/>
  <c r="M48" i="2"/>
  <c r="K48" i="2"/>
  <c r="J48" i="2"/>
  <c r="W43" i="2"/>
  <c r="U43" i="2"/>
  <c r="T43" i="2"/>
  <c r="R43" i="2"/>
  <c r="P43" i="2"/>
  <c r="O43" i="2"/>
  <c r="M43" i="2"/>
  <c r="K43" i="2"/>
  <c r="J43" i="2"/>
  <c r="W39" i="2"/>
  <c r="U39" i="2"/>
  <c r="R39" i="2"/>
  <c r="P39" i="2"/>
  <c r="O39" i="2"/>
  <c r="U38" i="2"/>
  <c r="W37" i="2"/>
  <c r="U37" i="2"/>
  <c r="T37" i="2"/>
  <c r="R37" i="2"/>
  <c r="W36" i="2"/>
  <c r="U36" i="2"/>
  <c r="W35" i="2"/>
  <c r="U35" i="2"/>
  <c r="T35" i="2"/>
  <c r="T39" i="2" s="1"/>
  <c r="W34" i="2"/>
  <c r="U34" i="2"/>
  <c r="T34" i="2"/>
  <c r="W33" i="2"/>
  <c r="U33" i="2"/>
  <c r="T33" i="2"/>
  <c r="R33" i="2"/>
  <c r="P33" i="2"/>
  <c r="O33" i="2"/>
  <c r="W32" i="2"/>
  <c r="U32" i="2"/>
  <c r="T32" i="2"/>
  <c r="R32" i="2"/>
  <c r="P32" i="2"/>
  <c r="O32" i="2"/>
  <c r="W30" i="2"/>
  <c r="U30" i="2"/>
  <c r="T30" i="2"/>
  <c r="R30" i="2"/>
  <c r="P30" i="2"/>
  <c r="O30" i="2"/>
  <c r="M30" i="2"/>
  <c r="K30" i="2"/>
  <c r="J30" i="2"/>
  <c r="W29" i="2"/>
  <c r="U29" i="2"/>
  <c r="T29" i="2"/>
  <c r="R29" i="2"/>
  <c r="P29" i="2"/>
  <c r="O29" i="2"/>
  <c r="M29" i="2"/>
  <c r="K29" i="2"/>
  <c r="J29" i="2"/>
  <c r="W28" i="2"/>
  <c r="U28" i="2"/>
  <c r="T28" i="2"/>
  <c r="R28" i="2"/>
  <c r="P28" i="2"/>
  <c r="O28" i="2"/>
  <c r="M28" i="2"/>
  <c r="K28" i="2"/>
  <c r="J28" i="2"/>
  <c r="W23" i="2"/>
  <c r="U23" i="2"/>
  <c r="T23" i="2"/>
  <c r="R23" i="2"/>
  <c r="P23" i="2"/>
  <c r="O23" i="2"/>
  <c r="M23" i="2"/>
  <c r="K23" i="2"/>
  <c r="J23" i="2"/>
  <c r="W22" i="2"/>
  <c r="U22" i="2"/>
  <c r="T22" i="2"/>
  <c r="R22" i="2"/>
  <c r="P22" i="2"/>
  <c r="O22" i="2"/>
  <c r="M22" i="2"/>
  <c r="K22" i="2"/>
  <c r="J22" i="2"/>
  <c r="W21" i="2"/>
  <c r="U21" i="2"/>
  <c r="T21" i="2"/>
  <c r="R21" i="2"/>
  <c r="P21" i="2"/>
  <c r="O21" i="2"/>
  <c r="M21" i="2"/>
  <c r="K21" i="2"/>
  <c r="J21" i="2"/>
  <c r="W20" i="2"/>
  <c r="U20" i="2"/>
  <c r="T20" i="2"/>
  <c r="R20" i="2"/>
  <c r="P20" i="2"/>
  <c r="O20" i="2"/>
  <c r="M20" i="2"/>
  <c r="K20" i="2"/>
  <c r="J20" i="2"/>
  <c r="W19" i="2"/>
  <c r="U19" i="2"/>
  <c r="T19" i="2"/>
  <c r="R19" i="2"/>
  <c r="P19" i="2"/>
  <c r="O19" i="2"/>
  <c r="M19" i="2"/>
  <c r="K19" i="2"/>
  <c r="J19" i="2"/>
  <c r="W18" i="2"/>
  <c r="U18" i="2"/>
  <c r="T18" i="2"/>
  <c r="R18" i="2"/>
  <c r="P18" i="2"/>
  <c r="O18" i="2"/>
  <c r="M18" i="2"/>
  <c r="K18" i="2"/>
  <c r="J18" i="2"/>
  <c r="W17" i="2"/>
  <c r="U17" i="2"/>
  <c r="T17" i="2"/>
  <c r="R17" i="2"/>
  <c r="P17" i="2"/>
  <c r="O17" i="2"/>
  <c r="M17" i="2"/>
  <c r="K17" i="2"/>
  <c r="J17" i="2"/>
  <c r="W16" i="2"/>
  <c r="U16" i="2"/>
  <c r="T16" i="2"/>
  <c r="R16" i="2"/>
  <c r="P16" i="2"/>
  <c r="O16" i="2"/>
  <c r="M16" i="2"/>
  <c r="K16" i="2"/>
  <c r="J16" i="2"/>
  <c r="W15" i="2"/>
  <c r="U15" i="2"/>
  <c r="T15" i="2"/>
  <c r="R15" i="2"/>
  <c r="P15" i="2"/>
  <c r="O15" i="2"/>
  <c r="M15" i="2"/>
  <c r="K15" i="2"/>
  <c r="J15" i="2"/>
  <c r="W14" i="2"/>
  <c r="U14" i="2"/>
  <c r="T14" i="2"/>
  <c r="R14" i="2"/>
  <c r="P14" i="2"/>
  <c r="O14" i="2"/>
  <c r="M14" i="2"/>
  <c r="K14" i="2"/>
  <c r="J14" i="2"/>
  <c r="W13" i="2"/>
  <c r="U13" i="2"/>
  <c r="T13" i="2"/>
  <c r="R13" i="2"/>
  <c r="P13" i="2"/>
  <c r="O13" i="2"/>
  <c r="M13" i="2"/>
  <c r="K13" i="2"/>
  <c r="J13" i="2"/>
  <c r="W12" i="2"/>
  <c r="U12" i="2"/>
  <c r="T12" i="2"/>
  <c r="R12" i="2"/>
  <c r="P12" i="2"/>
  <c r="O12" i="2"/>
  <c r="M12" i="2"/>
  <c r="K12" i="2"/>
  <c r="J12" i="2"/>
  <c r="W11" i="2"/>
  <c r="U11" i="2"/>
  <c r="T11" i="2"/>
  <c r="R11" i="2"/>
  <c r="P11" i="2"/>
  <c r="O11" i="2"/>
  <c r="M11" i="2"/>
  <c r="K11" i="2"/>
  <c r="J11" i="2"/>
  <c r="W10" i="2"/>
  <c r="U10" i="2"/>
  <c r="T10" i="2"/>
  <c r="R10" i="2"/>
  <c r="P10" i="2"/>
  <c r="O10" i="2"/>
  <c r="M10" i="2"/>
  <c r="K10" i="2"/>
  <c r="J10" i="2"/>
  <c r="W9" i="2"/>
  <c r="U9" i="2"/>
  <c r="T9" i="2"/>
  <c r="R9" i="2"/>
  <c r="P9" i="2"/>
  <c r="O9" i="2"/>
  <c r="M9" i="2"/>
  <c r="K9" i="2"/>
  <c r="J9" i="2"/>
  <c r="W8" i="2"/>
  <c r="U8" i="2"/>
  <c r="T8" i="2"/>
  <c r="R8" i="2"/>
  <c r="P8" i="2"/>
  <c r="O8" i="2"/>
  <c r="M8" i="2"/>
  <c r="K8" i="2"/>
  <c r="J8" i="2"/>
  <c r="W7" i="2"/>
  <c r="U7" i="2"/>
  <c r="T7" i="2"/>
  <c r="R7" i="2"/>
  <c r="P7" i="2"/>
  <c r="O7" i="2"/>
  <c r="M7" i="2"/>
  <c r="K7" i="2"/>
  <c r="J7" i="2"/>
  <c r="AO27" i="2"/>
  <c r="AD27" i="2"/>
  <c r="AC27" i="2"/>
  <c r="AB27" i="2"/>
  <c r="AA27" i="2"/>
  <c r="Z27" i="2"/>
  <c r="Y27" i="2"/>
  <c r="AO26" i="2"/>
  <c r="AD26" i="2"/>
  <c r="AC26" i="2"/>
  <c r="AB26" i="2"/>
  <c r="AA26" i="2"/>
  <c r="Z26" i="2"/>
  <c r="Y26" i="2"/>
  <c r="AO25" i="2"/>
  <c r="AD25" i="2"/>
  <c r="AC25" i="2"/>
  <c r="AB25" i="2"/>
  <c r="AA25" i="2"/>
  <c r="Z25" i="2"/>
  <c r="Y25" i="2"/>
  <c r="AO24" i="2"/>
  <c r="AD24" i="2"/>
  <c r="AC24" i="2"/>
  <c r="AB24" i="2"/>
  <c r="AA24" i="2"/>
  <c r="Z24" i="2"/>
  <c r="Y24" i="2"/>
  <c r="AO23" i="2"/>
  <c r="AD23" i="2"/>
  <c r="AC23" i="2"/>
  <c r="AB23" i="2"/>
  <c r="AA23" i="2"/>
  <c r="Z23" i="2"/>
  <c r="Y23" i="2"/>
  <c r="AO22" i="2"/>
  <c r="AD22" i="2"/>
  <c r="AC22" i="2"/>
  <c r="AB22" i="2"/>
  <c r="AA22" i="2"/>
  <c r="Z22" i="2"/>
  <c r="Y22" i="2"/>
  <c r="AO21" i="2"/>
  <c r="AD21" i="2"/>
  <c r="AC21" i="2"/>
  <c r="AB21" i="2"/>
  <c r="AA21" i="2"/>
  <c r="Z21" i="2"/>
  <c r="Y21" i="2"/>
  <c r="AO20" i="2"/>
  <c r="AD20" i="2"/>
  <c r="AC20" i="2"/>
  <c r="AB20" i="2"/>
  <c r="AA20" i="2"/>
  <c r="Z20" i="2"/>
  <c r="Y20" i="2"/>
  <c r="AO19" i="2"/>
  <c r="AD19" i="2"/>
  <c r="AC19" i="2"/>
  <c r="AB19" i="2"/>
  <c r="AA19" i="2"/>
  <c r="Z19" i="2"/>
  <c r="Y19" i="2"/>
  <c r="AO18" i="2"/>
  <c r="AD18" i="2"/>
  <c r="AC18" i="2"/>
  <c r="AB18" i="2"/>
  <c r="AA18" i="2"/>
  <c r="Z18" i="2"/>
  <c r="Y18" i="2"/>
  <c r="AO17" i="2"/>
  <c r="AD17" i="2"/>
  <c r="AC17" i="2"/>
  <c r="AB17" i="2"/>
  <c r="AA17" i="2"/>
  <c r="Z17" i="2"/>
  <c r="Y17" i="2"/>
  <c r="AO16" i="2"/>
  <c r="AD16" i="2"/>
  <c r="AC16" i="2"/>
  <c r="AB16" i="2"/>
  <c r="AA16" i="2"/>
  <c r="Z16" i="2"/>
  <c r="Y16" i="2"/>
  <c r="AO15" i="2"/>
  <c r="AD15" i="2"/>
  <c r="AC15" i="2"/>
  <c r="AB15" i="2"/>
  <c r="AA15" i="2"/>
  <c r="Z15" i="2"/>
  <c r="Y15" i="2"/>
  <c r="AO14" i="2"/>
  <c r="AD14" i="2"/>
  <c r="AC14" i="2"/>
  <c r="AB14" i="2"/>
  <c r="AA14" i="2"/>
  <c r="Z14" i="2"/>
  <c r="Y14" i="2"/>
  <c r="AO13" i="2"/>
  <c r="AD13" i="2"/>
  <c r="AC13" i="2"/>
  <c r="AB13" i="2"/>
  <c r="AA13" i="2"/>
  <c r="Z13" i="2"/>
  <c r="Y13" i="2"/>
  <c r="AO12" i="2"/>
  <c r="AD12" i="2"/>
  <c r="AC12" i="2"/>
  <c r="AB12" i="2"/>
  <c r="AA12" i="2"/>
  <c r="Z12" i="2"/>
  <c r="Y12" i="2"/>
  <c r="AO11" i="2"/>
  <c r="AD11" i="2"/>
  <c r="AC11" i="2"/>
  <c r="AB11" i="2"/>
  <c r="AA11" i="2"/>
  <c r="Z11" i="2"/>
  <c r="Y11" i="2"/>
  <c r="AO10" i="2"/>
  <c r="AD10" i="2"/>
  <c r="AC10" i="2"/>
  <c r="AB10" i="2"/>
  <c r="AA10" i="2"/>
  <c r="Z10" i="2"/>
  <c r="Y10" i="2"/>
  <c r="AO9" i="2"/>
  <c r="AD9" i="2"/>
  <c r="AC9" i="2"/>
  <c r="AB9" i="2"/>
  <c r="AA9" i="2"/>
  <c r="Z9" i="2"/>
  <c r="Y9" i="2"/>
  <c r="AO8" i="2"/>
  <c r="AD8" i="2"/>
  <c r="AC8" i="2"/>
  <c r="AB8" i="2"/>
  <c r="AA8" i="2"/>
  <c r="Z8" i="2"/>
  <c r="Y8" i="2"/>
  <c r="AO7" i="2"/>
  <c r="AD7" i="2"/>
  <c r="AC7" i="2"/>
  <c r="AB7" i="2"/>
  <c r="AA7" i="2"/>
  <c r="Z7" i="2"/>
  <c r="Y7" i="2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AJ39" i="38"/>
  <c r="AJ41" i="38" s="1"/>
  <c r="AD27" i="38"/>
  <c r="AC27" i="38"/>
  <c r="AB27" i="38"/>
  <c r="AA27" i="38"/>
  <c r="Z27" i="38"/>
  <c r="Y27" i="38"/>
  <c r="AD26" i="38"/>
  <c r="AC26" i="38"/>
  <c r="AB26" i="38"/>
  <c r="AA26" i="38"/>
  <c r="Z26" i="38"/>
  <c r="Y26" i="38"/>
  <c r="AD25" i="38"/>
  <c r="AC25" i="38"/>
  <c r="AB25" i="38"/>
  <c r="AA25" i="38"/>
  <c r="Z25" i="38"/>
  <c r="Y25" i="38"/>
  <c r="AD24" i="38"/>
  <c r="AC24" i="38"/>
  <c r="AB24" i="38"/>
  <c r="AA24" i="38"/>
  <c r="Z24" i="38"/>
  <c r="Y24" i="38"/>
  <c r="AD23" i="38"/>
  <c r="AC23" i="38"/>
  <c r="AB23" i="38"/>
  <c r="AA23" i="38"/>
  <c r="Z23" i="38"/>
  <c r="Y23" i="38"/>
  <c r="AD22" i="38"/>
  <c r="AC22" i="38"/>
  <c r="AB22" i="38"/>
  <c r="AA22" i="38"/>
  <c r="Z22" i="38"/>
  <c r="Y22" i="38"/>
  <c r="AD21" i="38"/>
  <c r="AC21" i="38"/>
  <c r="AB21" i="38"/>
  <c r="AA21" i="38"/>
  <c r="Z21" i="38"/>
  <c r="Y21" i="38"/>
  <c r="AD20" i="38"/>
  <c r="AC20" i="38"/>
  <c r="AB20" i="38"/>
  <c r="AA20" i="38"/>
  <c r="Z20" i="38"/>
  <c r="Y20" i="38"/>
  <c r="AD19" i="38"/>
  <c r="AC19" i="38"/>
  <c r="AB19" i="38"/>
  <c r="AA19" i="38"/>
  <c r="Z19" i="38"/>
  <c r="Y19" i="38"/>
  <c r="AD18" i="38"/>
  <c r="AC18" i="38"/>
  <c r="AB18" i="38"/>
  <c r="AA18" i="38"/>
  <c r="Z18" i="38"/>
  <c r="Y18" i="38"/>
  <c r="AD17" i="38"/>
  <c r="AC17" i="38"/>
  <c r="AB17" i="38"/>
  <c r="AA17" i="38"/>
  <c r="Z17" i="38"/>
  <c r="Y17" i="38"/>
  <c r="AD16" i="38"/>
  <c r="AC16" i="38"/>
  <c r="AB16" i="38"/>
  <c r="AA16" i="38"/>
  <c r="Z16" i="38"/>
  <c r="Y16" i="38"/>
  <c r="AD15" i="38"/>
  <c r="AC15" i="38"/>
  <c r="AB15" i="38"/>
  <c r="AA15" i="38"/>
  <c r="Z15" i="38"/>
  <c r="Y15" i="38"/>
  <c r="AD14" i="38"/>
  <c r="AC14" i="38"/>
  <c r="AB14" i="38"/>
  <c r="AA14" i="38"/>
  <c r="Z14" i="38"/>
  <c r="Y14" i="38"/>
  <c r="AD13" i="38"/>
  <c r="AC13" i="38"/>
  <c r="AB13" i="38"/>
  <c r="AA13" i="38"/>
  <c r="Z13" i="38"/>
  <c r="Y13" i="38"/>
  <c r="AD12" i="38"/>
  <c r="AC12" i="38"/>
  <c r="AB12" i="38"/>
  <c r="AA12" i="38"/>
  <c r="Z12" i="38"/>
  <c r="Y12" i="38"/>
  <c r="AD11" i="38"/>
  <c r="AC11" i="38"/>
  <c r="AB11" i="38"/>
  <c r="AA11" i="38"/>
  <c r="Z11" i="38"/>
  <c r="Y11" i="38"/>
  <c r="AD10" i="38"/>
  <c r="AC10" i="38"/>
  <c r="AB10" i="38"/>
  <c r="AA10" i="38"/>
  <c r="Z10" i="38"/>
  <c r="Y10" i="38"/>
  <c r="AD9" i="38"/>
  <c r="AC9" i="38"/>
  <c r="AB9" i="38"/>
  <c r="AA9" i="38"/>
  <c r="Z9" i="38"/>
  <c r="Y9" i="38"/>
  <c r="AD8" i="38"/>
  <c r="AC8" i="38"/>
  <c r="AB8" i="38"/>
  <c r="AA8" i="38"/>
  <c r="Z8" i="38"/>
  <c r="Y8" i="38"/>
  <c r="AD7" i="38"/>
  <c r="AC7" i="38"/>
  <c r="AB7" i="38"/>
  <c r="AA7" i="38"/>
  <c r="Z7" i="38"/>
  <c r="Y7" i="38"/>
  <c r="W48" i="38"/>
  <c r="U48" i="38"/>
  <c r="T48" i="38"/>
  <c r="R48" i="38"/>
  <c r="P48" i="38"/>
  <c r="O48" i="38"/>
  <c r="M48" i="38"/>
  <c r="K48" i="38"/>
  <c r="J48" i="38"/>
  <c r="W43" i="38"/>
  <c r="U43" i="38"/>
  <c r="T43" i="38"/>
  <c r="R43" i="38"/>
  <c r="P43" i="38"/>
  <c r="O43" i="38"/>
  <c r="M43" i="38"/>
  <c r="K43" i="38"/>
  <c r="J43" i="38"/>
  <c r="W39" i="38"/>
  <c r="T39" i="38"/>
  <c r="R39" i="38"/>
  <c r="P39" i="38"/>
  <c r="O39" i="38"/>
  <c r="U38" i="38"/>
  <c r="U39" i="38" s="1"/>
  <c r="W37" i="38"/>
  <c r="U37" i="38"/>
  <c r="T37" i="38"/>
  <c r="R37" i="38"/>
  <c r="W36" i="38"/>
  <c r="U36" i="38"/>
  <c r="W35" i="38"/>
  <c r="U35" i="38"/>
  <c r="T35" i="38"/>
  <c r="W34" i="38"/>
  <c r="U34" i="38"/>
  <c r="T34" i="38"/>
  <c r="W33" i="38"/>
  <c r="U33" i="38"/>
  <c r="T33" i="38"/>
  <c r="R33" i="38"/>
  <c r="P33" i="38"/>
  <c r="O33" i="38"/>
  <c r="W32" i="38"/>
  <c r="U32" i="38"/>
  <c r="T32" i="38"/>
  <c r="R32" i="38"/>
  <c r="P32" i="38"/>
  <c r="O32" i="38"/>
  <c r="W30" i="38"/>
  <c r="U30" i="38"/>
  <c r="T30" i="38"/>
  <c r="R30" i="38"/>
  <c r="P30" i="38"/>
  <c r="O30" i="38"/>
  <c r="M30" i="38"/>
  <c r="K30" i="38"/>
  <c r="J30" i="38"/>
  <c r="W29" i="38"/>
  <c r="U29" i="38"/>
  <c r="T29" i="38"/>
  <c r="R29" i="38"/>
  <c r="P29" i="38"/>
  <c r="O29" i="38"/>
  <c r="M29" i="38"/>
  <c r="K29" i="38"/>
  <c r="J29" i="38"/>
  <c r="W28" i="38"/>
  <c r="U28" i="38"/>
  <c r="T28" i="38"/>
  <c r="R28" i="38"/>
  <c r="P28" i="38"/>
  <c r="O28" i="38"/>
  <c r="M28" i="38"/>
  <c r="K28" i="38"/>
  <c r="J28" i="38"/>
  <c r="W23" i="38"/>
  <c r="U23" i="38"/>
  <c r="T23" i="38"/>
  <c r="R23" i="38"/>
  <c r="P23" i="38"/>
  <c r="O23" i="38"/>
  <c r="M23" i="38"/>
  <c r="K23" i="38"/>
  <c r="J23" i="38"/>
  <c r="W22" i="38"/>
  <c r="U22" i="38"/>
  <c r="T22" i="38"/>
  <c r="R22" i="38"/>
  <c r="P22" i="38"/>
  <c r="O22" i="38"/>
  <c r="M22" i="38"/>
  <c r="K22" i="38"/>
  <c r="J22" i="38"/>
  <c r="W21" i="38"/>
  <c r="U21" i="38"/>
  <c r="T21" i="38"/>
  <c r="R21" i="38"/>
  <c r="P21" i="38"/>
  <c r="O21" i="38"/>
  <c r="M21" i="38"/>
  <c r="K21" i="38"/>
  <c r="J21" i="38"/>
  <c r="W20" i="38"/>
  <c r="U20" i="38"/>
  <c r="T20" i="38"/>
  <c r="R20" i="38"/>
  <c r="P20" i="38"/>
  <c r="O20" i="38"/>
  <c r="M20" i="38"/>
  <c r="K20" i="38"/>
  <c r="J20" i="38"/>
  <c r="W19" i="38"/>
  <c r="U19" i="38"/>
  <c r="T19" i="38"/>
  <c r="R19" i="38"/>
  <c r="P19" i="38"/>
  <c r="O19" i="38"/>
  <c r="M19" i="38"/>
  <c r="K19" i="38"/>
  <c r="J19" i="38"/>
  <c r="W18" i="38"/>
  <c r="U18" i="38"/>
  <c r="T18" i="38"/>
  <c r="R18" i="38"/>
  <c r="P18" i="38"/>
  <c r="O18" i="38"/>
  <c r="M18" i="38"/>
  <c r="K18" i="38"/>
  <c r="J18" i="38"/>
  <c r="W17" i="38"/>
  <c r="U17" i="38"/>
  <c r="T17" i="38"/>
  <c r="R17" i="38"/>
  <c r="P17" i="38"/>
  <c r="O17" i="38"/>
  <c r="M17" i="38"/>
  <c r="K17" i="38"/>
  <c r="J17" i="38"/>
  <c r="W16" i="38"/>
  <c r="U16" i="38"/>
  <c r="T16" i="38"/>
  <c r="R16" i="38"/>
  <c r="P16" i="38"/>
  <c r="O16" i="38"/>
  <c r="M16" i="38"/>
  <c r="K16" i="38"/>
  <c r="J16" i="38"/>
  <c r="W15" i="38"/>
  <c r="U15" i="38"/>
  <c r="T15" i="38"/>
  <c r="R15" i="38"/>
  <c r="P15" i="38"/>
  <c r="O15" i="38"/>
  <c r="M15" i="38"/>
  <c r="K15" i="38"/>
  <c r="J15" i="38"/>
  <c r="W14" i="38"/>
  <c r="U14" i="38"/>
  <c r="T14" i="38"/>
  <c r="R14" i="38"/>
  <c r="P14" i="38"/>
  <c r="O14" i="38"/>
  <c r="M14" i="38"/>
  <c r="K14" i="38"/>
  <c r="J14" i="38"/>
  <c r="W13" i="38"/>
  <c r="U13" i="38"/>
  <c r="T13" i="38"/>
  <c r="R13" i="38"/>
  <c r="P13" i="38"/>
  <c r="O13" i="38"/>
  <c r="M13" i="38"/>
  <c r="K13" i="38"/>
  <c r="J13" i="38"/>
  <c r="W12" i="38"/>
  <c r="U12" i="38"/>
  <c r="T12" i="38"/>
  <c r="R12" i="38"/>
  <c r="P12" i="38"/>
  <c r="O12" i="38"/>
  <c r="M12" i="38"/>
  <c r="K12" i="38"/>
  <c r="J12" i="38"/>
  <c r="W11" i="38"/>
  <c r="U11" i="38"/>
  <c r="T11" i="38"/>
  <c r="R11" i="38"/>
  <c r="P11" i="38"/>
  <c r="O11" i="38"/>
  <c r="M11" i="38"/>
  <c r="K11" i="38"/>
  <c r="J11" i="38"/>
  <c r="W10" i="38"/>
  <c r="U10" i="38"/>
  <c r="T10" i="38"/>
  <c r="R10" i="38"/>
  <c r="P10" i="38"/>
  <c r="O10" i="38"/>
  <c r="M10" i="38"/>
  <c r="K10" i="38"/>
  <c r="J10" i="38"/>
  <c r="W9" i="38"/>
  <c r="U9" i="38"/>
  <c r="T9" i="38"/>
  <c r="R9" i="38"/>
  <c r="P9" i="38"/>
  <c r="O9" i="38"/>
  <c r="M9" i="38"/>
  <c r="K9" i="38"/>
  <c r="J9" i="38"/>
  <c r="W8" i="38"/>
  <c r="U8" i="38"/>
  <c r="T8" i="38"/>
  <c r="R8" i="38"/>
  <c r="P8" i="38"/>
  <c r="O8" i="38"/>
  <c r="M8" i="38"/>
  <c r="K8" i="38"/>
  <c r="J8" i="38"/>
  <c r="W7" i="38"/>
  <c r="U7" i="38"/>
  <c r="T7" i="38"/>
  <c r="R7" i="38"/>
  <c r="P7" i="38"/>
  <c r="O7" i="38"/>
  <c r="M7" i="38"/>
  <c r="K7" i="38"/>
  <c r="J7" i="38"/>
  <c r="M39" i="1"/>
  <c r="K39" i="1"/>
  <c r="J39" i="1"/>
  <c r="H39" i="1"/>
  <c r="F39" i="1"/>
  <c r="E39" i="1"/>
  <c r="V37" i="1"/>
  <c r="T37" i="1"/>
  <c r="S37" i="1"/>
  <c r="V36" i="1"/>
  <c r="T36" i="1"/>
  <c r="S36" i="1"/>
  <c r="M36" i="1"/>
  <c r="K36" i="1"/>
  <c r="J36" i="1"/>
  <c r="H36" i="1"/>
  <c r="F36" i="1"/>
  <c r="M34" i="1"/>
  <c r="K34" i="1"/>
  <c r="J34" i="1"/>
  <c r="H34" i="1"/>
  <c r="F34" i="1"/>
  <c r="M33" i="1"/>
  <c r="K33" i="1"/>
  <c r="J33" i="1"/>
  <c r="H33" i="1"/>
  <c r="F33" i="1"/>
  <c r="M32" i="1"/>
  <c r="K32" i="1"/>
  <c r="J32" i="1"/>
  <c r="H32" i="1"/>
  <c r="F32" i="1"/>
  <c r="J23" i="1"/>
  <c r="E23" i="1"/>
  <c r="M22" i="1"/>
  <c r="M23" i="1" s="1"/>
  <c r="K22" i="1"/>
  <c r="K23" i="1" s="1"/>
  <c r="J22" i="1"/>
  <c r="H22" i="1"/>
  <c r="F22" i="1"/>
  <c r="E22" i="1"/>
  <c r="M21" i="1"/>
  <c r="K21" i="1"/>
  <c r="J21" i="1"/>
  <c r="H21" i="1"/>
  <c r="H23" i="1" s="1"/>
  <c r="F21" i="1"/>
  <c r="E21" i="1"/>
  <c r="K15" i="1"/>
  <c r="J15" i="1"/>
  <c r="F15" i="1"/>
  <c r="E15" i="1"/>
  <c r="M14" i="1"/>
  <c r="K14" i="1"/>
  <c r="J14" i="1"/>
  <c r="H14" i="1"/>
  <c r="H15" i="1" s="1"/>
  <c r="F14" i="1"/>
  <c r="E14" i="1"/>
  <c r="M13" i="1"/>
  <c r="K13" i="1"/>
  <c r="J13" i="1"/>
  <c r="H13" i="1"/>
  <c r="F13" i="1"/>
  <c r="E13" i="1"/>
  <c r="K11" i="1"/>
  <c r="F11" i="1"/>
  <c r="M10" i="1"/>
  <c r="K10" i="1"/>
  <c r="J10" i="1"/>
  <c r="H10" i="1"/>
  <c r="F10" i="1"/>
  <c r="E10" i="1"/>
  <c r="M9" i="1"/>
  <c r="K9" i="1"/>
  <c r="J9" i="1"/>
  <c r="H9" i="1"/>
  <c r="F9" i="1"/>
  <c r="E9" i="1"/>
  <c r="M8" i="1"/>
  <c r="K8" i="1"/>
  <c r="J8" i="1"/>
  <c r="H8" i="1"/>
  <c r="F8" i="1"/>
  <c r="E8" i="1"/>
  <c r="M7" i="1"/>
  <c r="K7" i="1"/>
  <c r="J7" i="1"/>
  <c r="H7" i="1"/>
  <c r="F7" i="1"/>
  <c r="E7" i="1"/>
  <c r="AB24" i="37"/>
  <c r="Z24" i="37"/>
  <c r="Y24" i="37"/>
  <c r="W24" i="37"/>
  <c r="U24" i="37"/>
  <c r="T24" i="37"/>
  <c r="R24" i="37"/>
  <c r="P24" i="37"/>
  <c r="O24" i="37"/>
  <c r="M24" i="37"/>
  <c r="K24" i="37"/>
  <c r="J24" i="37"/>
  <c r="AB23" i="37"/>
  <c r="Z23" i="37"/>
  <c r="Y23" i="37"/>
  <c r="W23" i="37"/>
  <c r="U23" i="37"/>
  <c r="T23" i="37"/>
  <c r="R23" i="37"/>
  <c r="P23" i="37"/>
  <c r="O23" i="37"/>
  <c r="M23" i="37"/>
  <c r="K23" i="37"/>
  <c r="J23" i="37"/>
  <c r="AB22" i="37"/>
  <c r="Z22" i="37"/>
  <c r="Y22" i="37"/>
  <c r="W22" i="37"/>
  <c r="U22" i="37"/>
  <c r="T22" i="37"/>
  <c r="R22" i="37"/>
  <c r="P22" i="37"/>
  <c r="O22" i="37"/>
  <c r="M22" i="37"/>
  <c r="K22" i="37"/>
  <c r="J22" i="37"/>
  <c r="AB21" i="37"/>
  <c r="Z21" i="37"/>
  <c r="Y21" i="37"/>
  <c r="W21" i="37"/>
  <c r="U21" i="37"/>
  <c r="T21" i="37"/>
  <c r="R21" i="37"/>
  <c r="P21" i="37"/>
  <c r="O21" i="37"/>
  <c r="M21" i="37"/>
  <c r="K21" i="37"/>
  <c r="J21" i="37"/>
  <c r="AB20" i="37"/>
  <c r="Z20" i="37"/>
  <c r="Y20" i="37"/>
  <c r="W20" i="37"/>
  <c r="U20" i="37"/>
  <c r="T20" i="37"/>
  <c r="R20" i="37"/>
  <c r="P20" i="37"/>
  <c r="O20" i="37"/>
  <c r="M20" i="37"/>
  <c r="K20" i="37"/>
  <c r="J20" i="37"/>
  <c r="AB19" i="37"/>
  <c r="Z19" i="37"/>
  <c r="Y19" i="37"/>
  <c r="W19" i="37"/>
  <c r="U19" i="37"/>
  <c r="T19" i="37"/>
  <c r="R19" i="37"/>
  <c r="P19" i="37"/>
  <c r="O19" i="37"/>
  <c r="M19" i="37"/>
  <c r="K19" i="37"/>
  <c r="J19" i="37"/>
  <c r="AB18" i="37"/>
  <c r="Z18" i="37"/>
  <c r="Y18" i="37"/>
  <c r="W18" i="37"/>
  <c r="U18" i="37"/>
  <c r="T18" i="37"/>
  <c r="R18" i="37"/>
  <c r="P18" i="37"/>
  <c r="O18" i="37"/>
  <c r="M18" i="37"/>
  <c r="K18" i="37"/>
  <c r="J18" i="37"/>
  <c r="AB17" i="37"/>
  <c r="Z17" i="37"/>
  <c r="Y17" i="37"/>
  <c r="W17" i="37"/>
  <c r="U17" i="37"/>
  <c r="T17" i="37"/>
  <c r="R17" i="37"/>
  <c r="P17" i="37"/>
  <c r="O17" i="37"/>
  <c r="M17" i="37"/>
  <c r="K17" i="37"/>
  <c r="J17" i="37"/>
  <c r="AB16" i="37"/>
  <c r="Z16" i="37"/>
  <c r="Y16" i="37"/>
  <c r="W16" i="37"/>
  <c r="U16" i="37"/>
  <c r="T16" i="37"/>
  <c r="R16" i="37"/>
  <c r="P16" i="37"/>
  <c r="O16" i="37"/>
  <c r="M16" i="37"/>
  <c r="K16" i="37"/>
  <c r="J16" i="37"/>
  <c r="AB15" i="37"/>
  <c r="Z15" i="37"/>
  <c r="Y15" i="37"/>
  <c r="W15" i="37"/>
  <c r="U15" i="37"/>
  <c r="T15" i="37"/>
  <c r="R15" i="37"/>
  <c r="P15" i="37"/>
  <c r="O15" i="37"/>
  <c r="M15" i="37"/>
  <c r="K15" i="37"/>
  <c r="J15" i="37"/>
  <c r="AB14" i="37"/>
  <c r="Z14" i="37"/>
  <c r="Y14" i="37"/>
  <c r="W14" i="37"/>
  <c r="U14" i="37"/>
  <c r="T14" i="37"/>
  <c r="R14" i="37"/>
  <c r="P14" i="37"/>
  <c r="O14" i="37"/>
  <c r="M14" i="37"/>
  <c r="K14" i="37"/>
  <c r="J14" i="37"/>
  <c r="AB13" i="37"/>
  <c r="Z13" i="37"/>
  <c r="Y13" i="37"/>
  <c r="W13" i="37"/>
  <c r="U13" i="37"/>
  <c r="T13" i="37"/>
  <c r="R13" i="37"/>
  <c r="P13" i="37"/>
  <c r="O13" i="37"/>
  <c r="M13" i="37"/>
  <c r="K13" i="37"/>
  <c r="J13" i="37"/>
  <c r="AB12" i="37"/>
  <c r="Z12" i="37"/>
  <c r="Y12" i="37"/>
  <c r="W12" i="37"/>
  <c r="U12" i="37"/>
  <c r="T12" i="37"/>
  <c r="R12" i="37"/>
  <c r="P12" i="37"/>
  <c r="O12" i="37"/>
  <c r="M12" i="37"/>
  <c r="K12" i="37"/>
  <c r="J12" i="37"/>
  <c r="AB11" i="37"/>
  <c r="Z11" i="37"/>
  <c r="Y11" i="37"/>
  <c r="W11" i="37"/>
  <c r="U11" i="37"/>
  <c r="T11" i="37"/>
  <c r="R11" i="37"/>
  <c r="P11" i="37"/>
  <c r="O11" i="37"/>
  <c r="M11" i="37"/>
  <c r="K11" i="37"/>
  <c r="J11" i="37"/>
  <c r="AB10" i="37"/>
  <c r="Z10" i="37"/>
  <c r="Y10" i="37"/>
  <c r="W10" i="37"/>
  <c r="U10" i="37"/>
  <c r="T10" i="37"/>
  <c r="R10" i="37"/>
  <c r="P10" i="37"/>
  <c r="O10" i="37"/>
  <c r="M10" i="37"/>
  <c r="K10" i="37"/>
  <c r="J10" i="37"/>
  <c r="AB9" i="37"/>
  <c r="Z9" i="37"/>
  <c r="Y9" i="37"/>
  <c r="W9" i="37"/>
  <c r="U9" i="37"/>
  <c r="T9" i="37"/>
  <c r="R9" i="37"/>
  <c r="P9" i="37"/>
  <c r="O9" i="37"/>
  <c r="M9" i="37"/>
  <c r="K9" i="37"/>
  <c r="J9" i="37"/>
  <c r="AB8" i="37"/>
  <c r="Z8" i="37"/>
  <c r="Y8" i="37"/>
  <c r="W8" i="37"/>
  <c r="U8" i="37"/>
  <c r="T8" i="37"/>
  <c r="R8" i="37"/>
  <c r="P8" i="37"/>
  <c r="O8" i="37"/>
  <c r="M8" i="37"/>
  <c r="K8" i="37"/>
  <c r="J8" i="37"/>
  <c r="V24" i="1"/>
  <c r="V23" i="1"/>
  <c r="L33" i="34"/>
  <c r="G33" i="34"/>
  <c r="N29" i="34"/>
  <c r="L29" i="34"/>
  <c r="I29" i="34"/>
  <c r="G29" i="34"/>
  <c r="N25" i="34"/>
  <c r="L25" i="34"/>
  <c r="I25" i="34"/>
  <c r="G25" i="34"/>
  <c r="N24" i="34"/>
  <c r="L24" i="34"/>
  <c r="I24" i="34"/>
  <c r="G24" i="34"/>
  <c r="N16" i="34"/>
  <c r="L16" i="34"/>
  <c r="I16" i="34"/>
  <c r="G16" i="34"/>
  <c r="N15" i="34"/>
  <c r="L15" i="34"/>
  <c r="I15" i="34"/>
  <c r="G15" i="34"/>
  <c r="N13" i="34"/>
  <c r="L13" i="34"/>
  <c r="I13" i="34"/>
  <c r="G13" i="34"/>
  <c r="N12" i="34"/>
  <c r="L12" i="34"/>
  <c r="I12" i="34"/>
  <c r="G12" i="34"/>
  <c r="N10" i="34"/>
  <c r="L10" i="34"/>
  <c r="I10" i="34"/>
  <c r="G10" i="34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AJ39" i="2"/>
  <c r="J11" i="1" l="1"/>
  <c r="H11" i="1"/>
  <c r="M11" i="1"/>
  <c r="F23" i="1"/>
  <c r="M15" i="1"/>
  <c r="AF34" i="38" l="1"/>
  <c r="AJ34" i="38"/>
  <c r="AJ31" i="38" l="1"/>
  <c r="AJ30" i="38"/>
  <c r="AD33" i="2" l="1"/>
  <c r="AD34" i="2"/>
  <c r="AI26" i="2" l="1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D35" i="2"/>
  <c r="AJ31" i="2" s="1"/>
  <c r="AG27" i="38" l="1"/>
  <c r="AG26" i="38"/>
  <c r="AG25" i="38"/>
  <c r="AG22" i="38"/>
  <c r="AG21" i="38"/>
  <c r="AG20" i="38"/>
  <c r="AG17" i="38"/>
  <c r="AG15" i="38"/>
  <c r="AG12" i="38"/>
  <c r="AG11" i="38"/>
  <c r="AG9" i="38"/>
  <c r="AG7" i="38"/>
  <c r="T64" i="38"/>
  <c r="S37" i="38"/>
  <c r="O40" i="38"/>
  <c r="J26" i="38"/>
  <c r="J24" i="38"/>
  <c r="S64" i="38"/>
  <c r="T63" i="38"/>
  <c r="S63" i="38"/>
  <c r="T62" i="38"/>
  <c r="S62" i="38"/>
  <c r="T61" i="38"/>
  <c r="S61" i="38"/>
  <c r="K40" i="38"/>
  <c r="J40" i="38"/>
  <c r="G40" i="38"/>
  <c r="N39" i="38"/>
  <c r="L39" i="38"/>
  <c r="G39" i="38"/>
  <c r="G38" i="38"/>
  <c r="Q37" i="38"/>
  <c r="M37" i="38"/>
  <c r="M40" i="38" s="1"/>
  <c r="G37" i="38"/>
  <c r="S36" i="38"/>
  <c r="Q36" i="38"/>
  <c r="N36" i="38"/>
  <c r="G36" i="38"/>
  <c r="S35" i="38"/>
  <c r="Q35" i="38"/>
  <c r="N35" i="38"/>
  <c r="G35" i="38"/>
  <c r="S34" i="38"/>
  <c r="Q34" i="38"/>
  <c r="N34" i="38"/>
  <c r="L34" i="38"/>
  <c r="G34" i="38"/>
  <c r="N33" i="38"/>
  <c r="L33" i="38"/>
  <c r="G33" i="38"/>
  <c r="N32" i="38"/>
  <c r="L32" i="38"/>
  <c r="G31" i="38"/>
  <c r="G30" i="38"/>
  <c r="G29" i="38"/>
  <c r="G26" i="38"/>
  <c r="G25" i="38"/>
  <c r="G24" i="38"/>
  <c r="G23" i="38"/>
  <c r="G22" i="38"/>
  <c r="G21" i="38"/>
  <c r="G20" i="38"/>
  <c r="AG19" i="38"/>
  <c r="G19" i="38"/>
  <c r="G18" i="38"/>
  <c r="G17" i="38"/>
  <c r="AG16" i="38"/>
  <c r="G16" i="38"/>
  <c r="G15" i="38"/>
  <c r="G14" i="38"/>
  <c r="G13" i="38"/>
  <c r="G12" i="38"/>
  <c r="G11" i="38"/>
  <c r="G10" i="38"/>
  <c r="G9" i="38"/>
  <c r="G8" i="38"/>
  <c r="G7" i="38"/>
  <c r="W24" i="38" l="1"/>
  <c r="R31" i="38"/>
  <c r="AG10" i="38"/>
  <c r="AG23" i="38"/>
  <c r="O31" i="38"/>
  <c r="W31" i="38"/>
  <c r="T54" i="38"/>
  <c r="M24" i="38"/>
  <c r="M31" i="38"/>
  <c r="AG8" i="38"/>
  <c r="AG18" i="38"/>
  <c r="J25" i="38"/>
  <c r="J27" i="38" s="1"/>
  <c r="J49" i="38" s="1"/>
  <c r="AG13" i="38"/>
  <c r="W40" i="38"/>
  <c r="AG24" i="38"/>
  <c r="T24" i="38"/>
  <c r="J31" i="38"/>
  <c r="O26" i="38"/>
  <c r="T68" i="38"/>
  <c r="R25" i="38"/>
  <c r="T25" i="38"/>
  <c r="M25" i="38"/>
  <c r="AG14" i="38"/>
  <c r="T26" i="38"/>
  <c r="W25" i="38"/>
  <c r="R26" i="38"/>
  <c r="T31" i="38"/>
  <c r="T53" i="38" s="1"/>
  <c r="O24" i="38"/>
  <c r="O25" i="38"/>
  <c r="W26" i="38"/>
  <c r="R24" i="38"/>
  <c r="T60" i="38"/>
  <c r="T65" i="38" s="1"/>
  <c r="R40" i="38"/>
  <c r="T40" i="38"/>
  <c r="N40" i="38"/>
  <c r="M26" i="38"/>
  <c r="N37" i="38"/>
  <c r="L40" i="38"/>
  <c r="M27" i="38" l="1"/>
  <c r="M49" i="38" s="1"/>
  <c r="T27" i="38"/>
  <c r="R27" i="38"/>
  <c r="R41" i="38" s="1"/>
  <c r="R44" i="38" s="1"/>
  <c r="R49" i="38" s="1"/>
  <c r="O27" i="38"/>
  <c r="O41" i="38" s="1"/>
  <c r="O51" i="38" s="1"/>
  <c r="O52" i="38" s="1"/>
  <c r="W27" i="38"/>
  <c r="W41" i="38" s="1"/>
  <c r="W44" i="38" s="1"/>
  <c r="W49" i="38" s="1"/>
  <c r="T41" i="38"/>
  <c r="T52" i="38"/>
  <c r="F10" i="34"/>
  <c r="O44" i="38" l="1"/>
  <c r="O49" i="38" s="1"/>
  <c r="T55" i="38"/>
  <c r="T56" i="38" s="1"/>
  <c r="T44" i="38"/>
  <c r="T49" i="38" s="1"/>
  <c r="T70" i="38"/>
  <c r="T71" i="38" s="1"/>
  <c r="E36" i="1"/>
  <c r="E34" i="1"/>
  <c r="E33" i="1"/>
  <c r="E11" i="1" s="1"/>
  <c r="E32" i="1"/>
  <c r="T57" i="38" l="1"/>
  <c r="M17" i="1" l="1"/>
  <c r="M25" i="1" s="1"/>
  <c r="M18" i="1"/>
  <c r="M27" i="1" s="1"/>
  <c r="M35" i="1"/>
  <c r="M37" i="1"/>
  <c r="M26" i="1"/>
  <c r="M24" i="1"/>
  <c r="M16" i="1"/>
  <c r="M19" i="1" l="1"/>
  <c r="M12" i="1"/>
  <c r="M28" i="1" l="1"/>
  <c r="M20" i="1"/>
  <c r="M29" i="1" l="1"/>
  <c r="M30" i="1" s="1"/>
  <c r="J18" i="1"/>
  <c r="J24" i="1" l="1"/>
  <c r="E35" i="1"/>
  <c r="E37" i="1"/>
  <c r="J27" i="1"/>
  <c r="J16" i="1"/>
  <c r="J35" i="1"/>
  <c r="J37" i="1"/>
  <c r="J19" i="1"/>
  <c r="J28" i="1" s="1"/>
  <c r="J17" i="1"/>
  <c r="J12" i="1" l="1"/>
  <c r="J25" i="1"/>
  <c r="J20" i="1"/>
  <c r="J29" i="1" l="1"/>
  <c r="J26" i="1"/>
  <c r="J30" i="1" l="1"/>
  <c r="K33" i="34" l="1"/>
  <c r="M33" i="34" s="1"/>
  <c r="K29" i="34"/>
  <c r="M29" i="34" s="1"/>
  <c r="K25" i="34"/>
  <c r="K24" i="34"/>
  <c r="K16" i="34"/>
  <c r="K15" i="34"/>
  <c r="K13" i="34"/>
  <c r="K12" i="34"/>
  <c r="K11" i="34"/>
  <c r="K10" i="34"/>
  <c r="N30" i="34"/>
  <c r="L30" i="34"/>
  <c r="I30" i="34"/>
  <c r="G30" i="34"/>
  <c r="F29" i="34"/>
  <c r="F30" i="34" s="1"/>
  <c r="F33" i="34"/>
  <c r="H33" i="34" s="1"/>
  <c r="O33" i="34"/>
  <c r="O29" i="34"/>
  <c r="J33" i="34"/>
  <c r="J29" i="34"/>
  <c r="F25" i="34"/>
  <c r="F24" i="34"/>
  <c r="F16" i="34"/>
  <c r="F15" i="34"/>
  <c r="F13" i="34"/>
  <c r="F12" i="34"/>
  <c r="F11" i="34"/>
  <c r="K30" i="34" l="1"/>
  <c r="K20" i="34"/>
  <c r="K21" i="34" s="1"/>
  <c r="K14" i="34"/>
  <c r="K26" i="34"/>
  <c r="K18" i="34"/>
  <c r="K19" i="34" s="1"/>
  <c r="J30" i="34"/>
  <c r="M30" i="34"/>
  <c r="O30" i="34"/>
  <c r="H30" i="34"/>
  <c r="K17" i="34"/>
  <c r="H29" i="34"/>
  <c r="K22" i="34" l="1"/>
  <c r="K23" i="34" s="1"/>
  <c r="K27" i="34" l="1"/>
  <c r="K28" i="34" s="1"/>
  <c r="K31" i="34" l="1"/>
  <c r="K32" i="34" s="1"/>
  <c r="K34" i="34"/>
  <c r="K35" i="34" s="1"/>
  <c r="J40" i="1" l="1"/>
  <c r="M27" i="37" l="1"/>
  <c r="R25" i="37" l="1"/>
  <c r="R26" i="37"/>
  <c r="R27" i="37"/>
  <c r="M25" i="37"/>
  <c r="M26" i="37"/>
  <c r="R28" i="37" l="1"/>
  <c r="M28" i="37"/>
  <c r="I11" i="34" l="1"/>
  <c r="I17" i="34"/>
  <c r="I18" i="34"/>
  <c r="I19" i="34" s="1"/>
  <c r="F17" i="34"/>
  <c r="I14" i="34"/>
  <c r="I26" i="34"/>
  <c r="F14" i="34"/>
  <c r="F18" i="34"/>
  <c r="F19" i="34" s="1"/>
  <c r="F26" i="34"/>
  <c r="F20" i="34"/>
  <c r="F21" i="34" s="1"/>
  <c r="I20" i="34"/>
  <c r="I21" i="34" s="1"/>
  <c r="I22" i="34" l="1"/>
  <c r="I27" i="34" s="1"/>
  <c r="F22" i="34"/>
  <c r="F27" i="34" s="1"/>
  <c r="F28" i="34" l="1"/>
  <c r="F31" i="34"/>
  <c r="F34" i="34" s="1"/>
  <c r="F35" i="34" s="1"/>
  <c r="I28" i="34"/>
  <c r="I31" i="34"/>
  <c r="I23" i="34"/>
  <c r="F23" i="34"/>
  <c r="I32" i="34" l="1"/>
  <c r="I34" i="34"/>
  <c r="I35" i="34" s="1"/>
  <c r="F32" i="34"/>
  <c r="M40" i="1" l="1"/>
  <c r="G39" i="2"/>
  <c r="S64" i="2" l="1"/>
  <c r="S63" i="2"/>
  <c r="T62" i="2"/>
  <c r="S62" i="2"/>
  <c r="S61" i="2"/>
  <c r="K40" i="2"/>
  <c r="J40" i="2"/>
  <c r="N39" i="2"/>
  <c r="L39" i="2"/>
  <c r="G40" i="2"/>
  <c r="Q37" i="2"/>
  <c r="M37" i="2"/>
  <c r="M40" i="2" s="1"/>
  <c r="G38" i="2"/>
  <c r="S36" i="2"/>
  <c r="Q36" i="2"/>
  <c r="N36" i="2"/>
  <c r="G37" i="2"/>
  <c r="S35" i="2"/>
  <c r="Q35" i="2"/>
  <c r="N35" i="2"/>
  <c r="G36" i="2"/>
  <c r="V30" i="1"/>
  <c r="S34" i="2"/>
  <c r="Q34" i="2"/>
  <c r="N34" i="2"/>
  <c r="L34" i="2"/>
  <c r="G35" i="2"/>
  <c r="V29" i="1"/>
  <c r="N33" i="2"/>
  <c r="L33" i="2"/>
  <c r="G34" i="2"/>
  <c r="N32" i="2"/>
  <c r="L32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28" i="1"/>
  <c r="H17" i="1"/>
  <c r="H25" i="1" s="1"/>
  <c r="H26" i="1" s="1"/>
  <c r="V12" i="1"/>
  <c r="N37" i="2" l="1"/>
  <c r="N40" i="2"/>
  <c r="L40" i="2"/>
  <c r="H24" i="1"/>
  <c r="W26" i="2"/>
  <c r="H16" i="1"/>
  <c r="T61" i="2"/>
  <c r="R24" i="2"/>
  <c r="W24" i="2"/>
  <c r="H12" i="1"/>
  <c r="R25" i="2"/>
  <c r="R31" i="2"/>
  <c r="H18" i="1"/>
  <c r="H27" i="1" s="1"/>
  <c r="R26" i="2"/>
  <c r="W25" i="2"/>
  <c r="R40" i="2"/>
  <c r="W40" i="2"/>
  <c r="W31" i="2"/>
  <c r="S37" i="2"/>
  <c r="H37" i="1" l="1"/>
  <c r="H35" i="1"/>
  <c r="V32" i="1"/>
  <c r="V31" i="1" s="1"/>
  <c r="H19" i="1"/>
  <c r="W27" i="2"/>
  <c r="W41" i="2" s="1"/>
  <c r="R27" i="2"/>
  <c r="R41" i="2" s="1"/>
  <c r="R44" i="2" l="1"/>
  <c r="R49" i="2" s="1"/>
  <c r="W44" i="2"/>
  <c r="W49" i="2" s="1"/>
  <c r="H28" i="1"/>
  <c r="H29" i="1" s="1"/>
  <c r="H40" i="1" s="1"/>
  <c r="H20" i="1"/>
  <c r="H30" i="1" l="1"/>
  <c r="M26" i="2" l="1"/>
  <c r="M24" i="2"/>
  <c r="M31" i="2"/>
  <c r="M25" i="2"/>
  <c r="M27" i="2" l="1"/>
  <c r="M49" i="2" l="1"/>
  <c r="V25" i="1" l="1"/>
  <c r="O40" i="2" l="1"/>
  <c r="O24" i="2" l="1"/>
  <c r="J24" i="2"/>
  <c r="S29" i="1" l="1"/>
  <c r="S28" i="1" l="1"/>
  <c r="T54" i="2"/>
  <c r="T60" i="2"/>
  <c r="T63" i="2" l="1"/>
  <c r="O25" i="2" l="1"/>
  <c r="J25" i="2"/>
  <c r="J31" i="2" l="1"/>
  <c r="O31" i="2" l="1"/>
  <c r="E18" i="1" l="1"/>
  <c r="E27" i="1" l="1"/>
  <c r="T31" i="2" l="1"/>
  <c r="T53" i="2" l="1"/>
  <c r="J26" i="2" l="1"/>
  <c r="O26" i="2"/>
  <c r="J27" i="2" l="1"/>
  <c r="O27" i="2"/>
  <c r="O41" i="2" s="1"/>
  <c r="AJ27" i="2" l="1"/>
  <c r="AJ22" i="2"/>
  <c r="AJ23" i="2"/>
  <c r="AJ19" i="2"/>
  <c r="AJ11" i="2"/>
  <c r="AJ12" i="2"/>
  <c r="AJ20" i="2"/>
  <c r="AJ21" i="2"/>
  <c r="AJ14" i="2"/>
  <c r="AJ17" i="2"/>
  <c r="AJ8" i="2"/>
  <c r="AJ13" i="2"/>
  <c r="AJ10" i="2"/>
  <c r="AJ7" i="2"/>
  <c r="AJ18" i="2"/>
  <c r="AJ9" i="2"/>
  <c r="AJ15" i="2"/>
  <c r="AJ16" i="2"/>
  <c r="AJ24" i="2"/>
  <c r="AJ25" i="2"/>
  <c r="AJ26" i="2"/>
  <c r="J49" i="2"/>
  <c r="E12" i="1"/>
  <c r="O44" i="2" l="1"/>
  <c r="O49" i="2" s="1"/>
  <c r="O51" i="2"/>
  <c r="O52" i="2" l="1"/>
  <c r="T24" i="2" l="1"/>
  <c r="T25" i="2" l="1"/>
  <c r="E17" i="1" l="1"/>
  <c r="T26" i="2" l="1"/>
  <c r="E25" i="1"/>
  <c r="E19" i="1"/>
  <c r="E20" i="1" s="1"/>
  <c r="E16" i="1"/>
  <c r="T27" i="2" l="1"/>
  <c r="E26" i="1"/>
  <c r="S30" i="1" l="1"/>
  <c r="T52" i="2"/>
  <c r="E24" i="1" l="1"/>
  <c r="E28" i="1"/>
  <c r="E29" i="1" s="1"/>
  <c r="E40" i="1" s="1"/>
  <c r="T55" i="2"/>
  <c r="T56" i="2" l="1"/>
  <c r="T57" i="2"/>
  <c r="T64" i="2"/>
  <c r="T68" i="2"/>
  <c r="T40" i="2"/>
  <c r="T41" i="2" s="1"/>
  <c r="S32" i="1" l="1"/>
  <c r="T44" i="2"/>
  <c r="T49" i="2" s="1"/>
  <c r="T65" i="2"/>
  <c r="E30" i="1"/>
  <c r="S31" i="1" l="1"/>
  <c r="T70" i="2"/>
  <c r="T71" i="2" s="1"/>
  <c r="AB27" i="37" l="1"/>
  <c r="W27" i="37"/>
  <c r="W25" i="37"/>
  <c r="AB26" i="37" l="1"/>
  <c r="W26" i="37"/>
  <c r="W28" i="37" s="1"/>
  <c r="AB25" i="37" l="1"/>
  <c r="AB28" i="37" s="1"/>
  <c r="N11" i="34" l="1"/>
  <c r="N14" i="34"/>
  <c r="N20" i="34"/>
  <c r="N21" i="34" s="1"/>
  <c r="N26" i="34"/>
  <c r="N17" i="34"/>
  <c r="N18" i="34"/>
  <c r="N19" i="34" s="1"/>
  <c r="N22" i="34" l="1"/>
  <c r="N27" i="34" s="1"/>
  <c r="N28" i="34" l="1"/>
  <c r="N31" i="34"/>
  <c r="N23" i="34"/>
  <c r="N32" i="34" l="1"/>
  <c r="N34" i="34"/>
  <c r="N35" i="34" s="1"/>
  <c r="J12" i="34"/>
  <c r="H12" i="34"/>
  <c r="G11" i="34"/>
  <c r="G18" i="34"/>
  <c r="J15" i="34"/>
  <c r="H15" i="34"/>
  <c r="H24" i="34"/>
  <c r="J24" i="34"/>
  <c r="W36" i="1"/>
  <c r="O15" i="34" l="1"/>
  <c r="M15" i="34"/>
  <c r="L11" i="34"/>
  <c r="J10" i="34"/>
  <c r="H10" i="34"/>
  <c r="M12" i="34"/>
  <c r="O12" i="34"/>
  <c r="L18" i="34"/>
  <c r="J18" i="34"/>
  <c r="G19" i="34"/>
  <c r="H18" i="34"/>
  <c r="J11" i="34"/>
  <c r="H11" i="34"/>
  <c r="O24" i="34"/>
  <c r="M24" i="34"/>
  <c r="J19" i="34" l="1"/>
  <c r="H19" i="34"/>
  <c r="M11" i="34"/>
  <c r="O11" i="34"/>
  <c r="O18" i="34"/>
  <c r="L19" i="34"/>
  <c r="M18" i="34"/>
  <c r="O10" i="34"/>
  <c r="M10" i="34"/>
  <c r="H25" i="34"/>
  <c r="J25" i="34"/>
  <c r="G26" i="34"/>
  <c r="M19" i="34" l="1"/>
  <c r="O19" i="34"/>
  <c r="H26" i="34"/>
  <c r="J26" i="34"/>
  <c r="M25" i="34"/>
  <c r="O25" i="34"/>
  <c r="L26" i="34"/>
  <c r="O26" i="34" l="1"/>
  <c r="M26" i="34"/>
  <c r="G17" i="34" l="1"/>
  <c r="J16" i="34"/>
  <c r="H16" i="34"/>
  <c r="U36" i="1"/>
  <c r="H17" i="34" l="1"/>
  <c r="J17" i="34"/>
  <c r="G20" i="34"/>
  <c r="G14" i="34"/>
  <c r="H13" i="34"/>
  <c r="J13" i="34"/>
  <c r="L17" i="34"/>
  <c r="M16" i="34"/>
  <c r="O16" i="34"/>
  <c r="L14" i="34" l="1"/>
  <c r="M13" i="34"/>
  <c r="L20" i="34"/>
  <c r="O13" i="34"/>
  <c r="M17" i="34"/>
  <c r="O17" i="34"/>
  <c r="J14" i="34"/>
  <c r="H14" i="34"/>
  <c r="G21" i="34"/>
  <c r="J20" i="34"/>
  <c r="H20" i="34"/>
  <c r="G22" i="34"/>
  <c r="G27" i="34" s="1"/>
  <c r="G28" i="34" l="1"/>
  <c r="H27" i="34"/>
  <c r="G31" i="34"/>
  <c r="J27" i="34"/>
  <c r="W37" i="1"/>
  <c r="U37" i="1"/>
  <c r="G23" i="34"/>
  <c r="H22" i="34"/>
  <c r="J22" i="34"/>
  <c r="M20" i="34"/>
  <c r="L22" i="34"/>
  <c r="L27" i="34" s="1"/>
  <c r="L21" i="34"/>
  <c r="O20" i="34"/>
  <c r="J21" i="34"/>
  <c r="H21" i="34"/>
  <c r="O14" i="34"/>
  <c r="M14" i="34"/>
  <c r="G32" i="34" l="1"/>
  <c r="G34" i="34"/>
  <c r="H31" i="34"/>
  <c r="J31" i="34"/>
  <c r="L28" i="34"/>
  <c r="O27" i="34"/>
  <c r="L31" i="34"/>
  <c r="M27" i="34"/>
  <c r="J28" i="34"/>
  <c r="H28" i="34"/>
  <c r="M21" i="34"/>
  <c r="O21" i="34"/>
  <c r="L23" i="34"/>
  <c r="O22" i="34"/>
  <c r="M22" i="34"/>
  <c r="J23" i="34"/>
  <c r="H23" i="34"/>
  <c r="G35" i="34" l="1"/>
  <c r="J34" i="34"/>
  <c r="H34" i="34"/>
  <c r="L32" i="34"/>
  <c r="O31" i="34"/>
  <c r="L34" i="34"/>
  <c r="M31" i="34"/>
  <c r="O28" i="34"/>
  <c r="M28" i="34"/>
  <c r="J32" i="34"/>
  <c r="H32" i="34"/>
  <c r="M23" i="34"/>
  <c r="O23" i="34"/>
  <c r="O32" i="34" l="1"/>
  <c r="M32" i="34"/>
  <c r="L35" i="34"/>
  <c r="O34" i="34"/>
  <c r="M34" i="34"/>
  <c r="J35" i="34"/>
  <c r="H35" i="34"/>
  <c r="O35" i="34" l="1"/>
  <c r="M35" i="34"/>
  <c r="W15" i="1" l="1"/>
  <c r="W14" i="1"/>
  <c r="W16" i="1"/>
  <c r="W13" i="1"/>
  <c r="T12" i="1" l="1"/>
  <c r="W9" i="1"/>
  <c r="W11" i="1"/>
  <c r="W10" i="1"/>
  <c r="W12" i="1" l="1"/>
  <c r="N12" i="37" l="1"/>
  <c r="K26" i="37" l="1"/>
  <c r="N9" i="37"/>
  <c r="N8" i="37"/>
  <c r="K25" i="37"/>
  <c r="N18" i="37"/>
  <c r="N13" i="37"/>
  <c r="N16" i="37"/>
  <c r="N17" i="37"/>
  <c r="N21" i="37"/>
  <c r="N15" i="37"/>
  <c r="N14" i="37"/>
  <c r="N23" i="37"/>
  <c r="N24" i="37"/>
  <c r="N10" i="37"/>
  <c r="N11" i="37"/>
  <c r="N19" i="37"/>
  <c r="N22" i="37"/>
  <c r="K27" i="37"/>
  <c r="N20" i="37"/>
  <c r="N26" i="37" l="1"/>
  <c r="N27" i="37"/>
  <c r="K28" i="37"/>
  <c r="N25" i="37"/>
  <c r="N28" i="37" l="1"/>
  <c r="S22" i="37" l="1"/>
  <c r="S16" i="37"/>
  <c r="S21" i="37"/>
  <c r="S9" i="37"/>
  <c r="S20" i="37"/>
  <c r="P27" i="37"/>
  <c r="S17" i="37"/>
  <c r="S12" i="37"/>
  <c r="P26" i="37"/>
  <c r="S23" i="37"/>
  <c r="S13" i="37"/>
  <c r="S18" i="37"/>
  <c r="S24" i="37"/>
  <c r="S15" i="37"/>
  <c r="S11" i="37"/>
  <c r="S8" i="37"/>
  <c r="S19" i="37"/>
  <c r="S14" i="37"/>
  <c r="S26" i="37" l="1"/>
  <c r="S27" i="37"/>
  <c r="AB34" i="2" l="1"/>
  <c r="AB33" i="2" l="1"/>
  <c r="AB35" i="2" l="1"/>
  <c r="AJ40" i="2" s="1"/>
  <c r="AJ41" i="2" s="1"/>
  <c r="AF31" i="2" l="1"/>
  <c r="S10" i="37" l="1"/>
  <c r="P25" i="37"/>
  <c r="P28" i="37" l="1"/>
  <c r="S25" i="37"/>
  <c r="S28" i="37" l="1"/>
  <c r="I32" i="1" l="1"/>
  <c r="G32" i="1"/>
  <c r="N43" i="2"/>
  <c r="G48" i="2"/>
  <c r="L43" i="2"/>
  <c r="F48" i="2"/>
  <c r="X38" i="2" l="1"/>
  <c r="V38" i="2"/>
  <c r="L17" i="2" l="1"/>
  <c r="N30" i="2"/>
  <c r="N19" i="2"/>
  <c r="N15" i="2"/>
  <c r="N12" i="2"/>
  <c r="N13" i="2"/>
  <c r="L9" i="2"/>
  <c r="L20" i="2"/>
  <c r="N18" i="2"/>
  <c r="L16" i="2"/>
  <c r="L23" i="2"/>
  <c r="L29" i="2"/>
  <c r="N10" i="2"/>
  <c r="L21" i="2"/>
  <c r="L14" i="2"/>
  <c r="N14" i="2"/>
  <c r="N17" i="2"/>
  <c r="N32" i="1"/>
  <c r="L32" i="1"/>
  <c r="N8" i="2"/>
  <c r="L8" i="2"/>
  <c r="N43" i="38"/>
  <c r="L43" i="38"/>
  <c r="G48" i="38"/>
  <c r="F48" i="38"/>
  <c r="L18" i="2" l="1"/>
  <c r="N16" i="2"/>
  <c r="N21" i="2"/>
  <c r="L19" i="2"/>
  <c r="L30" i="2"/>
  <c r="N29" i="2"/>
  <c r="L10" i="2"/>
  <c r="L12" i="2"/>
  <c r="N9" i="2"/>
  <c r="L15" i="2"/>
  <c r="S16" i="2"/>
  <c r="S17" i="2"/>
  <c r="N20" i="2"/>
  <c r="Q22" i="2"/>
  <c r="S15" i="2"/>
  <c r="K24" i="2"/>
  <c r="N23" i="2"/>
  <c r="N22" i="2"/>
  <c r="Q20" i="2"/>
  <c r="N28" i="2"/>
  <c r="Q18" i="2"/>
  <c r="Q14" i="2"/>
  <c r="Q7" i="2"/>
  <c r="Q10" i="2"/>
  <c r="S28" i="2"/>
  <c r="Q13" i="2"/>
  <c r="L13" i="2"/>
  <c r="S23" i="2"/>
  <c r="Q9" i="2"/>
  <c r="Q21" i="2"/>
  <c r="K25" i="2"/>
  <c r="Q12" i="2"/>
  <c r="S29" i="2"/>
  <c r="S30" i="2"/>
  <c r="S14" i="2"/>
  <c r="Q23" i="2"/>
  <c r="Q30" i="2"/>
  <c r="S18" i="2" l="1"/>
  <c r="Q17" i="2"/>
  <c r="L7" i="2"/>
  <c r="N7" i="2"/>
  <c r="S7" i="2"/>
  <c r="K31" i="2"/>
  <c r="N31" i="2" s="1"/>
  <c r="L22" i="2"/>
  <c r="Q16" i="2"/>
  <c r="S20" i="2"/>
  <c r="S10" i="2"/>
  <c r="Q29" i="2"/>
  <c r="L28" i="2"/>
  <c r="P24" i="2"/>
  <c r="Q24" i="2" s="1"/>
  <c r="S8" i="2"/>
  <c r="Q8" i="2"/>
  <c r="P26" i="2"/>
  <c r="Q26" i="2" s="1"/>
  <c r="S12" i="2"/>
  <c r="P25" i="2"/>
  <c r="Q25" i="2" s="1"/>
  <c r="N11" i="2"/>
  <c r="K26" i="2"/>
  <c r="K27" i="2" s="1"/>
  <c r="AK24" i="2" s="1"/>
  <c r="L11" i="2"/>
  <c r="S22" i="2"/>
  <c r="Q11" i="2"/>
  <c r="S11" i="2"/>
  <c r="S21" i="2"/>
  <c r="Q19" i="2"/>
  <c r="Q32" i="2"/>
  <c r="S9" i="2"/>
  <c r="Q33" i="2"/>
  <c r="Q28" i="2"/>
  <c r="S19" i="2"/>
  <c r="P31" i="2"/>
  <c r="Q31" i="2" s="1"/>
  <c r="Q15" i="2"/>
  <c r="S13" i="2"/>
  <c r="G10" i="1"/>
  <c r="I10" i="1"/>
  <c r="F18" i="1"/>
  <c r="F17" i="1"/>
  <c r="G13" i="1"/>
  <c r="I13" i="1"/>
  <c r="G9" i="1"/>
  <c r="I9" i="1"/>
  <c r="G14" i="1"/>
  <c r="I14" i="1"/>
  <c r="F16" i="1"/>
  <c r="S43" i="2"/>
  <c r="Q43" i="2"/>
  <c r="G34" i="1"/>
  <c r="F35" i="1"/>
  <c r="G35" i="1" s="1"/>
  <c r="I34" i="1"/>
  <c r="I33" i="1"/>
  <c r="G33" i="1"/>
  <c r="I7" i="1"/>
  <c r="G7" i="1"/>
  <c r="G8" i="1"/>
  <c r="I8" i="1"/>
  <c r="F25" i="2"/>
  <c r="N25" i="2"/>
  <c r="L25" i="2"/>
  <c r="N24" i="2"/>
  <c r="F24" i="2"/>
  <c r="L24" i="2"/>
  <c r="F49" i="2" l="1"/>
  <c r="L31" i="2"/>
  <c r="G49" i="2"/>
  <c r="S26" i="2"/>
  <c r="F26" i="2"/>
  <c r="S24" i="2"/>
  <c r="N26" i="2"/>
  <c r="P27" i="2"/>
  <c r="Q27" i="2" s="1"/>
  <c r="L26" i="2"/>
  <c r="S25" i="2"/>
  <c r="S33" i="2"/>
  <c r="S32" i="2"/>
  <c r="V18" i="2"/>
  <c r="X8" i="2"/>
  <c r="X36" i="2"/>
  <c r="S31" i="2"/>
  <c r="X22" i="2"/>
  <c r="X13" i="2"/>
  <c r="X10" i="2"/>
  <c r="V20" i="2"/>
  <c r="X17" i="2"/>
  <c r="V15" i="2"/>
  <c r="V7" i="2"/>
  <c r="V21" i="2"/>
  <c r="V23" i="2"/>
  <c r="X30" i="2"/>
  <c r="X19" i="2"/>
  <c r="X16" i="2"/>
  <c r="K49" i="2"/>
  <c r="V9" i="2"/>
  <c r="X14" i="2"/>
  <c r="U61" i="2"/>
  <c r="V61" i="2" s="1"/>
  <c r="V11" i="2"/>
  <c r="V12" i="2"/>
  <c r="S27" i="2"/>
  <c r="I35" i="1"/>
  <c r="F12" i="1"/>
  <c r="F19" i="1"/>
  <c r="F20" i="1" s="1"/>
  <c r="I11" i="1"/>
  <c r="G11" i="1"/>
  <c r="I16" i="1"/>
  <c r="G16" i="1"/>
  <c r="I17" i="1"/>
  <c r="G17" i="1"/>
  <c r="G18" i="1"/>
  <c r="I18" i="1"/>
  <c r="I15" i="1"/>
  <c r="G15" i="1"/>
  <c r="AL24" i="2"/>
  <c r="AP24" i="2"/>
  <c r="AQ24" i="2" s="1"/>
  <c r="AK25" i="2"/>
  <c r="N27" i="2"/>
  <c r="F23" i="2"/>
  <c r="AK27" i="2"/>
  <c r="L27" i="2"/>
  <c r="G27" i="2"/>
  <c r="F27" i="2"/>
  <c r="AK10" i="2"/>
  <c r="AK8" i="2"/>
  <c r="AK16" i="2"/>
  <c r="AK18" i="2"/>
  <c r="AK13" i="2"/>
  <c r="AK9" i="2"/>
  <c r="AK21" i="2"/>
  <c r="AK23" i="2"/>
  <c r="AK14" i="2"/>
  <c r="AK12" i="2"/>
  <c r="AK20" i="2"/>
  <c r="AK17" i="2"/>
  <c r="AK19" i="2"/>
  <c r="AK15" i="2"/>
  <c r="AK7" i="2"/>
  <c r="AK11" i="2"/>
  <c r="AK22" i="2"/>
  <c r="AK26" i="2"/>
  <c r="X18" i="2" l="1"/>
  <c r="U62" i="2"/>
  <c r="V62" i="2" s="1"/>
  <c r="X21" i="2"/>
  <c r="V17" i="2"/>
  <c r="X7" i="2"/>
  <c r="X20" i="2"/>
  <c r="X11" i="2"/>
  <c r="X15" i="2"/>
  <c r="V8" i="2"/>
  <c r="V10" i="2"/>
  <c r="V19" i="2"/>
  <c r="V30" i="2"/>
  <c r="U24" i="2"/>
  <c r="V24" i="2" s="1"/>
  <c r="U25" i="2"/>
  <c r="V25" i="2" s="1"/>
  <c r="V36" i="2"/>
  <c r="T29" i="1"/>
  <c r="X35" i="2"/>
  <c r="V35" i="2"/>
  <c r="V14" i="2"/>
  <c r="U26" i="2"/>
  <c r="U27" i="2" s="1"/>
  <c r="V13" i="2"/>
  <c r="V22" i="2"/>
  <c r="X9" i="2"/>
  <c r="V16" i="2"/>
  <c r="X23" i="2"/>
  <c r="X12" i="2"/>
  <c r="G19" i="1"/>
  <c r="I19" i="1"/>
  <c r="V43" i="2"/>
  <c r="X43" i="2"/>
  <c r="G12" i="1"/>
  <c r="I12" i="1"/>
  <c r="I36" i="1"/>
  <c r="F37" i="1"/>
  <c r="G36" i="1"/>
  <c r="G20" i="1"/>
  <c r="I20" i="1"/>
  <c r="AP16" i="2"/>
  <c r="AQ16" i="2" s="1"/>
  <c r="AL16" i="2"/>
  <c r="AP14" i="2"/>
  <c r="AQ14" i="2" s="1"/>
  <c r="AL14" i="2"/>
  <c r="AP18" i="2"/>
  <c r="AQ18" i="2" s="1"/>
  <c r="AL18" i="2"/>
  <c r="AL8" i="2"/>
  <c r="AP8" i="2"/>
  <c r="AQ8" i="2" s="1"/>
  <c r="AL10" i="2"/>
  <c r="AP10" i="2"/>
  <c r="AQ10" i="2" s="1"/>
  <c r="AP20" i="2"/>
  <c r="AQ20" i="2" s="1"/>
  <c r="AL20" i="2"/>
  <c r="AL12" i="2"/>
  <c r="AP12" i="2"/>
  <c r="AQ12" i="2" s="1"/>
  <c r="AP26" i="2"/>
  <c r="AQ26" i="2" s="1"/>
  <c r="AL26" i="2"/>
  <c r="AP22" i="2"/>
  <c r="AQ22" i="2" s="1"/>
  <c r="AL22" i="2"/>
  <c r="AP7" i="2"/>
  <c r="AQ7" i="2" s="1"/>
  <c r="AL7" i="2"/>
  <c r="AP15" i="2"/>
  <c r="AQ15" i="2" s="1"/>
  <c r="AL15" i="2"/>
  <c r="AL19" i="2"/>
  <c r="AP19" i="2"/>
  <c r="AQ19" i="2" s="1"/>
  <c r="AL23" i="2"/>
  <c r="AP23" i="2"/>
  <c r="AQ23" i="2" s="1"/>
  <c r="AP21" i="2"/>
  <c r="AQ21" i="2" s="1"/>
  <c r="AL21" i="2"/>
  <c r="AL9" i="2"/>
  <c r="AP9" i="2"/>
  <c r="AQ9" i="2" s="1"/>
  <c r="AL13" i="2"/>
  <c r="AP13" i="2"/>
  <c r="AQ13" i="2" s="1"/>
  <c r="AL27" i="2"/>
  <c r="AP27" i="2"/>
  <c r="AP11" i="2"/>
  <c r="AQ11" i="2" s="1"/>
  <c r="AL11" i="2"/>
  <c r="AP25" i="2"/>
  <c r="AQ25" i="2" s="1"/>
  <c r="AL25" i="2"/>
  <c r="AL17" i="2"/>
  <c r="AP17" i="2"/>
  <c r="AQ17" i="2" s="1"/>
  <c r="X24" i="2" l="1"/>
  <c r="U60" i="2"/>
  <c r="V60" i="2" s="1"/>
  <c r="V26" i="2"/>
  <c r="X26" i="2"/>
  <c r="X25" i="2"/>
  <c r="V33" i="2"/>
  <c r="X33" i="2"/>
  <c r="U54" i="2"/>
  <c r="T28" i="1"/>
  <c r="V32" i="2"/>
  <c r="X32" i="2"/>
  <c r="V27" i="2"/>
  <c r="X27" i="2"/>
  <c r="V54" i="2"/>
  <c r="W29" i="1"/>
  <c r="U29" i="1"/>
  <c r="G37" i="1"/>
  <c r="I37" i="1"/>
  <c r="U28" i="1"/>
  <c r="W28" i="1"/>
  <c r="V38" i="38"/>
  <c r="X38" i="38"/>
  <c r="Q39" i="2"/>
  <c r="S39" i="2"/>
  <c r="P40" i="2"/>
  <c r="AQ27" i="2"/>
  <c r="AJ34" i="2" s="1"/>
  <c r="S40" i="2" l="1"/>
  <c r="Q40" i="2"/>
  <c r="P41" i="2"/>
  <c r="P44" i="2" l="1"/>
  <c r="G42" i="2"/>
  <c r="S41" i="2"/>
  <c r="Q41" i="2"/>
  <c r="P51" i="2"/>
  <c r="P52" i="2" l="1"/>
  <c r="Q51" i="2"/>
  <c r="S44" i="2"/>
  <c r="Q44" i="2"/>
  <c r="P49" i="2"/>
  <c r="Q52" i="2" l="1"/>
  <c r="Q53" i="2"/>
  <c r="L7" i="38" l="1"/>
  <c r="N7" i="38"/>
  <c r="K24" i="38"/>
  <c r="N23" i="38"/>
  <c r="L23" i="38"/>
  <c r="L29" i="38"/>
  <c r="N29" i="38"/>
  <c r="N17" i="38"/>
  <c r="L17" i="38"/>
  <c r="L18" i="38"/>
  <c r="N18" i="38"/>
  <c r="N10" i="38"/>
  <c r="L10" i="38"/>
  <c r="L8" i="38"/>
  <c r="N8" i="38"/>
  <c r="L13" i="38"/>
  <c r="N13" i="38"/>
  <c r="K25" i="38"/>
  <c r="N11" i="38"/>
  <c r="L11" i="38"/>
  <c r="L16" i="38"/>
  <c r="N16" i="38"/>
  <c r="L20" i="38"/>
  <c r="N20" i="38"/>
  <c r="L15" i="38"/>
  <c r="N15" i="38"/>
  <c r="L12" i="38"/>
  <c r="N12" i="38"/>
  <c r="L14" i="38"/>
  <c r="N14" i="38"/>
  <c r="L21" i="38"/>
  <c r="N21" i="38"/>
  <c r="L28" i="38"/>
  <c r="K31" i="38"/>
  <c r="N28" i="38"/>
  <c r="N19" i="38"/>
  <c r="K26" i="38"/>
  <c r="L19" i="38"/>
  <c r="N30" i="38"/>
  <c r="L30" i="38"/>
  <c r="L9" i="38"/>
  <c r="N9" i="38"/>
  <c r="L22" i="38"/>
  <c r="N22" i="38"/>
  <c r="S30" i="38" l="1"/>
  <c r="Q30" i="38"/>
  <c r="Q19" i="38"/>
  <c r="S19" i="38"/>
  <c r="L26" i="38"/>
  <c r="F26" i="38"/>
  <c r="N26" i="38"/>
  <c r="L31" i="38"/>
  <c r="N31" i="38"/>
  <c r="F49" i="38"/>
  <c r="G49" i="38"/>
  <c r="N7" i="1"/>
  <c r="L7" i="1"/>
  <c r="L24" i="38"/>
  <c r="K27" i="38"/>
  <c r="F24" i="38"/>
  <c r="N24" i="38"/>
  <c r="N8" i="1"/>
  <c r="L8" i="1"/>
  <c r="L25" i="38"/>
  <c r="F25" i="38"/>
  <c r="N25" i="38"/>
  <c r="S21" i="38" l="1"/>
  <c r="Q21" i="38"/>
  <c r="S20" i="38"/>
  <c r="Q20" i="38"/>
  <c r="S18" i="38"/>
  <c r="Q18" i="38"/>
  <c r="S23" i="38"/>
  <c r="Q23" i="38"/>
  <c r="P26" i="38"/>
  <c r="S22" i="38"/>
  <c r="Q22" i="38"/>
  <c r="K49" i="38"/>
  <c r="G27" i="38"/>
  <c r="F23" i="38"/>
  <c r="L27" i="38"/>
  <c r="N27" i="38"/>
  <c r="F27" i="38"/>
  <c r="U61" i="38" l="1"/>
  <c r="V61" i="38" s="1"/>
  <c r="X35" i="38"/>
  <c r="V35" i="38"/>
  <c r="S26" i="38"/>
  <c r="Q26" i="38"/>
  <c r="V18" i="38"/>
  <c r="X18" i="38"/>
  <c r="U62" i="38"/>
  <c r="V62" i="38" s="1"/>
  <c r="X36" i="38"/>
  <c r="V36" i="38"/>
  <c r="X23" i="38"/>
  <c r="V23" i="38"/>
  <c r="X19" i="38"/>
  <c r="V19" i="38"/>
  <c r="U26" i="38" l="1"/>
  <c r="X26" i="38" s="1"/>
  <c r="X22" i="38"/>
  <c r="V22" i="38"/>
  <c r="V21" i="38"/>
  <c r="X21" i="38"/>
  <c r="V20" i="38"/>
  <c r="X20" i="38"/>
  <c r="V26" i="38" l="1"/>
  <c r="Q10" i="38" l="1"/>
  <c r="S10" i="38"/>
  <c r="Q12" i="38" l="1"/>
  <c r="S12" i="38"/>
  <c r="S28" i="38"/>
  <c r="Q28" i="38"/>
  <c r="P31" i="38"/>
  <c r="S17" i="38"/>
  <c r="Q17" i="38"/>
  <c r="Q14" i="38"/>
  <c r="S14" i="38"/>
  <c r="Q9" i="38"/>
  <c r="S9" i="38"/>
  <c r="S29" i="38"/>
  <c r="Q29" i="38"/>
  <c r="S8" i="38"/>
  <c r="Q8" i="38"/>
  <c r="Q13" i="38"/>
  <c r="S13" i="38"/>
  <c r="Q16" i="38"/>
  <c r="S16" i="38"/>
  <c r="S15" i="38"/>
  <c r="Q15" i="38"/>
  <c r="P24" i="38"/>
  <c r="Q7" i="38"/>
  <c r="S7" i="38"/>
  <c r="S11" i="38"/>
  <c r="Q11" i="38"/>
  <c r="P25" i="38"/>
  <c r="L9" i="1" l="1"/>
  <c r="N9" i="1"/>
  <c r="Q43" i="38"/>
  <c r="S43" i="38"/>
  <c r="S31" i="38"/>
  <c r="Q31" i="38"/>
  <c r="P27" i="38"/>
  <c r="S24" i="38"/>
  <c r="Q24" i="38"/>
  <c r="S25" i="38"/>
  <c r="Q25" i="38"/>
  <c r="N10" i="1"/>
  <c r="L10" i="1"/>
  <c r="N33" i="1"/>
  <c r="L33" i="1"/>
  <c r="S32" i="38" l="1"/>
  <c r="Q32" i="38"/>
  <c r="Q27" i="38"/>
  <c r="S27" i="38"/>
  <c r="P40" i="38" l="1"/>
  <c r="L11" i="1"/>
  <c r="N11" i="1"/>
  <c r="K12" i="1"/>
  <c r="Q33" i="38"/>
  <c r="S33" i="38"/>
  <c r="Q40" i="38" l="1"/>
  <c r="S40" i="38"/>
  <c r="P41" i="38"/>
  <c r="S39" i="38"/>
  <c r="Q39" i="38"/>
  <c r="N12" i="1"/>
  <c r="L12" i="1"/>
  <c r="P44" i="38" l="1"/>
  <c r="G42" i="38"/>
  <c r="Q41" i="38"/>
  <c r="S41" i="38"/>
  <c r="P51" i="38"/>
  <c r="K35" i="1" l="1"/>
  <c r="N34" i="1"/>
  <c r="L34" i="1"/>
  <c r="P52" i="38"/>
  <c r="Q51" i="38"/>
  <c r="S44" i="38"/>
  <c r="Q44" i="38"/>
  <c r="P49" i="38"/>
  <c r="Q53" i="38" l="1"/>
  <c r="Q52" i="38"/>
  <c r="L35" i="1"/>
  <c r="N35" i="1"/>
  <c r="N14" i="1" l="1"/>
  <c r="L14" i="1"/>
  <c r="K18" i="1"/>
  <c r="L13" i="1"/>
  <c r="N13" i="1"/>
  <c r="K17" i="1"/>
  <c r="N15" i="1" l="1"/>
  <c r="L15" i="1"/>
  <c r="K19" i="1"/>
  <c r="K16" i="1"/>
  <c r="L17" i="1"/>
  <c r="N17" i="1"/>
  <c r="K20" i="1"/>
  <c r="N18" i="1"/>
  <c r="L18" i="1"/>
  <c r="L16" i="1" l="1"/>
  <c r="N16" i="1"/>
  <c r="N19" i="1"/>
  <c r="L19" i="1"/>
  <c r="N20" i="1"/>
  <c r="L20" i="1"/>
  <c r="V33" i="38" l="1"/>
  <c r="X33" i="38"/>
  <c r="V10" i="38" l="1"/>
  <c r="X10" i="38"/>
  <c r="X7" i="38" l="1"/>
  <c r="V7" i="38"/>
  <c r="V8" i="38" l="1"/>
  <c r="X8" i="38"/>
  <c r="V9" i="38" l="1"/>
  <c r="X9" i="38"/>
  <c r="U24" i="38"/>
  <c r="X24" i="38" l="1"/>
  <c r="V24" i="38"/>
  <c r="V17" i="38" l="1"/>
  <c r="X17" i="38"/>
  <c r="V16" i="38" l="1"/>
  <c r="X16" i="38"/>
  <c r="X11" i="38" l="1"/>
  <c r="V11" i="38"/>
  <c r="V14" i="38" l="1"/>
  <c r="X14" i="38"/>
  <c r="X12" i="38"/>
  <c r="V12" i="38"/>
  <c r="X15" i="38"/>
  <c r="V15" i="38"/>
  <c r="V13" i="38" l="1"/>
  <c r="X13" i="38"/>
  <c r="U25" i="38"/>
  <c r="X25" i="38" l="1"/>
  <c r="V25" i="38"/>
  <c r="U27" i="38"/>
  <c r="V27" i="38" l="1"/>
  <c r="X27" i="38"/>
  <c r="V32" i="38" l="1"/>
  <c r="U54" i="38"/>
  <c r="U60" i="38"/>
  <c r="X32" i="38"/>
  <c r="V60" i="38" l="1"/>
  <c r="V54" i="38"/>
  <c r="V30" i="38" l="1"/>
  <c r="X30" i="38"/>
  <c r="K37" i="1" l="1"/>
  <c r="N36" i="1"/>
  <c r="L36" i="1"/>
  <c r="V43" i="38"/>
  <c r="X43" i="38"/>
  <c r="L37" i="1" l="1"/>
  <c r="N37" i="1"/>
  <c r="U31" i="2" l="1"/>
  <c r="I22" i="1"/>
  <c r="G22" i="1"/>
  <c r="F27" i="1"/>
  <c r="V29" i="38"/>
  <c r="X29" i="38"/>
  <c r="X29" i="2"/>
  <c r="V29" i="2"/>
  <c r="V28" i="2" l="1"/>
  <c r="X28" i="2"/>
  <c r="X37" i="2"/>
  <c r="X31" i="2"/>
  <c r="V31" i="2"/>
  <c r="U53" i="2"/>
  <c r="V53" i="2" s="1"/>
  <c r="I21" i="1"/>
  <c r="G21" i="1"/>
  <c r="F25" i="1"/>
  <c r="X34" i="2"/>
  <c r="T30" i="1"/>
  <c r="V34" i="2"/>
  <c r="U52" i="2"/>
  <c r="N22" i="1"/>
  <c r="L22" i="1"/>
  <c r="K27" i="1"/>
  <c r="V28" i="38"/>
  <c r="X28" i="38"/>
  <c r="U31" i="38"/>
  <c r="I27" i="1"/>
  <c r="G27" i="1"/>
  <c r="V37" i="2" l="1"/>
  <c r="U63" i="2"/>
  <c r="G23" i="1"/>
  <c r="I23" i="1"/>
  <c r="F28" i="1"/>
  <c r="F29" i="1" s="1"/>
  <c r="W52" i="2"/>
  <c r="V52" i="2"/>
  <c r="U30" i="1"/>
  <c r="W30" i="1"/>
  <c r="N27" i="1"/>
  <c r="L27" i="1"/>
  <c r="G25" i="1"/>
  <c r="I25" i="1"/>
  <c r="F26" i="1"/>
  <c r="N21" i="1"/>
  <c r="L21" i="1"/>
  <c r="K25" i="1"/>
  <c r="F24" i="1"/>
  <c r="V63" i="2"/>
  <c r="U63" i="38"/>
  <c r="V37" i="38"/>
  <c r="X37" i="38"/>
  <c r="V34" i="38"/>
  <c r="X34" i="38"/>
  <c r="U52" i="38"/>
  <c r="U53" i="38"/>
  <c r="V53" i="38" s="1"/>
  <c r="X31" i="38"/>
  <c r="V31" i="38"/>
  <c r="G26" i="1" l="1"/>
  <c r="I26" i="1"/>
  <c r="G24" i="1"/>
  <c r="I24" i="1"/>
  <c r="F30" i="1"/>
  <c r="I29" i="1"/>
  <c r="G29" i="1"/>
  <c r="L25" i="1"/>
  <c r="K26" i="1"/>
  <c r="N25" i="1"/>
  <c r="F40" i="1"/>
  <c r="I28" i="1"/>
  <c r="G28" i="1"/>
  <c r="V63" i="38"/>
  <c r="V52" i="38"/>
  <c r="W52" i="38"/>
  <c r="U55" i="2" l="1"/>
  <c r="N26" i="1"/>
  <c r="L26" i="1"/>
  <c r="N23" i="1"/>
  <c r="L23" i="1"/>
  <c r="K28" i="1"/>
  <c r="K24" i="1"/>
  <c r="G30" i="1"/>
  <c r="I30" i="1"/>
  <c r="U64" i="2"/>
  <c r="V39" i="2"/>
  <c r="X39" i="2"/>
  <c r="U40" i="2"/>
  <c r="U68" i="2"/>
  <c r="V68" i="2" s="1"/>
  <c r="L24" i="1" l="1"/>
  <c r="N24" i="1"/>
  <c r="V64" i="2"/>
  <c r="V65" i="2" s="1"/>
  <c r="U65" i="2"/>
  <c r="U64" i="38"/>
  <c r="X39" i="38"/>
  <c r="V39" i="38"/>
  <c r="U68" i="38"/>
  <c r="V68" i="38" s="1"/>
  <c r="U40" i="38"/>
  <c r="X40" i="2"/>
  <c r="T32" i="1"/>
  <c r="V40" i="2"/>
  <c r="U41" i="2"/>
  <c r="N28" i="1"/>
  <c r="L28" i="1"/>
  <c r="K29" i="1"/>
  <c r="U55" i="38"/>
  <c r="V55" i="2"/>
  <c r="V56" i="2" s="1"/>
  <c r="U56" i="2"/>
  <c r="U57" i="2"/>
  <c r="V57" i="2" s="1"/>
  <c r="V55" i="38" l="1"/>
  <c r="V56" i="38" s="1"/>
  <c r="U56" i="38"/>
  <c r="U57" i="38"/>
  <c r="V57" i="38" s="1"/>
  <c r="U44" i="2"/>
  <c r="X41" i="2"/>
  <c r="V41" i="2"/>
  <c r="U70" i="2"/>
  <c r="U71" i="2" s="1"/>
  <c r="V71" i="2" s="1"/>
  <c r="K30" i="1"/>
  <c r="N29" i="1"/>
  <c r="K40" i="1"/>
  <c r="L29" i="1"/>
  <c r="V64" i="38"/>
  <c r="V65" i="38" s="1"/>
  <c r="U65" i="38"/>
  <c r="T31" i="1"/>
  <c r="U32" i="1"/>
  <c r="W32" i="1"/>
  <c r="V40" i="38"/>
  <c r="X40" i="38"/>
  <c r="U41" i="38"/>
  <c r="W31" i="1" l="1"/>
  <c r="U31" i="1"/>
  <c r="L30" i="1"/>
  <c r="N30" i="1"/>
  <c r="X41" i="38"/>
  <c r="U70" i="38"/>
  <c r="U71" i="38" s="1"/>
  <c r="V71" i="38" s="1"/>
  <c r="V41" i="38"/>
  <c r="U44" i="38"/>
  <c r="X44" i="2"/>
  <c r="V44" i="2"/>
  <c r="U49" i="2"/>
  <c r="V44" i="38" l="1"/>
  <c r="X44" i="38"/>
  <c r="U49" i="38"/>
  <c r="V28" i="25" l="1"/>
  <c r="V26" i="25"/>
  <c r="V20" i="25"/>
  <c r="V17" i="25"/>
  <c r="V14" i="25" l="1"/>
  <c r="V13" i="25"/>
  <c r="V27" i="25"/>
  <c r="V19" i="25"/>
  <c r="V15" i="25"/>
  <c r="V10" i="25"/>
  <c r="V16" i="25"/>
  <c r="V22" i="25"/>
  <c r="V18" i="25"/>
  <c r="V12" i="25"/>
  <c r="V25" i="25"/>
  <c r="V24" i="25"/>
  <c r="J22" i="25"/>
  <c r="J16" i="25"/>
  <c r="J23" i="25"/>
  <c r="V21" i="25"/>
  <c r="J25" i="25"/>
  <c r="V23" i="25"/>
  <c r="G22" i="26" l="1"/>
  <c r="N22" i="25"/>
  <c r="G16" i="26"/>
  <c r="N16" i="25"/>
  <c r="G25" i="26"/>
  <c r="N25" i="25"/>
  <c r="N23" i="25"/>
  <c r="G23" i="26"/>
  <c r="J27" i="25"/>
  <c r="J13" i="25"/>
  <c r="J18" i="25"/>
  <c r="V11" i="25"/>
  <c r="P21" i="26"/>
  <c r="V8" i="25"/>
  <c r="J19" i="25"/>
  <c r="V9" i="25"/>
  <c r="M25" i="26"/>
  <c r="P19" i="26"/>
  <c r="M19" i="26"/>
  <c r="J24" i="25"/>
  <c r="J21" i="25"/>
  <c r="P20" i="26"/>
  <c r="J15" i="25"/>
  <c r="J20" i="25"/>
  <c r="M12" i="26"/>
  <c r="P12" i="26"/>
  <c r="J28" i="25"/>
  <c r="J17" i="25"/>
  <c r="J14" i="25"/>
  <c r="M14" i="26"/>
  <c r="J26" i="25"/>
  <c r="J12" i="25"/>
  <c r="M21" i="26"/>
  <c r="M27" i="26"/>
  <c r="P27" i="26"/>
  <c r="P13" i="26"/>
  <c r="M13" i="26"/>
  <c r="P24" i="26"/>
  <c r="M24" i="26"/>
  <c r="P18" i="26"/>
  <c r="M18" i="26"/>
  <c r="M22" i="26" l="1"/>
  <c r="P15" i="26"/>
  <c r="M17" i="26"/>
  <c r="M20" i="26"/>
  <c r="P28" i="26"/>
  <c r="P23" i="26"/>
  <c r="P26" i="26"/>
  <c r="M15" i="26"/>
  <c r="M16" i="26"/>
  <c r="M26" i="26"/>
  <c r="M28" i="26"/>
  <c r="P16" i="26"/>
  <c r="M23" i="26"/>
  <c r="P22" i="26"/>
  <c r="P17" i="26"/>
  <c r="P25" i="26"/>
  <c r="P14" i="26"/>
  <c r="N28" i="25"/>
  <c r="G28" i="26"/>
  <c r="N26" i="25"/>
  <c r="G26" i="26"/>
  <c r="N17" i="25"/>
  <c r="G17" i="26"/>
  <c r="N18" i="25"/>
  <c r="AM18" i="2"/>
  <c r="N21" i="25"/>
  <c r="G20" i="26"/>
  <c r="N20" i="25"/>
  <c r="G12" i="26"/>
  <c r="N12" i="25"/>
  <c r="N19" i="25"/>
  <c r="AM11" i="2"/>
  <c r="AM17" i="2"/>
  <c r="N27" i="25"/>
  <c r="G15" i="26"/>
  <c r="N15" i="25"/>
  <c r="AM20" i="2"/>
  <c r="N24" i="25"/>
  <c r="G24" i="26"/>
  <c r="J8" i="25"/>
  <c r="P11" i="26"/>
  <c r="M11" i="26"/>
  <c r="U14" i="1"/>
  <c r="U15" i="1"/>
  <c r="U13" i="1"/>
  <c r="U16" i="1"/>
  <c r="P10" i="26"/>
  <c r="M10" i="26"/>
  <c r="P9" i="26"/>
  <c r="M9" i="26"/>
  <c r="P8" i="26"/>
  <c r="M8" i="26"/>
  <c r="N13" i="25" l="1"/>
  <c r="AM15" i="2"/>
  <c r="N14" i="25"/>
  <c r="G17" i="25"/>
  <c r="L13" i="37"/>
  <c r="J10" i="25"/>
  <c r="U10" i="1"/>
  <c r="AM14" i="2"/>
  <c r="AM19" i="2"/>
  <c r="G21" i="26"/>
  <c r="G23" i="25"/>
  <c r="Y23" i="25" s="1"/>
  <c r="Z23" i="25" s="1"/>
  <c r="L19" i="37"/>
  <c r="AM16" i="2"/>
  <c r="G19" i="26"/>
  <c r="Q24" i="26"/>
  <c r="G22" i="25"/>
  <c r="Y22" i="25" s="1"/>
  <c r="Z22" i="25" s="1"/>
  <c r="L18" i="37"/>
  <c r="G15" i="25"/>
  <c r="L11" i="37"/>
  <c r="AM22" i="2"/>
  <c r="G27" i="26"/>
  <c r="AM13" i="2"/>
  <c r="Q19" i="26"/>
  <c r="T19" i="26" s="1"/>
  <c r="AM10" i="2"/>
  <c r="G18" i="26"/>
  <c r="AM23" i="2"/>
  <c r="Q18" i="26"/>
  <c r="T18" i="26" s="1"/>
  <c r="G18" i="25"/>
  <c r="L14" i="37"/>
  <c r="AM21" i="2"/>
  <c r="G19" i="25"/>
  <c r="L15" i="37"/>
  <c r="Q21" i="26"/>
  <c r="T21" i="26" s="1"/>
  <c r="U11" i="1"/>
  <c r="J11" i="25"/>
  <c r="Q27" i="26"/>
  <c r="Q13" i="26"/>
  <c r="J9" i="25"/>
  <c r="AM7" i="2"/>
  <c r="AM12" i="2"/>
  <c r="Q18" i="37"/>
  <c r="Q13" i="37"/>
  <c r="Q14" i="37"/>
  <c r="Q11" i="37"/>
  <c r="Q15" i="37"/>
  <c r="Q19" i="37"/>
  <c r="Y17" i="25" l="1"/>
  <c r="Z17" i="25" s="1"/>
  <c r="Q26" i="26"/>
  <c r="G14" i="26"/>
  <c r="Q11" i="26"/>
  <c r="G28" i="25"/>
  <c r="Y28" i="25" s="1"/>
  <c r="Z28" i="25" s="1"/>
  <c r="L24" i="37"/>
  <c r="N11" i="25"/>
  <c r="Q8" i="26"/>
  <c r="AM9" i="2"/>
  <c r="S12" i="1"/>
  <c r="U12" i="1" s="1"/>
  <c r="U9" i="1"/>
  <c r="AE16" i="2"/>
  <c r="Q20" i="26"/>
  <c r="G14" i="25"/>
  <c r="Y14" i="25" s="1"/>
  <c r="Z14" i="25" s="1"/>
  <c r="L10" i="37"/>
  <c r="T27" i="26"/>
  <c r="T24" i="26"/>
  <c r="G16" i="25"/>
  <c r="Y16" i="25" s="1"/>
  <c r="Z16" i="25" s="1"/>
  <c r="Q16" i="26"/>
  <c r="AE19" i="2"/>
  <c r="N8" i="25"/>
  <c r="G21" i="25"/>
  <c r="Y21" i="25" s="1"/>
  <c r="Z21" i="25" s="1"/>
  <c r="L17" i="37"/>
  <c r="Q23" i="26"/>
  <c r="G25" i="25"/>
  <c r="Y25" i="25" s="1"/>
  <c r="Z25" i="25" s="1"/>
  <c r="L21" i="37"/>
  <c r="AE13" i="2"/>
  <c r="Y18" i="25"/>
  <c r="Z18" i="25" s="1"/>
  <c r="N9" i="25"/>
  <c r="Q14" i="26"/>
  <c r="AE22" i="2"/>
  <c r="G12" i="25"/>
  <c r="Y12" i="25" s="1"/>
  <c r="Z12" i="25" s="1"/>
  <c r="Q17" i="26"/>
  <c r="Y19" i="25"/>
  <c r="Z19" i="25" s="1"/>
  <c r="Y15" i="25"/>
  <c r="Z15" i="25" s="1"/>
  <c r="AM8" i="2"/>
  <c r="G26" i="25"/>
  <c r="Y26" i="25" s="1"/>
  <c r="Z26" i="25" s="1"/>
  <c r="L22" i="37"/>
  <c r="Q10" i="26"/>
  <c r="Q9" i="26"/>
  <c r="Q22" i="26"/>
  <c r="G27" i="25"/>
  <c r="Y27" i="25" s="1"/>
  <c r="Z27" i="25" s="1"/>
  <c r="L23" i="37"/>
  <c r="G24" i="25"/>
  <c r="Y24" i="25" s="1"/>
  <c r="Z24" i="25" s="1"/>
  <c r="AE8" i="2"/>
  <c r="T13" i="26"/>
  <c r="G13" i="26"/>
  <c r="N10" i="25"/>
  <c r="Q25" i="26"/>
  <c r="AE14" i="2"/>
  <c r="Q15" i="26"/>
  <c r="Q28" i="26"/>
  <c r="Q12" i="26"/>
  <c r="G13" i="25"/>
  <c r="Y13" i="25" s="1"/>
  <c r="Z13" i="25" s="1"/>
  <c r="L9" i="37"/>
  <c r="Q17" i="37"/>
  <c r="Q10" i="37"/>
  <c r="Q9" i="37"/>
  <c r="Q21" i="37"/>
  <c r="Q24" i="37"/>
  <c r="G8" i="25"/>
  <c r="G9" i="25"/>
  <c r="Q22" i="37"/>
  <c r="G11" i="25"/>
  <c r="G10" i="25"/>
  <c r="Q23" i="37"/>
  <c r="Y8" i="25" l="1"/>
  <c r="Z8" i="25" s="1"/>
  <c r="Y10" i="25"/>
  <c r="Z10" i="25" s="1"/>
  <c r="AM27" i="2"/>
  <c r="AF34" i="2" s="1"/>
  <c r="Y9" i="25"/>
  <c r="Z9" i="25" s="1"/>
  <c r="J27" i="37"/>
  <c r="L27" i="37" s="1"/>
  <c r="L20" i="37"/>
  <c r="T8" i="26"/>
  <c r="G8" i="26"/>
  <c r="AE26" i="2"/>
  <c r="AE24" i="2"/>
  <c r="AE15" i="2"/>
  <c r="AE25" i="2"/>
  <c r="AM25" i="2"/>
  <c r="T9" i="26"/>
  <c r="G9" i="26"/>
  <c r="AM26" i="2"/>
  <c r="T25" i="26"/>
  <c r="Y11" i="25"/>
  <c r="Z11" i="25" s="1"/>
  <c r="AE21" i="2"/>
  <c r="G20" i="25"/>
  <c r="Y20" i="25" s="1"/>
  <c r="Z20" i="25" s="1"/>
  <c r="L16" i="37"/>
  <c r="T10" i="26"/>
  <c r="G10" i="26"/>
  <c r="T23" i="26"/>
  <c r="T20" i="26"/>
  <c r="T15" i="26"/>
  <c r="AE27" i="2"/>
  <c r="Q12" i="37"/>
  <c r="AE17" i="2"/>
  <c r="T12" i="26"/>
  <c r="T22" i="26"/>
  <c r="T11" i="26"/>
  <c r="G11" i="26"/>
  <c r="O25" i="37"/>
  <c r="Q8" i="37"/>
  <c r="AM24" i="2"/>
  <c r="AE12" i="2"/>
  <c r="AE10" i="2"/>
  <c r="AE7" i="2"/>
  <c r="T14" i="26"/>
  <c r="AE11" i="2"/>
  <c r="AE18" i="2"/>
  <c r="AE23" i="2"/>
  <c r="T17" i="26"/>
  <c r="O27" i="37"/>
  <c r="Q27" i="37" s="1"/>
  <c r="Q20" i="37"/>
  <c r="AE9" i="2"/>
  <c r="T28" i="26"/>
  <c r="T16" i="26"/>
  <c r="J26" i="37"/>
  <c r="L26" i="37" s="1"/>
  <c r="L12" i="37"/>
  <c r="AE20" i="2"/>
  <c r="J25" i="37"/>
  <c r="L8" i="37"/>
  <c r="T26" i="26"/>
  <c r="Q16" i="37"/>
  <c r="J28" i="37" l="1"/>
  <c r="L28" i="37" s="1"/>
  <c r="L25" i="37"/>
  <c r="Q25" i="37"/>
  <c r="O26" i="37"/>
  <c r="Q26" i="37" s="1"/>
  <c r="O28" i="37" l="1"/>
  <c r="Q28" i="37" s="1"/>
  <c r="V14" i="28" l="1"/>
  <c r="J14" i="27"/>
  <c r="M17" i="27"/>
  <c r="P20" i="27"/>
  <c r="V12" i="27"/>
  <c r="S8" i="28"/>
  <c r="S12" i="28"/>
  <c r="V15" i="28"/>
  <c r="P26" i="27"/>
  <c r="V13" i="27"/>
  <c r="S13" i="28"/>
  <c r="V24" i="28"/>
  <c r="M19" i="27"/>
  <c r="P25" i="27"/>
  <c r="V14" i="27"/>
  <c r="S14" i="28"/>
  <c r="V22" i="28"/>
  <c r="M20" i="27"/>
  <c r="P27" i="27"/>
  <c r="P12" i="28"/>
  <c r="S12" i="27"/>
  <c r="V15" i="27"/>
  <c r="S15" i="28"/>
  <c r="V21" i="28"/>
  <c r="P23" i="27"/>
  <c r="S13" i="27"/>
  <c r="P13" i="28"/>
  <c r="V24" i="27"/>
  <c r="S24" i="28"/>
  <c r="V16" i="28"/>
  <c r="S28" i="27"/>
  <c r="P28" i="28"/>
  <c r="J15" i="27"/>
  <c r="M25" i="27"/>
  <c r="P28" i="27"/>
  <c r="S14" i="27"/>
  <c r="P14" i="28"/>
  <c r="V22" i="27"/>
  <c r="S22" i="28"/>
  <c r="V17" i="28"/>
  <c r="J22" i="27"/>
  <c r="M27" i="27"/>
  <c r="S15" i="27"/>
  <c r="P15" i="28"/>
  <c r="S21" i="28"/>
  <c r="V18" i="28"/>
  <c r="J16" i="27"/>
  <c r="J18" i="27"/>
  <c r="M23" i="27"/>
  <c r="S24" i="27"/>
  <c r="P24" i="28"/>
  <c r="S16" i="28"/>
  <c r="V19" i="28"/>
  <c r="J24" i="27"/>
  <c r="G21" i="27"/>
  <c r="G21" i="28"/>
  <c r="M28" i="27"/>
  <c r="S22" i="27"/>
  <c r="P22" i="28"/>
  <c r="S17" i="28"/>
  <c r="V20" i="28"/>
  <c r="J13" i="27"/>
  <c r="G14" i="27"/>
  <c r="G14" i="28"/>
  <c r="G16" i="27"/>
  <c r="G16" i="28"/>
  <c r="J20" i="27"/>
  <c r="P12" i="27"/>
  <c r="P21" i="28"/>
  <c r="S18" i="28"/>
  <c r="V26" i="28"/>
  <c r="J26" i="27"/>
  <c r="P13" i="27"/>
  <c r="P16" i="28"/>
  <c r="S19" i="28"/>
  <c r="V25" i="28"/>
  <c r="J21" i="27"/>
  <c r="G18" i="27"/>
  <c r="G18" i="28"/>
  <c r="J25" i="27"/>
  <c r="P14" i="27"/>
  <c r="P17" i="28"/>
  <c r="S20" i="28"/>
  <c r="V27" i="28"/>
  <c r="P19" i="27"/>
  <c r="G15" i="27"/>
  <c r="G15" i="28"/>
  <c r="G17" i="27"/>
  <c r="G17" i="28"/>
  <c r="J27" i="27"/>
  <c r="M12" i="27"/>
  <c r="P15" i="27"/>
  <c r="P18" i="28"/>
  <c r="V26" i="27"/>
  <c r="S26" i="28"/>
  <c r="V23" i="28"/>
  <c r="M18" i="27"/>
  <c r="J17" i="27"/>
  <c r="G26" i="27"/>
  <c r="G26" i="28"/>
  <c r="J23" i="27"/>
  <c r="M13" i="27"/>
  <c r="P24" i="27"/>
  <c r="P19" i="28"/>
  <c r="V25" i="27"/>
  <c r="S25" i="28"/>
  <c r="V28" i="28"/>
  <c r="M26" i="27"/>
  <c r="J28" i="27"/>
  <c r="M14" i="27"/>
  <c r="P22" i="27"/>
  <c r="P20" i="28"/>
  <c r="V27" i="27"/>
  <c r="S27" i="28"/>
  <c r="M16" i="27"/>
  <c r="G24" i="27"/>
  <c r="G24" i="28"/>
  <c r="G25" i="27"/>
  <c r="G25" i="28"/>
  <c r="P21" i="27"/>
  <c r="P26" i="28"/>
  <c r="S26" i="27"/>
  <c r="V23" i="27"/>
  <c r="S23" i="28"/>
  <c r="G13" i="27"/>
  <c r="G13" i="28"/>
  <c r="G22" i="27"/>
  <c r="G22" i="28"/>
  <c r="G20" i="27"/>
  <c r="G20" i="28"/>
  <c r="G23" i="27"/>
  <c r="G23" i="28"/>
  <c r="P16" i="27"/>
  <c r="V28" i="27"/>
  <c r="S28" i="28"/>
  <c r="G12" i="27"/>
  <c r="G12" i="28"/>
  <c r="J19" i="27"/>
  <c r="G19" i="27"/>
  <c r="G19" i="28"/>
  <c r="G27" i="27"/>
  <c r="G27" i="28"/>
  <c r="M15" i="27"/>
  <c r="M24" i="27"/>
  <c r="S25" i="27"/>
  <c r="P25" i="28"/>
  <c r="G28" i="27"/>
  <c r="G28" i="28"/>
  <c r="M22" i="27"/>
  <c r="P17" i="27"/>
  <c r="S27" i="27"/>
  <c r="P27" i="28"/>
  <c r="V12" i="28"/>
  <c r="J12" i="27"/>
  <c r="M21" i="27"/>
  <c r="P18" i="27"/>
  <c r="S23" i="27"/>
  <c r="P23" i="28"/>
  <c r="V13" i="28"/>
  <c r="M23" i="28" l="1"/>
  <c r="M24" i="28"/>
  <c r="M13" i="28"/>
  <c r="M14" i="28"/>
  <c r="M16" i="28"/>
  <c r="M15" i="28"/>
  <c r="M19" i="28"/>
  <c r="P10" i="27"/>
  <c r="G11" i="27"/>
  <c r="G11" i="28"/>
  <c r="J16" i="28"/>
  <c r="J10" i="27"/>
  <c r="V9" i="28"/>
  <c r="J12" i="28"/>
  <c r="G10" i="27"/>
  <c r="G10" i="28"/>
  <c r="V8" i="28"/>
  <c r="J23" i="28"/>
  <c r="V10" i="28"/>
  <c r="M11" i="27"/>
  <c r="G8" i="27"/>
  <c r="G8" i="28"/>
  <c r="M10" i="27"/>
  <c r="M8" i="27"/>
  <c r="P8" i="28"/>
  <c r="G9" i="27"/>
  <c r="G9" i="28"/>
  <c r="M9" i="27"/>
  <c r="J14" i="28"/>
  <c r="S10" i="28"/>
  <c r="P9" i="28"/>
  <c r="S9" i="27"/>
  <c r="V11" i="27"/>
  <c r="S11" i="28"/>
  <c r="V9" i="27"/>
  <c r="S9" i="28"/>
  <c r="J9" i="27"/>
  <c r="J20" i="28"/>
  <c r="P11" i="27"/>
  <c r="J17" i="28"/>
  <c r="J21" i="28"/>
  <c r="P11" i="28"/>
  <c r="S11" i="27"/>
  <c r="J27" i="28"/>
  <c r="V11" i="28"/>
  <c r="J22" i="28"/>
  <c r="J15" i="28"/>
  <c r="P8" i="27"/>
  <c r="J28" i="28"/>
  <c r="J19" i="28"/>
  <c r="J25" i="28"/>
  <c r="P9" i="27"/>
  <c r="J11" i="27"/>
  <c r="J13" i="28"/>
  <c r="J26" i="28"/>
  <c r="J8" i="27"/>
  <c r="J24" i="28"/>
  <c r="J18" i="28"/>
  <c r="P10" i="28"/>
  <c r="M25" i="28" l="1"/>
  <c r="M26" i="28"/>
  <c r="M18" i="28"/>
  <c r="M22" i="28"/>
  <c r="M12" i="28"/>
  <c r="M21" i="28"/>
  <c r="M17" i="28"/>
  <c r="M27" i="28"/>
  <c r="M28" i="28"/>
  <c r="M20" i="28"/>
  <c r="J10" i="28"/>
  <c r="J11" i="28"/>
  <c r="J9" i="28"/>
  <c r="R23" i="26" l="1"/>
  <c r="J23" i="26"/>
  <c r="R28" i="26"/>
  <c r="J28" i="26"/>
  <c r="M11" i="28"/>
  <c r="J8" i="28"/>
  <c r="M9" i="28"/>
  <c r="R25" i="26"/>
  <c r="J25" i="26"/>
  <c r="M10" i="28"/>
  <c r="R15" i="26"/>
  <c r="J15" i="26"/>
  <c r="R14" i="26"/>
  <c r="J14" i="26"/>
  <c r="R12" i="26"/>
  <c r="J12" i="26"/>
  <c r="R22" i="26"/>
  <c r="J22" i="26"/>
  <c r="R26" i="26"/>
  <c r="J26" i="26"/>
  <c r="R13" i="26"/>
  <c r="J13" i="26"/>
  <c r="R27" i="26"/>
  <c r="J27" i="26"/>
  <c r="M8" i="28"/>
  <c r="R24" i="26"/>
  <c r="J24" i="26"/>
  <c r="U12" i="26" l="1"/>
  <c r="V12" i="26" s="1"/>
  <c r="S12" i="26"/>
  <c r="U14" i="26"/>
  <c r="V14" i="26" s="1"/>
  <c r="S14" i="26"/>
  <c r="U15" i="26"/>
  <c r="V15" i="26" s="1"/>
  <c r="S15" i="26"/>
  <c r="U27" i="26"/>
  <c r="V27" i="26" s="1"/>
  <c r="S27" i="26"/>
  <c r="U22" i="26"/>
  <c r="V22" i="26" s="1"/>
  <c r="S22" i="26"/>
  <c r="R9" i="26"/>
  <c r="J9" i="26"/>
  <c r="U24" i="26"/>
  <c r="V24" i="26" s="1"/>
  <c r="S24" i="26"/>
  <c r="U13" i="26"/>
  <c r="V13" i="26" s="1"/>
  <c r="S13" i="26"/>
  <c r="R11" i="26"/>
  <c r="J11" i="26"/>
  <c r="U25" i="26"/>
  <c r="V25" i="26" s="1"/>
  <c r="S25" i="26"/>
  <c r="U26" i="26"/>
  <c r="V26" i="26" s="1"/>
  <c r="S26" i="26"/>
  <c r="U28" i="26"/>
  <c r="V28" i="26" s="1"/>
  <c r="S28" i="26"/>
  <c r="U23" i="26"/>
  <c r="V23" i="26" s="1"/>
  <c r="S23" i="26"/>
  <c r="AF23" i="2" l="1"/>
  <c r="U11" i="26"/>
  <c r="V11" i="26" s="1"/>
  <c r="S11" i="26"/>
  <c r="AF8" i="2"/>
  <c r="AF20" i="2"/>
  <c r="AF17" i="2"/>
  <c r="AF19" i="2"/>
  <c r="AF21" i="2"/>
  <c r="AF18" i="2"/>
  <c r="U9" i="26"/>
  <c r="V9" i="26" s="1"/>
  <c r="S9" i="26"/>
  <c r="AF22" i="2"/>
  <c r="AF7" i="2"/>
  <c r="AF10" i="2"/>
  <c r="AF9" i="2"/>
  <c r="AF26" i="2" l="1"/>
  <c r="AF24" i="2"/>
  <c r="W17" i="1" l="1"/>
  <c r="U17" i="1"/>
  <c r="W19" i="1"/>
  <c r="U19" i="1"/>
  <c r="S20" i="27" l="1"/>
  <c r="S19" i="27" l="1"/>
  <c r="S18" i="27" l="1"/>
  <c r="S17" i="27"/>
  <c r="S21" i="27"/>
  <c r="S16" i="27" l="1"/>
  <c r="S10" i="27" l="1"/>
  <c r="S8" i="27"/>
  <c r="V20" i="27" l="1"/>
  <c r="V21" i="27"/>
  <c r="V18" i="27" l="1"/>
  <c r="V19" i="27"/>
  <c r="V17" i="27" l="1"/>
  <c r="R20" i="26" l="1"/>
  <c r="J20" i="26"/>
  <c r="R21" i="26"/>
  <c r="J21" i="26"/>
  <c r="R18" i="26" l="1"/>
  <c r="J18" i="26"/>
  <c r="R19" i="26"/>
  <c r="J19" i="26"/>
  <c r="U21" i="26"/>
  <c r="V21" i="26" s="1"/>
  <c r="S21" i="26"/>
  <c r="U20" i="26"/>
  <c r="V20" i="26" s="1"/>
  <c r="S20" i="26"/>
  <c r="AF15" i="2" l="1"/>
  <c r="R17" i="26"/>
  <c r="J17" i="26"/>
  <c r="AF16" i="2"/>
  <c r="U19" i="26"/>
  <c r="V19" i="26" s="1"/>
  <c r="S19" i="26"/>
  <c r="U18" i="26"/>
  <c r="V18" i="26" s="1"/>
  <c r="S18" i="26"/>
  <c r="AF13" i="2" l="1"/>
  <c r="AF14" i="2"/>
  <c r="U17" i="26"/>
  <c r="V17" i="26" s="1"/>
  <c r="S17" i="26"/>
  <c r="AF12" i="2" l="1"/>
  <c r="V16" i="27"/>
  <c r="V8" i="27" l="1"/>
  <c r="V10" i="27"/>
  <c r="R16" i="26" l="1"/>
  <c r="J16" i="26"/>
  <c r="R8" i="26" l="1"/>
  <c r="J8" i="26"/>
  <c r="R10" i="26"/>
  <c r="J10" i="26"/>
  <c r="U16" i="26"/>
  <c r="V16" i="26" s="1"/>
  <c r="S16" i="26"/>
  <c r="AF11" i="2" l="1"/>
  <c r="U10" i="26"/>
  <c r="V10" i="26" s="1"/>
  <c r="S10" i="26"/>
  <c r="U8" i="26"/>
  <c r="V8" i="26" s="1"/>
  <c r="S8" i="26"/>
  <c r="AF25" i="2" l="1"/>
  <c r="AF27" i="2"/>
  <c r="W18" i="1" l="1"/>
  <c r="U18" i="1"/>
  <c r="W20" i="1"/>
  <c r="U20" i="1"/>
  <c r="R28" i="25" l="1"/>
  <c r="R13" i="25"/>
  <c r="R23" i="25"/>
  <c r="R17" i="25"/>
  <c r="R22" i="25"/>
  <c r="R15" i="25"/>
  <c r="R16" i="25"/>
  <c r="R19" i="25"/>
  <c r="R21" i="25"/>
  <c r="R26" i="25"/>
  <c r="R27" i="25"/>
  <c r="R24" i="25"/>
  <c r="R14" i="25"/>
  <c r="R18" i="25"/>
  <c r="R12" i="25"/>
  <c r="R20" i="25"/>
  <c r="R25" i="25"/>
  <c r="R11" i="25" l="1"/>
  <c r="R8" i="25"/>
  <c r="R10" i="25"/>
  <c r="R9" i="25"/>
  <c r="AE13" i="38" l="1"/>
  <c r="AE14" i="38"/>
  <c r="AE16" i="38"/>
  <c r="AE8" i="38"/>
  <c r="AE19" i="38"/>
  <c r="AE22" i="38"/>
  <c r="AE26" i="38" l="1"/>
  <c r="AE25" i="38"/>
  <c r="AE18" i="38"/>
  <c r="AE10" i="38"/>
  <c r="AE15" i="38"/>
  <c r="AE21" i="38"/>
  <c r="AE17" i="38"/>
  <c r="AE9" i="38"/>
  <c r="AE20" i="38"/>
  <c r="AE23" i="38"/>
  <c r="AE11" i="38"/>
  <c r="AE12" i="38"/>
  <c r="AE24" i="38"/>
  <c r="AE7" i="38" l="1"/>
  <c r="AE27" i="38"/>
  <c r="T26" i="37" l="1"/>
  <c r="X9" i="37"/>
  <c r="V9" i="37"/>
  <c r="X24" i="37"/>
  <c r="V24" i="37"/>
  <c r="X10" i="37"/>
  <c r="V10" i="37"/>
  <c r="X20" i="37"/>
  <c r="V20" i="37"/>
  <c r="V18" i="37"/>
  <c r="X18" i="37"/>
  <c r="V16" i="37"/>
  <c r="X16" i="37"/>
  <c r="X23" i="37"/>
  <c r="X21" i="37"/>
  <c r="V21" i="37"/>
  <c r="T25" i="37"/>
  <c r="V15" i="37"/>
  <c r="X15" i="37"/>
  <c r="X17" i="37"/>
  <c r="V17" i="37"/>
  <c r="X14" i="37"/>
  <c r="V14" i="37"/>
  <c r="X19" i="37"/>
  <c r="V19" i="37"/>
  <c r="V13" i="37"/>
  <c r="X13" i="37"/>
  <c r="X12" i="37"/>
  <c r="V12" i="37"/>
  <c r="U26" i="37"/>
  <c r="T27" i="37"/>
  <c r="U27" i="37"/>
  <c r="V23" i="37" l="1"/>
  <c r="Y26" i="37"/>
  <c r="V27" i="37"/>
  <c r="X27" i="37"/>
  <c r="AA14" i="37"/>
  <c r="AC14" i="37"/>
  <c r="AC20" i="37"/>
  <c r="AA20" i="37"/>
  <c r="AA9" i="37"/>
  <c r="AC9" i="37"/>
  <c r="AA16" i="37"/>
  <c r="AC16" i="37"/>
  <c r="X11" i="37"/>
  <c r="V11" i="37"/>
  <c r="AC21" i="37"/>
  <c r="AA21" i="37"/>
  <c r="AC23" i="37"/>
  <c r="AA23" i="37"/>
  <c r="AC18" i="37"/>
  <c r="AA18" i="37"/>
  <c r="Y27" i="37"/>
  <c r="AA19" i="37"/>
  <c r="AC19" i="37"/>
  <c r="AC10" i="37"/>
  <c r="AA10" i="37"/>
  <c r="Y25" i="37"/>
  <c r="Y28" i="37" s="1"/>
  <c r="AC17" i="37"/>
  <c r="AA17" i="37"/>
  <c r="T28" i="37"/>
  <c r="V8" i="37"/>
  <c r="U25" i="37"/>
  <c r="X8" i="37"/>
  <c r="V22" i="37"/>
  <c r="X22" i="37"/>
  <c r="V26" i="37"/>
  <c r="X26" i="37"/>
  <c r="AA24" i="37"/>
  <c r="AC24" i="37"/>
  <c r="AA13" i="37"/>
  <c r="AC13" i="37"/>
  <c r="AA12" i="37"/>
  <c r="AC12" i="37"/>
  <c r="Z26" i="37"/>
  <c r="AA15" i="37"/>
  <c r="AC15" i="37"/>
  <c r="AA8" i="37" l="1"/>
  <c r="AC8" i="37"/>
  <c r="Z25" i="37"/>
  <c r="U28" i="37"/>
  <c r="V25" i="37"/>
  <c r="X25" i="37"/>
  <c r="AC26" i="37"/>
  <c r="AA26" i="37"/>
  <c r="AC11" i="37"/>
  <c r="AA11" i="37"/>
  <c r="AA22" i="37" l="1"/>
  <c r="AC22" i="37"/>
  <c r="Z27" i="37"/>
  <c r="V28" i="37"/>
  <c r="X28" i="37"/>
  <c r="AA25" i="37"/>
  <c r="AC25" i="37"/>
  <c r="Z28" i="37"/>
  <c r="AC28" i="37" l="1"/>
  <c r="AA28" i="37"/>
  <c r="AA27" i="37"/>
  <c r="AC27" i="37"/>
  <c r="AF16" i="38" l="1"/>
  <c r="AF7" i="38"/>
  <c r="AF17" i="38"/>
  <c r="AF18" i="38"/>
  <c r="AF15" i="38"/>
  <c r="AF9" i="38"/>
  <c r="AF21" i="38"/>
  <c r="AF14" i="38"/>
  <c r="AF22" i="38"/>
  <c r="AF13" i="38"/>
  <c r="AF23" i="38"/>
  <c r="AF19" i="38"/>
  <c r="AF12" i="38"/>
  <c r="AF10" i="38"/>
  <c r="AF8" i="38"/>
  <c r="AF20" i="38"/>
  <c r="AF11" i="38"/>
  <c r="AF27" i="38" l="1"/>
  <c r="AI27" i="38" s="1"/>
  <c r="AF26" i="38"/>
  <c r="AF25" i="38"/>
  <c r="AF24" i="38"/>
  <c r="AB36" i="2" l="1"/>
  <c r="AF30" i="2" s="1"/>
  <c r="AD36" i="2"/>
  <c r="AJ30" i="2" s="1"/>
  <c r="AB30" i="2" l="1"/>
  <c r="AD30" i="2"/>
  <c r="AD31" i="2"/>
  <c r="AB31" i="2"/>
  <c r="AB32" i="2" l="1"/>
  <c r="AF32" i="2" s="1"/>
  <c r="AF35" i="2" s="1"/>
  <c r="AD32" i="2"/>
  <c r="AJ32" i="2" s="1"/>
  <c r="AJ35" i="2" s="1"/>
  <c r="T24" i="1" l="1"/>
  <c r="S24" i="1"/>
  <c r="W24" i="1" l="1"/>
  <c r="U24" i="1"/>
  <c r="S23" i="1" l="1"/>
  <c r="S25" i="1" s="1"/>
  <c r="T23" i="1"/>
  <c r="W23" i="1" l="1"/>
  <c r="U23" i="1"/>
  <c r="T25" i="1"/>
  <c r="W25" i="1" l="1"/>
  <c r="U25" i="1"/>
</calcChain>
</file>

<file path=xl/sharedStrings.xml><?xml version="1.0" encoding="utf-8"?>
<sst xmlns="http://schemas.openxmlformats.org/spreadsheetml/2006/main" count="711" uniqueCount="223">
  <si>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</si>
  <si>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</si>
  <si>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</si>
  <si>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</si>
  <si>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</si>
  <si>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</si>
  <si>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</si>
  <si>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</si>
  <si>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</si>
  <si>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</si>
  <si>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</si>
  <si>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</si>
  <si>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</si>
  <si>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</si>
  <si>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</si>
  <si>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</si>
  <si>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</si>
  <si>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</si>
  <si>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</si>
  <si>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</si>
  <si>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</si>
  <si>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</si>
  <si>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</si>
  <si>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</si>
  <si>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</si>
  <si>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</si>
  <si>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</si>
  <si>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</si>
  <si>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</si>
  <si>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</si>
  <si>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</si>
  <si>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</si>
  <si>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</si>
  <si>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</si>
  <si>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</si>
  <si>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</si>
  <si>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</si>
  <si>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</si>
  <si>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</si>
  <si>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</si>
  <si>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</si>
  <si>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</si>
  <si>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</si>
  <si>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</si>
  <si>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</si>
  <si>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</si>
  <si>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</si>
  <si>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</si>
  <si>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</si>
  <si>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</si>
  <si>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</si>
  <si>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</si>
  <si>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</si>
  <si>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</si>
  <si>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</si>
  <si>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</si>
  <si>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</si>
  <si>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</si>
  <si>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</si>
  <si>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</si>
  <si>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</si>
  <si>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</si>
  <si>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</si>
  <si>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</si>
  <si>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</si>
  <si>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</si>
  <si>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</si>
  <si>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</si>
  <si>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</si>
  <si>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</si>
  <si>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</si>
  <si>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</si>
  <si>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</si>
  <si>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</si>
  <si>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</si>
  <si>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</si>
  <si>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</si>
  <si>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</si>
  <si>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</si>
  <si>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</si>
  <si>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</si>
  <si>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</si>
  <si>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</si>
  <si>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</si>
  <si>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</si>
  <si>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</si>
  <si>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</si>
  <si>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</si>
  <si>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</si>
  <si>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</si>
  <si>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</si>
  <si>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</si>
  <si>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</si>
  <si>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</si>
  <si>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</si>
  <si>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</si>
  <si>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</si>
  <si>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</si>
  <si>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</si>
  <si>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</si>
  <si>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</si>
  <si>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</si>
  <si>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</si>
  <si>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</si>
  <si>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</si>
  <si>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</si>
  <si>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</si>
  <si>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</si>
  <si>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</si>
  <si>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</si>
  <si>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</si>
  <si>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</si>
  <si>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</si>
  <si>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</si>
  <si>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</si>
  <si>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</si>
  <si>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</si>
  <si>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</si>
  <si>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</si>
  <si>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</si>
  <si>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</si>
  <si>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</si>
  <si>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</si>
  <si>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</si>
  <si>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</si>
  <si>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</si>
  <si>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</si>
  <si>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</si>
  <si>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</si>
  <si>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</si>
  <si>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</si>
  <si>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</si>
  <si>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</si>
  <si>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</si>
  <si>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</si>
  <si>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</si>
  <si>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</si>
  <si>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</si>
  <si>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</si>
  <si>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</si>
  <si>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</si>
  <si>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</si>
  <si>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</si>
  <si>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</si>
  <si>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</si>
  <si>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</si>
  <si>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</si>
  <si>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</si>
  <si>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</si>
  <si>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</si>
  <si>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</si>
  <si>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</si>
  <si>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</si>
  <si>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</si>
  <si>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</si>
  <si>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 xml:space="preserve">   · 집합대손 2.2억 // 개별대손 3억(삼정이앤시) → 안양 2.9억, 양산 0.1억</t>
    <phoneticPr fontId="1" type="noConversion"/>
  </si>
  <si>
    <t>퇴직위로금</t>
    <phoneticPr fontId="1" type="noConversion"/>
  </si>
  <si>
    <t>[단위 : 톤, 천원]</t>
    <phoneticPr fontId="1" type="noConversion"/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</si>
  <si>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</si>
  <si>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</si>
  <si>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</si>
  <si>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</si>
  <si>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</si>
  <si>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</si>
  <si>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</si>
  <si>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</si>
  <si>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영업이익(공통비 배부후)</t>
    <phoneticPr fontId="1" type="noConversion"/>
  </si>
  <si>
    <t>레미콘사업본부</t>
    <phoneticPr fontId="1" type="noConversion"/>
  </si>
  <si>
    <t>2024년 1월 마감 손익</t>
  </si>
  <si>
    <t>물량</t>
    <phoneticPr fontId="1" type="noConversion"/>
  </si>
  <si>
    <t>매출</t>
    <phoneticPr fontId="1" type="noConversion"/>
  </si>
  <si>
    <t>매출이익</t>
    <phoneticPr fontId="1" type="noConversion"/>
  </si>
  <si>
    <t>영업이익</t>
    <phoneticPr fontId="1" type="noConversion"/>
  </si>
  <si>
    <t xml:space="preserve"> * 건자재</t>
    <phoneticPr fontId="1" type="noConversion"/>
  </si>
  <si>
    <t>EBITDA</t>
    <phoneticPr fontId="1" type="noConversion"/>
  </si>
  <si>
    <t>감가상각비</t>
    <phoneticPr fontId="1" type="noConversion"/>
  </si>
  <si>
    <t>판관</t>
    <phoneticPr fontId="1" type="noConversion"/>
  </si>
  <si>
    <t>영업이익 I</t>
    <phoneticPr fontId="1" type="noConversion"/>
  </si>
  <si>
    <t>영업이익 II</t>
    <phoneticPr fontId="1" type="noConversion"/>
  </si>
  <si>
    <t>건자재영업</t>
  </si>
  <si>
    <t>(%)</t>
    <phoneticPr fontId="1" type="noConversion"/>
  </si>
  <si>
    <t>전월</t>
    <phoneticPr fontId="1" type="noConversion"/>
  </si>
  <si>
    <t>1군</t>
    <phoneticPr fontId="1" type="noConversion"/>
  </si>
  <si>
    <t xml:space="preserve"> - 1군비율 : </t>
    <phoneticPr fontId="1" type="noConversion"/>
  </si>
  <si>
    <t>중소</t>
    <phoneticPr fontId="1" type="noConversion"/>
  </si>
  <si>
    <t xml:space="preserve"> - 강도</t>
    <phoneticPr fontId="1" type="noConversion"/>
  </si>
  <si>
    <t>강도</t>
    <phoneticPr fontId="1" type="noConversion"/>
  </si>
  <si>
    <t xml:space="preserve"> - mix차이</t>
    <phoneticPr fontId="1" type="noConversion"/>
  </si>
  <si>
    <t>1군비율</t>
    <phoneticPr fontId="1" type="noConversion"/>
  </si>
  <si>
    <t xml:space="preserve"> - 합계</t>
    <phoneticPr fontId="1" type="noConversion"/>
  </si>
  <si>
    <t>원/㎥</t>
    <phoneticPr fontId="1" type="noConversion"/>
  </si>
  <si>
    <t>판매비중</t>
    <phoneticPr fontId="1" type="noConversion"/>
  </si>
  <si>
    <t>공장명</t>
    <phoneticPr fontId="1" type="noConversion"/>
  </si>
  <si>
    <t>추정</t>
    <phoneticPr fontId="1" type="noConversion"/>
  </si>
  <si>
    <t xml:space="preserve"> □ 판매단가</t>
    <phoneticPr fontId="1" type="noConversion"/>
  </si>
  <si>
    <t xml:space="preserve"> - 1군소급</t>
    <phoneticPr fontId="1" type="noConversion"/>
  </si>
  <si>
    <t xml:space="preserve">원/㎥ </t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</si>
  <si>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계획대비 차이</t>
    </r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</si>
  <si>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전월대비 차이</t>
    </r>
    <phoneticPr fontId="1" type="noConversion"/>
  </si>
  <si>
    <t>원/㎥↑</t>
    <phoneticPr fontId="1" type="noConversion"/>
  </si>
  <si>
    <t xml:space="preserve"> - 치환율</t>
    <phoneticPr fontId="1" type="noConversion"/>
  </si>
  <si>
    <t xml:space="preserve"> - 원단위</t>
    <phoneticPr fontId="1" type="noConversion"/>
  </si>
  <si>
    <t xml:space="preserve"> - 강도</t>
    <phoneticPr fontId="1" type="noConversion"/>
  </si>
  <si>
    <t xml:space="preserve"> □ 결합재</t>
    <phoneticPr fontId="1" type="noConversion"/>
  </si>
  <si>
    <t xml:space="preserve"> - 단가</t>
    <phoneticPr fontId="1" type="noConversion"/>
  </si>
  <si>
    <t>2026년 5월 마감 손익</t>
    <phoneticPr fontId="1" type="noConversion"/>
  </si>
  <si>
    <t>□ 레미콘 영업이익 차이분석(2026-05)</t>
  </si>
  <si>
    <t>□ 레미콘 원재료 원단위(2026-05)</t>
  </si>
  <si>
    <t>□ 레미콘 원재료단가(2026-05)</t>
  </si>
  <si>
    <t>□ 레미콘 단위당 공헌이익(2026-05)</t>
  </si>
  <si>
    <t>5월</t>
  </si>
  <si>
    <t>5월누계</t>
  </si>
  <si>
    <t>□ 건자재 손익실적(2026-05)</t>
  </si>
  <si>
    <t>□ 건재사업본부 손익실적(2026-05)</t>
  </si>
  <si>
    <t>□ 사업장별 손익실적(2026-05누계)</t>
  </si>
  <si>
    <t>□ 사업장별 손익실적(2026-05)</t>
  </si>
  <si>
    <t>□ 레미콘 영업이익(5월)</t>
  </si>
  <si>
    <t>5월 주요지표</t>
  </si>
  <si>
    <t>2024년 5월누계 마감 손익</t>
  </si>
  <si>
    <t>2024년 5월 마감 손익</t>
  </si>
  <si>
    <t xml:space="preserve"> ※ 1군소급 : 158백만원</t>
    <phoneticPr fontId="1" type="noConversion"/>
  </si>
  <si>
    <t xml:space="preserve">  - 원단위 차이 : 1,052원/㎥(치환율 318원↑, 원단위 38원↓, 강도 773원↑)</t>
    <phoneticPr fontId="1" type="noConversion"/>
  </si>
  <si>
    <t xml:space="preserve">  - 단가 차이 : 869원/㎥(OPC 단가 3,000원/톤)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</si>
</sst>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#,##0.000_);[Red]\(#,##0.000\)"/>
    <numFmt numFmtId="181" formatCode="#,##0.0"/>
    <numFmt numFmtId="182" formatCode="0.0"/>
    <numFmt numFmtId="183" formatCode="#,##0.000000_ "/>
    <numFmt numFmtId="184" formatCode="0_);[Red]\(0\)"/>
    <numFmt numFmtId="185" formatCode="#,##0.00_);[Red]\(#,##0.0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0" fillId="0" borderId="0"/>
    <xf numFmtId="9" fontId="3" fillId="0" borderId="0" applyFont="0" applyFill="0" applyBorder="0" applyAlignment="0" applyProtection="0">
      <alignment vertical="center"/>
    </xf>
  </cellStyleXfs>
  <cellXfs count="69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2" fillId="0" borderId="13" xfId="0" applyNumberFormat="1" applyFont="1" applyBorder="1">
      <alignment vertical="center"/>
    </xf>
    <xf numFmtId="177" fontId="12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2" fillId="0" borderId="16" xfId="0" applyNumberFormat="1" applyFont="1" applyBorder="1">
      <alignment vertical="center"/>
    </xf>
    <xf numFmtId="177" fontId="12" fillId="0" borderId="17" xfId="0" applyNumberFormat="1" applyFont="1" applyBorder="1">
      <alignment vertical="center"/>
    </xf>
    <xf numFmtId="0" fontId="13" fillId="6" borderId="2" xfId="0" applyFont="1" applyFill="1" applyBorder="1" applyAlignment="1">
      <alignment horizontal="centerContinuous" vertical="center"/>
    </xf>
    <xf numFmtId="0" fontId="13" fillId="6" borderId="3" xfId="0" applyFont="1" applyFill="1" applyBorder="1" applyAlignment="1">
      <alignment horizontal="centerContinuous" vertical="center"/>
    </xf>
    <xf numFmtId="0" fontId="14" fillId="0" borderId="0" xfId="0" applyFont="1">
      <alignment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5" fillId="9" borderId="34" xfId="0" applyFont="1" applyFill="1" applyBorder="1" applyAlignment="1">
      <alignment horizontal="centerContinuous" vertical="center"/>
    </xf>
    <xf numFmtId="0" fontId="15" fillId="9" borderId="35" xfId="0" applyFont="1" applyFill="1" applyBorder="1" applyAlignment="1">
      <alignment horizontal="centerContinuous" vertical="center"/>
    </xf>
    <xf numFmtId="0" fontId="15" fillId="9" borderId="36" xfId="0" applyFont="1" applyFill="1" applyBorder="1" applyAlignment="1">
      <alignment horizontal="centerContinuous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50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4" xfId="0" applyNumberFormat="1" applyFont="1" applyBorder="1">
      <alignment vertical="center"/>
    </xf>
    <xf numFmtId="176" fontId="7" fillId="8" borderId="28" xfId="0" applyNumberFormat="1" applyFont="1" applyFill="1" applyBorder="1" applyAlignment="1">
      <alignment horizontal="center" vertical="center"/>
    </xf>
    <xf numFmtId="176" fontId="7" fillId="8" borderId="12" xfId="0" applyNumberFormat="1" applyFont="1" applyFill="1" applyBorder="1" applyAlignment="1">
      <alignment horizontal="center" vertical="center"/>
    </xf>
    <xf numFmtId="176" fontId="7" fillId="8" borderId="6" xfId="0" applyNumberFormat="1" applyFont="1" applyFill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8" borderId="27" xfId="0" applyNumberFormat="1" applyFont="1" applyFill="1" applyBorder="1" applyAlignment="1">
      <alignment horizontal="center" vertical="center"/>
    </xf>
    <xf numFmtId="176" fontId="7" fillId="8" borderId="31" xfId="0" applyNumberFormat="1" applyFont="1" applyFill="1" applyBorder="1" applyAlignment="1">
      <alignment horizontal="center" vertical="center"/>
    </xf>
    <xf numFmtId="176" fontId="7" fillId="8" borderId="33" xfId="0" applyNumberFormat="1" applyFont="1" applyFill="1" applyBorder="1" applyAlignment="1">
      <alignment horizontal="center" vertical="center"/>
    </xf>
    <xf numFmtId="176" fontId="7" fillId="8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2" fillId="0" borderId="22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176" fontId="12" fillId="8" borderId="1" xfId="0" applyNumberFormat="1" applyFont="1" applyFill="1" applyBorder="1">
      <alignment vertical="center"/>
    </xf>
    <xf numFmtId="176" fontId="12" fillId="8" borderId="4" xfId="0" applyNumberFormat="1" applyFont="1" applyFill="1" applyBorder="1">
      <alignment vertical="center"/>
    </xf>
    <xf numFmtId="176" fontId="12" fillId="8" borderId="22" xfId="0" applyNumberFormat="1" applyFont="1" applyFill="1" applyBorder="1">
      <alignment vertical="center"/>
    </xf>
    <xf numFmtId="176" fontId="12" fillId="8" borderId="6" xfId="0" applyNumberFormat="1" applyFont="1" applyFill="1" applyBorder="1">
      <alignment vertical="center"/>
    </xf>
    <xf numFmtId="177" fontId="12" fillId="0" borderId="4" xfId="0" applyNumberFormat="1" applyFont="1" applyBorder="1">
      <alignment vertical="center"/>
    </xf>
    <xf numFmtId="177" fontId="12" fillId="0" borderId="6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7" fontId="12" fillId="0" borderId="47" xfId="0" applyNumberFormat="1" applyFont="1" applyBorder="1">
      <alignment vertical="center"/>
    </xf>
    <xf numFmtId="177" fontId="12" fillId="0" borderId="75" xfId="0" applyNumberFormat="1" applyFont="1" applyBorder="1">
      <alignment vertical="center"/>
    </xf>
    <xf numFmtId="177" fontId="12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0" borderId="48" xfId="0" applyFont="1" applyFill="1" applyBorder="1" applyAlignment="1">
      <alignment horizontal="centerContinuous" vertical="center"/>
    </xf>
    <xf numFmtId="0" fontId="7" fillId="10" borderId="67" xfId="0" applyFont="1" applyFill="1" applyBorder="1" applyAlignment="1">
      <alignment horizontal="centerContinuous" vertical="center"/>
    </xf>
    <xf numFmtId="0" fontId="7" fillId="10" borderId="1" xfId="0" applyFont="1" applyFill="1" applyBorder="1" applyAlignment="1">
      <alignment horizontal="centerContinuous" vertical="center"/>
    </xf>
    <xf numFmtId="0" fontId="7" fillId="10" borderId="29" xfId="0" applyFont="1" applyFill="1" applyBorder="1" applyAlignment="1">
      <alignment horizontal="centerContinuous" vertical="center"/>
    </xf>
    <xf numFmtId="0" fontId="7" fillId="10" borderId="39" xfId="0" applyFont="1" applyFill="1" applyBorder="1" applyAlignment="1">
      <alignment horizontal="centerContinuous" vertical="center"/>
    </xf>
    <xf numFmtId="0" fontId="7" fillId="10" borderId="30" xfId="0" applyFont="1" applyFill="1" applyBorder="1" applyAlignment="1">
      <alignment horizontal="centerContinuous" vertical="center"/>
    </xf>
    <xf numFmtId="0" fontId="2" fillId="10" borderId="48" xfId="0" applyFont="1" applyFill="1" applyBorder="1" applyAlignment="1">
      <alignment horizontal="centerContinuous" vertical="center"/>
    </xf>
    <xf numFmtId="0" fontId="2" fillId="10" borderId="67" xfId="0" applyFont="1" applyFill="1" applyBorder="1" applyAlignment="1">
      <alignment horizontal="centerContinuous" vertical="center"/>
    </xf>
    <xf numFmtId="178" fontId="2" fillId="10" borderId="1" xfId="0" applyNumberFormat="1" applyFont="1" applyFill="1" applyBorder="1" applyAlignment="1">
      <alignment horizontal="centerContinuous" vertical="center"/>
    </xf>
    <xf numFmtId="178" fontId="2" fillId="10" borderId="29" xfId="0" applyNumberFormat="1" applyFont="1" applyFill="1" applyBorder="1" applyAlignment="1">
      <alignment horizontal="centerContinuous" vertical="center"/>
    </xf>
    <xf numFmtId="178" fontId="2" fillId="10" borderId="2" xfId="0" applyNumberFormat="1" applyFont="1" applyFill="1" applyBorder="1" applyAlignment="1">
      <alignment horizontal="centerContinuous" vertical="center"/>
    </xf>
    <xf numFmtId="178" fontId="2" fillId="10" borderId="3" xfId="0" applyNumberFormat="1" applyFont="1" applyFill="1" applyBorder="1" applyAlignment="1">
      <alignment horizontal="centerContinuous"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0" fontId="0" fillId="8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8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8" borderId="1" xfId="1" applyNumberFormat="1" applyFont="1" applyFill="1" applyBorder="1" applyAlignment="1">
      <alignment vertical="center"/>
    </xf>
    <xf numFmtId="178" fontId="6" fillId="8" borderId="2" xfId="1" applyNumberFormat="1" applyFont="1" applyFill="1" applyBorder="1" applyAlignment="1">
      <alignment vertical="center"/>
    </xf>
    <xf numFmtId="178" fontId="6" fillId="8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2" fillId="0" borderId="39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30" xfId="0" applyNumberFormat="1" applyFont="1" applyBorder="1">
      <alignment vertical="center"/>
    </xf>
    <xf numFmtId="178" fontId="12" fillId="0" borderId="46" xfId="0" applyNumberFormat="1" applyFont="1" applyBorder="1">
      <alignment vertical="center"/>
    </xf>
    <xf numFmtId="178" fontId="12" fillId="0" borderId="13" xfId="0" applyNumberFormat="1" applyFont="1" applyBorder="1">
      <alignment vertical="center"/>
    </xf>
    <xf numFmtId="178" fontId="12" fillId="0" borderId="14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25" xfId="0" applyNumberFormat="1" applyFont="1" applyBorder="1">
      <alignment vertical="center"/>
    </xf>
    <xf numFmtId="178" fontId="12" fillId="0" borderId="26" xfId="0" applyNumberFormat="1" applyFont="1" applyBorder="1">
      <alignment vertical="center"/>
    </xf>
    <xf numFmtId="178" fontId="12" fillId="0" borderId="47" xfId="0" applyNumberFormat="1" applyFont="1" applyBorder="1">
      <alignment vertical="center"/>
    </xf>
    <xf numFmtId="178" fontId="12" fillId="0" borderId="16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8" borderId="39" xfId="0" applyNumberFormat="1" applyFont="1" applyFill="1" applyBorder="1">
      <alignment vertical="center"/>
    </xf>
    <xf numFmtId="178" fontId="12" fillId="8" borderId="29" xfId="0" applyNumberFormat="1" applyFont="1" applyFill="1" applyBorder="1">
      <alignment vertical="center"/>
    </xf>
    <xf numFmtId="178" fontId="12" fillId="8" borderId="30" xfId="0" applyNumberFormat="1" applyFont="1" applyFill="1" applyBorder="1">
      <alignment vertical="center"/>
    </xf>
    <xf numFmtId="178" fontId="12" fillId="8" borderId="46" xfId="0" applyNumberFormat="1" applyFont="1" applyFill="1" applyBorder="1">
      <alignment vertical="center"/>
    </xf>
    <xf numFmtId="178" fontId="12" fillId="8" borderId="13" xfId="0" applyNumberFormat="1" applyFont="1" applyFill="1" applyBorder="1">
      <alignment vertical="center"/>
    </xf>
    <xf numFmtId="178" fontId="12" fillId="8" borderId="14" xfId="0" applyNumberFormat="1" applyFont="1" applyFill="1" applyBorder="1">
      <alignment vertical="center"/>
    </xf>
    <xf numFmtId="178" fontId="12" fillId="8" borderId="49" xfId="0" applyNumberFormat="1" applyFont="1" applyFill="1" applyBorder="1">
      <alignment vertical="center"/>
    </xf>
    <xf numFmtId="178" fontId="12" fillId="8" borderId="25" xfId="0" applyNumberFormat="1" applyFont="1" applyFill="1" applyBorder="1">
      <alignment vertical="center"/>
    </xf>
    <xf numFmtId="178" fontId="12" fillId="8" borderId="26" xfId="0" applyNumberFormat="1" applyFont="1" applyFill="1" applyBorder="1">
      <alignment vertical="center"/>
    </xf>
    <xf numFmtId="178" fontId="12" fillId="8" borderId="47" xfId="0" applyNumberFormat="1" applyFont="1" applyFill="1" applyBorder="1">
      <alignment vertical="center"/>
    </xf>
    <xf numFmtId="178" fontId="12" fillId="8" borderId="16" xfId="0" applyNumberFormat="1" applyFont="1" applyFill="1" applyBorder="1">
      <alignment vertical="center"/>
    </xf>
    <xf numFmtId="178" fontId="12" fillId="8" borderId="17" xfId="0" applyNumberFormat="1" applyFont="1" applyFill="1" applyBorder="1">
      <alignment vertical="center"/>
    </xf>
    <xf numFmtId="178" fontId="12" fillId="0" borderId="1" xfId="0" applyNumberFormat="1" applyFont="1" applyBorder="1">
      <alignment vertical="center"/>
    </xf>
    <xf numFmtId="178" fontId="12" fillId="0" borderId="74" xfId="0" applyNumberFormat="1" applyFont="1" applyBorder="1">
      <alignment vertical="center"/>
    </xf>
    <xf numFmtId="178" fontId="12" fillId="0" borderId="4" xfId="0" applyNumberFormat="1" applyFont="1" applyBorder="1">
      <alignment vertical="center"/>
    </xf>
    <xf numFmtId="178" fontId="12" fillId="0" borderId="75" xfId="0" applyNumberFormat="1" applyFont="1" applyBorder="1">
      <alignment vertical="center"/>
    </xf>
    <xf numFmtId="178" fontId="12" fillId="0" borderId="18" xfId="0" applyNumberFormat="1" applyFont="1" applyBorder="1">
      <alignment vertical="center"/>
    </xf>
    <xf numFmtId="178" fontId="12" fillId="0" borderId="79" xfId="0" applyNumberFormat="1" applyFont="1" applyBorder="1">
      <alignment vertical="center"/>
    </xf>
    <xf numFmtId="178" fontId="12" fillId="0" borderId="53" xfId="0" applyNumberFormat="1" applyFont="1" applyBorder="1">
      <alignment vertical="center"/>
    </xf>
    <xf numFmtId="178" fontId="12" fillId="0" borderId="20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22" xfId="0" applyNumberFormat="1" applyFont="1" applyBorder="1">
      <alignment vertical="center"/>
    </xf>
    <xf numFmtId="178" fontId="12" fillId="0" borderId="76" xfId="0" applyNumberFormat="1" applyFont="1" applyBorder="1">
      <alignment vertical="center"/>
    </xf>
    <xf numFmtId="178" fontId="11" fillId="7" borderId="79" xfId="0" applyNumberFormat="1" applyFont="1" applyFill="1" applyBorder="1">
      <alignment vertical="center"/>
    </xf>
    <xf numFmtId="178" fontId="11" fillId="5" borderId="75" xfId="0" applyNumberFormat="1" applyFont="1" applyFill="1" applyBorder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6" fillId="11" borderId="17" xfId="0" applyNumberFormat="1" applyFont="1" applyFill="1" applyBorder="1" applyAlignment="1">
      <alignment horizontal="right" vertical="center"/>
    </xf>
    <xf numFmtId="178" fontId="16" fillId="11" borderId="0" xfId="0" applyNumberFormat="1" applyFont="1" applyFill="1" applyBorder="1" applyAlignment="1">
      <alignment horizontal="right" vertical="center"/>
    </xf>
    <xf numFmtId="178" fontId="16" fillId="11" borderId="83" xfId="0" applyNumberFormat="1" applyFont="1" applyFill="1" applyBorder="1" applyAlignment="1">
      <alignment horizontal="right" vertical="center"/>
    </xf>
    <xf numFmtId="178" fontId="16" fillId="11" borderId="4" xfId="0" applyNumberFormat="1" applyFont="1" applyFill="1" applyBorder="1" applyAlignment="1">
      <alignment horizontal="right" vertical="center"/>
    </xf>
    <xf numFmtId="178" fontId="16" fillId="11" borderId="69" xfId="0" applyNumberFormat="1" applyFont="1" applyFill="1" applyBorder="1" applyAlignment="1">
      <alignment horizontal="center" vertical="center"/>
    </xf>
    <xf numFmtId="178" fontId="16" fillId="11" borderId="44" xfId="0" applyNumberFormat="1" applyFont="1" applyFill="1" applyBorder="1" applyAlignment="1">
      <alignment horizontal="right" vertical="center"/>
    </xf>
    <xf numFmtId="178" fontId="16" fillId="11" borderId="81" xfId="0" applyNumberFormat="1" applyFont="1" applyFill="1" applyBorder="1" applyAlignment="1">
      <alignment horizontal="right" vertical="center"/>
    </xf>
    <xf numFmtId="178" fontId="16" fillId="11" borderId="88" xfId="0" applyNumberFormat="1" applyFont="1" applyFill="1" applyBorder="1" applyAlignment="1">
      <alignment horizontal="right" vertical="center"/>
    </xf>
    <xf numFmtId="178" fontId="16" fillId="11" borderId="80" xfId="0" applyNumberFormat="1" applyFont="1" applyFill="1" applyBorder="1" applyAlignment="1">
      <alignment horizontal="right" vertical="center"/>
    </xf>
    <xf numFmtId="178" fontId="16" fillId="11" borderId="89" xfId="0" applyNumberFormat="1" applyFont="1" applyFill="1" applyBorder="1" applyAlignment="1">
      <alignment horizontal="center" vertical="center"/>
    </xf>
    <xf numFmtId="178" fontId="16" fillId="11" borderId="30" xfId="0" applyNumberFormat="1" applyFont="1" applyFill="1" applyBorder="1" applyAlignment="1">
      <alignment horizontal="right" vertical="center"/>
    </xf>
    <xf numFmtId="178" fontId="16" fillId="11" borderId="2" xfId="0" applyNumberFormat="1" applyFont="1" applyFill="1" applyBorder="1" applyAlignment="1">
      <alignment horizontal="right" vertical="center"/>
    </xf>
    <xf numFmtId="178" fontId="16" fillId="11" borderId="87" xfId="0" applyNumberFormat="1" applyFont="1" applyFill="1" applyBorder="1" applyAlignment="1">
      <alignment horizontal="right" vertical="center"/>
    </xf>
    <xf numFmtId="178" fontId="16" fillId="11" borderId="1" xfId="0" applyNumberFormat="1" applyFont="1" applyFill="1" applyBorder="1" applyAlignment="1">
      <alignment horizontal="right" vertical="center"/>
    </xf>
    <xf numFmtId="178" fontId="16" fillId="11" borderId="68" xfId="0" applyNumberFormat="1" applyFont="1" applyFill="1" applyBorder="1" applyAlignment="1">
      <alignment horizontal="center" vertical="center"/>
    </xf>
    <xf numFmtId="178" fontId="17" fillId="12" borderId="90" xfId="0" applyNumberFormat="1" applyFont="1" applyFill="1" applyBorder="1" applyAlignment="1">
      <alignment horizontal="right" vertical="center"/>
    </xf>
    <xf numFmtId="178" fontId="17" fillId="12" borderId="67" xfId="0" applyNumberFormat="1" applyFont="1" applyFill="1" applyBorder="1" applyAlignment="1">
      <alignment horizontal="right" vertical="center"/>
    </xf>
    <xf numFmtId="178" fontId="17" fillId="12" borderId="91" xfId="0" applyNumberFormat="1" applyFont="1" applyFill="1" applyBorder="1" applyAlignment="1">
      <alignment horizontal="right" vertical="center"/>
    </xf>
    <xf numFmtId="178" fontId="17" fillId="12" borderId="48" xfId="0" applyNumberFormat="1" applyFont="1" applyFill="1" applyBorder="1" applyAlignment="1">
      <alignment horizontal="right" vertical="center"/>
    </xf>
    <xf numFmtId="178" fontId="17" fillId="12" borderId="92" xfId="0" applyNumberFormat="1" applyFont="1" applyFill="1" applyBorder="1" applyAlignment="1">
      <alignment horizontal="right" vertical="center"/>
    </xf>
    <xf numFmtId="178" fontId="17" fillId="12" borderId="65" xfId="0" applyNumberFormat="1" applyFont="1" applyFill="1" applyBorder="1" applyAlignment="1">
      <alignment horizontal="center" vertical="center"/>
    </xf>
    <xf numFmtId="178" fontId="15" fillId="13" borderId="11" xfId="0" applyNumberFormat="1" applyFont="1" applyFill="1" applyBorder="1" applyAlignment="1">
      <alignment horizontal="centerContinuous" vertical="center"/>
    </xf>
    <xf numFmtId="178" fontId="15" fillId="13" borderId="64" xfId="0" applyNumberFormat="1" applyFont="1" applyFill="1" applyBorder="1" applyAlignment="1">
      <alignment horizontal="centerContinuous" vertical="center"/>
    </xf>
    <xf numFmtId="178" fontId="15" fillId="13" borderId="93" xfId="0" applyNumberFormat="1" applyFont="1" applyFill="1" applyBorder="1" applyAlignment="1">
      <alignment horizontal="centerContinuous" vertical="center"/>
    </xf>
    <xf numFmtId="178" fontId="15" fillId="13" borderId="71" xfId="0" applyNumberFormat="1" applyFont="1" applyFill="1" applyBorder="1" applyAlignment="1">
      <alignment horizontal="centerContinuous" vertical="center"/>
    </xf>
    <xf numFmtId="178" fontId="15" fillId="13" borderId="50" xfId="0" applyNumberFormat="1" applyFont="1" applyFill="1" applyBorder="1" applyAlignment="1">
      <alignment horizontal="centerContinuous" vertical="center"/>
    </xf>
    <xf numFmtId="178" fontId="15" fillId="13" borderId="3" xfId="0" applyNumberFormat="1" applyFont="1" applyFill="1" applyBorder="1" applyAlignment="1">
      <alignment horizontal="centerContinuous" vertical="center"/>
    </xf>
    <xf numFmtId="178" fontId="15" fillId="13" borderId="2" xfId="0" applyNumberFormat="1" applyFont="1" applyFill="1" applyBorder="1" applyAlignment="1">
      <alignment horizontal="centerContinuous" vertical="center"/>
    </xf>
    <xf numFmtId="178" fontId="15" fillId="13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6" fillId="11" borderId="5" xfId="0" applyNumberFormat="1" applyFont="1" applyFill="1" applyBorder="1" applyAlignment="1">
      <alignment horizontal="right" vertical="center"/>
    </xf>
    <xf numFmtId="178" fontId="16" fillId="11" borderId="52" xfId="0" applyNumberFormat="1" applyFont="1" applyFill="1" applyBorder="1" applyAlignment="1">
      <alignment horizontal="right" vertical="center"/>
    </xf>
    <xf numFmtId="178" fontId="16" fillId="11" borderId="3" xfId="0" applyNumberFormat="1" applyFont="1" applyFill="1" applyBorder="1" applyAlignment="1">
      <alignment horizontal="right" vertical="center"/>
    </xf>
    <xf numFmtId="178" fontId="17" fillId="12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6" fillId="11" borderId="5" xfId="1" applyNumberFormat="1" applyFont="1" applyFill="1" applyBorder="1" applyAlignment="1">
      <alignment horizontal="right" vertical="center"/>
    </xf>
    <xf numFmtId="178" fontId="16" fillId="11" borderId="83" xfId="1" applyNumberFormat="1" applyFont="1" applyFill="1" applyBorder="1" applyAlignment="1">
      <alignment horizontal="right" vertical="center"/>
    </xf>
    <xf numFmtId="178" fontId="16" fillId="11" borderId="4" xfId="1" applyNumberFormat="1" applyFont="1" applyFill="1" applyBorder="1" applyAlignment="1">
      <alignment horizontal="right" vertical="center"/>
    </xf>
    <xf numFmtId="178" fontId="16" fillId="11" borderId="52" xfId="1" applyNumberFormat="1" applyFont="1" applyFill="1" applyBorder="1" applyAlignment="1">
      <alignment horizontal="right" vertical="center"/>
    </xf>
    <xf numFmtId="178" fontId="16" fillId="11" borderId="88" xfId="1" applyNumberFormat="1" applyFont="1" applyFill="1" applyBorder="1" applyAlignment="1">
      <alignment horizontal="right" vertical="center"/>
    </xf>
    <xf numFmtId="178" fontId="16" fillId="11" borderId="80" xfId="1" applyNumberFormat="1" applyFont="1" applyFill="1" applyBorder="1" applyAlignment="1">
      <alignment horizontal="right" vertical="center"/>
    </xf>
    <xf numFmtId="178" fontId="16" fillId="11" borderId="3" xfId="1" applyNumberFormat="1" applyFont="1" applyFill="1" applyBorder="1" applyAlignment="1">
      <alignment horizontal="right" vertical="center"/>
    </xf>
    <xf numFmtId="178" fontId="16" fillId="11" borderId="87" xfId="1" applyNumberFormat="1" applyFont="1" applyFill="1" applyBorder="1" applyAlignment="1">
      <alignment horizontal="right" vertical="center"/>
    </xf>
    <xf numFmtId="178" fontId="16" fillId="11" borderId="1" xfId="1" applyNumberFormat="1" applyFont="1" applyFill="1" applyBorder="1" applyAlignment="1">
      <alignment horizontal="right" vertical="center"/>
    </xf>
    <xf numFmtId="178" fontId="17" fillId="12" borderId="55" xfId="1" applyNumberFormat="1" applyFont="1" applyFill="1" applyBorder="1" applyAlignment="1">
      <alignment horizontal="right" vertical="center"/>
    </xf>
    <xf numFmtId="178" fontId="17" fillId="12" borderId="91" xfId="1" applyNumberFormat="1" applyFont="1" applyFill="1" applyBorder="1" applyAlignment="1">
      <alignment horizontal="right" vertical="center"/>
    </xf>
    <xf numFmtId="178" fontId="17" fillId="12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6" fillId="11" borderId="5" xfId="0" applyNumberFormat="1" applyFont="1" applyFill="1" applyBorder="1" applyAlignment="1">
      <alignment horizontal="right" vertical="center"/>
    </xf>
    <xf numFmtId="9" fontId="16" fillId="11" borderId="83" xfId="0" applyNumberFormat="1" applyFont="1" applyFill="1" applyBorder="1" applyAlignment="1">
      <alignment horizontal="right" vertical="center"/>
    </xf>
    <xf numFmtId="9" fontId="16" fillId="11" borderId="4" xfId="0" applyNumberFormat="1" applyFont="1" applyFill="1" applyBorder="1" applyAlignment="1">
      <alignment horizontal="right" vertical="center"/>
    </xf>
    <xf numFmtId="9" fontId="16" fillId="11" borderId="52" xfId="0" applyNumberFormat="1" applyFont="1" applyFill="1" applyBorder="1" applyAlignment="1">
      <alignment horizontal="right" vertical="center"/>
    </xf>
    <xf numFmtId="9" fontId="16" fillId="11" borderId="88" xfId="0" applyNumberFormat="1" applyFont="1" applyFill="1" applyBorder="1" applyAlignment="1">
      <alignment horizontal="right" vertical="center"/>
    </xf>
    <xf numFmtId="9" fontId="16" fillId="11" borderId="80" xfId="0" applyNumberFormat="1" applyFont="1" applyFill="1" applyBorder="1" applyAlignment="1">
      <alignment horizontal="right" vertical="center"/>
    </xf>
    <xf numFmtId="9" fontId="16" fillId="11" borderId="3" xfId="0" applyNumberFormat="1" applyFont="1" applyFill="1" applyBorder="1" applyAlignment="1">
      <alignment horizontal="right" vertical="center"/>
    </xf>
    <xf numFmtId="9" fontId="16" fillId="11" borderId="87" xfId="0" applyNumberFormat="1" applyFont="1" applyFill="1" applyBorder="1" applyAlignment="1">
      <alignment horizontal="right" vertical="center"/>
    </xf>
    <xf numFmtId="9" fontId="16" fillId="11" borderId="1" xfId="0" applyNumberFormat="1" applyFont="1" applyFill="1" applyBorder="1" applyAlignment="1">
      <alignment horizontal="right" vertical="center"/>
    </xf>
    <xf numFmtId="9" fontId="17" fillId="12" borderId="55" xfId="0" applyNumberFormat="1" applyFont="1" applyFill="1" applyBorder="1" applyAlignment="1">
      <alignment horizontal="right" vertical="center"/>
    </xf>
    <xf numFmtId="9" fontId="17" fillId="12" borderId="91" xfId="0" applyNumberFormat="1" applyFont="1" applyFill="1" applyBorder="1" applyAlignment="1">
      <alignment horizontal="right" vertical="center"/>
    </xf>
    <xf numFmtId="9" fontId="17" fillId="12" borderId="48" xfId="0" applyNumberFormat="1" applyFont="1" applyFill="1" applyBorder="1" applyAlignment="1">
      <alignment horizontal="right" vertical="center"/>
    </xf>
    <xf numFmtId="178" fontId="2" fillId="8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19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1" fontId="0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3" fontId="0" fillId="0" borderId="0" xfId="0" applyNumberFormat="1">
      <alignment vertical="center"/>
    </xf>
    <xf numFmtId="184" fontId="6" fillId="0" borderId="0" xfId="1" applyNumberFormat="1" applyFont="1">
      <alignment vertical="center"/>
    </xf>
    <xf numFmtId="184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8" borderId="4" xfId="1" quotePrefix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5" fillId="0" borderId="0" xfId="0" applyNumberFormat="1" applyFont="1" applyFill="1" applyBorder="1" applyAlignment="1">
      <alignment vertical="center"/>
    </xf>
    <xf numFmtId="0" fontId="13" fillId="6" borderId="65" xfId="0" applyFont="1" applyFill="1" applyBorder="1" applyAlignment="1">
      <alignment horizontal="centerContinuous" vertical="center"/>
    </xf>
    <xf numFmtId="0" fontId="13" fillId="6" borderId="67" xfId="0" applyFont="1" applyFill="1" applyBorder="1" applyAlignment="1">
      <alignment horizontal="centerContinuous" vertical="center"/>
    </xf>
    <xf numFmtId="0" fontId="13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95" xfId="0" applyNumberFormat="1" applyFont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96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85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96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85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5" fillId="9" borderId="48" xfId="0" applyFont="1" applyFill="1" applyBorder="1" applyAlignment="1">
      <alignment horizontal="centerContinuous" vertical="center"/>
    </xf>
    <xf numFmtId="0" fontId="15" fillId="9" borderId="67" xfId="0" applyFont="1" applyFill="1" applyBorder="1" applyAlignment="1">
      <alignment horizontal="centerContinuous" vertical="center"/>
    </xf>
    <xf numFmtId="0" fontId="15" fillId="9" borderId="55" xfId="0" applyFont="1" applyFill="1" applyBorder="1" applyAlignment="1">
      <alignment horizontal="centerContinuous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178" fontId="2" fillId="10" borderId="29" xfId="0" applyNumberFormat="1" applyFont="1" applyFill="1" applyBorder="1" applyAlignment="1">
      <alignment horizontal="center" vertical="center"/>
    </xf>
    <xf numFmtId="178" fontId="2" fillId="10" borderId="2" xfId="0" applyNumberFormat="1" applyFont="1" applyFill="1" applyBorder="1" applyAlignment="1">
      <alignment horizontal="center" vertical="center"/>
    </xf>
    <xf numFmtId="178" fontId="2" fillId="10" borderId="3" xfId="0" applyNumberFormat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3" fillId="14" borderId="1" xfId="0" applyFont="1" applyFill="1" applyBorder="1" applyAlignment="1">
      <alignment horizontal="centerContinuous" vertical="center"/>
    </xf>
    <xf numFmtId="0" fontId="13" fillId="14" borderId="2" xfId="0" applyFont="1" applyFill="1" applyBorder="1" applyAlignment="1">
      <alignment horizontal="centerContinuous" vertical="center"/>
    </xf>
    <xf numFmtId="0" fontId="13" fillId="14" borderId="3" xfId="0" applyFont="1" applyFill="1" applyBorder="1" applyAlignment="1">
      <alignment horizontal="centerContinuous" vertical="center"/>
    </xf>
    <xf numFmtId="0" fontId="13" fillId="14" borderId="71" xfId="0" applyFont="1" applyFill="1" applyBorder="1" applyAlignment="1">
      <alignment horizontal="centerContinuous" vertical="center"/>
    </xf>
    <xf numFmtId="0" fontId="13" fillId="14" borderId="78" xfId="0" applyFont="1" applyFill="1" applyBorder="1" applyAlignment="1">
      <alignment horizontal="centerContinuous" vertical="center"/>
    </xf>
    <xf numFmtId="0" fontId="13" fillId="14" borderId="45" xfId="0" applyFont="1" applyFill="1" applyBorder="1" applyAlignment="1">
      <alignment horizontal="centerContinuous" vertical="center"/>
    </xf>
    <xf numFmtId="0" fontId="13" fillId="14" borderId="10" xfId="0" applyFont="1" applyFill="1" applyBorder="1" applyAlignment="1">
      <alignment horizontal="centerContinuous" vertical="center"/>
    </xf>
    <xf numFmtId="0" fontId="13" fillId="14" borderId="11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55" xfId="0" applyFont="1" applyBorder="1" applyAlignment="1">
      <alignment horizontal="centerContinuous" vertical="center"/>
    </xf>
    <xf numFmtId="178" fontId="12" fillId="0" borderId="48" xfId="0" applyNumberFormat="1" applyFont="1" applyBorder="1">
      <alignment vertical="center"/>
    </xf>
    <xf numFmtId="178" fontId="12" fillId="0" borderId="40" xfId="0" applyNumberFormat="1" applyFont="1" applyBorder="1">
      <alignment vertical="center"/>
    </xf>
    <xf numFmtId="178" fontId="12" fillId="0" borderId="38" xfId="0" applyNumberFormat="1" applyFont="1" applyBorder="1">
      <alignment vertical="center"/>
    </xf>
    <xf numFmtId="178" fontId="12" fillId="0" borderId="90" xfId="0" applyNumberFormat="1" applyFont="1" applyBorder="1">
      <alignment vertical="center"/>
    </xf>
    <xf numFmtId="178" fontId="12" fillId="0" borderId="78" xfId="0" applyNumberFormat="1" applyFont="1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Continuous" vertical="center"/>
    </xf>
    <xf numFmtId="0" fontId="2" fillId="3" borderId="55" xfId="0" applyFont="1" applyFill="1" applyBorder="1" applyAlignment="1">
      <alignment horizontal="centerContinuous" vertical="center"/>
    </xf>
    <xf numFmtId="0" fontId="0" fillId="8" borderId="1" xfId="0" applyFill="1" applyBorder="1" applyAlignment="1">
      <alignment horizontal="centerContinuous" vertical="center"/>
    </xf>
    <xf numFmtId="0" fontId="0" fillId="8" borderId="3" xfId="0" applyFill="1" applyBorder="1" applyAlignment="1">
      <alignment horizontal="centerContinuous" vertical="center"/>
    </xf>
    <xf numFmtId="0" fontId="0" fillId="8" borderId="4" xfId="0" applyFill="1" applyBorder="1">
      <alignment vertical="center"/>
    </xf>
    <xf numFmtId="0" fontId="0" fillId="8" borderId="11" xfId="0" applyFill="1" applyBorder="1" applyAlignment="1">
      <alignment horizontal="right" vertical="center"/>
    </xf>
    <xf numFmtId="0" fontId="0" fillId="8" borderId="6" xfId="0" applyFill="1" applyBorder="1">
      <alignment vertical="center"/>
    </xf>
    <xf numFmtId="0" fontId="0" fillId="8" borderId="2" xfId="0" applyFill="1" applyBorder="1" applyAlignment="1">
      <alignment horizontal="centerContinuous" vertical="center"/>
    </xf>
    <xf numFmtId="0" fontId="0" fillId="8" borderId="97" xfId="0" applyFill="1" applyBorder="1" applyAlignment="1">
      <alignment horizontal="right" vertical="center"/>
    </xf>
    <xf numFmtId="0" fontId="0" fillId="8" borderId="97" xfId="0" applyFill="1" applyBorder="1" applyAlignment="1">
      <alignment horizontal="distributed" vertical="center"/>
    </xf>
    <xf numFmtId="0" fontId="13" fillId="6" borderId="1" xfId="0" applyFont="1" applyFill="1" applyBorder="1" applyAlignment="1">
      <alignment horizontal="centerContinuous" vertical="center"/>
    </xf>
    <xf numFmtId="0" fontId="13" fillId="6" borderId="48" xfId="0" applyFont="1" applyFill="1" applyBorder="1" applyAlignment="1">
      <alignment horizontal="centerContinuous" vertical="center"/>
    </xf>
    <xf numFmtId="178" fontId="6" fillId="0" borderId="1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7" fontId="6" fillId="0" borderId="4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22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7" fontId="0" fillId="0" borderId="71" xfId="5" applyNumberFormat="1" applyFont="1" applyBorder="1" applyAlignment="1">
      <alignment horizontal="right" vertical="center"/>
    </xf>
    <xf numFmtId="176" fontId="0" fillId="0" borderId="71" xfId="0" applyNumberFormat="1" applyBorder="1" applyAlignment="1">
      <alignment horizontal="right" vertical="center"/>
    </xf>
    <xf numFmtId="177" fontId="0" fillId="0" borderId="71" xfId="0" applyNumberFormat="1" applyBorder="1" applyAlignment="1">
      <alignment horizontal="right" vertical="center"/>
    </xf>
    <xf numFmtId="176" fontId="0" fillId="0" borderId="68" xfId="0" applyNumberFormat="1" applyBorder="1" applyAlignment="1">
      <alignment horizontal="right" vertical="center"/>
    </xf>
    <xf numFmtId="177" fontId="0" fillId="0" borderId="73" xfId="5" applyNumberFormat="1" applyFont="1" applyBorder="1" applyAlignment="1">
      <alignment horizontal="right" vertical="center"/>
    </xf>
    <xf numFmtId="176" fontId="0" fillId="0" borderId="73" xfId="0" applyNumberFormat="1" applyBorder="1" applyAlignment="1">
      <alignment horizontal="right" vertical="center"/>
    </xf>
    <xf numFmtId="177" fontId="0" fillId="0" borderId="73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64" xfId="5" applyNumberFormat="1" applyFont="1" applyBorder="1" applyAlignment="1">
      <alignment horizontal="right" vertical="center"/>
    </xf>
    <xf numFmtId="176" fontId="0" fillId="0" borderId="64" xfId="0" applyNumberFormat="1" applyBorder="1" applyAlignment="1">
      <alignment horizontal="right" vertical="center"/>
    </xf>
    <xf numFmtId="177" fontId="0" fillId="0" borderId="64" xfId="0" applyNumberFormat="1" applyBorder="1" applyAlignment="1">
      <alignment horizontal="right" vertical="center"/>
    </xf>
    <xf numFmtId="0" fontId="13" fillId="6" borderId="68" xfId="0" applyFont="1" applyFill="1" applyBorder="1" applyAlignment="1">
      <alignment horizontal="centerContinuous" vertical="center"/>
    </xf>
    <xf numFmtId="176" fontId="0" fillId="0" borderId="3" xfId="0" applyNumberFormat="1" applyBorder="1" applyAlignment="1">
      <alignment horizontal="right" vertical="center"/>
    </xf>
    <xf numFmtId="177" fontId="0" fillId="0" borderId="50" xfId="5" applyNumberFormat="1" applyFont="1" applyBorder="1" applyAlignment="1">
      <alignment horizontal="right" vertical="center"/>
    </xf>
    <xf numFmtId="176" fontId="0" fillId="0" borderId="50" xfId="0" applyNumberFormat="1" applyBorder="1" applyAlignment="1">
      <alignment horizontal="right" vertical="center"/>
    </xf>
    <xf numFmtId="177" fontId="0" fillId="0" borderId="50" xfId="0" applyNumberFormat="1" applyBorder="1" applyAlignment="1">
      <alignment horizontal="right" vertical="center"/>
    </xf>
    <xf numFmtId="0" fontId="6" fillId="0" borderId="34" xfId="0" applyFont="1" applyBorder="1" applyAlignment="1">
      <alignment horizontal="centerContinuous" vertical="center"/>
    </xf>
    <xf numFmtId="0" fontId="6" fillId="0" borderId="36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9" fontId="12" fillId="0" borderId="6" xfId="0" applyNumberFormat="1" applyFont="1" applyBorder="1">
      <alignment vertical="center"/>
    </xf>
    <xf numFmtId="9" fontId="12" fillId="0" borderId="98" xfId="0" applyNumberFormat="1" applyFont="1" applyBorder="1">
      <alignment vertical="center"/>
    </xf>
    <xf numFmtId="9" fontId="12" fillId="0" borderId="47" xfId="0" applyNumberFormat="1" applyFont="1" applyBorder="1">
      <alignment vertical="center"/>
    </xf>
    <xf numFmtId="9" fontId="12" fillId="0" borderId="16" xfId="0" applyNumberFormat="1" applyFont="1" applyBorder="1">
      <alignment vertical="center"/>
    </xf>
    <xf numFmtId="9" fontId="12" fillId="0" borderId="17" xfId="0" applyNumberFormat="1" applyFont="1" applyBorder="1">
      <alignment vertical="center"/>
    </xf>
    <xf numFmtId="3" fontId="0" fillId="8" borderId="0" xfId="0" applyNumberFormat="1" applyFill="1">
      <alignment vertical="center"/>
    </xf>
    <xf numFmtId="9" fontId="12" fillId="0" borderId="77" xfId="0" applyNumberFormat="1" applyFont="1" applyBorder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8" borderId="0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horizontal="center" vertical="center"/>
    </xf>
    <xf numFmtId="178" fontId="6" fillId="16" borderId="48" xfId="1" applyNumberFormat="1" applyFont="1" applyFill="1" applyBorder="1" applyAlignment="1">
      <alignment horizontal="center" vertical="center"/>
    </xf>
    <xf numFmtId="178" fontId="6" fillId="16" borderId="78" xfId="1" applyNumberFormat="1" applyFont="1" applyFill="1" applyBorder="1" applyAlignment="1">
      <alignment horizontal="center" vertical="center"/>
    </xf>
    <xf numFmtId="178" fontId="6" fillId="16" borderId="55" xfId="1" applyNumberFormat="1" applyFont="1" applyFill="1" applyBorder="1" applyAlignment="1">
      <alignment horizontal="center" vertical="center"/>
    </xf>
    <xf numFmtId="179" fontId="6" fillId="8" borderId="68" xfId="1" applyNumberFormat="1" applyFont="1" applyFill="1" applyBorder="1" applyAlignment="1">
      <alignment horizontal="center" vertical="center"/>
    </xf>
    <xf numFmtId="178" fontId="6" fillId="0" borderId="1" xfId="1" applyNumberFormat="1" applyFont="1" applyFill="1" applyBorder="1" applyAlignment="1">
      <alignment vertical="center"/>
    </xf>
    <xf numFmtId="178" fontId="6" fillId="0" borderId="74" xfId="1" applyNumberFormat="1" applyFont="1" applyFill="1" applyBorder="1" applyAlignment="1">
      <alignment vertical="center"/>
    </xf>
    <xf numFmtId="178" fontId="6" fillId="0" borderId="68" xfId="1" applyNumberFormat="1" applyFont="1" applyFill="1" applyBorder="1" applyAlignment="1">
      <alignment vertical="center"/>
    </xf>
    <xf numFmtId="178" fontId="6" fillId="8" borderId="70" xfId="1" applyNumberFormat="1" applyFont="1" applyFill="1" applyBorder="1" applyAlignment="1">
      <alignment horizontal="center"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98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6" fillId="0" borderId="70" xfId="1" applyNumberFormat="1" applyFont="1" applyFill="1" applyBorder="1" applyAlignment="1">
      <alignment vertical="center"/>
    </xf>
    <xf numFmtId="178" fontId="6" fillId="16" borderId="48" xfId="1" applyNumberFormat="1" applyFont="1" applyFill="1" applyBorder="1" applyAlignment="1">
      <alignment vertical="center"/>
    </xf>
    <xf numFmtId="178" fontId="6" fillId="16" borderId="99" xfId="1" applyNumberFormat="1" applyFont="1" applyFill="1" applyBorder="1" applyAlignment="1">
      <alignment vertical="center"/>
    </xf>
    <xf numFmtId="178" fontId="6" fillId="16" borderId="55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vertical="center"/>
    </xf>
    <xf numFmtId="179" fontId="6" fillId="0" borderId="1" xfId="1" applyNumberFormat="1" applyFont="1" applyFill="1" applyBorder="1" applyAlignment="1">
      <alignment vertical="center"/>
    </xf>
    <xf numFmtId="179" fontId="6" fillId="0" borderId="74" xfId="1" applyNumberFormat="1" applyFont="1" applyFill="1" applyBorder="1" applyAlignment="1">
      <alignment vertical="center"/>
    </xf>
    <xf numFmtId="179" fontId="6" fillId="0" borderId="3" xfId="1" applyNumberFormat="1" applyFont="1" applyFill="1" applyBorder="1" applyAlignment="1">
      <alignment vertical="center"/>
    </xf>
    <xf numFmtId="179" fontId="6" fillId="0" borderId="68" xfId="1" applyNumberFormat="1" applyFont="1" applyFill="1" applyBorder="1" applyAlignment="1">
      <alignment vertical="center"/>
    </xf>
    <xf numFmtId="9" fontId="6" fillId="0" borderId="6" xfId="1" applyNumberFormat="1" applyFont="1" applyFill="1" applyBorder="1" applyAlignment="1">
      <alignment vertical="center"/>
    </xf>
    <xf numFmtId="9" fontId="6" fillId="0" borderId="77" xfId="1" applyNumberFormat="1" applyFont="1" applyFill="1" applyBorder="1" applyAlignment="1">
      <alignment vertical="center"/>
    </xf>
    <xf numFmtId="9" fontId="6" fillId="0" borderId="8" xfId="1" applyNumberFormat="1" applyFont="1" applyFill="1" applyBorder="1" applyAlignment="1">
      <alignment vertical="center"/>
    </xf>
    <xf numFmtId="9" fontId="6" fillId="0" borderId="70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Continuous" vertical="center"/>
    </xf>
    <xf numFmtId="14" fontId="6" fillId="0" borderId="0" xfId="1" applyNumberFormat="1" applyFont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3" fontId="2" fillId="4" borderId="0" xfId="0" applyNumberFormat="1" applyFont="1" applyFill="1">
      <alignment vertical="center"/>
    </xf>
    <xf numFmtId="178" fontId="2" fillId="4" borderId="9" xfId="1" applyNumberFormat="1" applyFont="1" applyFill="1" applyBorder="1" applyAlignment="1">
      <alignment vertical="center"/>
    </xf>
    <xf numFmtId="178" fontId="2" fillId="4" borderId="10" xfId="1" applyNumberFormat="1" applyFont="1" applyFill="1" applyBorder="1" applyAlignment="1">
      <alignment vertical="center"/>
    </xf>
    <xf numFmtId="178" fontId="2" fillId="4" borderId="50" xfId="1" applyNumberFormat="1" applyFont="1" applyFill="1" applyBorder="1" applyAlignment="1">
      <alignment vertical="center"/>
    </xf>
    <xf numFmtId="178" fontId="2" fillId="4" borderId="45" xfId="1" applyNumberFormat="1" applyFont="1" applyFill="1" applyBorder="1" applyAlignment="1">
      <alignment vertical="center"/>
    </xf>
    <xf numFmtId="178" fontId="2" fillId="4" borderId="11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9" fontId="6" fillId="0" borderId="98" xfId="1" applyNumberFormat="1" applyFont="1" applyFill="1" applyBorder="1" applyAlignment="1">
      <alignment vertical="center"/>
    </xf>
    <xf numFmtId="179" fontId="6" fillId="0" borderId="8" xfId="1" applyNumberFormat="1" applyFont="1" applyFill="1" applyBorder="1" applyAlignment="1">
      <alignment vertical="center"/>
    </xf>
    <xf numFmtId="179" fontId="6" fillId="0" borderId="70" xfId="1" applyNumberFormat="1" applyFont="1" applyFill="1" applyBorder="1" applyAlignment="1">
      <alignment vertical="center"/>
    </xf>
    <xf numFmtId="178" fontId="6" fillId="8" borderId="68" xfId="1" applyNumberFormat="1" applyFont="1" applyFill="1" applyBorder="1" applyAlignment="1">
      <alignment horizontal="right" vertical="center"/>
    </xf>
    <xf numFmtId="178" fontId="6" fillId="8" borderId="70" xfId="1" applyNumberFormat="1" applyFont="1" applyFill="1" applyBorder="1" applyAlignment="1">
      <alignment horizontal="right" vertical="center"/>
    </xf>
    <xf numFmtId="179" fontId="6" fillId="16" borderId="48" xfId="1" applyNumberFormat="1" applyFont="1" applyFill="1" applyBorder="1" applyAlignment="1">
      <alignment vertical="center"/>
    </xf>
    <xf numFmtId="179" fontId="6" fillId="16" borderId="99" xfId="1" applyNumberFormat="1" applyFont="1" applyFill="1" applyBorder="1" applyAlignment="1">
      <alignment vertical="center"/>
    </xf>
    <xf numFmtId="179" fontId="6" fillId="16" borderId="55" xfId="1" applyNumberFormat="1" applyFont="1" applyFill="1" applyBorder="1" applyAlignment="1">
      <alignment vertical="center"/>
    </xf>
    <xf numFmtId="179" fontId="6" fillId="16" borderId="65" xfId="1" applyNumberFormat="1" applyFont="1" applyFill="1" applyBorder="1" applyAlignment="1">
      <alignment vertical="center"/>
    </xf>
    <xf numFmtId="178" fontId="8" fillId="0" borderId="4" xfId="1" applyNumberFormat="1" applyFont="1" applyFill="1" applyBorder="1" applyAlignment="1">
      <alignment vertical="center"/>
    </xf>
    <xf numFmtId="43" fontId="0" fillId="0" borderId="0" xfId="0" applyNumberFormat="1" applyFont="1">
      <alignment vertical="center"/>
    </xf>
    <xf numFmtId="178" fontId="2" fillId="4" borderId="0" xfId="1" applyNumberFormat="1" applyFont="1" applyFill="1" applyBorder="1" applyAlignment="1">
      <alignment vertical="center"/>
    </xf>
    <xf numFmtId="178" fontId="19" fillId="0" borderId="0" xfId="1" applyNumberFormat="1" applyFont="1" applyFill="1" applyBorder="1" applyAlignment="1">
      <alignment vertical="center"/>
    </xf>
    <xf numFmtId="178" fontId="19" fillId="0" borderId="5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4" xfId="1" applyNumberFormat="1" applyFont="1" applyBorder="1">
      <alignment vertical="center"/>
    </xf>
    <xf numFmtId="178" fontId="2" fillId="0" borderId="4" xfId="0" applyNumberFormat="1" applyFont="1" applyBorder="1">
      <alignment vertical="center"/>
    </xf>
    <xf numFmtId="43" fontId="0" fillId="0" borderId="0" xfId="0" applyNumberFormat="1" applyFont="1" applyBorder="1">
      <alignment vertical="center"/>
    </xf>
    <xf numFmtId="0" fontId="0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6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178" fontId="15" fillId="13" borderId="68" xfId="0" applyNumberFormat="1" applyFont="1" applyFill="1" applyBorder="1" applyAlignment="1">
      <alignment horizontal="center" vertical="center"/>
    </xf>
    <xf numFmtId="178" fontId="15" fillId="13" borderId="70" xfId="0" applyNumberFormat="1" applyFont="1" applyFill="1" applyBorder="1" applyAlignment="1">
      <alignment horizontal="center" vertical="center"/>
    </xf>
    <xf numFmtId="178" fontId="15" fillId="13" borderId="1" xfId="0" applyNumberFormat="1" applyFont="1" applyFill="1" applyBorder="1" applyAlignment="1">
      <alignment horizontal="center" vertical="center"/>
    </xf>
    <xf numFmtId="178" fontId="15" fillId="13" borderId="2" xfId="0" applyNumberFormat="1" applyFont="1" applyFill="1" applyBorder="1" applyAlignment="1">
      <alignment horizontal="center" vertical="center"/>
    </xf>
    <xf numFmtId="178" fontId="15" fillId="13" borderId="6" xfId="0" applyNumberFormat="1" applyFont="1" applyFill="1" applyBorder="1" applyAlignment="1">
      <alignment horizontal="center" vertical="center"/>
    </xf>
    <xf numFmtId="178" fontId="15" fillId="13" borderId="7" xfId="0" applyNumberFormat="1" applyFont="1" applyFill="1" applyBorder="1" applyAlignment="1">
      <alignment horizontal="center" vertical="center"/>
    </xf>
  </cellXfs>
  <cellStyles count="6">
    <cellStyle name="백분율" xfId="5" builtinId="5"/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FFFFCC"/>
      <color rgb="FF00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1_&#51665;&#44228;/&#50896;&#44032;&#49552;&#51061;/2026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0_&#48372;&#44256;&#49436;/2025&#45380;_&#54637;&#47785;&#48324;&#49552;&#51061;&#49892;&#5120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1_&#47112;&#48120;&#53080;/&#47112;&#48120;&#53080;&#50896;&#44032;&#49552;&#51061;(2026-05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1_&#47112;&#48120;&#53080;/&#47112;&#48120;&#53080;&#50896;&#44032;&#49552;&#51061;(2026-05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3_&#44264;&#51116;/&#48512;&#49328;&#47784;&#47000;&#51109;&#50896;&#44032;&#49552;&#51061;(2026-0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3_&#44264;&#51116;/&#48512;&#49328;&#53356;&#46972;&#49380;&#50896;&#44032;&#49552;&#51061;(2026-05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3_&#44264;&#51116;/&#49436;&#48512;&#49328;&#53356;&#46972;&#49380;&#50896;&#44032;&#49552;&#51061;(2026-0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47784;&#47000;&#51109;&#50896;&#44032;&#49552;&#51061;(2025-05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53356;&#46972;&#49380;&#50896;&#44032;&#49552;&#51061;(2025-05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9436;&#48512;&#49328;&#53356;&#46972;&#49380;&#50896;&#44032;&#49552;&#51061;(2025-05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4148;&#51088;&#51116;/2026&#45380;_&#50696;&#49328;&#50836;&#44396;&#50504;_&#44148;&#51088;&#5111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2_&#44148;&#51088;&#51116;/&#44148;&#51088;&#51116;&#50689;&#50629;&#49552;&#51061;(2026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2_&#44148;&#51088;&#51116;/&#44148;&#51088;&#51116;&#50689;&#50629;&#49552;&#51061;(2025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1_&#47112;&#48120;&#53080;/&#47112;&#48120;&#53080;&#50896;&#44032;&#49552;&#51061;(2026-05&#45572;&#44228;)&#44228;&#54925;&#45824;&#48708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1_&#47112;&#48120;&#53080;/&#47112;&#48120;&#53080;&#50896;&#44032;&#49552;&#51061;(2026-05&#45572;&#44228;)&#51204;&#45380;&#45824;&#48708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1_&#47112;&#48120;&#53080;/&#47112;&#48120;&#53080;&#50896;&#44032;&#49552;&#51061;(2026-05)&#51204;&#50900;&#45824;&#4870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688;&#49888;&#9316;/2026&#45380;_&#50696;&#49328;&#50836;&#44396;&#50504;_&#54633;&#44228;_&#49688;&#4988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12_&#51452;&#50836;&#51648;&#54364;&#44288;&#47532;/&#49688;&#51452;&#50689;&#50629;&#54016;/&#49688;&#51061;&#49457;&#51665;&#44228;_&#54032;&#47588;&#45800;&#44032;(202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324;&#50629;&#44228;&#54925;2/2026&#45380;%20&#49324;&#50629;&#44228;&#54925;(&#54633;&#44228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12_&#51452;&#50836;&#51648;&#54364;&#44288;&#47532;/&#50672;&#44396;&#44060;&#48156;&#54016;/&#54217;&#44512;&#44053;&#46020;(2026-05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8_&#49688;&#49888;/&#49688;&#51452;&#50689;&#50629;&#54016;/&#54032;&#47588;&#45800;&#44032;%20&#47560;&#51060;&#45320;&#49828;&#44228;&#49328;&#49436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5/01_&#47112;&#48120;&#53080;/&#47112;&#48120;&#53080;&#50896;&#44032;&#49552;&#51061;(2026-04)&#44228;&#54925;&#45824;&#487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월별손익 (3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3-12월"/>
      <sheetName val="9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>
        <row r="7">
          <cell r="Z7">
            <v>189000</v>
          </cell>
        </row>
      </sheetData>
      <sheetData sheetId="4">
        <row r="7">
          <cell r="Z7">
            <v>176999.8</v>
          </cell>
        </row>
      </sheetData>
      <sheetData sheetId="5">
        <row r="7">
          <cell r="Z7">
            <v>258500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37000</v>
          </cell>
          <cell r="G7">
            <v>35000</v>
          </cell>
          <cell r="H7">
            <v>18000</v>
          </cell>
          <cell r="I7">
            <v>15000</v>
          </cell>
          <cell r="J7">
            <v>20000</v>
          </cell>
          <cell r="K7">
            <v>20000</v>
          </cell>
          <cell r="L7">
            <v>10000</v>
          </cell>
          <cell r="M7">
            <v>22000</v>
          </cell>
          <cell r="N7">
            <v>10000</v>
          </cell>
          <cell r="O7">
            <v>14000.000000000002</v>
          </cell>
          <cell r="P7">
            <v>9000</v>
          </cell>
          <cell r="Q7">
            <v>12000</v>
          </cell>
          <cell r="R7">
            <v>22000</v>
          </cell>
          <cell r="S7">
            <v>12000</v>
          </cell>
          <cell r="T7">
            <v>5000</v>
          </cell>
          <cell r="U7">
            <v>4000</v>
          </cell>
          <cell r="V7">
            <v>5000</v>
          </cell>
          <cell r="W7">
            <v>0</v>
          </cell>
          <cell r="X7">
            <v>0</v>
          </cell>
          <cell r="Y7">
            <v>0</v>
          </cell>
          <cell r="Z7">
            <v>270000</v>
          </cell>
          <cell r="AA7">
            <v>8100</v>
          </cell>
          <cell r="AB7">
            <v>48407.173333333325</v>
          </cell>
          <cell r="AC7">
            <v>1</v>
          </cell>
          <cell r="AD7">
            <v>25179.993846153848</v>
          </cell>
          <cell r="AE7">
            <v>73588.16717948718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37021616.816178009</v>
          </cell>
          <cell r="F8">
            <v>3633421.8729999997</v>
          </cell>
          <cell r="G8">
            <v>3494612.1311796154</v>
          </cell>
          <cell r="H8">
            <v>1774364.3604000001</v>
          </cell>
          <cell r="I8">
            <v>1438266.9436999999</v>
          </cell>
          <cell r="J8">
            <v>2145312.1210000003</v>
          </cell>
          <cell r="K8">
            <v>2080419.9749899998</v>
          </cell>
          <cell r="L8">
            <v>1012933.8088</v>
          </cell>
          <cell r="M8">
            <v>2334377.8542800006</v>
          </cell>
          <cell r="N8">
            <v>1013502.203</v>
          </cell>
          <cell r="O8">
            <v>1372395.1546397214</v>
          </cell>
          <cell r="P8">
            <v>824669.73335999995</v>
          </cell>
          <cell r="Q8">
            <v>1239442.7172000001</v>
          </cell>
          <cell r="R8">
            <v>2174046.84</v>
          </cell>
          <cell r="S8">
            <v>1232294</v>
          </cell>
          <cell r="T8">
            <v>560423.79999999993</v>
          </cell>
          <cell r="U8">
            <v>446539.45930000016</v>
          </cell>
          <cell r="V8">
            <v>609700</v>
          </cell>
          <cell r="W8">
            <v>0</v>
          </cell>
          <cell r="X8">
            <v>0</v>
          </cell>
          <cell r="Y8">
            <v>0</v>
          </cell>
          <cell r="Z8">
            <v>27386722.974849343</v>
          </cell>
          <cell r="AA8">
            <v>8182096.0099999998</v>
          </cell>
          <cell r="AB8">
            <v>628721.89333333331</v>
          </cell>
          <cell r="AC8">
            <v>0</v>
          </cell>
          <cell r="AD8">
            <v>704709.27132867137</v>
          </cell>
          <cell r="AE8">
            <v>1333431.1646620047</v>
          </cell>
          <cell r="AF8">
            <v>12500</v>
          </cell>
          <cell r="AG8">
            <v>0</v>
          </cell>
          <cell r="AH8">
            <v>25000</v>
          </cell>
          <cell r="AI8">
            <v>75396.666666666672</v>
          </cell>
          <cell r="AJ8">
            <v>4700</v>
          </cell>
          <cell r="AK8">
            <v>0</v>
          </cell>
          <cell r="AL8">
            <v>117596.66666666667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1770</v>
          </cell>
          <cell r="AV8">
            <v>1770</v>
          </cell>
        </row>
        <row r="9">
          <cell r="D9" t="str">
            <v xml:space="preserve"> - 단  위  당</v>
          </cell>
          <cell r="F9">
            <v>98200.591162162149</v>
          </cell>
          <cell r="G9">
            <v>99846.060890846158</v>
          </cell>
          <cell r="H9">
            <v>98575.7978</v>
          </cell>
          <cell r="I9">
            <v>95884.462913333322</v>
          </cell>
          <cell r="J9">
            <v>107265.60605000002</v>
          </cell>
          <cell r="K9">
            <v>104020.9987495</v>
          </cell>
          <cell r="L9">
            <v>101293.38088</v>
          </cell>
          <cell r="M9">
            <v>106108.08428545456</v>
          </cell>
          <cell r="N9">
            <v>101350.2203</v>
          </cell>
          <cell r="O9">
            <v>98028.22533140867</v>
          </cell>
          <cell r="P9">
            <v>91629.970373333315</v>
          </cell>
          <cell r="Q9">
            <v>103286.8931</v>
          </cell>
          <cell r="R9">
            <v>98820.310909090913</v>
          </cell>
          <cell r="S9">
            <v>102691.16666666666</v>
          </cell>
          <cell r="T9">
            <v>112084.76</v>
          </cell>
          <cell r="U9">
            <v>111634.86482500004</v>
          </cell>
          <cell r="V9">
            <v>121940</v>
          </cell>
          <cell r="W9">
            <v>0</v>
          </cell>
          <cell r="X9">
            <v>0</v>
          </cell>
          <cell r="Y9">
            <v>0</v>
          </cell>
          <cell r="Z9">
            <v>101432.30731425683</v>
          </cell>
          <cell r="AA9">
            <v>1010135.3098765431</v>
          </cell>
          <cell r="AB9">
            <v>12988.196790668493</v>
          </cell>
          <cell r="AC9">
            <v>0</v>
          </cell>
          <cell r="AD9">
            <v>27986.872261937155</v>
          </cell>
          <cell r="AE9">
            <v>18120.18447761668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32659648.797763787</v>
          </cell>
          <cell r="F10">
            <v>3099990.7370983218</v>
          </cell>
          <cell r="G10">
            <v>3095525.7161328094</v>
          </cell>
          <cell r="H10">
            <v>1596401.1484072804</v>
          </cell>
          <cell r="I10">
            <v>1280144.1876588122</v>
          </cell>
          <cell r="J10">
            <v>1828349.441048108</v>
          </cell>
          <cell r="K10">
            <v>1681237.270659647</v>
          </cell>
          <cell r="L10">
            <v>884195.72368315316</v>
          </cell>
          <cell r="M10">
            <v>1942157.2568722642</v>
          </cell>
          <cell r="N10">
            <v>858940.29965698253</v>
          </cell>
          <cell r="O10">
            <v>1186536.0355095495</v>
          </cell>
          <cell r="P10">
            <v>728650.70889511681</v>
          </cell>
          <cell r="Q10">
            <v>1092812.4131382545</v>
          </cell>
          <cell r="R10">
            <v>1875719.6082255642</v>
          </cell>
          <cell r="S10">
            <v>1018319.755</v>
          </cell>
          <cell r="T10">
            <v>431005.16362845286</v>
          </cell>
          <cell r="U10">
            <v>354021.21893718076</v>
          </cell>
          <cell r="V10">
            <v>544349.26109691011</v>
          </cell>
          <cell r="W10">
            <v>0</v>
          </cell>
          <cell r="X10">
            <v>0</v>
          </cell>
          <cell r="Y10">
            <v>0</v>
          </cell>
          <cell r="Z10">
            <v>23498355.945648406</v>
          </cell>
          <cell r="AA10">
            <v>7960224.5199999986</v>
          </cell>
          <cell r="AB10">
            <v>450877.80166666664</v>
          </cell>
          <cell r="AC10">
            <v>92773.239833333297</v>
          </cell>
          <cell r="AD10">
            <v>621286.96061538463</v>
          </cell>
          <cell r="AE10">
            <v>1164938.0021153847</v>
          </cell>
          <cell r="AF10">
            <v>120</v>
          </cell>
          <cell r="AG10">
            <v>0</v>
          </cell>
          <cell r="AH10">
            <v>539</v>
          </cell>
          <cell r="AI10">
            <v>239</v>
          </cell>
          <cell r="AJ10">
            <v>173</v>
          </cell>
          <cell r="AK10">
            <v>0</v>
          </cell>
          <cell r="AL10">
            <v>1071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35059.33</v>
          </cell>
          <cell r="AT10">
            <v>0</v>
          </cell>
          <cell r="AU10">
            <v>0</v>
          </cell>
          <cell r="AV10">
            <v>35059.33</v>
          </cell>
        </row>
        <row r="11">
          <cell r="D11" t="str">
            <v xml:space="preserve"> - 단  위  당</v>
          </cell>
          <cell r="F11">
            <v>83783.533435089776</v>
          </cell>
          <cell r="G11">
            <v>88443.59188950884</v>
          </cell>
          <cell r="H11">
            <v>88688.952689293365</v>
          </cell>
          <cell r="I11">
            <v>85342.94584392081</v>
          </cell>
          <cell r="J11">
            <v>91417.472052405399</v>
          </cell>
          <cell r="K11">
            <v>84061.863532982345</v>
          </cell>
          <cell r="L11">
            <v>88419.572368315319</v>
          </cell>
          <cell r="M11">
            <v>88279.875312375647</v>
          </cell>
          <cell r="N11">
            <v>85894.029965698253</v>
          </cell>
          <cell r="O11">
            <v>84752.573964967814</v>
          </cell>
          <cell r="P11">
            <v>80961.1898772352</v>
          </cell>
          <cell r="Q11">
            <v>91067.701094854536</v>
          </cell>
          <cell r="R11">
            <v>85259.982192071111</v>
          </cell>
          <cell r="S11">
            <v>84859.979583333334</v>
          </cell>
          <cell r="T11">
            <v>86201.032725690573</v>
          </cell>
          <cell r="U11">
            <v>88505.30473429519</v>
          </cell>
          <cell r="V11">
            <v>108869.85221938202</v>
          </cell>
          <cell r="W11">
            <v>0</v>
          </cell>
          <cell r="X11">
            <v>0</v>
          </cell>
          <cell r="Y11">
            <v>0</v>
          </cell>
          <cell r="Z11">
            <v>87030.947946845947</v>
          </cell>
          <cell r="AA11">
            <v>982743.76790123433</v>
          </cell>
          <cell r="AB11">
            <v>9314.2765961959358</v>
          </cell>
          <cell r="AC11">
            <v>92773239.833333299</v>
          </cell>
          <cell r="AD11">
            <v>24673.832901285001</v>
          </cell>
          <cell r="AE11">
            <v>15830.507087831276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4361968.0184142217</v>
          </cell>
          <cell r="F12">
            <v>533431.13590167789</v>
          </cell>
          <cell r="G12">
            <v>399086.41504680598</v>
          </cell>
          <cell r="H12">
            <v>177963.21199271968</v>
          </cell>
          <cell r="I12">
            <v>158122.75604118779</v>
          </cell>
          <cell r="J12">
            <v>316962.67995189223</v>
          </cell>
          <cell r="K12">
            <v>399182.70433035283</v>
          </cell>
          <cell r="L12">
            <v>128738.08511684684</v>
          </cell>
          <cell r="M12">
            <v>392220.59740773635</v>
          </cell>
          <cell r="N12">
            <v>154561.90334301745</v>
          </cell>
          <cell r="O12">
            <v>185859.11913017184</v>
          </cell>
          <cell r="P12">
            <v>96019.024464883143</v>
          </cell>
          <cell r="Q12">
            <v>146630.30406174553</v>
          </cell>
          <cell r="R12">
            <v>298327.23177443561</v>
          </cell>
          <cell r="S12">
            <v>213974.245</v>
          </cell>
          <cell r="T12">
            <v>129418.63637154707</v>
          </cell>
          <cell r="U12">
            <v>92518.240362819401</v>
          </cell>
          <cell r="V12">
            <v>65350.738903089892</v>
          </cell>
          <cell r="W12">
            <v>0</v>
          </cell>
          <cell r="X12">
            <v>0</v>
          </cell>
          <cell r="Y12">
            <v>0</v>
          </cell>
          <cell r="Z12">
            <v>3888367.0292009376</v>
          </cell>
          <cell r="AA12">
            <v>221871.49000000115</v>
          </cell>
          <cell r="AB12">
            <v>177844.09166666667</v>
          </cell>
          <cell r="AC12">
            <v>-92773.239833333297</v>
          </cell>
          <cell r="AD12">
            <v>83422.310713286744</v>
          </cell>
          <cell r="AE12">
            <v>168493.16254662001</v>
          </cell>
          <cell r="AF12">
            <v>12380</v>
          </cell>
          <cell r="AG12">
            <v>0</v>
          </cell>
          <cell r="AH12">
            <v>24461</v>
          </cell>
          <cell r="AI12">
            <v>75157.666666666672</v>
          </cell>
          <cell r="AJ12">
            <v>4527</v>
          </cell>
          <cell r="AK12">
            <v>0</v>
          </cell>
          <cell r="AL12">
            <v>116525.66666666667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-35059.33</v>
          </cell>
          <cell r="AT12">
            <v>0</v>
          </cell>
          <cell r="AU12">
            <v>1770</v>
          </cell>
          <cell r="AV12">
            <v>-33289.33</v>
          </cell>
        </row>
        <row r="13">
          <cell r="D13" t="str">
            <v>판 관 비</v>
          </cell>
          <cell r="E13">
            <v>810270.83899999992</v>
          </cell>
          <cell r="F13">
            <v>68291.172999999995</v>
          </cell>
          <cell r="G13">
            <v>65971.407000000007</v>
          </cell>
          <cell r="H13">
            <v>50852.95</v>
          </cell>
          <cell r="I13">
            <v>37684.125</v>
          </cell>
          <cell r="J13">
            <v>57686.852000000006</v>
          </cell>
          <cell r="K13">
            <v>52505.36</v>
          </cell>
          <cell r="L13">
            <v>30604.596999999998</v>
          </cell>
          <cell r="M13">
            <v>48627.209000000003</v>
          </cell>
          <cell r="N13">
            <v>27037.060000000005</v>
          </cell>
          <cell r="O13">
            <v>27335.347000000002</v>
          </cell>
          <cell r="P13">
            <v>29289.285000000003</v>
          </cell>
          <cell r="Q13">
            <v>27520.12</v>
          </cell>
          <cell r="R13">
            <v>48698.353000000003</v>
          </cell>
          <cell r="S13">
            <v>29936.421999999999</v>
          </cell>
          <cell r="T13">
            <v>12176.483</v>
          </cell>
          <cell r="U13">
            <v>11984.141</v>
          </cell>
          <cell r="V13">
            <v>15787.02</v>
          </cell>
          <cell r="W13">
            <v>0</v>
          </cell>
          <cell r="X13">
            <v>0</v>
          </cell>
          <cell r="Y13">
            <v>0</v>
          </cell>
          <cell r="Z13">
            <v>641987.90399999998</v>
          </cell>
          <cell r="AA13">
            <v>132151.32500000001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551.5</v>
          </cell>
          <cell r="AN13">
            <v>427.5</v>
          </cell>
          <cell r="AO13">
            <v>1842</v>
          </cell>
          <cell r="AP13">
            <v>191.5</v>
          </cell>
          <cell r="AQ13">
            <v>150</v>
          </cell>
          <cell r="AR13">
            <v>8799</v>
          </cell>
          <cell r="AS13">
            <v>24170.109999999997</v>
          </cell>
          <cell r="AT13">
            <v>0</v>
          </cell>
          <cell r="AU13">
            <v>0</v>
          </cell>
          <cell r="AV13">
            <v>36131.61</v>
          </cell>
        </row>
        <row r="14">
          <cell r="D14" t="str">
            <v xml:space="preserve"> - 노   무   비</v>
          </cell>
          <cell r="E14">
            <v>601964.44899999991</v>
          </cell>
          <cell r="F14">
            <v>51443.192999999999</v>
          </cell>
          <cell r="G14">
            <v>49252.087</v>
          </cell>
          <cell r="H14">
            <v>37909.72</v>
          </cell>
          <cell r="I14">
            <v>29390.445000000003</v>
          </cell>
          <cell r="J14">
            <v>43675.892000000007</v>
          </cell>
          <cell r="K14">
            <v>39846.93</v>
          </cell>
          <cell r="L14">
            <v>23026.986999999997</v>
          </cell>
          <cell r="M14">
            <v>36689.909</v>
          </cell>
          <cell r="N14">
            <v>20379.520000000004</v>
          </cell>
          <cell r="O14">
            <v>20430.287</v>
          </cell>
          <cell r="P14">
            <v>22203.435000000001</v>
          </cell>
          <cell r="Q14">
            <v>20665.23</v>
          </cell>
          <cell r="R14">
            <v>36565.953000000001</v>
          </cell>
          <cell r="S14">
            <v>23351.241999999998</v>
          </cell>
          <cell r="T14">
            <v>8707.6229999999996</v>
          </cell>
          <cell r="U14">
            <v>7855.1709999999994</v>
          </cell>
          <cell r="V14">
            <v>11248.17</v>
          </cell>
          <cell r="W14">
            <v>0</v>
          </cell>
          <cell r="X14">
            <v>0</v>
          </cell>
          <cell r="Y14">
            <v>0</v>
          </cell>
          <cell r="Z14">
            <v>482641.79399999994</v>
          </cell>
          <cell r="AA14">
            <v>95152.545000000013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24170.109999999997</v>
          </cell>
          <cell r="AT14">
            <v>0</v>
          </cell>
          <cell r="AU14">
            <v>0</v>
          </cell>
          <cell r="AV14">
            <v>24170.109999999997</v>
          </cell>
        </row>
        <row r="15">
          <cell r="D15" t="str">
            <v xml:space="preserve"> - 경        비</v>
          </cell>
          <cell r="E15">
            <v>208306.39</v>
          </cell>
          <cell r="F15">
            <v>16847.98</v>
          </cell>
          <cell r="G15">
            <v>16719.32</v>
          </cell>
          <cell r="H15">
            <v>12943.23</v>
          </cell>
          <cell r="I15">
            <v>8293.68</v>
          </cell>
          <cell r="J15">
            <v>14010.960000000001</v>
          </cell>
          <cell r="K15">
            <v>12658.43</v>
          </cell>
          <cell r="L15">
            <v>7577.61</v>
          </cell>
          <cell r="M15">
            <v>11937.3</v>
          </cell>
          <cell r="N15">
            <v>6657.5400000000009</v>
          </cell>
          <cell r="O15">
            <v>6905.0599999999995</v>
          </cell>
          <cell r="P15">
            <v>7085.85</v>
          </cell>
          <cell r="Q15">
            <v>6854.89</v>
          </cell>
          <cell r="R15">
            <v>12132.4</v>
          </cell>
          <cell r="S15">
            <v>6585.18</v>
          </cell>
          <cell r="T15">
            <v>3468.86</v>
          </cell>
          <cell r="U15">
            <v>4128.97</v>
          </cell>
          <cell r="V15">
            <v>4538.8500000000004</v>
          </cell>
          <cell r="W15">
            <v>0</v>
          </cell>
          <cell r="X15">
            <v>0</v>
          </cell>
          <cell r="Y15">
            <v>0</v>
          </cell>
          <cell r="Z15">
            <v>159346.11000000002</v>
          </cell>
          <cell r="AA15">
            <v>36998.78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551.5</v>
          </cell>
          <cell r="AN15">
            <v>427.5</v>
          </cell>
          <cell r="AO15">
            <v>1842</v>
          </cell>
          <cell r="AP15">
            <v>191.5</v>
          </cell>
          <cell r="AQ15">
            <v>150</v>
          </cell>
          <cell r="AR15">
            <v>8799</v>
          </cell>
          <cell r="AS15">
            <v>0</v>
          </cell>
          <cell r="AT15">
            <v>0</v>
          </cell>
          <cell r="AU15">
            <v>0</v>
          </cell>
          <cell r="AV15">
            <v>11961.5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3551697.179414222</v>
          </cell>
          <cell r="F17">
            <v>465139.96290167788</v>
          </cell>
          <cell r="G17">
            <v>333115.00804680598</v>
          </cell>
          <cell r="H17">
            <v>127110.26199271968</v>
          </cell>
          <cell r="I17">
            <v>120438.63104118779</v>
          </cell>
          <cell r="J17">
            <v>259275.82795189222</v>
          </cell>
          <cell r="K17">
            <v>346677.34433035285</v>
          </cell>
          <cell r="L17">
            <v>98133.488116846842</v>
          </cell>
          <cell r="M17">
            <v>343593.38840773632</v>
          </cell>
          <cell r="N17">
            <v>127524.84334301745</v>
          </cell>
          <cell r="O17">
            <v>158523.77213017183</v>
          </cell>
          <cell r="P17">
            <v>66729.73946488314</v>
          </cell>
          <cell r="Q17">
            <v>119110.18406174553</v>
          </cell>
          <cell r="R17">
            <v>249628.87877443561</v>
          </cell>
          <cell r="S17">
            <v>184037.823</v>
          </cell>
          <cell r="T17">
            <v>117242.15337154706</v>
          </cell>
          <cell r="U17">
            <v>80534.099362819397</v>
          </cell>
          <cell r="V17">
            <v>49563.718903089888</v>
          </cell>
          <cell r="W17">
            <v>0</v>
          </cell>
          <cell r="X17">
            <v>0</v>
          </cell>
          <cell r="Y17">
            <v>0</v>
          </cell>
          <cell r="Z17">
            <v>3246379.1252009375</v>
          </cell>
          <cell r="AA17">
            <v>89720.165000001143</v>
          </cell>
          <cell r="AB17">
            <v>177844.09166666667</v>
          </cell>
          <cell r="AC17">
            <v>-92773.239833333297</v>
          </cell>
          <cell r="AD17">
            <v>83422.310713286744</v>
          </cell>
          <cell r="AE17">
            <v>168493.16254662001</v>
          </cell>
          <cell r="AF17">
            <v>12380</v>
          </cell>
          <cell r="AG17">
            <v>0</v>
          </cell>
          <cell r="AH17">
            <v>24461</v>
          </cell>
          <cell r="AI17">
            <v>75157.666666666672</v>
          </cell>
          <cell r="AJ17">
            <v>4527</v>
          </cell>
          <cell r="AK17">
            <v>0</v>
          </cell>
          <cell r="AL17">
            <v>116525.66666666667</v>
          </cell>
          <cell r="AM17">
            <v>-551.5</v>
          </cell>
          <cell r="AN17">
            <v>-427.5</v>
          </cell>
          <cell r="AO17">
            <v>-1842</v>
          </cell>
          <cell r="AP17">
            <v>-191.5</v>
          </cell>
          <cell r="AQ17">
            <v>-150</v>
          </cell>
          <cell r="AR17">
            <v>-8799</v>
          </cell>
          <cell r="AS17">
            <v>-59229.440000000002</v>
          </cell>
          <cell r="AT17">
            <v>0</v>
          </cell>
          <cell r="AU17">
            <v>1770</v>
          </cell>
          <cell r="AV17">
            <v>-69420.94</v>
          </cell>
        </row>
        <row r="18">
          <cell r="D18" t="str">
            <v>감가상각비</v>
          </cell>
          <cell r="E18">
            <v>621088.31662843446</v>
          </cell>
          <cell r="F18">
            <v>31086.133888888886</v>
          </cell>
          <cell r="G18">
            <v>36646.257555555552</v>
          </cell>
          <cell r="H18">
            <v>25361.364888888893</v>
          </cell>
          <cell r="I18">
            <v>18678.445555555558</v>
          </cell>
          <cell r="J18">
            <v>48073.718333333338</v>
          </cell>
          <cell r="K18">
            <v>28828.647222222218</v>
          </cell>
          <cell r="L18">
            <v>13584.039666666667</v>
          </cell>
          <cell r="M18">
            <v>19631.002</v>
          </cell>
          <cell r="N18">
            <v>12554.960111111111</v>
          </cell>
          <cell r="O18">
            <v>31647.162333333334</v>
          </cell>
          <cell r="P18">
            <v>15967.632658693112</v>
          </cell>
          <cell r="Q18">
            <v>15821.835721949396</v>
          </cell>
          <cell r="R18">
            <v>36624.721000000005</v>
          </cell>
          <cell r="S18">
            <v>21946.325444444443</v>
          </cell>
          <cell r="T18">
            <v>10370.319666666666</v>
          </cell>
          <cell r="U18">
            <v>6031.4589999999989</v>
          </cell>
          <cell r="V18">
            <v>12808.388620014095</v>
          </cell>
          <cell r="W18">
            <v>0</v>
          </cell>
          <cell r="X18">
            <v>0</v>
          </cell>
          <cell r="Y18">
            <v>0</v>
          </cell>
          <cell r="Z18">
            <v>385662.41366732336</v>
          </cell>
          <cell r="AA18">
            <v>5186.2629999999999</v>
          </cell>
          <cell r="AB18">
            <v>72109.442738888902</v>
          </cell>
          <cell r="AC18">
            <v>57965.727999999996</v>
          </cell>
          <cell r="AD18">
            <v>37024.947222222225</v>
          </cell>
          <cell r="AE18">
            <v>167100.11796111113</v>
          </cell>
          <cell r="AF18">
            <v>3156.7039999999997</v>
          </cell>
          <cell r="AG18">
            <v>0</v>
          </cell>
          <cell r="AH18">
            <v>8222.2649999999994</v>
          </cell>
          <cell r="AI18">
            <v>5524.1019999999999</v>
          </cell>
          <cell r="AJ18">
            <v>1312.8920000000001</v>
          </cell>
          <cell r="AK18">
            <v>0</v>
          </cell>
          <cell r="AL18">
            <v>18215.963</v>
          </cell>
          <cell r="AM18">
            <v>3275.9680000000003</v>
          </cell>
          <cell r="AN18">
            <v>350.85900000000004</v>
          </cell>
          <cell r="AO18">
            <v>5731.549</v>
          </cell>
          <cell r="AP18">
            <v>0</v>
          </cell>
          <cell r="AQ18">
            <v>241.20500000000001</v>
          </cell>
          <cell r="AR18">
            <v>18257.885000000002</v>
          </cell>
          <cell r="AS18">
            <v>0</v>
          </cell>
          <cell r="AT18">
            <v>0</v>
          </cell>
          <cell r="AU18">
            <v>17066.092999999997</v>
          </cell>
          <cell r="AV18">
            <v>44923.558999999994</v>
          </cell>
        </row>
        <row r="19">
          <cell r="D19" t="str">
            <v xml:space="preserve"> - 제        조</v>
          </cell>
          <cell r="E19">
            <v>549585.88062843448</v>
          </cell>
          <cell r="F19">
            <v>28791.264888888887</v>
          </cell>
          <cell r="G19">
            <v>34721.788555555555</v>
          </cell>
          <cell r="H19">
            <v>23147.248888888891</v>
          </cell>
          <cell r="I19">
            <v>17486.457555555557</v>
          </cell>
          <cell r="J19">
            <v>46207.985333333338</v>
          </cell>
          <cell r="K19">
            <v>27274.578222222219</v>
          </cell>
          <cell r="L19">
            <v>12390.440666666667</v>
          </cell>
          <cell r="M19">
            <v>17697.296999999999</v>
          </cell>
          <cell r="N19">
            <v>12175.324111111111</v>
          </cell>
          <cell r="O19">
            <v>30809.129333333334</v>
          </cell>
          <cell r="P19">
            <v>15154.363658693112</v>
          </cell>
          <cell r="Q19">
            <v>14636.513721949395</v>
          </cell>
          <cell r="R19">
            <v>35060.722000000002</v>
          </cell>
          <cell r="S19">
            <v>21133.056444444443</v>
          </cell>
          <cell r="T19">
            <v>9927.4506666666657</v>
          </cell>
          <cell r="U19">
            <v>5661.0589999999993</v>
          </cell>
          <cell r="V19">
            <v>11995.119620014095</v>
          </cell>
          <cell r="W19">
            <v>0</v>
          </cell>
          <cell r="X19">
            <v>0</v>
          </cell>
          <cell r="Y19">
            <v>0</v>
          </cell>
          <cell r="Z19">
            <v>364269.79966732336</v>
          </cell>
          <cell r="AA19">
            <v>0</v>
          </cell>
          <cell r="AB19">
            <v>72109.442738888902</v>
          </cell>
          <cell r="AC19">
            <v>57965.727999999996</v>
          </cell>
          <cell r="AD19">
            <v>37024.947222222225</v>
          </cell>
          <cell r="AE19">
            <v>167100.11796111113</v>
          </cell>
          <cell r="AF19">
            <v>3156.7039999999997</v>
          </cell>
          <cell r="AG19">
            <v>0</v>
          </cell>
          <cell r="AH19">
            <v>8222.2649999999994</v>
          </cell>
          <cell r="AI19">
            <v>5524.1019999999999</v>
          </cell>
          <cell r="AJ19">
            <v>1312.8920000000001</v>
          </cell>
          <cell r="AK19">
            <v>0</v>
          </cell>
          <cell r="AL19">
            <v>18215.963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71502.435999999987</v>
          </cell>
          <cell r="F20">
            <v>2294.8690000000001</v>
          </cell>
          <cell r="G20">
            <v>1924.4690000000001</v>
          </cell>
          <cell r="H20">
            <v>2214.116</v>
          </cell>
          <cell r="I20">
            <v>1191.9880000000001</v>
          </cell>
          <cell r="J20">
            <v>1865.7329999999999</v>
          </cell>
          <cell r="K20">
            <v>1554.069</v>
          </cell>
          <cell r="L20">
            <v>1193.5990000000002</v>
          </cell>
          <cell r="M20">
            <v>1933.7050000000002</v>
          </cell>
          <cell r="N20">
            <v>379.63599999999997</v>
          </cell>
          <cell r="O20">
            <v>838.03300000000002</v>
          </cell>
          <cell r="P20">
            <v>813.26900000000001</v>
          </cell>
          <cell r="Q20">
            <v>1185.3220000000001</v>
          </cell>
          <cell r="R20">
            <v>1563.999</v>
          </cell>
          <cell r="S20">
            <v>813.26900000000001</v>
          </cell>
          <cell r="T20">
            <v>442.86900000000003</v>
          </cell>
          <cell r="U20">
            <v>370.4</v>
          </cell>
          <cell r="V20">
            <v>813.26900000000001</v>
          </cell>
          <cell r="W20">
            <v>0</v>
          </cell>
          <cell r="X20">
            <v>0</v>
          </cell>
          <cell r="Y20">
            <v>0</v>
          </cell>
          <cell r="Z20">
            <v>21392.613999999998</v>
          </cell>
          <cell r="AA20">
            <v>5186.2629999999999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3275.9680000000003</v>
          </cell>
          <cell r="AN20">
            <v>350.85900000000004</v>
          </cell>
          <cell r="AO20">
            <v>5731.549</v>
          </cell>
          <cell r="AP20">
            <v>0</v>
          </cell>
          <cell r="AQ20">
            <v>241.20500000000001</v>
          </cell>
          <cell r="AR20">
            <v>18257.885000000002</v>
          </cell>
          <cell r="AS20">
            <v>0</v>
          </cell>
          <cell r="AT20">
            <v>0</v>
          </cell>
          <cell r="AU20">
            <v>17066.092999999997</v>
          </cell>
          <cell r="AV20">
            <v>44923.558999999994</v>
          </cell>
        </row>
        <row r="21">
          <cell r="D21" t="str">
            <v>영업이익 I</v>
          </cell>
          <cell r="E21">
            <v>2930608.8627857873</v>
          </cell>
          <cell r="F21">
            <v>434053.82901278901</v>
          </cell>
          <cell r="G21">
            <v>296468.75049125042</v>
          </cell>
          <cell r="H21">
            <v>101748.89710383079</v>
          </cell>
          <cell r="I21">
            <v>101760.18548563223</v>
          </cell>
          <cell r="J21">
            <v>211202.1096185589</v>
          </cell>
          <cell r="K21">
            <v>317848.69710813061</v>
          </cell>
          <cell r="L21">
            <v>84549.448450180178</v>
          </cell>
          <cell r="M21">
            <v>323962.38640773634</v>
          </cell>
          <cell r="N21">
            <v>114969.88323190634</v>
          </cell>
          <cell r="O21">
            <v>126876.60979683849</v>
          </cell>
          <cell r="P21">
            <v>50762.10680619003</v>
          </cell>
          <cell r="Q21">
            <v>103288.34833979614</v>
          </cell>
          <cell r="R21">
            <v>213004.15777443559</v>
          </cell>
          <cell r="S21">
            <v>162091.49755555557</v>
          </cell>
          <cell r="T21">
            <v>106871.8337048804</v>
          </cell>
          <cell r="U21">
            <v>74502.640362819395</v>
          </cell>
          <cell r="V21">
            <v>36755.330283075789</v>
          </cell>
          <cell r="W21">
            <v>0</v>
          </cell>
          <cell r="X21">
            <v>0</v>
          </cell>
          <cell r="Y21">
            <v>0</v>
          </cell>
          <cell r="Z21">
            <v>2860716.711533614</v>
          </cell>
          <cell r="AA21">
            <v>84533.902000001137</v>
          </cell>
          <cell r="AB21">
            <v>105734.64892777777</v>
          </cell>
          <cell r="AC21">
            <v>-150738.9678333333</v>
          </cell>
          <cell r="AD21">
            <v>46397.36349106452</v>
          </cell>
          <cell r="AE21">
            <v>1393.0445855088765</v>
          </cell>
          <cell r="AF21">
            <v>9223.2960000000003</v>
          </cell>
          <cell r="AG21">
            <v>0</v>
          </cell>
          <cell r="AH21">
            <v>16238.735000000001</v>
          </cell>
          <cell r="AI21">
            <v>69633.564666666673</v>
          </cell>
          <cell r="AJ21">
            <v>3214.1080000000002</v>
          </cell>
          <cell r="AK21">
            <v>0</v>
          </cell>
          <cell r="AL21">
            <v>98309.703666666668</v>
          </cell>
          <cell r="AM21">
            <v>-3827.4680000000003</v>
          </cell>
          <cell r="AN21">
            <v>-778.35900000000004</v>
          </cell>
          <cell r="AO21">
            <v>-7573.549</v>
          </cell>
          <cell r="AP21">
            <v>-191.5</v>
          </cell>
          <cell r="AQ21">
            <v>-391.20500000000004</v>
          </cell>
          <cell r="AR21">
            <v>-27056.885000000002</v>
          </cell>
          <cell r="AS21">
            <v>-59229.440000000002</v>
          </cell>
          <cell r="AT21">
            <v>0</v>
          </cell>
          <cell r="AU21">
            <v>-15296.092999999997</v>
          </cell>
          <cell r="AV21">
            <v>-114344.499</v>
          </cell>
        </row>
        <row r="22">
          <cell r="D22" t="str">
            <v>공    통    비</v>
          </cell>
          <cell r="E22">
            <v>1441044.7216442949</v>
          </cell>
          <cell r="F22">
            <v>174230.12960631796</v>
          </cell>
          <cell r="G22">
            <v>167573.91401855403</v>
          </cell>
          <cell r="H22">
            <v>85084.45847662336</v>
          </cell>
          <cell r="I22">
            <v>68967.88888498384</v>
          </cell>
          <cell r="J22">
            <v>109492.63731422063</v>
          </cell>
          <cell r="K22">
            <v>106180.66599868896</v>
          </cell>
          <cell r="L22">
            <v>51698.208882795239</v>
          </cell>
          <cell r="M22">
            <v>119142.19159582545</v>
          </cell>
          <cell r="N22">
            <v>51727.218638244296</v>
          </cell>
          <cell r="O22">
            <v>70044.430107781387</v>
          </cell>
          <cell r="P22">
            <v>42089.569687748706</v>
          </cell>
          <cell r="Q22">
            <v>63258.791379444097</v>
          </cell>
          <cell r="R22">
            <v>104250.06397362161</v>
          </cell>
          <cell r="S22">
            <v>59091.058191878736</v>
          </cell>
          <cell r="T22">
            <v>26873.485854766644</v>
          </cell>
          <cell r="U22">
            <v>21412.495049449546</v>
          </cell>
          <cell r="V22">
            <v>29236.382048105785</v>
          </cell>
          <cell r="W22">
            <v>0</v>
          </cell>
          <cell r="X22">
            <v>0</v>
          </cell>
          <cell r="Y22">
            <v>0</v>
          </cell>
          <cell r="Z22">
            <v>1350353.5897090505</v>
          </cell>
          <cell r="AA22">
            <v>40928.836279637973</v>
          </cell>
          <cell r="AB22">
            <v>23463.261974334135</v>
          </cell>
          <cell r="AC22">
            <v>0</v>
          </cell>
          <cell r="AD22">
            <v>26299.033681272471</v>
          </cell>
          <cell r="AE22">
            <v>49762.295655606606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207193.12666666668</v>
          </cell>
          <cell r="F23">
            <v>15963.963616568955</v>
          </cell>
          <cell r="G23">
            <v>15354.082973610119</v>
          </cell>
          <cell r="H23">
            <v>7795.9260119096698</v>
          </cell>
          <cell r="I23">
            <v>6319.2334836645141</v>
          </cell>
          <cell r="J23">
            <v>16046.20138971091</v>
          </cell>
          <cell r="K23">
            <v>15560.830317924107</v>
          </cell>
          <cell r="L23">
            <v>7576.3986654190558</v>
          </cell>
          <cell r="M23">
            <v>17460.348451300302</v>
          </cell>
          <cell r="N23">
            <v>7580.6500597558816</v>
          </cell>
          <cell r="O23">
            <v>10265.046667124301</v>
          </cell>
          <cell r="P23">
            <v>6168.2477304633449</v>
          </cell>
          <cell r="Q23">
            <v>9270.6078786946382</v>
          </cell>
          <cell r="R23">
            <v>9551.9886948389922</v>
          </cell>
          <cell r="S23">
            <v>5414.2616157791335</v>
          </cell>
          <cell r="T23">
            <v>2462.3028830044468</v>
          </cell>
          <cell r="U23">
            <v>1961.9355887627141</v>
          </cell>
          <cell r="V23">
            <v>2678.8049825289568</v>
          </cell>
          <cell r="W23">
            <v>0</v>
          </cell>
          <cell r="X23">
            <v>0</v>
          </cell>
          <cell r="Y23">
            <v>0</v>
          </cell>
          <cell r="Z23">
            <v>157430.83101106007</v>
          </cell>
          <cell r="AA23">
            <v>0</v>
          </cell>
          <cell r="AB23">
            <v>23463.261974334135</v>
          </cell>
          <cell r="AC23">
            <v>0</v>
          </cell>
          <cell r="AD23">
            <v>26299.033681272471</v>
          </cell>
          <cell r="AE23">
            <v>49762.295655606606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394115.37699999998</v>
          </cell>
          <cell r="F24">
            <v>52287.651669479033</v>
          </cell>
          <cell r="G24">
            <v>50290.075917934984</v>
          </cell>
          <cell r="H24">
            <v>25534.427009635932</v>
          </cell>
          <cell r="I24">
            <v>20697.73441910246</v>
          </cell>
          <cell r="J24">
            <v>30872.642050932929</v>
          </cell>
          <cell r="K24">
            <v>29938.795653444729</v>
          </cell>
          <cell r="L24">
            <v>14576.873264387123</v>
          </cell>
          <cell r="M24">
            <v>33593.43901586585</v>
          </cell>
          <cell r="N24">
            <v>14585.052881007312</v>
          </cell>
          <cell r="O24">
            <v>19749.790227203426</v>
          </cell>
          <cell r="P24">
            <v>11867.612753893342</v>
          </cell>
          <cell r="Q24">
            <v>17836.505455865688</v>
          </cell>
          <cell r="R24">
            <v>31286.156096482449</v>
          </cell>
          <cell r="S24">
            <v>17733.630081658564</v>
          </cell>
          <cell r="T24">
            <v>8064.9166174284728</v>
          </cell>
          <cell r="U24">
            <v>6426.0359849922452</v>
          </cell>
          <cell r="V24">
            <v>8774.0379006854109</v>
          </cell>
          <cell r="W24">
            <v>0</v>
          </cell>
          <cell r="X24">
            <v>0</v>
          </cell>
          <cell r="Y24">
            <v>0</v>
          </cell>
          <cell r="Z24">
            <v>394115.37699999998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839736.21797762834</v>
          </cell>
          <cell r="F25">
            <v>105978.51432026998</v>
          </cell>
          <cell r="G25">
            <v>101929.75512700893</v>
          </cell>
          <cell r="H25">
            <v>51754.105455077755</v>
          </cell>
          <cell r="I25">
            <v>41950.92098221687</v>
          </cell>
          <cell r="J25">
            <v>62573.793873576789</v>
          </cell>
          <cell r="K25">
            <v>60681.040027320123</v>
          </cell>
          <cell r="L25">
            <v>29544.936952989061</v>
          </cell>
          <cell r="M25">
            <v>68088.404128659298</v>
          </cell>
          <cell r="N25">
            <v>29561.515697481103</v>
          </cell>
          <cell r="O25">
            <v>40029.593213453656</v>
          </cell>
          <cell r="P25">
            <v>24053.709203392023</v>
          </cell>
          <cell r="Q25">
            <v>36151.678044883767</v>
          </cell>
          <cell r="R25">
            <v>63411.919182300175</v>
          </cell>
          <cell r="S25">
            <v>35943.166494441037</v>
          </cell>
          <cell r="T25">
            <v>16346.266354333726</v>
          </cell>
          <cell r="U25">
            <v>13024.523475694587</v>
          </cell>
          <cell r="V25">
            <v>17783.539164891416</v>
          </cell>
          <cell r="W25">
            <v>0</v>
          </cell>
          <cell r="X25">
            <v>0</v>
          </cell>
          <cell r="Y25">
            <v>0</v>
          </cell>
          <cell r="Z25">
            <v>798807.38169799035</v>
          </cell>
          <cell r="AA25">
            <v>40928.836279637973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1489564.1411414924</v>
          </cell>
          <cell r="F26">
            <v>259823.69940647105</v>
          </cell>
          <cell r="G26">
            <v>128894.83647269639</v>
          </cell>
          <cell r="H26">
            <v>16664.438627207433</v>
          </cell>
          <cell r="I26">
            <v>32792.296600648391</v>
          </cell>
          <cell r="J26">
            <v>101709.47230433827</v>
          </cell>
          <cell r="K26">
            <v>211668.03110944165</v>
          </cell>
          <cell r="L26">
            <v>32851.239567384939</v>
          </cell>
          <cell r="M26">
            <v>204820.19481191089</v>
          </cell>
          <cell r="N26">
            <v>63242.664593662041</v>
          </cell>
          <cell r="O26">
            <v>56832.179689057099</v>
          </cell>
          <cell r="P26">
            <v>8672.5371184413234</v>
          </cell>
          <cell r="Q26">
            <v>40029.556960352042</v>
          </cell>
          <cell r="R26">
            <v>108754.09380081398</v>
          </cell>
          <cell r="S26">
            <v>103000.43936367684</v>
          </cell>
          <cell r="T26">
            <v>79998.347850113758</v>
          </cell>
          <cell r="U26">
            <v>53090.145313369852</v>
          </cell>
          <cell r="V26">
            <v>7518.9482349700047</v>
          </cell>
          <cell r="W26">
            <v>0</v>
          </cell>
          <cell r="X26">
            <v>0</v>
          </cell>
          <cell r="Y26">
            <v>0</v>
          </cell>
          <cell r="Z26">
            <v>1510363.1218245635</v>
          </cell>
          <cell r="AA26">
            <v>43605.065720363164</v>
          </cell>
          <cell r="AB26">
            <v>82271.386953443638</v>
          </cell>
          <cell r="AC26">
            <v>-150738.9678333333</v>
          </cell>
          <cell r="AD26">
            <v>20098.329809792049</v>
          </cell>
          <cell r="AE26">
            <v>-48369.251070097729</v>
          </cell>
          <cell r="AF26">
            <v>9223.2960000000003</v>
          </cell>
          <cell r="AG26">
            <v>0</v>
          </cell>
          <cell r="AH26">
            <v>16238.735000000001</v>
          </cell>
          <cell r="AI26">
            <v>69633.564666666673</v>
          </cell>
          <cell r="AJ26">
            <v>3214.1080000000002</v>
          </cell>
          <cell r="AK26">
            <v>0</v>
          </cell>
          <cell r="AL26">
            <v>98309.703666666668</v>
          </cell>
          <cell r="AM26">
            <v>-3827.4680000000003</v>
          </cell>
          <cell r="AN26">
            <v>-778.35900000000004</v>
          </cell>
          <cell r="AO26">
            <v>-7573.549</v>
          </cell>
          <cell r="AP26">
            <v>-191.5</v>
          </cell>
          <cell r="AQ26">
            <v>-391.20500000000004</v>
          </cell>
          <cell r="AR26">
            <v>-27056.885000000002</v>
          </cell>
          <cell r="AS26">
            <v>-59229.440000000002</v>
          </cell>
          <cell r="AT26">
            <v>0</v>
          </cell>
          <cell r="AU26">
            <v>-15296.092999999997</v>
          </cell>
          <cell r="AV26">
            <v>-114344.499</v>
          </cell>
        </row>
        <row r="27">
          <cell r="E27">
            <v>1489564.1411414882</v>
          </cell>
          <cell r="F27">
            <v>259823.69940647105</v>
          </cell>
          <cell r="G27">
            <v>128894.83647269639</v>
          </cell>
          <cell r="H27">
            <v>16664.438627207433</v>
          </cell>
          <cell r="I27">
            <v>32792.296600648406</v>
          </cell>
          <cell r="J27">
            <v>101709.47230433827</v>
          </cell>
          <cell r="K27">
            <v>211668.03110944165</v>
          </cell>
          <cell r="L27">
            <v>32851.239567384939</v>
          </cell>
          <cell r="M27">
            <v>204820.19481191089</v>
          </cell>
          <cell r="N27">
            <v>63242.664593662041</v>
          </cell>
          <cell r="O27">
            <v>56832.179689057099</v>
          </cell>
          <cell r="P27">
            <v>8672.5371184413234</v>
          </cell>
          <cell r="Q27">
            <v>40029.556960352027</v>
          </cell>
          <cell r="R27">
            <v>108754.09380081398</v>
          </cell>
          <cell r="S27">
            <v>103000.43936367681</v>
          </cell>
          <cell r="T27">
            <v>79998.347850113758</v>
          </cell>
          <cell r="U27">
            <v>53090.145313369852</v>
          </cell>
          <cell r="V27">
            <v>7518.948234970012</v>
          </cell>
          <cell r="W27">
            <v>0</v>
          </cell>
          <cell r="X27">
            <v>0</v>
          </cell>
          <cell r="Y27">
            <v>0</v>
          </cell>
          <cell r="Z27">
            <v>1510363.121824556</v>
          </cell>
          <cell r="AA27">
            <v>43605.065720363164</v>
          </cell>
          <cell r="AB27">
            <v>82271.386953443638</v>
          </cell>
          <cell r="AC27">
            <v>-150738.9678333333</v>
          </cell>
          <cell r="AD27">
            <v>20098.329809792049</v>
          </cell>
          <cell r="AE27">
            <v>-48369.251070097613</v>
          </cell>
          <cell r="AF27">
            <v>9223.2960000000003</v>
          </cell>
          <cell r="AG27">
            <v>0</v>
          </cell>
          <cell r="AH27">
            <v>16238.735000000001</v>
          </cell>
          <cell r="AI27">
            <v>69633.564666666673</v>
          </cell>
          <cell r="AJ27">
            <v>3214.1080000000002</v>
          </cell>
          <cell r="AK27">
            <v>0</v>
          </cell>
          <cell r="AL27">
            <v>98309.703666666668</v>
          </cell>
          <cell r="AM27">
            <v>-3827.4680000000003</v>
          </cell>
          <cell r="AN27">
            <v>-778.35900000000004</v>
          </cell>
          <cell r="AO27">
            <v>-7573.549</v>
          </cell>
          <cell r="AP27">
            <v>-191.5</v>
          </cell>
          <cell r="AQ27">
            <v>-391.20500000000004</v>
          </cell>
          <cell r="AR27">
            <v>-27056.885000000002</v>
          </cell>
          <cell r="AS27">
            <v>-59229.440000000002</v>
          </cell>
          <cell r="AT27">
            <v>0</v>
          </cell>
          <cell r="AU27">
            <v>-15296.092999999997</v>
          </cell>
          <cell r="AV27">
            <v>-114344.499</v>
          </cell>
        </row>
        <row r="28">
          <cell r="E28">
            <v>4.1909515857696533E-9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-7.2759576141834259E-12</v>
          </cell>
          <cell r="W28">
            <v>0</v>
          </cell>
          <cell r="X28">
            <v>0</v>
          </cell>
          <cell r="Y28">
            <v>0</v>
          </cell>
          <cell r="Z28">
            <v>7.4505805969238281E-9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351688.16717948718</v>
          </cell>
          <cell r="F30">
            <v>37000</v>
          </cell>
          <cell r="G30">
            <v>35000</v>
          </cell>
          <cell r="H30">
            <v>18000</v>
          </cell>
          <cell r="I30">
            <v>15000</v>
          </cell>
          <cell r="J30">
            <v>20000</v>
          </cell>
          <cell r="K30">
            <v>20000</v>
          </cell>
          <cell r="L30">
            <v>10000</v>
          </cell>
          <cell r="M30">
            <v>22000</v>
          </cell>
          <cell r="N30">
            <v>10000</v>
          </cell>
          <cell r="O30">
            <v>14000.000000000002</v>
          </cell>
          <cell r="P30">
            <v>9000</v>
          </cell>
          <cell r="Q30">
            <v>12000</v>
          </cell>
          <cell r="R30">
            <v>22000</v>
          </cell>
          <cell r="S30">
            <v>12000</v>
          </cell>
          <cell r="T30">
            <v>5000</v>
          </cell>
          <cell r="U30">
            <v>4000</v>
          </cell>
          <cell r="V30">
            <v>5000</v>
          </cell>
          <cell r="W30">
            <v>0</v>
          </cell>
          <cell r="X30">
            <v>0</v>
          </cell>
          <cell r="Y30">
            <v>0</v>
          </cell>
          <cell r="Z30">
            <v>270000</v>
          </cell>
          <cell r="AA30">
            <v>8100</v>
          </cell>
          <cell r="AB30">
            <v>48407.173333333325</v>
          </cell>
          <cell r="AC30">
            <v>1</v>
          </cell>
          <cell r="AD30">
            <v>25179.993846153848</v>
          </cell>
          <cell r="AE30">
            <v>73588.16717948718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37021616.816178009</v>
          </cell>
          <cell r="F31">
            <v>3633421.8729999997</v>
          </cell>
          <cell r="G31">
            <v>3494612.1311796154</v>
          </cell>
          <cell r="H31">
            <v>1774364.3604000001</v>
          </cell>
          <cell r="I31">
            <v>1438266.9436999999</v>
          </cell>
          <cell r="J31">
            <v>2145312.1210000003</v>
          </cell>
          <cell r="K31">
            <v>2080419.9749899998</v>
          </cell>
          <cell r="L31">
            <v>1012933.8088</v>
          </cell>
          <cell r="M31">
            <v>2334377.8542800006</v>
          </cell>
          <cell r="N31">
            <v>1013502.203</v>
          </cell>
          <cell r="O31">
            <v>1372395.1546397214</v>
          </cell>
          <cell r="P31">
            <v>824669.73335999995</v>
          </cell>
          <cell r="Q31">
            <v>1239442.7172000001</v>
          </cell>
          <cell r="R31">
            <v>2174046.84</v>
          </cell>
          <cell r="S31">
            <v>1232294</v>
          </cell>
          <cell r="T31">
            <v>560423.79999999993</v>
          </cell>
          <cell r="U31">
            <v>446539.45930000016</v>
          </cell>
          <cell r="V31">
            <v>609700</v>
          </cell>
          <cell r="W31">
            <v>0</v>
          </cell>
          <cell r="X31">
            <v>0</v>
          </cell>
          <cell r="Y31">
            <v>0</v>
          </cell>
          <cell r="Z31">
            <v>27386722.974849343</v>
          </cell>
          <cell r="AA31">
            <v>8182096.0099999998</v>
          </cell>
          <cell r="AB31">
            <v>628721.89333333331</v>
          </cell>
          <cell r="AC31">
            <v>0</v>
          </cell>
          <cell r="AD31">
            <v>704709.27132867137</v>
          </cell>
          <cell r="AE31">
            <v>1333431.1646620047</v>
          </cell>
          <cell r="AF31">
            <v>12500</v>
          </cell>
          <cell r="AG31">
            <v>0</v>
          </cell>
          <cell r="AH31">
            <v>25000</v>
          </cell>
          <cell r="AI31">
            <v>75396.666666666672</v>
          </cell>
          <cell r="AJ31">
            <v>4700</v>
          </cell>
          <cell r="AK31">
            <v>0</v>
          </cell>
          <cell r="AL31">
            <v>117596.66666666667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1770</v>
          </cell>
          <cell r="AV31">
            <v>1770</v>
          </cell>
        </row>
        <row r="32">
          <cell r="D32" t="str">
            <v>매출원가</v>
          </cell>
          <cell r="E32">
            <v>33209234.678392224</v>
          </cell>
          <cell r="F32">
            <v>3128782.0019872105</v>
          </cell>
          <cell r="G32">
            <v>3130247.5046883649</v>
          </cell>
          <cell r="H32">
            <v>1619548.3972961693</v>
          </cell>
          <cell r="I32">
            <v>1297630.6452143677</v>
          </cell>
          <cell r="J32">
            <v>1874557.4263814413</v>
          </cell>
          <cell r="K32">
            <v>1708511.8488818691</v>
          </cell>
          <cell r="L32">
            <v>896586.16434981988</v>
          </cell>
          <cell r="M32">
            <v>1959854.5538722642</v>
          </cell>
          <cell r="N32">
            <v>871115.62376809365</v>
          </cell>
          <cell r="O32">
            <v>1217345.1648428829</v>
          </cell>
          <cell r="P32">
            <v>743805.07255380997</v>
          </cell>
          <cell r="Q32">
            <v>1107448.926860204</v>
          </cell>
          <cell r="R32">
            <v>1910780.3302255643</v>
          </cell>
          <cell r="S32">
            <v>1039452.8114444445</v>
          </cell>
          <cell r="T32">
            <v>440932.61429511954</v>
          </cell>
          <cell r="U32">
            <v>359682.27793718077</v>
          </cell>
          <cell r="V32">
            <v>556344.38071692421</v>
          </cell>
          <cell r="W32">
            <v>0</v>
          </cell>
          <cell r="X32">
            <v>0</v>
          </cell>
          <cell r="Y32">
            <v>0</v>
          </cell>
          <cell r="Z32">
            <v>23862625.745315731</v>
          </cell>
          <cell r="AA32">
            <v>7960224.5199999986</v>
          </cell>
          <cell r="AB32">
            <v>522987.24440555554</v>
          </cell>
          <cell r="AC32">
            <v>150738.9678333333</v>
          </cell>
          <cell r="AD32">
            <v>658311.90783760685</v>
          </cell>
          <cell r="AE32">
            <v>1332038.1200764957</v>
          </cell>
          <cell r="AF32">
            <v>3276.7039999999997</v>
          </cell>
          <cell r="AG32">
            <v>0</v>
          </cell>
          <cell r="AH32">
            <v>8761.2649999999994</v>
          </cell>
          <cell r="AI32">
            <v>5763.1019999999999</v>
          </cell>
          <cell r="AJ32">
            <v>1485.8920000000001</v>
          </cell>
          <cell r="AK32">
            <v>0</v>
          </cell>
          <cell r="AL32">
            <v>19286.963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35059.33</v>
          </cell>
          <cell r="AT32">
            <v>0</v>
          </cell>
          <cell r="AU32">
            <v>0</v>
          </cell>
          <cell r="AV32">
            <v>35059.33</v>
          </cell>
        </row>
        <row r="33">
          <cell r="D33" t="str">
            <v>매출이익</v>
          </cell>
          <cell r="E33">
            <v>3812382.1377857896</v>
          </cell>
          <cell r="F33">
            <v>504639.8710127892</v>
          </cell>
          <cell r="G33">
            <v>364364.62649125047</v>
          </cell>
          <cell r="H33">
            <v>154815.96310383081</v>
          </cell>
          <cell r="I33">
            <v>140636.29848563229</v>
          </cell>
          <cell r="J33">
            <v>270754.69461855898</v>
          </cell>
          <cell r="K33">
            <v>371908.12610813067</v>
          </cell>
          <cell r="L33">
            <v>116347.64445018012</v>
          </cell>
          <cell r="M33">
            <v>374523.30040773633</v>
          </cell>
          <cell r="N33">
            <v>142386.57923190633</v>
          </cell>
          <cell r="O33">
            <v>155049.98979683849</v>
          </cell>
          <cell r="P33">
            <v>80864.66080618999</v>
          </cell>
          <cell r="Q33">
            <v>131993.79033979611</v>
          </cell>
          <cell r="R33">
            <v>263266.50977443554</v>
          </cell>
          <cell r="S33">
            <v>192841.18855555553</v>
          </cell>
          <cell r="T33">
            <v>119491.18570488039</v>
          </cell>
          <cell r="U33">
            <v>86857.181362819392</v>
          </cell>
          <cell r="V33">
            <v>53355.619283075794</v>
          </cell>
          <cell r="W33">
            <v>0</v>
          </cell>
          <cell r="X33">
            <v>0</v>
          </cell>
          <cell r="Y33">
            <v>0</v>
          </cell>
          <cell r="Z33">
            <v>3524097.2295336127</v>
          </cell>
          <cell r="AA33">
            <v>221871.49000000115</v>
          </cell>
          <cell r="AB33">
            <v>105734.64892777777</v>
          </cell>
          <cell r="AC33">
            <v>-150738.9678333333</v>
          </cell>
          <cell r="AD33">
            <v>46397.36349106452</v>
          </cell>
          <cell r="AE33">
            <v>1393.0445855089929</v>
          </cell>
          <cell r="AF33">
            <v>9223.2960000000003</v>
          </cell>
          <cell r="AG33">
            <v>0</v>
          </cell>
          <cell r="AH33">
            <v>16238.735000000001</v>
          </cell>
          <cell r="AI33">
            <v>69633.564666666673</v>
          </cell>
          <cell r="AJ33">
            <v>3214.1080000000002</v>
          </cell>
          <cell r="AK33">
            <v>0</v>
          </cell>
          <cell r="AL33">
            <v>98309.703666666668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-35059.33</v>
          </cell>
          <cell r="AT33">
            <v>0</v>
          </cell>
          <cell r="AU33">
            <v>1770</v>
          </cell>
          <cell r="AV33">
            <v>-33289.33</v>
          </cell>
        </row>
        <row r="34">
          <cell r="D34" t="str">
            <v>판관비</v>
          </cell>
          <cell r="E34">
            <v>2322817.9966442958</v>
          </cell>
          <cell r="F34">
            <v>244816.17160631798</v>
          </cell>
          <cell r="G34">
            <v>235469.79001855405</v>
          </cell>
          <cell r="H34">
            <v>138151.52447662337</v>
          </cell>
          <cell r="I34">
            <v>107844.00188498384</v>
          </cell>
          <cell r="J34">
            <v>169045.22231422065</v>
          </cell>
          <cell r="K34">
            <v>160240.09499868893</v>
          </cell>
          <cell r="L34">
            <v>83496.404882795236</v>
          </cell>
          <cell r="M34">
            <v>169703.10559582544</v>
          </cell>
          <cell r="N34">
            <v>79143.9146382443</v>
          </cell>
          <cell r="O34">
            <v>98217.810107781377</v>
          </cell>
          <cell r="P34">
            <v>72192.12368774871</v>
          </cell>
          <cell r="Q34">
            <v>91964.233379444093</v>
          </cell>
          <cell r="R34">
            <v>154512.41597362162</v>
          </cell>
          <cell r="S34">
            <v>89840.749191878742</v>
          </cell>
          <cell r="T34">
            <v>39492.837854766643</v>
          </cell>
          <cell r="U34">
            <v>33767.036049449547</v>
          </cell>
          <cell r="V34">
            <v>45836.671048105782</v>
          </cell>
          <cell r="W34">
            <v>0</v>
          </cell>
          <cell r="X34">
            <v>0</v>
          </cell>
          <cell r="Y34">
            <v>0</v>
          </cell>
          <cell r="Z34">
            <v>2013734.1077090506</v>
          </cell>
          <cell r="AA34">
            <v>178266.42427963798</v>
          </cell>
          <cell r="AB34">
            <v>23463.261974334135</v>
          </cell>
          <cell r="AC34">
            <v>0</v>
          </cell>
          <cell r="AD34">
            <v>26299.033681272471</v>
          </cell>
          <cell r="AE34">
            <v>49762.295655606606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3827.4680000000003</v>
          </cell>
          <cell r="AN34">
            <v>778.35900000000004</v>
          </cell>
          <cell r="AO34">
            <v>7573.549</v>
          </cell>
          <cell r="AP34">
            <v>191.5</v>
          </cell>
          <cell r="AQ34">
            <v>391.20500000000004</v>
          </cell>
          <cell r="AR34">
            <v>27056.885000000002</v>
          </cell>
          <cell r="AS34">
            <v>24170.109999999997</v>
          </cell>
          <cell r="AT34">
            <v>0</v>
          </cell>
          <cell r="AU34">
            <v>17066.092999999997</v>
          </cell>
          <cell r="AV34">
            <v>81055.168999999994</v>
          </cell>
        </row>
        <row r="35">
          <cell r="D35" t="str">
            <v>영업이익</v>
          </cell>
          <cell r="E35">
            <v>1489564.1411414943</v>
          </cell>
          <cell r="F35">
            <v>259823.69940647122</v>
          </cell>
          <cell r="G35">
            <v>128894.83647269642</v>
          </cell>
          <cell r="H35">
            <v>16664.438627207448</v>
          </cell>
          <cell r="I35">
            <v>32792.296600648449</v>
          </cell>
          <cell r="J35">
            <v>101709.47230433833</v>
          </cell>
          <cell r="K35">
            <v>211668.03110944174</v>
          </cell>
          <cell r="L35">
            <v>32851.239567384881</v>
          </cell>
          <cell r="M35">
            <v>204820.19481191089</v>
          </cell>
          <cell r="N35">
            <v>63242.664593662033</v>
          </cell>
          <cell r="O35">
            <v>56832.179689057113</v>
          </cell>
          <cell r="P35">
            <v>8672.5371184412797</v>
          </cell>
          <cell r="Q35">
            <v>40029.556960352013</v>
          </cell>
          <cell r="R35">
            <v>108754.09380081392</v>
          </cell>
          <cell r="S35">
            <v>103000.43936367679</v>
          </cell>
          <cell r="T35">
            <v>79998.347850113758</v>
          </cell>
          <cell r="U35">
            <v>53090.145313369845</v>
          </cell>
          <cell r="V35">
            <v>7518.948234970012</v>
          </cell>
          <cell r="W35">
            <v>0</v>
          </cell>
          <cell r="X35">
            <v>0</v>
          </cell>
          <cell r="Y35">
            <v>0</v>
          </cell>
          <cell r="Z35">
            <v>1510363.1218245621</v>
          </cell>
          <cell r="AA35">
            <v>43605.065720363171</v>
          </cell>
          <cell r="AB35">
            <v>82271.386953443638</v>
          </cell>
          <cell r="AC35">
            <v>-150738.9678333333</v>
          </cell>
          <cell r="AD35">
            <v>20098.329809792049</v>
          </cell>
          <cell r="AE35">
            <v>-48369.251070097613</v>
          </cell>
          <cell r="AF35">
            <v>9223.2960000000003</v>
          </cell>
          <cell r="AG35">
            <v>0</v>
          </cell>
          <cell r="AH35">
            <v>16238.735000000001</v>
          </cell>
          <cell r="AI35">
            <v>69633.564666666673</v>
          </cell>
          <cell r="AJ35">
            <v>3214.1080000000002</v>
          </cell>
          <cell r="AK35">
            <v>0</v>
          </cell>
          <cell r="AL35">
            <v>98309.703666666668</v>
          </cell>
          <cell r="AM35">
            <v>-3827.4680000000003</v>
          </cell>
          <cell r="AN35">
            <v>-778.35900000000004</v>
          </cell>
          <cell r="AO35">
            <v>-7573.549</v>
          </cell>
          <cell r="AP35">
            <v>-191.5</v>
          </cell>
          <cell r="AQ35">
            <v>-391.20500000000004</v>
          </cell>
          <cell r="AR35">
            <v>-27056.885000000002</v>
          </cell>
          <cell r="AS35">
            <v>-59229.440000000002</v>
          </cell>
          <cell r="AT35">
            <v>0</v>
          </cell>
          <cell r="AU35">
            <v>-15296.092999999997</v>
          </cell>
          <cell r="AV35">
            <v>-114344.499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173000</v>
          </cell>
          <cell r="G7">
            <v>152000</v>
          </cell>
          <cell r="H7">
            <v>69000</v>
          </cell>
          <cell r="I7">
            <v>59000</v>
          </cell>
          <cell r="J7">
            <v>94000</v>
          </cell>
          <cell r="K7">
            <v>95000</v>
          </cell>
          <cell r="L7">
            <v>43000</v>
          </cell>
          <cell r="M7">
            <v>102000</v>
          </cell>
          <cell r="N7">
            <v>41000</v>
          </cell>
          <cell r="O7">
            <v>55999.999999999993</v>
          </cell>
          <cell r="P7">
            <v>38000</v>
          </cell>
          <cell r="Q7">
            <v>48000</v>
          </cell>
          <cell r="R7">
            <v>87000</v>
          </cell>
          <cell r="S7">
            <v>44000</v>
          </cell>
          <cell r="T7">
            <v>19500</v>
          </cell>
          <cell r="U7">
            <v>17999.8</v>
          </cell>
          <cell r="V7">
            <v>28000</v>
          </cell>
          <cell r="W7">
            <v>0</v>
          </cell>
          <cell r="X7">
            <v>0</v>
          </cell>
          <cell r="Y7">
            <v>0</v>
          </cell>
          <cell r="Z7">
            <v>1166499.8</v>
          </cell>
          <cell r="AA7">
            <v>41000</v>
          </cell>
          <cell r="AB7">
            <v>222452.61333333334</v>
          </cell>
          <cell r="AC7">
            <v>18221.239999999998</v>
          </cell>
          <cell r="AD7">
            <v>106295.22937062939</v>
          </cell>
          <cell r="AE7">
            <v>346969.08270396269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165220583.71969563</v>
          </cell>
          <cell r="F8">
            <v>16989066.637000002</v>
          </cell>
          <cell r="G8">
            <v>15304570.044160957</v>
          </cell>
          <cell r="H8">
            <v>6717736.6148000006</v>
          </cell>
          <cell r="I8">
            <v>5797285.2074999996</v>
          </cell>
          <cell r="J8">
            <v>10201973.9112</v>
          </cell>
          <cell r="K8">
            <v>9748067.5074799992</v>
          </cell>
          <cell r="L8">
            <v>4283019.6611599997</v>
          </cell>
          <cell r="M8">
            <v>10591017.138010001</v>
          </cell>
          <cell r="N8">
            <v>4080129.5829999996</v>
          </cell>
          <cell r="O8">
            <v>5473214.26463563</v>
          </cell>
          <cell r="P8">
            <v>3453348.8714769995</v>
          </cell>
          <cell r="Q8">
            <v>4997749.6489999993</v>
          </cell>
          <cell r="R8">
            <v>8553730.2400000002</v>
          </cell>
          <cell r="S8">
            <v>4493422.05</v>
          </cell>
          <cell r="T8">
            <v>2190406.6699999995</v>
          </cell>
          <cell r="U8">
            <v>2025607.6273280005</v>
          </cell>
          <cell r="V8">
            <v>3410706.4400000004</v>
          </cell>
          <cell r="W8">
            <v>0</v>
          </cell>
          <cell r="X8">
            <v>0</v>
          </cell>
          <cell r="Y8">
            <v>0</v>
          </cell>
          <cell r="Z8">
            <v>118311052.11675155</v>
          </cell>
          <cell r="AA8">
            <v>40039457.436999999</v>
          </cell>
          <cell r="AB8">
            <v>2883451.916666667</v>
          </cell>
          <cell r="AC8">
            <v>367708.36</v>
          </cell>
          <cell r="AD8">
            <v>3014280.5559440558</v>
          </cell>
          <cell r="AE8">
            <v>6265440.8326107226</v>
          </cell>
          <cell r="AF8">
            <v>62500</v>
          </cell>
          <cell r="AG8">
            <v>0</v>
          </cell>
          <cell r="AH8">
            <v>137500</v>
          </cell>
          <cell r="AI8">
            <v>376983.33333333337</v>
          </cell>
          <cell r="AJ8">
            <v>18800</v>
          </cell>
          <cell r="AK8">
            <v>0</v>
          </cell>
          <cell r="AL8">
            <v>595783.33333333337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8850</v>
          </cell>
          <cell r="AV8">
            <v>8850</v>
          </cell>
        </row>
        <row r="9">
          <cell r="D9" t="str">
            <v xml:space="preserve"> - 단  위  당</v>
          </cell>
          <cell r="F9">
            <v>98202.697323699438</v>
          </cell>
          <cell r="G9">
            <v>100687.9608168484</v>
          </cell>
          <cell r="H9">
            <v>97358.501663768126</v>
          </cell>
          <cell r="I9">
            <v>98259.071313559311</v>
          </cell>
          <cell r="J9">
            <v>108531.63735319149</v>
          </cell>
          <cell r="K9">
            <v>102611.2369208421</v>
          </cell>
          <cell r="L9">
            <v>99605.108399069766</v>
          </cell>
          <cell r="M9">
            <v>103833.50135303923</v>
          </cell>
          <cell r="N9">
            <v>99515.35568292682</v>
          </cell>
          <cell r="O9">
            <v>97735.969011350549</v>
          </cell>
          <cell r="P9">
            <v>90877.601880973671</v>
          </cell>
          <cell r="Q9">
            <v>104119.78435416665</v>
          </cell>
          <cell r="R9">
            <v>98318.738390804603</v>
          </cell>
          <cell r="S9">
            <v>102123.22840909089</v>
          </cell>
          <cell r="T9">
            <v>112328.54717948714</v>
          </cell>
          <cell r="U9">
            <v>112535.00746274962</v>
          </cell>
          <cell r="V9">
            <v>121810.9442857143</v>
          </cell>
          <cell r="W9">
            <v>0</v>
          </cell>
          <cell r="X9">
            <v>0</v>
          </cell>
          <cell r="Y9">
            <v>0</v>
          </cell>
          <cell r="Z9">
            <v>101423.97976986498</v>
          </cell>
          <cell r="AA9">
            <v>976572.13260975608</v>
          </cell>
          <cell r="AB9">
            <v>12962.095043342864</v>
          </cell>
          <cell r="AC9">
            <v>20180.205079346961</v>
          </cell>
          <cell r="AD9">
            <v>28357.627842674723</v>
          </cell>
          <cell r="AE9">
            <v>18057.634368409868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149656049.33829194</v>
          </cell>
          <cell r="F10">
            <v>14876124.101769224</v>
          </cell>
          <cell r="G10">
            <v>14032360.716065817</v>
          </cell>
          <cell r="H10">
            <v>6342998.2459369591</v>
          </cell>
          <cell r="I10">
            <v>5368187.7063665166</v>
          </cell>
          <cell r="J10">
            <v>8811027.5145962723</v>
          </cell>
          <cell r="K10">
            <v>8116837.6586945914</v>
          </cell>
          <cell r="L10">
            <v>3898661.7932296782</v>
          </cell>
          <cell r="M10">
            <v>9219918.7348403037</v>
          </cell>
          <cell r="N10">
            <v>3656059.8967764704</v>
          </cell>
          <cell r="O10">
            <v>4939961.5450404231</v>
          </cell>
          <cell r="P10">
            <v>3251468.9348483421</v>
          </cell>
          <cell r="Q10">
            <v>4624044.9554619547</v>
          </cell>
          <cell r="R10">
            <v>7727033.4717827113</v>
          </cell>
          <cell r="S10">
            <v>3936604.7185871215</v>
          </cell>
          <cell r="T10">
            <v>1770557.7273349019</v>
          </cell>
          <cell r="U10">
            <v>1682817.4255793099</v>
          </cell>
          <cell r="V10">
            <v>3021794.5083480678</v>
          </cell>
          <cell r="W10">
            <v>0</v>
          </cell>
          <cell r="X10">
            <v>0</v>
          </cell>
          <cell r="Y10">
            <v>0</v>
          </cell>
          <cell r="Z10">
            <v>105276459.65525864</v>
          </cell>
          <cell r="AA10">
            <v>39111902.610999994</v>
          </cell>
          <cell r="AB10">
            <v>2112958.0116666663</v>
          </cell>
          <cell r="AC10">
            <v>771934.12916666665</v>
          </cell>
          <cell r="AD10">
            <v>2632261.9411999732</v>
          </cell>
          <cell r="AE10">
            <v>5517154.0820333064</v>
          </cell>
          <cell r="AF10">
            <v>600</v>
          </cell>
          <cell r="AG10">
            <v>0</v>
          </cell>
          <cell r="AH10">
            <v>2695</v>
          </cell>
          <cell r="AI10">
            <v>1195</v>
          </cell>
          <cell r="AJ10">
            <v>865</v>
          </cell>
          <cell r="AK10">
            <v>0</v>
          </cell>
          <cell r="AL10">
            <v>5355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105177.99</v>
          </cell>
          <cell r="AT10">
            <v>-360000</v>
          </cell>
          <cell r="AU10">
            <v>0</v>
          </cell>
          <cell r="AV10">
            <v>-254822.01</v>
          </cell>
        </row>
        <row r="11">
          <cell r="D11" t="str">
            <v xml:space="preserve"> - 단  위  당</v>
          </cell>
          <cell r="F11">
            <v>85989.156657625572</v>
          </cell>
          <cell r="G11">
            <v>92318.162605696154</v>
          </cell>
          <cell r="H11">
            <v>91927.510810680556</v>
          </cell>
          <cell r="I11">
            <v>90986.232311296888</v>
          </cell>
          <cell r="J11">
            <v>93734.335261662462</v>
          </cell>
          <cell r="K11">
            <v>85440.396407311477</v>
          </cell>
          <cell r="L11">
            <v>90666.553330922747</v>
          </cell>
          <cell r="M11">
            <v>90391.360145493163</v>
          </cell>
          <cell r="N11">
            <v>89172.19260430416</v>
          </cell>
          <cell r="O11">
            <v>88213.599018578985</v>
          </cell>
          <cell r="P11">
            <v>85564.971969693215</v>
          </cell>
          <cell r="Q11">
            <v>96334.26990545739</v>
          </cell>
          <cell r="R11">
            <v>88816.476687157599</v>
          </cell>
          <cell r="S11">
            <v>89468.289058798226</v>
          </cell>
          <cell r="T11">
            <v>90797.832171020622</v>
          </cell>
          <cell r="U11">
            <v>93490.895764359055</v>
          </cell>
          <cell r="V11">
            <v>107921.23244100242</v>
          </cell>
          <cell r="W11">
            <v>0</v>
          </cell>
          <cell r="X11">
            <v>0</v>
          </cell>
          <cell r="Y11">
            <v>0</v>
          </cell>
          <cell r="Z11">
            <v>90249.873729304221</v>
          </cell>
          <cell r="AA11">
            <v>953948.84417073161</v>
          </cell>
          <cell r="AB11">
            <v>9498.4634255589153</v>
          </cell>
          <cell r="AC11">
            <v>42364.522346814301</v>
          </cell>
          <cell r="AD11">
            <v>24763.688425016917</v>
          </cell>
          <cell r="AE11">
            <v>15900.996247382061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15564534.381403685</v>
          </cell>
          <cell r="F12">
            <v>2112942.5352307782</v>
          </cell>
          <cell r="G12">
            <v>1272209.3280951399</v>
          </cell>
          <cell r="H12">
            <v>374738.36886304151</v>
          </cell>
          <cell r="I12">
            <v>429097.5011334829</v>
          </cell>
          <cell r="J12">
            <v>1390946.3966037277</v>
          </cell>
          <cell r="K12">
            <v>1631229.8487854078</v>
          </cell>
          <cell r="L12">
            <v>384357.86793032149</v>
          </cell>
          <cell r="M12">
            <v>1371098.4031696972</v>
          </cell>
          <cell r="N12">
            <v>424069.68622352928</v>
          </cell>
          <cell r="O12">
            <v>533252.7195952069</v>
          </cell>
          <cell r="P12">
            <v>201879.93662865739</v>
          </cell>
          <cell r="Q12">
            <v>373704.69353804458</v>
          </cell>
          <cell r="R12">
            <v>826696.76821728889</v>
          </cell>
          <cell r="S12">
            <v>556817.33141287835</v>
          </cell>
          <cell r="T12">
            <v>419848.94266509754</v>
          </cell>
          <cell r="U12">
            <v>342790.20174869057</v>
          </cell>
          <cell r="V12">
            <v>388911.93165193265</v>
          </cell>
          <cell r="W12">
            <v>0</v>
          </cell>
          <cell r="X12">
            <v>0</v>
          </cell>
          <cell r="Y12">
            <v>0</v>
          </cell>
          <cell r="Z12">
            <v>13034592.461492911</v>
          </cell>
          <cell r="AA12">
            <v>927554.82600000501</v>
          </cell>
          <cell r="AB12">
            <v>770493.90500000073</v>
          </cell>
          <cell r="AC12">
            <v>-404225.76916666667</v>
          </cell>
          <cell r="AD12">
            <v>382018.61474408256</v>
          </cell>
          <cell r="AE12">
            <v>748286.75057741627</v>
          </cell>
          <cell r="AF12">
            <v>61900</v>
          </cell>
          <cell r="AG12">
            <v>0</v>
          </cell>
          <cell r="AH12">
            <v>134805</v>
          </cell>
          <cell r="AI12">
            <v>375788.33333333337</v>
          </cell>
          <cell r="AJ12">
            <v>17935</v>
          </cell>
          <cell r="AK12">
            <v>0</v>
          </cell>
          <cell r="AL12">
            <v>590428.33333333337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-105177.99</v>
          </cell>
          <cell r="AT12">
            <v>360000</v>
          </cell>
          <cell r="AU12">
            <v>8850</v>
          </cell>
          <cell r="AV12">
            <v>263672.01</v>
          </cell>
        </row>
        <row r="13">
          <cell r="D13" t="str">
            <v>판 관 비</v>
          </cell>
          <cell r="E13">
            <v>4204810.4270000011</v>
          </cell>
          <cell r="F13">
            <v>345977.70499999996</v>
          </cell>
          <cell r="G13">
            <v>335997.82900000003</v>
          </cell>
          <cell r="H13">
            <v>263025.61800000002</v>
          </cell>
          <cell r="I13">
            <v>199065.01500000001</v>
          </cell>
          <cell r="J13">
            <v>297950.402</v>
          </cell>
          <cell r="K13">
            <v>274485.288</v>
          </cell>
          <cell r="L13">
            <v>158961.60499999998</v>
          </cell>
          <cell r="M13">
            <v>251941.03100000002</v>
          </cell>
          <cell r="N13">
            <v>144025.01</v>
          </cell>
          <cell r="O13">
            <v>138489.23299999998</v>
          </cell>
          <cell r="P13">
            <v>157510.13499999998</v>
          </cell>
          <cell r="Q13">
            <v>142989.51799999998</v>
          </cell>
          <cell r="R13">
            <v>252246.46300000005</v>
          </cell>
          <cell r="S13">
            <v>163728.198</v>
          </cell>
          <cell r="T13">
            <v>62432.205000000002</v>
          </cell>
          <cell r="U13">
            <v>61061.375</v>
          </cell>
          <cell r="V13">
            <v>80654.64</v>
          </cell>
          <cell r="W13">
            <v>0</v>
          </cell>
          <cell r="X13">
            <v>0</v>
          </cell>
          <cell r="Y13">
            <v>0</v>
          </cell>
          <cell r="Z13">
            <v>3330541.2700000005</v>
          </cell>
          <cell r="AA13">
            <v>736951.32700000005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2757.5</v>
          </cell>
          <cell r="AN13">
            <v>2137.5</v>
          </cell>
          <cell r="AO13">
            <v>9210</v>
          </cell>
          <cell r="AP13">
            <v>957.5</v>
          </cell>
          <cell r="AQ13">
            <v>750</v>
          </cell>
          <cell r="AR13">
            <v>48995</v>
          </cell>
          <cell r="AS13">
            <v>72510.329999999987</v>
          </cell>
          <cell r="AT13">
            <v>0</v>
          </cell>
          <cell r="AU13">
            <v>0</v>
          </cell>
          <cell r="AV13">
            <v>137317.82999999999</v>
          </cell>
        </row>
        <row r="14">
          <cell r="D14" t="str">
            <v xml:space="preserve"> - 노   무   비</v>
          </cell>
          <cell r="E14">
            <v>2933948.7370000007</v>
          </cell>
          <cell r="F14">
            <v>253641.08499999999</v>
          </cell>
          <cell r="G14">
            <v>244562.50900000002</v>
          </cell>
          <cell r="H14">
            <v>187444.88800000001</v>
          </cell>
          <cell r="I14">
            <v>144438.95500000002</v>
          </cell>
          <cell r="J14">
            <v>215476.95199999999</v>
          </cell>
          <cell r="K14">
            <v>197350.408</v>
          </cell>
          <cell r="L14">
            <v>114731.84499999999</v>
          </cell>
          <cell r="M14">
            <v>180738.27100000001</v>
          </cell>
          <cell r="N14">
            <v>100439.24000000002</v>
          </cell>
          <cell r="O14">
            <v>101398.66299999999</v>
          </cell>
          <cell r="P14">
            <v>110625.36499999999</v>
          </cell>
          <cell r="Q14">
            <v>102506.798</v>
          </cell>
          <cell r="R14">
            <v>180735.53300000002</v>
          </cell>
          <cell r="S14">
            <v>116001.298</v>
          </cell>
          <cell r="T14">
            <v>43538.114999999998</v>
          </cell>
          <cell r="U14">
            <v>38882.724999999999</v>
          </cell>
          <cell r="V14">
            <v>56240.85</v>
          </cell>
          <cell r="W14">
            <v>0</v>
          </cell>
          <cell r="X14">
            <v>0</v>
          </cell>
          <cell r="Y14">
            <v>0</v>
          </cell>
          <cell r="Z14">
            <v>2388753.5000000005</v>
          </cell>
          <cell r="AA14">
            <v>472684.90700000001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72510.329999999987</v>
          </cell>
          <cell r="AT14">
            <v>0</v>
          </cell>
          <cell r="AU14">
            <v>0</v>
          </cell>
          <cell r="AV14">
            <v>72510.329999999987</v>
          </cell>
        </row>
        <row r="15">
          <cell r="D15" t="str">
            <v xml:space="preserve"> - 경        비</v>
          </cell>
          <cell r="E15">
            <v>1270861.6900000002</v>
          </cell>
          <cell r="F15">
            <v>92336.62</v>
          </cell>
          <cell r="G15">
            <v>91435.32</v>
          </cell>
          <cell r="H15">
            <v>75580.73</v>
          </cell>
          <cell r="I15">
            <v>54626.060000000005</v>
          </cell>
          <cell r="J15">
            <v>82473.45</v>
          </cell>
          <cell r="K15">
            <v>77134.880000000005</v>
          </cell>
          <cell r="L15">
            <v>44229.760000000002</v>
          </cell>
          <cell r="M15">
            <v>71202.760000000009</v>
          </cell>
          <cell r="N15">
            <v>43585.770000000004</v>
          </cell>
          <cell r="O15">
            <v>37090.569999999992</v>
          </cell>
          <cell r="P15">
            <v>46884.77</v>
          </cell>
          <cell r="Q15">
            <v>40482.720000000001</v>
          </cell>
          <cell r="R15">
            <v>71510.930000000008</v>
          </cell>
          <cell r="S15">
            <v>47726.9</v>
          </cell>
          <cell r="T15">
            <v>18894.09</v>
          </cell>
          <cell r="U15">
            <v>22178.65</v>
          </cell>
          <cell r="V15">
            <v>24413.79</v>
          </cell>
          <cell r="W15">
            <v>0</v>
          </cell>
          <cell r="X15">
            <v>0</v>
          </cell>
          <cell r="Y15">
            <v>0</v>
          </cell>
          <cell r="Z15">
            <v>941787.77000000014</v>
          </cell>
          <cell r="AA15">
            <v>264266.42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2757.5</v>
          </cell>
          <cell r="AN15">
            <v>2137.5</v>
          </cell>
          <cell r="AO15">
            <v>9210</v>
          </cell>
          <cell r="AP15">
            <v>957.5</v>
          </cell>
          <cell r="AQ15">
            <v>750</v>
          </cell>
          <cell r="AR15">
            <v>48995</v>
          </cell>
          <cell r="AS15">
            <v>0</v>
          </cell>
          <cell r="AT15">
            <v>0</v>
          </cell>
          <cell r="AU15">
            <v>0</v>
          </cell>
          <cell r="AV15">
            <v>64807.5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11359723.954403684</v>
          </cell>
          <cell r="F17">
            <v>1766964.8302307781</v>
          </cell>
          <cell r="G17">
            <v>936211.49909513991</v>
          </cell>
          <cell r="H17">
            <v>111712.7508630415</v>
          </cell>
          <cell r="I17">
            <v>230032.48613348289</v>
          </cell>
          <cell r="J17">
            <v>1092995.9946037277</v>
          </cell>
          <cell r="K17">
            <v>1356744.5607854079</v>
          </cell>
          <cell r="L17">
            <v>225396.26293032151</v>
          </cell>
          <cell r="M17">
            <v>1119157.3721696972</v>
          </cell>
          <cell r="N17">
            <v>280044.67622352927</v>
          </cell>
          <cell r="O17">
            <v>394763.48659520689</v>
          </cell>
          <cell r="P17">
            <v>44369.801628657413</v>
          </cell>
          <cell r="Q17">
            <v>230715.1755380446</v>
          </cell>
          <cell r="R17">
            <v>574450.3052172889</v>
          </cell>
          <cell r="S17">
            <v>393089.13341287838</v>
          </cell>
          <cell r="T17">
            <v>357416.73766509752</v>
          </cell>
          <cell r="U17">
            <v>281728.82674869057</v>
          </cell>
          <cell r="V17">
            <v>308257.29165193264</v>
          </cell>
          <cell r="W17">
            <v>0</v>
          </cell>
          <cell r="X17">
            <v>0</v>
          </cell>
          <cell r="Y17">
            <v>0</v>
          </cell>
          <cell r="Z17">
            <v>9704051.1914929114</v>
          </cell>
          <cell r="AA17">
            <v>190603.49900000496</v>
          </cell>
          <cell r="AB17">
            <v>770493.90500000073</v>
          </cell>
          <cell r="AC17">
            <v>-404225.76916666667</v>
          </cell>
          <cell r="AD17">
            <v>382018.61474408256</v>
          </cell>
          <cell r="AE17">
            <v>748286.75057741627</v>
          </cell>
          <cell r="AF17">
            <v>61900</v>
          </cell>
          <cell r="AG17">
            <v>0</v>
          </cell>
          <cell r="AH17">
            <v>134805</v>
          </cell>
          <cell r="AI17">
            <v>375788.33333333337</v>
          </cell>
          <cell r="AJ17">
            <v>17935</v>
          </cell>
          <cell r="AK17">
            <v>0</v>
          </cell>
          <cell r="AL17">
            <v>590428.33333333337</v>
          </cell>
          <cell r="AM17">
            <v>-2757.5</v>
          </cell>
          <cell r="AN17">
            <v>-2137.5</v>
          </cell>
          <cell r="AO17">
            <v>-9210</v>
          </cell>
          <cell r="AP17">
            <v>-957.5</v>
          </cell>
          <cell r="AQ17">
            <v>-750</v>
          </cell>
          <cell r="AR17">
            <v>-48995</v>
          </cell>
          <cell r="AS17">
            <v>-177688.32000000001</v>
          </cell>
          <cell r="AT17">
            <v>360000</v>
          </cell>
          <cell r="AU17">
            <v>8850</v>
          </cell>
          <cell r="AV17">
            <v>126354.18000000002</v>
          </cell>
        </row>
        <row r="18">
          <cell r="D18" t="str">
            <v>감가상각비</v>
          </cell>
          <cell r="E18">
            <v>3005393.8031421723</v>
          </cell>
          <cell r="F18">
            <v>154923.72500000001</v>
          </cell>
          <cell r="G18">
            <v>181161.84333333335</v>
          </cell>
          <cell r="H18">
            <v>123814.02544444444</v>
          </cell>
          <cell r="I18">
            <v>93197.783333333355</v>
          </cell>
          <cell r="J18">
            <v>239431.0916666667</v>
          </cell>
          <cell r="K18">
            <v>128467.57944444443</v>
          </cell>
          <cell r="L18">
            <v>66624.740444444455</v>
          </cell>
          <cell r="M18">
            <v>95615.663111111091</v>
          </cell>
          <cell r="N18">
            <v>61684.042555555556</v>
          </cell>
          <cell r="O18">
            <v>157367.75611111111</v>
          </cell>
          <cell r="P18">
            <v>79174.141404576672</v>
          </cell>
          <cell r="Q18">
            <v>78209.789276413649</v>
          </cell>
          <cell r="R18">
            <v>171481.12533333333</v>
          </cell>
          <cell r="S18">
            <v>109141.34944444445</v>
          </cell>
          <cell r="T18">
            <v>51805.764999999992</v>
          </cell>
          <cell r="U18">
            <v>30157.294999999998</v>
          </cell>
          <cell r="V18">
            <v>63926.679322292708</v>
          </cell>
          <cell r="W18">
            <v>0</v>
          </cell>
          <cell r="X18">
            <v>0</v>
          </cell>
          <cell r="Y18">
            <v>0</v>
          </cell>
          <cell r="Z18">
            <v>1886184.3952255053</v>
          </cell>
          <cell r="AA18">
            <v>25931.314999999999</v>
          </cell>
          <cell r="AB18">
            <v>353324.99147222226</v>
          </cell>
          <cell r="AC18">
            <v>289828.63999999996</v>
          </cell>
          <cell r="AD18">
            <v>183620.78844444445</v>
          </cell>
          <cell r="AE18">
            <v>826774.41991666669</v>
          </cell>
          <cell r="AF18">
            <v>15572.280999999999</v>
          </cell>
          <cell r="AG18">
            <v>0</v>
          </cell>
          <cell r="AH18">
            <v>38503.337999999996</v>
          </cell>
          <cell r="AI18">
            <v>23924.083999999999</v>
          </cell>
          <cell r="AJ18">
            <v>6564.46</v>
          </cell>
          <cell r="AK18">
            <v>0</v>
          </cell>
          <cell r="AL18">
            <v>84564.163</v>
          </cell>
          <cell r="AM18">
            <v>16379.840000000002</v>
          </cell>
          <cell r="AN18">
            <v>1754.2950000000001</v>
          </cell>
          <cell r="AO18">
            <v>28290.967999999997</v>
          </cell>
          <cell r="AP18">
            <v>0</v>
          </cell>
          <cell r="AQ18">
            <v>1206.0250000000001</v>
          </cell>
          <cell r="AR18">
            <v>58933.738000000005</v>
          </cell>
          <cell r="AS18">
            <v>0</v>
          </cell>
          <cell r="AT18">
            <v>0</v>
          </cell>
          <cell r="AU18">
            <v>75374.643999999986</v>
          </cell>
          <cell r="AV18">
            <v>181939.51</v>
          </cell>
        </row>
        <row r="19">
          <cell r="D19" t="str">
            <v xml:space="preserve"> - 제        조</v>
          </cell>
          <cell r="E19">
            <v>2691028.6941421721</v>
          </cell>
          <cell r="F19">
            <v>143449.38</v>
          </cell>
          <cell r="G19">
            <v>171539.49833333335</v>
          </cell>
          <cell r="H19">
            <v>113212.23144444445</v>
          </cell>
          <cell r="I19">
            <v>87237.843333333352</v>
          </cell>
          <cell r="J19">
            <v>230102.4266666667</v>
          </cell>
          <cell r="K19">
            <v>120697.23444444443</v>
          </cell>
          <cell r="L19">
            <v>60656.745444444452</v>
          </cell>
          <cell r="M19">
            <v>85947.138111111097</v>
          </cell>
          <cell r="N19">
            <v>59785.862555555555</v>
          </cell>
          <cell r="O19">
            <v>153177.59111111111</v>
          </cell>
          <cell r="P19">
            <v>75107.796404576671</v>
          </cell>
          <cell r="Q19">
            <v>72283.179276413648</v>
          </cell>
          <cell r="R19">
            <v>163661.13033333333</v>
          </cell>
          <cell r="S19">
            <v>105075.00444444445</v>
          </cell>
          <cell r="T19">
            <v>49591.419999999991</v>
          </cell>
          <cell r="U19">
            <v>28305.294999999998</v>
          </cell>
          <cell r="V19">
            <v>59860.334322292707</v>
          </cell>
          <cell r="W19">
            <v>0</v>
          </cell>
          <cell r="X19">
            <v>0</v>
          </cell>
          <cell r="Y19">
            <v>0</v>
          </cell>
          <cell r="Z19">
            <v>1779690.1112255054</v>
          </cell>
          <cell r="AA19">
            <v>0</v>
          </cell>
          <cell r="AB19">
            <v>353324.99147222226</v>
          </cell>
          <cell r="AC19">
            <v>289828.63999999996</v>
          </cell>
          <cell r="AD19">
            <v>183620.78844444445</v>
          </cell>
          <cell r="AE19">
            <v>826774.41991666669</v>
          </cell>
          <cell r="AF19">
            <v>15572.280999999999</v>
          </cell>
          <cell r="AG19">
            <v>0</v>
          </cell>
          <cell r="AH19">
            <v>38503.337999999996</v>
          </cell>
          <cell r="AI19">
            <v>23924.083999999999</v>
          </cell>
          <cell r="AJ19">
            <v>6564.46</v>
          </cell>
          <cell r="AK19">
            <v>0</v>
          </cell>
          <cell r="AL19">
            <v>84564.163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314365.109</v>
          </cell>
          <cell r="F20">
            <v>11474.345000000001</v>
          </cell>
          <cell r="G20">
            <v>9622.3450000000012</v>
          </cell>
          <cell r="H20">
            <v>10601.794</v>
          </cell>
          <cell r="I20">
            <v>5959.9400000000005</v>
          </cell>
          <cell r="J20">
            <v>9328.6649999999991</v>
          </cell>
          <cell r="K20">
            <v>7770.3449999999993</v>
          </cell>
          <cell r="L20">
            <v>5967.9950000000008</v>
          </cell>
          <cell r="M20">
            <v>9668.5250000000015</v>
          </cell>
          <cell r="N20">
            <v>1898.1799999999998</v>
          </cell>
          <cell r="O20">
            <v>4190.165</v>
          </cell>
          <cell r="P20">
            <v>4066.3450000000003</v>
          </cell>
          <cell r="Q20">
            <v>5926.6100000000006</v>
          </cell>
          <cell r="R20">
            <v>7819.9949999999999</v>
          </cell>
          <cell r="S20">
            <v>4066.3450000000003</v>
          </cell>
          <cell r="T20">
            <v>2214.3450000000003</v>
          </cell>
          <cell r="U20">
            <v>1852</v>
          </cell>
          <cell r="V20">
            <v>4066.3450000000003</v>
          </cell>
          <cell r="W20">
            <v>0</v>
          </cell>
          <cell r="X20">
            <v>0</v>
          </cell>
          <cell r="Y20">
            <v>0</v>
          </cell>
          <cell r="Z20">
            <v>106494.284</v>
          </cell>
          <cell r="AA20">
            <v>25931.314999999999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16379.840000000002</v>
          </cell>
          <cell r="AN20">
            <v>1754.2950000000001</v>
          </cell>
          <cell r="AO20">
            <v>28290.967999999997</v>
          </cell>
          <cell r="AP20">
            <v>0</v>
          </cell>
          <cell r="AQ20">
            <v>1206.0250000000001</v>
          </cell>
          <cell r="AR20">
            <v>58933.738000000005</v>
          </cell>
          <cell r="AS20">
            <v>0</v>
          </cell>
          <cell r="AT20">
            <v>0</v>
          </cell>
          <cell r="AU20">
            <v>75374.643999999986</v>
          </cell>
          <cell r="AV20">
            <v>181939.51</v>
          </cell>
        </row>
        <row r="21">
          <cell r="D21" t="str">
            <v>영업이익 I</v>
          </cell>
          <cell r="E21">
            <v>8354330.1512615113</v>
          </cell>
          <cell r="F21">
            <v>1612041.105230778</v>
          </cell>
          <cell r="G21">
            <v>755049.65576180653</v>
          </cell>
          <cell r="H21">
            <v>-12101.274581402948</v>
          </cell>
          <cell r="I21">
            <v>136834.70280014953</v>
          </cell>
          <cell r="J21">
            <v>853564.90293706104</v>
          </cell>
          <cell r="K21">
            <v>1228276.9813409634</v>
          </cell>
          <cell r="L21">
            <v>158771.52248587704</v>
          </cell>
          <cell r="M21">
            <v>1023541.709058586</v>
          </cell>
          <cell r="N21">
            <v>218360.63366797371</v>
          </cell>
          <cell r="O21">
            <v>237395.73048409578</v>
          </cell>
          <cell r="P21">
            <v>-34804.339775919259</v>
          </cell>
          <cell r="Q21">
            <v>152505.38626163095</v>
          </cell>
          <cell r="R21">
            <v>402969.17988395557</v>
          </cell>
          <cell r="S21">
            <v>283947.78396843391</v>
          </cell>
          <cell r="T21">
            <v>305610.97266509751</v>
          </cell>
          <cell r="U21">
            <v>251571.53174869058</v>
          </cell>
          <cell r="V21">
            <v>244330.61232963993</v>
          </cell>
          <cell r="W21">
            <v>0</v>
          </cell>
          <cell r="X21">
            <v>0</v>
          </cell>
          <cell r="Y21">
            <v>0</v>
          </cell>
          <cell r="Z21">
            <v>7817866.7962674061</v>
          </cell>
          <cell r="AA21">
            <v>164672.18400000496</v>
          </cell>
          <cell r="AB21">
            <v>417168.91352777847</v>
          </cell>
          <cell r="AC21">
            <v>-694054.40916666668</v>
          </cell>
          <cell r="AD21">
            <v>198397.82629963811</v>
          </cell>
          <cell r="AE21">
            <v>-78487.669339250424</v>
          </cell>
          <cell r="AF21">
            <v>46327.718999999997</v>
          </cell>
          <cell r="AG21">
            <v>0</v>
          </cell>
          <cell r="AH21">
            <v>96301.662000000011</v>
          </cell>
          <cell r="AI21">
            <v>351864.2493333334</v>
          </cell>
          <cell r="AJ21">
            <v>11370.54</v>
          </cell>
          <cell r="AK21">
            <v>0</v>
          </cell>
          <cell r="AL21">
            <v>505864.17033333337</v>
          </cell>
          <cell r="AM21">
            <v>-19137.340000000004</v>
          </cell>
          <cell r="AN21">
            <v>-3891.7950000000001</v>
          </cell>
          <cell r="AO21">
            <v>-37500.967999999993</v>
          </cell>
          <cell r="AP21">
            <v>-957.5</v>
          </cell>
          <cell r="AQ21">
            <v>-1956.0250000000001</v>
          </cell>
          <cell r="AR21">
            <v>-107928.73800000001</v>
          </cell>
          <cell r="AS21">
            <v>-177688.32000000001</v>
          </cell>
          <cell r="AT21">
            <v>360000</v>
          </cell>
          <cell r="AU21">
            <v>-66524.643999999986</v>
          </cell>
          <cell r="AV21">
            <v>-55585.329999999987</v>
          </cell>
        </row>
        <row r="22">
          <cell r="D22" t="str">
            <v>공    통    비</v>
          </cell>
          <cell r="E22">
            <v>7807940.5189285353</v>
          </cell>
          <cell r="F22">
            <v>1037463.6810515139</v>
          </cell>
          <cell r="G22">
            <v>924590.40865619131</v>
          </cell>
          <cell r="H22">
            <v>398059.27599063131</v>
          </cell>
          <cell r="I22">
            <v>344704.01080173452</v>
          </cell>
          <cell r="J22">
            <v>669561.62726623099</v>
          </cell>
          <cell r="K22">
            <v>637483.46764617425</v>
          </cell>
          <cell r="L22">
            <v>274374.75411899236</v>
          </cell>
          <cell r="M22">
            <v>690991.0041043458</v>
          </cell>
          <cell r="N22">
            <v>257582.2990332222</v>
          </cell>
          <cell r="O22">
            <v>349072.08713789925</v>
          </cell>
          <cell r="P22">
            <v>224204.30804097967</v>
          </cell>
          <cell r="Q22">
            <v>315670.9136853448</v>
          </cell>
          <cell r="R22">
            <v>496746.01651844324</v>
          </cell>
          <cell r="S22">
            <v>261896.81376593592</v>
          </cell>
          <cell r="T22">
            <v>129408.60724492901</v>
          </cell>
          <cell r="U22">
            <v>123988.03198768597</v>
          </cell>
          <cell r="V22">
            <v>215517.09139597579</v>
          </cell>
          <cell r="W22">
            <v>0</v>
          </cell>
          <cell r="X22">
            <v>0</v>
          </cell>
          <cell r="Y22">
            <v>0</v>
          </cell>
          <cell r="Z22">
            <v>7351314.3984462311</v>
          </cell>
          <cell r="AA22">
            <v>204468.85664291057</v>
          </cell>
          <cell r="AB22">
            <v>117293.48966624386</v>
          </cell>
          <cell r="AC22">
            <v>13090.85269919669</v>
          </cell>
          <cell r="AD22">
            <v>121772.92147395389</v>
          </cell>
          <cell r="AE22">
            <v>252157.26383939444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1127214.333333333</v>
          </cell>
          <cell r="F23">
            <v>99271.751357653804</v>
          </cell>
          <cell r="G23">
            <v>88258.561636239785</v>
          </cell>
          <cell r="H23">
            <v>37946.819468387279</v>
          </cell>
          <cell r="I23">
            <v>32954.204874449228</v>
          </cell>
          <cell r="J23">
            <v>97607.949764813777</v>
          </cell>
          <cell r="K23">
            <v>92925.893628777252</v>
          </cell>
          <cell r="L23">
            <v>40189.094299819233</v>
          </cell>
          <cell r="M23">
            <v>100872.62724823371</v>
          </cell>
          <cell r="N23">
            <v>37762.201261210372</v>
          </cell>
          <cell r="O23">
            <v>51101.664976725617</v>
          </cell>
          <cell r="P23">
            <v>32747.047332291186</v>
          </cell>
          <cell r="Q23">
            <v>46066.708115584101</v>
          </cell>
          <cell r="R23">
            <v>47445.932609140633</v>
          </cell>
          <cell r="S23">
            <v>25077.406326569708</v>
          </cell>
          <cell r="T23">
            <v>12365.173466473549</v>
          </cell>
          <cell r="U23">
            <v>11875.176030816179</v>
          </cell>
          <cell r="V23">
            <v>20588.857096753367</v>
          </cell>
          <cell r="W23">
            <v>0</v>
          </cell>
          <cell r="X23">
            <v>0</v>
          </cell>
          <cell r="Y23">
            <v>0</v>
          </cell>
          <cell r="Z23">
            <v>875057.06949393859</v>
          </cell>
          <cell r="AA23">
            <v>0</v>
          </cell>
          <cell r="AB23">
            <v>117293.48966624386</v>
          </cell>
          <cell r="AC23">
            <v>13090.85269919669</v>
          </cell>
          <cell r="AD23">
            <v>121772.92147395389</v>
          </cell>
          <cell r="AE23">
            <v>252157.26383939444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2359449.9668000001</v>
          </cell>
          <cell r="F24">
            <v>343605.10257792176</v>
          </cell>
          <cell r="G24">
            <v>305290.73063607345</v>
          </cell>
          <cell r="H24">
            <v>129272.14979632065</v>
          </cell>
          <cell r="I24">
            <v>112402.92057642061</v>
          </cell>
          <cell r="J24">
            <v>211042.87316339638</v>
          </cell>
          <cell r="K24">
            <v>199899.58389396151</v>
          </cell>
          <cell r="L24">
            <v>85221.40016592812</v>
          </cell>
          <cell r="M24">
            <v>216760.78249748657</v>
          </cell>
          <cell r="N24">
            <v>79369.055205236582</v>
          </cell>
          <cell r="O24">
            <v>108268.10328685438</v>
          </cell>
          <cell r="P24">
            <v>70041.423344046794</v>
          </cell>
          <cell r="Q24">
            <v>97386.164321491844</v>
          </cell>
          <cell r="R24">
            <v>160452.45552385823</v>
          </cell>
          <cell r="S24">
            <v>84974.013868254115</v>
          </cell>
          <cell r="T24">
            <v>42021.044229600739</v>
          </cell>
          <cell r="U24">
            <v>41194.26461389965</v>
          </cell>
          <cell r="V24">
            <v>72247.899099248403</v>
          </cell>
          <cell r="W24">
            <v>0</v>
          </cell>
          <cell r="X24">
            <v>0</v>
          </cell>
          <cell r="Y24">
            <v>0</v>
          </cell>
          <cell r="Z24">
            <v>2359449.9668000001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4321276.2187952027</v>
          </cell>
          <cell r="F25">
            <v>594586.8271159383</v>
          </cell>
          <cell r="G25">
            <v>531041.11638387805</v>
          </cell>
          <cell r="H25">
            <v>230840.30672592335</v>
          </cell>
          <cell r="I25">
            <v>199346.88535086464</v>
          </cell>
          <cell r="J25">
            <v>360910.80433802091</v>
          </cell>
          <cell r="K25">
            <v>344657.99012343551</v>
          </cell>
          <cell r="L25">
            <v>148964.25965324498</v>
          </cell>
          <cell r="M25">
            <v>373357.59435862559</v>
          </cell>
          <cell r="N25">
            <v>140451.04256677523</v>
          </cell>
          <cell r="O25">
            <v>189702.31887431923</v>
          </cell>
          <cell r="P25">
            <v>121415.8373646417</v>
          </cell>
          <cell r="Q25">
            <v>172218.04124826886</v>
          </cell>
          <cell r="R25">
            <v>288847.6283854444</v>
          </cell>
          <cell r="S25">
            <v>151845.3935711121</v>
          </cell>
          <cell r="T25">
            <v>75022.389548854728</v>
          </cell>
          <cell r="U25">
            <v>70918.591342970147</v>
          </cell>
          <cell r="V25">
            <v>122680.33519997401</v>
          </cell>
          <cell r="W25">
            <v>0</v>
          </cell>
          <cell r="X25">
            <v>0</v>
          </cell>
          <cell r="Y25">
            <v>0</v>
          </cell>
          <cell r="Z25">
            <v>4116807.3621522924</v>
          </cell>
          <cell r="AA25">
            <v>204468.85664291057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546389.63233297598</v>
          </cell>
          <cell r="F26">
            <v>574577.42417926411</v>
          </cell>
          <cell r="G26">
            <v>-169540.75289438479</v>
          </cell>
          <cell r="H26">
            <v>-410160.55057203426</v>
          </cell>
          <cell r="I26">
            <v>-207869.30800158498</v>
          </cell>
          <cell r="J26">
            <v>184003.27567083004</v>
          </cell>
          <cell r="K26">
            <v>590793.51369478914</v>
          </cell>
          <cell r="L26">
            <v>-115603.23163311533</v>
          </cell>
          <cell r="M26">
            <v>332550.70495424024</v>
          </cell>
          <cell r="N26">
            <v>-39221.665365248482</v>
          </cell>
          <cell r="O26">
            <v>-111676.35665380346</v>
          </cell>
          <cell r="P26">
            <v>-259008.64781689894</v>
          </cell>
          <cell r="Q26">
            <v>-163165.52742371385</v>
          </cell>
          <cell r="R26">
            <v>-93776.83663448767</v>
          </cell>
          <cell r="S26">
            <v>22050.970202497992</v>
          </cell>
          <cell r="T26">
            <v>176202.3654201685</v>
          </cell>
          <cell r="U26">
            <v>127583.49976100461</v>
          </cell>
          <cell r="V26">
            <v>28813.520933664142</v>
          </cell>
          <cell r="W26">
            <v>0</v>
          </cell>
          <cell r="X26">
            <v>0</v>
          </cell>
          <cell r="Y26">
            <v>0</v>
          </cell>
          <cell r="Z26">
            <v>466552.39782117493</v>
          </cell>
          <cell r="AA26">
            <v>-39796.672642905614</v>
          </cell>
          <cell r="AB26">
            <v>299875.42386153463</v>
          </cell>
          <cell r="AC26">
            <v>-707145.26186586334</v>
          </cell>
          <cell r="AD26">
            <v>76624.904825684222</v>
          </cell>
          <cell r="AE26">
            <v>-330644.93317864486</v>
          </cell>
          <cell r="AF26">
            <v>46327.718999999997</v>
          </cell>
          <cell r="AG26">
            <v>0</v>
          </cell>
          <cell r="AH26">
            <v>96301.662000000011</v>
          </cell>
          <cell r="AI26">
            <v>351864.2493333334</v>
          </cell>
          <cell r="AJ26">
            <v>11370.54</v>
          </cell>
          <cell r="AK26">
            <v>0</v>
          </cell>
          <cell r="AL26">
            <v>505864.17033333337</v>
          </cell>
          <cell r="AM26">
            <v>-19137.340000000004</v>
          </cell>
          <cell r="AN26">
            <v>-3891.7950000000001</v>
          </cell>
          <cell r="AO26">
            <v>-37500.967999999993</v>
          </cell>
          <cell r="AP26">
            <v>-957.5</v>
          </cell>
          <cell r="AQ26">
            <v>-1956.0250000000001</v>
          </cell>
          <cell r="AR26">
            <v>-107928.73800000001</v>
          </cell>
          <cell r="AS26">
            <v>-177688.32000000001</v>
          </cell>
          <cell r="AT26">
            <v>360000</v>
          </cell>
          <cell r="AU26">
            <v>-66524.643999999986</v>
          </cell>
          <cell r="AV26">
            <v>-55585.329999999987</v>
          </cell>
        </row>
        <row r="27">
          <cell r="E27" t="e">
            <v>#REF!</v>
          </cell>
          <cell r="F27">
            <v>574577.42417926202</v>
          </cell>
          <cell r="G27">
            <v>-169540.75289438525</v>
          </cell>
          <cell r="H27">
            <v>-410160.55057203514</v>
          </cell>
          <cell r="I27">
            <v>-207869.30800158478</v>
          </cell>
          <cell r="J27">
            <v>184003.27567082978</v>
          </cell>
          <cell r="K27">
            <v>590793.51369478984</v>
          </cell>
          <cell r="L27">
            <v>-115603.23163311483</v>
          </cell>
          <cell r="M27">
            <v>332550.7049542421</v>
          </cell>
          <cell r="N27">
            <v>-39221.665365247762</v>
          </cell>
          <cell r="O27">
            <v>-111676.35665380278</v>
          </cell>
          <cell r="P27">
            <v>-259008.64781689877</v>
          </cell>
          <cell r="Q27">
            <v>-163165.52742371286</v>
          </cell>
          <cell r="R27">
            <v>-93776.836634488194</v>
          </cell>
          <cell r="S27">
            <v>22050.970202497847</v>
          </cell>
          <cell r="T27">
            <v>176202.36542016902</v>
          </cell>
          <cell r="U27">
            <v>127583.49976100442</v>
          </cell>
          <cell r="V27">
            <v>28813.520933663822</v>
          </cell>
          <cell r="W27">
            <v>0</v>
          </cell>
          <cell r="X27">
            <v>0</v>
          </cell>
          <cell r="Y27">
            <v>0</v>
          </cell>
          <cell r="Z27">
            <v>466552.39782118838</v>
          </cell>
          <cell r="AA27">
            <v>-39796.672642905593</v>
          </cell>
          <cell r="AB27">
            <v>299875.4238615341</v>
          </cell>
          <cell r="AC27">
            <v>-707145.26186586346</v>
          </cell>
          <cell r="AD27">
            <v>76624.904825684265</v>
          </cell>
          <cell r="AE27">
            <v>-330644.93317864509</v>
          </cell>
          <cell r="AF27">
            <v>46327.719000000005</v>
          </cell>
          <cell r="AG27">
            <v>0</v>
          </cell>
          <cell r="AH27">
            <v>96301.662000000011</v>
          </cell>
          <cell r="AI27">
            <v>351864.24933333334</v>
          </cell>
          <cell r="AJ27">
            <v>11370.54</v>
          </cell>
          <cell r="AK27">
            <v>0</v>
          </cell>
          <cell r="AL27">
            <v>505864.17033333337</v>
          </cell>
          <cell r="AM27">
            <v>-19137.34</v>
          </cell>
          <cell r="AN27">
            <v>-3891.7950000000001</v>
          </cell>
          <cell r="AO27">
            <v>-37500.968000000001</v>
          </cell>
          <cell r="AP27">
            <v>-957.5</v>
          </cell>
          <cell r="AQ27">
            <v>-1956.0250000000001</v>
          </cell>
          <cell r="AR27">
            <v>-107928.73800000001</v>
          </cell>
          <cell r="AS27">
            <v>-177688.32000000001</v>
          </cell>
          <cell r="AT27">
            <v>360000</v>
          </cell>
          <cell r="AU27">
            <v>-66524.643999999986</v>
          </cell>
          <cell r="AV27">
            <v>-55585.329999999973</v>
          </cell>
        </row>
        <row r="28">
          <cell r="E28" t="e">
            <v>#REF!</v>
          </cell>
          <cell r="F28">
            <v>2.0954757928848267E-9</v>
          </cell>
          <cell r="G28">
            <v>4.6566128730773926E-10</v>
          </cell>
          <cell r="H28">
            <v>8.7311491370201111E-10</v>
          </cell>
          <cell r="I28">
            <v>0</v>
          </cell>
          <cell r="J28">
            <v>2.6193447411060333E-10</v>
          </cell>
          <cell r="K28">
            <v>0</v>
          </cell>
          <cell r="L28">
            <v>-4.9476511776447296E-10</v>
          </cell>
          <cell r="M28">
            <v>-1.862645149230957E-9</v>
          </cell>
          <cell r="N28">
            <v>-7.2031980380415916E-10</v>
          </cell>
          <cell r="O28">
            <v>-6.8394001573324203E-10</v>
          </cell>
          <cell r="P28">
            <v>0</v>
          </cell>
          <cell r="Q28">
            <v>-9.8953023552894592E-10</v>
          </cell>
          <cell r="R28">
            <v>5.2386894822120667E-10</v>
          </cell>
          <cell r="S28">
            <v>1.4551915228366852E-10</v>
          </cell>
          <cell r="T28">
            <v>-5.2386894822120667E-10</v>
          </cell>
          <cell r="U28">
            <v>1.8917489796876907E-10</v>
          </cell>
          <cell r="V28">
            <v>3.2014213502407074E-10</v>
          </cell>
          <cell r="W28">
            <v>0</v>
          </cell>
          <cell r="X28">
            <v>0</v>
          </cell>
          <cell r="Y28">
            <v>0</v>
          </cell>
          <cell r="Z28">
            <v>-1.3445969671010971E-8</v>
          </cell>
          <cell r="AA28">
            <v>0</v>
          </cell>
          <cell r="AB28">
            <v>5.2386894822120667E-10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1554468.8827039627</v>
          </cell>
          <cell r="F30">
            <v>173000</v>
          </cell>
          <cell r="G30">
            <v>152000</v>
          </cell>
          <cell r="H30">
            <v>69000</v>
          </cell>
          <cell r="I30">
            <v>59000</v>
          </cell>
          <cell r="J30">
            <v>94000</v>
          </cell>
          <cell r="K30">
            <v>95000</v>
          </cell>
          <cell r="L30">
            <v>43000</v>
          </cell>
          <cell r="M30">
            <v>102000</v>
          </cell>
          <cell r="N30">
            <v>41000</v>
          </cell>
          <cell r="O30">
            <v>55999.999999999993</v>
          </cell>
          <cell r="P30">
            <v>38000</v>
          </cell>
          <cell r="Q30">
            <v>48000</v>
          </cell>
          <cell r="R30">
            <v>87000</v>
          </cell>
          <cell r="S30">
            <v>44000</v>
          </cell>
          <cell r="T30">
            <v>19500</v>
          </cell>
          <cell r="U30">
            <v>17999.8</v>
          </cell>
          <cell r="V30">
            <v>28000</v>
          </cell>
          <cell r="W30">
            <v>0</v>
          </cell>
          <cell r="X30">
            <v>0</v>
          </cell>
          <cell r="Y30">
            <v>0</v>
          </cell>
          <cell r="Z30">
            <v>1166499.8</v>
          </cell>
          <cell r="AA30">
            <v>41000</v>
          </cell>
          <cell r="AB30">
            <v>222452.61333333334</v>
          </cell>
          <cell r="AC30">
            <v>18221.239999999998</v>
          </cell>
          <cell r="AD30">
            <v>106295.22937062939</v>
          </cell>
          <cell r="AE30">
            <v>346969.08270396269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165220583.71969563</v>
          </cell>
          <cell r="F31">
            <v>16989066.637000002</v>
          </cell>
          <cell r="G31">
            <v>15304570.044160957</v>
          </cell>
          <cell r="H31">
            <v>6717736.6148000006</v>
          </cell>
          <cell r="I31">
            <v>5797285.2074999996</v>
          </cell>
          <cell r="J31">
            <v>10201973.9112</v>
          </cell>
          <cell r="K31">
            <v>9748067.5074799992</v>
          </cell>
          <cell r="L31">
            <v>4283019.6611599997</v>
          </cell>
          <cell r="M31">
            <v>10591017.138010001</v>
          </cell>
          <cell r="N31">
            <v>4080129.5829999996</v>
          </cell>
          <cell r="O31">
            <v>5473214.26463563</v>
          </cell>
          <cell r="P31">
            <v>3453348.8714769995</v>
          </cell>
          <cell r="Q31">
            <v>4997749.6489999993</v>
          </cell>
          <cell r="R31">
            <v>8553730.2400000002</v>
          </cell>
          <cell r="S31">
            <v>4493422.05</v>
          </cell>
          <cell r="T31">
            <v>2190406.6699999995</v>
          </cell>
          <cell r="U31">
            <v>2025607.6273280005</v>
          </cell>
          <cell r="V31">
            <v>3410706.4400000004</v>
          </cell>
          <cell r="W31">
            <v>0</v>
          </cell>
          <cell r="X31">
            <v>0</v>
          </cell>
          <cell r="Y31">
            <v>0</v>
          </cell>
          <cell r="Z31">
            <v>118311052.11675155</v>
          </cell>
          <cell r="AA31">
            <v>40039457.436999999</v>
          </cell>
          <cell r="AB31">
            <v>2883451.916666667</v>
          </cell>
          <cell r="AC31">
            <v>367708.36</v>
          </cell>
          <cell r="AD31">
            <v>3014280.5559440558</v>
          </cell>
          <cell r="AE31">
            <v>6265440.8326107226</v>
          </cell>
          <cell r="AF31">
            <v>62500</v>
          </cell>
          <cell r="AG31">
            <v>0</v>
          </cell>
          <cell r="AH31">
            <v>137500</v>
          </cell>
          <cell r="AI31">
            <v>376983.33333333337</v>
          </cell>
          <cell r="AJ31">
            <v>18800</v>
          </cell>
          <cell r="AK31">
            <v>0</v>
          </cell>
          <cell r="AL31">
            <v>595783.33333333337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8850</v>
          </cell>
          <cell r="AV31">
            <v>8850</v>
          </cell>
        </row>
        <row r="32">
          <cell r="D32" t="str">
            <v>매출원가</v>
          </cell>
          <cell r="E32">
            <v>152347078.03243411</v>
          </cell>
          <cell r="F32">
            <v>15019573.481769225</v>
          </cell>
          <cell r="G32">
            <v>14203900.21439915</v>
          </cell>
          <cell r="H32">
            <v>6456210.4773814036</v>
          </cell>
          <cell r="I32">
            <v>5455425.5496998504</v>
          </cell>
          <cell r="J32">
            <v>9041129.9412629381</v>
          </cell>
          <cell r="K32">
            <v>8237534.8931390354</v>
          </cell>
          <cell r="L32">
            <v>3959318.5386741227</v>
          </cell>
          <cell r="M32">
            <v>9305865.8729514144</v>
          </cell>
          <cell r="N32">
            <v>3715845.7593320259</v>
          </cell>
          <cell r="O32">
            <v>5093139.1361515345</v>
          </cell>
          <cell r="P32">
            <v>3326576.731252919</v>
          </cell>
          <cell r="Q32">
            <v>4696328.134738368</v>
          </cell>
          <cell r="R32">
            <v>7890694.6021160446</v>
          </cell>
          <cell r="S32">
            <v>4041679.723031566</v>
          </cell>
          <cell r="T32">
            <v>1820149.1473349018</v>
          </cell>
          <cell r="U32">
            <v>1711122.7205793099</v>
          </cell>
          <cell r="V32">
            <v>3081654.8426703606</v>
          </cell>
          <cell r="W32">
            <v>0</v>
          </cell>
          <cell r="X32">
            <v>0</v>
          </cell>
          <cell r="Y32">
            <v>0</v>
          </cell>
          <cell r="Z32">
            <v>107056149.76648414</v>
          </cell>
          <cell r="AA32">
            <v>39111902.610999994</v>
          </cell>
          <cell r="AB32">
            <v>2466283.0031388886</v>
          </cell>
          <cell r="AC32">
            <v>1061762.7691666665</v>
          </cell>
          <cell r="AD32">
            <v>2815882.7296444178</v>
          </cell>
          <cell r="AE32">
            <v>6343928.5019499734</v>
          </cell>
          <cell r="AF32">
            <v>16172.280999999999</v>
          </cell>
          <cell r="AG32">
            <v>0</v>
          </cell>
          <cell r="AH32">
            <v>41198.337999999996</v>
          </cell>
          <cell r="AI32">
            <v>25119.083999999999</v>
          </cell>
          <cell r="AJ32">
            <v>7429.46</v>
          </cell>
          <cell r="AK32">
            <v>0</v>
          </cell>
          <cell r="AL32">
            <v>89919.163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105177.99</v>
          </cell>
          <cell r="AT32">
            <v>-360000</v>
          </cell>
          <cell r="AU32">
            <v>0</v>
          </cell>
          <cell r="AV32">
            <v>-254822.01</v>
          </cell>
        </row>
        <row r="33">
          <cell r="D33" t="str">
            <v>매출이익</v>
          </cell>
          <cell r="E33">
            <v>12873505.687261498</v>
          </cell>
          <cell r="F33">
            <v>1969493.1552307773</v>
          </cell>
          <cell r="G33">
            <v>1100669.8297618069</v>
          </cell>
          <cell r="H33">
            <v>261526.13741859701</v>
          </cell>
          <cell r="I33">
            <v>341859.65780014917</v>
          </cell>
          <cell r="J33">
            <v>1160843.9699370619</v>
          </cell>
          <cell r="K33">
            <v>1510532.6143409638</v>
          </cell>
          <cell r="L33">
            <v>323701.12248587701</v>
          </cell>
          <cell r="M33">
            <v>1285151.2650585864</v>
          </cell>
          <cell r="N33">
            <v>364283.82366797375</v>
          </cell>
          <cell r="O33">
            <v>380075.12848409545</v>
          </cell>
          <cell r="P33">
            <v>126772.14022408053</v>
          </cell>
          <cell r="Q33">
            <v>301421.5142616313</v>
          </cell>
          <cell r="R33">
            <v>663035.63788395561</v>
          </cell>
          <cell r="S33">
            <v>451742.3269684338</v>
          </cell>
          <cell r="T33">
            <v>370257.52266509761</v>
          </cell>
          <cell r="U33">
            <v>314484.90674869064</v>
          </cell>
          <cell r="V33">
            <v>329051.59732963983</v>
          </cell>
          <cell r="W33">
            <v>0</v>
          </cell>
          <cell r="X33">
            <v>0</v>
          </cell>
          <cell r="Y33">
            <v>0</v>
          </cell>
          <cell r="Z33">
            <v>11254902.35026741</v>
          </cell>
          <cell r="AA33">
            <v>927554.82600000501</v>
          </cell>
          <cell r="AB33">
            <v>417168.91352777835</v>
          </cell>
          <cell r="AC33">
            <v>-694054.40916666656</v>
          </cell>
          <cell r="AD33">
            <v>198397.82629963802</v>
          </cell>
          <cell r="AE33">
            <v>-78487.669339250773</v>
          </cell>
          <cell r="AF33">
            <v>46327.718999999997</v>
          </cell>
          <cell r="AG33">
            <v>0</v>
          </cell>
          <cell r="AH33">
            <v>96301.662000000011</v>
          </cell>
          <cell r="AI33">
            <v>351864.2493333334</v>
          </cell>
          <cell r="AJ33">
            <v>11370.54</v>
          </cell>
          <cell r="AK33">
            <v>0</v>
          </cell>
          <cell r="AL33">
            <v>505864.17033333337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-105177.99</v>
          </cell>
          <cell r="AT33">
            <v>360000</v>
          </cell>
          <cell r="AU33">
            <v>8850</v>
          </cell>
          <cell r="AV33">
            <v>263672.01</v>
          </cell>
        </row>
        <row r="34">
          <cell r="D34" t="str">
            <v>판관비</v>
          </cell>
          <cell r="E34">
            <v>12327116.054928536</v>
          </cell>
          <cell r="F34">
            <v>1394915.7310515137</v>
          </cell>
          <cell r="G34">
            <v>1270210.5826561914</v>
          </cell>
          <cell r="H34">
            <v>671686.68799063133</v>
          </cell>
          <cell r="I34">
            <v>549728.96580173448</v>
          </cell>
          <cell r="J34">
            <v>976840.69426623103</v>
          </cell>
          <cell r="K34">
            <v>919739.10064617428</v>
          </cell>
          <cell r="L34">
            <v>439304.35411899234</v>
          </cell>
          <cell r="M34">
            <v>952600.56010434579</v>
          </cell>
          <cell r="N34">
            <v>403505.4890332222</v>
          </cell>
          <cell r="O34">
            <v>491751.48513789923</v>
          </cell>
          <cell r="P34">
            <v>385780.78804097965</v>
          </cell>
          <cell r="Q34">
            <v>464587.04168534477</v>
          </cell>
          <cell r="R34">
            <v>756812.47451844334</v>
          </cell>
          <cell r="S34">
            <v>429691.3567659359</v>
          </cell>
          <cell r="T34">
            <v>194055.15724492903</v>
          </cell>
          <cell r="U34">
            <v>186901.40698768597</v>
          </cell>
          <cell r="V34">
            <v>300238.07639597578</v>
          </cell>
          <cell r="W34">
            <v>0</v>
          </cell>
          <cell r="X34">
            <v>0</v>
          </cell>
          <cell r="Y34">
            <v>0</v>
          </cell>
          <cell r="Z34">
            <v>10788349.952446232</v>
          </cell>
          <cell r="AA34">
            <v>967351.4986429105</v>
          </cell>
          <cell r="AB34">
            <v>117293.48966624386</v>
          </cell>
          <cell r="AC34">
            <v>13090.85269919669</v>
          </cell>
          <cell r="AD34">
            <v>121772.92147395389</v>
          </cell>
          <cell r="AE34">
            <v>252157.26383939444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19137.340000000004</v>
          </cell>
          <cell r="AN34">
            <v>3891.7950000000001</v>
          </cell>
          <cell r="AO34">
            <v>37500.967999999993</v>
          </cell>
          <cell r="AP34">
            <v>957.5</v>
          </cell>
          <cell r="AQ34">
            <v>1956.0250000000001</v>
          </cell>
          <cell r="AR34">
            <v>107928.73800000001</v>
          </cell>
          <cell r="AS34">
            <v>72510.329999999987</v>
          </cell>
          <cell r="AT34">
            <v>0</v>
          </cell>
          <cell r="AU34">
            <v>75374.643999999986</v>
          </cell>
          <cell r="AV34">
            <v>319257.33999999997</v>
          </cell>
        </row>
        <row r="35">
          <cell r="D35" t="str">
            <v>영업이익</v>
          </cell>
          <cell r="E35">
            <v>546389.63233296142</v>
          </cell>
          <cell r="F35">
            <v>574577.42417926365</v>
          </cell>
          <cell r="G35">
            <v>-169540.75289438455</v>
          </cell>
          <cell r="H35">
            <v>-410160.55057203432</v>
          </cell>
          <cell r="I35">
            <v>-207869.3080015853</v>
          </cell>
          <cell r="J35">
            <v>184003.27567083086</v>
          </cell>
          <cell r="K35">
            <v>590793.51369478949</v>
          </cell>
          <cell r="L35">
            <v>-115603.23163311533</v>
          </cell>
          <cell r="M35">
            <v>332550.70495424059</v>
          </cell>
          <cell r="N35">
            <v>-39221.665365248453</v>
          </cell>
          <cell r="O35">
            <v>-111676.35665380378</v>
          </cell>
          <cell r="P35">
            <v>-259008.64781689912</v>
          </cell>
          <cell r="Q35">
            <v>-163165.52742371347</v>
          </cell>
          <cell r="R35">
            <v>-93776.836634487729</v>
          </cell>
          <cell r="S35">
            <v>22050.970202497905</v>
          </cell>
          <cell r="T35">
            <v>176202.36542016859</v>
          </cell>
          <cell r="U35">
            <v>127583.49976100467</v>
          </cell>
          <cell r="V35">
            <v>28813.520933664055</v>
          </cell>
          <cell r="W35">
            <v>0</v>
          </cell>
          <cell r="X35">
            <v>0</v>
          </cell>
          <cell r="Y35">
            <v>0</v>
          </cell>
          <cell r="Z35">
            <v>466552.39782117866</v>
          </cell>
          <cell r="AA35">
            <v>-39796.672642905498</v>
          </cell>
          <cell r="AB35">
            <v>299875.42386153451</v>
          </cell>
          <cell r="AC35">
            <v>-707145.26186586323</v>
          </cell>
          <cell r="AD35">
            <v>76624.904825684134</v>
          </cell>
          <cell r="AE35">
            <v>-330644.93317864521</v>
          </cell>
          <cell r="AF35">
            <v>46327.718999999997</v>
          </cell>
          <cell r="AG35">
            <v>0</v>
          </cell>
          <cell r="AH35">
            <v>96301.662000000011</v>
          </cell>
          <cell r="AI35">
            <v>351864.2493333334</v>
          </cell>
          <cell r="AJ35">
            <v>11370.54</v>
          </cell>
          <cell r="AK35">
            <v>0</v>
          </cell>
          <cell r="AL35">
            <v>505864.17033333337</v>
          </cell>
          <cell r="AM35">
            <v>-19137.340000000004</v>
          </cell>
          <cell r="AN35">
            <v>-3891.7950000000001</v>
          </cell>
          <cell r="AO35">
            <v>-37500.967999999993</v>
          </cell>
          <cell r="AP35">
            <v>-957.5</v>
          </cell>
          <cell r="AQ35">
            <v>-1956.0250000000001</v>
          </cell>
          <cell r="AR35">
            <v>-107928.73800000001</v>
          </cell>
          <cell r="AS35">
            <v>-177688.32000000001</v>
          </cell>
          <cell r="AT35">
            <v>360000</v>
          </cell>
          <cell r="AU35">
            <v>-66524.643999999986</v>
          </cell>
          <cell r="AV35">
            <v>-55585.329999999958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3월"/>
      <sheetName val="4월"/>
      <sheetName val="5월"/>
      <sheetName val="2월누계"/>
      <sheetName val="3월누계"/>
      <sheetName val="4월누계"/>
      <sheetName val="5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34368</v>
          </cell>
          <cell r="H7">
            <v>29096</v>
          </cell>
          <cell r="I7">
            <v>13394.5</v>
          </cell>
          <cell r="J7">
            <v>15321.5</v>
          </cell>
          <cell r="K7">
            <v>13162</v>
          </cell>
          <cell r="L7">
            <v>19707</v>
          </cell>
          <cell r="M7">
            <v>5473</v>
          </cell>
          <cell r="N7">
            <v>14883</v>
          </cell>
          <cell r="O7">
            <v>3836</v>
          </cell>
          <cell r="P7">
            <v>11287</v>
          </cell>
          <cell r="Q7">
            <v>4797</v>
          </cell>
          <cell r="R7">
            <v>10223</v>
          </cell>
          <cell r="S7">
            <v>18291</v>
          </cell>
          <cell r="T7">
            <v>4766</v>
          </cell>
          <cell r="U7">
            <v>4027.5</v>
          </cell>
          <cell r="V7">
            <v>10494</v>
          </cell>
          <cell r="W7">
            <v>5063</v>
          </cell>
          <cell r="Z7">
            <v>218189.5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218189.5</v>
          </cell>
          <cell r="AJ7">
            <v>16210</v>
          </cell>
          <cell r="AK7">
            <v>36368</v>
          </cell>
          <cell r="AL7">
            <v>14790</v>
          </cell>
          <cell r="AN7">
            <v>67368</v>
          </cell>
          <cell r="AO7">
            <v>3740.2310000000002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28166791.493999995</v>
          </cell>
          <cell r="G8">
            <v>3513537.8019999997</v>
          </cell>
          <cell r="H8">
            <v>2903434.3850000002</v>
          </cell>
          <cell r="I8">
            <v>1373405.4</v>
          </cell>
          <cell r="J8">
            <v>1486897.139</v>
          </cell>
          <cell r="K8">
            <v>1522601.098</v>
          </cell>
          <cell r="L8">
            <v>2043464.78</v>
          </cell>
          <cell r="M8">
            <v>531678.19999999995</v>
          </cell>
          <cell r="N8">
            <v>1555625.28</v>
          </cell>
          <cell r="O8">
            <v>383574</v>
          </cell>
          <cell r="P8">
            <v>1096443.6000000001</v>
          </cell>
          <cell r="Q8">
            <v>373878</v>
          </cell>
          <cell r="R8">
            <v>1065090.8</v>
          </cell>
          <cell r="S8">
            <v>1884838.8370000001</v>
          </cell>
          <cell r="T8">
            <v>546639</v>
          </cell>
          <cell r="U8">
            <v>428740.65399999998</v>
          </cell>
          <cell r="V8">
            <v>1014531.996</v>
          </cell>
          <cell r="W8">
            <v>658028.05000000005</v>
          </cell>
          <cell r="Z8">
            <v>22382409.020999998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22425749.020999998</v>
          </cell>
          <cell r="AJ8">
            <v>456151</v>
          </cell>
          <cell r="AK8">
            <v>478528</v>
          </cell>
          <cell r="AL8">
            <v>279172.2</v>
          </cell>
          <cell r="AN8">
            <v>1213851.2</v>
          </cell>
          <cell r="AO8">
            <v>4514247.9029999999</v>
          </cell>
          <cell r="AP8">
            <v>0</v>
          </cell>
          <cell r="AS8">
            <v>4514247.9029999999</v>
          </cell>
          <cell r="AT8">
            <v>4700</v>
          </cell>
          <cell r="AU8">
            <v>5959</v>
          </cell>
          <cell r="AV8">
            <v>681.47</v>
          </cell>
          <cell r="BA8">
            <v>11340.47</v>
          </cell>
          <cell r="BB8">
            <v>0</v>
          </cell>
          <cell r="BC8">
            <v>1602.9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1602.9</v>
          </cell>
        </row>
        <row r="9">
          <cell r="G9">
            <v>102232.82710661078</v>
          </cell>
          <cell r="H9">
            <v>99788.094067913116</v>
          </cell>
          <cell r="I9">
            <v>102535.02557019671</v>
          </cell>
          <cell r="J9">
            <v>97046.447084162777</v>
          </cell>
          <cell r="K9">
            <v>115681.59079167301</v>
          </cell>
          <cell r="L9">
            <v>103692.33165880144</v>
          </cell>
          <cell r="M9">
            <v>97145.660515256706</v>
          </cell>
          <cell r="N9">
            <v>104523.63636363637</v>
          </cell>
          <cell r="O9">
            <v>99993.222106360787</v>
          </cell>
          <cell r="P9">
            <v>97142.163550987869</v>
          </cell>
          <cell r="Q9">
            <v>77939.962476547851</v>
          </cell>
          <cell r="R9">
            <v>104185.73804167075</v>
          </cell>
          <cell r="S9">
            <v>103047.33677765021</v>
          </cell>
          <cell r="T9">
            <v>114695.55182543013</v>
          </cell>
          <cell r="U9">
            <v>106453.29708255742</v>
          </cell>
          <cell r="V9">
            <v>96677.339050886221</v>
          </cell>
          <cell r="W9">
            <v>129968.01303574958</v>
          </cell>
          <cell r="Z9">
            <v>102582.42958987485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102781.06426294573</v>
          </cell>
          <cell r="AJ9">
            <v>28140.098704503394</v>
          </cell>
          <cell r="AK9">
            <v>13157.941047074351</v>
          </cell>
          <cell r="AL9">
            <v>18875.74036511156</v>
          </cell>
          <cell r="AO9">
            <v>1206943.609365304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25499500.074340001</v>
          </cell>
          <cell r="G10">
            <v>2971383.17509</v>
          </cell>
          <cell r="H10">
            <v>2748024.0912299999</v>
          </cell>
          <cell r="I10">
            <v>1257225.05085</v>
          </cell>
          <cell r="J10">
            <v>1366062.8504699999</v>
          </cell>
          <cell r="K10">
            <v>1280779.1313699998</v>
          </cell>
          <cell r="L10">
            <v>1694456.8766300001</v>
          </cell>
          <cell r="M10">
            <v>505621.06612999999</v>
          </cell>
          <cell r="N10">
            <v>1377716.7398900001</v>
          </cell>
          <cell r="O10">
            <v>382812.79325999995</v>
          </cell>
          <cell r="P10">
            <v>956442.22679999995</v>
          </cell>
          <cell r="Q10">
            <v>400773.23491</v>
          </cell>
          <cell r="R10">
            <v>985498.31521000003</v>
          </cell>
          <cell r="S10">
            <v>1673137.9287699999</v>
          </cell>
          <cell r="T10">
            <v>397461.15062000003</v>
          </cell>
          <cell r="U10">
            <v>360471.52348999999</v>
          </cell>
          <cell r="V10">
            <v>942066.62649000005</v>
          </cell>
          <cell r="W10">
            <v>567831.29726000002</v>
          </cell>
          <cell r="Z10">
            <v>19867764.078469999</v>
          </cell>
          <cell r="AA10">
            <v>0</v>
          </cell>
          <cell r="AB10">
            <v>0</v>
          </cell>
          <cell r="AC10">
            <v>119.852</v>
          </cell>
          <cell r="AD10">
            <v>2051.741</v>
          </cell>
          <cell r="AH10">
            <v>2171.5929999999998</v>
          </cell>
          <cell r="AI10">
            <v>19869935.671469998</v>
          </cell>
          <cell r="AJ10">
            <v>392250.66041000001</v>
          </cell>
          <cell r="AK10">
            <v>368828.48895000003</v>
          </cell>
          <cell r="AL10">
            <v>345122.49450999999</v>
          </cell>
          <cell r="AN10">
            <v>1106201.64387</v>
          </cell>
          <cell r="AO10">
            <v>4522950.284</v>
          </cell>
          <cell r="AP10">
            <v>0</v>
          </cell>
          <cell r="AS10">
            <v>4522950.284</v>
          </cell>
          <cell r="AT10">
            <v>173.26300000000001</v>
          </cell>
          <cell r="AU10">
            <v>239.21199999999999</v>
          </cell>
          <cell r="AV10">
            <v>0</v>
          </cell>
          <cell r="BA10">
            <v>412.47500000000002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0</v>
          </cell>
        </row>
        <row r="11">
          <cell r="G11">
            <v>86457.84378171555</v>
          </cell>
          <cell r="H11">
            <v>94446.799946040686</v>
          </cell>
          <cell r="I11">
            <v>93861.290145208855</v>
          </cell>
          <cell r="J11">
            <v>89159.863621055381</v>
          </cell>
          <cell r="K11">
            <v>97308.853621789996</v>
          </cell>
          <cell r="L11">
            <v>85982.487270005586</v>
          </cell>
          <cell r="M11">
            <v>92384.627467568062</v>
          </cell>
          <cell r="N11">
            <v>92569.827312369831</v>
          </cell>
          <cell r="O11">
            <v>99794.784478623551</v>
          </cell>
          <cell r="P11">
            <v>84738.391671834848</v>
          </cell>
          <cell r="Q11">
            <v>83546.640589952047</v>
          </cell>
          <cell r="R11">
            <v>96400.109088330239</v>
          </cell>
          <cell r="S11">
            <v>91473.288982013008</v>
          </cell>
          <cell r="T11">
            <v>83395.121825430135</v>
          </cell>
          <cell r="U11">
            <v>89502.550835505899</v>
          </cell>
          <cell r="V11">
            <v>89771.929339622642</v>
          </cell>
          <cell r="W11">
            <v>112153.13001382581</v>
          </cell>
          <cell r="Z11">
            <v>91057.379381088453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91067.332165250831</v>
          </cell>
          <cell r="AJ11">
            <v>24198.066650832821</v>
          </cell>
          <cell r="AK11">
            <v>10141.566458150022</v>
          </cell>
          <cell r="AL11">
            <v>23334.854260311018</v>
          </cell>
          <cell r="AO11">
            <v>1209270.3054971737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2667291.4196599945</v>
          </cell>
          <cell r="G12">
            <v>542154.62690999964</v>
          </cell>
          <cell r="H12">
            <v>155410.29377000034</v>
          </cell>
          <cell r="I12">
            <v>116180.34914999991</v>
          </cell>
          <cell r="J12">
            <v>120834.28853000002</v>
          </cell>
          <cell r="K12">
            <v>241821.96663000016</v>
          </cell>
          <cell r="L12">
            <v>349007.90336999996</v>
          </cell>
          <cell r="M12">
            <v>26057.133869999961</v>
          </cell>
          <cell r="N12">
            <v>177908.54010999994</v>
          </cell>
          <cell r="O12">
            <v>761.20674000005238</v>
          </cell>
          <cell r="P12">
            <v>140001.37320000015</v>
          </cell>
          <cell r="Q12">
            <v>-26895.234909999999</v>
          </cell>
          <cell r="R12">
            <v>79592.484790000017</v>
          </cell>
          <cell r="S12">
            <v>211700.90823000018</v>
          </cell>
          <cell r="T12">
            <v>149177.84937999997</v>
          </cell>
          <cell r="U12">
            <v>68269.130509999988</v>
          </cell>
          <cell r="V12">
            <v>72465.36950999999</v>
          </cell>
          <cell r="W12">
            <v>90196.752740000025</v>
          </cell>
          <cell r="Z12">
            <v>2514644.9425300006</v>
          </cell>
          <cell r="AA12">
            <v>0</v>
          </cell>
          <cell r="AB12">
            <v>0</v>
          </cell>
          <cell r="AC12">
            <v>12380.147999999999</v>
          </cell>
          <cell r="AD12">
            <v>28788.258999999998</v>
          </cell>
          <cell r="AH12">
            <v>41168.406999999999</v>
          </cell>
          <cell r="AI12">
            <v>2555813.3495300002</v>
          </cell>
          <cell r="AJ12">
            <v>63900.339589999989</v>
          </cell>
          <cell r="AK12">
            <v>109699.51104999997</v>
          </cell>
          <cell r="AL12">
            <v>-65950.294509999978</v>
          </cell>
          <cell r="AN12">
            <v>107649.55612999992</v>
          </cell>
          <cell r="AO12">
            <v>-8702.3810000000522</v>
          </cell>
          <cell r="AP12">
            <v>0</v>
          </cell>
          <cell r="AS12">
            <v>-8702.3810000000522</v>
          </cell>
          <cell r="AT12">
            <v>4526.7370000000001</v>
          </cell>
          <cell r="AU12">
            <v>5719.7880000000005</v>
          </cell>
          <cell r="AV12">
            <v>681.47</v>
          </cell>
          <cell r="BA12">
            <v>10927.995000000001</v>
          </cell>
          <cell r="BB12">
            <v>0</v>
          </cell>
          <cell r="BC12">
            <v>1602.9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1602.9</v>
          </cell>
        </row>
        <row r="13">
          <cell r="F13">
            <v>847763.48999999987</v>
          </cell>
          <cell r="G13">
            <v>71284.912000000011</v>
          </cell>
          <cell r="H13">
            <v>65953.895999999993</v>
          </cell>
          <cell r="I13">
            <v>47145.716</v>
          </cell>
          <cell r="J13">
            <v>38203.517999999996</v>
          </cell>
          <cell r="K13">
            <v>56489.576000000001</v>
          </cell>
          <cell r="L13">
            <v>61708.352000000006</v>
          </cell>
          <cell r="M13">
            <v>32405.33</v>
          </cell>
          <cell r="N13">
            <v>51519.719999999994</v>
          </cell>
          <cell r="O13">
            <v>27218.79</v>
          </cell>
          <cell r="P13">
            <v>39142.976999999999</v>
          </cell>
          <cell r="Q13">
            <v>29297.1</v>
          </cell>
          <cell r="R13">
            <v>31066.899999999998</v>
          </cell>
          <cell r="S13">
            <v>52875.722000000002</v>
          </cell>
          <cell r="T13">
            <v>9690.7589999999982</v>
          </cell>
          <cell r="U13">
            <v>12766.316999999999</v>
          </cell>
          <cell r="V13">
            <v>29239.425999999999</v>
          </cell>
          <cell r="W13">
            <v>17730.377999999997</v>
          </cell>
          <cell r="Z13">
            <v>673739.38899999997</v>
          </cell>
          <cell r="AA13">
            <v>7550.0199999999995</v>
          </cell>
          <cell r="AB13">
            <v>178.494</v>
          </cell>
          <cell r="AC13">
            <v>0</v>
          </cell>
          <cell r="AD13">
            <v>0</v>
          </cell>
          <cell r="AH13">
            <v>7728.5139999999992</v>
          </cell>
          <cell r="AI13">
            <v>681467.90299999993</v>
          </cell>
          <cell r="AJ13">
            <v>0</v>
          </cell>
          <cell r="AK13">
            <v>67</v>
          </cell>
          <cell r="AL13">
            <v>0</v>
          </cell>
          <cell r="AN13">
            <v>67</v>
          </cell>
          <cell r="AO13">
            <v>155510.60500000001</v>
          </cell>
          <cell r="AP13">
            <v>0</v>
          </cell>
          <cell r="AS13">
            <v>155510.60500000001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10717.982</v>
          </cell>
          <cell r="BG13">
            <v>0</v>
          </cell>
          <cell r="BH13">
            <v>0</v>
          </cell>
          <cell r="BJ13">
            <v>10717.982</v>
          </cell>
        </row>
        <row r="14">
          <cell r="F14">
            <v>559685.85299999989</v>
          </cell>
          <cell r="G14">
            <v>50096.848000000005</v>
          </cell>
          <cell r="H14">
            <v>46131.911</v>
          </cell>
          <cell r="I14">
            <v>31463.184000000001</v>
          </cell>
          <cell r="J14">
            <v>29202.013999999999</v>
          </cell>
          <cell r="K14">
            <v>34874.911</v>
          </cell>
          <cell r="L14">
            <v>38343.575000000004</v>
          </cell>
          <cell r="M14">
            <v>22639.499</v>
          </cell>
          <cell r="N14">
            <v>36291.111999999994</v>
          </cell>
          <cell r="O14">
            <v>21406.374</v>
          </cell>
          <cell r="P14">
            <v>27963.485000000001</v>
          </cell>
          <cell r="Q14">
            <v>21346.156999999999</v>
          </cell>
          <cell r="R14">
            <v>21242.431999999997</v>
          </cell>
          <cell r="S14">
            <v>36366.088000000003</v>
          </cell>
          <cell r="T14">
            <v>7680.5669999999991</v>
          </cell>
          <cell r="U14">
            <v>8727.49</v>
          </cell>
          <cell r="V14">
            <v>22723.550999999999</v>
          </cell>
          <cell r="W14">
            <v>11239.298999999999</v>
          </cell>
          <cell r="Z14">
            <v>467738.49699999992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467738.49699999992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91947.356</v>
          </cell>
          <cell r="AP14">
            <v>0</v>
          </cell>
          <cell r="AS14">
            <v>91947.356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288077.63699999999</v>
          </cell>
          <cell r="G15">
            <v>21188.063999999998</v>
          </cell>
          <cell r="H15">
            <v>19821.984999999997</v>
          </cell>
          <cell r="I15">
            <v>15682.532000000001</v>
          </cell>
          <cell r="J15">
            <v>9001.5040000000008</v>
          </cell>
          <cell r="K15">
            <v>21614.665000000001</v>
          </cell>
          <cell r="L15">
            <v>23364.777000000002</v>
          </cell>
          <cell r="M15">
            <v>9765.8310000000001</v>
          </cell>
          <cell r="N15">
            <v>15228.607999999998</v>
          </cell>
          <cell r="O15">
            <v>5812.4160000000002</v>
          </cell>
          <cell r="P15">
            <v>11179.492</v>
          </cell>
          <cell r="Q15">
            <v>7950.9430000000011</v>
          </cell>
          <cell r="R15">
            <v>9824.4680000000008</v>
          </cell>
          <cell r="S15">
            <v>16509.633999999998</v>
          </cell>
          <cell r="T15">
            <v>2010.192</v>
          </cell>
          <cell r="U15">
            <v>4038.8270000000002</v>
          </cell>
          <cell r="V15">
            <v>6515.875</v>
          </cell>
          <cell r="W15">
            <v>6491.0789999999997</v>
          </cell>
          <cell r="Z15">
            <v>206000.89199999999</v>
          </cell>
          <cell r="AA15">
            <v>7550.0199999999995</v>
          </cell>
          <cell r="AB15">
            <v>178.494</v>
          </cell>
          <cell r="AC15">
            <v>0</v>
          </cell>
          <cell r="AD15">
            <v>0</v>
          </cell>
          <cell r="AH15">
            <v>7728.5139999999992</v>
          </cell>
          <cell r="AI15">
            <v>213729.40599999999</v>
          </cell>
          <cell r="AJ15">
            <v>0</v>
          </cell>
          <cell r="AK15">
            <v>67</v>
          </cell>
          <cell r="AL15">
            <v>0</v>
          </cell>
          <cell r="AN15">
            <v>67</v>
          </cell>
          <cell r="AO15">
            <v>63563.249000000003</v>
          </cell>
          <cell r="AP15">
            <v>0</v>
          </cell>
          <cell r="AS15">
            <v>63563.249000000003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10717.982</v>
          </cell>
          <cell r="BG15">
            <v>0</v>
          </cell>
          <cell r="BH15">
            <v>0</v>
          </cell>
          <cell r="BJ15">
            <v>10717.982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1819527.9296599948</v>
          </cell>
          <cell r="G17">
            <v>470869.71490999963</v>
          </cell>
          <cell r="H17">
            <v>89456.397770000345</v>
          </cell>
          <cell r="I17">
            <v>69034.633149999907</v>
          </cell>
          <cell r="J17">
            <v>82630.770530000023</v>
          </cell>
          <cell r="K17">
            <v>185332.39063000015</v>
          </cell>
          <cell r="L17">
            <v>287299.55136999994</v>
          </cell>
          <cell r="M17">
            <v>-6348.1961300000403</v>
          </cell>
          <cell r="N17">
            <v>126388.82010999994</v>
          </cell>
          <cell r="O17">
            <v>-26457.583259999948</v>
          </cell>
          <cell r="P17">
            <v>100858.39620000015</v>
          </cell>
          <cell r="Q17">
            <v>-56192.334909999998</v>
          </cell>
          <cell r="R17">
            <v>48525.584790000023</v>
          </cell>
          <cell r="S17">
            <v>158825.18623000017</v>
          </cell>
          <cell r="T17">
            <v>139487.09037999998</v>
          </cell>
          <cell r="U17">
            <v>55502.813509999993</v>
          </cell>
          <cell r="V17">
            <v>43225.94350999999</v>
          </cell>
          <cell r="W17">
            <v>72466.374740000028</v>
          </cell>
          <cell r="Z17">
            <v>1840905.5535300006</v>
          </cell>
          <cell r="AA17">
            <v>-7550.0199999999995</v>
          </cell>
          <cell r="AB17">
            <v>-178.494</v>
          </cell>
          <cell r="AC17">
            <v>12380.147999999999</v>
          </cell>
          <cell r="AD17">
            <v>28788.258999999998</v>
          </cell>
          <cell r="AH17">
            <v>33439.892999999996</v>
          </cell>
          <cell r="AI17">
            <v>1874345.4465300003</v>
          </cell>
          <cell r="AJ17">
            <v>63900.339589999989</v>
          </cell>
          <cell r="AK17">
            <v>109632.51104999997</v>
          </cell>
          <cell r="AL17">
            <v>-65950.294509999978</v>
          </cell>
          <cell r="AN17">
            <v>107582.55612999992</v>
          </cell>
          <cell r="AO17">
            <v>-164212.98600000006</v>
          </cell>
          <cell r="AP17">
            <v>0</v>
          </cell>
          <cell r="AS17">
            <v>-164212.98600000006</v>
          </cell>
          <cell r="AT17">
            <v>4526.7370000000001</v>
          </cell>
          <cell r="AU17">
            <v>5719.7880000000005</v>
          </cell>
          <cell r="AV17">
            <v>681.47</v>
          </cell>
          <cell r="BA17">
            <v>10927.995000000001</v>
          </cell>
          <cell r="BB17">
            <v>0</v>
          </cell>
          <cell r="BC17">
            <v>1602.9</v>
          </cell>
          <cell r="BD17">
            <v>0</v>
          </cell>
          <cell r="BE17">
            <v>0</v>
          </cell>
          <cell r="BF17">
            <v>-10717.982</v>
          </cell>
          <cell r="BG17">
            <v>0</v>
          </cell>
          <cell r="BH17">
            <v>0</v>
          </cell>
          <cell r="BJ17">
            <v>-9115.0820000000003</v>
          </cell>
        </row>
        <row r="18">
          <cell r="F18">
            <v>722630.23065999988</v>
          </cell>
          <cell r="G18">
            <v>31224.482909999999</v>
          </cell>
          <cell r="H18">
            <v>39498.932769999999</v>
          </cell>
          <cell r="I18">
            <v>20712.59115</v>
          </cell>
          <cell r="J18">
            <v>17959.123530000001</v>
          </cell>
          <cell r="K18">
            <v>92577.972630000004</v>
          </cell>
          <cell r="L18">
            <v>67284.713369999998</v>
          </cell>
          <cell r="M18">
            <v>15448.211869999999</v>
          </cell>
          <cell r="N18">
            <v>34103.685109999999</v>
          </cell>
          <cell r="O18">
            <v>13337.70974</v>
          </cell>
          <cell r="P18">
            <v>35649.650200000004</v>
          </cell>
          <cell r="Q18">
            <v>15923.96609</v>
          </cell>
          <cell r="R18">
            <v>19464.15179</v>
          </cell>
          <cell r="S18">
            <v>36408.759230000003</v>
          </cell>
          <cell r="T18">
            <v>6157.2233799999995</v>
          </cell>
          <cell r="U18">
            <v>10566.827510000001</v>
          </cell>
          <cell r="V18">
            <v>21704.56451</v>
          </cell>
          <cell r="W18">
            <v>12590.669740000001</v>
          </cell>
          <cell r="Z18">
            <v>490613.23552999995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8187.03</v>
          </cell>
          <cell r="AH18">
            <v>17137.081999999999</v>
          </cell>
          <cell r="AI18">
            <v>507750.31753</v>
          </cell>
          <cell r="AJ18">
            <v>38895.864590000005</v>
          </cell>
          <cell r="AK18">
            <v>68522.024049999993</v>
          </cell>
          <cell r="AL18">
            <v>56486.215490000002</v>
          </cell>
          <cell r="AN18">
            <v>163904.10412999999</v>
          </cell>
          <cell r="AO18">
            <v>4725.183</v>
          </cell>
          <cell r="AP18">
            <v>0</v>
          </cell>
          <cell r="AS18">
            <v>4725.183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17767.412</v>
          </cell>
          <cell r="BD18">
            <v>0</v>
          </cell>
          <cell r="BE18">
            <v>0</v>
          </cell>
          <cell r="BF18">
            <v>21646.219999999998</v>
          </cell>
          <cell r="BG18">
            <v>0</v>
          </cell>
          <cell r="BH18">
            <v>0</v>
          </cell>
          <cell r="BJ18">
            <v>39413.631999999998</v>
          </cell>
        </row>
        <row r="19">
          <cell r="F19">
            <v>651190.89865999995</v>
          </cell>
          <cell r="G19">
            <v>28929.61391</v>
          </cell>
          <cell r="H19">
            <v>37574.463770000002</v>
          </cell>
          <cell r="I19">
            <v>18868.87515</v>
          </cell>
          <cell r="J19">
            <v>16767.13553</v>
          </cell>
          <cell r="K19">
            <v>90696.531629999998</v>
          </cell>
          <cell r="L19">
            <v>65730.644369999995</v>
          </cell>
          <cell r="M19">
            <v>14625.012869999999</v>
          </cell>
          <cell r="N19">
            <v>32540.380109999998</v>
          </cell>
          <cell r="O19">
            <v>12129.096740000001</v>
          </cell>
          <cell r="P19">
            <v>34441.217200000006</v>
          </cell>
          <cell r="Q19">
            <v>15110.69709</v>
          </cell>
          <cell r="R19">
            <v>18206.360789999999</v>
          </cell>
          <cell r="S19">
            <v>34844.76023</v>
          </cell>
          <cell r="T19">
            <v>5786.8233799999998</v>
          </cell>
          <cell r="U19">
            <v>10123.95851</v>
          </cell>
          <cell r="V19">
            <v>20891.29551</v>
          </cell>
          <cell r="W19">
            <v>11777.400740000001</v>
          </cell>
          <cell r="Z19">
            <v>469044.26753000001</v>
          </cell>
          <cell r="AA19">
            <v>0</v>
          </cell>
          <cell r="AB19">
            <v>0</v>
          </cell>
          <cell r="AC19">
            <v>3218.5030000000002</v>
          </cell>
          <cell r="AD19">
            <v>8187.03</v>
          </cell>
          <cell r="AH19">
            <v>11405.532999999999</v>
          </cell>
          <cell r="AI19">
            <v>480449.80053000001</v>
          </cell>
          <cell r="AJ19">
            <v>38895.864590000005</v>
          </cell>
          <cell r="AK19">
            <v>68522.024049999993</v>
          </cell>
          <cell r="AL19">
            <v>56486.215490000002</v>
          </cell>
          <cell r="AN19">
            <v>163904.10412999999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71439.331999999995</v>
          </cell>
          <cell r="G20">
            <v>2294.8690000000001</v>
          </cell>
          <cell r="H20">
            <v>1924.4690000000001</v>
          </cell>
          <cell r="I20">
            <v>1843.7159999999999</v>
          </cell>
          <cell r="J20">
            <v>1191.9880000000001</v>
          </cell>
          <cell r="K20">
            <v>1881.441</v>
          </cell>
          <cell r="L20">
            <v>1554.069</v>
          </cell>
          <cell r="M20">
            <v>823.19899999999996</v>
          </cell>
          <cell r="N20">
            <v>1563.3050000000001</v>
          </cell>
          <cell r="O20">
            <v>1208.6130000000001</v>
          </cell>
          <cell r="P20">
            <v>1208.433</v>
          </cell>
          <cell r="Q20">
            <v>813.26900000000001</v>
          </cell>
          <cell r="R20">
            <v>1257.7909999999999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21568.968000000001</v>
          </cell>
          <cell r="AA20">
            <v>5731.549</v>
          </cell>
          <cell r="AB20">
            <v>0</v>
          </cell>
          <cell r="AC20">
            <v>0</v>
          </cell>
          <cell r="AD20">
            <v>0</v>
          </cell>
          <cell r="AH20">
            <v>5731.549</v>
          </cell>
          <cell r="AI20">
            <v>27300.517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4725.183</v>
          </cell>
          <cell r="AP20">
            <v>0</v>
          </cell>
          <cell r="AS20">
            <v>4725.183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17767.412</v>
          </cell>
          <cell r="BD20">
            <v>0</v>
          </cell>
          <cell r="BE20">
            <v>0</v>
          </cell>
          <cell r="BF20">
            <v>21646.219999999998</v>
          </cell>
          <cell r="BG20">
            <v>0</v>
          </cell>
          <cell r="BH20">
            <v>0</v>
          </cell>
          <cell r="BJ20">
            <v>39413.631999999998</v>
          </cell>
        </row>
        <row r="21">
          <cell r="F21">
            <v>1096897.6989999949</v>
          </cell>
          <cell r="G21">
            <v>439645.23199999961</v>
          </cell>
          <cell r="H21">
            <v>49957.465000000346</v>
          </cell>
          <cell r="I21">
            <v>48322.041999999907</v>
          </cell>
          <cell r="J21">
            <v>64671.647000000026</v>
          </cell>
          <cell r="K21">
            <v>92754.418000000151</v>
          </cell>
          <cell r="L21">
            <v>220014.83799999993</v>
          </cell>
          <cell r="M21">
            <v>-21796.408000000039</v>
          </cell>
          <cell r="N21">
            <v>92285.134999999951</v>
          </cell>
          <cell r="O21">
            <v>-39795.292999999947</v>
          </cell>
          <cell r="P21">
            <v>65208.746000000145</v>
          </cell>
          <cell r="Q21">
            <v>-72116.300999999992</v>
          </cell>
          <cell r="R21">
            <v>29061.433000000023</v>
          </cell>
          <cell r="S21">
            <v>122416.42700000017</v>
          </cell>
          <cell r="T21">
            <v>133329.86699999997</v>
          </cell>
          <cell r="U21">
            <v>44935.98599999999</v>
          </cell>
          <cell r="V21">
            <v>21521.37899999999</v>
          </cell>
          <cell r="W21">
            <v>59875.705000000031</v>
          </cell>
          <cell r="Z21">
            <v>1350292.3180000007</v>
          </cell>
          <cell r="AA21">
            <v>-13281.569</v>
          </cell>
          <cell r="AB21">
            <v>-178.494</v>
          </cell>
          <cell r="AC21">
            <v>9161.6449999999986</v>
          </cell>
          <cell r="AD21">
            <v>20601.228999999999</v>
          </cell>
          <cell r="AH21">
            <v>16302.810999999998</v>
          </cell>
          <cell r="AI21">
            <v>1366595.1290000002</v>
          </cell>
          <cell r="AJ21">
            <v>25004.474999999984</v>
          </cell>
          <cell r="AK21">
            <v>41110.486999999979</v>
          </cell>
          <cell r="AL21">
            <v>-122436.50999999998</v>
          </cell>
          <cell r="AN21">
            <v>-56321.548000000068</v>
          </cell>
          <cell r="AO21">
            <v>-168938.16900000005</v>
          </cell>
          <cell r="AP21">
            <v>0</v>
          </cell>
          <cell r="AS21">
            <v>-168938.16900000005</v>
          </cell>
          <cell r="AT21">
            <v>3213.8450000000003</v>
          </cell>
          <cell r="AU21">
            <v>195.68599999999969</v>
          </cell>
          <cell r="AV21">
            <v>681.47</v>
          </cell>
          <cell r="BA21">
            <v>4091.0010000000002</v>
          </cell>
          <cell r="BB21">
            <v>0</v>
          </cell>
          <cell r="BC21">
            <v>-16164.512000000001</v>
          </cell>
          <cell r="BD21">
            <v>0</v>
          </cell>
          <cell r="BE21">
            <v>0</v>
          </cell>
          <cell r="BF21">
            <v>-32364.201999999997</v>
          </cell>
          <cell r="BG21">
            <v>0</v>
          </cell>
          <cell r="BH21">
            <v>0</v>
          </cell>
          <cell r="BJ21">
            <v>-48528.714</v>
          </cell>
        </row>
        <row r="22">
          <cell r="F22">
            <v>1401872.9559976333</v>
          </cell>
          <cell r="G22">
            <v>200615.96614764485</v>
          </cell>
          <cell r="H22">
            <v>165780.28389548211</v>
          </cell>
          <cell r="I22">
            <v>78418.695559943953</v>
          </cell>
          <cell r="J22">
            <v>84898.846380094823</v>
          </cell>
          <cell r="K22">
            <v>93379.800715369885</v>
          </cell>
          <cell r="L22">
            <v>125323.91719402082</v>
          </cell>
          <cell r="M22">
            <v>32607.361459230058</v>
          </cell>
          <cell r="N22">
            <v>95405.145067215431</v>
          </cell>
          <cell r="O22">
            <v>23524.259720189228</v>
          </cell>
          <cell r="P22">
            <v>67243.932109421585</v>
          </cell>
          <cell r="Q22">
            <v>22929.612475467333</v>
          </cell>
          <cell r="R22">
            <v>65321.09216157539</v>
          </cell>
          <cell r="S22">
            <v>107620.51972291782</v>
          </cell>
          <cell r="T22">
            <v>31211.991246133304</v>
          </cell>
          <cell r="U22">
            <v>24480.23199864896</v>
          </cell>
          <cell r="V22">
            <v>57927.743498129756</v>
          </cell>
          <cell r="W22">
            <v>37572.082738901125</v>
          </cell>
          <cell r="Z22">
            <v>1314261.4820903863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1314261.4820903863</v>
          </cell>
          <cell r="AJ22">
            <v>18292.637707173843</v>
          </cell>
          <cell r="AK22">
            <v>19190.003610073167</v>
          </cell>
          <cell r="AL22">
            <v>11195.406590000001</v>
          </cell>
          <cell r="AN22">
            <v>48678.047907247004</v>
          </cell>
          <cell r="AO22">
            <v>38933.425999999999</v>
          </cell>
          <cell r="AP22">
            <v>0</v>
          </cell>
          <cell r="AS22">
            <v>38933.425999999999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205569.76999763327</v>
          </cell>
          <cell r="G23">
            <v>12823.1122720684</v>
          </cell>
          <cell r="H23">
            <v>10596.46065918117</v>
          </cell>
          <cell r="I23">
            <v>5012.4212778471219</v>
          </cell>
          <cell r="J23">
            <v>5426.6241107640981</v>
          </cell>
          <cell r="K23">
            <v>11999.260183047958</v>
          </cell>
          <cell r="L23">
            <v>16104.064027224849</v>
          </cell>
          <cell r="M23">
            <v>4190.0305101806835</v>
          </cell>
          <cell r="N23">
            <v>12259.515973399641</v>
          </cell>
          <cell r="O23">
            <v>3022.8562369343817</v>
          </cell>
          <cell r="P23">
            <v>8640.8134407097114</v>
          </cell>
          <cell r="Q23">
            <v>2946.4443475119606</v>
          </cell>
          <cell r="R23">
            <v>8393.7294177431995</v>
          </cell>
          <cell r="S23">
            <v>6878.9639911794611</v>
          </cell>
          <cell r="T23">
            <v>1995.0299852476721</v>
          </cell>
          <cell r="U23">
            <v>1564.7446680985026</v>
          </cell>
          <cell r="V23">
            <v>3702.6662075211825</v>
          </cell>
          <cell r="W23">
            <v>2401.5587817262485</v>
          </cell>
          <cell r="Z23">
            <v>117958.29609038624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117958.29609038624</v>
          </cell>
          <cell r="AJ23">
            <v>18292.637707173843</v>
          </cell>
          <cell r="AK23">
            <v>19190.003610073167</v>
          </cell>
          <cell r="AL23">
            <v>11195.406590000001</v>
          </cell>
          <cell r="AN23">
            <v>48678.047907247004</v>
          </cell>
          <cell r="AO23">
            <v>38933.425999999999</v>
          </cell>
          <cell r="AP23">
            <v>0</v>
          </cell>
          <cell r="AS23">
            <v>38933.425999999999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386923.68700000015</v>
          </cell>
          <cell r="G24">
            <v>60738.368219802018</v>
          </cell>
          <cell r="H24">
            <v>50191.538192013009</v>
          </cell>
          <cell r="I24">
            <v>23741.996699958792</v>
          </cell>
          <cell r="J24">
            <v>25703.923231491714</v>
          </cell>
          <cell r="K24">
            <v>26321.135947237166</v>
          </cell>
          <cell r="L24">
            <v>35325.282733883258</v>
          </cell>
          <cell r="M24">
            <v>9191.0968675673121</v>
          </cell>
          <cell r="N24">
            <v>26892.023479835218</v>
          </cell>
          <cell r="O24">
            <v>6630.8262965836566</v>
          </cell>
          <cell r="P24">
            <v>18954.170657033199</v>
          </cell>
          <cell r="Q24">
            <v>6463.2119854685252</v>
          </cell>
          <cell r="R24">
            <v>18412.176229070072</v>
          </cell>
          <cell r="S24">
            <v>32583.123270090662</v>
          </cell>
          <cell r="T24">
            <v>9449.7235368877791</v>
          </cell>
          <cell r="U24">
            <v>7411.6201905178004</v>
          </cell>
          <cell r="V24">
            <v>17538.1684832713</v>
          </cell>
          <cell r="W24">
            <v>11375.300979288651</v>
          </cell>
          <cell r="Z24">
            <v>386923.68700000015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386923.68700000015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809379.49899999995</v>
          </cell>
          <cell r="G25">
            <v>127054.48565577445</v>
          </cell>
          <cell r="H25">
            <v>104992.28504428793</v>
          </cell>
          <cell r="I25">
            <v>49664.277582138042</v>
          </cell>
          <cell r="J25">
            <v>53768.299037839002</v>
          </cell>
          <cell r="K25">
            <v>55059.404585084761</v>
          </cell>
          <cell r="L25">
            <v>73894.570432912704</v>
          </cell>
          <cell r="M25">
            <v>19226.234081482064</v>
          </cell>
          <cell r="N25">
            <v>56253.605613980566</v>
          </cell>
          <cell r="O25">
            <v>13870.577186671189</v>
          </cell>
          <cell r="P25">
            <v>39648.948011678665</v>
          </cell>
          <cell r="Q25">
            <v>13519.956142486848</v>
          </cell>
          <cell r="R25">
            <v>38515.186514762121</v>
          </cell>
          <cell r="S25">
            <v>68158.432461647695</v>
          </cell>
          <cell r="T25">
            <v>19767.237723997852</v>
          </cell>
          <cell r="U25">
            <v>15503.867140032655</v>
          </cell>
          <cell r="V25">
            <v>36686.90880733727</v>
          </cell>
          <cell r="W25">
            <v>23795.22297788622</v>
          </cell>
          <cell r="Z25">
            <v>809379.49899999995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809379.49899999995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-304975.25699763838</v>
          </cell>
          <cell r="G26">
            <v>239029.26585235476</v>
          </cell>
          <cell r="H26">
            <v>-115822.81889548176</v>
          </cell>
          <cell r="I26">
            <v>-30096.653559944047</v>
          </cell>
          <cell r="J26">
            <v>-20227.199380094797</v>
          </cell>
          <cell r="K26">
            <v>-625.3827153697348</v>
          </cell>
          <cell r="L26">
            <v>94690.920805979113</v>
          </cell>
          <cell r="M26">
            <v>-54403.769459230098</v>
          </cell>
          <cell r="N26">
            <v>-3120.0100672154804</v>
          </cell>
          <cell r="O26">
            <v>-63319.552720189175</v>
          </cell>
          <cell r="P26">
            <v>-2035.1861094214401</v>
          </cell>
          <cell r="Q26">
            <v>-95045.913475467329</v>
          </cell>
          <cell r="R26">
            <v>-36259.659161575371</v>
          </cell>
          <cell r="S26">
            <v>14795.907277082355</v>
          </cell>
          <cell r="T26">
            <v>102117.87575386667</v>
          </cell>
          <cell r="U26">
            <v>20455.75400135103</v>
          </cell>
          <cell r="V26">
            <v>-36406.364498129769</v>
          </cell>
          <cell r="W26">
            <v>22303.622261098906</v>
          </cell>
          <cell r="Z26">
            <v>36030.835909614339</v>
          </cell>
          <cell r="AA26">
            <v>-13281.569</v>
          </cell>
          <cell r="AB26">
            <v>-178.494</v>
          </cell>
          <cell r="AC26">
            <v>9161.6449999999986</v>
          </cell>
          <cell r="AD26">
            <v>20601.228999999999</v>
          </cell>
          <cell r="AH26">
            <v>16302.810999999998</v>
          </cell>
          <cell r="AI26">
            <v>52333.646909613861</v>
          </cell>
          <cell r="AJ26">
            <v>6711.8372928261415</v>
          </cell>
          <cell r="AK26">
            <v>21920.483389926812</v>
          </cell>
          <cell r="AL26">
            <v>-133631.91658999998</v>
          </cell>
          <cell r="AN26">
            <v>-104999.59590724707</v>
          </cell>
          <cell r="AO26">
            <v>-207871.59500000006</v>
          </cell>
          <cell r="AP26">
            <v>0</v>
          </cell>
          <cell r="AS26">
            <v>-207871.59500000006</v>
          </cell>
          <cell r="AT26">
            <v>3213.8450000000003</v>
          </cell>
          <cell r="AU26">
            <v>195.68599999999969</v>
          </cell>
          <cell r="AV26">
            <v>681.47</v>
          </cell>
          <cell r="BA26">
            <v>4091.0010000000002</v>
          </cell>
          <cell r="BB26">
            <v>0</v>
          </cell>
          <cell r="BC26">
            <v>-16164.512000000001</v>
          </cell>
          <cell r="BD26">
            <v>0</v>
          </cell>
          <cell r="BE26">
            <v>0</v>
          </cell>
          <cell r="BF26">
            <v>-32364.201999999997</v>
          </cell>
          <cell r="BG26">
            <v>0</v>
          </cell>
          <cell r="BH26">
            <v>0</v>
          </cell>
          <cell r="BJ26">
            <v>-48528.714</v>
          </cell>
        </row>
        <row r="27">
          <cell r="F27">
            <v>-304975.25699763326</v>
          </cell>
          <cell r="G27">
            <v>239029.2658523547</v>
          </cell>
          <cell r="H27">
            <v>-115822.81889548177</v>
          </cell>
          <cell r="I27">
            <v>-30096.653559944061</v>
          </cell>
          <cell r="J27">
            <v>-20227.199380094793</v>
          </cell>
          <cell r="K27">
            <v>-625.38271536974321</v>
          </cell>
          <cell r="L27">
            <v>94690.920805979156</v>
          </cell>
          <cell r="M27">
            <v>-54403.769459230098</v>
          </cell>
          <cell r="N27">
            <v>-3120.0100672154658</v>
          </cell>
          <cell r="O27">
            <v>-63319.552720189175</v>
          </cell>
          <cell r="P27">
            <v>-2035.1861094214355</v>
          </cell>
          <cell r="Q27">
            <v>-95045.913475467329</v>
          </cell>
          <cell r="R27">
            <v>-36259.659161575371</v>
          </cell>
          <cell r="S27">
            <v>14795.90727708238</v>
          </cell>
          <cell r="T27">
            <v>102117.87575386665</v>
          </cell>
          <cell r="U27">
            <v>20455.754001351033</v>
          </cell>
          <cell r="V27">
            <v>-36406.364498129769</v>
          </cell>
          <cell r="W27">
            <v>22303.622261098917</v>
          </cell>
          <cell r="Z27">
            <v>36030.835909613816</v>
          </cell>
          <cell r="AA27">
            <v>-13281.569</v>
          </cell>
          <cell r="AB27">
            <v>-178.494</v>
          </cell>
          <cell r="AC27">
            <v>9161.6449999999986</v>
          </cell>
          <cell r="AD27">
            <v>20601.228999999999</v>
          </cell>
          <cell r="AH27">
            <v>16302.810999999998</v>
          </cell>
          <cell r="AI27">
            <v>52333.646909613817</v>
          </cell>
          <cell r="AJ27">
            <v>6711.8372928261451</v>
          </cell>
          <cell r="AK27">
            <v>21920.483389926812</v>
          </cell>
          <cell r="AL27">
            <v>-133631.91658999998</v>
          </cell>
          <cell r="AN27">
            <v>-104999.59590724701</v>
          </cell>
          <cell r="AO27">
            <v>-207871.59500000006</v>
          </cell>
          <cell r="AP27">
            <v>0</v>
          </cell>
          <cell r="AS27">
            <v>-207871.59500000006</v>
          </cell>
          <cell r="AT27">
            <v>3213.8450000000003</v>
          </cell>
          <cell r="AU27">
            <v>195.68599999999969</v>
          </cell>
          <cell r="AV27">
            <v>681.47</v>
          </cell>
          <cell r="BA27">
            <v>4091.0010000000002</v>
          </cell>
          <cell r="BB27">
            <v>0</v>
          </cell>
          <cell r="BC27">
            <v>-16164.512000000001</v>
          </cell>
          <cell r="BD27">
            <v>0</v>
          </cell>
          <cell r="BE27">
            <v>0</v>
          </cell>
          <cell r="BF27">
            <v>-32364.202000000001</v>
          </cell>
          <cell r="BG27">
            <v>0</v>
          </cell>
          <cell r="BH27">
            <v>0</v>
          </cell>
          <cell r="BJ27">
            <v>-48528.714</v>
          </cell>
        </row>
        <row r="28">
          <cell r="F28">
            <v>-5.1222741603851318E-9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8.4128259913995862E-12</v>
          </cell>
          <cell r="L28">
            <v>0</v>
          </cell>
          <cell r="M28">
            <v>0</v>
          </cell>
          <cell r="N28">
            <v>-1.4551915228366852E-11</v>
          </cell>
          <cell r="O28">
            <v>0</v>
          </cell>
          <cell r="P28">
            <v>-4.5474735088646412E-12</v>
          </cell>
          <cell r="Q28">
            <v>0</v>
          </cell>
          <cell r="R28">
            <v>0</v>
          </cell>
          <cell r="S28">
            <v>-2.5465851649641991E-11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5.2386894822120667E-10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F29">
            <v>-97103.661997638323</v>
          </cell>
        </row>
        <row r="31">
          <cell r="G31">
            <v>34368</v>
          </cell>
          <cell r="H31">
            <v>29096</v>
          </cell>
          <cell r="I31">
            <v>13394.5</v>
          </cell>
          <cell r="J31">
            <v>15321.5</v>
          </cell>
          <cell r="K31">
            <v>13162</v>
          </cell>
          <cell r="L31">
            <v>19707</v>
          </cell>
          <cell r="M31">
            <v>5473</v>
          </cell>
          <cell r="N31">
            <v>14883</v>
          </cell>
          <cell r="O31">
            <v>3836</v>
          </cell>
          <cell r="P31">
            <v>11287</v>
          </cell>
          <cell r="Q31">
            <v>4797</v>
          </cell>
          <cell r="R31">
            <v>10223</v>
          </cell>
          <cell r="S31">
            <v>18291</v>
          </cell>
          <cell r="T31">
            <v>4766</v>
          </cell>
          <cell r="U31">
            <v>4027.5</v>
          </cell>
          <cell r="V31">
            <v>10494</v>
          </cell>
          <cell r="W31">
            <v>5063</v>
          </cell>
          <cell r="X31">
            <v>0</v>
          </cell>
          <cell r="Y31">
            <v>0</v>
          </cell>
          <cell r="Z31">
            <v>218189.5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218189.5</v>
          </cell>
          <cell r="AJ31">
            <v>16210</v>
          </cell>
          <cell r="AK31">
            <v>36368</v>
          </cell>
          <cell r="AL31">
            <v>14790</v>
          </cell>
          <cell r="AN31">
            <v>67368</v>
          </cell>
          <cell r="AO31">
            <v>3740.2310000000002</v>
          </cell>
          <cell r="AP31">
            <v>0</v>
          </cell>
          <cell r="AS31">
            <v>3740.2310000000002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28166791.493999995</v>
          </cell>
          <cell r="G32">
            <v>3513537.8019999997</v>
          </cell>
          <cell r="H32">
            <v>2903434.3850000002</v>
          </cell>
          <cell r="I32">
            <v>1373405.4</v>
          </cell>
          <cell r="J32">
            <v>1486897.139</v>
          </cell>
          <cell r="K32">
            <v>1522601.098</v>
          </cell>
          <cell r="L32">
            <v>2043464.78</v>
          </cell>
          <cell r="M32">
            <v>531678.19999999995</v>
          </cell>
          <cell r="N32">
            <v>1555625.28</v>
          </cell>
          <cell r="O32">
            <v>383574</v>
          </cell>
          <cell r="P32">
            <v>1096443.6000000001</v>
          </cell>
          <cell r="Q32">
            <v>373878</v>
          </cell>
          <cell r="R32">
            <v>1065090.8</v>
          </cell>
          <cell r="S32">
            <v>1884838.8370000001</v>
          </cell>
          <cell r="T32">
            <v>546639</v>
          </cell>
          <cell r="U32">
            <v>428740.65399999998</v>
          </cell>
          <cell r="V32">
            <v>1014531.996</v>
          </cell>
          <cell r="W32">
            <v>658028.05000000005</v>
          </cell>
          <cell r="X32">
            <v>0</v>
          </cell>
          <cell r="Y32">
            <v>0</v>
          </cell>
          <cell r="Z32">
            <v>22382409.020999998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22425749.020999998</v>
          </cell>
          <cell r="AJ32">
            <v>456151</v>
          </cell>
          <cell r="AK32">
            <v>478528</v>
          </cell>
          <cell r="AL32">
            <v>279172.2</v>
          </cell>
          <cell r="AN32">
            <v>1213851.2</v>
          </cell>
          <cell r="AO32">
            <v>4514247.9029999999</v>
          </cell>
          <cell r="AP32">
            <v>0</v>
          </cell>
          <cell r="AS32">
            <v>4514247.9029999999</v>
          </cell>
          <cell r="AT32">
            <v>4700</v>
          </cell>
          <cell r="AU32">
            <v>5959</v>
          </cell>
          <cell r="AV32">
            <v>681.47</v>
          </cell>
          <cell r="BA32">
            <v>11340.47</v>
          </cell>
          <cell r="BB32">
            <v>0</v>
          </cell>
          <cell r="BC32">
            <v>1602.9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1602.9</v>
          </cell>
        </row>
        <row r="33">
          <cell r="F33">
            <v>26150690.972999994</v>
          </cell>
          <cell r="G33">
            <v>3000312.7889999999</v>
          </cell>
          <cell r="H33">
            <v>2785598.5549999997</v>
          </cell>
          <cell r="I33">
            <v>1276093.926</v>
          </cell>
          <cell r="J33">
            <v>1382829.986</v>
          </cell>
          <cell r="K33">
            <v>1371475.6629999999</v>
          </cell>
          <cell r="L33">
            <v>1760187.5210000002</v>
          </cell>
          <cell r="M33">
            <v>520246.07899999997</v>
          </cell>
          <cell r="N33">
            <v>1410257.12</v>
          </cell>
          <cell r="O33">
            <v>394941.88999999996</v>
          </cell>
          <cell r="P33">
            <v>990883.4439999999</v>
          </cell>
          <cell r="Q33">
            <v>415883.93199999997</v>
          </cell>
          <cell r="R33">
            <v>1003704.676</v>
          </cell>
          <cell r="S33">
            <v>1707982.6889999998</v>
          </cell>
          <cell r="T33">
            <v>403247.97400000005</v>
          </cell>
          <cell r="U33">
            <v>370595.48200000002</v>
          </cell>
          <cell r="V33">
            <v>962957.92200000002</v>
          </cell>
          <cell r="W33">
            <v>579608.69799999997</v>
          </cell>
          <cell r="X33">
            <v>0</v>
          </cell>
          <cell r="Y33">
            <v>0</v>
          </cell>
          <cell r="Z33">
            <v>20336808.345999997</v>
          </cell>
          <cell r="AA33">
            <v>0</v>
          </cell>
          <cell r="AB33">
            <v>0</v>
          </cell>
          <cell r="AC33">
            <v>3338.355</v>
          </cell>
          <cell r="AD33">
            <v>10238.771000000001</v>
          </cell>
          <cell r="AH33">
            <v>13577.126</v>
          </cell>
          <cell r="AI33">
            <v>20350385.471999995</v>
          </cell>
          <cell r="AJ33">
            <v>431146.52500000002</v>
          </cell>
          <cell r="AK33">
            <v>437350.51300000004</v>
          </cell>
          <cell r="AL33">
            <v>401608.70999999996</v>
          </cell>
          <cell r="AN33">
            <v>1270105.7480000001</v>
          </cell>
          <cell r="AO33">
            <v>4522950.284</v>
          </cell>
          <cell r="AP33">
            <v>0</v>
          </cell>
          <cell r="AS33">
            <v>4522950.284</v>
          </cell>
          <cell r="AT33">
            <v>1486.155</v>
          </cell>
          <cell r="AU33">
            <v>5763.3140000000003</v>
          </cell>
          <cell r="AV33">
            <v>0</v>
          </cell>
          <cell r="BA33">
            <v>7249.4690000000001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0</v>
          </cell>
        </row>
        <row r="34">
          <cell r="F34">
            <v>2016100.5210000016</v>
          </cell>
          <cell r="G34">
            <v>513225.0129999998</v>
          </cell>
          <cell r="H34">
            <v>117835.83000000054</v>
          </cell>
          <cell r="I34">
            <v>97311.473999999929</v>
          </cell>
          <cell r="J34">
            <v>104067.15299999993</v>
          </cell>
          <cell r="K34">
            <v>151125.43500000006</v>
          </cell>
          <cell r="L34">
            <v>283277.25899999985</v>
          </cell>
          <cell r="M34">
            <v>11432.120999999985</v>
          </cell>
          <cell r="N34">
            <v>145368.15999999992</v>
          </cell>
          <cell r="O34">
            <v>-11367.889999999956</v>
          </cell>
          <cell r="P34">
            <v>105560.15600000019</v>
          </cell>
          <cell r="Q34">
            <v>-42005.931999999972</v>
          </cell>
          <cell r="R34">
            <v>61386.124000000069</v>
          </cell>
          <cell r="S34">
            <v>176856.14800000028</v>
          </cell>
          <cell r="T34">
            <v>143391.02599999995</v>
          </cell>
          <cell r="U34">
            <v>58145.171999999962</v>
          </cell>
          <cell r="V34">
            <v>51574.074000000022</v>
          </cell>
          <cell r="W34">
            <v>78419.352000000072</v>
          </cell>
          <cell r="X34">
            <v>0</v>
          </cell>
          <cell r="Y34">
            <v>0</v>
          </cell>
          <cell r="Z34">
            <v>2045600.6750000007</v>
          </cell>
          <cell r="AA34">
            <v>0</v>
          </cell>
          <cell r="AB34">
            <v>0</v>
          </cell>
          <cell r="AC34">
            <v>9161.6450000000004</v>
          </cell>
          <cell r="AD34">
            <v>20601.228999999999</v>
          </cell>
          <cell r="AH34">
            <v>29762.874</v>
          </cell>
          <cell r="AI34">
            <v>2075363.5490000024</v>
          </cell>
          <cell r="AJ34">
            <v>25004.474999999977</v>
          </cell>
          <cell r="AK34">
            <v>41177.486999999965</v>
          </cell>
          <cell r="AL34">
            <v>-122436.50999999995</v>
          </cell>
          <cell r="AN34">
            <v>-56254.548000000184</v>
          </cell>
          <cell r="AO34">
            <v>-8702.3810000000522</v>
          </cell>
          <cell r="AP34">
            <v>0</v>
          </cell>
          <cell r="AS34">
            <v>-8702.3810000000522</v>
          </cell>
          <cell r="AT34">
            <v>3213.8450000000003</v>
          </cell>
          <cell r="AU34">
            <v>195.68599999999969</v>
          </cell>
          <cell r="AV34">
            <v>681.47</v>
          </cell>
          <cell r="BA34">
            <v>4091.0009999999993</v>
          </cell>
          <cell r="BB34">
            <v>0</v>
          </cell>
          <cell r="BC34">
            <v>1602.9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1602.9</v>
          </cell>
        </row>
        <row r="35">
          <cell r="F35">
            <v>2321075.7779976334</v>
          </cell>
          <cell r="G35">
            <v>274195.74714764487</v>
          </cell>
          <cell r="H35">
            <v>233658.6488954821</v>
          </cell>
          <cell r="I35">
            <v>127408.12755994395</v>
          </cell>
          <cell r="J35">
            <v>124294.35238009482</v>
          </cell>
          <cell r="K35">
            <v>151750.81771536986</v>
          </cell>
          <cell r="L35">
            <v>188586.33819402082</v>
          </cell>
          <cell r="M35">
            <v>65835.890459230053</v>
          </cell>
          <cell r="N35">
            <v>148488.17006721543</v>
          </cell>
          <cell r="O35">
            <v>51951.662720189226</v>
          </cell>
          <cell r="P35">
            <v>107595.34210942159</v>
          </cell>
          <cell r="Q35">
            <v>53039.981475467328</v>
          </cell>
          <cell r="R35">
            <v>97645.783161575382</v>
          </cell>
          <cell r="S35">
            <v>162060.24072291784</v>
          </cell>
          <cell r="T35">
            <v>41273.150246133308</v>
          </cell>
          <cell r="U35">
            <v>37689.417998648954</v>
          </cell>
          <cell r="V35">
            <v>87980.438498129748</v>
          </cell>
          <cell r="W35">
            <v>56115.729738901122</v>
          </cell>
          <cell r="X35">
            <v>0</v>
          </cell>
          <cell r="Y35">
            <v>0</v>
          </cell>
          <cell r="Z35">
            <v>2009569.8390903864</v>
          </cell>
          <cell r="AA35">
            <v>13281.569</v>
          </cell>
          <cell r="AB35">
            <v>178.494</v>
          </cell>
          <cell r="AC35">
            <v>0</v>
          </cell>
          <cell r="AD35">
            <v>0</v>
          </cell>
          <cell r="AH35">
            <v>13460.063</v>
          </cell>
          <cell r="AI35">
            <v>2023029.9020903865</v>
          </cell>
          <cell r="AJ35">
            <v>18292.637707173843</v>
          </cell>
          <cell r="AK35">
            <v>19257.003610073167</v>
          </cell>
          <cell r="AL35">
            <v>11195.406590000001</v>
          </cell>
          <cell r="AN35">
            <v>48745.047907247004</v>
          </cell>
          <cell r="AO35">
            <v>199169.21400000001</v>
          </cell>
          <cell r="AP35">
            <v>0</v>
          </cell>
          <cell r="AS35">
            <v>199169.21400000001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17767.412</v>
          </cell>
          <cell r="BD35">
            <v>0</v>
          </cell>
          <cell r="BE35">
            <v>0</v>
          </cell>
          <cell r="BF35">
            <v>32364.201999999997</v>
          </cell>
          <cell r="BG35">
            <v>0</v>
          </cell>
          <cell r="BH35">
            <v>0</v>
          </cell>
          <cell r="BJ35">
            <v>50131.614000000001</v>
          </cell>
        </row>
        <row r="36">
          <cell r="F36">
            <v>-304975.25699763186</v>
          </cell>
          <cell r="G36">
            <v>239029.26585235493</v>
          </cell>
          <cell r="H36">
            <v>-115822.81889548156</v>
          </cell>
          <cell r="I36">
            <v>-30096.653559944025</v>
          </cell>
          <cell r="J36">
            <v>-20227.199380094884</v>
          </cell>
          <cell r="K36">
            <v>-625.38271536980756</v>
          </cell>
          <cell r="L36">
            <v>94690.920805979025</v>
          </cell>
          <cell r="M36">
            <v>-54403.769459230069</v>
          </cell>
          <cell r="N36">
            <v>-3120.0100672155095</v>
          </cell>
          <cell r="O36">
            <v>-63319.552720189182</v>
          </cell>
          <cell r="P36">
            <v>-2035.1861094213964</v>
          </cell>
          <cell r="Q36">
            <v>-95045.9134754673</v>
          </cell>
          <cell r="R36">
            <v>-36259.659161575313</v>
          </cell>
          <cell r="S36">
            <v>14795.907277082442</v>
          </cell>
          <cell r="T36">
            <v>102117.87575386665</v>
          </cell>
          <cell r="U36">
            <v>20455.754001351008</v>
          </cell>
          <cell r="V36">
            <v>-36406.364498129726</v>
          </cell>
          <cell r="W36">
            <v>22303.62226109895</v>
          </cell>
          <cell r="X36">
            <v>0</v>
          </cell>
          <cell r="Y36">
            <v>0</v>
          </cell>
          <cell r="Z36">
            <v>36030.835909614339</v>
          </cell>
          <cell r="AA36">
            <v>-13281.569</v>
          </cell>
          <cell r="AB36">
            <v>-178.494</v>
          </cell>
          <cell r="AC36">
            <v>9161.6450000000004</v>
          </cell>
          <cell r="AD36">
            <v>20601.228999999999</v>
          </cell>
          <cell r="AH36">
            <v>16302.811</v>
          </cell>
          <cell r="AI36">
            <v>52333.646909615956</v>
          </cell>
          <cell r="AJ36">
            <v>6711.8372928261342</v>
          </cell>
          <cell r="AK36">
            <v>21920.483389926798</v>
          </cell>
          <cell r="AL36">
            <v>-133631.91658999995</v>
          </cell>
          <cell r="AN36">
            <v>-104999.59590724719</v>
          </cell>
          <cell r="AO36">
            <v>-207871.59500000006</v>
          </cell>
          <cell r="AP36">
            <v>0</v>
          </cell>
          <cell r="AS36">
            <v>-207871.59500000006</v>
          </cell>
          <cell r="AT36">
            <v>3213.8450000000003</v>
          </cell>
          <cell r="AU36">
            <v>195.68599999999969</v>
          </cell>
          <cell r="AV36">
            <v>681.47</v>
          </cell>
          <cell r="BA36">
            <v>4091.0009999999993</v>
          </cell>
          <cell r="BB36">
            <v>0</v>
          </cell>
          <cell r="BC36">
            <v>-16164.512000000001</v>
          </cell>
          <cell r="BD36">
            <v>0</v>
          </cell>
          <cell r="BE36">
            <v>0</v>
          </cell>
          <cell r="BF36">
            <v>-32364.201999999997</v>
          </cell>
          <cell r="BG36">
            <v>0</v>
          </cell>
          <cell r="BH36">
            <v>0</v>
          </cell>
          <cell r="BJ36">
            <v>-48528.714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-11722</v>
          </cell>
          <cell r="AK38">
            <v>-19904</v>
          </cell>
          <cell r="AL38">
            <v>-12806</v>
          </cell>
          <cell r="AN38">
            <v>-44432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-897673</v>
          </cell>
          <cell r="Z39">
            <v>0</v>
          </cell>
          <cell r="AH39">
            <v>0</v>
          </cell>
          <cell r="AI39">
            <v>0</v>
          </cell>
          <cell r="AJ39">
            <v>-334584</v>
          </cell>
          <cell r="AK39">
            <v>-311256</v>
          </cell>
          <cell r="AL39">
            <v>-251833</v>
          </cell>
          <cell r="AN39">
            <v>-897673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-897673</v>
          </cell>
          <cell r="K40">
            <v>59350.81</v>
          </cell>
          <cell r="L40">
            <v>-56128.076999999997</v>
          </cell>
          <cell r="M40">
            <v>-729.33</v>
          </cell>
          <cell r="N40">
            <v>11022.847</v>
          </cell>
          <cell r="O40">
            <v>658.60599999999999</v>
          </cell>
          <cell r="P40">
            <v>9070.2980000000007</v>
          </cell>
          <cell r="Q40">
            <v>0</v>
          </cell>
          <cell r="R40">
            <v>133.94399999999999</v>
          </cell>
          <cell r="Z40">
            <v>23379.098000000002</v>
          </cell>
          <cell r="AH40">
            <v>0</v>
          </cell>
          <cell r="AI40">
            <v>23379.098000000002</v>
          </cell>
          <cell r="AJ40">
            <v>-314721.701</v>
          </cell>
          <cell r="AK40">
            <v>-258661.984</v>
          </cell>
          <cell r="AL40">
            <v>-347668.413</v>
          </cell>
          <cell r="AN40">
            <v>-921052.098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-59350.81</v>
          </cell>
          <cell r="L41">
            <v>56128.076999999997</v>
          </cell>
          <cell r="M41">
            <v>729.33</v>
          </cell>
          <cell r="N41">
            <v>-11022.847</v>
          </cell>
          <cell r="O41">
            <v>-658.60599999999999</v>
          </cell>
          <cell r="P41">
            <v>-9070.2980000000007</v>
          </cell>
          <cell r="Q41">
            <v>0</v>
          </cell>
          <cell r="R41">
            <v>-133.94399999999999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-23379.098000000002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-23379.098000000002</v>
          </cell>
          <cell r="AJ41">
            <v>-19862.298999999999</v>
          </cell>
          <cell r="AK41">
            <v>-52594.016000000003</v>
          </cell>
          <cell r="AL41">
            <v>95835.413</v>
          </cell>
          <cell r="AN41">
            <v>23379.097999999998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-59350.81</v>
          </cell>
          <cell r="L43">
            <v>56128.076999999997</v>
          </cell>
          <cell r="M43">
            <v>729.33</v>
          </cell>
          <cell r="N43">
            <v>-11022.847</v>
          </cell>
          <cell r="O43">
            <v>-658.60599999999999</v>
          </cell>
          <cell r="P43">
            <v>-9070.2980000000007</v>
          </cell>
          <cell r="Q43">
            <v>0</v>
          </cell>
          <cell r="R43">
            <v>-133.94399999999999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-23379.098000000002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-23379.098000000002</v>
          </cell>
          <cell r="AJ43">
            <v>-19862.298999999999</v>
          </cell>
          <cell r="AK43">
            <v>-52594.016000000003</v>
          </cell>
          <cell r="AL43">
            <v>95835.413</v>
          </cell>
          <cell r="AN43">
            <v>23379.097999999998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34368</v>
          </cell>
          <cell r="H45">
            <v>29096</v>
          </cell>
          <cell r="I45">
            <v>13394.5</v>
          </cell>
          <cell r="J45">
            <v>15321.5</v>
          </cell>
          <cell r="K45">
            <v>13162</v>
          </cell>
          <cell r="L45">
            <v>19707</v>
          </cell>
          <cell r="M45">
            <v>5473</v>
          </cell>
          <cell r="N45">
            <v>14883</v>
          </cell>
          <cell r="O45">
            <v>3836</v>
          </cell>
          <cell r="P45">
            <v>11287</v>
          </cell>
          <cell r="Q45">
            <v>4797</v>
          </cell>
          <cell r="R45">
            <v>10223</v>
          </cell>
          <cell r="S45">
            <v>18291</v>
          </cell>
          <cell r="T45">
            <v>4766</v>
          </cell>
          <cell r="U45">
            <v>4027.5</v>
          </cell>
          <cell r="V45">
            <v>10494</v>
          </cell>
          <cell r="W45">
            <v>5063</v>
          </cell>
          <cell r="X45">
            <v>0</v>
          </cell>
          <cell r="Y45">
            <v>0</v>
          </cell>
          <cell r="Z45">
            <v>218189.5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218189.5</v>
          </cell>
          <cell r="AJ45">
            <v>4488</v>
          </cell>
          <cell r="AK45">
            <v>16464</v>
          </cell>
          <cell r="AL45">
            <v>1984</v>
          </cell>
          <cell r="AN45">
            <v>22936</v>
          </cell>
          <cell r="AO45">
            <v>3740.2310000000002</v>
          </cell>
          <cell r="AP45">
            <v>0</v>
          </cell>
          <cell r="AS45">
            <v>3740.2310000000002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27269118.493999995</v>
          </cell>
          <cell r="G46">
            <v>3513537.8019999997</v>
          </cell>
          <cell r="H46">
            <v>2903434.3850000002</v>
          </cell>
          <cell r="I46">
            <v>1373405.4</v>
          </cell>
          <cell r="J46">
            <v>1486897.139</v>
          </cell>
          <cell r="K46">
            <v>1522601.098</v>
          </cell>
          <cell r="L46">
            <v>2043464.78</v>
          </cell>
          <cell r="M46">
            <v>531678.19999999995</v>
          </cell>
          <cell r="N46">
            <v>1555625.28</v>
          </cell>
          <cell r="O46">
            <v>383574</v>
          </cell>
          <cell r="P46">
            <v>1096443.6000000001</v>
          </cell>
          <cell r="Q46">
            <v>373878</v>
          </cell>
          <cell r="R46">
            <v>1065090.8</v>
          </cell>
          <cell r="S46">
            <v>1884838.8370000001</v>
          </cell>
          <cell r="T46">
            <v>546639</v>
          </cell>
          <cell r="U46">
            <v>428740.65399999998</v>
          </cell>
          <cell r="V46">
            <v>1014531.996</v>
          </cell>
          <cell r="W46">
            <v>658028.05000000005</v>
          </cell>
          <cell r="X46">
            <v>0</v>
          </cell>
          <cell r="Y46">
            <v>0</v>
          </cell>
          <cell r="Z46">
            <v>22382409.020999998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22425749.020999998</v>
          </cell>
          <cell r="AJ46">
            <v>121567</v>
          </cell>
          <cell r="AK46">
            <v>167272</v>
          </cell>
          <cell r="AL46">
            <v>27339.200000000012</v>
          </cell>
          <cell r="AN46">
            <v>316178.2</v>
          </cell>
          <cell r="AO46">
            <v>4514247.9029999999</v>
          </cell>
          <cell r="AP46">
            <v>0</v>
          </cell>
          <cell r="AS46">
            <v>4514247.9029999999</v>
          </cell>
          <cell r="AT46">
            <v>4700</v>
          </cell>
          <cell r="AU46">
            <v>5959</v>
          </cell>
          <cell r="AV46">
            <v>681.47</v>
          </cell>
          <cell r="BA46">
            <v>11340.47</v>
          </cell>
          <cell r="BB46">
            <v>0</v>
          </cell>
          <cell r="BC46">
            <v>1602.9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1602.9</v>
          </cell>
        </row>
        <row r="47">
          <cell r="F47">
            <v>25253017.972999994</v>
          </cell>
          <cell r="G47">
            <v>3000312.7889999999</v>
          </cell>
          <cell r="H47">
            <v>2785598.5549999997</v>
          </cell>
          <cell r="I47">
            <v>1276093.926</v>
          </cell>
          <cell r="J47">
            <v>1382829.986</v>
          </cell>
          <cell r="K47">
            <v>1430826.473</v>
          </cell>
          <cell r="L47">
            <v>1704059.4440000001</v>
          </cell>
          <cell r="M47">
            <v>519516.74899999995</v>
          </cell>
          <cell r="N47">
            <v>1421279.9670000002</v>
          </cell>
          <cell r="O47">
            <v>395600.49599999998</v>
          </cell>
          <cell r="P47">
            <v>999953.74199999985</v>
          </cell>
          <cell r="Q47">
            <v>415883.93199999997</v>
          </cell>
          <cell r="R47">
            <v>1003838.62</v>
          </cell>
          <cell r="S47">
            <v>1707982.6889999998</v>
          </cell>
          <cell r="T47">
            <v>403247.97400000005</v>
          </cell>
          <cell r="U47">
            <v>370595.48200000002</v>
          </cell>
          <cell r="V47">
            <v>962957.92200000002</v>
          </cell>
          <cell r="W47">
            <v>579608.69799999997</v>
          </cell>
          <cell r="X47">
            <v>0</v>
          </cell>
          <cell r="Y47">
            <v>0</v>
          </cell>
          <cell r="Z47">
            <v>20360187.443999995</v>
          </cell>
          <cell r="AA47">
            <v>0</v>
          </cell>
          <cell r="AB47">
            <v>0</v>
          </cell>
          <cell r="AC47">
            <v>3338.355</v>
          </cell>
          <cell r="AD47">
            <v>10238.771000000001</v>
          </cell>
          <cell r="AH47">
            <v>13577.126</v>
          </cell>
          <cell r="AI47">
            <v>20373764.569999993</v>
          </cell>
          <cell r="AJ47">
            <v>116424.82400000002</v>
          </cell>
          <cell r="AK47">
            <v>178688.52900000004</v>
          </cell>
          <cell r="AL47">
            <v>53940.296999999962</v>
          </cell>
          <cell r="AN47">
            <v>349053.65</v>
          </cell>
          <cell r="AO47">
            <v>4522950.284</v>
          </cell>
          <cell r="AP47">
            <v>0</v>
          </cell>
          <cell r="AS47">
            <v>4522950.284</v>
          </cell>
          <cell r="AT47">
            <v>1486.155</v>
          </cell>
          <cell r="AU47">
            <v>5763.3140000000003</v>
          </cell>
          <cell r="AV47">
            <v>0</v>
          </cell>
          <cell r="BA47">
            <v>7249.4690000000001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0</v>
          </cell>
        </row>
        <row r="48">
          <cell r="F48">
            <v>2016100.5210000016</v>
          </cell>
          <cell r="G48">
            <v>513225.0129999998</v>
          </cell>
          <cell r="H48">
            <v>117835.83000000054</v>
          </cell>
          <cell r="I48">
            <v>97311.473999999929</v>
          </cell>
          <cell r="J48">
            <v>104067.15299999993</v>
          </cell>
          <cell r="K48">
            <v>91774.625</v>
          </cell>
          <cell r="L48">
            <v>339405.33599999989</v>
          </cell>
          <cell r="M48">
            <v>12161.451000000001</v>
          </cell>
          <cell r="N48">
            <v>134345.31299999985</v>
          </cell>
          <cell r="O48">
            <v>-12026.495999999985</v>
          </cell>
          <cell r="P48">
            <v>96489.85800000024</v>
          </cell>
          <cell r="Q48">
            <v>-42005.931999999972</v>
          </cell>
          <cell r="R48">
            <v>61252.180000000051</v>
          </cell>
          <cell r="S48">
            <v>176856.14800000028</v>
          </cell>
          <cell r="T48">
            <v>143391.02599999995</v>
          </cell>
          <cell r="U48">
            <v>58145.171999999962</v>
          </cell>
          <cell r="V48">
            <v>51574.074000000022</v>
          </cell>
          <cell r="W48">
            <v>78419.352000000072</v>
          </cell>
          <cell r="X48">
            <v>0</v>
          </cell>
          <cell r="Y48">
            <v>0</v>
          </cell>
          <cell r="Z48">
            <v>2022221.5770000033</v>
          </cell>
          <cell r="AA48">
            <v>0</v>
          </cell>
          <cell r="AB48">
            <v>0</v>
          </cell>
          <cell r="AC48">
            <v>9161.6450000000004</v>
          </cell>
          <cell r="AD48">
            <v>20601.228999999999</v>
          </cell>
          <cell r="AH48">
            <v>29762.874</v>
          </cell>
          <cell r="AI48">
            <v>2051984.451000005</v>
          </cell>
          <cell r="AJ48">
            <v>5142.1759999999776</v>
          </cell>
          <cell r="AK48">
            <v>-11416.529000000039</v>
          </cell>
          <cell r="AL48">
            <v>-26601.096999999951</v>
          </cell>
          <cell r="AN48">
            <v>-32875.450000000012</v>
          </cell>
          <cell r="AO48">
            <v>-8702.3810000000522</v>
          </cell>
          <cell r="AP48">
            <v>0</v>
          </cell>
          <cell r="AS48">
            <v>-8702.3810000000522</v>
          </cell>
          <cell r="AT48">
            <v>3213.8450000000003</v>
          </cell>
          <cell r="AU48">
            <v>195.68599999999969</v>
          </cell>
          <cell r="AV48">
            <v>681.47</v>
          </cell>
          <cell r="BA48">
            <v>4091.0009999999993</v>
          </cell>
          <cell r="BB48">
            <v>0</v>
          </cell>
          <cell r="BC48">
            <v>1602.9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1602.9</v>
          </cell>
        </row>
        <row r="49">
          <cell r="F49">
            <v>2321075.7779976334</v>
          </cell>
          <cell r="G49">
            <v>274195.74714764487</v>
          </cell>
          <cell r="H49">
            <v>233658.6488954821</v>
          </cell>
          <cell r="I49">
            <v>127408.12755994395</v>
          </cell>
          <cell r="J49">
            <v>124294.35238009482</v>
          </cell>
          <cell r="K49">
            <v>151750.81771536986</v>
          </cell>
          <cell r="L49">
            <v>188586.33819402082</v>
          </cell>
          <cell r="M49">
            <v>65835.890459230053</v>
          </cell>
          <cell r="N49">
            <v>148488.17006721543</v>
          </cell>
          <cell r="O49">
            <v>51951.662720189226</v>
          </cell>
          <cell r="P49">
            <v>107595.34210942159</v>
          </cell>
          <cell r="Q49">
            <v>53039.981475467328</v>
          </cell>
          <cell r="R49">
            <v>97645.783161575382</v>
          </cell>
          <cell r="S49">
            <v>162060.24072291784</v>
          </cell>
          <cell r="T49">
            <v>41273.150246133308</v>
          </cell>
          <cell r="U49">
            <v>37689.417998648954</v>
          </cell>
          <cell r="V49">
            <v>87980.438498129748</v>
          </cell>
          <cell r="W49">
            <v>56115.729738901122</v>
          </cell>
          <cell r="X49">
            <v>0</v>
          </cell>
          <cell r="Y49">
            <v>0</v>
          </cell>
          <cell r="Z49">
            <v>2009569.8390903864</v>
          </cell>
          <cell r="AA49">
            <v>13281.569</v>
          </cell>
          <cell r="AB49">
            <v>178.494</v>
          </cell>
          <cell r="AC49">
            <v>0</v>
          </cell>
          <cell r="AD49">
            <v>0</v>
          </cell>
          <cell r="AH49">
            <v>13460.063</v>
          </cell>
          <cell r="AI49">
            <v>2023029.9020903865</v>
          </cell>
          <cell r="AJ49">
            <v>18292.637707173843</v>
          </cell>
          <cell r="AK49">
            <v>19257.003610073167</v>
          </cell>
          <cell r="AL49">
            <v>11195.406590000001</v>
          </cell>
          <cell r="AN49">
            <v>48745.047907247004</v>
          </cell>
          <cell r="AO49">
            <v>199169.21400000001</v>
          </cell>
          <cell r="AP49">
            <v>0</v>
          </cell>
          <cell r="AS49">
            <v>199169.21400000001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17767.412</v>
          </cell>
          <cell r="BD49">
            <v>0</v>
          </cell>
          <cell r="BE49">
            <v>0</v>
          </cell>
          <cell r="BF49">
            <v>32364.201999999997</v>
          </cell>
          <cell r="BG49">
            <v>0</v>
          </cell>
          <cell r="BH49">
            <v>0</v>
          </cell>
          <cell r="BJ49">
            <v>50131.614000000001</v>
          </cell>
        </row>
        <row r="50">
          <cell r="F50">
            <v>-304975.25699763186</v>
          </cell>
          <cell r="G50">
            <v>239029.26585235493</v>
          </cell>
          <cell r="H50">
            <v>-115822.81889548156</v>
          </cell>
          <cell r="I50">
            <v>-30096.653559944025</v>
          </cell>
          <cell r="J50">
            <v>-20227.199380094884</v>
          </cell>
          <cell r="K50">
            <v>-59976.192715369863</v>
          </cell>
          <cell r="L50">
            <v>150818.99780597907</v>
          </cell>
          <cell r="M50">
            <v>-53674.439459230052</v>
          </cell>
          <cell r="N50">
            <v>-14142.857067215577</v>
          </cell>
          <cell r="O50">
            <v>-63978.158720189211</v>
          </cell>
          <cell r="P50">
            <v>-11105.484109421348</v>
          </cell>
          <cell r="Q50">
            <v>-95045.9134754673</v>
          </cell>
          <cell r="R50">
            <v>-36393.603161575331</v>
          </cell>
          <cell r="S50">
            <v>14795.907277082442</v>
          </cell>
          <cell r="T50">
            <v>102117.87575386665</v>
          </cell>
          <cell r="U50">
            <v>20455.754001351008</v>
          </cell>
          <cell r="V50">
            <v>-36406.364498129726</v>
          </cell>
          <cell r="W50">
            <v>22303.62226109895</v>
          </cell>
          <cell r="X50">
            <v>0</v>
          </cell>
          <cell r="Y50">
            <v>0</v>
          </cell>
          <cell r="Z50">
            <v>12651.737909616902</v>
          </cell>
          <cell r="AA50">
            <v>-13281.569</v>
          </cell>
          <cell r="AB50">
            <v>-178.494</v>
          </cell>
          <cell r="AC50">
            <v>9161.6450000000004</v>
          </cell>
          <cell r="AD50">
            <v>20601.228999999999</v>
          </cell>
          <cell r="AH50">
            <v>16302.811</v>
          </cell>
          <cell r="AI50">
            <v>28954.548909618519</v>
          </cell>
          <cell r="AJ50">
            <v>-13150.461707173865</v>
          </cell>
          <cell r="AK50">
            <v>-30673.532610073205</v>
          </cell>
          <cell r="AL50">
            <v>-37796.503589999949</v>
          </cell>
          <cell r="AN50">
            <v>-81620.497907247016</v>
          </cell>
          <cell r="AO50">
            <v>-207871.59500000006</v>
          </cell>
          <cell r="AP50">
            <v>0</v>
          </cell>
          <cell r="AS50">
            <v>-207871.59500000006</v>
          </cell>
          <cell r="AT50">
            <v>3213.8450000000003</v>
          </cell>
          <cell r="AU50">
            <v>195.68599999999969</v>
          </cell>
          <cell r="AV50">
            <v>681.47</v>
          </cell>
          <cell r="BA50">
            <v>4091.0009999999993</v>
          </cell>
          <cell r="BB50">
            <v>0</v>
          </cell>
          <cell r="BC50">
            <v>-16164.512000000001</v>
          </cell>
          <cell r="BD50">
            <v>0</v>
          </cell>
          <cell r="BE50">
            <v>0</v>
          </cell>
          <cell r="BF50">
            <v>-32364.201999999997</v>
          </cell>
          <cell r="BG50">
            <v>0</v>
          </cell>
          <cell r="BH50">
            <v>0</v>
          </cell>
          <cell r="BJ50">
            <v>-48528.714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1"/>
      <sheetData sheetId="12"/>
      <sheetData sheetId="13"/>
      <sheetData sheetId="1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178669</v>
          </cell>
          <cell r="H7">
            <v>139541</v>
          </cell>
          <cell r="I7">
            <v>60035.5</v>
          </cell>
          <cell r="J7">
            <v>61465</v>
          </cell>
          <cell r="K7">
            <v>96857</v>
          </cell>
          <cell r="L7">
            <v>90133</v>
          </cell>
          <cell r="M7">
            <v>28905.5</v>
          </cell>
          <cell r="N7">
            <v>66692</v>
          </cell>
          <cell r="O7">
            <v>24391</v>
          </cell>
          <cell r="P7">
            <v>48440</v>
          </cell>
          <cell r="Q7">
            <v>20768.5</v>
          </cell>
          <cell r="R7">
            <v>56662</v>
          </cell>
          <cell r="S7">
            <v>95143</v>
          </cell>
          <cell r="T7">
            <v>16875</v>
          </cell>
          <cell r="U7">
            <v>18223</v>
          </cell>
          <cell r="V7">
            <v>52511.5</v>
          </cell>
          <cell r="W7">
            <v>20232</v>
          </cell>
          <cell r="Z7">
            <v>1075544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1075544</v>
          </cell>
          <cell r="AJ7">
            <v>92061</v>
          </cell>
          <cell r="AK7">
            <v>145772</v>
          </cell>
          <cell r="AL7">
            <v>78258</v>
          </cell>
          <cell r="AN7">
            <v>316091</v>
          </cell>
          <cell r="AO7">
            <v>21045.184999999998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140057166.75099999</v>
          </cell>
          <cell r="G8">
            <v>18188226.761</v>
          </cell>
          <cell r="H8">
            <v>14037268.083999999</v>
          </cell>
          <cell r="I8">
            <v>6003685</v>
          </cell>
          <cell r="J8">
            <v>5977507.9539999999</v>
          </cell>
          <cell r="K8">
            <v>11359488.148</v>
          </cell>
          <cell r="L8">
            <v>9307849.7899999991</v>
          </cell>
          <cell r="M8">
            <v>2830523.95</v>
          </cell>
          <cell r="N8">
            <v>6990253.6800000006</v>
          </cell>
          <cell r="O8">
            <v>2465191.1</v>
          </cell>
          <cell r="P8">
            <v>4681463.3000000007</v>
          </cell>
          <cell r="Q8">
            <v>1716501.0219999999</v>
          </cell>
          <cell r="R8">
            <v>6006471.7999999998</v>
          </cell>
          <cell r="S8">
            <v>9590988.9859999996</v>
          </cell>
          <cell r="T8">
            <v>1998571.46</v>
          </cell>
          <cell r="U8">
            <v>2002591.02</v>
          </cell>
          <cell r="V8">
            <v>5166814.9939999999</v>
          </cell>
          <cell r="W8">
            <v>2594446.5190000003</v>
          </cell>
          <cell r="Z8">
            <v>110917843.56799997</v>
          </cell>
          <cell r="AA8">
            <v>0</v>
          </cell>
          <cell r="AB8">
            <v>0</v>
          </cell>
          <cell r="AC8">
            <v>62500</v>
          </cell>
          <cell r="AD8">
            <v>154200</v>
          </cell>
          <cell r="AH8">
            <v>216700</v>
          </cell>
          <cell r="AI8">
            <v>111134543.56799997</v>
          </cell>
          <cell r="AJ8">
            <v>2604755.5</v>
          </cell>
          <cell r="AK8">
            <v>2011008</v>
          </cell>
          <cell r="AL8">
            <v>1538965.8</v>
          </cell>
          <cell r="AN8">
            <v>6154729.2999999998</v>
          </cell>
          <cell r="AO8">
            <v>22521329.791999999</v>
          </cell>
          <cell r="AP8">
            <v>0</v>
          </cell>
          <cell r="AS8">
            <v>22521329.791999999</v>
          </cell>
          <cell r="AT8">
            <v>18800</v>
          </cell>
          <cell r="AU8">
            <v>30788</v>
          </cell>
          <cell r="AV8">
            <v>188851.19099999999</v>
          </cell>
          <cell r="BA8">
            <v>238439.19099999999</v>
          </cell>
          <cell r="BB8">
            <v>0</v>
          </cell>
          <cell r="BC8">
            <v>8124.9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8124.9</v>
          </cell>
        </row>
        <row r="9">
          <cell r="G9">
            <v>101798.44719005536</v>
          </cell>
          <cell r="H9">
            <v>100596.01181014898</v>
          </cell>
          <cell r="I9">
            <v>100002.24866953719</v>
          </cell>
          <cell r="J9">
            <v>97250.597152851216</v>
          </cell>
          <cell r="K9">
            <v>117281.02406640719</v>
          </cell>
          <cell r="L9">
            <v>103267.94614625054</v>
          </cell>
          <cell r="M9">
            <v>97923.369254986086</v>
          </cell>
          <cell r="N9">
            <v>104813.97588916212</v>
          </cell>
          <cell r="O9">
            <v>101069.70193923989</v>
          </cell>
          <cell r="P9">
            <v>96644.576796036345</v>
          </cell>
          <cell r="Q9">
            <v>82649.253532994684</v>
          </cell>
          <cell r="R9">
            <v>106005.29102396668</v>
          </cell>
          <cell r="S9">
            <v>100806.03918312435</v>
          </cell>
          <cell r="T9">
            <v>118433.86429629629</v>
          </cell>
          <cell r="U9">
            <v>109893.59710256269</v>
          </cell>
          <cell r="V9">
            <v>98393.970730221001</v>
          </cell>
          <cell r="W9">
            <v>128234.80224396997</v>
          </cell>
          <cell r="Z9">
            <v>103127.20220465177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103328.68164203413</v>
          </cell>
          <cell r="AJ9">
            <v>28293.799763200484</v>
          </cell>
          <cell r="AK9">
            <v>13795.571165930356</v>
          </cell>
          <cell r="AL9">
            <v>19665.284060415546</v>
          </cell>
          <cell r="AO9">
            <v>1070141.6876116793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127845381.38594002</v>
          </cell>
          <cell r="G10">
            <v>16093159.023419999</v>
          </cell>
          <cell r="H10">
            <v>13398491.357069999</v>
          </cell>
          <cell r="I10">
            <v>5833172.6514500007</v>
          </cell>
          <cell r="J10">
            <v>5714759.34846</v>
          </cell>
          <cell r="K10">
            <v>9430608.8825700004</v>
          </cell>
          <cell r="L10">
            <v>7904352.06317</v>
          </cell>
          <cell r="M10">
            <v>2726619.1070900001</v>
          </cell>
          <cell r="N10">
            <v>6363191.76138</v>
          </cell>
          <cell r="O10">
            <v>2353761.87378</v>
          </cell>
          <cell r="P10">
            <v>4149162.1146800001</v>
          </cell>
          <cell r="Q10">
            <v>1916775.03198</v>
          </cell>
          <cell r="R10">
            <v>5430372.6618099995</v>
          </cell>
          <cell r="S10">
            <v>8833507.029409999</v>
          </cell>
          <cell r="T10">
            <v>1599299.5576599999</v>
          </cell>
          <cell r="U10">
            <v>1670659.5321</v>
          </cell>
          <cell r="V10">
            <v>4764894.9763700003</v>
          </cell>
          <cell r="W10">
            <v>2337690.5129999998</v>
          </cell>
          <cell r="Z10">
            <v>100520477.48540001</v>
          </cell>
          <cell r="AA10">
            <v>0</v>
          </cell>
          <cell r="AB10">
            <v>0</v>
          </cell>
          <cell r="AC10">
            <v>583.79499999999996</v>
          </cell>
          <cell r="AD10">
            <v>4123.4660000000003</v>
          </cell>
          <cell r="AH10">
            <v>4707.2610000000004</v>
          </cell>
          <cell r="AI10">
            <v>100525184.74640001</v>
          </cell>
          <cell r="AJ10">
            <v>2263452.7400500001</v>
          </cell>
          <cell r="AK10">
            <v>1677474.8314499999</v>
          </cell>
          <cell r="AL10">
            <v>1793540.7840400003</v>
          </cell>
          <cell r="AN10">
            <v>5734468.3555399999</v>
          </cell>
          <cell r="AO10">
            <v>22084848.509000003</v>
          </cell>
          <cell r="AP10">
            <v>0</v>
          </cell>
          <cell r="AS10">
            <v>22084848.509000003</v>
          </cell>
          <cell r="AT10">
            <v>843.95900000000006</v>
          </cell>
          <cell r="AU10">
            <v>1165.1949999999999</v>
          </cell>
          <cell r="AV10">
            <v>0</v>
          </cell>
          <cell r="BA10">
            <v>2009.154</v>
          </cell>
          <cell r="BB10">
            <v>0</v>
          </cell>
          <cell r="BC10">
            <v>0</v>
          </cell>
          <cell r="BD10">
            <v>-533648.35</v>
          </cell>
          <cell r="BE10">
            <v>0</v>
          </cell>
          <cell r="BF10">
            <v>0</v>
          </cell>
          <cell r="BG10">
            <v>0</v>
          </cell>
          <cell r="BH10">
            <v>32518.971000000001</v>
          </cell>
          <cell r="BJ10">
            <v>-501129.37899999996</v>
          </cell>
        </row>
        <row r="11">
          <cell r="G11">
            <v>90072.474930849785</v>
          </cell>
          <cell r="H11">
            <v>96018.312589633148</v>
          </cell>
          <cell r="I11">
            <v>97162.056640654278</v>
          </cell>
          <cell r="J11">
            <v>92975.829308712273</v>
          </cell>
          <cell r="K11">
            <v>97366.31201224486</v>
          </cell>
          <cell r="L11">
            <v>87696.538040118496</v>
          </cell>
          <cell r="M11">
            <v>94328.730071785641</v>
          </cell>
          <cell r="N11">
            <v>95411.620005098055</v>
          </cell>
          <cell r="O11">
            <v>96501.245286376114</v>
          </cell>
          <cell r="P11">
            <v>85655.700137902561</v>
          </cell>
          <cell r="Q11">
            <v>92292.415532176135</v>
          </cell>
          <cell r="R11">
            <v>95837.998337686629</v>
          </cell>
          <cell r="S11">
            <v>92844.529071082463</v>
          </cell>
          <cell r="T11">
            <v>94773.307120592595</v>
          </cell>
          <cell r="U11">
            <v>91678.622186248147</v>
          </cell>
          <cell r="V11">
            <v>90740.027924740309</v>
          </cell>
          <cell r="W11">
            <v>115544.2127817319</v>
          </cell>
          <cell r="Z11">
            <v>93460.125746041071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93464.502378703255</v>
          </cell>
          <cell r="AJ11">
            <v>24586.445292251876</v>
          </cell>
          <cell r="AK11">
            <v>11507.524294446121</v>
          </cell>
          <cell r="AL11">
            <v>22918.305911727879</v>
          </cell>
          <cell r="AO11">
            <v>1049401.4906022449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12211785.365059972</v>
          </cell>
          <cell r="G12">
            <v>2095067.7375800014</v>
          </cell>
          <cell r="H12">
            <v>638776.72692999989</v>
          </cell>
          <cell r="I12">
            <v>170512.3485499993</v>
          </cell>
          <cell r="J12">
            <v>262748.6055399999</v>
          </cell>
          <cell r="K12">
            <v>1928879.2654299997</v>
          </cell>
          <cell r="L12">
            <v>1403497.7268299991</v>
          </cell>
          <cell r="M12">
            <v>103904.84291000012</v>
          </cell>
          <cell r="N12">
            <v>627061.91862000059</v>
          </cell>
          <cell r="O12">
            <v>111429.22622000007</v>
          </cell>
          <cell r="P12">
            <v>532301.18532000063</v>
          </cell>
          <cell r="Q12">
            <v>-200274.00998000009</v>
          </cell>
          <cell r="R12">
            <v>576099.13819000032</v>
          </cell>
          <cell r="S12">
            <v>757481.95659000054</v>
          </cell>
          <cell r="T12">
            <v>399271.90234000003</v>
          </cell>
          <cell r="U12">
            <v>331931.48790000007</v>
          </cell>
          <cell r="V12">
            <v>401920.01762999967</v>
          </cell>
          <cell r="W12">
            <v>256756.00600000052</v>
          </cell>
          <cell r="Z12">
            <v>10397366.082600003</v>
          </cell>
          <cell r="AA12">
            <v>0</v>
          </cell>
          <cell r="AB12">
            <v>0</v>
          </cell>
          <cell r="AC12">
            <v>61916.205000000002</v>
          </cell>
          <cell r="AD12">
            <v>150076.53399999999</v>
          </cell>
          <cell r="AH12">
            <v>211992.739</v>
          </cell>
          <cell r="AI12">
            <v>10609358.82159996</v>
          </cell>
          <cell r="AJ12">
            <v>341302.75994999986</v>
          </cell>
          <cell r="AK12">
            <v>333533.16855000006</v>
          </cell>
          <cell r="AL12">
            <v>-254574.98404000024</v>
          </cell>
          <cell r="AN12">
            <v>420260.94445999991</v>
          </cell>
          <cell r="AO12">
            <v>436481.2829999961</v>
          </cell>
          <cell r="AP12">
            <v>0</v>
          </cell>
          <cell r="AS12">
            <v>436481.2829999961</v>
          </cell>
          <cell r="AT12">
            <v>17956.041000000001</v>
          </cell>
          <cell r="AU12">
            <v>29622.805</v>
          </cell>
          <cell r="AV12">
            <v>188851.19099999999</v>
          </cell>
          <cell r="BA12">
            <v>236430.03700000001</v>
          </cell>
          <cell r="BB12">
            <v>0</v>
          </cell>
          <cell r="BC12">
            <v>8124.9</v>
          </cell>
          <cell r="BD12">
            <v>533648.35</v>
          </cell>
          <cell r="BE12">
            <v>0</v>
          </cell>
          <cell r="BF12">
            <v>0</v>
          </cell>
          <cell r="BG12">
            <v>0</v>
          </cell>
          <cell r="BH12">
            <v>-32518.971000000001</v>
          </cell>
          <cell r="BJ12">
            <v>509254.27899999998</v>
          </cell>
        </row>
        <row r="13">
          <cell r="F13">
            <v>4259188.3440000005</v>
          </cell>
          <cell r="G13">
            <v>369254.74800000002</v>
          </cell>
          <cell r="H13">
            <v>343996.96</v>
          </cell>
          <cell r="I13">
            <v>236093.48100000003</v>
          </cell>
          <cell r="J13">
            <v>201485.54399999999</v>
          </cell>
          <cell r="K13">
            <v>277548.19400000002</v>
          </cell>
          <cell r="L13">
            <v>287667.67500000005</v>
          </cell>
          <cell r="M13">
            <v>173934.79399999999</v>
          </cell>
          <cell r="N13">
            <v>274386.78899999999</v>
          </cell>
          <cell r="O13">
            <v>150967.63700000002</v>
          </cell>
          <cell r="P13">
            <v>205435.85299999997</v>
          </cell>
          <cell r="Q13">
            <v>160689.20500000002</v>
          </cell>
          <cell r="R13">
            <v>158287.454</v>
          </cell>
          <cell r="S13">
            <v>266858.20799999998</v>
          </cell>
          <cell r="T13">
            <v>55817.676999999996</v>
          </cell>
          <cell r="U13">
            <v>65949.922999999995</v>
          </cell>
          <cell r="V13">
            <v>163255.98199999999</v>
          </cell>
          <cell r="W13">
            <v>87249.975999999995</v>
          </cell>
          <cell r="Z13">
            <v>3478880.0999999996</v>
          </cell>
          <cell r="AA13">
            <v>15849.737000000001</v>
          </cell>
          <cell r="AB13">
            <v>998.96100000000001</v>
          </cell>
          <cell r="AC13">
            <v>0</v>
          </cell>
          <cell r="AD13">
            <v>0</v>
          </cell>
          <cell r="AH13">
            <v>16848.698</v>
          </cell>
          <cell r="AI13">
            <v>3495728.798</v>
          </cell>
          <cell r="AJ13">
            <v>0</v>
          </cell>
          <cell r="AK13">
            <v>67</v>
          </cell>
          <cell r="AL13">
            <v>0</v>
          </cell>
          <cell r="AN13">
            <v>67</v>
          </cell>
          <cell r="AO13">
            <v>705789.26</v>
          </cell>
          <cell r="AP13">
            <v>0</v>
          </cell>
          <cell r="AS13">
            <v>705789.26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57603.285999999993</v>
          </cell>
          <cell r="BG13">
            <v>0</v>
          </cell>
          <cell r="BH13">
            <v>0</v>
          </cell>
          <cell r="BJ13">
            <v>57603.285999999993</v>
          </cell>
        </row>
        <row r="14">
          <cell r="F14">
            <v>2918607.7479999997</v>
          </cell>
          <cell r="G14">
            <v>259255.511</v>
          </cell>
          <cell r="H14">
            <v>240826.723</v>
          </cell>
          <cell r="I14">
            <v>165075.87600000002</v>
          </cell>
          <cell r="J14">
            <v>149498.34700000001</v>
          </cell>
          <cell r="K14">
            <v>180743.06700000001</v>
          </cell>
          <cell r="L14">
            <v>199667.01100000003</v>
          </cell>
          <cell r="M14">
            <v>118558.44499999999</v>
          </cell>
          <cell r="N14">
            <v>186223.76699999999</v>
          </cell>
          <cell r="O14">
            <v>110702.03800000002</v>
          </cell>
          <cell r="P14">
            <v>146087.46399999998</v>
          </cell>
          <cell r="Q14">
            <v>112888.902</v>
          </cell>
          <cell r="R14">
            <v>110356.52099999999</v>
          </cell>
          <cell r="S14">
            <v>188452.12099999998</v>
          </cell>
          <cell r="T14">
            <v>39410.752999999997</v>
          </cell>
          <cell r="U14">
            <v>44808.45</v>
          </cell>
          <cell r="V14">
            <v>119617.74599999998</v>
          </cell>
          <cell r="W14">
            <v>60196.491999999998</v>
          </cell>
          <cell r="Z14">
            <v>2432369.2339999997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2432369.2339999997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486238.51399999997</v>
          </cell>
          <cell r="AP14">
            <v>0</v>
          </cell>
          <cell r="AS14">
            <v>486238.51399999997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1340580.5960000004</v>
          </cell>
          <cell r="G15">
            <v>109999.23700000001</v>
          </cell>
          <cell r="H15">
            <v>103170.23700000001</v>
          </cell>
          <cell r="I15">
            <v>71017.604999999996</v>
          </cell>
          <cell r="J15">
            <v>51987.197</v>
          </cell>
          <cell r="K15">
            <v>96805.127000000008</v>
          </cell>
          <cell r="L15">
            <v>88000.66399999999</v>
          </cell>
          <cell r="M15">
            <v>55376.349000000002</v>
          </cell>
          <cell r="N15">
            <v>88163.021999999983</v>
          </cell>
          <cell r="O15">
            <v>40265.599000000002</v>
          </cell>
          <cell r="P15">
            <v>59348.389000000003</v>
          </cell>
          <cell r="Q15">
            <v>47800.303</v>
          </cell>
          <cell r="R15">
            <v>47930.933000000005</v>
          </cell>
          <cell r="S15">
            <v>78406.087</v>
          </cell>
          <cell r="T15">
            <v>16406.923999999999</v>
          </cell>
          <cell r="U15">
            <v>21141.473000000002</v>
          </cell>
          <cell r="V15">
            <v>43638.235999999997</v>
          </cell>
          <cell r="W15">
            <v>27053.483999999997</v>
          </cell>
          <cell r="Z15">
            <v>1046510.8660000002</v>
          </cell>
          <cell r="AA15">
            <v>15849.737000000001</v>
          </cell>
          <cell r="AB15">
            <v>998.96100000000001</v>
          </cell>
          <cell r="AC15">
            <v>0</v>
          </cell>
          <cell r="AD15">
            <v>0</v>
          </cell>
          <cell r="AH15">
            <v>16848.698</v>
          </cell>
          <cell r="AI15">
            <v>1063359.5640000002</v>
          </cell>
          <cell r="AJ15">
            <v>0</v>
          </cell>
          <cell r="AK15">
            <v>67</v>
          </cell>
          <cell r="AL15">
            <v>0</v>
          </cell>
          <cell r="AN15">
            <v>67</v>
          </cell>
          <cell r="AO15">
            <v>219550.74600000001</v>
          </cell>
          <cell r="AP15">
            <v>0</v>
          </cell>
          <cell r="AS15">
            <v>219550.74600000001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57603.285999999993</v>
          </cell>
          <cell r="BG15">
            <v>0</v>
          </cell>
          <cell r="BH15">
            <v>0</v>
          </cell>
          <cell r="BJ15">
            <v>57603.285999999993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7952597.0210599713</v>
          </cell>
          <cell r="G17">
            <v>1725812.9895800012</v>
          </cell>
          <cell r="H17">
            <v>294779.76692999987</v>
          </cell>
          <cell r="I17">
            <v>-65581.132450000732</v>
          </cell>
          <cell r="J17">
            <v>61263.061539999908</v>
          </cell>
          <cell r="K17">
            <v>1651331.0714299995</v>
          </cell>
          <cell r="L17">
            <v>1115830.0518299991</v>
          </cell>
          <cell r="M17">
            <v>-70029.951089999871</v>
          </cell>
          <cell r="N17">
            <v>352675.1296200006</v>
          </cell>
          <cell r="O17">
            <v>-39538.410779999947</v>
          </cell>
          <cell r="P17">
            <v>326865.33232000063</v>
          </cell>
          <cell r="Q17">
            <v>-360963.21498000011</v>
          </cell>
          <cell r="R17">
            <v>417811.68419000029</v>
          </cell>
          <cell r="S17">
            <v>490623.74859000056</v>
          </cell>
          <cell r="T17">
            <v>343454.22534</v>
          </cell>
          <cell r="U17">
            <v>265981.56490000006</v>
          </cell>
          <cell r="V17">
            <v>238664.03562999968</v>
          </cell>
          <cell r="W17">
            <v>169506.03000000052</v>
          </cell>
          <cell r="Z17">
            <v>6918485.9826000035</v>
          </cell>
          <cell r="AA17">
            <v>-15849.737000000001</v>
          </cell>
          <cell r="AB17">
            <v>-998.96100000000001</v>
          </cell>
          <cell r="AC17">
            <v>61916.205000000002</v>
          </cell>
          <cell r="AD17">
            <v>150076.53399999999</v>
          </cell>
          <cell r="AH17">
            <v>195144.041</v>
          </cell>
          <cell r="AI17">
            <v>7113630.0235999599</v>
          </cell>
          <cell r="AJ17">
            <v>341302.75994999986</v>
          </cell>
          <cell r="AK17">
            <v>333466.16855000006</v>
          </cell>
          <cell r="AL17">
            <v>-254574.98404000024</v>
          </cell>
          <cell r="AN17">
            <v>420193.94445999991</v>
          </cell>
          <cell r="AO17">
            <v>-269307.97700000391</v>
          </cell>
          <cell r="AP17">
            <v>0</v>
          </cell>
          <cell r="AS17">
            <v>-269307.97700000391</v>
          </cell>
          <cell r="AT17">
            <v>17956.041000000001</v>
          </cell>
          <cell r="AU17">
            <v>29622.805</v>
          </cell>
          <cell r="AV17">
            <v>188851.19099999999</v>
          </cell>
          <cell r="BA17">
            <v>236430.03700000001</v>
          </cell>
          <cell r="BB17">
            <v>0</v>
          </cell>
          <cell r="BC17">
            <v>8124.9</v>
          </cell>
          <cell r="BD17">
            <v>533648.35</v>
          </cell>
          <cell r="BE17">
            <v>0</v>
          </cell>
          <cell r="BF17">
            <v>-57603.285999999993</v>
          </cell>
          <cell r="BG17">
            <v>0</v>
          </cell>
          <cell r="BH17">
            <v>-32518.971000000001</v>
          </cell>
          <cell r="BJ17">
            <v>451650.99300000002</v>
          </cell>
        </row>
        <row r="18">
          <cell r="F18">
            <v>3602372.0040600006</v>
          </cell>
          <cell r="G18">
            <v>155946.42258000001</v>
          </cell>
          <cell r="H18">
            <v>197557.29793000003</v>
          </cell>
          <cell r="I18">
            <v>101104.94755000001</v>
          </cell>
          <cell r="J18">
            <v>89755.671539999996</v>
          </cell>
          <cell r="K18">
            <v>554972.66243000003</v>
          </cell>
          <cell r="L18">
            <v>341813.38882999995</v>
          </cell>
          <cell r="M18">
            <v>77465.780910000001</v>
          </cell>
          <cell r="N18">
            <v>144215.74262</v>
          </cell>
          <cell r="O18">
            <v>65712.624219999998</v>
          </cell>
          <cell r="P18">
            <v>179634.52332000004</v>
          </cell>
          <cell r="Q18">
            <v>79375.659020000006</v>
          </cell>
          <cell r="R18">
            <v>83734.95319</v>
          </cell>
          <cell r="S18">
            <v>170599.41959</v>
          </cell>
          <cell r="T18">
            <v>30786.105340000002</v>
          </cell>
          <cell r="U18">
            <v>52550.183900000004</v>
          </cell>
          <cell r="V18">
            <v>108593.61463</v>
          </cell>
          <cell r="W18">
            <v>62827.12000000001</v>
          </cell>
          <cell r="Z18">
            <v>2496646.1176000005</v>
          </cell>
          <cell r="AA18">
            <v>28290.967999999997</v>
          </cell>
          <cell r="AB18">
            <v>0</v>
          </cell>
          <cell r="AC18">
            <v>15881.276000000002</v>
          </cell>
          <cell r="AD18">
            <v>38451.475999999995</v>
          </cell>
          <cell r="AH18">
            <v>82623.72</v>
          </cell>
          <cell r="AI18">
            <v>2579269.8376000002</v>
          </cell>
          <cell r="AJ18">
            <v>185887.50295000002</v>
          </cell>
          <cell r="AK18">
            <v>333990.36155000003</v>
          </cell>
          <cell r="AL18">
            <v>293838.89496000001</v>
          </cell>
          <cell r="AN18">
            <v>813716.75946000009</v>
          </cell>
          <cell r="AO18">
            <v>23639.237000000001</v>
          </cell>
          <cell r="AP18">
            <v>0</v>
          </cell>
          <cell r="AS18">
            <v>23639.237000000001</v>
          </cell>
          <cell r="AT18">
            <v>6564.46</v>
          </cell>
          <cell r="AU18">
            <v>23924.084000000003</v>
          </cell>
          <cell r="AV18">
            <v>0</v>
          </cell>
          <cell r="BA18">
            <v>30488.544000000002</v>
          </cell>
          <cell r="BB18">
            <v>0</v>
          </cell>
          <cell r="BC18">
            <v>79382.256999999998</v>
          </cell>
          <cell r="BD18">
            <v>0</v>
          </cell>
          <cell r="BE18">
            <v>0</v>
          </cell>
          <cell r="BF18">
            <v>75875.368999999992</v>
          </cell>
          <cell r="BG18">
            <v>0</v>
          </cell>
          <cell r="BH18">
            <v>0</v>
          </cell>
          <cell r="BJ18">
            <v>155257.62599999999</v>
          </cell>
        </row>
        <row r="19">
          <cell r="F19">
            <v>3288231.3610600005</v>
          </cell>
          <cell r="G19">
            <v>144472.08858000001</v>
          </cell>
          <cell r="H19">
            <v>187934.96193000002</v>
          </cell>
          <cell r="I19">
            <v>92355.159550000011</v>
          </cell>
          <cell r="J19">
            <v>83795.736539999998</v>
          </cell>
          <cell r="K19">
            <v>545653.64043000003</v>
          </cell>
          <cell r="L19">
            <v>334043.05082999996</v>
          </cell>
          <cell r="M19">
            <v>73349.788910000003</v>
          </cell>
          <cell r="N19">
            <v>136399.22461999999</v>
          </cell>
          <cell r="O19">
            <v>60128.140220000001</v>
          </cell>
          <cell r="P19">
            <v>173592.36332000003</v>
          </cell>
          <cell r="Q19">
            <v>75309.317020000002</v>
          </cell>
          <cell r="R19">
            <v>77446.002189999999</v>
          </cell>
          <cell r="S19">
            <v>162779.43158999999</v>
          </cell>
          <cell r="T19">
            <v>28934.107340000002</v>
          </cell>
          <cell r="U19">
            <v>50335.839900000006</v>
          </cell>
          <cell r="V19">
            <v>104527.27262999999</v>
          </cell>
          <cell r="W19">
            <v>58760.778000000006</v>
          </cell>
          <cell r="Z19">
            <v>2389816.9036000003</v>
          </cell>
          <cell r="AA19">
            <v>0</v>
          </cell>
          <cell r="AB19">
            <v>0</v>
          </cell>
          <cell r="AC19">
            <v>15757.678000000002</v>
          </cell>
          <cell r="AD19">
            <v>38451.475999999995</v>
          </cell>
          <cell r="AH19">
            <v>54209.153999999995</v>
          </cell>
          <cell r="AI19">
            <v>2444026.0576000004</v>
          </cell>
          <cell r="AJ19">
            <v>185887.50295000002</v>
          </cell>
          <cell r="AK19">
            <v>333990.36155000003</v>
          </cell>
          <cell r="AL19">
            <v>293838.89496000001</v>
          </cell>
          <cell r="AN19">
            <v>813716.75946000009</v>
          </cell>
          <cell r="AO19">
            <v>0</v>
          </cell>
          <cell r="AP19">
            <v>0</v>
          </cell>
          <cell r="AS19">
            <v>0</v>
          </cell>
          <cell r="AT19">
            <v>6564.46</v>
          </cell>
          <cell r="AU19">
            <v>23924.084000000003</v>
          </cell>
          <cell r="AV19">
            <v>0</v>
          </cell>
          <cell r="BA19">
            <v>30488.544000000002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314140.64299999998</v>
          </cell>
          <cell r="G20">
            <v>11474.334000000001</v>
          </cell>
          <cell r="H20">
            <v>9622.3359999999993</v>
          </cell>
          <cell r="I20">
            <v>8749.7880000000005</v>
          </cell>
          <cell r="J20">
            <v>5959.9350000000004</v>
          </cell>
          <cell r="K20">
            <v>9319.0220000000008</v>
          </cell>
          <cell r="L20">
            <v>7770.3379999999997</v>
          </cell>
          <cell r="M20">
            <v>4115.9920000000002</v>
          </cell>
          <cell r="N20">
            <v>7816.518</v>
          </cell>
          <cell r="O20">
            <v>5584.4840000000004</v>
          </cell>
          <cell r="P20">
            <v>6042.16</v>
          </cell>
          <cell r="Q20">
            <v>4066.3420000000006</v>
          </cell>
          <cell r="R20">
            <v>6288.951</v>
          </cell>
          <cell r="S20">
            <v>7819.9879999999994</v>
          </cell>
          <cell r="T20">
            <v>1851.998</v>
          </cell>
          <cell r="U20">
            <v>2214.3440000000001</v>
          </cell>
          <cell r="V20">
            <v>4066.3420000000006</v>
          </cell>
          <cell r="W20">
            <v>4066.3420000000006</v>
          </cell>
          <cell r="Z20">
            <v>106829.21400000001</v>
          </cell>
          <cell r="AA20">
            <v>28290.967999999997</v>
          </cell>
          <cell r="AB20">
            <v>0</v>
          </cell>
          <cell r="AC20">
            <v>123.598</v>
          </cell>
          <cell r="AD20">
            <v>0</v>
          </cell>
          <cell r="AH20">
            <v>28414.565999999999</v>
          </cell>
          <cell r="AI20">
            <v>135243.78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23639.237000000001</v>
          </cell>
          <cell r="AP20">
            <v>0</v>
          </cell>
          <cell r="AS20">
            <v>23639.237000000001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79382.256999999998</v>
          </cell>
          <cell r="BD20">
            <v>0</v>
          </cell>
          <cell r="BE20">
            <v>0</v>
          </cell>
          <cell r="BF20">
            <v>75875.368999999992</v>
          </cell>
          <cell r="BG20">
            <v>0</v>
          </cell>
          <cell r="BH20">
            <v>0</v>
          </cell>
          <cell r="BJ20">
            <v>155257.62599999999</v>
          </cell>
        </row>
        <row r="21">
          <cell r="F21">
            <v>4350225.0169999711</v>
          </cell>
          <cell r="G21">
            <v>1569866.5670000012</v>
          </cell>
          <cell r="H21">
            <v>97222.468999999837</v>
          </cell>
          <cell r="I21">
            <v>-166686.08000000074</v>
          </cell>
          <cell r="J21">
            <v>-28492.610000000088</v>
          </cell>
          <cell r="K21">
            <v>1096358.4089999995</v>
          </cell>
          <cell r="L21">
            <v>774016.66299999913</v>
          </cell>
          <cell r="M21">
            <v>-147495.73199999987</v>
          </cell>
          <cell r="N21">
            <v>208459.3870000006</v>
          </cell>
          <cell r="O21">
            <v>-105251.03499999995</v>
          </cell>
          <cell r="P21">
            <v>147230.80900000059</v>
          </cell>
          <cell r="Q21">
            <v>-440338.87400000013</v>
          </cell>
          <cell r="R21">
            <v>334076.73100000026</v>
          </cell>
          <cell r="S21">
            <v>320024.32900000055</v>
          </cell>
          <cell r="T21">
            <v>312668.12</v>
          </cell>
          <cell r="U21">
            <v>213431.38100000005</v>
          </cell>
          <cell r="V21">
            <v>130070.42099999968</v>
          </cell>
          <cell r="W21">
            <v>106678.91000000051</v>
          </cell>
          <cell r="Z21">
            <v>4421839.865000003</v>
          </cell>
          <cell r="AA21">
            <v>-44140.705000000002</v>
          </cell>
          <cell r="AB21">
            <v>-998.96100000000001</v>
          </cell>
          <cell r="AC21">
            <v>46034.929000000004</v>
          </cell>
          <cell r="AD21">
            <v>111625.05799999999</v>
          </cell>
          <cell r="AH21">
            <v>112520.321</v>
          </cell>
          <cell r="AI21">
            <v>4534360.1859999597</v>
          </cell>
          <cell r="AJ21">
            <v>155415.25699999984</v>
          </cell>
          <cell r="AK21">
            <v>-524.1929999999702</v>
          </cell>
          <cell r="AL21">
            <v>-548413.87900000019</v>
          </cell>
          <cell r="AN21">
            <v>-393522.81500000018</v>
          </cell>
          <cell r="AO21">
            <v>-292947.21400000394</v>
          </cell>
          <cell r="AP21">
            <v>0</v>
          </cell>
          <cell r="AS21">
            <v>-292947.21400000394</v>
          </cell>
          <cell r="AT21">
            <v>11391.581000000002</v>
          </cell>
          <cell r="AU21">
            <v>5698.7209999999977</v>
          </cell>
          <cell r="AV21">
            <v>188851.19099999999</v>
          </cell>
          <cell r="BA21">
            <v>205941.49300000002</v>
          </cell>
          <cell r="BB21">
            <v>0</v>
          </cell>
          <cell r="BC21">
            <v>-71257.357000000004</v>
          </cell>
          <cell r="BD21">
            <v>533648.35</v>
          </cell>
          <cell r="BE21">
            <v>0</v>
          </cell>
          <cell r="BF21">
            <v>-133478.65499999997</v>
          </cell>
          <cell r="BG21">
            <v>0</v>
          </cell>
          <cell r="BH21">
            <v>-32518.971000000001</v>
          </cell>
          <cell r="BJ21">
            <v>296393.36700000003</v>
          </cell>
        </row>
        <row r="22">
          <cell r="F22">
            <v>7626012.7589977356</v>
          </cell>
          <cell r="G22">
            <v>1201297.9195641368</v>
          </cell>
          <cell r="H22">
            <v>918656.9089768097</v>
          </cell>
          <cell r="I22">
            <v>387262.61765307543</v>
          </cell>
          <cell r="J22">
            <v>379496.74964031554</v>
          </cell>
          <cell r="K22">
            <v>820266.46086602169</v>
          </cell>
          <cell r="L22">
            <v>635734.82992238458</v>
          </cell>
          <cell r="M22">
            <v>200670.41405976148</v>
          </cell>
          <cell r="N22">
            <v>488305.38488695677</v>
          </cell>
          <cell r="O22">
            <v>171092.49460360323</v>
          </cell>
          <cell r="P22">
            <v>334451.9934884301</v>
          </cell>
          <cell r="Q22">
            <v>125479.36752305373</v>
          </cell>
          <cell r="R22">
            <v>424739.39487865637</v>
          </cell>
          <cell r="S22">
            <v>633224.53320869326</v>
          </cell>
          <cell r="T22">
            <v>123897.23006899847</v>
          </cell>
          <cell r="U22">
            <v>124994.6757861911</v>
          </cell>
          <cell r="V22">
            <v>328134.2396152672</v>
          </cell>
          <cell r="W22">
            <v>170839.04311997758</v>
          </cell>
          <cell r="Z22">
            <v>7468544.2578623323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7468544.2578623323</v>
          </cell>
          <cell r="AJ22">
            <v>107613.15439845984</v>
          </cell>
          <cell r="AK22">
            <v>81783.947746943246</v>
          </cell>
          <cell r="AL22">
            <v>64272.99699</v>
          </cell>
          <cell r="AN22">
            <v>253670.09913540311</v>
          </cell>
          <cell r="AO22">
            <v>88238.657000000007</v>
          </cell>
          <cell r="AP22">
            <v>0</v>
          </cell>
          <cell r="AS22">
            <v>88238.657000000007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-184440.255</v>
          </cell>
          <cell r="BF22">
            <v>0</v>
          </cell>
          <cell r="BG22">
            <v>0</v>
          </cell>
          <cell r="BH22">
            <v>0</v>
          </cell>
          <cell r="BJ22">
            <v>-184440.255</v>
          </cell>
        </row>
        <row r="23">
          <cell r="F23">
            <v>1110715.1629977361</v>
          </cell>
          <cell r="G23">
            <v>73463.183324461279</v>
          </cell>
          <cell r="H23">
            <v>56389.41652129867</v>
          </cell>
          <cell r="I23">
            <v>23981.372140686544</v>
          </cell>
          <cell r="J23">
            <v>23426.995419720857</v>
          </cell>
          <cell r="K23">
            <v>94027.157919087229</v>
          </cell>
          <cell r="L23">
            <v>74182.193168519414</v>
          </cell>
          <cell r="M23">
            <v>23174.504196264475</v>
          </cell>
          <cell r="N23">
            <v>56705.738839404039</v>
          </cell>
          <cell r="O23">
            <v>19782.539371859017</v>
          </cell>
          <cell r="P23">
            <v>38724.49821210769</v>
          </cell>
          <cell r="Q23">
            <v>14439.363471501512</v>
          </cell>
          <cell r="R23">
            <v>49040.84838428066</v>
          </cell>
          <cell r="S23">
            <v>38903.81510954813</v>
          </cell>
          <cell r="T23">
            <v>7599.3298723567614</v>
          </cell>
          <cell r="U23">
            <v>7653.3460153359483</v>
          </cell>
          <cell r="V23">
            <v>20010.548781734175</v>
          </cell>
          <cell r="W23">
            <v>10482.45311416663</v>
          </cell>
          <cell r="Z23">
            <v>631987.30386233306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631987.30386233306</v>
          </cell>
          <cell r="AJ23">
            <v>107613.15439845984</v>
          </cell>
          <cell r="AK23">
            <v>81783.947746943246</v>
          </cell>
          <cell r="AL23">
            <v>64272.99699</v>
          </cell>
          <cell r="AN23">
            <v>253670.09913540311</v>
          </cell>
          <cell r="AO23">
            <v>225057.76</v>
          </cell>
          <cell r="AP23">
            <v>0</v>
          </cell>
          <cell r="AS23">
            <v>225057.76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2225080.0469999998</v>
          </cell>
          <cell r="G24">
            <v>369616.70767279994</v>
          </cell>
          <cell r="H24">
            <v>279775.24069255457</v>
          </cell>
          <cell r="I24">
            <v>115556.9514724984</v>
          </cell>
          <cell r="J24">
            <v>113279.7711381001</v>
          </cell>
          <cell r="K24">
            <v>241002.09942729</v>
          </cell>
          <cell r="L24">
            <v>183669.88594582124</v>
          </cell>
          <cell r="M24">
            <v>57728.550266464626</v>
          </cell>
          <cell r="N24">
            <v>139350.81598048157</v>
          </cell>
          <cell r="O24">
            <v>49343.92587376653</v>
          </cell>
          <cell r="P24">
            <v>96509.333668972584</v>
          </cell>
          <cell r="Q24">
            <v>36022.097331816381</v>
          </cell>
          <cell r="R24">
            <v>123173.15838598004</v>
          </cell>
          <cell r="S24">
            <v>192839.42638436519</v>
          </cell>
          <cell r="T24">
            <v>37312.541817237812</v>
          </cell>
          <cell r="U24">
            <v>37439.175954432802</v>
          </cell>
          <cell r="V24">
            <v>99782.26199157245</v>
          </cell>
          <cell r="W24">
            <v>52678.102995845853</v>
          </cell>
          <cell r="Z24">
            <v>2225080.0469999998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2225080.0469999998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4290217.5489999996</v>
          </cell>
          <cell r="G25">
            <v>758218.0285668755</v>
          </cell>
          <cell r="H25">
            <v>582492.2517629565</v>
          </cell>
          <cell r="I25">
            <v>247724.29403989049</v>
          </cell>
          <cell r="J25">
            <v>242789.98308249461</v>
          </cell>
          <cell r="K25">
            <v>485237.20351964439</v>
          </cell>
          <cell r="L25">
            <v>377882.75080804387</v>
          </cell>
          <cell r="M25">
            <v>119767.35959703237</v>
          </cell>
          <cell r="N25">
            <v>292248.83006707113</v>
          </cell>
          <cell r="O25">
            <v>101966.02935797769</v>
          </cell>
          <cell r="P25">
            <v>199218.16160734982</v>
          </cell>
          <cell r="Q25">
            <v>75017.906719735838</v>
          </cell>
          <cell r="R25">
            <v>252525.38810839568</v>
          </cell>
          <cell r="S25">
            <v>401481.29171477992</v>
          </cell>
          <cell r="T25">
            <v>78985.3583794039</v>
          </cell>
          <cell r="U25">
            <v>79902.15381642236</v>
          </cell>
          <cell r="V25">
            <v>208341.42884196056</v>
          </cell>
          <cell r="W25">
            <v>107678.4870099651</v>
          </cell>
          <cell r="Z25">
            <v>4611476.9069999997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4611476.9069999997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-136819.103</v>
          </cell>
          <cell r="AP25">
            <v>0</v>
          </cell>
          <cell r="AS25">
            <v>-136819.103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-184440.255</v>
          </cell>
          <cell r="BF25">
            <v>0</v>
          </cell>
          <cell r="BG25">
            <v>0</v>
          </cell>
          <cell r="BH25">
            <v>0</v>
          </cell>
          <cell r="BJ25">
            <v>-184440.255</v>
          </cell>
        </row>
        <row r="26">
          <cell r="F26">
            <v>-3275787.7419977644</v>
          </cell>
          <cell r="G26">
            <v>368568.64743586443</v>
          </cell>
          <cell r="H26">
            <v>-821434.4399768099</v>
          </cell>
          <cell r="I26">
            <v>-553948.69765307615</v>
          </cell>
          <cell r="J26">
            <v>-407989.35964031564</v>
          </cell>
          <cell r="K26">
            <v>276091.94813397783</v>
          </cell>
          <cell r="L26">
            <v>138281.83307761454</v>
          </cell>
          <cell r="M26">
            <v>-348166.14605976135</v>
          </cell>
          <cell r="N26">
            <v>-279845.9978869562</v>
          </cell>
          <cell r="O26">
            <v>-276343.52960360318</v>
          </cell>
          <cell r="P26">
            <v>-187221.18448842951</v>
          </cell>
          <cell r="Q26">
            <v>-565818.24152305385</v>
          </cell>
          <cell r="R26">
            <v>-90662.663878656109</v>
          </cell>
          <cell r="S26">
            <v>-313200.20420869271</v>
          </cell>
          <cell r="T26">
            <v>188770.88993100153</v>
          </cell>
          <cell r="U26">
            <v>88436.705213808949</v>
          </cell>
          <cell r="V26">
            <v>-198063.81861526752</v>
          </cell>
          <cell r="W26">
            <v>-64160.133119977065</v>
          </cell>
          <cell r="Z26">
            <v>-3046704.3928623293</v>
          </cell>
          <cell r="AA26">
            <v>-44140.705000000002</v>
          </cell>
          <cell r="AB26">
            <v>-998.96100000000001</v>
          </cell>
          <cell r="AC26">
            <v>46034.929000000004</v>
          </cell>
          <cell r="AD26">
            <v>111625.05799999999</v>
          </cell>
          <cell r="AH26">
            <v>112520.321</v>
          </cell>
          <cell r="AI26">
            <v>-2934184.0718623726</v>
          </cell>
          <cell r="AJ26">
            <v>47802.102601539998</v>
          </cell>
          <cell r="AK26">
            <v>-82308.140746943216</v>
          </cell>
          <cell r="AL26">
            <v>-612686.8759900002</v>
          </cell>
          <cell r="AN26">
            <v>-647192.91413540323</v>
          </cell>
          <cell r="AO26">
            <v>-381185.87100000394</v>
          </cell>
          <cell r="AP26">
            <v>0</v>
          </cell>
          <cell r="AS26">
            <v>-381185.87100000394</v>
          </cell>
          <cell r="AT26">
            <v>11391.581000000002</v>
          </cell>
          <cell r="AU26">
            <v>5698.7209999999977</v>
          </cell>
          <cell r="AV26">
            <v>188851.19099999999</v>
          </cell>
          <cell r="BA26">
            <v>205941.49300000002</v>
          </cell>
          <cell r="BB26">
            <v>0</v>
          </cell>
          <cell r="BC26">
            <v>-71257.357000000004</v>
          </cell>
          <cell r="BD26">
            <v>533648.35</v>
          </cell>
          <cell r="BE26">
            <v>184440.255</v>
          </cell>
          <cell r="BF26">
            <v>-133478.65499999997</v>
          </cell>
          <cell r="BG26">
            <v>0</v>
          </cell>
          <cell r="BH26">
            <v>-32518.971000000001</v>
          </cell>
          <cell r="BJ26">
            <v>480833.62200000003</v>
          </cell>
        </row>
        <row r="27">
          <cell r="F27">
            <v>-3275787.7419977384</v>
          </cell>
          <cell r="G27">
            <v>368568.64743586327</v>
          </cell>
          <cell r="H27">
            <v>-821434.43997681048</v>
          </cell>
          <cell r="I27">
            <v>-553948.6976530758</v>
          </cell>
          <cell r="J27">
            <v>-407989.35964031582</v>
          </cell>
          <cell r="K27">
            <v>276091.94813397783</v>
          </cell>
          <cell r="L27">
            <v>138281.83307761519</v>
          </cell>
          <cell r="M27">
            <v>-348166.14605976164</v>
          </cell>
          <cell r="N27">
            <v>-279845.99788695696</v>
          </cell>
          <cell r="O27">
            <v>-276343.5296036033</v>
          </cell>
          <cell r="P27">
            <v>-187221.18448842978</v>
          </cell>
          <cell r="Q27">
            <v>-565818.24152305373</v>
          </cell>
          <cell r="R27">
            <v>-90662.663878656225</v>
          </cell>
          <cell r="S27">
            <v>-313200.20420869289</v>
          </cell>
          <cell r="T27">
            <v>188770.8899310015</v>
          </cell>
          <cell r="U27">
            <v>88436.705213808906</v>
          </cell>
          <cell r="V27">
            <v>-198063.8186152674</v>
          </cell>
          <cell r="W27">
            <v>-64160.13311997756</v>
          </cell>
          <cell r="Z27">
            <v>-3046704.3928623348</v>
          </cell>
          <cell r="AA27">
            <v>-44140.705000000002</v>
          </cell>
          <cell r="AB27">
            <v>-998.96100000000001</v>
          </cell>
          <cell r="AC27">
            <v>46034.928999999989</v>
          </cell>
          <cell r="AD27">
            <v>111625.05799999999</v>
          </cell>
          <cell r="AH27">
            <v>112520.32099999997</v>
          </cell>
          <cell r="AI27">
            <v>-2934184.0718623349</v>
          </cell>
          <cell r="AJ27">
            <v>47802.102601540115</v>
          </cell>
          <cell r="AK27">
            <v>-82308.140746943332</v>
          </cell>
          <cell r="AL27">
            <v>-612686.87599000009</v>
          </cell>
          <cell r="AN27">
            <v>-647192.91413540335</v>
          </cell>
          <cell r="AO27">
            <v>-381185.87100000109</v>
          </cell>
          <cell r="AP27">
            <v>0</v>
          </cell>
          <cell r="AS27">
            <v>-381185.87100000109</v>
          </cell>
          <cell r="AT27">
            <v>11391.581000000002</v>
          </cell>
          <cell r="AU27">
            <v>5698.7209999999977</v>
          </cell>
          <cell r="AV27">
            <v>188851.19099999999</v>
          </cell>
          <cell r="BA27">
            <v>205941.49299999999</v>
          </cell>
          <cell r="BB27">
            <v>0</v>
          </cell>
          <cell r="BC27">
            <v>-71257.357000000004</v>
          </cell>
          <cell r="BD27">
            <v>533648.35</v>
          </cell>
          <cell r="BE27">
            <v>184440.255</v>
          </cell>
          <cell r="BF27">
            <v>-133478.655</v>
          </cell>
          <cell r="BG27">
            <v>0</v>
          </cell>
          <cell r="BH27">
            <v>-32518.971000000001</v>
          </cell>
          <cell r="BJ27">
            <v>480833.62199999986</v>
          </cell>
        </row>
        <row r="28">
          <cell r="F28">
            <v>-2.6077032089233398E-8</v>
          </cell>
          <cell r="G28">
            <v>1.1641532182693481E-9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-6.4028427004814148E-10</v>
          </cell>
          <cell r="M28">
            <v>0</v>
          </cell>
          <cell r="N28">
            <v>7.5669959187507629E-10</v>
          </cell>
          <cell r="O28">
            <v>0</v>
          </cell>
          <cell r="P28">
            <v>2.6193447411060333E-10</v>
          </cell>
          <cell r="Q28">
            <v>0</v>
          </cell>
          <cell r="R28">
            <v>1.1641532182693481E-10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4.9476511776447296E-10</v>
          </cell>
          <cell r="Z28">
            <v>5.5879354476928711E-9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-3.771856427192688E-8</v>
          </cell>
          <cell r="AJ28">
            <v>-1.1641532182693481E-10</v>
          </cell>
          <cell r="AK28">
            <v>1.1641532182693481E-10</v>
          </cell>
          <cell r="AL28">
            <v>0</v>
          </cell>
          <cell r="AN28">
            <v>0</v>
          </cell>
          <cell r="AO28">
            <v>-2.852175384759903E-9</v>
          </cell>
          <cell r="AP28">
            <v>0</v>
          </cell>
          <cell r="AS28">
            <v>-2.852175384759903E-9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BB29">
            <v>0</v>
          </cell>
          <cell r="BC29">
            <v>-71257.357000000004</v>
          </cell>
          <cell r="BD29">
            <v>533648.35</v>
          </cell>
          <cell r="BE29">
            <v>184440.255</v>
          </cell>
          <cell r="BF29">
            <v>-133478.655</v>
          </cell>
          <cell r="BG29">
            <v>0</v>
          </cell>
          <cell r="BH29">
            <v>-32518.971000000001</v>
          </cell>
          <cell r="BI29">
            <v>0</v>
          </cell>
          <cell r="BJ29">
            <v>480833.62200000003</v>
          </cell>
        </row>
        <row r="31">
          <cell r="G31">
            <v>178669</v>
          </cell>
          <cell r="H31">
            <v>139541</v>
          </cell>
          <cell r="I31">
            <v>60035.5</v>
          </cell>
          <cell r="J31">
            <v>61465</v>
          </cell>
          <cell r="K31">
            <v>96857</v>
          </cell>
          <cell r="L31">
            <v>90133</v>
          </cell>
          <cell r="M31">
            <v>28905.5</v>
          </cell>
          <cell r="N31">
            <v>66692</v>
          </cell>
          <cell r="O31">
            <v>24391</v>
          </cell>
          <cell r="P31">
            <v>48440</v>
          </cell>
          <cell r="Q31">
            <v>20768.5</v>
          </cell>
          <cell r="R31">
            <v>56662</v>
          </cell>
          <cell r="S31">
            <v>95143</v>
          </cell>
          <cell r="T31">
            <v>16875</v>
          </cell>
          <cell r="U31">
            <v>18223</v>
          </cell>
          <cell r="V31">
            <v>52511.5</v>
          </cell>
          <cell r="W31">
            <v>20232</v>
          </cell>
          <cell r="X31">
            <v>0</v>
          </cell>
          <cell r="Y31">
            <v>0</v>
          </cell>
          <cell r="Z31">
            <v>1075544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1075544</v>
          </cell>
          <cell r="AJ31">
            <v>92061</v>
          </cell>
          <cell r="AK31">
            <v>145772</v>
          </cell>
          <cell r="AL31">
            <v>78258</v>
          </cell>
          <cell r="AN31">
            <v>316091</v>
          </cell>
          <cell r="AO31">
            <v>21045.184999999998</v>
          </cell>
          <cell r="AP31">
            <v>0</v>
          </cell>
          <cell r="AS31">
            <v>21045.184999999998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140057166.75099999</v>
          </cell>
          <cell r="G32">
            <v>18188226.761</v>
          </cell>
          <cell r="H32">
            <v>14037268.083999999</v>
          </cell>
          <cell r="I32">
            <v>6003685</v>
          </cell>
          <cell r="J32">
            <v>5977507.9539999999</v>
          </cell>
          <cell r="K32">
            <v>11359488.148</v>
          </cell>
          <cell r="L32">
            <v>9307849.7899999991</v>
          </cell>
          <cell r="M32">
            <v>2830523.95</v>
          </cell>
          <cell r="N32">
            <v>6990253.6800000006</v>
          </cell>
          <cell r="O32">
            <v>2465191.1</v>
          </cell>
          <cell r="P32">
            <v>4681463.3000000007</v>
          </cell>
          <cell r="Q32">
            <v>1716501.0219999999</v>
          </cell>
          <cell r="R32">
            <v>6006471.7999999998</v>
          </cell>
          <cell r="S32">
            <v>9590988.9859999996</v>
          </cell>
          <cell r="T32">
            <v>1998571.46</v>
          </cell>
          <cell r="U32">
            <v>2002591.02</v>
          </cell>
          <cell r="V32">
            <v>5166814.9939999999</v>
          </cell>
          <cell r="W32">
            <v>2594446.5190000003</v>
          </cell>
          <cell r="X32">
            <v>0</v>
          </cell>
          <cell r="Y32">
            <v>0</v>
          </cell>
          <cell r="Z32">
            <v>110917843.56799997</v>
          </cell>
          <cell r="AA32">
            <v>0</v>
          </cell>
          <cell r="AB32">
            <v>0</v>
          </cell>
          <cell r="AC32">
            <v>62500</v>
          </cell>
          <cell r="AD32">
            <v>154200</v>
          </cell>
          <cell r="AH32">
            <v>216700</v>
          </cell>
          <cell r="AI32">
            <v>111134543.56799997</v>
          </cell>
          <cell r="AJ32">
            <v>2604755.5</v>
          </cell>
          <cell r="AK32">
            <v>2011008</v>
          </cell>
          <cell r="AL32">
            <v>1538965.8</v>
          </cell>
          <cell r="AN32">
            <v>6154729.2999999998</v>
          </cell>
          <cell r="AO32">
            <v>22521329.791999999</v>
          </cell>
          <cell r="AP32">
            <v>0</v>
          </cell>
          <cell r="AS32">
            <v>22521329.791999999</v>
          </cell>
          <cell r="AT32">
            <v>18800</v>
          </cell>
          <cell r="AU32">
            <v>30788</v>
          </cell>
          <cell r="AV32">
            <v>188851.19099999999</v>
          </cell>
          <cell r="BA32">
            <v>238439.19099999999</v>
          </cell>
          <cell r="BB32">
            <v>0</v>
          </cell>
          <cell r="BC32">
            <v>8124.9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8124.9</v>
          </cell>
        </row>
        <row r="33">
          <cell r="F33">
            <v>131101093.77600001</v>
          </cell>
          <cell r="G33">
            <v>16237631.111999998</v>
          </cell>
          <cell r="H33">
            <v>13586426.318999998</v>
          </cell>
          <cell r="I33">
            <v>5925527.8110000007</v>
          </cell>
          <cell r="J33">
            <v>5798555.085</v>
          </cell>
          <cell r="K33">
            <v>9976262.523</v>
          </cell>
          <cell r="L33">
            <v>8238395.1140000001</v>
          </cell>
          <cell r="M33">
            <v>2799968.8960000002</v>
          </cell>
          <cell r="N33">
            <v>6499590.9859999996</v>
          </cell>
          <cell r="O33">
            <v>2413890.014</v>
          </cell>
          <cell r="P33">
            <v>4322754.4780000001</v>
          </cell>
          <cell r="Q33">
            <v>1992084.3489999999</v>
          </cell>
          <cell r="R33">
            <v>5507818.6639999999</v>
          </cell>
          <cell r="S33">
            <v>8996286.4609999992</v>
          </cell>
          <cell r="T33">
            <v>1628233.665</v>
          </cell>
          <cell r="U33">
            <v>1720995.372</v>
          </cell>
          <cell r="V33">
            <v>4869422.2489999998</v>
          </cell>
          <cell r="W33">
            <v>2396451.2909999997</v>
          </cell>
          <cell r="X33">
            <v>0</v>
          </cell>
          <cell r="Y33">
            <v>0</v>
          </cell>
          <cell r="Z33">
            <v>102910294.389</v>
          </cell>
          <cell r="AA33">
            <v>0</v>
          </cell>
          <cell r="AB33">
            <v>0</v>
          </cell>
          <cell r="AC33">
            <v>16341.473000000002</v>
          </cell>
          <cell r="AD33">
            <v>42574.941999999995</v>
          </cell>
          <cell r="AH33">
            <v>58916.414999999994</v>
          </cell>
          <cell r="AI33">
            <v>102969210.80400001</v>
          </cell>
          <cell r="AJ33">
            <v>2449340.2430000002</v>
          </cell>
          <cell r="AK33">
            <v>2011465.193</v>
          </cell>
          <cell r="AL33">
            <v>2087379.6790000002</v>
          </cell>
          <cell r="AN33">
            <v>6548185.1150000012</v>
          </cell>
          <cell r="AO33">
            <v>22084848.509000003</v>
          </cell>
          <cell r="AP33">
            <v>0</v>
          </cell>
          <cell r="AS33">
            <v>22084848.509000003</v>
          </cell>
          <cell r="AT33">
            <v>7408.4189999999999</v>
          </cell>
          <cell r="AU33">
            <v>25089.279000000002</v>
          </cell>
          <cell r="AV33">
            <v>0</v>
          </cell>
          <cell r="BA33">
            <v>32497.698000000004</v>
          </cell>
          <cell r="BB33">
            <v>0</v>
          </cell>
          <cell r="BC33">
            <v>0</v>
          </cell>
          <cell r="BD33">
            <v>-533648.35</v>
          </cell>
          <cell r="BE33">
            <v>0</v>
          </cell>
          <cell r="BF33">
            <v>0</v>
          </cell>
          <cell r="BG33">
            <v>0</v>
          </cell>
          <cell r="BJ33">
            <v>-533648.35</v>
          </cell>
        </row>
        <row r="34">
          <cell r="F34">
            <v>8956072.9749999791</v>
          </cell>
          <cell r="G34">
            <v>1950595.6490000021</v>
          </cell>
          <cell r="H34">
            <v>450841.7650000006</v>
          </cell>
          <cell r="I34">
            <v>78157.188999999315</v>
          </cell>
          <cell r="J34">
            <v>178952.86899999995</v>
          </cell>
          <cell r="K34">
            <v>1383225.625</v>
          </cell>
          <cell r="L34">
            <v>1069454.675999999</v>
          </cell>
          <cell r="M34">
            <v>30555.054000000004</v>
          </cell>
          <cell r="N34">
            <v>490662.69400000107</v>
          </cell>
          <cell r="O34">
            <v>51301.086000000127</v>
          </cell>
          <cell r="P34">
            <v>358708.82200000063</v>
          </cell>
          <cell r="Q34">
            <v>-275583.32700000005</v>
          </cell>
          <cell r="R34">
            <v>498653.13599999994</v>
          </cell>
          <cell r="S34">
            <v>594702.52500000037</v>
          </cell>
          <cell r="T34">
            <v>370337.79499999993</v>
          </cell>
          <cell r="U34">
            <v>281595.64800000004</v>
          </cell>
          <cell r="V34">
            <v>297392.74500000011</v>
          </cell>
          <cell r="W34">
            <v>197995.22800000058</v>
          </cell>
          <cell r="X34">
            <v>0</v>
          </cell>
          <cell r="Y34">
            <v>0</v>
          </cell>
          <cell r="Z34">
            <v>8007549.1789999753</v>
          </cell>
          <cell r="AA34">
            <v>0</v>
          </cell>
          <cell r="AB34">
            <v>0</v>
          </cell>
          <cell r="AC34">
            <v>46158.527000000002</v>
          </cell>
          <cell r="AD34">
            <v>111625.058</v>
          </cell>
          <cell r="AH34">
            <v>157783.58500000002</v>
          </cell>
          <cell r="AI34">
            <v>8165332.7639999688</v>
          </cell>
          <cell r="AJ34">
            <v>155415.25699999975</v>
          </cell>
          <cell r="AK34">
            <v>-457.1929999999702</v>
          </cell>
          <cell r="AL34">
            <v>-548413.87900000019</v>
          </cell>
          <cell r="AN34">
            <v>-393455.81500000134</v>
          </cell>
          <cell r="AO34">
            <v>436481.2829999961</v>
          </cell>
          <cell r="AP34">
            <v>0</v>
          </cell>
          <cell r="AS34">
            <v>436481.2829999961</v>
          </cell>
          <cell r="AT34">
            <v>11391.581</v>
          </cell>
          <cell r="AU34">
            <v>5698.7209999999977</v>
          </cell>
          <cell r="AV34">
            <v>188851.19099999999</v>
          </cell>
          <cell r="BA34">
            <v>205941.49299999999</v>
          </cell>
          <cell r="BB34">
            <v>0</v>
          </cell>
          <cell r="BC34">
            <v>8124.9</v>
          </cell>
          <cell r="BD34">
            <v>533648.35</v>
          </cell>
          <cell r="BE34">
            <v>0</v>
          </cell>
          <cell r="BF34">
            <v>0</v>
          </cell>
          <cell r="BG34">
            <v>0</v>
          </cell>
          <cell r="BJ34">
            <v>541773.25</v>
          </cell>
        </row>
        <row r="35">
          <cell r="F35">
            <v>12199341.745997738</v>
          </cell>
          <cell r="G35">
            <v>1582027.0015641369</v>
          </cell>
          <cell r="H35">
            <v>1272276.2049768097</v>
          </cell>
          <cell r="I35">
            <v>632105.88665307546</v>
          </cell>
          <cell r="J35">
            <v>586942.22864031559</v>
          </cell>
          <cell r="K35">
            <v>1107133.6768660217</v>
          </cell>
          <cell r="L35">
            <v>931172.84292238462</v>
          </cell>
          <cell r="M35">
            <v>378721.20005976147</v>
          </cell>
          <cell r="N35">
            <v>770508.6918869568</v>
          </cell>
          <cell r="O35">
            <v>327644.61560360325</v>
          </cell>
          <cell r="P35">
            <v>545930.00648843008</v>
          </cell>
          <cell r="Q35">
            <v>290234.91452305374</v>
          </cell>
          <cell r="R35">
            <v>589315.7998786564</v>
          </cell>
          <cell r="S35">
            <v>907902.72920869326</v>
          </cell>
          <cell r="T35">
            <v>181566.90506899846</v>
          </cell>
          <cell r="U35">
            <v>193158.9427861911</v>
          </cell>
          <cell r="V35">
            <v>495456.56361526722</v>
          </cell>
          <cell r="W35">
            <v>262155.36111997755</v>
          </cell>
          <cell r="X35">
            <v>0</v>
          </cell>
          <cell r="Y35">
            <v>0</v>
          </cell>
          <cell r="Z35">
            <v>11054253.571862336</v>
          </cell>
          <cell r="AA35">
            <v>44140.705000000002</v>
          </cell>
          <cell r="AB35">
            <v>998.96100000000001</v>
          </cell>
          <cell r="AC35">
            <v>123.598</v>
          </cell>
          <cell r="AD35">
            <v>0</v>
          </cell>
          <cell r="AH35">
            <v>45263.264000000003</v>
          </cell>
          <cell r="AI35">
            <v>11099516.835862337</v>
          </cell>
          <cell r="AJ35">
            <v>107613.15439845984</v>
          </cell>
          <cell r="AK35">
            <v>81850.947746943246</v>
          </cell>
          <cell r="AL35">
            <v>64272.99699</v>
          </cell>
          <cell r="AN35">
            <v>253737.09913540311</v>
          </cell>
          <cell r="AO35">
            <v>817667.15399999998</v>
          </cell>
          <cell r="AP35">
            <v>0</v>
          </cell>
          <cell r="AS35">
            <v>817667.15399999998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79382.256999999998</v>
          </cell>
          <cell r="BD35">
            <v>0</v>
          </cell>
          <cell r="BE35">
            <v>-184440.255</v>
          </cell>
          <cell r="BF35">
            <v>133478.65499999997</v>
          </cell>
          <cell r="BG35">
            <v>0</v>
          </cell>
          <cell r="BJ35">
            <v>28420.656999999963</v>
          </cell>
        </row>
        <row r="36">
          <cell r="F36">
            <v>-3243268.770997759</v>
          </cell>
          <cell r="G36">
            <v>368568.64743586513</v>
          </cell>
          <cell r="H36">
            <v>-821434.43997680908</v>
          </cell>
          <cell r="I36">
            <v>-553948.69765307615</v>
          </cell>
          <cell r="J36">
            <v>-407989.35964031564</v>
          </cell>
          <cell r="K36">
            <v>276091.94813397829</v>
          </cell>
          <cell r="L36">
            <v>138281.83307761443</v>
          </cell>
          <cell r="M36">
            <v>-348166.14605976146</v>
          </cell>
          <cell r="N36">
            <v>-279845.99788695574</v>
          </cell>
          <cell r="O36">
            <v>-276343.52960360312</v>
          </cell>
          <cell r="P36">
            <v>-187221.18448842946</v>
          </cell>
          <cell r="Q36">
            <v>-565818.24152305373</v>
          </cell>
          <cell r="R36">
            <v>-90662.663878656458</v>
          </cell>
          <cell r="S36">
            <v>-313200.20420869289</v>
          </cell>
          <cell r="T36">
            <v>188770.88993100147</v>
          </cell>
          <cell r="U36">
            <v>88436.705213808949</v>
          </cell>
          <cell r="V36">
            <v>-198063.81861526711</v>
          </cell>
          <cell r="W36">
            <v>-64160.133119976963</v>
          </cell>
          <cell r="X36">
            <v>0</v>
          </cell>
          <cell r="Y36">
            <v>0</v>
          </cell>
          <cell r="Z36">
            <v>-3046704.3928623609</v>
          </cell>
          <cell r="AA36">
            <v>-44140.705000000002</v>
          </cell>
          <cell r="AB36">
            <v>-998.96100000000001</v>
          </cell>
          <cell r="AC36">
            <v>46034.929000000004</v>
          </cell>
          <cell r="AD36">
            <v>111625.058</v>
          </cell>
          <cell r="AH36">
            <v>112520.32100000003</v>
          </cell>
          <cell r="AI36">
            <v>-2934184.0718623679</v>
          </cell>
          <cell r="AJ36">
            <v>47802.102601539911</v>
          </cell>
          <cell r="AK36">
            <v>-82308.140746943216</v>
          </cell>
          <cell r="AL36">
            <v>-612686.8759900002</v>
          </cell>
          <cell r="AN36">
            <v>-647192.9141354044</v>
          </cell>
          <cell r="AO36">
            <v>-381185.87100000388</v>
          </cell>
          <cell r="AP36">
            <v>0</v>
          </cell>
          <cell r="AS36">
            <v>-381185.87100000388</v>
          </cell>
          <cell r="AT36">
            <v>11391.581</v>
          </cell>
          <cell r="AU36">
            <v>5698.7209999999977</v>
          </cell>
          <cell r="AV36">
            <v>188851.19099999999</v>
          </cell>
          <cell r="BA36">
            <v>205941.49299999999</v>
          </cell>
          <cell r="BB36">
            <v>0</v>
          </cell>
          <cell r="BC36">
            <v>-71257.357000000004</v>
          </cell>
          <cell r="BD36">
            <v>533648.35</v>
          </cell>
          <cell r="BE36">
            <v>184440.255</v>
          </cell>
          <cell r="BF36">
            <v>-133478.65499999997</v>
          </cell>
          <cell r="BG36">
            <v>0</v>
          </cell>
          <cell r="BJ36">
            <v>513352.59300000005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-61667</v>
          </cell>
          <cell r="AK38">
            <v>-95724</v>
          </cell>
          <cell r="AL38">
            <v>-69714</v>
          </cell>
          <cell r="AN38">
            <v>-227105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-4702689</v>
          </cell>
          <cell r="Z39">
            <v>0</v>
          </cell>
          <cell r="AH39">
            <v>0</v>
          </cell>
          <cell r="AI39">
            <v>0</v>
          </cell>
          <cell r="AJ39">
            <v>-1778464</v>
          </cell>
          <cell r="AK39">
            <v>-1496480</v>
          </cell>
          <cell r="AL39">
            <v>-1427745</v>
          </cell>
          <cell r="AN39">
            <v>-4702689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-4704984.091</v>
          </cell>
          <cell r="K40">
            <v>298765.02599999995</v>
          </cell>
          <cell r="L40">
            <v>-130392.53099999999</v>
          </cell>
          <cell r="M40">
            <v>-700.68500000000006</v>
          </cell>
          <cell r="N40">
            <v>26228.521000000001</v>
          </cell>
          <cell r="O40">
            <v>1253.2649999999999</v>
          </cell>
          <cell r="P40">
            <v>32057.902999999998</v>
          </cell>
          <cell r="Z40">
            <v>227211.49899999998</v>
          </cell>
          <cell r="AH40">
            <v>0</v>
          </cell>
          <cell r="AI40">
            <v>227211.49899999998</v>
          </cell>
          <cell r="AJ40">
            <v>-1666434.4380000001</v>
          </cell>
          <cell r="AK40">
            <v>-1407092.1969999999</v>
          </cell>
          <cell r="AL40">
            <v>-1858668.9549999998</v>
          </cell>
          <cell r="AN40">
            <v>-4932195.59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2295.0910000000149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-298765.02599999995</v>
          </cell>
          <cell r="L41">
            <v>130392.53099999999</v>
          </cell>
          <cell r="M41">
            <v>700.68500000000006</v>
          </cell>
          <cell r="N41">
            <v>-26228.521000000001</v>
          </cell>
          <cell r="O41">
            <v>-1253.2649999999999</v>
          </cell>
          <cell r="P41">
            <v>-32057.902999999998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-227211.49899999998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-227211.49899999998</v>
          </cell>
          <cell r="AJ41">
            <v>-112029.56199999992</v>
          </cell>
          <cell r="AK41">
            <v>-89387.803000000073</v>
          </cell>
          <cell r="AL41">
            <v>430923.95499999984</v>
          </cell>
          <cell r="AN41">
            <v>229506.58999999985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2295.0910000000149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-298765.02599999995</v>
          </cell>
          <cell r="L43">
            <v>130392.53099999999</v>
          </cell>
          <cell r="M43">
            <v>700.68500000000006</v>
          </cell>
          <cell r="N43">
            <v>-26228.521000000001</v>
          </cell>
          <cell r="O43">
            <v>-1253.2649999999999</v>
          </cell>
          <cell r="P43">
            <v>-32057.902999999998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-227211.49899999998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-227211.49899999998</v>
          </cell>
          <cell r="AJ43">
            <v>-112029.56199999992</v>
          </cell>
          <cell r="AK43">
            <v>-89387.803000000073</v>
          </cell>
          <cell r="AL43">
            <v>430923.95499999984</v>
          </cell>
          <cell r="AN43">
            <v>229506.58999999985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178669</v>
          </cell>
          <cell r="H45">
            <v>139541</v>
          </cell>
          <cell r="I45">
            <v>60035.5</v>
          </cell>
          <cell r="J45">
            <v>61465</v>
          </cell>
          <cell r="K45">
            <v>96857</v>
          </cell>
          <cell r="L45">
            <v>90133</v>
          </cell>
          <cell r="M45">
            <v>28905.5</v>
          </cell>
          <cell r="N45">
            <v>66692</v>
          </cell>
          <cell r="O45">
            <v>24391</v>
          </cell>
          <cell r="P45">
            <v>48440</v>
          </cell>
          <cell r="Q45">
            <v>20768.5</v>
          </cell>
          <cell r="R45">
            <v>56662</v>
          </cell>
          <cell r="S45">
            <v>95143</v>
          </cell>
          <cell r="T45">
            <v>16875</v>
          </cell>
          <cell r="U45">
            <v>18223</v>
          </cell>
          <cell r="V45">
            <v>52511.5</v>
          </cell>
          <cell r="W45">
            <v>20232</v>
          </cell>
          <cell r="X45">
            <v>0</v>
          </cell>
          <cell r="Y45">
            <v>0</v>
          </cell>
          <cell r="Z45">
            <v>1075544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1075544</v>
          </cell>
          <cell r="AJ45">
            <v>30394</v>
          </cell>
          <cell r="AK45">
            <v>50048</v>
          </cell>
          <cell r="AL45">
            <v>8544</v>
          </cell>
          <cell r="AN45">
            <v>88986</v>
          </cell>
          <cell r="AO45">
            <v>21045.184999999998</v>
          </cell>
          <cell r="AP45">
            <v>0</v>
          </cell>
          <cell r="AS45">
            <v>21045.184999999998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135354477.75099999</v>
          </cell>
          <cell r="G46">
            <v>18188226.761</v>
          </cell>
          <cell r="H46">
            <v>14037268.083999999</v>
          </cell>
          <cell r="I46">
            <v>6003685</v>
          </cell>
          <cell r="J46">
            <v>5977507.9539999999</v>
          </cell>
          <cell r="K46">
            <v>11359488.148</v>
          </cell>
          <cell r="L46">
            <v>9307849.7899999991</v>
          </cell>
          <cell r="M46">
            <v>2830523.95</v>
          </cell>
          <cell r="N46">
            <v>6990253.6800000006</v>
          </cell>
          <cell r="O46">
            <v>2465191.1</v>
          </cell>
          <cell r="P46">
            <v>4681463.3000000007</v>
          </cell>
          <cell r="Q46">
            <v>1716501.0219999999</v>
          </cell>
          <cell r="R46">
            <v>6006471.7999999998</v>
          </cell>
          <cell r="S46">
            <v>9590988.9859999996</v>
          </cell>
          <cell r="T46">
            <v>1998571.46</v>
          </cell>
          <cell r="U46">
            <v>2002591.02</v>
          </cell>
          <cell r="V46">
            <v>5166814.9939999999</v>
          </cell>
          <cell r="W46">
            <v>2594446.5190000003</v>
          </cell>
          <cell r="X46">
            <v>0</v>
          </cell>
          <cell r="Y46">
            <v>0</v>
          </cell>
          <cell r="Z46">
            <v>110917843.56799997</v>
          </cell>
          <cell r="AA46">
            <v>0</v>
          </cell>
          <cell r="AB46">
            <v>0</v>
          </cell>
          <cell r="AC46">
            <v>62500</v>
          </cell>
          <cell r="AD46">
            <v>154200</v>
          </cell>
          <cell r="AH46">
            <v>216700</v>
          </cell>
          <cell r="AI46">
            <v>111134543.56799997</v>
          </cell>
          <cell r="AJ46">
            <v>826291.5</v>
          </cell>
          <cell r="AK46">
            <v>514528</v>
          </cell>
          <cell r="AL46">
            <v>111220.80000000005</v>
          </cell>
          <cell r="AN46">
            <v>1452040.3</v>
          </cell>
          <cell r="AO46">
            <v>22521329.791999999</v>
          </cell>
          <cell r="AP46">
            <v>0</v>
          </cell>
          <cell r="AS46">
            <v>22521329.791999999</v>
          </cell>
          <cell r="AT46">
            <v>18800</v>
          </cell>
          <cell r="AU46">
            <v>30788</v>
          </cell>
          <cell r="AV46">
            <v>188851.19099999999</v>
          </cell>
          <cell r="BA46">
            <v>238439.19099999999</v>
          </cell>
          <cell r="BB46">
            <v>0</v>
          </cell>
          <cell r="BC46">
            <v>8124.9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8124.9</v>
          </cell>
        </row>
        <row r="47">
          <cell r="F47">
            <v>126396109.68500002</v>
          </cell>
          <cell r="G47">
            <v>16237631.111999998</v>
          </cell>
          <cell r="H47">
            <v>13586426.318999998</v>
          </cell>
          <cell r="I47">
            <v>5925527.8110000007</v>
          </cell>
          <cell r="J47">
            <v>5798555.085</v>
          </cell>
          <cell r="K47">
            <v>10275027.549000001</v>
          </cell>
          <cell r="L47">
            <v>8108002.5829999996</v>
          </cell>
          <cell r="M47">
            <v>2799268.2110000001</v>
          </cell>
          <cell r="N47">
            <v>6525819.5069999993</v>
          </cell>
          <cell r="O47">
            <v>2415143.2790000001</v>
          </cell>
          <cell r="P47">
            <v>4354812.3810000001</v>
          </cell>
          <cell r="Q47">
            <v>1992084.3489999999</v>
          </cell>
          <cell r="R47">
            <v>5507818.6639999999</v>
          </cell>
          <cell r="S47">
            <v>8996286.4609999992</v>
          </cell>
          <cell r="T47">
            <v>1628233.665</v>
          </cell>
          <cell r="U47">
            <v>1720995.372</v>
          </cell>
          <cell r="V47">
            <v>4869422.2489999998</v>
          </cell>
          <cell r="W47">
            <v>2396451.2909999997</v>
          </cell>
          <cell r="X47">
            <v>0</v>
          </cell>
          <cell r="Y47">
            <v>0</v>
          </cell>
          <cell r="Z47">
            <v>103137505.888</v>
          </cell>
          <cell r="AA47">
            <v>0</v>
          </cell>
          <cell r="AB47">
            <v>0</v>
          </cell>
          <cell r="AC47">
            <v>16341.473000000002</v>
          </cell>
          <cell r="AD47">
            <v>42574.941999999995</v>
          </cell>
          <cell r="AH47">
            <v>58916.414999999994</v>
          </cell>
          <cell r="AI47">
            <v>103196422.303</v>
          </cell>
          <cell r="AJ47">
            <v>782905.80500000017</v>
          </cell>
          <cell r="AK47">
            <v>604372.99600000004</v>
          </cell>
          <cell r="AL47">
            <v>228710.72400000039</v>
          </cell>
          <cell r="AN47">
            <v>1615989.5250000006</v>
          </cell>
          <cell r="AO47">
            <v>22084848.509000003</v>
          </cell>
          <cell r="AP47">
            <v>0</v>
          </cell>
          <cell r="AS47">
            <v>22084848.509000003</v>
          </cell>
          <cell r="AT47">
            <v>7408.4189999999999</v>
          </cell>
          <cell r="AU47">
            <v>25089.279000000002</v>
          </cell>
          <cell r="AV47">
            <v>0</v>
          </cell>
          <cell r="BA47">
            <v>32497.698000000004</v>
          </cell>
          <cell r="BB47">
            <v>0</v>
          </cell>
          <cell r="BC47">
            <v>0</v>
          </cell>
          <cell r="BD47">
            <v>-533648.35</v>
          </cell>
          <cell r="BE47">
            <v>0</v>
          </cell>
          <cell r="BF47">
            <v>0</v>
          </cell>
          <cell r="BG47">
            <v>0</v>
          </cell>
          <cell r="BJ47">
            <v>-533648.35</v>
          </cell>
        </row>
        <row r="48">
          <cell r="F48">
            <v>8958368.0659999698</v>
          </cell>
          <cell r="G48">
            <v>1950595.6490000021</v>
          </cell>
          <cell r="H48">
            <v>450841.7650000006</v>
          </cell>
          <cell r="I48">
            <v>78157.188999999315</v>
          </cell>
          <cell r="J48">
            <v>178952.86899999995</v>
          </cell>
          <cell r="K48">
            <v>1084460.5989999995</v>
          </cell>
          <cell r="L48">
            <v>1199847.2069999995</v>
          </cell>
          <cell r="M48">
            <v>31255.73900000006</v>
          </cell>
          <cell r="N48">
            <v>464434.17300000135</v>
          </cell>
          <cell r="O48">
            <v>50047.820999999996</v>
          </cell>
          <cell r="P48">
            <v>326650.91900000069</v>
          </cell>
          <cell r="Q48">
            <v>-275583.32700000005</v>
          </cell>
          <cell r="R48">
            <v>498653.13599999994</v>
          </cell>
          <cell r="S48">
            <v>594702.52500000037</v>
          </cell>
          <cell r="T48">
            <v>370337.79499999993</v>
          </cell>
          <cell r="U48">
            <v>281595.64800000004</v>
          </cell>
          <cell r="V48">
            <v>297392.74500000011</v>
          </cell>
          <cell r="W48">
            <v>197995.22800000058</v>
          </cell>
          <cell r="X48">
            <v>0</v>
          </cell>
          <cell r="Y48">
            <v>0</v>
          </cell>
          <cell r="Z48">
            <v>7780337.6799999774</v>
          </cell>
          <cell r="AA48">
            <v>0</v>
          </cell>
          <cell r="AB48">
            <v>0</v>
          </cell>
          <cell r="AC48">
            <v>46158.527000000002</v>
          </cell>
          <cell r="AD48">
            <v>111625.058</v>
          </cell>
          <cell r="AH48">
            <v>157783.58500000002</v>
          </cell>
          <cell r="AI48">
            <v>7938121.2649999708</v>
          </cell>
          <cell r="AJ48">
            <v>43385.694999999832</v>
          </cell>
          <cell r="AK48">
            <v>-89844.996000000043</v>
          </cell>
          <cell r="AL48">
            <v>-117489.92400000035</v>
          </cell>
          <cell r="AN48">
            <v>-163949.22500000056</v>
          </cell>
          <cell r="AO48">
            <v>436481.2829999961</v>
          </cell>
          <cell r="AP48">
            <v>0</v>
          </cell>
          <cell r="AS48">
            <v>436481.2829999961</v>
          </cell>
          <cell r="AT48">
            <v>11391.581</v>
          </cell>
          <cell r="AU48">
            <v>5698.7209999999977</v>
          </cell>
          <cell r="AV48">
            <v>188851.19099999999</v>
          </cell>
          <cell r="BA48">
            <v>205941.49299999999</v>
          </cell>
          <cell r="BB48">
            <v>0</v>
          </cell>
          <cell r="BC48">
            <v>8124.9</v>
          </cell>
          <cell r="BD48">
            <v>533648.35</v>
          </cell>
          <cell r="BE48">
            <v>0</v>
          </cell>
          <cell r="BF48">
            <v>0</v>
          </cell>
          <cell r="BG48">
            <v>0</v>
          </cell>
          <cell r="BJ48">
            <v>541773.25</v>
          </cell>
        </row>
        <row r="49">
          <cell r="F49">
            <v>12199341.745997738</v>
          </cell>
          <cell r="G49">
            <v>1582027.0015641369</v>
          </cell>
          <cell r="H49">
            <v>1272276.2049768097</v>
          </cell>
          <cell r="I49">
            <v>632105.88665307546</v>
          </cell>
          <cell r="J49">
            <v>586942.22864031559</v>
          </cell>
          <cell r="K49">
            <v>1107133.6768660217</v>
          </cell>
          <cell r="L49">
            <v>931172.84292238462</v>
          </cell>
          <cell r="M49">
            <v>378721.20005976147</v>
          </cell>
          <cell r="N49">
            <v>770508.6918869568</v>
          </cell>
          <cell r="O49">
            <v>327644.61560360325</v>
          </cell>
          <cell r="P49">
            <v>545930.00648843008</v>
          </cell>
          <cell r="Q49">
            <v>290234.91452305374</v>
          </cell>
          <cell r="R49">
            <v>589315.7998786564</v>
          </cell>
          <cell r="S49">
            <v>907902.72920869326</v>
          </cell>
          <cell r="T49">
            <v>181566.90506899846</v>
          </cell>
          <cell r="U49">
            <v>193158.9427861911</v>
          </cell>
          <cell r="V49">
            <v>495456.56361526722</v>
          </cell>
          <cell r="W49">
            <v>262155.36111997755</v>
          </cell>
          <cell r="X49">
            <v>0</v>
          </cell>
          <cell r="Y49">
            <v>0</v>
          </cell>
          <cell r="Z49">
            <v>11054253.571862336</v>
          </cell>
          <cell r="AA49">
            <v>44140.705000000002</v>
          </cell>
          <cell r="AB49">
            <v>998.96100000000001</v>
          </cell>
          <cell r="AC49">
            <v>123.598</v>
          </cell>
          <cell r="AD49">
            <v>0</v>
          </cell>
          <cell r="AH49">
            <v>45263.264000000003</v>
          </cell>
          <cell r="AI49">
            <v>11099516.835862337</v>
          </cell>
          <cell r="AJ49">
            <v>107613.15439845984</v>
          </cell>
          <cell r="AK49">
            <v>81850.947746943246</v>
          </cell>
          <cell r="AL49">
            <v>64272.99699</v>
          </cell>
          <cell r="AN49">
            <v>253737.09913540311</v>
          </cell>
          <cell r="AO49">
            <v>817667.15399999998</v>
          </cell>
          <cell r="AP49">
            <v>0</v>
          </cell>
          <cell r="AS49">
            <v>817667.15399999998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79382.256999999998</v>
          </cell>
          <cell r="BD49">
            <v>0</v>
          </cell>
          <cell r="BE49">
            <v>-184440.255</v>
          </cell>
          <cell r="BF49">
            <v>133478.65499999997</v>
          </cell>
          <cell r="BG49">
            <v>0</v>
          </cell>
          <cell r="BJ49">
            <v>28420.656999999963</v>
          </cell>
        </row>
        <row r="50">
          <cell r="F50">
            <v>-3240973.6799977683</v>
          </cell>
          <cell r="G50">
            <v>368568.64743586513</v>
          </cell>
          <cell r="H50">
            <v>-821434.43997680908</v>
          </cell>
          <cell r="I50">
            <v>-553948.69765307615</v>
          </cell>
          <cell r="J50">
            <v>-407989.35964031564</v>
          </cell>
          <cell r="K50">
            <v>-22673.077866022242</v>
          </cell>
          <cell r="L50">
            <v>268674.36407761485</v>
          </cell>
          <cell r="M50">
            <v>-347465.46105976141</v>
          </cell>
          <cell r="N50">
            <v>-306074.51888695545</v>
          </cell>
          <cell r="O50">
            <v>-277596.79460360325</v>
          </cell>
          <cell r="P50">
            <v>-219279.08748842939</v>
          </cell>
          <cell r="Q50">
            <v>-565818.24152305373</v>
          </cell>
          <cell r="R50">
            <v>-90662.663878656458</v>
          </cell>
          <cell r="S50">
            <v>-313200.20420869289</v>
          </cell>
          <cell r="T50">
            <v>188770.88993100147</v>
          </cell>
          <cell r="U50">
            <v>88436.705213808949</v>
          </cell>
          <cell r="V50">
            <v>-198063.81861526711</v>
          </cell>
          <cell r="W50">
            <v>-64160.133119976963</v>
          </cell>
          <cell r="X50">
            <v>0</v>
          </cell>
          <cell r="Y50">
            <v>0</v>
          </cell>
          <cell r="Z50">
            <v>-3273915.8918623589</v>
          </cell>
          <cell r="AA50">
            <v>-44140.705000000002</v>
          </cell>
          <cell r="AB50">
            <v>-998.96100000000001</v>
          </cell>
          <cell r="AC50">
            <v>46034.929000000004</v>
          </cell>
          <cell r="AD50">
            <v>111625.058</v>
          </cell>
          <cell r="AH50">
            <v>112520.32100000003</v>
          </cell>
          <cell r="AI50">
            <v>-3161395.5708623659</v>
          </cell>
          <cell r="AJ50">
            <v>-64227.459398460007</v>
          </cell>
          <cell r="AK50">
            <v>-171695.94374694329</v>
          </cell>
          <cell r="AL50">
            <v>-181762.92099000036</v>
          </cell>
          <cell r="AN50">
            <v>-417686.32413540367</v>
          </cell>
          <cell r="AO50">
            <v>-381185.87100000388</v>
          </cell>
          <cell r="AP50">
            <v>0</v>
          </cell>
          <cell r="AS50">
            <v>-381185.87100000388</v>
          </cell>
          <cell r="AT50">
            <v>11391.581</v>
          </cell>
          <cell r="AU50">
            <v>5698.7209999999977</v>
          </cell>
          <cell r="AV50">
            <v>188851.19099999999</v>
          </cell>
          <cell r="BA50">
            <v>205941.49299999999</v>
          </cell>
          <cell r="BB50">
            <v>0</v>
          </cell>
          <cell r="BC50">
            <v>-71257.357000000004</v>
          </cell>
          <cell r="BD50">
            <v>533648.35</v>
          </cell>
          <cell r="BE50">
            <v>184440.255</v>
          </cell>
          <cell r="BF50">
            <v>-133478.65499999997</v>
          </cell>
          <cell r="BG50">
            <v>0</v>
          </cell>
          <cell r="BJ50">
            <v>513352.59300000005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111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G6" t="str">
            <v>안양</v>
          </cell>
        </row>
      </sheetData>
      <sheetData sheetId="8"/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>
        <row r="6">
          <cell r="F6" t="str">
            <v>합계</v>
          </cell>
        </row>
      </sheetData>
      <sheetData sheetId="1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31314</v>
          </cell>
          <cell r="H7">
            <v>32104</v>
          </cell>
          <cell r="I7">
            <v>11412</v>
          </cell>
          <cell r="J7">
            <v>10938.5</v>
          </cell>
          <cell r="K7">
            <v>20779</v>
          </cell>
          <cell r="L7">
            <v>17147</v>
          </cell>
          <cell r="M7">
            <v>8128</v>
          </cell>
          <cell r="N7">
            <v>23438.5</v>
          </cell>
          <cell r="O7">
            <v>8737</v>
          </cell>
          <cell r="P7">
            <v>8830</v>
          </cell>
          <cell r="Q7">
            <v>8398.5</v>
          </cell>
          <cell r="R7">
            <v>11425</v>
          </cell>
          <cell r="S7">
            <v>22644</v>
          </cell>
          <cell r="T7">
            <v>1681.5</v>
          </cell>
          <cell r="U7">
            <v>6231</v>
          </cell>
          <cell r="V7">
            <v>13937.5</v>
          </cell>
          <cell r="W7">
            <v>5850</v>
          </cell>
          <cell r="X7"/>
          <cell r="Y7"/>
          <cell r="Z7">
            <v>242995.5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242995.5</v>
          </cell>
          <cell r="AJ7">
            <v>26131</v>
          </cell>
          <cell r="AK7">
            <v>20388</v>
          </cell>
          <cell r="AL7">
            <v>23170</v>
          </cell>
          <cell r="AM7"/>
          <cell r="AN7">
            <v>69689</v>
          </cell>
          <cell r="AO7">
            <v>10256.286000000002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35411448.572999999</v>
          </cell>
          <cell r="G8">
            <v>2998499.5950000002</v>
          </cell>
          <cell r="H8">
            <v>3174765.2419999996</v>
          </cell>
          <cell r="I8">
            <v>1059655.2550000001</v>
          </cell>
          <cell r="J8">
            <v>1044534.983</v>
          </cell>
          <cell r="K8">
            <v>2289258.1</v>
          </cell>
          <cell r="L8">
            <v>1653590</v>
          </cell>
          <cell r="M8">
            <v>696279</v>
          </cell>
          <cell r="N8">
            <v>2254526</v>
          </cell>
          <cell r="O8">
            <v>783762.12</v>
          </cell>
          <cell r="P8">
            <v>858651.4</v>
          </cell>
          <cell r="Q8">
            <v>714628.96</v>
          </cell>
          <cell r="R8">
            <v>1191194.1000000001</v>
          </cell>
          <cell r="S8">
            <v>2188967</v>
          </cell>
          <cell r="T8">
            <v>184230.05</v>
          </cell>
          <cell r="U8">
            <v>651478</v>
          </cell>
          <cell r="V8">
            <v>1348239.7</v>
          </cell>
          <cell r="W8">
            <v>707668.47499999998</v>
          </cell>
          <cell r="X8"/>
          <cell r="Y8"/>
          <cell r="Z8">
            <v>23799927.98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E8"/>
          <cell r="AF8"/>
          <cell r="AG8"/>
          <cell r="AH8">
            <v>43340</v>
          </cell>
          <cell r="AI8">
            <v>23843267.98</v>
          </cell>
          <cell r="AJ8">
            <v>733435.5</v>
          </cell>
          <cell r="AK8">
            <v>291392</v>
          </cell>
          <cell r="AL8">
            <v>442799</v>
          </cell>
          <cell r="AM8"/>
          <cell r="AN8">
            <v>1467626.5</v>
          </cell>
          <cell r="AO8">
            <v>10025105.612</v>
          </cell>
          <cell r="AP8">
            <v>0</v>
          </cell>
          <cell r="AQ8"/>
          <cell r="AR8"/>
          <cell r="AS8">
            <v>10025105.612</v>
          </cell>
          <cell r="AT8">
            <v>5788.1</v>
          </cell>
          <cell r="AU8">
            <v>5850</v>
          </cell>
          <cell r="AV8">
            <v>62130.531000000003</v>
          </cell>
          <cell r="AW8"/>
          <cell r="AX8"/>
          <cell r="AY8"/>
          <cell r="AZ8"/>
          <cell r="BA8">
            <v>73768.631000000008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1679.85</v>
          </cell>
          <cell r="BK8"/>
          <cell r="BL8"/>
          <cell r="BM8"/>
          <cell r="BN8"/>
          <cell r="BO8"/>
        </row>
        <row r="9">
          <cell r="F9"/>
          <cell r="G9">
            <v>95755.878999808396</v>
          </cell>
          <cell r="H9">
            <v>98890.021243458745</v>
          </cell>
          <cell r="I9">
            <v>92854.473799509287</v>
          </cell>
          <cell r="J9">
            <v>95491.610641312785</v>
          </cell>
          <cell r="K9">
            <v>110171.71663698928</v>
          </cell>
          <cell r="L9">
            <v>96436.111273108996</v>
          </cell>
          <cell r="M9">
            <v>85664.247047244091</v>
          </cell>
          <cell r="N9">
            <v>96189.005269108515</v>
          </cell>
          <cell r="O9">
            <v>89706.091335698758</v>
          </cell>
          <cell r="P9">
            <v>97242.514156285397</v>
          </cell>
          <cell r="Q9">
            <v>85090.070845984403</v>
          </cell>
          <cell r="R9">
            <v>104262.06564551423</v>
          </cell>
          <cell r="S9">
            <v>96668.742271683441</v>
          </cell>
          <cell r="T9">
            <v>109562.92001189414</v>
          </cell>
          <cell r="U9">
            <v>104554.3251484513</v>
          </cell>
          <cell r="V9">
            <v>96734.686995515687</v>
          </cell>
          <cell r="W9">
            <v>120968.97008547008</v>
          </cell>
          <cell r="X9"/>
          <cell r="Y9"/>
          <cell r="Z9">
            <v>97943.904228679137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98122.261441055496</v>
          </cell>
          <cell r="AJ9">
            <v>28067.639967854273</v>
          </cell>
          <cell r="AK9">
            <v>14292.328820875024</v>
          </cell>
          <cell r="AL9">
            <v>19110.876132930513</v>
          </cell>
          <cell r="AM9"/>
          <cell r="AN9"/>
          <cell r="AO9">
            <v>977459.63909352734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32340636.464169998</v>
          </cell>
          <cell r="G10">
            <v>2656483.9516799999</v>
          </cell>
          <cell r="H10">
            <v>2911594.3620699998</v>
          </cell>
          <cell r="I10">
            <v>1014084.97812</v>
          </cell>
          <cell r="J10">
            <v>960546.6025700001</v>
          </cell>
          <cell r="K10">
            <v>1834853.2893800002</v>
          </cell>
          <cell r="L10">
            <v>1465767.8716600002</v>
          </cell>
          <cell r="M10">
            <v>721434.52788999991</v>
          </cell>
          <cell r="N10">
            <v>1981694.6836999999</v>
          </cell>
          <cell r="O10">
            <v>706231.39082000009</v>
          </cell>
          <cell r="P10">
            <v>774378.65090000001</v>
          </cell>
          <cell r="Q10">
            <v>692838.45787000004</v>
          </cell>
          <cell r="R10">
            <v>1037168.46592</v>
          </cell>
          <cell r="S10">
            <v>1967938.1619899999</v>
          </cell>
          <cell r="T10">
            <v>187463.74558000002</v>
          </cell>
          <cell r="U10">
            <v>498013.79894000001</v>
          </cell>
          <cell r="V10">
            <v>1133378.7030999998</v>
          </cell>
          <cell r="W10">
            <v>620497.46555999992</v>
          </cell>
          <cell r="X10"/>
          <cell r="Y10"/>
          <cell r="Z10">
            <v>21164369.107749999</v>
          </cell>
          <cell r="AA10">
            <v>-574.45600000000002</v>
          </cell>
          <cell r="AB10">
            <v>0</v>
          </cell>
          <cell r="AC10">
            <v>3369.45</v>
          </cell>
          <cell r="AD10">
            <v>8504.1110000000008</v>
          </cell>
          <cell r="AE10"/>
          <cell r="AF10"/>
          <cell r="AG10"/>
          <cell r="AH10">
            <v>11299.105</v>
          </cell>
          <cell r="AI10">
            <v>21175668.212749999</v>
          </cell>
          <cell r="AJ10">
            <v>631744.06472000002</v>
          </cell>
          <cell r="AK10">
            <v>235130.90376000002</v>
          </cell>
          <cell r="AL10">
            <v>456353.14394000004</v>
          </cell>
          <cell r="AM10"/>
          <cell r="AN10">
            <v>1323228.1124200001</v>
          </cell>
          <cell r="AO10">
            <v>9841410.8829999994</v>
          </cell>
          <cell r="AP10">
            <v>0</v>
          </cell>
          <cell r="AQ10"/>
          <cell r="AR10"/>
          <cell r="AS10">
            <v>9841410.8829999994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84833.746940026831</v>
          </cell>
          <cell r="H11">
            <v>90692.572952591581</v>
          </cell>
          <cell r="I11">
            <v>88861.284447949525</v>
          </cell>
          <cell r="J11">
            <v>87813.375012113189</v>
          </cell>
          <cell r="K11">
            <v>88303.252773473228</v>
          </cell>
          <cell r="L11">
            <v>85482.467583833917</v>
          </cell>
          <cell r="M11">
            <v>88759.169277805107</v>
          </cell>
          <cell r="N11">
            <v>84548.699093372008</v>
          </cell>
          <cell r="O11">
            <v>80832.252583266585</v>
          </cell>
          <cell r="P11">
            <v>87698.60146092865</v>
          </cell>
          <cell r="Q11">
            <v>82495.500133357156</v>
          </cell>
          <cell r="R11">
            <v>90780.609708533913</v>
          </cell>
          <cell r="S11">
            <v>86907.708973237939</v>
          </cell>
          <cell r="T11">
            <v>111486.02175438598</v>
          </cell>
          <cell r="U11">
            <v>79925.180378751407</v>
          </cell>
          <cell r="V11">
            <v>81318.651343497753</v>
          </cell>
          <cell r="W11">
            <v>106067.94283076921</v>
          </cell>
          <cell r="X11"/>
          <cell r="Y11"/>
          <cell r="Z11">
            <v>87097.78208958602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87144.281325168558</v>
          </cell>
          <cell r="AJ11">
            <v>24176.038602426237</v>
          </cell>
          <cell r="AK11">
            <v>11532.808699234845</v>
          </cell>
          <cell r="AL11">
            <v>19695.862923608114</v>
          </cell>
          <cell r="AM11"/>
          <cell r="AN11"/>
          <cell r="AO11">
            <v>959549.18603088858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3070812.1088300012</v>
          </cell>
          <cell r="G12">
            <v>342015.64332000026</v>
          </cell>
          <cell r="H12">
            <v>263170.87992999982</v>
          </cell>
          <cell r="I12">
            <v>45570.276880000136</v>
          </cell>
          <cell r="J12">
            <v>83988.380429999903</v>
          </cell>
          <cell r="K12">
            <v>454404.81061999989</v>
          </cell>
          <cell r="L12">
            <v>187822.12833999982</v>
          </cell>
          <cell r="M12">
            <v>-25155.52788999991</v>
          </cell>
          <cell r="N12">
            <v>272831.31630000006</v>
          </cell>
          <cell r="O12">
            <v>77530.729179999908</v>
          </cell>
          <cell r="P12">
            <v>84272.749100000015</v>
          </cell>
          <cell r="Q12">
            <v>21790.502129999921</v>
          </cell>
          <cell r="R12">
            <v>154025.63408000011</v>
          </cell>
          <cell r="S12">
            <v>221028.83801000006</v>
          </cell>
          <cell r="T12">
            <v>-3233.6955800000287</v>
          </cell>
          <cell r="U12">
            <v>153464.20105999999</v>
          </cell>
          <cell r="V12">
            <v>214860.99690000014</v>
          </cell>
          <cell r="W12">
            <v>87171.009440000053</v>
          </cell>
          <cell r="X12"/>
          <cell r="Y12"/>
          <cell r="Z12">
            <v>2635558.87225</v>
          </cell>
          <cell r="AA12">
            <v>574.45600000000002</v>
          </cell>
          <cell r="AB12">
            <v>0</v>
          </cell>
          <cell r="AC12">
            <v>9130.5499999999993</v>
          </cell>
          <cell r="AD12">
            <v>22335.888999999999</v>
          </cell>
          <cell r="AE12"/>
          <cell r="AF12"/>
          <cell r="AG12"/>
          <cell r="AH12">
            <v>32040.895</v>
          </cell>
          <cell r="AI12">
            <v>2667599.7672500014</v>
          </cell>
          <cell r="AJ12">
            <v>101691.43527999998</v>
          </cell>
          <cell r="AK12">
            <v>56261.096239999984</v>
          </cell>
          <cell r="AL12">
            <v>-13554.143940000038</v>
          </cell>
          <cell r="AM12"/>
          <cell r="AN12">
            <v>144398.38757999986</v>
          </cell>
          <cell r="AO12">
            <v>183694.72900000028</v>
          </cell>
          <cell r="AP12">
            <v>0</v>
          </cell>
          <cell r="AQ12"/>
          <cell r="AR12"/>
          <cell r="AS12">
            <v>183694.72900000028</v>
          </cell>
          <cell r="AT12">
            <v>5645.0960000000005</v>
          </cell>
          <cell r="AU12">
            <v>5663.7479999999996</v>
          </cell>
          <cell r="AV12">
            <v>62130.531000000003</v>
          </cell>
          <cell r="AW12"/>
          <cell r="AX12"/>
          <cell r="AY12"/>
          <cell r="AZ12"/>
          <cell r="BA12">
            <v>73439.375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/>
          <cell r="BJ12">
            <v>1679.85</v>
          </cell>
          <cell r="BK12"/>
          <cell r="BL12"/>
          <cell r="BM12"/>
          <cell r="BN12"/>
          <cell r="BO12"/>
        </row>
        <row r="13">
          <cell r="F13">
            <v>785929.74800000002</v>
          </cell>
          <cell r="G13">
            <v>68990.171999999991</v>
          </cell>
          <cell r="H13">
            <v>67130.317999999999</v>
          </cell>
          <cell r="I13">
            <v>53761.540999999997</v>
          </cell>
          <cell r="J13">
            <v>34917.294999999998</v>
          </cell>
          <cell r="K13">
            <v>48511.856</v>
          </cell>
          <cell r="L13">
            <v>54849.201000000001</v>
          </cell>
          <cell r="M13">
            <v>31241.454999999998</v>
          </cell>
          <cell r="N13">
            <v>49474.09</v>
          </cell>
          <cell r="O13">
            <v>26216.61</v>
          </cell>
          <cell r="P13">
            <v>27686.634999999998</v>
          </cell>
          <cell r="Q13">
            <v>28561.82</v>
          </cell>
          <cell r="R13">
            <v>27343.974000000002</v>
          </cell>
          <cell r="S13">
            <v>48625.881999999998</v>
          </cell>
          <cell r="T13">
            <v>13872.217000000001</v>
          </cell>
          <cell r="U13">
            <v>11887.356</v>
          </cell>
          <cell r="V13">
            <v>28359.807000000004</v>
          </cell>
          <cell r="W13">
            <v>14392.228000000001</v>
          </cell>
          <cell r="X13"/>
          <cell r="Y13"/>
          <cell r="Z13">
            <v>635822.45700000005</v>
          </cell>
          <cell r="AA13">
            <v>3018.21</v>
          </cell>
          <cell r="AB13">
            <v>175.41</v>
          </cell>
          <cell r="AC13">
            <v>0</v>
          </cell>
          <cell r="AD13">
            <v>0</v>
          </cell>
          <cell r="AE13"/>
          <cell r="AF13"/>
          <cell r="AG13"/>
          <cell r="AH13">
            <v>3193.62</v>
          </cell>
          <cell r="AI13">
            <v>639016.07700000005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131875.334</v>
          </cell>
          <cell r="AP13">
            <v>0</v>
          </cell>
          <cell r="AQ13"/>
          <cell r="AR13"/>
          <cell r="AS13">
            <v>131875.334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15038.337</v>
          </cell>
          <cell r="BG13">
            <v>0</v>
          </cell>
          <cell r="BH13">
            <v>0</v>
          </cell>
          <cell r="BI13"/>
          <cell r="BJ13">
            <v>15038.337</v>
          </cell>
          <cell r="BK13"/>
          <cell r="BL13"/>
          <cell r="BM13"/>
          <cell r="BN13"/>
          <cell r="BO13"/>
        </row>
        <row r="14">
          <cell r="F14">
            <v>532149.88800000004</v>
          </cell>
          <cell r="G14">
            <v>46500.735999999997</v>
          </cell>
          <cell r="H14">
            <v>46301.198999999993</v>
          </cell>
          <cell r="I14">
            <v>34638.027999999998</v>
          </cell>
          <cell r="J14">
            <v>26325.045000000002</v>
          </cell>
          <cell r="K14">
            <v>34357.551999999996</v>
          </cell>
          <cell r="L14">
            <v>35821.824999999997</v>
          </cell>
          <cell r="M14">
            <v>21141.042999999998</v>
          </cell>
          <cell r="N14">
            <v>33040.370999999999</v>
          </cell>
          <cell r="O14">
            <v>19532.807000000001</v>
          </cell>
          <cell r="P14">
            <v>19208.598999999998</v>
          </cell>
          <cell r="Q14">
            <v>20441.909</v>
          </cell>
          <cell r="R14">
            <v>18819.579000000002</v>
          </cell>
          <cell r="S14">
            <v>33015.964999999997</v>
          </cell>
          <cell r="T14">
            <v>7515.6970000000001</v>
          </cell>
          <cell r="U14">
            <v>7570.5159999999996</v>
          </cell>
          <cell r="V14">
            <v>22264.558000000005</v>
          </cell>
          <cell r="W14">
            <v>10860.244000000001</v>
          </cell>
          <cell r="X14"/>
          <cell r="Y14"/>
          <cell r="Z14">
            <v>437355.67300000007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437355.67300000007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94794.214999999997</v>
          </cell>
          <cell r="AP14">
            <v>0</v>
          </cell>
          <cell r="AQ14"/>
          <cell r="AR14"/>
          <cell r="AS14">
            <v>94794.214999999997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253779.85999999996</v>
          </cell>
          <cell r="G15">
            <v>22489.436000000002</v>
          </cell>
          <cell r="H15">
            <v>20829.118999999999</v>
          </cell>
          <cell r="I15">
            <v>19123.512999999999</v>
          </cell>
          <cell r="J15">
            <v>8592.25</v>
          </cell>
          <cell r="K15">
            <v>14154.304</v>
          </cell>
          <cell r="L15">
            <v>19027.376</v>
          </cell>
          <cell r="M15">
            <v>10100.412</v>
          </cell>
          <cell r="N15">
            <v>16433.719000000001</v>
          </cell>
          <cell r="O15">
            <v>6683.8030000000008</v>
          </cell>
          <cell r="P15">
            <v>8478.0360000000001</v>
          </cell>
          <cell r="Q15">
            <v>8119.9110000000001</v>
          </cell>
          <cell r="R15">
            <v>8524.3950000000004</v>
          </cell>
          <cell r="S15">
            <v>15609.916999999999</v>
          </cell>
          <cell r="T15">
            <v>6356.52</v>
          </cell>
          <cell r="U15">
            <v>4316.84</v>
          </cell>
          <cell r="V15">
            <v>6095.2489999999998</v>
          </cell>
          <cell r="W15">
            <v>3531.9839999999999</v>
          </cell>
          <cell r="X15"/>
          <cell r="Y15"/>
          <cell r="Z15">
            <v>198466.78399999996</v>
          </cell>
          <cell r="AA15">
            <v>3018.21</v>
          </cell>
          <cell r="AB15">
            <v>175.41</v>
          </cell>
          <cell r="AC15">
            <v>0</v>
          </cell>
          <cell r="AD15">
            <v>0</v>
          </cell>
          <cell r="AE15"/>
          <cell r="AF15"/>
          <cell r="AG15"/>
          <cell r="AH15">
            <v>3193.62</v>
          </cell>
          <cell r="AI15">
            <v>201660.40399999995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37081.118999999999</v>
          </cell>
          <cell r="AP15">
            <v>0</v>
          </cell>
          <cell r="AQ15"/>
          <cell r="AR15"/>
          <cell r="AS15">
            <v>37081.118999999999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15038.337</v>
          </cell>
          <cell r="BG15">
            <v>0</v>
          </cell>
          <cell r="BH15">
            <v>0</v>
          </cell>
          <cell r="BI15"/>
          <cell r="BJ15">
            <v>15038.337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2284882.3608300011</v>
          </cell>
          <cell r="G17">
            <v>273025.47132000024</v>
          </cell>
          <cell r="H17">
            <v>196040.56192999982</v>
          </cell>
          <cell r="I17">
            <v>-8191.2641199998616</v>
          </cell>
          <cell r="J17">
            <v>49071.085429999905</v>
          </cell>
          <cell r="K17">
            <v>405892.95461999986</v>
          </cell>
          <cell r="L17">
            <v>132972.92733999982</v>
          </cell>
          <cell r="M17">
            <v>-56396.982889999912</v>
          </cell>
          <cell r="N17">
            <v>223357.22630000007</v>
          </cell>
          <cell r="O17">
            <v>51314.119179999907</v>
          </cell>
          <cell r="P17">
            <v>56586.114100000021</v>
          </cell>
          <cell r="Q17">
            <v>-6771.317870000079</v>
          </cell>
          <cell r="R17">
            <v>126681.6600800001</v>
          </cell>
          <cell r="S17">
            <v>172402.95601000008</v>
          </cell>
          <cell r="T17">
            <v>-17105.912580000029</v>
          </cell>
          <cell r="U17">
            <v>141576.84505999999</v>
          </cell>
          <cell r="V17">
            <v>186501.18990000014</v>
          </cell>
          <cell r="W17">
            <v>72778.78144000005</v>
          </cell>
          <cell r="X17"/>
          <cell r="Y17"/>
          <cell r="Z17">
            <v>1999736.4152500001</v>
          </cell>
          <cell r="AA17">
            <v>-2443.7539999999999</v>
          </cell>
          <cell r="AB17">
            <v>-175.41</v>
          </cell>
          <cell r="AC17">
            <v>9130.5499999999993</v>
          </cell>
          <cell r="AD17">
            <v>22335.888999999999</v>
          </cell>
          <cell r="AE17"/>
          <cell r="AF17"/>
          <cell r="AG17"/>
          <cell r="AH17">
            <v>28847.275000000001</v>
          </cell>
          <cell r="AI17">
            <v>2028583.6902500014</v>
          </cell>
          <cell r="AJ17">
            <v>101691.43527999998</v>
          </cell>
          <cell r="AK17">
            <v>56261.096239999984</v>
          </cell>
          <cell r="AL17">
            <v>-13554.143940000038</v>
          </cell>
          <cell r="AM17"/>
          <cell r="AN17">
            <v>144398.38757999986</v>
          </cell>
          <cell r="AO17">
            <v>51819.395000000281</v>
          </cell>
          <cell r="AP17">
            <v>0</v>
          </cell>
          <cell r="AQ17"/>
          <cell r="AR17"/>
          <cell r="AS17">
            <v>51819.395000000281</v>
          </cell>
          <cell r="AT17">
            <v>5645.0960000000005</v>
          </cell>
          <cell r="AU17">
            <v>5663.7479999999996</v>
          </cell>
          <cell r="AV17">
            <v>62130.531000000003</v>
          </cell>
          <cell r="AW17"/>
          <cell r="AX17"/>
          <cell r="AY17"/>
          <cell r="AZ17"/>
          <cell r="BA17">
            <v>73439.375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-15038.337</v>
          </cell>
          <cell r="BG17">
            <v>0</v>
          </cell>
          <cell r="BH17">
            <v>0</v>
          </cell>
          <cell r="BI17"/>
          <cell r="BJ17">
            <v>-13358.486999999999</v>
          </cell>
          <cell r="BK17"/>
          <cell r="BL17"/>
          <cell r="BM17"/>
          <cell r="BN17"/>
          <cell r="BO17"/>
        </row>
        <row r="18">
          <cell r="F18">
            <v>586779.94580999995</v>
          </cell>
          <cell r="G18">
            <v>30513.68232</v>
          </cell>
          <cell r="H18">
            <v>35435.493929999997</v>
          </cell>
          <cell r="I18">
            <v>20644.253879999997</v>
          </cell>
          <cell r="J18">
            <v>18109.489430000001</v>
          </cell>
          <cell r="K18">
            <v>97761.505619999996</v>
          </cell>
          <cell r="L18">
            <v>43964.206340000004</v>
          </cell>
          <cell r="M18">
            <v>14526.01511</v>
          </cell>
          <cell r="N18">
            <v>21573.722300000001</v>
          </cell>
          <cell r="O18">
            <v>13061.20818</v>
          </cell>
          <cell r="P18">
            <v>31722.860100000002</v>
          </cell>
          <cell r="Q18">
            <v>15287.060130000002</v>
          </cell>
          <cell r="R18">
            <v>15257.30408</v>
          </cell>
          <cell r="S18">
            <v>35934.675009999999</v>
          </cell>
          <cell r="T18">
            <v>6272.2584199999992</v>
          </cell>
          <cell r="U18">
            <v>11113.710060000001</v>
          </cell>
          <cell r="V18">
            <v>21493.997899999998</v>
          </cell>
          <cell r="W18">
            <v>12751.870440000001</v>
          </cell>
          <cell r="X18"/>
          <cell r="Y18"/>
          <cell r="Z18">
            <v>445423.31325000006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5669.0559999999996</v>
          </cell>
          <cell r="AI18">
            <v>451092.36924999999</v>
          </cell>
          <cell r="AJ18">
            <v>3916.07728</v>
          </cell>
          <cell r="AK18">
            <v>17052.293229999999</v>
          </cell>
          <cell r="AL18">
            <v>62762.423049999998</v>
          </cell>
          <cell r="AM18"/>
          <cell r="AN18">
            <v>83730.793559999991</v>
          </cell>
          <cell r="AO18">
            <v>5556.6629999999996</v>
          </cell>
          <cell r="AP18">
            <v>0</v>
          </cell>
          <cell r="AQ18"/>
          <cell r="AR18"/>
          <cell r="AS18">
            <v>5556.6629999999996</v>
          </cell>
          <cell r="AT18">
            <v>1312.8920000000001</v>
          </cell>
          <cell r="AU18">
            <v>5524.1020000000008</v>
          </cell>
          <cell r="AV18">
            <v>0</v>
          </cell>
          <cell r="AW18"/>
          <cell r="AX18"/>
          <cell r="AY18"/>
          <cell r="AZ18"/>
          <cell r="BA18">
            <v>6836.9940000000006</v>
          </cell>
          <cell r="BB18">
            <v>0</v>
          </cell>
          <cell r="BC18">
            <v>17101.791000000001</v>
          </cell>
          <cell r="BD18">
            <v>0</v>
          </cell>
          <cell r="BE18">
            <v>0</v>
          </cell>
          <cell r="BF18">
            <v>22461.334999999999</v>
          </cell>
          <cell r="BG18">
            <v>0</v>
          </cell>
          <cell r="BH18">
            <v>0</v>
          </cell>
          <cell r="BI18"/>
          <cell r="BJ18">
            <v>39563.126000000004</v>
          </cell>
          <cell r="BK18"/>
          <cell r="BL18"/>
          <cell r="BM18"/>
          <cell r="BN18"/>
          <cell r="BO18"/>
        </row>
        <row r="19">
          <cell r="F19">
            <v>515029.41480999993</v>
          </cell>
          <cell r="G19">
            <v>28218.813320000001</v>
          </cell>
          <cell r="H19">
            <v>33511.02493</v>
          </cell>
          <cell r="I19">
            <v>18873.006879999997</v>
          </cell>
          <cell r="J19">
            <v>16917.50143</v>
          </cell>
          <cell r="K19">
            <v>95895.772620000003</v>
          </cell>
          <cell r="L19">
            <v>42410.137340000001</v>
          </cell>
          <cell r="M19">
            <v>13702.81611</v>
          </cell>
          <cell r="N19">
            <v>19640.0173</v>
          </cell>
          <cell r="O19">
            <v>12311.17218</v>
          </cell>
          <cell r="P19">
            <v>30514.427100000001</v>
          </cell>
          <cell r="Q19">
            <v>14461.850130000001</v>
          </cell>
          <cell r="R19">
            <v>14442.382079999999</v>
          </cell>
          <cell r="S19">
            <v>34370.676009999996</v>
          </cell>
          <cell r="T19">
            <v>5901.8584199999996</v>
          </cell>
          <cell r="U19">
            <v>10670.841060000001</v>
          </cell>
          <cell r="V19">
            <v>20680.728899999998</v>
          </cell>
          <cell r="W19">
            <v>11938.60144</v>
          </cell>
          <cell r="X19"/>
          <cell r="Y19"/>
          <cell r="Z19">
            <v>424461.62724999996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0</v>
          </cell>
          <cell r="AI19">
            <v>424461.62724999996</v>
          </cell>
          <cell r="AJ19">
            <v>3916.07728</v>
          </cell>
          <cell r="AK19">
            <v>17052.293229999999</v>
          </cell>
          <cell r="AL19">
            <v>62762.423049999998</v>
          </cell>
          <cell r="AM19"/>
          <cell r="AN19">
            <v>83730.793559999991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AW19"/>
          <cell r="AX19"/>
          <cell r="AY19"/>
          <cell r="AZ19"/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71750.531000000003</v>
          </cell>
          <cell r="G20">
            <v>2294.8690000000001</v>
          </cell>
          <cell r="H20">
            <v>1924.4690000000001</v>
          </cell>
          <cell r="I20">
            <v>1771.2470000000001</v>
          </cell>
          <cell r="J20">
            <v>1191.9880000000001</v>
          </cell>
          <cell r="K20">
            <v>1865.7329999999999</v>
          </cell>
          <cell r="L20">
            <v>1554.069</v>
          </cell>
          <cell r="M20">
            <v>823.19899999999996</v>
          </cell>
          <cell r="N20">
            <v>1933.7049999999999</v>
          </cell>
          <cell r="O20">
            <v>750.03599999999994</v>
          </cell>
          <cell r="P20">
            <v>1208.433</v>
          </cell>
          <cell r="Q20">
            <v>825.21</v>
          </cell>
          <cell r="R20">
            <v>814.92200000000003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X20"/>
          <cell r="Y20"/>
          <cell r="Z20">
            <v>20961.685999999998</v>
          </cell>
          <cell r="AA20">
            <v>5669.0559999999996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5669.0559999999996</v>
          </cell>
          <cell r="AI20">
            <v>26630.741999999998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5556.6629999999996</v>
          </cell>
          <cell r="AP20">
            <v>0</v>
          </cell>
          <cell r="AQ20"/>
          <cell r="AR20"/>
          <cell r="AS20">
            <v>5556.6629999999996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17101.791000000001</v>
          </cell>
          <cell r="BD20">
            <v>0</v>
          </cell>
          <cell r="BE20">
            <v>0</v>
          </cell>
          <cell r="BF20">
            <v>22461.334999999999</v>
          </cell>
          <cell r="BG20">
            <v>0</v>
          </cell>
          <cell r="BH20">
            <v>0</v>
          </cell>
          <cell r="BI20"/>
          <cell r="BJ20">
            <v>39563.126000000004</v>
          </cell>
          <cell r="BK20"/>
          <cell r="BL20"/>
          <cell r="BM20"/>
          <cell r="BN20"/>
          <cell r="BO20"/>
        </row>
        <row r="21">
          <cell r="F21">
            <v>1698102.4150200011</v>
          </cell>
          <cell r="G21">
            <v>242511.78900000025</v>
          </cell>
          <cell r="H21">
            <v>160605.06799999982</v>
          </cell>
          <cell r="I21">
            <v>-28835.517999999858</v>
          </cell>
          <cell r="J21">
            <v>30961.595999999903</v>
          </cell>
          <cell r="K21">
            <v>308131.44899999985</v>
          </cell>
          <cell r="L21">
            <v>89008.720999999816</v>
          </cell>
          <cell r="M21">
            <v>-70922.997999999905</v>
          </cell>
          <cell r="N21">
            <v>201783.50400000007</v>
          </cell>
          <cell r="O21">
            <v>38252.910999999905</v>
          </cell>
          <cell r="P21">
            <v>24863.254000000019</v>
          </cell>
          <cell r="Q21">
            <v>-22058.378000000081</v>
          </cell>
          <cell r="R21">
            <v>111424.3560000001</v>
          </cell>
          <cell r="S21">
            <v>136468.28100000008</v>
          </cell>
          <cell r="T21">
            <v>-23378.171000000028</v>
          </cell>
          <cell r="U21">
            <v>130463.13499999999</v>
          </cell>
          <cell r="V21">
            <v>165007.19200000016</v>
          </cell>
          <cell r="W21">
            <v>60026.911000000051</v>
          </cell>
          <cell r="X21"/>
          <cell r="Y21"/>
          <cell r="Z21">
            <v>1554313.102</v>
          </cell>
          <cell r="AA21">
            <v>-8112.8099999999995</v>
          </cell>
          <cell r="AB21">
            <v>-175.41</v>
          </cell>
          <cell r="AC21">
            <v>9130.5499999999993</v>
          </cell>
          <cell r="AD21">
            <v>22335.888999999999</v>
          </cell>
          <cell r="AE21"/>
          <cell r="AF21"/>
          <cell r="AG21"/>
          <cell r="AH21">
            <v>23178.219000000001</v>
          </cell>
          <cell r="AI21">
            <v>1577491.3210000014</v>
          </cell>
          <cell r="AJ21">
            <v>97775.357999999978</v>
          </cell>
          <cell r="AK21">
            <v>39208.803009999989</v>
          </cell>
          <cell r="AL21">
            <v>-76316.566990000036</v>
          </cell>
          <cell r="AM21"/>
          <cell r="AN21">
            <v>60667.594019999873</v>
          </cell>
          <cell r="AO21">
            <v>46262.73200000028</v>
          </cell>
          <cell r="AP21">
            <v>0</v>
          </cell>
          <cell r="AQ21"/>
          <cell r="AR21"/>
          <cell r="AS21">
            <v>46262.73200000028</v>
          </cell>
          <cell r="AT21">
            <v>4332.2040000000006</v>
          </cell>
          <cell r="AU21">
            <v>139.64599999999882</v>
          </cell>
          <cell r="AV21">
            <v>62130.531000000003</v>
          </cell>
          <cell r="AW21"/>
          <cell r="AX21"/>
          <cell r="AY21"/>
          <cell r="AZ21"/>
          <cell r="BA21">
            <v>66602.380999999994</v>
          </cell>
          <cell r="BB21">
            <v>0</v>
          </cell>
          <cell r="BC21">
            <v>-15421.941000000001</v>
          </cell>
          <cell r="BD21">
            <v>0</v>
          </cell>
          <cell r="BE21">
            <v>0</v>
          </cell>
          <cell r="BF21">
            <v>-37499.671999999999</v>
          </cell>
          <cell r="BG21">
            <v>0</v>
          </cell>
          <cell r="BH21">
            <v>0</v>
          </cell>
          <cell r="BI21"/>
          <cell r="BJ21">
            <v>-52921.613000000005</v>
          </cell>
          <cell r="BK21"/>
          <cell r="BL21"/>
          <cell r="BM21"/>
          <cell r="BN21"/>
          <cell r="BO21"/>
        </row>
        <row r="22">
          <cell r="F22">
            <v>1453021.1079963131</v>
          </cell>
          <cell r="G22">
            <v>172503.88193403117</v>
          </cell>
          <cell r="H22">
            <v>182644.45637660113</v>
          </cell>
          <cell r="I22">
            <v>60962.037581764511</v>
          </cell>
          <cell r="J22">
            <v>60092.167323903617</v>
          </cell>
          <cell r="K22">
            <v>139723.7973555529</v>
          </cell>
          <cell r="L22">
            <v>100926.09219955091</v>
          </cell>
          <cell r="M22">
            <v>42497.063087350019</v>
          </cell>
          <cell r="N22">
            <v>137603.93987765088</v>
          </cell>
          <cell r="O22">
            <v>47836.554397181579</v>
          </cell>
          <cell r="P22">
            <v>52407.386573257863</v>
          </cell>
          <cell r="Q22">
            <v>43617.044312936807</v>
          </cell>
          <cell r="R22">
            <v>72703.974724182583</v>
          </cell>
          <cell r="S22">
            <v>125931.4176847472</v>
          </cell>
          <cell r="T22">
            <v>10598.767079006609</v>
          </cell>
          <cell r="U22">
            <v>37479.57284437077</v>
          </cell>
          <cell r="V22">
            <v>77564.319973694553</v>
          </cell>
          <cell r="W22">
            <v>40712.214623405962</v>
          </cell>
          <cell r="X22"/>
          <cell r="Y22"/>
          <cell r="Z22">
            <v>1405804.687949189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1405804.687949189</v>
          </cell>
          <cell r="AJ22">
            <v>23596.057067773363</v>
          </cell>
          <cell r="AK22">
            <v>9374.6515693508372</v>
          </cell>
          <cell r="AL22">
            <v>14245.71141</v>
          </cell>
          <cell r="AM22"/>
          <cell r="AN22">
            <v>47216.420047124207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204105.87799631336</v>
          </cell>
          <cell r="G23">
            <v>15155.850692453758</v>
          </cell>
          <cell r="H23">
            <v>16046.781554207217</v>
          </cell>
          <cell r="I23">
            <v>5356.0043353129122</v>
          </cell>
          <cell r="J23">
            <v>5279.5792508328559</v>
          </cell>
          <cell r="K23">
            <v>19593.631041878929</v>
          </cell>
          <cell r="L23">
            <v>14152.983603963476</v>
          </cell>
          <cell r="M23">
            <v>5959.412714629434</v>
          </cell>
          <cell r="N23">
            <v>19296.360955683911</v>
          </cell>
          <cell r="O23">
            <v>6708.1758076473934</v>
          </cell>
          <cell r="P23">
            <v>7349.1489339680847</v>
          </cell>
          <cell r="Q23">
            <v>6116.4689879580001</v>
          </cell>
          <cell r="R23">
            <v>10195.363159209981</v>
          </cell>
          <cell r="S23">
            <v>11064.085877493146</v>
          </cell>
          <cell r="T23">
            <v>931.18676271266588</v>
          </cell>
          <cell r="U23">
            <v>3292.8813176706094</v>
          </cell>
          <cell r="V23">
            <v>6814.6481076441978</v>
          </cell>
          <cell r="W23">
            <v>3576.8948459225799</v>
          </cell>
          <cell r="X23"/>
          <cell r="Y23"/>
          <cell r="Z23">
            <v>156889.45794918915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156889.45794918915</v>
          </cell>
          <cell r="AJ23">
            <v>23596.057067773363</v>
          </cell>
          <cell r="AK23">
            <v>9374.6515693508372</v>
          </cell>
          <cell r="AL23">
            <v>14245.71141</v>
          </cell>
          <cell r="AM23"/>
          <cell r="AN23">
            <v>47216.420047124207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399084.90299999987</v>
          </cell>
          <cell r="G24">
            <v>50279.812654126959</v>
          </cell>
          <cell r="H24">
            <v>53235.492129053957</v>
          </cell>
          <cell r="I24">
            <v>17768.642619863727</v>
          </cell>
          <cell r="J24">
            <v>17515.101000346036</v>
          </cell>
          <cell r="K24">
            <v>38387.021487972757</v>
          </cell>
          <cell r="L24">
            <v>27727.93284527283</v>
          </cell>
          <cell r="M24">
            <v>11675.431850442808</v>
          </cell>
          <cell r="N24">
            <v>37804.622382768146</v>
          </cell>
          <cell r="O24">
            <v>13142.377149129266</v>
          </cell>
          <cell r="P24">
            <v>14398.144858580121</v>
          </cell>
          <cell r="Q24">
            <v>11983.12992468941</v>
          </cell>
          <cell r="R24">
            <v>19974.328588395678</v>
          </cell>
          <cell r="S24">
            <v>36705.307831154234</v>
          </cell>
          <cell r="T24">
            <v>3089.2291647151083</v>
          </cell>
          <cell r="U24">
            <v>10924.194167945292</v>
          </cell>
          <cell r="V24">
            <v>22607.720088371836</v>
          </cell>
          <cell r="W24">
            <v>11866.414257171751</v>
          </cell>
          <cell r="X24"/>
          <cell r="Y24"/>
          <cell r="Z24">
            <v>399084.90299999987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399084.90299999987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849830.32699999993</v>
          </cell>
          <cell r="G25">
            <v>107068.21858745045</v>
          </cell>
          <cell r="H25">
            <v>113362.18269333997</v>
          </cell>
          <cell r="I25">
            <v>37837.390626587876</v>
          </cell>
          <cell r="J25">
            <v>37297.487072724725</v>
          </cell>
          <cell r="K25">
            <v>81743.144825701223</v>
          </cell>
          <cell r="L25">
            <v>59045.1757503146</v>
          </cell>
          <cell r="M25">
            <v>24862.218522277773</v>
          </cell>
          <cell r="N25">
            <v>80502.956539198814</v>
          </cell>
          <cell r="O25">
            <v>27986.001440404914</v>
          </cell>
          <cell r="P25">
            <v>30660.09278070966</v>
          </cell>
          <cell r="Q25">
            <v>25517.445400289394</v>
          </cell>
          <cell r="R25">
            <v>42534.28297657692</v>
          </cell>
          <cell r="S25">
            <v>78162.023976099823</v>
          </cell>
          <cell r="T25">
            <v>6578.3511515788359</v>
          </cell>
          <cell r="U25">
            <v>23262.497358754867</v>
          </cell>
          <cell r="V25">
            <v>48141.951777678521</v>
          </cell>
          <cell r="W25">
            <v>25268.905520311633</v>
          </cell>
          <cell r="X25"/>
          <cell r="Y25"/>
          <cell r="Z25">
            <v>849830.32699999993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849830.32699999993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245081.30702368799</v>
          </cell>
          <cell r="G26">
            <v>70007.907065969077</v>
          </cell>
          <cell r="H26">
            <v>-22039.388376601302</v>
          </cell>
          <cell r="I26">
            <v>-89797.555581764376</v>
          </cell>
          <cell r="J26">
            <v>-29130.571323903714</v>
          </cell>
          <cell r="K26">
            <v>168407.65164444695</v>
          </cell>
          <cell r="L26">
            <v>-11917.371199551097</v>
          </cell>
          <cell r="M26">
            <v>-113420.06108734992</v>
          </cell>
          <cell r="N26">
            <v>64179.564122349198</v>
          </cell>
          <cell r="O26">
            <v>-9583.6433971816732</v>
          </cell>
          <cell r="P26">
            <v>-27544.132573257844</v>
          </cell>
          <cell r="Q26">
            <v>-65675.422312936891</v>
          </cell>
          <cell r="R26">
            <v>38720.381275817519</v>
          </cell>
          <cell r="S26">
            <v>10536.863315252878</v>
          </cell>
          <cell r="T26">
            <v>-33976.938079006635</v>
          </cell>
          <cell r="U26">
            <v>92983.562155629217</v>
          </cell>
          <cell r="V26">
            <v>87442.872026305602</v>
          </cell>
          <cell r="W26">
            <v>19314.696376594089</v>
          </cell>
          <cell r="X26"/>
          <cell r="Y26"/>
          <cell r="Z26">
            <v>148508.41405081097</v>
          </cell>
          <cell r="AA26">
            <v>-8112.8099999999995</v>
          </cell>
          <cell r="AB26">
            <v>-175.41</v>
          </cell>
          <cell r="AC26">
            <v>9130.5499999999993</v>
          </cell>
          <cell r="AD26">
            <v>22335.888999999999</v>
          </cell>
          <cell r="AE26"/>
          <cell r="AF26"/>
          <cell r="AG26"/>
          <cell r="AH26">
            <v>23178.219000000001</v>
          </cell>
          <cell r="AI26">
            <v>171686.63305081241</v>
          </cell>
          <cell r="AJ26">
            <v>74179.300932226615</v>
          </cell>
          <cell r="AK26">
            <v>29834.151440649151</v>
          </cell>
          <cell r="AL26">
            <v>-90562.278400000039</v>
          </cell>
          <cell r="AM26"/>
          <cell r="AN26">
            <v>13451.173972875666</v>
          </cell>
          <cell r="AO26">
            <v>46262.73200000028</v>
          </cell>
          <cell r="AP26">
            <v>0</v>
          </cell>
          <cell r="AQ26"/>
          <cell r="AR26"/>
          <cell r="AS26">
            <v>46262.73200000028</v>
          </cell>
          <cell r="AT26">
            <v>4332.2040000000006</v>
          </cell>
          <cell r="AU26">
            <v>139.64599999999882</v>
          </cell>
          <cell r="AV26">
            <v>62130.531000000003</v>
          </cell>
          <cell r="AW26"/>
          <cell r="AX26"/>
          <cell r="AY26"/>
          <cell r="AZ26"/>
          <cell r="BA26">
            <v>66602.380999999994</v>
          </cell>
          <cell r="BB26">
            <v>0</v>
          </cell>
          <cell r="BC26">
            <v>-15421.941000000001</v>
          </cell>
          <cell r="BD26">
            <v>0</v>
          </cell>
          <cell r="BE26">
            <v>0</v>
          </cell>
          <cell r="BF26">
            <v>-37499.671999999999</v>
          </cell>
          <cell r="BG26">
            <v>0</v>
          </cell>
          <cell r="BH26">
            <v>0</v>
          </cell>
          <cell r="BI26"/>
          <cell r="BJ26">
            <v>-52921.613000000005</v>
          </cell>
          <cell r="BK26"/>
          <cell r="BL26"/>
          <cell r="BM26"/>
          <cell r="BN26"/>
          <cell r="BO26"/>
        </row>
        <row r="27">
          <cell r="F27">
            <v>245081.30702368708</v>
          </cell>
          <cell r="G27">
            <v>70007.907065969121</v>
          </cell>
          <cell r="H27">
            <v>-22039.388376601306</v>
          </cell>
          <cell r="I27">
            <v>-89797.555581764376</v>
          </cell>
          <cell r="J27">
            <v>-29130.571323903718</v>
          </cell>
          <cell r="K27">
            <v>168407.65164444695</v>
          </cell>
          <cell r="L27">
            <v>-11917.371199551086</v>
          </cell>
          <cell r="M27">
            <v>-113420.06108734992</v>
          </cell>
          <cell r="N27">
            <v>64179.564122349184</v>
          </cell>
          <cell r="O27">
            <v>-9583.6433971816641</v>
          </cell>
          <cell r="P27">
            <v>-27544.132573257852</v>
          </cell>
          <cell r="Q27">
            <v>-65675.422312936877</v>
          </cell>
          <cell r="R27">
            <v>38720.381275817512</v>
          </cell>
          <cell r="S27">
            <v>10536.863315252889</v>
          </cell>
          <cell r="T27">
            <v>-33976.938079006635</v>
          </cell>
          <cell r="U27">
            <v>92983.562155629217</v>
          </cell>
          <cell r="V27">
            <v>87442.872026305558</v>
          </cell>
          <cell r="W27">
            <v>19314.696376594082</v>
          </cell>
          <cell r="X27"/>
          <cell r="Y27"/>
          <cell r="Z27">
            <v>148508.41405081109</v>
          </cell>
          <cell r="AA27">
            <v>-8112.8099999999995</v>
          </cell>
          <cell r="AB27">
            <v>-175.41</v>
          </cell>
          <cell r="AC27">
            <v>9130.5499999999993</v>
          </cell>
          <cell r="AD27">
            <v>22335.888999999999</v>
          </cell>
          <cell r="AE27"/>
          <cell r="AF27"/>
          <cell r="AG27"/>
          <cell r="AH27">
            <v>23178.218999999997</v>
          </cell>
          <cell r="AI27">
            <v>171686.63305081107</v>
          </cell>
          <cell r="AJ27">
            <v>74179.300932226615</v>
          </cell>
          <cell r="AK27">
            <v>29834.151440649144</v>
          </cell>
          <cell r="AL27">
            <v>-90562.278400000039</v>
          </cell>
          <cell r="AM27"/>
          <cell r="AN27">
            <v>13451.173972875724</v>
          </cell>
          <cell r="AO27">
            <v>46262.732000000287</v>
          </cell>
          <cell r="AP27">
            <v>0</v>
          </cell>
          <cell r="AQ27"/>
          <cell r="AR27"/>
          <cell r="AS27">
            <v>46262.732000000287</v>
          </cell>
          <cell r="AT27">
            <v>4332.2040000000006</v>
          </cell>
          <cell r="AU27">
            <v>139.64599999999882</v>
          </cell>
          <cell r="AV27">
            <v>62130.531000000003</v>
          </cell>
          <cell r="AW27"/>
          <cell r="AX27"/>
          <cell r="AY27"/>
          <cell r="AZ27"/>
          <cell r="BA27">
            <v>66602.381000000008</v>
          </cell>
          <cell r="BB27">
            <v>0</v>
          </cell>
          <cell r="BC27">
            <v>-15421.941000000001</v>
          </cell>
          <cell r="BD27">
            <v>0</v>
          </cell>
          <cell r="BE27">
            <v>0</v>
          </cell>
          <cell r="BF27">
            <v>-37499.671999999999</v>
          </cell>
          <cell r="BG27">
            <v>0</v>
          </cell>
          <cell r="BH27">
            <v>0</v>
          </cell>
          <cell r="BI27"/>
          <cell r="BJ27">
            <v>-52921.612999999998</v>
          </cell>
          <cell r="BK27"/>
          <cell r="BL27"/>
          <cell r="BM27"/>
          <cell r="BN27"/>
          <cell r="BO27"/>
        </row>
        <row r="28">
          <cell r="F28">
            <v>9.0221874415874481E-10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1.3387762010097504E-9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-5.8207660913467407E-11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31314</v>
          </cell>
          <cell r="H31">
            <v>32104</v>
          </cell>
          <cell r="I31">
            <v>11412</v>
          </cell>
          <cell r="J31">
            <v>10938.5</v>
          </cell>
          <cell r="K31">
            <v>20779</v>
          </cell>
          <cell r="L31">
            <v>17147</v>
          </cell>
          <cell r="M31">
            <v>8128</v>
          </cell>
          <cell r="N31">
            <v>23438.5</v>
          </cell>
          <cell r="O31">
            <v>8737</v>
          </cell>
          <cell r="P31">
            <v>8830</v>
          </cell>
          <cell r="Q31">
            <v>8398.5</v>
          </cell>
          <cell r="R31">
            <v>11425</v>
          </cell>
          <cell r="S31">
            <v>22644</v>
          </cell>
          <cell r="T31">
            <v>1681.5</v>
          </cell>
          <cell r="U31">
            <v>6231</v>
          </cell>
          <cell r="V31">
            <v>13937.5</v>
          </cell>
          <cell r="W31">
            <v>5850</v>
          </cell>
          <cell r="X31">
            <v>0</v>
          </cell>
          <cell r="Y31">
            <v>0</v>
          </cell>
          <cell r="Z31">
            <v>242995.5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242995.5</v>
          </cell>
          <cell r="AJ31">
            <v>26131</v>
          </cell>
          <cell r="AK31">
            <v>20388</v>
          </cell>
          <cell r="AL31">
            <v>23170</v>
          </cell>
          <cell r="AM31"/>
          <cell r="AN31">
            <v>69689</v>
          </cell>
          <cell r="AO31">
            <v>10256.286000000002</v>
          </cell>
          <cell r="AP31">
            <v>0</v>
          </cell>
          <cell r="AQ31"/>
          <cell r="AR31"/>
          <cell r="AS31">
            <v>10256.286000000002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35411448.572999999</v>
          </cell>
          <cell r="G32">
            <v>2998499.5950000002</v>
          </cell>
          <cell r="H32">
            <v>3174765.2419999996</v>
          </cell>
          <cell r="I32">
            <v>1059655.2550000001</v>
          </cell>
          <cell r="J32">
            <v>1044534.983</v>
          </cell>
          <cell r="K32">
            <v>2289258.1</v>
          </cell>
          <cell r="L32">
            <v>1653590</v>
          </cell>
          <cell r="M32">
            <v>696279</v>
          </cell>
          <cell r="N32">
            <v>2254526</v>
          </cell>
          <cell r="O32">
            <v>783762.12</v>
          </cell>
          <cell r="P32">
            <v>858651.4</v>
          </cell>
          <cell r="Q32">
            <v>714628.96</v>
          </cell>
          <cell r="R32">
            <v>1191194.1000000001</v>
          </cell>
          <cell r="S32">
            <v>2188967</v>
          </cell>
          <cell r="T32">
            <v>184230.05</v>
          </cell>
          <cell r="U32">
            <v>651478</v>
          </cell>
          <cell r="V32">
            <v>1348239.7</v>
          </cell>
          <cell r="W32">
            <v>707668.47499999998</v>
          </cell>
          <cell r="X32">
            <v>0</v>
          </cell>
          <cell r="Y32">
            <v>0</v>
          </cell>
          <cell r="Z32">
            <v>23799927.98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E32"/>
          <cell r="AF32"/>
          <cell r="AG32"/>
          <cell r="AH32">
            <v>43340</v>
          </cell>
          <cell r="AI32">
            <v>23843267.98</v>
          </cell>
          <cell r="AJ32">
            <v>733435.5</v>
          </cell>
          <cell r="AK32">
            <v>291392</v>
          </cell>
          <cell r="AL32">
            <v>442799</v>
          </cell>
          <cell r="AM32"/>
          <cell r="AN32">
            <v>1467626.5</v>
          </cell>
          <cell r="AO32">
            <v>10025105.612</v>
          </cell>
          <cell r="AP32">
            <v>0</v>
          </cell>
          <cell r="AQ32"/>
          <cell r="AR32"/>
          <cell r="AS32">
            <v>10025105.612</v>
          </cell>
          <cell r="AT32">
            <v>5788.1</v>
          </cell>
          <cell r="AU32">
            <v>5850</v>
          </cell>
          <cell r="AV32">
            <v>62130.531000000003</v>
          </cell>
          <cell r="AW32"/>
          <cell r="AX32"/>
          <cell r="AY32"/>
          <cell r="AZ32"/>
          <cell r="BA32">
            <v>73768.631000000008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1679.85</v>
          </cell>
        </row>
        <row r="33">
          <cell r="F33">
            <v>32855665.878980003</v>
          </cell>
          <cell r="G33">
            <v>2684702.7650000001</v>
          </cell>
          <cell r="H33">
            <v>2945105.3869999996</v>
          </cell>
          <cell r="I33">
            <v>1032957.985</v>
          </cell>
          <cell r="J33">
            <v>977464.10400000005</v>
          </cell>
          <cell r="K33">
            <v>1930749.0620000002</v>
          </cell>
          <cell r="L33">
            <v>1508178.0090000001</v>
          </cell>
          <cell r="M33">
            <v>735137.34399999992</v>
          </cell>
          <cell r="N33">
            <v>2001334.7009999999</v>
          </cell>
          <cell r="O33">
            <v>718542.56300000008</v>
          </cell>
          <cell r="P33">
            <v>804893.07799999998</v>
          </cell>
          <cell r="Q33">
            <v>707300.30800000008</v>
          </cell>
          <cell r="R33">
            <v>1051610.848</v>
          </cell>
          <cell r="S33">
            <v>2002308.838</v>
          </cell>
          <cell r="T33">
            <v>193365.60400000002</v>
          </cell>
          <cell r="U33">
            <v>508684.64</v>
          </cell>
          <cell r="V33">
            <v>1154059.4319999998</v>
          </cell>
          <cell r="W33">
            <v>632436.06699999992</v>
          </cell>
          <cell r="X33">
            <v>0</v>
          </cell>
          <cell r="Y33">
            <v>0</v>
          </cell>
          <cell r="Z33">
            <v>21588830.735000003</v>
          </cell>
          <cell r="AA33">
            <v>-574.45600000000002</v>
          </cell>
          <cell r="AB33">
            <v>0</v>
          </cell>
          <cell r="AC33">
            <v>3369.45</v>
          </cell>
          <cell r="AD33">
            <v>8504.1110000000008</v>
          </cell>
          <cell r="AE33"/>
          <cell r="AF33"/>
          <cell r="AG33"/>
          <cell r="AH33">
            <v>11299.105</v>
          </cell>
          <cell r="AI33">
            <v>21600129.840000004</v>
          </cell>
          <cell r="AJ33">
            <v>635660.14199999999</v>
          </cell>
          <cell r="AK33">
            <v>252183.19699000003</v>
          </cell>
          <cell r="AL33">
            <v>519115.56699000002</v>
          </cell>
          <cell r="AM33"/>
          <cell r="AN33">
            <v>1406958.90598</v>
          </cell>
          <cell r="AO33">
            <v>9841410.8829999994</v>
          </cell>
          <cell r="AP33">
            <v>0</v>
          </cell>
          <cell r="AQ33"/>
          <cell r="AR33"/>
          <cell r="AS33">
            <v>9841410.8829999994</v>
          </cell>
          <cell r="AT33">
            <v>1455.896</v>
          </cell>
          <cell r="AU33">
            <v>5710.3540000000012</v>
          </cell>
          <cell r="AV33">
            <v>0</v>
          </cell>
          <cell r="AW33"/>
          <cell r="AX33"/>
          <cell r="AY33"/>
          <cell r="AZ33"/>
          <cell r="BA33">
            <v>7166.2500000000009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/>
          <cell r="BJ33">
            <v>0</v>
          </cell>
        </row>
        <row r="34">
          <cell r="F34">
            <v>2555782.6940199956</v>
          </cell>
          <cell r="G34">
            <v>313796.83000000007</v>
          </cell>
          <cell r="H34">
            <v>229659.85499999998</v>
          </cell>
          <cell r="I34">
            <v>26697.270000000135</v>
          </cell>
          <cell r="J34">
            <v>67070.878999999957</v>
          </cell>
          <cell r="K34">
            <v>358509.03799999994</v>
          </cell>
          <cell r="L34">
            <v>145411.99099999992</v>
          </cell>
          <cell r="M34">
            <v>-38858.343999999925</v>
          </cell>
          <cell r="N34">
            <v>253191.29900000012</v>
          </cell>
          <cell r="O34">
            <v>65219.556999999913</v>
          </cell>
          <cell r="P34">
            <v>53758.322000000044</v>
          </cell>
          <cell r="Q34">
            <v>7328.6519999998854</v>
          </cell>
          <cell r="R34">
            <v>139583.25200000009</v>
          </cell>
          <cell r="S34">
            <v>186658.16200000001</v>
          </cell>
          <cell r="T34">
            <v>-9135.5540000000328</v>
          </cell>
          <cell r="U34">
            <v>142793.35999999999</v>
          </cell>
          <cell r="V34">
            <v>194180.26800000016</v>
          </cell>
          <cell r="W34">
            <v>75232.408000000054</v>
          </cell>
          <cell r="X34">
            <v>0</v>
          </cell>
          <cell r="Y34">
            <v>0</v>
          </cell>
          <cell r="Z34">
            <v>2211097.2449999973</v>
          </cell>
          <cell r="AA34">
            <v>574.45600000000002</v>
          </cell>
          <cell r="AB34">
            <v>0</v>
          </cell>
          <cell r="AC34">
            <v>9130.5499999999993</v>
          </cell>
          <cell r="AD34">
            <v>22335.888999999999</v>
          </cell>
          <cell r="AE34"/>
          <cell r="AF34"/>
          <cell r="AG34"/>
          <cell r="AH34">
            <v>32040.895</v>
          </cell>
          <cell r="AI34">
            <v>2243138.1399999969</v>
          </cell>
          <cell r="AJ34">
            <v>97775.358000000007</v>
          </cell>
          <cell r="AK34">
            <v>39208.803009999974</v>
          </cell>
          <cell r="AL34">
            <v>-76316.566990000021</v>
          </cell>
          <cell r="AM34"/>
          <cell r="AN34">
            <v>60667.59401999996</v>
          </cell>
          <cell r="AO34">
            <v>183694.72900000028</v>
          </cell>
          <cell r="AP34">
            <v>0</v>
          </cell>
          <cell r="AQ34"/>
          <cell r="AR34"/>
          <cell r="AS34">
            <v>183694.72900000028</v>
          </cell>
          <cell r="AT34">
            <v>4332.2040000000006</v>
          </cell>
          <cell r="AU34">
            <v>139.64599999999882</v>
          </cell>
          <cell r="AV34">
            <v>62130.531000000003</v>
          </cell>
          <cell r="AW34"/>
          <cell r="AX34"/>
          <cell r="AY34"/>
          <cell r="AZ34"/>
          <cell r="BA34">
            <v>66602.381000000008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/>
          <cell r="BJ34">
            <v>1679.85</v>
          </cell>
        </row>
        <row r="35">
          <cell r="F35">
            <v>2310701.386996313</v>
          </cell>
          <cell r="G35">
            <v>243788.92293403117</v>
          </cell>
          <cell r="H35">
            <v>251699.24337660114</v>
          </cell>
          <cell r="I35">
            <v>116494.82558176451</v>
          </cell>
          <cell r="J35">
            <v>96201.450323903613</v>
          </cell>
          <cell r="K35">
            <v>190101.38635555291</v>
          </cell>
          <cell r="L35">
            <v>157329.3621995509</v>
          </cell>
          <cell r="M35">
            <v>74561.717087350014</v>
          </cell>
          <cell r="N35">
            <v>189011.73487765086</v>
          </cell>
          <cell r="O35">
            <v>74803.200397181572</v>
          </cell>
          <cell r="P35">
            <v>81302.45457325787</v>
          </cell>
          <cell r="Q35">
            <v>73004.07431293682</v>
          </cell>
          <cell r="R35">
            <v>100862.87072418259</v>
          </cell>
          <cell r="S35">
            <v>176121.29868474719</v>
          </cell>
          <cell r="T35">
            <v>24841.38407900661</v>
          </cell>
          <cell r="U35">
            <v>49809.797844370769</v>
          </cell>
          <cell r="V35">
            <v>106737.39597369455</v>
          </cell>
          <cell r="W35">
            <v>55917.711623405965</v>
          </cell>
          <cell r="X35">
            <v>0</v>
          </cell>
          <cell r="Y35">
            <v>0</v>
          </cell>
          <cell r="Z35">
            <v>2062588.8309491889</v>
          </cell>
          <cell r="AA35">
            <v>8687.2659999999996</v>
          </cell>
          <cell r="AB35">
            <v>175.41</v>
          </cell>
          <cell r="AC35">
            <v>0</v>
          </cell>
          <cell r="AD35">
            <v>0</v>
          </cell>
          <cell r="AE35"/>
          <cell r="AF35"/>
          <cell r="AG35"/>
          <cell r="AH35">
            <v>8862.6759999999995</v>
          </cell>
          <cell r="AI35">
            <v>2071451.5069491889</v>
          </cell>
          <cell r="AJ35">
            <v>23596.057067773363</v>
          </cell>
          <cell r="AK35">
            <v>9374.6515693508372</v>
          </cell>
          <cell r="AL35">
            <v>14245.71141</v>
          </cell>
          <cell r="AM35"/>
          <cell r="AN35">
            <v>47216.420047124207</v>
          </cell>
          <cell r="AO35">
            <v>137431.997</v>
          </cell>
          <cell r="AP35">
            <v>0</v>
          </cell>
          <cell r="AQ35"/>
          <cell r="AR35"/>
          <cell r="AS35">
            <v>137431.997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17101.791000000001</v>
          </cell>
          <cell r="BD35">
            <v>0</v>
          </cell>
          <cell r="BE35">
            <v>0</v>
          </cell>
          <cell r="BF35">
            <v>37499.671999999999</v>
          </cell>
          <cell r="BG35">
            <v>0</v>
          </cell>
          <cell r="BH35">
            <v>0</v>
          </cell>
          <cell r="BI35"/>
          <cell r="BJ35">
            <v>54601.463000000003</v>
          </cell>
        </row>
        <row r="36">
          <cell r="F36">
            <v>245081.30702368263</v>
          </cell>
          <cell r="G36">
            <v>70007.907065968902</v>
          </cell>
          <cell r="H36">
            <v>-22039.388376601157</v>
          </cell>
          <cell r="I36">
            <v>-89797.555581764376</v>
          </cell>
          <cell r="J36">
            <v>-29130.571323903656</v>
          </cell>
          <cell r="K36">
            <v>168407.65164444703</v>
          </cell>
          <cell r="L36">
            <v>-11917.37119955098</v>
          </cell>
          <cell r="M36">
            <v>-113420.06108734994</v>
          </cell>
          <cell r="N36">
            <v>64179.564122349257</v>
          </cell>
          <cell r="O36">
            <v>-9583.6433971816587</v>
          </cell>
          <cell r="P36">
            <v>-27544.132573257826</v>
          </cell>
          <cell r="Q36">
            <v>-65675.422312936935</v>
          </cell>
          <cell r="R36">
            <v>38720.381275817505</v>
          </cell>
          <cell r="S36">
            <v>10536.86331525282</v>
          </cell>
          <cell r="T36">
            <v>-33976.938079006643</v>
          </cell>
          <cell r="U36">
            <v>92983.562155629217</v>
          </cell>
          <cell r="V36">
            <v>87442.872026305602</v>
          </cell>
          <cell r="W36">
            <v>19314.696376594089</v>
          </cell>
          <cell r="X36">
            <v>0</v>
          </cell>
          <cell r="Y36">
            <v>0</v>
          </cell>
          <cell r="Z36">
            <v>148508.41405080841</v>
          </cell>
          <cell r="AA36">
            <v>-8112.8099999999995</v>
          </cell>
          <cell r="AB36">
            <v>-175.41</v>
          </cell>
          <cell r="AC36">
            <v>9130.5499999999993</v>
          </cell>
          <cell r="AD36">
            <v>22335.888999999999</v>
          </cell>
          <cell r="AE36"/>
          <cell r="AF36"/>
          <cell r="AG36"/>
          <cell r="AH36">
            <v>23178.219000000001</v>
          </cell>
          <cell r="AI36">
            <v>171686.63305080798</v>
          </cell>
          <cell r="AJ36">
            <v>74179.300932226644</v>
          </cell>
          <cell r="AK36">
            <v>29834.151440649137</v>
          </cell>
          <cell r="AL36">
            <v>-90562.278400000025</v>
          </cell>
          <cell r="AM36"/>
          <cell r="AN36">
            <v>13451.173972875753</v>
          </cell>
          <cell r="AO36">
            <v>46262.73200000028</v>
          </cell>
          <cell r="AP36">
            <v>0</v>
          </cell>
          <cell r="AQ36"/>
          <cell r="AR36"/>
          <cell r="AS36">
            <v>46262.73200000028</v>
          </cell>
          <cell r="AT36">
            <v>4332.2040000000006</v>
          </cell>
          <cell r="AU36">
            <v>139.64599999999882</v>
          </cell>
          <cell r="AV36">
            <v>62130.531000000003</v>
          </cell>
          <cell r="AW36"/>
          <cell r="AX36"/>
          <cell r="AY36"/>
          <cell r="AZ36"/>
          <cell r="BA36">
            <v>66602.381000000008</v>
          </cell>
          <cell r="BB36">
            <v>0</v>
          </cell>
          <cell r="BC36">
            <v>-15421.941000000001</v>
          </cell>
          <cell r="BD36">
            <v>0</v>
          </cell>
          <cell r="BE36">
            <v>0</v>
          </cell>
          <cell r="BF36">
            <v>-37499.671999999999</v>
          </cell>
          <cell r="BG36">
            <v>0</v>
          </cell>
          <cell r="BH36">
            <v>0</v>
          </cell>
          <cell r="BI36"/>
          <cell r="BJ36">
            <v>-52921.613000000005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-11052</v>
          </cell>
          <cell r="AK38">
            <v>-10884</v>
          </cell>
          <cell r="AL38">
            <v>-21570</v>
          </cell>
          <cell r="AM38"/>
          <cell r="AN38">
            <v>-43506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-936493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-330782</v>
          </cell>
          <cell r="AK39">
            <v>-186592</v>
          </cell>
          <cell r="AL39">
            <v>-419119</v>
          </cell>
          <cell r="AM39"/>
          <cell r="AN39">
            <v>-936493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-936493</v>
          </cell>
          <cell r="G40"/>
          <cell r="H40"/>
          <cell r="I40"/>
          <cell r="J40"/>
          <cell r="K40">
            <v>3301.076</v>
          </cell>
          <cell r="L40">
            <v>-28081.62</v>
          </cell>
          <cell r="M40">
            <v>-4858.8890000000001</v>
          </cell>
          <cell r="N40">
            <v>-3680.2730000000001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-33319.705999999998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-33319.705999999998</v>
          </cell>
          <cell r="AJ40">
            <v>-276010.50400000002</v>
          </cell>
          <cell r="AK40">
            <v>-143842.08199999999</v>
          </cell>
          <cell r="AL40">
            <v>-483320.70799999998</v>
          </cell>
          <cell r="AM40"/>
          <cell r="AN40">
            <v>-903173.29399999999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-3301.076</v>
          </cell>
          <cell r="L41">
            <v>28081.62</v>
          </cell>
          <cell r="M41">
            <v>4858.8890000000001</v>
          </cell>
          <cell r="N41">
            <v>3680.2730000000001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33319.705999999998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33319.705999999998</v>
          </cell>
          <cell r="AJ41">
            <v>-54771.495999999985</v>
          </cell>
          <cell r="AK41">
            <v>-42749.918000000005</v>
          </cell>
          <cell r="AL41">
            <v>64201.707999999984</v>
          </cell>
          <cell r="AM41"/>
          <cell r="AN41">
            <v>-33319.706000000006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-3301.076</v>
          </cell>
          <cell r="L43">
            <v>28081.62</v>
          </cell>
          <cell r="M43">
            <v>4858.8890000000001</v>
          </cell>
          <cell r="N43">
            <v>3680.2730000000001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33319.705999999998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33319.705999999998</v>
          </cell>
          <cell r="AJ43">
            <v>-54771.495999999985</v>
          </cell>
          <cell r="AK43">
            <v>-42749.918000000005</v>
          </cell>
          <cell r="AL43">
            <v>64201.707999999984</v>
          </cell>
          <cell r="AM43"/>
          <cell r="AN43">
            <v>-33319.706000000006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31314</v>
          </cell>
          <cell r="H45">
            <v>32104</v>
          </cell>
          <cell r="I45">
            <v>11412</v>
          </cell>
          <cell r="J45">
            <v>10938.5</v>
          </cell>
          <cell r="K45">
            <v>20779</v>
          </cell>
          <cell r="L45">
            <v>17147</v>
          </cell>
          <cell r="M45">
            <v>8128</v>
          </cell>
          <cell r="N45">
            <v>23438.5</v>
          </cell>
          <cell r="O45">
            <v>8737</v>
          </cell>
          <cell r="P45">
            <v>8830</v>
          </cell>
          <cell r="Q45">
            <v>8398.5</v>
          </cell>
          <cell r="R45">
            <v>11425</v>
          </cell>
          <cell r="S45">
            <v>22644</v>
          </cell>
          <cell r="T45">
            <v>1681.5</v>
          </cell>
          <cell r="U45">
            <v>6231</v>
          </cell>
          <cell r="V45">
            <v>13937.5</v>
          </cell>
          <cell r="W45">
            <v>5850</v>
          </cell>
          <cell r="X45">
            <v>0</v>
          </cell>
          <cell r="Y45">
            <v>0</v>
          </cell>
          <cell r="Z45">
            <v>242995.5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242995.5</v>
          </cell>
          <cell r="AJ45">
            <v>15079</v>
          </cell>
          <cell r="AK45">
            <v>9504</v>
          </cell>
          <cell r="AL45">
            <v>1600</v>
          </cell>
          <cell r="AM45"/>
          <cell r="AN45">
            <v>26183</v>
          </cell>
          <cell r="AO45">
            <v>10256.286000000002</v>
          </cell>
          <cell r="AP45">
            <v>0</v>
          </cell>
          <cell r="AQ45"/>
          <cell r="AR45"/>
          <cell r="AS45">
            <v>10256.286000000002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34474955.572999999</v>
          </cell>
          <cell r="G46">
            <v>2998499.5950000002</v>
          </cell>
          <cell r="H46">
            <v>3174765.2419999996</v>
          </cell>
          <cell r="I46">
            <v>1059655.2550000001</v>
          </cell>
          <cell r="J46">
            <v>1044534.983</v>
          </cell>
          <cell r="K46">
            <v>2289258.1</v>
          </cell>
          <cell r="L46">
            <v>1653590</v>
          </cell>
          <cell r="M46">
            <v>696279</v>
          </cell>
          <cell r="N46">
            <v>2254526</v>
          </cell>
          <cell r="O46">
            <v>783762.12</v>
          </cell>
          <cell r="P46">
            <v>858651.4</v>
          </cell>
          <cell r="Q46">
            <v>714628.96</v>
          </cell>
          <cell r="R46">
            <v>1191194.1000000001</v>
          </cell>
          <cell r="S46">
            <v>2188967</v>
          </cell>
          <cell r="T46">
            <v>184230.05</v>
          </cell>
          <cell r="U46">
            <v>651478</v>
          </cell>
          <cell r="V46">
            <v>1348239.7</v>
          </cell>
          <cell r="W46">
            <v>707668.47499999998</v>
          </cell>
          <cell r="X46">
            <v>0</v>
          </cell>
          <cell r="Y46">
            <v>0</v>
          </cell>
          <cell r="Z46">
            <v>23799927.98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E46"/>
          <cell r="AF46"/>
          <cell r="AG46"/>
          <cell r="AH46">
            <v>43340</v>
          </cell>
          <cell r="AI46">
            <v>23843267.98</v>
          </cell>
          <cell r="AJ46">
            <v>402653.5</v>
          </cell>
          <cell r="AK46">
            <v>104800</v>
          </cell>
          <cell r="AL46">
            <v>23680</v>
          </cell>
          <cell r="AM46"/>
          <cell r="AN46">
            <v>531133.5</v>
          </cell>
          <cell r="AO46">
            <v>10025105.612</v>
          </cell>
          <cell r="AP46">
            <v>0</v>
          </cell>
          <cell r="AQ46"/>
          <cell r="AR46"/>
          <cell r="AS46">
            <v>10025105.612</v>
          </cell>
          <cell r="AT46">
            <v>5788.1</v>
          </cell>
          <cell r="AU46">
            <v>5850</v>
          </cell>
          <cell r="AV46">
            <v>62130.531000000003</v>
          </cell>
          <cell r="AW46"/>
          <cell r="AX46"/>
          <cell r="AY46"/>
          <cell r="AZ46"/>
          <cell r="BA46">
            <v>73768.631000000008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1679.85</v>
          </cell>
        </row>
        <row r="47">
          <cell r="F47">
            <v>31919172.878980003</v>
          </cell>
          <cell r="G47">
            <v>2684702.7650000001</v>
          </cell>
          <cell r="H47">
            <v>2945105.3869999996</v>
          </cell>
          <cell r="I47">
            <v>1032957.985</v>
          </cell>
          <cell r="J47">
            <v>977464.10400000005</v>
          </cell>
          <cell r="K47">
            <v>1934050.138</v>
          </cell>
          <cell r="L47">
            <v>1480096.389</v>
          </cell>
          <cell r="M47">
            <v>730278.45499999996</v>
          </cell>
          <cell r="N47">
            <v>1997654.4279999998</v>
          </cell>
          <cell r="O47">
            <v>718542.56300000008</v>
          </cell>
          <cell r="P47">
            <v>804893.07799999998</v>
          </cell>
          <cell r="Q47">
            <v>707300.30800000008</v>
          </cell>
          <cell r="R47">
            <v>1051610.848</v>
          </cell>
          <cell r="S47">
            <v>2002308.838</v>
          </cell>
          <cell r="T47">
            <v>193365.60400000002</v>
          </cell>
          <cell r="U47">
            <v>508684.64</v>
          </cell>
          <cell r="V47">
            <v>1154059.4319999998</v>
          </cell>
          <cell r="W47">
            <v>632436.06699999992</v>
          </cell>
          <cell r="X47">
            <v>0</v>
          </cell>
          <cell r="Y47">
            <v>0</v>
          </cell>
          <cell r="Z47">
            <v>21555511.029000003</v>
          </cell>
          <cell r="AA47">
            <v>-574.45600000000002</v>
          </cell>
          <cell r="AB47">
            <v>0</v>
          </cell>
          <cell r="AC47">
            <v>3369.45</v>
          </cell>
          <cell r="AD47">
            <v>8504.1110000000008</v>
          </cell>
          <cell r="AE47"/>
          <cell r="AF47"/>
          <cell r="AG47"/>
          <cell r="AH47">
            <v>11299.105</v>
          </cell>
          <cell r="AI47">
            <v>21566810.134000003</v>
          </cell>
          <cell r="AJ47">
            <v>359649.63799999998</v>
          </cell>
          <cell r="AK47">
            <v>108341.11499000003</v>
          </cell>
          <cell r="AL47">
            <v>35794.858990000037</v>
          </cell>
          <cell r="AM47"/>
          <cell r="AN47">
            <v>503785.61198000005</v>
          </cell>
          <cell r="AO47">
            <v>9841410.8829999994</v>
          </cell>
          <cell r="AP47">
            <v>0</v>
          </cell>
          <cell r="AQ47"/>
          <cell r="AR47"/>
          <cell r="AS47">
            <v>9841410.8829999994</v>
          </cell>
          <cell r="AT47">
            <v>1455.896</v>
          </cell>
          <cell r="AU47">
            <v>5710.3540000000012</v>
          </cell>
          <cell r="AV47">
            <v>0</v>
          </cell>
          <cell r="AW47"/>
          <cell r="AX47"/>
          <cell r="AY47"/>
          <cell r="AZ47"/>
          <cell r="BA47">
            <v>7166.2500000000009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/>
          <cell r="BJ47">
            <v>0</v>
          </cell>
        </row>
        <row r="48">
          <cell r="F48">
            <v>2555782.6940199956</v>
          </cell>
          <cell r="G48">
            <v>313796.83000000007</v>
          </cell>
          <cell r="H48">
            <v>229659.85499999998</v>
          </cell>
          <cell r="I48">
            <v>26697.270000000135</v>
          </cell>
          <cell r="J48">
            <v>67070.878999999957</v>
          </cell>
          <cell r="K48">
            <v>355207.96200000006</v>
          </cell>
          <cell r="L48">
            <v>173493.61100000003</v>
          </cell>
          <cell r="M48">
            <v>-33999.454999999958</v>
          </cell>
          <cell r="N48">
            <v>256871.57200000016</v>
          </cell>
          <cell r="O48">
            <v>65219.556999999913</v>
          </cell>
          <cell r="P48">
            <v>53758.322000000044</v>
          </cell>
          <cell r="Q48">
            <v>7328.6519999998854</v>
          </cell>
          <cell r="R48">
            <v>139583.25200000009</v>
          </cell>
          <cell r="S48">
            <v>186658.16200000001</v>
          </cell>
          <cell r="T48">
            <v>-9135.5540000000328</v>
          </cell>
          <cell r="U48">
            <v>142793.35999999999</v>
          </cell>
          <cell r="V48">
            <v>194180.26800000016</v>
          </cell>
          <cell r="W48">
            <v>75232.408000000054</v>
          </cell>
          <cell r="X48">
            <v>0</v>
          </cell>
          <cell r="Y48">
            <v>0</v>
          </cell>
          <cell r="Z48">
            <v>2244416.9509999976</v>
          </cell>
          <cell r="AA48">
            <v>574.45600000000002</v>
          </cell>
          <cell r="AB48">
            <v>0</v>
          </cell>
          <cell r="AC48">
            <v>9130.5499999999993</v>
          </cell>
          <cell r="AD48">
            <v>22335.888999999999</v>
          </cell>
          <cell r="AE48"/>
          <cell r="AF48"/>
          <cell r="AG48"/>
          <cell r="AH48">
            <v>32040.895</v>
          </cell>
          <cell r="AI48">
            <v>2276457.8459999971</v>
          </cell>
          <cell r="AJ48">
            <v>43003.862000000023</v>
          </cell>
          <cell r="AK48">
            <v>-3541.114990000031</v>
          </cell>
          <cell r="AL48">
            <v>-12114.858990000037</v>
          </cell>
          <cell r="AM48"/>
          <cell r="AN48">
            <v>27347.888019999955</v>
          </cell>
          <cell r="AO48">
            <v>183694.72900000028</v>
          </cell>
          <cell r="AP48">
            <v>0</v>
          </cell>
          <cell r="AQ48"/>
          <cell r="AR48"/>
          <cell r="AS48">
            <v>183694.72900000028</v>
          </cell>
          <cell r="AT48">
            <v>4332.2040000000006</v>
          </cell>
          <cell r="AU48">
            <v>139.64599999999882</v>
          </cell>
          <cell r="AV48">
            <v>62130.531000000003</v>
          </cell>
          <cell r="AW48"/>
          <cell r="AX48"/>
          <cell r="AY48"/>
          <cell r="AZ48"/>
          <cell r="BA48">
            <v>66602.381000000008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/>
          <cell r="BJ48">
            <v>1679.85</v>
          </cell>
        </row>
        <row r="49">
          <cell r="F49">
            <v>2310701.386996313</v>
          </cell>
          <cell r="G49">
            <v>243788.92293403117</v>
          </cell>
          <cell r="H49">
            <v>251699.24337660114</v>
          </cell>
          <cell r="I49">
            <v>116494.82558176451</v>
          </cell>
          <cell r="J49">
            <v>96201.450323903613</v>
          </cell>
          <cell r="K49">
            <v>190101.38635555291</v>
          </cell>
          <cell r="L49">
            <v>157329.3621995509</v>
          </cell>
          <cell r="M49">
            <v>74561.717087350014</v>
          </cell>
          <cell r="N49">
            <v>189011.73487765086</v>
          </cell>
          <cell r="O49">
            <v>74803.200397181572</v>
          </cell>
          <cell r="P49">
            <v>81302.45457325787</v>
          </cell>
          <cell r="Q49">
            <v>73004.07431293682</v>
          </cell>
          <cell r="R49">
            <v>100862.87072418259</v>
          </cell>
          <cell r="S49">
            <v>176121.29868474719</v>
          </cell>
          <cell r="T49">
            <v>24841.38407900661</v>
          </cell>
          <cell r="U49">
            <v>49809.797844370769</v>
          </cell>
          <cell r="V49">
            <v>106737.39597369455</v>
          </cell>
          <cell r="W49">
            <v>55917.711623405965</v>
          </cell>
          <cell r="X49">
            <v>0</v>
          </cell>
          <cell r="Y49">
            <v>0</v>
          </cell>
          <cell r="Z49">
            <v>2062588.8309491889</v>
          </cell>
          <cell r="AA49">
            <v>8687.2659999999996</v>
          </cell>
          <cell r="AB49">
            <v>175.41</v>
          </cell>
          <cell r="AC49">
            <v>0</v>
          </cell>
          <cell r="AD49">
            <v>0</v>
          </cell>
          <cell r="AE49"/>
          <cell r="AF49"/>
          <cell r="AG49"/>
          <cell r="AH49">
            <v>8862.6759999999995</v>
          </cell>
          <cell r="AI49">
            <v>2071451.5069491889</v>
          </cell>
          <cell r="AJ49">
            <v>23596.057067773363</v>
          </cell>
          <cell r="AK49">
            <v>9374.6515693508372</v>
          </cell>
          <cell r="AL49">
            <v>14245.71141</v>
          </cell>
          <cell r="AM49"/>
          <cell r="AN49">
            <v>47216.420047124207</v>
          </cell>
          <cell r="AO49">
            <v>137431.997</v>
          </cell>
          <cell r="AP49">
            <v>0</v>
          </cell>
          <cell r="AQ49"/>
          <cell r="AR49"/>
          <cell r="AS49">
            <v>137431.997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17101.791000000001</v>
          </cell>
          <cell r="BD49">
            <v>0</v>
          </cell>
          <cell r="BE49">
            <v>0</v>
          </cell>
          <cell r="BF49">
            <v>37499.671999999999</v>
          </cell>
          <cell r="BG49">
            <v>0</v>
          </cell>
          <cell r="BH49">
            <v>0</v>
          </cell>
          <cell r="BI49"/>
          <cell r="BJ49">
            <v>54601.463000000003</v>
          </cell>
        </row>
        <row r="50">
          <cell r="F50">
            <v>245081.30702368263</v>
          </cell>
          <cell r="G50">
            <v>70007.907065968902</v>
          </cell>
          <cell r="H50">
            <v>-22039.388376601157</v>
          </cell>
          <cell r="I50">
            <v>-89797.555581764376</v>
          </cell>
          <cell r="J50">
            <v>-29130.571323903656</v>
          </cell>
          <cell r="K50">
            <v>165106.57564444715</v>
          </cell>
          <cell r="L50">
            <v>16164.248800449132</v>
          </cell>
          <cell r="M50">
            <v>-108561.17208734997</v>
          </cell>
          <cell r="N50">
            <v>67859.837122349301</v>
          </cell>
          <cell r="O50">
            <v>-9583.6433971816587</v>
          </cell>
          <cell r="P50">
            <v>-27544.132573257826</v>
          </cell>
          <cell r="Q50">
            <v>-65675.422312936935</v>
          </cell>
          <cell r="R50">
            <v>38720.381275817505</v>
          </cell>
          <cell r="S50">
            <v>10536.86331525282</v>
          </cell>
          <cell r="T50">
            <v>-33976.938079006643</v>
          </cell>
          <cell r="U50">
            <v>92983.562155629217</v>
          </cell>
          <cell r="V50">
            <v>87442.872026305602</v>
          </cell>
          <cell r="W50">
            <v>19314.696376594089</v>
          </cell>
          <cell r="X50">
            <v>0</v>
          </cell>
          <cell r="Y50">
            <v>0</v>
          </cell>
          <cell r="Z50">
            <v>181828.12005080865</v>
          </cell>
          <cell r="AA50">
            <v>-8112.8099999999995</v>
          </cell>
          <cell r="AB50">
            <v>-175.41</v>
          </cell>
          <cell r="AC50">
            <v>9130.5499999999993</v>
          </cell>
          <cell r="AD50">
            <v>22335.888999999999</v>
          </cell>
          <cell r="AE50"/>
          <cell r="AF50"/>
          <cell r="AG50"/>
          <cell r="AH50">
            <v>23178.219000000001</v>
          </cell>
          <cell r="AI50">
            <v>205006.33905080822</v>
          </cell>
          <cell r="AJ50">
            <v>19407.80493222666</v>
          </cell>
          <cell r="AK50">
            <v>-12915.766559350868</v>
          </cell>
          <cell r="AL50">
            <v>-26360.570400000037</v>
          </cell>
          <cell r="AM50"/>
          <cell r="AN50">
            <v>-19868.532027124253</v>
          </cell>
          <cell r="AO50">
            <v>46262.73200000028</v>
          </cell>
          <cell r="AP50">
            <v>0</v>
          </cell>
          <cell r="AQ50"/>
          <cell r="AR50"/>
          <cell r="AS50">
            <v>46262.73200000028</v>
          </cell>
          <cell r="AT50">
            <v>4332.2040000000006</v>
          </cell>
          <cell r="AU50">
            <v>139.64599999999882</v>
          </cell>
          <cell r="AV50">
            <v>62130.531000000003</v>
          </cell>
          <cell r="AW50"/>
          <cell r="AX50"/>
          <cell r="AY50"/>
          <cell r="AZ50"/>
          <cell r="BA50">
            <v>66602.381000000008</v>
          </cell>
          <cell r="BB50">
            <v>0</v>
          </cell>
          <cell r="BC50">
            <v>-15421.941000000001</v>
          </cell>
          <cell r="BD50">
            <v>0</v>
          </cell>
          <cell r="BE50">
            <v>0</v>
          </cell>
          <cell r="BF50">
            <v>-37499.671999999999</v>
          </cell>
          <cell r="BG50">
            <v>0</v>
          </cell>
          <cell r="BH50">
            <v>0</v>
          </cell>
          <cell r="BI50"/>
          <cell r="BJ50">
            <v>-52921.613000000005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171774</v>
          </cell>
          <cell r="H7">
            <v>135826</v>
          </cell>
          <cell r="I7">
            <v>54693</v>
          </cell>
          <cell r="J7">
            <v>47865.5</v>
          </cell>
          <cell r="K7">
            <v>95626</v>
          </cell>
          <cell r="L7">
            <v>84370</v>
          </cell>
          <cell r="M7">
            <v>42403</v>
          </cell>
          <cell r="N7">
            <v>101410</v>
          </cell>
          <cell r="O7">
            <v>38653</v>
          </cell>
          <cell r="P7">
            <v>52091</v>
          </cell>
          <cell r="Q7">
            <v>50320</v>
          </cell>
          <cell r="R7">
            <v>56236</v>
          </cell>
          <cell r="S7">
            <v>103984</v>
          </cell>
          <cell r="T7">
            <v>10119.5</v>
          </cell>
          <cell r="U7">
            <v>25233</v>
          </cell>
          <cell r="V7">
            <v>73985.5</v>
          </cell>
          <cell r="W7">
            <v>29844.5</v>
          </cell>
          <cell r="X7"/>
          <cell r="Y7"/>
          <cell r="Z7">
            <v>1174434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1174434</v>
          </cell>
          <cell r="AJ7">
            <v>120542</v>
          </cell>
          <cell r="AK7">
            <v>93866</v>
          </cell>
          <cell r="AL7">
            <v>90706</v>
          </cell>
          <cell r="AM7"/>
          <cell r="AN7">
            <v>305114</v>
          </cell>
          <cell r="AO7">
            <v>55602.745999999999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171607995.56599998</v>
          </cell>
          <cell r="G8">
            <v>16474908.903000001</v>
          </cell>
          <cell r="H8">
            <v>13329678.620999999</v>
          </cell>
          <cell r="I8">
            <v>5056741.17</v>
          </cell>
          <cell r="J8">
            <v>4562962.1189999999</v>
          </cell>
          <cell r="K8">
            <v>10214984.119999999</v>
          </cell>
          <cell r="L8">
            <v>8159070.0179999992</v>
          </cell>
          <cell r="M8">
            <v>3813694.7</v>
          </cell>
          <cell r="N8">
            <v>10216991.789999999</v>
          </cell>
          <cell r="O8">
            <v>3607342.1469999999</v>
          </cell>
          <cell r="P8">
            <v>5125327.03</v>
          </cell>
          <cell r="Q8">
            <v>4566328.5389999999</v>
          </cell>
          <cell r="R8">
            <v>5914321.6999999993</v>
          </cell>
          <cell r="S8">
            <v>10256040.051000001</v>
          </cell>
          <cell r="T8">
            <v>1090991.554</v>
          </cell>
          <cell r="U8">
            <v>2732916.2769999998</v>
          </cell>
          <cell r="V8">
            <v>7180484.0959999999</v>
          </cell>
          <cell r="W8">
            <v>3635706.7710000002</v>
          </cell>
          <cell r="X8"/>
          <cell r="Y8"/>
          <cell r="Z8">
            <v>115938489.60600001</v>
          </cell>
          <cell r="AA8">
            <v>125000</v>
          </cell>
          <cell r="AB8">
            <v>0</v>
          </cell>
          <cell r="AC8">
            <v>62500</v>
          </cell>
          <cell r="AD8">
            <v>146700</v>
          </cell>
          <cell r="AE8"/>
          <cell r="AF8"/>
          <cell r="AG8"/>
          <cell r="AH8">
            <v>334200</v>
          </cell>
          <cell r="AI8">
            <v>116272689.60600001</v>
          </cell>
          <cell r="AJ8">
            <v>3462668</v>
          </cell>
          <cell r="AK8">
            <v>1333518</v>
          </cell>
          <cell r="AL8">
            <v>1698255</v>
          </cell>
          <cell r="AM8"/>
          <cell r="AN8">
            <v>6494441</v>
          </cell>
          <cell r="AO8">
            <v>48464953.320999995</v>
          </cell>
          <cell r="AP8">
            <v>0</v>
          </cell>
          <cell r="AQ8"/>
          <cell r="AR8"/>
          <cell r="AS8">
            <v>48464953.320999995</v>
          </cell>
          <cell r="AT8">
            <v>27838.1</v>
          </cell>
          <cell r="AU8">
            <v>29250</v>
          </cell>
          <cell r="AV8">
            <v>310443.489</v>
          </cell>
          <cell r="AW8"/>
          <cell r="AX8"/>
          <cell r="AY8"/>
          <cell r="AZ8"/>
          <cell r="BA8">
            <v>367531.58899999998</v>
          </cell>
          <cell r="BB8">
            <v>0</v>
          </cell>
          <cell r="BC8">
            <v>8380.0499999999993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8380.0499999999993</v>
          </cell>
          <cell r="BK8"/>
          <cell r="BL8"/>
          <cell r="BM8"/>
          <cell r="BN8"/>
          <cell r="BO8"/>
        </row>
        <row r="9">
          <cell r="F9"/>
          <cell r="G9">
            <v>95910.375860141823</v>
          </cell>
          <cell r="H9">
            <v>98137.901587324959</v>
          </cell>
          <cell r="I9">
            <v>92456.825736383078</v>
          </cell>
          <cell r="J9">
            <v>95328.830138617588</v>
          </cell>
          <cell r="K9">
            <v>106822.24625101959</v>
          </cell>
          <cell r="L9">
            <v>96705.819817470649</v>
          </cell>
          <cell r="M9">
            <v>89939.266089663477</v>
          </cell>
          <cell r="N9">
            <v>100749.35203628833</v>
          </cell>
          <cell r="O9">
            <v>93326.317413913523</v>
          </cell>
          <cell r="P9">
            <v>98391.795703672426</v>
          </cell>
          <cell r="Q9">
            <v>90745.797674880756</v>
          </cell>
          <cell r="R9">
            <v>105169.67245181021</v>
          </cell>
          <cell r="S9">
            <v>98630.943712494249</v>
          </cell>
          <cell r="T9">
            <v>107810.81614704285</v>
          </cell>
          <cell r="U9">
            <v>108307.2277176713</v>
          </cell>
          <cell r="V9">
            <v>97052.585925620559</v>
          </cell>
          <cell r="W9">
            <v>121821.66801253163</v>
          </cell>
          <cell r="X9"/>
          <cell r="Y9"/>
          <cell r="Z9">
            <v>98718.607947317607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99003.170553645425</v>
          </cell>
          <cell r="AJ9">
            <v>28725.821705297742</v>
          </cell>
          <cell r="AK9">
            <v>14206.61368333582</v>
          </cell>
          <cell r="AL9">
            <v>18722.631358454786</v>
          </cell>
          <cell r="AM9"/>
          <cell r="AN9"/>
          <cell r="AO9">
            <v>871628.77389185049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158517700.09538001</v>
          </cell>
          <cell r="G10">
            <v>14880668.419950001</v>
          </cell>
          <cell r="H10">
            <v>12504216.297179999</v>
          </cell>
          <cell r="I10">
            <v>5033113.5397899998</v>
          </cell>
          <cell r="J10">
            <v>4312753.0301799998</v>
          </cell>
          <cell r="K10">
            <v>8490186.8792700004</v>
          </cell>
          <cell r="L10">
            <v>7214981.9926600009</v>
          </cell>
          <cell r="M10">
            <v>3725872.2244700002</v>
          </cell>
          <cell r="N10">
            <v>9042903.7596700005</v>
          </cell>
          <cell r="O10">
            <v>3329926.5380600002</v>
          </cell>
          <cell r="P10">
            <v>4457277.4687199993</v>
          </cell>
          <cell r="Q10">
            <v>4300761.7677100003</v>
          </cell>
          <cell r="R10">
            <v>5177276.1271799998</v>
          </cell>
          <cell r="S10">
            <v>9357978.7801200002</v>
          </cell>
          <cell r="T10">
            <v>1087975.5872200001</v>
          </cell>
          <cell r="U10">
            <v>2117049.2892400003</v>
          </cell>
          <cell r="V10">
            <v>6063549.2989499997</v>
          </cell>
          <cell r="W10">
            <v>3076348.8510400001</v>
          </cell>
          <cell r="X10"/>
          <cell r="Y10"/>
          <cell r="Z10">
            <v>104172839.85141</v>
          </cell>
          <cell r="AA10">
            <v>5723.3689999999997</v>
          </cell>
          <cell r="AB10">
            <v>0</v>
          </cell>
          <cell r="AC10">
            <v>16873.031999999999</v>
          </cell>
          <cell r="AD10">
            <v>39996.39</v>
          </cell>
          <cell r="AE10"/>
          <cell r="AF10"/>
          <cell r="AG10"/>
          <cell r="AH10">
            <v>62592.790999999997</v>
          </cell>
          <cell r="AI10">
            <v>104235432.64241</v>
          </cell>
          <cell r="AJ10">
            <v>3117782.5748300003</v>
          </cell>
          <cell r="AK10">
            <v>1028034.1213799999</v>
          </cell>
          <cell r="AL10">
            <v>2045350.06176</v>
          </cell>
          <cell r="AM10"/>
          <cell r="AN10">
            <v>6191166.7579699997</v>
          </cell>
          <cell r="AO10">
            <v>47781098.634000003</v>
          </cell>
          <cell r="AP10">
            <v>0</v>
          </cell>
          <cell r="AQ10"/>
          <cell r="AR10"/>
          <cell r="AS10">
            <v>47781098.634000003</v>
          </cell>
          <cell r="AT10">
            <v>696.56799999999998</v>
          </cell>
          <cell r="AU10">
            <v>907.22800000000007</v>
          </cell>
          <cell r="AV10">
            <v>0</v>
          </cell>
          <cell r="AW10"/>
          <cell r="AX10"/>
          <cell r="AY10"/>
          <cell r="AZ10"/>
          <cell r="BA10">
            <v>1603.796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5593.3850000000002</v>
          </cell>
          <cell r="BI10"/>
          <cell r="BJ10">
            <v>308398.26500000001</v>
          </cell>
          <cell r="BK10"/>
          <cell r="BL10"/>
          <cell r="BM10"/>
          <cell r="BN10"/>
          <cell r="BO10"/>
        </row>
        <row r="11">
          <cell r="F11"/>
          <cell r="G11">
            <v>86629.340994271537</v>
          </cell>
          <cell r="H11">
            <v>92060.550242074416</v>
          </cell>
          <cell r="I11">
            <v>92024.821088439101</v>
          </cell>
          <cell r="J11">
            <v>90101.493354921608</v>
          </cell>
          <cell r="K11">
            <v>88785.339544370785</v>
          </cell>
          <cell r="L11">
            <v>85515.965303543926</v>
          </cell>
          <cell r="M11">
            <v>87868.127832228856</v>
          </cell>
          <cell r="N11">
            <v>89171.716395523137</v>
          </cell>
          <cell r="O11">
            <v>86149.239077432547</v>
          </cell>
          <cell r="P11">
            <v>85567.131917605715</v>
          </cell>
          <cell r="Q11">
            <v>85468.23862698728</v>
          </cell>
          <cell r="R11">
            <v>92063.378035066504</v>
          </cell>
          <cell r="S11">
            <v>89994.410487382687</v>
          </cell>
          <cell r="T11">
            <v>107512.78098917931</v>
          </cell>
          <cell r="U11">
            <v>83900.023351959739</v>
          </cell>
          <cell r="V11">
            <v>81955.914320373573</v>
          </cell>
          <cell r="W11">
            <v>103079.25584412538</v>
          </cell>
          <cell r="X11"/>
          <cell r="Y11"/>
          <cell r="Z11">
            <v>88700.463245623003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88753.759378909323</v>
          </cell>
          <cell r="AJ11">
            <v>25864.699232051902</v>
          </cell>
          <cell r="AK11">
            <v>10952.145839601133</v>
          </cell>
          <cell r="AL11">
            <v>22549.225649460896</v>
          </cell>
          <cell r="AM11"/>
          <cell r="AN11"/>
          <cell r="AO11">
            <v>859329.83658756712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13090295.470619977</v>
          </cell>
          <cell r="G12">
            <v>1594240.4830499999</v>
          </cell>
          <cell r="H12">
            <v>825462.32382000051</v>
          </cell>
          <cell r="I12">
            <v>23627.63021000009</v>
          </cell>
          <cell r="J12">
            <v>250209.08882000018</v>
          </cell>
          <cell r="K12">
            <v>1724797.2407299988</v>
          </cell>
          <cell r="L12">
            <v>944088.0253399983</v>
          </cell>
          <cell r="M12">
            <v>87822.475529999938</v>
          </cell>
          <cell r="N12">
            <v>1174088.0303299986</v>
          </cell>
          <cell r="O12">
            <v>277415.60893999971</v>
          </cell>
          <cell r="P12">
            <v>668049.56128000095</v>
          </cell>
          <cell r="Q12">
            <v>265566.7712899996</v>
          </cell>
          <cell r="R12">
            <v>737045.57281999942</v>
          </cell>
          <cell r="S12">
            <v>898061.27088000067</v>
          </cell>
          <cell r="T12">
            <v>3015.9667799999006</v>
          </cell>
          <cell r="U12">
            <v>615866.98775999947</v>
          </cell>
          <cell r="V12">
            <v>1116934.7970500002</v>
          </cell>
          <cell r="W12">
            <v>559357.91996000009</v>
          </cell>
          <cell r="X12"/>
          <cell r="Y12"/>
          <cell r="Z12">
            <v>11765649.754589997</v>
          </cell>
          <cell r="AA12">
            <v>119276.63099999999</v>
          </cell>
          <cell r="AB12">
            <v>0</v>
          </cell>
          <cell r="AC12">
            <v>45626.968000000001</v>
          </cell>
          <cell r="AD12">
            <v>106703.61</v>
          </cell>
          <cell r="AE12"/>
          <cell r="AF12"/>
          <cell r="AG12"/>
          <cell r="AH12">
            <v>271607.20900000003</v>
          </cell>
          <cell r="AI12">
            <v>12037256.963590011</v>
          </cell>
          <cell r="AJ12">
            <v>344885.42516999971</v>
          </cell>
          <cell r="AK12">
            <v>305483.87862000009</v>
          </cell>
          <cell r="AL12">
            <v>-347095.06175999995</v>
          </cell>
          <cell r="AM12"/>
          <cell r="AN12">
            <v>303274.24203000031</v>
          </cell>
          <cell r="AO12">
            <v>683854.68699999154</v>
          </cell>
          <cell r="AP12">
            <v>0</v>
          </cell>
          <cell r="AQ12"/>
          <cell r="AR12"/>
          <cell r="AS12">
            <v>683854.68699999154</v>
          </cell>
          <cell r="AT12">
            <v>27141.531999999999</v>
          </cell>
          <cell r="AU12">
            <v>28342.772000000001</v>
          </cell>
          <cell r="AV12">
            <v>310443.489</v>
          </cell>
          <cell r="AW12"/>
          <cell r="AX12"/>
          <cell r="AY12"/>
          <cell r="AZ12"/>
          <cell r="BA12">
            <v>365927.79300000001</v>
          </cell>
          <cell r="BB12">
            <v>0</v>
          </cell>
          <cell r="BC12">
            <v>8380.0499999999993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-5593.3850000000002</v>
          </cell>
          <cell r="BI12"/>
          <cell r="BJ12">
            <v>-300018.21500000003</v>
          </cell>
          <cell r="BK12"/>
          <cell r="BL12"/>
          <cell r="BM12"/>
          <cell r="BN12"/>
          <cell r="BO12"/>
        </row>
        <row r="13">
          <cell r="F13">
            <v>4244165.8609999996</v>
          </cell>
          <cell r="G13">
            <v>334933.86699999997</v>
          </cell>
          <cell r="H13">
            <v>343429.29099999997</v>
          </cell>
          <cell r="I13">
            <v>264190.19499999995</v>
          </cell>
          <cell r="J13">
            <v>179298.53499999997</v>
          </cell>
          <cell r="K13">
            <v>256086.91800000001</v>
          </cell>
          <cell r="L13">
            <v>269372.19</v>
          </cell>
          <cell r="M13">
            <v>188680.91099999999</v>
          </cell>
          <cell r="N13">
            <v>211913.79499999998</v>
          </cell>
          <cell r="O13">
            <v>155511.927</v>
          </cell>
          <cell r="P13">
            <v>152381.81</v>
          </cell>
          <cell r="Q13">
            <v>148615.103</v>
          </cell>
          <cell r="R13">
            <v>131160.44699999999</v>
          </cell>
          <cell r="S13">
            <v>235764.95699999999</v>
          </cell>
          <cell r="T13">
            <v>57314.304000000004</v>
          </cell>
          <cell r="U13">
            <v>56019.767</v>
          </cell>
          <cell r="V13">
            <v>159724.55599999998</v>
          </cell>
          <cell r="W13">
            <v>78886.793999999994</v>
          </cell>
          <cell r="X13"/>
          <cell r="Y13"/>
          <cell r="Z13">
            <v>3223285.3670000001</v>
          </cell>
          <cell r="AA13">
            <v>5039.6779999999999</v>
          </cell>
          <cell r="AB13">
            <v>983.65699999999993</v>
          </cell>
          <cell r="AC13">
            <v>0</v>
          </cell>
          <cell r="AD13">
            <v>0</v>
          </cell>
          <cell r="AE13"/>
          <cell r="AF13"/>
          <cell r="AG13"/>
          <cell r="AH13">
            <v>6023.335</v>
          </cell>
          <cell r="AI13">
            <v>3229308.702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715578.16099999996</v>
          </cell>
          <cell r="AP13">
            <v>0</v>
          </cell>
          <cell r="AQ13"/>
          <cell r="AR13"/>
          <cell r="AS13">
            <v>715578.16099999996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60892.097999999998</v>
          </cell>
          <cell r="BG13">
            <v>238386.9</v>
          </cell>
          <cell r="BH13">
            <v>0</v>
          </cell>
          <cell r="BI13"/>
          <cell r="BJ13">
            <v>299278.99800000002</v>
          </cell>
          <cell r="BK13"/>
          <cell r="BL13"/>
          <cell r="BM13"/>
          <cell r="BN13"/>
          <cell r="BO13"/>
        </row>
        <row r="14">
          <cell r="F14">
            <v>2894638.0159999998</v>
          </cell>
          <cell r="G14">
            <v>221679.905</v>
          </cell>
          <cell r="H14">
            <v>228925.75499999998</v>
          </cell>
          <cell r="I14">
            <v>174257.61299999998</v>
          </cell>
          <cell r="J14">
            <v>130086.94499999999</v>
          </cell>
          <cell r="K14">
            <v>170246.16699999999</v>
          </cell>
          <cell r="L14">
            <v>179066.20299999998</v>
          </cell>
          <cell r="M14">
            <v>129314.67799999999</v>
          </cell>
          <cell r="N14">
            <v>142690.70799999998</v>
          </cell>
          <cell r="O14">
            <v>104866.982</v>
          </cell>
          <cell r="P14">
            <v>104050.054</v>
          </cell>
          <cell r="Q14">
            <v>102279.557</v>
          </cell>
          <cell r="R14">
            <v>93214.684999999998</v>
          </cell>
          <cell r="S14">
            <v>161885.476</v>
          </cell>
          <cell r="T14">
            <v>37407.747000000003</v>
          </cell>
          <cell r="U14">
            <v>37339.5</v>
          </cell>
          <cell r="V14">
            <v>111698.197</v>
          </cell>
          <cell r="W14">
            <v>53736.837</v>
          </cell>
          <cell r="X14"/>
          <cell r="Y14"/>
          <cell r="Z14">
            <v>2182747.0090000001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2182747.0090000001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473504.10699999996</v>
          </cell>
          <cell r="AP14">
            <v>0</v>
          </cell>
          <cell r="AQ14"/>
          <cell r="AR14"/>
          <cell r="AS14">
            <v>473504.10699999996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I14"/>
          <cell r="BJ14">
            <v>238386.9</v>
          </cell>
          <cell r="BK14"/>
          <cell r="BL14"/>
          <cell r="BM14"/>
          <cell r="BN14"/>
          <cell r="BO14"/>
        </row>
        <row r="15">
          <cell r="F15">
            <v>1349527.845</v>
          </cell>
          <cell r="G15">
            <v>113253.96199999998</v>
          </cell>
          <cell r="H15">
            <v>114503.53599999999</v>
          </cell>
          <cell r="I15">
            <v>89932.581999999995</v>
          </cell>
          <cell r="J15">
            <v>49211.59</v>
          </cell>
          <cell r="K15">
            <v>85840.751000000004</v>
          </cell>
          <cell r="L15">
            <v>90305.987000000008</v>
          </cell>
          <cell r="M15">
            <v>59366.233000000007</v>
          </cell>
          <cell r="N15">
            <v>69223.087</v>
          </cell>
          <cell r="O15">
            <v>50644.945</v>
          </cell>
          <cell r="P15">
            <v>48331.756000000001</v>
          </cell>
          <cell r="Q15">
            <v>46335.545999999995</v>
          </cell>
          <cell r="R15">
            <v>37945.762000000002</v>
          </cell>
          <cell r="S15">
            <v>73879.481</v>
          </cell>
          <cell r="T15">
            <v>19906.557000000001</v>
          </cell>
          <cell r="U15">
            <v>18680.267</v>
          </cell>
          <cell r="V15">
            <v>48026.358999999997</v>
          </cell>
          <cell r="W15">
            <v>25149.957000000002</v>
          </cell>
          <cell r="X15"/>
          <cell r="Y15"/>
          <cell r="Z15">
            <v>1040538.3579999999</v>
          </cell>
          <cell r="AA15">
            <v>5039.6779999999999</v>
          </cell>
          <cell r="AB15">
            <v>983.65699999999993</v>
          </cell>
          <cell r="AC15">
            <v>0</v>
          </cell>
          <cell r="AD15">
            <v>0</v>
          </cell>
          <cell r="AE15"/>
          <cell r="AF15"/>
          <cell r="AG15"/>
          <cell r="AH15">
            <v>6023.335</v>
          </cell>
          <cell r="AI15">
            <v>1046561.6929999999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242074.054</v>
          </cell>
          <cell r="AP15">
            <v>0</v>
          </cell>
          <cell r="AQ15"/>
          <cell r="AR15"/>
          <cell r="AS15">
            <v>242074.054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60892.097999999998</v>
          </cell>
          <cell r="BG15">
            <v>0</v>
          </cell>
          <cell r="BH15">
            <v>0</v>
          </cell>
          <cell r="BI15"/>
          <cell r="BJ15">
            <v>60892.097999999998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8846129.609619977</v>
          </cell>
          <cell r="G17">
            <v>1259306.6160499998</v>
          </cell>
          <cell r="H17">
            <v>482033.03282000055</v>
          </cell>
          <cell r="I17">
            <v>-240562.56478999986</v>
          </cell>
          <cell r="J17">
            <v>70910.553820000205</v>
          </cell>
          <cell r="K17">
            <v>1468710.3227299987</v>
          </cell>
          <cell r="L17">
            <v>674715.83533999836</v>
          </cell>
          <cell r="M17">
            <v>-100858.43547000005</v>
          </cell>
          <cell r="N17">
            <v>962174.23532999866</v>
          </cell>
          <cell r="O17">
            <v>121903.68193999972</v>
          </cell>
          <cell r="P17">
            <v>515667.75128000096</v>
          </cell>
          <cell r="Q17">
            <v>116951.66828999959</v>
          </cell>
          <cell r="R17">
            <v>605885.12581999949</v>
          </cell>
          <cell r="S17">
            <v>662296.31388000073</v>
          </cell>
          <cell r="T17">
            <v>-54298.337220000103</v>
          </cell>
          <cell r="U17">
            <v>559847.22075999947</v>
          </cell>
          <cell r="V17">
            <v>957210.24105000019</v>
          </cell>
          <cell r="W17">
            <v>480471.12596000009</v>
          </cell>
          <cell r="X17"/>
          <cell r="Y17"/>
          <cell r="Z17">
            <v>8542364.3875899967</v>
          </cell>
          <cell r="AA17">
            <v>114236.95299999999</v>
          </cell>
          <cell r="AB17">
            <v>-983.65699999999993</v>
          </cell>
          <cell r="AC17">
            <v>45626.968000000001</v>
          </cell>
          <cell r="AD17">
            <v>106703.61</v>
          </cell>
          <cell r="AE17"/>
          <cell r="AF17"/>
          <cell r="AG17"/>
          <cell r="AH17">
            <v>265583.87400000001</v>
          </cell>
          <cell r="AI17">
            <v>8807948.2615900114</v>
          </cell>
          <cell r="AJ17">
            <v>344885.42516999971</v>
          </cell>
          <cell r="AK17">
            <v>305483.87862000009</v>
          </cell>
          <cell r="AL17">
            <v>-347095.06175999995</v>
          </cell>
          <cell r="AM17"/>
          <cell r="AN17">
            <v>303274.24203000031</v>
          </cell>
          <cell r="AO17">
            <v>-31723.474000008428</v>
          </cell>
          <cell r="AP17">
            <v>0</v>
          </cell>
          <cell r="AQ17"/>
          <cell r="AR17"/>
          <cell r="AS17">
            <v>-31723.474000008428</v>
          </cell>
          <cell r="AT17">
            <v>27141.531999999999</v>
          </cell>
          <cell r="AU17">
            <v>28342.772000000001</v>
          </cell>
          <cell r="AV17">
            <v>310443.489</v>
          </cell>
          <cell r="AW17"/>
          <cell r="AX17"/>
          <cell r="AY17"/>
          <cell r="AZ17"/>
          <cell r="BA17">
            <v>365927.79300000001</v>
          </cell>
          <cell r="BB17">
            <v>0</v>
          </cell>
          <cell r="BC17">
            <v>8380.0499999999993</v>
          </cell>
          <cell r="BD17">
            <v>0</v>
          </cell>
          <cell r="BE17">
            <v>0</v>
          </cell>
          <cell r="BF17">
            <v>-60892.097999999998</v>
          </cell>
          <cell r="BG17">
            <v>-541191.78</v>
          </cell>
          <cell r="BH17">
            <v>-5593.3850000000002</v>
          </cell>
          <cell r="BI17"/>
          <cell r="BJ17">
            <v>-599297.21299999999</v>
          </cell>
          <cell r="BK17"/>
          <cell r="BL17"/>
          <cell r="BM17"/>
          <cell r="BN17"/>
          <cell r="BO17"/>
        </row>
        <row r="18">
          <cell r="F18">
            <v>2914157.8716000002</v>
          </cell>
          <cell r="G18">
            <v>151521.19905</v>
          </cell>
          <cell r="H18">
            <v>177544.71682</v>
          </cell>
          <cell r="I18">
            <v>101023.30121000001</v>
          </cell>
          <cell r="J18">
            <v>90460.131819999995</v>
          </cell>
          <cell r="K18">
            <v>484500.49073000002</v>
          </cell>
          <cell r="L18">
            <v>170821.76533999998</v>
          </cell>
          <cell r="M18">
            <v>75588.994530000011</v>
          </cell>
          <cell r="N18">
            <v>113228.82733</v>
          </cell>
          <cell r="O18">
            <v>62714.603940000001</v>
          </cell>
          <cell r="P18">
            <v>158675.61627999999</v>
          </cell>
          <cell r="Q18">
            <v>77841.006290000005</v>
          </cell>
          <cell r="R18">
            <v>75204.546820000003</v>
          </cell>
          <cell r="S18">
            <v>168068.42488000001</v>
          </cell>
          <cell r="T18">
            <v>31039.582780000001</v>
          </cell>
          <cell r="U18">
            <v>55609.883760000004</v>
          </cell>
          <cell r="V18">
            <v>105862.73305000001</v>
          </cell>
          <cell r="W18">
            <v>64678.952959999995</v>
          </cell>
          <cell r="X18"/>
          <cell r="Y18"/>
          <cell r="Z18">
            <v>2164384.7775900001</v>
          </cell>
          <cell r="AA18">
            <v>27978.502999999997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27978.502999999997</v>
          </cell>
          <cell r="AI18">
            <v>2192363.2805900001</v>
          </cell>
          <cell r="AJ18">
            <v>141455.03017999997</v>
          </cell>
          <cell r="AK18">
            <v>75741.145599999989</v>
          </cell>
          <cell r="AL18">
            <v>285763.88822999998</v>
          </cell>
          <cell r="AM18"/>
          <cell r="AN18">
            <v>502960.06400999997</v>
          </cell>
          <cell r="AO18">
            <v>28596.726000000002</v>
          </cell>
          <cell r="AP18">
            <v>0</v>
          </cell>
          <cell r="AQ18"/>
          <cell r="AR18"/>
          <cell r="AS18">
            <v>28596.726000000002</v>
          </cell>
          <cell r="AT18">
            <v>6564.46</v>
          </cell>
          <cell r="AU18">
            <v>26889.595000000001</v>
          </cell>
          <cell r="AV18">
            <v>0</v>
          </cell>
          <cell r="AW18"/>
          <cell r="AX18"/>
          <cell r="AY18"/>
          <cell r="AZ18"/>
          <cell r="BA18">
            <v>33454.055</v>
          </cell>
          <cell r="BB18">
            <v>0</v>
          </cell>
          <cell r="BC18">
            <v>76832.77</v>
          </cell>
          <cell r="BD18">
            <v>0</v>
          </cell>
          <cell r="BE18">
            <v>0</v>
          </cell>
          <cell r="BF18">
            <v>79950.975999999995</v>
          </cell>
          <cell r="BG18">
            <v>0</v>
          </cell>
          <cell r="BH18">
            <v>0</v>
          </cell>
          <cell r="BI18"/>
          <cell r="BJ18">
            <v>156783.74599999998</v>
          </cell>
          <cell r="BK18"/>
          <cell r="BL18"/>
          <cell r="BM18"/>
          <cell r="BN18"/>
          <cell r="BO18"/>
        </row>
        <row r="19">
          <cell r="F19">
            <v>2612258.9016000004</v>
          </cell>
          <cell r="G19">
            <v>141027.04405</v>
          </cell>
          <cell r="H19">
            <v>166728.51282</v>
          </cell>
          <cell r="I19">
            <v>92635.858210000006</v>
          </cell>
          <cell r="J19">
            <v>84500.195819999994</v>
          </cell>
          <cell r="K19">
            <v>475130.49773</v>
          </cell>
          <cell r="L19">
            <v>163010.09233999997</v>
          </cell>
          <cell r="M19">
            <v>69991.403530000011</v>
          </cell>
          <cell r="N19">
            <v>105041.90833000001</v>
          </cell>
          <cell r="O19">
            <v>58964.427940000001</v>
          </cell>
          <cell r="P19">
            <v>152592.12127999999</v>
          </cell>
          <cell r="Q19">
            <v>73705.177290000007</v>
          </cell>
          <cell r="R19">
            <v>70842.715819999998</v>
          </cell>
          <cell r="S19">
            <v>160151.61788000001</v>
          </cell>
          <cell r="T19">
            <v>29187.584780000001</v>
          </cell>
          <cell r="U19">
            <v>53395.538760000003</v>
          </cell>
          <cell r="V19">
            <v>101735.49405000001</v>
          </cell>
          <cell r="W19">
            <v>60564.200959999995</v>
          </cell>
          <cell r="X19"/>
          <cell r="Y19"/>
          <cell r="Z19">
            <v>2059204.3915900001</v>
          </cell>
          <cell r="AA19">
            <v>16640.391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16640.391</v>
          </cell>
          <cell r="AI19">
            <v>2075844.7825900002</v>
          </cell>
          <cell r="AJ19">
            <v>141455.03017999997</v>
          </cell>
          <cell r="AK19">
            <v>75741.145599999989</v>
          </cell>
          <cell r="AL19">
            <v>285763.88822999998</v>
          </cell>
          <cell r="AM19"/>
          <cell r="AN19">
            <v>502960.06400999997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6564.46</v>
          </cell>
          <cell r="AU19">
            <v>26889.595000000001</v>
          </cell>
          <cell r="AV19">
            <v>0</v>
          </cell>
          <cell r="AW19"/>
          <cell r="AX19"/>
          <cell r="AY19"/>
          <cell r="AZ19"/>
          <cell r="BA19">
            <v>33454.055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301898.96999999997</v>
          </cell>
          <cell r="G20">
            <v>10494.155000000001</v>
          </cell>
          <cell r="H20">
            <v>10816.204000000002</v>
          </cell>
          <cell r="I20">
            <v>8387.4429999999993</v>
          </cell>
          <cell r="J20">
            <v>5959.9360000000006</v>
          </cell>
          <cell r="K20">
            <v>9369.9930000000004</v>
          </cell>
          <cell r="L20">
            <v>7811.6729999999989</v>
          </cell>
          <cell r="M20">
            <v>5597.5909999999994</v>
          </cell>
          <cell r="N20">
            <v>8186.9189999999999</v>
          </cell>
          <cell r="O20">
            <v>3750.1759999999999</v>
          </cell>
          <cell r="P20">
            <v>6083.4949999999999</v>
          </cell>
          <cell r="Q20">
            <v>4135.8289999999997</v>
          </cell>
          <cell r="R20">
            <v>4361.8310000000001</v>
          </cell>
          <cell r="S20">
            <v>7916.8070000000007</v>
          </cell>
          <cell r="T20">
            <v>1851.998</v>
          </cell>
          <cell r="U20">
            <v>2214.3450000000003</v>
          </cell>
          <cell r="V20">
            <v>4127.2389999999996</v>
          </cell>
          <cell r="W20">
            <v>4114.7520000000004</v>
          </cell>
          <cell r="X20"/>
          <cell r="Y20"/>
          <cell r="Z20">
            <v>105180.38600000003</v>
          </cell>
          <cell r="AA20">
            <v>11338.111999999999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11338.111999999999</v>
          </cell>
          <cell r="AI20">
            <v>116518.49800000002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28596.726000000002</v>
          </cell>
          <cell r="AP20">
            <v>0</v>
          </cell>
          <cell r="AQ20"/>
          <cell r="AR20"/>
          <cell r="AS20">
            <v>28596.726000000002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76832.77</v>
          </cell>
          <cell r="BD20">
            <v>0</v>
          </cell>
          <cell r="BE20">
            <v>0</v>
          </cell>
          <cell r="BF20">
            <v>79950.975999999995</v>
          </cell>
          <cell r="BG20">
            <v>0</v>
          </cell>
          <cell r="BH20">
            <v>0</v>
          </cell>
          <cell r="BI20"/>
          <cell r="BJ20">
            <v>156783.74599999998</v>
          </cell>
          <cell r="BK20"/>
          <cell r="BL20"/>
          <cell r="BM20"/>
          <cell r="BN20"/>
          <cell r="BO20"/>
        </row>
        <row r="21">
          <cell r="F21">
            <v>5931971.7380199768</v>
          </cell>
          <cell r="G21">
            <v>1107785.4169999999</v>
          </cell>
          <cell r="H21">
            <v>304488.31600000057</v>
          </cell>
          <cell r="I21">
            <v>-341585.86599999986</v>
          </cell>
          <cell r="J21">
            <v>-19549.57799999979</v>
          </cell>
          <cell r="K21">
            <v>984209.83199999877</v>
          </cell>
          <cell r="L21">
            <v>503894.06999999838</v>
          </cell>
          <cell r="M21">
            <v>-176447.43000000005</v>
          </cell>
          <cell r="N21">
            <v>848945.40799999866</v>
          </cell>
          <cell r="O21">
            <v>59189.077999999718</v>
          </cell>
          <cell r="P21">
            <v>356992.13500000094</v>
          </cell>
          <cell r="Q21">
            <v>39110.661999999589</v>
          </cell>
          <cell r="R21">
            <v>530680.57899999944</v>
          </cell>
          <cell r="S21">
            <v>494227.88900000072</v>
          </cell>
          <cell r="T21">
            <v>-85337.9200000001</v>
          </cell>
          <cell r="U21">
            <v>504237.33699999948</v>
          </cell>
          <cell r="V21">
            <v>851347.50800000015</v>
          </cell>
          <cell r="W21">
            <v>415792.17300000007</v>
          </cell>
          <cell r="X21"/>
          <cell r="Y21"/>
          <cell r="Z21">
            <v>6377979.6099999966</v>
          </cell>
          <cell r="AA21">
            <v>86258.45</v>
          </cell>
          <cell r="AB21">
            <v>-983.65699999999993</v>
          </cell>
          <cell r="AC21">
            <v>45626.968000000001</v>
          </cell>
          <cell r="AD21">
            <v>106703.61</v>
          </cell>
          <cell r="AE21"/>
          <cell r="AF21"/>
          <cell r="AG21"/>
          <cell r="AH21">
            <v>237605.37100000001</v>
          </cell>
          <cell r="AI21">
            <v>6615584.9810000118</v>
          </cell>
          <cell r="AJ21">
            <v>203430.39498999974</v>
          </cell>
          <cell r="AK21">
            <v>229742.7330200001</v>
          </cell>
          <cell r="AL21">
            <v>-632858.94998999988</v>
          </cell>
          <cell r="AM21"/>
          <cell r="AN21">
            <v>-199685.82197999966</v>
          </cell>
          <cell r="AO21">
            <v>-60320.20000000843</v>
          </cell>
          <cell r="AP21">
            <v>0</v>
          </cell>
          <cell r="AQ21"/>
          <cell r="AR21"/>
          <cell r="AS21">
            <v>-60320.20000000843</v>
          </cell>
          <cell r="AT21">
            <v>20577.072</v>
          </cell>
          <cell r="AU21">
            <v>1453.1769999999997</v>
          </cell>
          <cell r="AV21">
            <v>310443.489</v>
          </cell>
          <cell r="AW21"/>
          <cell r="AX21"/>
          <cell r="AY21"/>
          <cell r="AZ21"/>
          <cell r="BA21">
            <v>332473.73800000001</v>
          </cell>
          <cell r="BB21">
            <v>0</v>
          </cell>
          <cell r="BC21">
            <v>-68452.72</v>
          </cell>
          <cell r="BD21">
            <v>0</v>
          </cell>
          <cell r="BE21">
            <v>0</v>
          </cell>
          <cell r="BF21">
            <v>-140843.07399999999</v>
          </cell>
          <cell r="BG21">
            <v>-541191.78</v>
          </cell>
          <cell r="BH21">
            <v>-5593.3850000000002</v>
          </cell>
          <cell r="BI21"/>
          <cell r="BJ21">
            <v>-756080.95900000003</v>
          </cell>
          <cell r="BK21"/>
          <cell r="BL21"/>
          <cell r="BM21"/>
          <cell r="BN21"/>
          <cell r="BO21"/>
        </row>
        <row r="22">
          <cell r="F22">
            <v>8288684.7069954118</v>
          </cell>
          <cell r="G22">
            <v>1019702.1463178601</v>
          </cell>
          <cell r="H22">
            <v>803989.97093116271</v>
          </cell>
          <cell r="I22">
            <v>313478.67755255208</v>
          </cell>
          <cell r="J22">
            <v>274351.52032770461</v>
          </cell>
          <cell r="K22">
            <v>657329.4146090257</v>
          </cell>
          <cell r="L22">
            <v>530475.14542947465</v>
          </cell>
          <cell r="M22">
            <v>242427.25005290742</v>
          </cell>
          <cell r="N22">
            <v>669833.85063504067</v>
          </cell>
          <cell r="O22">
            <v>232968.00288870584</v>
          </cell>
          <cell r="P22">
            <v>338105.19162828883</v>
          </cell>
          <cell r="Q22">
            <v>304607.85094162286</v>
          </cell>
          <cell r="R22">
            <v>387139.8380141044</v>
          </cell>
          <cell r="S22">
            <v>633941.37323151273</v>
          </cell>
          <cell r="T22">
            <v>69670.917756349692</v>
          </cell>
          <cell r="U22">
            <v>163967.45819866745</v>
          </cell>
          <cell r="V22">
            <v>442267.42724532215</v>
          </cell>
          <cell r="W22">
            <v>229279.70406092779</v>
          </cell>
          <cell r="X22"/>
          <cell r="Y22"/>
          <cell r="Z22">
            <v>7313535.7398212291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7313535.7398212291</v>
          </cell>
          <cell r="AJ22">
            <v>125501.21762870184</v>
          </cell>
          <cell r="AK22">
            <v>45286.764145480774</v>
          </cell>
          <cell r="AL22">
            <v>63813.52549</v>
          </cell>
          <cell r="AM22"/>
          <cell r="AN22">
            <v>234601.50726418261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218151.40891</v>
          </cell>
          <cell r="BH22">
            <v>0</v>
          </cell>
          <cell r="BI22"/>
          <cell r="BJ22">
            <v>740547.45990999998</v>
          </cell>
          <cell r="BK22"/>
          <cell r="BL22"/>
          <cell r="BM22"/>
          <cell r="BN22"/>
          <cell r="BO22"/>
        </row>
        <row r="23">
          <cell r="F23">
            <v>1099314.5649954125</v>
          </cell>
          <cell r="G23">
            <v>97962.124576593633</v>
          </cell>
          <cell r="H23">
            <v>76024.838644296004</v>
          </cell>
          <cell r="I23">
            <v>29957.224306671247</v>
          </cell>
          <cell r="J23">
            <v>25906.026799025411</v>
          </cell>
          <cell r="K23">
            <v>95168.25739448407</v>
          </cell>
          <cell r="L23">
            <v>76689.783570499159</v>
          </cell>
          <cell r="M23">
            <v>34995.265723314515</v>
          </cell>
          <cell r="N23">
            <v>96840.036984492908</v>
          </cell>
          <cell r="O23">
            <v>33880.145082509633</v>
          </cell>
          <cell r="P23">
            <v>49075.854312509255</v>
          </cell>
          <cell r="Q23">
            <v>44367.263368757733</v>
          </cell>
          <cell r="R23">
            <v>56040.026848809095</v>
          </cell>
          <cell r="S23">
            <v>60936.360928482041</v>
          </cell>
          <cell r="T23">
            <v>6810.3247103432213</v>
          </cell>
          <cell r="U23">
            <v>15396.764865045576</v>
          </cell>
          <cell r="V23">
            <v>42454.569679373344</v>
          </cell>
          <cell r="W23">
            <v>22208.18993602306</v>
          </cell>
          <cell r="X23"/>
          <cell r="Y23"/>
          <cell r="Z23">
            <v>864713.05773122981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864713.05773122981</v>
          </cell>
          <cell r="AJ23">
            <v>125501.21762870184</v>
          </cell>
          <cell r="AK23">
            <v>45286.764145480774</v>
          </cell>
          <cell r="AL23">
            <v>63813.52549</v>
          </cell>
          <cell r="AM23"/>
          <cell r="AN23">
            <v>234601.50726418261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2249397.9729999993</v>
          </cell>
          <cell r="G24">
            <v>324367.96129603119</v>
          </cell>
          <cell r="H24">
            <v>250178.22097309743</v>
          </cell>
          <cell r="I24">
            <v>98814.769198494585</v>
          </cell>
          <cell r="J24">
            <v>85171.332467700719</v>
          </cell>
          <cell r="K24">
            <v>196754.10302905735</v>
          </cell>
          <cell r="L24">
            <v>159351.56119548809</v>
          </cell>
          <cell r="M24">
            <v>70793.720581204485</v>
          </cell>
          <cell r="N24">
            <v>199476.1804245149</v>
          </cell>
          <cell r="O24">
            <v>71379.782344656953</v>
          </cell>
          <cell r="P24">
            <v>102033.63739001595</v>
          </cell>
          <cell r="Q24">
            <v>91775.866446432236</v>
          </cell>
          <cell r="R24">
            <v>115207.47658021515</v>
          </cell>
          <cell r="S24">
            <v>200532.97117775335</v>
          </cell>
          <cell r="T24">
            <v>21641.242636768155</v>
          </cell>
          <cell r="U24">
            <v>50586.190451291499</v>
          </cell>
          <cell r="V24">
            <v>139604.92309444773</v>
          </cell>
          <cell r="W24">
            <v>71728.033712829914</v>
          </cell>
          <cell r="X24"/>
          <cell r="Y24"/>
          <cell r="Z24">
            <v>2249397.9729999993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2249397.9729999993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4939972.1689999998</v>
          </cell>
          <cell r="G25">
            <v>597372.06044523534</v>
          </cell>
          <cell r="H25">
            <v>477786.91131376929</v>
          </cell>
          <cell r="I25">
            <v>184706.68404738628</v>
          </cell>
          <cell r="J25">
            <v>163274.16106097851</v>
          </cell>
          <cell r="K25">
            <v>365407.0541854843</v>
          </cell>
          <cell r="L25">
            <v>294433.8006634874</v>
          </cell>
          <cell r="M25">
            <v>136638.26374838842</v>
          </cell>
          <cell r="N25">
            <v>373517.63322603283</v>
          </cell>
          <cell r="O25">
            <v>127708.07546153927</v>
          </cell>
          <cell r="P25">
            <v>186995.69992576359</v>
          </cell>
          <cell r="Q25">
            <v>168464.72112643285</v>
          </cell>
          <cell r="R25">
            <v>215892.33458508013</v>
          </cell>
          <cell r="S25">
            <v>372472.04112527729</v>
          </cell>
          <cell r="T25">
            <v>41219.350409238323</v>
          </cell>
          <cell r="U25">
            <v>97984.502882330358</v>
          </cell>
          <cell r="V25">
            <v>260207.9344715011</v>
          </cell>
          <cell r="W25">
            <v>135343.48041207483</v>
          </cell>
          <cell r="X25"/>
          <cell r="Y25"/>
          <cell r="Z25">
            <v>4199424.70909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4199424.70909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218151.40891</v>
          </cell>
          <cell r="BH25">
            <v>0</v>
          </cell>
          <cell r="BI25"/>
          <cell r="BJ25">
            <v>740547.45990999998</v>
          </cell>
          <cell r="BK25"/>
          <cell r="BL25"/>
          <cell r="BM25"/>
          <cell r="BN25"/>
          <cell r="BO25"/>
        </row>
        <row r="26">
          <cell r="F26">
            <v>-2356712.968975435</v>
          </cell>
          <cell r="G26">
            <v>88083.270682139788</v>
          </cell>
          <cell r="H26">
            <v>-499501.65493116213</v>
          </cell>
          <cell r="I26">
            <v>-655064.54355255188</v>
          </cell>
          <cell r="J26">
            <v>-293901.09832770441</v>
          </cell>
          <cell r="K26">
            <v>326880.41739097307</v>
          </cell>
          <cell r="L26">
            <v>-26581.075429476274</v>
          </cell>
          <cell r="M26">
            <v>-418874.68005290744</v>
          </cell>
          <cell r="N26">
            <v>179111.55736495799</v>
          </cell>
          <cell r="O26">
            <v>-173778.92488870613</v>
          </cell>
          <cell r="P26">
            <v>18886.943371712114</v>
          </cell>
          <cell r="Q26">
            <v>-265497.18894162326</v>
          </cell>
          <cell r="R26">
            <v>143540.74098589504</v>
          </cell>
          <cell r="S26">
            <v>-139713.484231512</v>
          </cell>
          <cell r="T26">
            <v>-155008.83775634979</v>
          </cell>
          <cell r="U26">
            <v>340269.87880133203</v>
          </cell>
          <cell r="V26">
            <v>409080.080754678</v>
          </cell>
          <cell r="W26">
            <v>186512.46893907228</v>
          </cell>
          <cell r="X26"/>
          <cell r="Y26"/>
          <cell r="Z26">
            <v>-935556.12982123252</v>
          </cell>
          <cell r="AA26">
            <v>86258.45</v>
          </cell>
          <cell r="AB26">
            <v>-983.65699999999993</v>
          </cell>
          <cell r="AC26">
            <v>45626.968000000001</v>
          </cell>
          <cell r="AD26">
            <v>106703.61</v>
          </cell>
          <cell r="AE26"/>
          <cell r="AF26"/>
          <cell r="AG26"/>
          <cell r="AH26">
            <v>237605.37100000001</v>
          </cell>
          <cell r="AI26">
            <v>-697950.75882121734</v>
          </cell>
          <cell r="AJ26">
            <v>77929.177361297901</v>
          </cell>
          <cell r="AK26">
            <v>184455.96887451934</v>
          </cell>
          <cell r="AL26">
            <v>-696672.47547999991</v>
          </cell>
          <cell r="AM26"/>
          <cell r="AN26">
            <v>-434287.32924418227</v>
          </cell>
          <cell r="AO26">
            <v>-60320.20000000843</v>
          </cell>
          <cell r="AP26">
            <v>0</v>
          </cell>
          <cell r="AQ26"/>
          <cell r="AR26"/>
          <cell r="AS26">
            <v>-60320.20000000843</v>
          </cell>
          <cell r="AT26">
            <v>20577.072</v>
          </cell>
          <cell r="AU26">
            <v>1453.1769999999997</v>
          </cell>
          <cell r="AV26">
            <v>310443.489</v>
          </cell>
          <cell r="AW26"/>
          <cell r="AX26"/>
          <cell r="AY26"/>
          <cell r="AZ26"/>
          <cell r="BA26">
            <v>332473.73800000001</v>
          </cell>
          <cell r="BB26">
            <v>0</v>
          </cell>
          <cell r="BC26">
            <v>-68452.72</v>
          </cell>
          <cell r="BD26">
            <v>0</v>
          </cell>
          <cell r="BE26">
            <v>-522396.05099999998</v>
          </cell>
          <cell r="BF26">
            <v>-140843.07399999999</v>
          </cell>
          <cell r="BG26">
            <v>-759343.18891000003</v>
          </cell>
          <cell r="BH26">
            <v>-5593.3850000000002</v>
          </cell>
          <cell r="BI26"/>
          <cell r="BJ26">
            <v>-1496628.41891</v>
          </cell>
          <cell r="BK26"/>
          <cell r="BL26"/>
          <cell r="BM26"/>
          <cell r="BN26"/>
          <cell r="BO26"/>
        </row>
        <row r="27">
          <cell r="F27">
            <v>-2356712.9689754127</v>
          </cell>
          <cell r="G27">
            <v>88083.27068214085</v>
          </cell>
          <cell r="H27">
            <v>-499501.65493116289</v>
          </cell>
          <cell r="I27">
            <v>-655064.54355255188</v>
          </cell>
          <cell r="J27">
            <v>-293901.09832770482</v>
          </cell>
          <cell r="K27">
            <v>326880.41739097412</v>
          </cell>
          <cell r="L27">
            <v>-26581.075429475237</v>
          </cell>
          <cell r="M27">
            <v>-418874.68005290732</v>
          </cell>
          <cell r="N27">
            <v>179111.55736495939</v>
          </cell>
          <cell r="O27">
            <v>-173778.92488870589</v>
          </cell>
          <cell r="P27">
            <v>18886.943371711215</v>
          </cell>
          <cell r="Q27">
            <v>-265497.18894162303</v>
          </cell>
          <cell r="R27">
            <v>143540.74098589586</v>
          </cell>
          <cell r="S27">
            <v>-139713.48423151291</v>
          </cell>
          <cell r="T27">
            <v>-155008.83775634982</v>
          </cell>
          <cell r="U27">
            <v>340269.87880133261</v>
          </cell>
          <cell r="V27">
            <v>409080.08075467753</v>
          </cell>
          <cell r="W27">
            <v>186512.46893907216</v>
          </cell>
          <cell r="X27"/>
          <cell r="Y27"/>
          <cell r="Z27">
            <v>-935556.12982122996</v>
          </cell>
          <cell r="AA27">
            <v>86258.450000000012</v>
          </cell>
          <cell r="AB27">
            <v>-983.65699999999993</v>
          </cell>
          <cell r="AC27">
            <v>45626.968000000008</v>
          </cell>
          <cell r="AD27">
            <v>106703.61</v>
          </cell>
          <cell r="AE27"/>
          <cell r="AF27"/>
          <cell r="AG27"/>
          <cell r="AH27">
            <v>237605.37100000001</v>
          </cell>
          <cell r="AI27">
            <v>-697950.75882122992</v>
          </cell>
          <cell r="AJ27">
            <v>77929.17736129812</v>
          </cell>
          <cell r="AK27">
            <v>184455.96887451925</v>
          </cell>
          <cell r="AL27">
            <v>-696672.47547999991</v>
          </cell>
          <cell r="AM27"/>
          <cell r="AN27">
            <v>-434287.32924418256</v>
          </cell>
          <cell r="AO27">
            <v>-60320.200000000077</v>
          </cell>
          <cell r="AP27">
            <v>0</v>
          </cell>
          <cell r="AQ27"/>
          <cell r="AR27"/>
          <cell r="AS27">
            <v>-60320.200000000077</v>
          </cell>
          <cell r="AT27">
            <v>20577.072000000004</v>
          </cell>
          <cell r="AU27">
            <v>1453.1769999999979</v>
          </cell>
          <cell r="AV27">
            <v>310443.489</v>
          </cell>
          <cell r="AW27"/>
          <cell r="AX27"/>
          <cell r="AY27"/>
          <cell r="AZ27"/>
          <cell r="BA27">
            <v>332473.73800000001</v>
          </cell>
          <cell r="BB27">
            <v>0</v>
          </cell>
          <cell r="BC27">
            <v>-68452.72</v>
          </cell>
          <cell r="BD27">
            <v>0</v>
          </cell>
          <cell r="BE27">
            <v>-522396.05099999998</v>
          </cell>
          <cell r="BF27">
            <v>-140843.07399999999</v>
          </cell>
          <cell r="BG27">
            <v>-759343.18891000003</v>
          </cell>
          <cell r="BH27">
            <v>-5593.3850000000002</v>
          </cell>
          <cell r="BI27"/>
          <cell r="BJ27">
            <v>-1496628.41891</v>
          </cell>
          <cell r="BK27"/>
          <cell r="BL27"/>
          <cell r="BM27"/>
          <cell r="BN27"/>
          <cell r="BO27"/>
        </row>
        <row r="28">
          <cell r="F28">
            <v>-2.2351741790771484E-8</v>
          </cell>
          <cell r="G28">
            <v>-1.0622898116707802E-9</v>
          </cell>
          <cell r="H28">
            <v>7.5669959187507629E-10</v>
          </cell>
          <cell r="I28">
            <v>0</v>
          </cell>
          <cell r="J28">
            <v>0</v>
          </cell>
          <cell r="K28">
            <v>-1.0477378964424133E-9</v>
          </cell>
          <cell r="L28">
            <v>-1.0368239600211382E-9</v>
          </cell>
          <cell r="M28">
            <v>0</v>
          </cell>
          <cell r="N28">
            <v>-1.3969838619232178E-9</v>
          </cell>
          <cell r="O28">
            <v>-2.3283064365386963E-10</v>
          </cell>
          <cell r="P28">
            <v>8.985807653516531E-10</v>
          </cell>
          <cell r="Q28">
            <v>0</v>
          </cell>
          <cell r="R28">
            <v>-8.149072527885437E-10</v>
          </cell>
          <cell r="S28">
            <v>9.0221874415874481E-10</v>
          </cell>
          <cell r="T28">
            <v>0</v>
          </cell>
          <cell r="U28">
            <v>-5.8207660913467407E-10</v>
          </cell>
          <cell r="V28">
            <v>4.6566128730773926E-10</v>
          </cell>
          <cell r="W28">
            <v>0</v>
          </cell>
          <cell r="X28"/>
          <cell r="Y28"/>
          <cell r="Z28">
            <v>-2.5611370801925659E-9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1.257285475730896E-8</v>
          </cell>
          <cell r="AJ28">
            <v>-2.1827872842550278E-10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-8.3527993410825729E-9</v>
          </cell>
          <cell r="AP28">
            <v>0</v>
          </cell>
          <cell r="AQ28"/>
          <cell r="AR28"/>
          <cell r="AS28">
            <v>-8.3527993410825729E-9</v>
          </cell>
          <cell r="AT28">
            <v>0</v>
          </cell>
          <cell r="AU28">
            <v>1.8189894035458565E-12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171774</v>
          </cell>
          <cell r="H31">
            <v>135826</v>
          </cell>
          <cell r="I31">
            <v>54693</v>
          </cell>
          <cell r="J31">
            <v>47865.5</v>
          </cell>
          <cell r="K31">
            <v>95626</v>
          </cell>
          <cell r="L31">
            <v>84370</v>
          </cell>
          <cell r="M31">
            <v>42403</v>
          </cell>
          <cell r="N31">
            <v>101410</v>
          </cell>
          <cell r="O31">
            <v>38653</v>
          </cell>
          <cell r="P31">
            <v>52091</v>
          </cell>
          <cell r="Q31">
            <v>50320</v>
          </cell>
          <cell r="R31">
            <v>56236</v>
          </cell>
          <cell r="S31">
            <v>103984</v>
          </cell>
          <cell r="T31">
            <v>10119.5</v>
          </cell>
          <cell r="U31">
            <v>25233</v>
          </cell>
          <cell r="V31">
            <v>73985.5</v>
          </cell>
          <cell r="W31">
            <v>29844.5</v>
          </cell>
          <cell r="X31">
            <v>0</v>
          </cell>
          <cell r="Y31">
            <v>0</v>
          </cell>
          <cell r="Z31">
            <v>1174434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1174434</v>
          </cell>
          <cell r="AJ31">
            <v>120542</v>
          </cell>
          <cell r="AK31">
            <v>93866</v>
          </cell>
          <cell r="AL31">
            <v>90706</v>
          </cell>
          <cell r="AM31"/>
          <cell r="AN31">
            <v>305114</v>
          </cell>
          <cell r="AO31">
            <v>55602.745999999999</v>
          </cell>
          <cell r="AP31">
            <v>0</v>
          </cell>
          <cell r="AQ31"/>
          <cell r="AR31"/>
          <cell r="AS31">
            <v>55602.745999999999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171607995.56599998</v>
          </cell>
          <cell r="G32">
            <v>16474908.903000001</v>
          </cell>
          <cell r="H32">
            <v>13329678.620999999</v>
          </cell>
          <cell r="I32">
            <v>5056741.17</v>
          </cell>
          <cell r="J32">
            <v>4562962.1189999999</v>
          </cell>
          <cell r="K32">
            <v>10214984.119999999</v>
          </cell>
          <cell r="L32">
            <v>8159070.0179999992</v>
          </cell>
          <cell r="M32">
            <v>3813694.7</v>
          </cell>
          <cell r="N32">
            <v>10216991.789999999</v>
          </cell>
          <cell r="O32">
            <v>3607342.1469999999</v>
          </cell>
          <cell r="P32">
            <v>5125327.03</v>
          </cell>
          <cell r="Q32">
            <v>4566328.5389999999</v>
          </cell>
          <cell r="R32">
            <v>5914321.6999999993</v>
          </cell>
          <cell r="S32">
            <v>10256040.051000001</v>
          </cell>
          <cell r="T32">
            <v>1090991.554</v>
          </cell>
          <cell r="U32">
            <v>2732916.2769999998</v>
          </cell>
          <cell r="V32">
            <v>7180484.0959999999</v>
          </cell>
          <cell r="W32">
            <v>3635706.7710000002</v>
          </cell>
          <cell r="X32">
            <v>0</v>
          </cell>
          <cell r="Y32">
            <v>0</v>
          </cell>
          <cell r="Z32">
            <v>115938489.60600001</v>
          </cell>
          <cell r="AA32">
            <v>125000</v>
          </cell>
          <cell r="AB32">
            <v>0</v>
          </cell>
          <cell r="AC32">
            <v>62500</v>
          </cell>
          <cell r="AD32">
            <v>146700</v>
          </cell>
          <cell r="AE32"/>
          <cell r="AF32"/>
          <cell r="AG32"/>
          <cell r="AH32">
            <v>334200</v>
          </cell>
          <cell r="AI32">
            <v>116272689.60600001</v>
          </cell>
          <cell r="AJ32">
            <v>3462668</v>
          </cell>
          <cell r="AK32">
            <v>1333518</v>
          </cell>
          <cell r="AL32">
            <v>1698255</v>
          </cell>
          <cell r="AM32"/>
          <cell r="AN32">
            <v>6494441</v>
          </cell>
          <cell r="AO32">
            <v>48464953.320999995</v>
          </cell>
          <cell r="AP32">
            <v>0</v>
          </cell>
          <cell r="AQ32"/>
          <cell r="AR32"/>
          <cell r="AS32">
            <v>48464953.320999995</v>
          </cell>
          <cell r="AT32">
            <v>27838.1</v>
          </cell>
          <cell r="AU32">
            <v>29250</v>
          </cell>
          <cell r="AV32">
            <v>310443.489</v>
          </cell>
          <cell r="AW32"/>
          <cell r="AX32"/>
          <cell r="AY32"/>
          <cell r="AZ32"/>
          <cell r="BA32">
            <v>367531.58899999998</v>
          </cell>
          <cell r="BB32">
            <v>0</v>
          </cell>
          <cell r="BC32">
            <v>8380.0499999999993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8380.0499999999993</v>
          </cell>
        </row>
        <row r="33">
          <cell r="F33">
            <v>161129958.99698001</v>
          </cell>
          <cell r="G33">
            <v>15021695.464000002</v>
          </cell>
          <cell r="H33">
            <v>12670944.809999999</v>
          </cell>
          <cell r="I33">
            <v>5125749.398</v>
          </cell>
          <cell r="J33">
            <v>4397253.2259999998</v>
          </cell>
          <cell r="K33">
            <v>8965317.3770000003</v>
          </cell>
          <cell r="L33">
            <v>7377992.0850000009</v>
          </cell>
          <cell r="M33">
            <v>3795863.6280000005</v>
          </cell>
          <cell r="N33">
            <v>9147945.6680000015</v>
          </cell>
          <cell r="O33">
            <v>3388890.966</v>
          </cell>
          <cell r="P33">
            <v>4609869.5899999989</v>
          </cell>
          <cell r="Q33">
            <v>4374466.9450000003</v>
          </cell>
          <cell r="R33">
            <v>5248118.8429999994</v>
          </cell>
          <cell r="S33">
            <v>9518130.398</v>
          </cell>
          <cell r="T33">
            <v>1117163.172</v>
          </cell>
          <cell r="U33">
            <v>2170444.8280000002</v>
          </cell>
          <cell r="V33">
            <v>6165284.7929999996</v>
          </cell>
          <cell r="W33">
            <v>3136913.0520000001</v>
          </cell>
          <cell r="X33">
            <v>0</v>
          </cell>
          <cell r="Y33">
            <v>0</v>
          </cell>
          <cell r="Z33">
            <v>106232044.243</v>
          </cell>
          <cell r="AA33">
            <v>22363.759999999998</v>
          </cell>
          <cell r="AB33">
            <v>0</v>
          </cell>
          <cell r="AC33">
            <v>16873.031999999999</v>
          </cell>
          <cell r="AD33">
            <v>39996.39</v>
          </cell>
          <cell r="AE33"/>
          <cell r="AF33"/>
          <cell r="AG33"/>
          <cell r="AH33">
            <v>79233.182000000001</v>
          </cell>
          <cell r="AI33">
            <v>106311277.425</v>
          </cell>
          <cell r="AJ33">
            <v>3259237.6050100001</v>
          </cell>
          <cell r="AK33">
            <v>1103775.2669799998</v>
          </cell>
          <cell r="AL33">
            <v>2331113.9499900001</v>
          </cell>
          <cell r="AM33"/>
          <cell r="AN33">
            <v>6694126.8219799995</v>
          </cell>
          <cell r="AO33">
            <v>47781098.634000003</v>
          </cell>
          <cell r="AP33">
            <v>0</v>
          </cell>
          <cell r="AQ33"/>
          <cell r="AR33"/>
          <cell r="AS33">
            <v>47781098.634000003</v>
          </cell>
          <cell r="AT33">
            <v>7261.0280000000002</v>
          </cell>
          <cell r="AU33">
            <v>27796.823</v>
          </cell>
          <cell r="AV33">
            <v>0</v>
          </cell>
          <cell r="AW33"/>
          <cell r="AX33"/>
          <cell r="AY33"/>
          <cell r="AZ33"/>
          <cell r="BA33">
            <v>35057.851000000002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5593.3850000000002</v>
          </cell>
          <cell r="BI33"/>
          <cell r="BJ33">
            <v>308398.26500000001</v>
          </cell>
        </row>
        <row r="34">
          <cell r="F34">
            <v>10478036.569019973</v>
          </cell>
          <cell r="G34">
            <v>1453213.4389999993</v>
          </cell>
          <cell r="H34">
            <v>658733.81100000069</v>
          </cell>
          <cell r="I34">
            <v>-69008.228000000119</v>
          </cell>
          <cell r="J34">
            <v>165708.89300000016</v>
          </cell>
          <cell r="K34">
            <v>1249666.7429999989</v>
          </cell>
          <cell r="L34">
            <v>781077.93299999833</v>
          </cell>
          <cell r="M34">
            <v>17831.071999999695</v>
          </cell>
          <cell r="N34">
            <v>1069046.1219999976</v>
          </cell>
          <cell r="O34">
            <v>218451.18099999987</v>
          </cell>
          <cell r="P34">
            <v>515457.44000000134</v>
          </cell>
          <cell r="Q34">
            <v>191861.59399999958</v>
          </cell>
          <cell r="R34">
            <v>666202.85699999984</v>
          </cell>
          <cell r="S34">
            <v>737909.65300000086</v>
          </cell>
          <cell r="T34">
            <v>-26171.618000000017</v>
          </cell>
          <cell r="U34">
            <v>562471.44899999956</v>
          </cell>
          <cell r="V34">
            <v>1015199.3030000003</v>
          </cell>
          <cell r="W34">
            <v>498793.71900000004</v>
          </cell>
          <cell r="X34">
            <v>0</v>
          </cell>
          <cell r="Y34">
            <v>0</v>
          </cell>
          <cell r="Z34">
            <v>9706445.3630000055</v>
          </cell>
          <cell r="AA34">
            <v>102636.24</v>
          </cell>
          <cell r="AB34">
            <v>0</v>
          </cell>
          <cell r="AC34">
            <v>45626.968000000001</v>
          </cell>
          <cell r="AD34">
            <v>106703.61</v>
          </cell>
          <cell r="AE34"/>
          <cell r="AF34"/>
          <cell r="AG34"/>
          <cell r="AH34">
            <v>254966.818</v>
          </cell>
          <cell r="AI34">
            <v>9961412.1810000092</v>
          </cell>
          <cell r="AJ34">
            <v>203430.39498999994</v>
          </cell>
          <cell r="AK34">
            <v>229742.73302000016</v>
          </cell>
          <cell r="AL34">
            <v>-632858.94999000011</v>
          </cell>
          <cell r="AM34"/>
          <cell r="AN34">
            <v>-199685.82197999954</v>
          </cell>
          <cell r="AO34">
            <v>683854.68699999154</v>
          </cell>
          <cell r="AP34">
            <v>0</v>
          </cell>
          <cell r="AQ34"/>
          <cell r="AR34"/>
          <cell r="AS34">
            <v>683854.68699999154</v>
          </cell>
          <cell r="AT34">
            <v>20577.072</v>
          </cell>
          <cell r="AU34">
            <v>1453.1769999999997</v>
          </cell>
          <cell r="AV34">
            <v>310443.489</v>
          </cell>
          <cell r="AW34"/>
          <cell r="AX34"/>
          <cell r="AY34"/>
          <cell r="AZ34"/>
          <cell r="BA34">
            <v>332473.73799999995</v>
          </cell>
          <cell r="BB34">
            <v>0</v>
          </cell>
          <cell r="BC34">
            <v>8380.0499999999993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-5593.3850000000002</v>
          </cell>
          <cell r="BI34"/>
          <cell r="BJ34">
            <v>-300018.21500000003</v>
          </cell>
        </row>
        <row r="35">
          <cell r="F35">
            <v>12834749.537995415</v>
          </cell>
          <cell r="G35">
            <v>1365130.1683178602</v>
          </cell>
          <cell r="H35">
            <v>1158235.4659311627</v>
          </cell>
          <cell r="I35">
            <v>586056.315552552</v>
          </cell>
          <cell r="J35">
            <v>459609.99132770457</v>
          </cell>
          <cell r="K35">
            <v>922786.32560902578</v>
          </cell>
          <cell r="L35">
            <v>807659.00842947466</v>
          </cell>
          <cell r="M35">
            <v>436705.75205290742</v>
          </cell>
          <cell r="N35">
            <v>889934.5646350407</v>
          </cell>
          <cell r="O35">
            <v>392230.10588870582</v>
          </cell>
          <cell r="P35">
            <v>496570.49662828882</v>
          </cell>
          <cell r="Q35">
            <v>457358.78294162289</v>
          </cell>
          <cell r="R35">
            <v>522662.11601410439</v>
          </cell>
          <cell r="S35">
            <v>877623.13723151269</v>
          </cell>
          <cell r="T35">
            <v>128837.2197563497</v>
          </cell>
          <cell r="U35">
            <v>222201.57019866744</v>
          </cell>
          <cell r="V35">
            <v>606119.22224532207</v>
          </cell>
          <cell r="W35">
            <v>312281.25006092776</v>
          </cell>
          <cell r="X35">
            <v>0</v>
          </cell>
          <cell r="Y35">
            <v>0</v>
          </cell>
          <cell r="Z35">
            <v>10642001.492821231</v>
          </cell>
          <cell r="AA35">
            <v>16377.789999999999</v>
          </cell>
          <cell r="AB35">
            <v>983.65699999999993</v>
          </cell>
          <cell r="AC35">
            <v>0</v>
          </cell>
          <cell r="AD35">
            <v>0</v>
          </cell>
          <cell r="AE35"/>
          <cell r="AF35"/>
          <cell r="AG35"/>
          <cell r="AH35">
            <v>17361.447</v>
          </cell>
          <cell r="AI35">
            <v>10659362.939821232</v>
          </cell>
          <cell r="AJ35">
            <v>125501.21762870184</v>
          </cell>
          <cell r="AK35">
            <v>45286.764145480774</v>
          </cell>
          <cell r="AL35">
            <v>63813.52549</v>
          </cell>
          <cell r="AM35"/>
          <cell r="AN35">
            <v>234601.50726418261</v>
          </cell>
          <cell r="AO35">
            <v>744174.88699999999</v>
          </cell>
          <cell r="AP35">
            <v>0</v>
          </cell>
          <cell r="AQ35"/>
          <cell r="AR35"/>
          <cell r="AS35">
            <v>744174.88699999999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76832.77</v>
          </cell>
          <cell r="BD35">
            <v>0</v>
          </cell>
          <cell r="BE35">
            <v>522396.05099999998</v>
          </cell>
          <cell r="BF35">
            <v>140843.07399999999</v>
          </cell>
          <cell r="BG35">
            <v>456538.30891000002</v>
          </cell>
          <cell r="BH35">
            <v>0</v>
          </cell>
          <cell r="BI35"/>
          <cell r="BJ35">
            <v>1196610.2039100002</v>
          </cell>
        </row>
        <row r="36">
          <cell r="F36">
            <v>-2356712.9689754415</v>
          </cell>
          <cell r="G36">
            <v>88083.270682139089</v>
          </cell>
          <cell r="H36">
            <v>-499501.65493116202</v>
          </cell>
          <cell r="I36">
            <v>-655064.54355255212</v>
          </cell>
          <cell r="J36">
            <v>-293901.09832770441</v>
          </cell>
          <cell r="K36">
            <v>326880.41739097307</v>
          </cell>
          <cell r="L36">
            <v>-26581.075429476332</v>
          </cell>
          <cell r="M36">
            <v>-418874.68005290773</v>
          </cell>
          <cell r="N36">
            <v>179111.55736495694</v>
          </cell>
          <cell r="O36">
            <v>-173778.92488870595</v>
          </cell>
          <cell r="P36">
            <v>18886.943371712521</v>
          </cell>
          <cell r="Q36">
            <v>-265497.18894162332</v>
          </cell>
          <cell r="R36">
            <v>143540.74098589545</v>
          </cell>
          <cell r="S36">
            <v>-139713.48423151183</v>
          </cell>
          <cell r="T36">
            <v>-155008.83775634971</v>
          </cell>
          <cell r="U36">
            <v>340269.87880133209</v>
          </cell>
          <cell r="V36">
            <v>409080.08075467823</v>
          </cell>
          <cell r="W36">
            <v>186512.46893907228</v>
          </cell>
          <cell r="X36">
            <v>0</v>
          </cell>
          <cell r="Y36">
            <v>0</v>
          </cell>
          <cell r="Z36">
            <v>-935556.129821226</v>
          </cell>
          <cell r="AA36">
            <v>86258.450000000012</v>
          </cell>
          <cell r="AB36">
            <v>-983.65699999999993</v>
          </cell>
          <cell r="AC36">
            <v>45626.968000000001</v>
          </cell>
          <cell r="AD36">
            <v>106703.61</v>
          </cell>
          <cell r="AE36"/>
          <cell r="AF36"/>
          <cell r="AG36"/>
          <cell r="AH36">
            <v>237605.37099999998</v>
          </cell>
          <cell r="AI36">
            <v>-697950.75882122293</v>
          </cell>
          <cell r="AJ36">
            <v>77929.177361298105</v>
          </cell>
          <cell r="AK36">
            <v>184455.9688745194</v>
          </cell>
          <cell r="AL36">
            <v>-696672.47548000014</v>
          </cell>
          <cell r="AM36"/>
          <cell r="AN36">
            <v>-434287.32924418215</v>
          </cell>
          <cell r="AO36">
            <v>-60320.200000008452</v>
          </cell>
          <cell r="AP36">
            <v>0</v>
          </cell>
          <cell r="AQ36"/>
          <cell r="AR36"/>
          <cell r="AS36">
            <v>-60320.200000008452</v>
          </cell>
          <cell r="AT36">
            <v>20577.072</v>
          </cell>
          <cell r="AU36">
            <v>1453.1769999999997</v>
          </cell>
          <cell r="AV36">
            <v>310443.489</v>
          </cell>
          <cell r="AW36"/>
          <cell r="AX36"/>
          <cell r="AY36"/>
          <cell r="AZ36"/>
          <cell r="BA36">
            <v>332473.73799999995</v>
          </cell>
          <cell r="BB36">
            <v>0</v>
          </cell>
          <cell r="BC36">
            <v>-68452.72</v>
          </cell>
          <cell r="BD36">
            <v>0</v>
          </cell>
          <cell r="BE36">
            <v>-522396.05099999998</v>
          </cell>
          <cell r="BF36">
            <v>-140843.07399999999</v>
          </cell>
          <cell r="BG36">
            <v>-759343.18891000003</v>
          </cell>
          <cell r="BH36">
            <v>-5593.3850000000002</v>
          </cell>
          <cell r="BI36"/>
          <cell r="BJ36">
            <v>-1496628.4189100002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M38"/>
          <cell r="AN38">
            <v>-30260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-647732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M39"/>
          <cell r="AN39">
            <v>-647732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-647732</v>
          </cell>
          <cell r="G40"/>
          <cell r="H40"/>
          <cell r="I40"/>
          <cell r="J40"/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78201.733999999997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M40"/>
          <cell r="AN40">
            <v>-725933.73399999994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M41"/>
          <cell r="AN41">
            <v>78201.733999999939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M43"/>
          <cell r="AN43">
            <v>78201.733999999939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171774</v>
          </cell>
          <cell r="H45">
            <v>135826</v>
          </cell>
          <cell r="I45">
            <v>54693</v>
          </cell>
          <cell r="J45">
            <v>47865.5</v>
          </cell>
          <cell r="K45">
            <v>95626</v>
          </cell>
          <cell r="L45">
            <v>84370</v>
          </cell>
          <cell r="M45">
            <v>42403</v>
          </cell>
          <cell r="N45">
            <v>101410</v>
          </cell>
          <cell r="O45">
            <v>38653</v>
          </cell>
          <cell r="P45">
            <v>52091</v>
          </cell>
          <cell r="Q45">
            <v>50320</v>
          </cell>
          <cell r="R45">
            <v>56236</v>
          </cell>
          <cell r="S45">
            <v>103984</v>
          </cell>
          <cell r="T45">
            <v>10119.5</v>
          </cell>
          <cell r="U45">
            <v>25233</v>
          </cell>
          <cell r="V45">
            <v>73985.5</v>
          </cell>
          <cell r="W45">
            <v>29844.5</v>
          </cell>
          <cell r="X45">
            <v>0</v>
          </cell>
          <cell r="Y45">
            <v>0</v>
          </cell>
          <cell r="Z45">
            <v>1174434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1174434</v>
          </cell>
          <cell r="AJ45">
            <v>110570</v>
          </cell>
          <cell r="AK45">
            <v>93866</v>
          </cell>
          <cell r="AL45">
            <v>70418</v>
          </cell>
          <cell r="AM45"/>
          <cell r="AN45">
            <v>274854</v>
          </cell>
          <cell r="AO45">
            <v>55602.745999999999</v>
          </cell>
          <cell r="AP45">
            <v>0</v>
          </cell>
          <cell r="AQ45"/>
          <cell r="AR45"/>
          <cell r="AS45">
            <v>55602.745999999999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170960263.56599998</v>
          </cell>
          <cell r="G46">
            <v>16474908.903000001</v>
          </cell>
          <cell r="H46">
            <v>13329678.620999999</v>
          </cell>
          <cell r="I46">
            <v>5056741.17</v>
          </cell>
          <cell r="J46">
            <v>4562962.1189999999</v>
          </cell>
          <cell r="K46">
            <v>10214984.119999999</v>
          </cell>
          <cell r="L46">
            <v>8159070.0179999992</v>
          </cell>
          <cell r="M46">
            <v>3813694.7</v>
          </cell>
          <cell r="N46">
            <v>10216991.789999999</v>
          </cell>
          <cell r="O46">
            <v>3607342.1469999999</v>
          </cell>
          <cell r="P46">
            <v>5125327.03</v>
          </cell>
          <cell r="Q46">
            <v>4566328.5389999999</v>
          </cell>
          <cell r="R46">
            <v>5914321.6999999993</v>
          </cell>
          <cell r="S46">
            <v>10256040.051000001</v>
          </cell>
          <cell r="T46">
            <v>1090991.554</v>
          </cell>
          <cell r="U46">
            <v>2732916.2769999998</v>
          </cell>
          <cell r="V46">
            <v>7180484.0959999999</v>
          </cell>
          <cell r="W46">
            <v>3635706.7710000002</v>
          </cell>
          <cell r="X46">
            <v>0</v>
          </cell>
          <cell r="Y46">
            <v>0</v>
          </cell>
          <cell r="Z46">
            <v>115938489.60600001</v>
          </cell>
          <cell r="AA46">
            <v>125000</v>
          </cell>
          <cell r="AB46">
            <v>0</v>
          </cell>
          <cell r="AC46">
            <v>62500</v>
          </cell>
          <cell r="AD46">
            <v>146700</v>
          </cell>
          <cell r="AE46"/>
          <cell r="AF46"/>
          <cell r="AG46"/>
          <cell r="AH46">
            <v>334200</v>
          </cell>
          <cell r="AI46">
            <v>116272689.60600001</v>
          </cell>
          <cell r="AJ46">
            <v>3172388</v>
          </cell>
          <cell r="AK46">
            <v>1333518</v>
          </cell>
          <cell r="AL46">
            <v>1340803</v>
          </cell>
          <cell r="AM46"/>
          <cell r="AN46">
            <v>5846709</v>
          </cell>
          <cell r="AO46">
            <v>48464953.320999995</v>
          </cell>
          <cell r="AP46">
            <v>0</v>
          </cell>
          <cell r="AQ46"/>
          <cell r="AR46"/>
          <cell r="AS46">
            <v>48464953.320999995</v>
          </cell>
          <cell r="AT46">
            <v>27838.1</v>
          </cell>
          <cell r="AU46">
            <v>29250</v>
          </cell>
          <cell r="AV46">
            <v>310443.489</v>
          </cell>
          <cell r="AW46"/>
          <cell r="AX46"/>
          <cell r="AY46"/>
          <cell r="AZ46"/>
          <cell r="BA46">
            <v>367531.58899999998</v>
          </cell>
          <cell r="BB46">
            <v>0</v>
          </cell>
          <cell r="BC46">
            <v>8380.0499999999993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8380.0499999999993</v>
          </cell>
        </row>
        <row r="47">
          <cell r="F47">
            <v>160482226.99698001</v>
          </cell>
          <cell r="G47">
            <v>15021695.464000002</v>
          </cell>
          <cell r="H47">
            <v>12670944.809999999</v>
          </cell>
          <cell r="I47">
            <v>5125749.398</v>
          </cell>
          <cell r="J47">
            <v>4397253.2259999998</v>
          </cell>
          <cell r="K47">
            <v>8979143.8829999994</v>
          </cell>
          <cell r="L47">
            <v>7441487.4590000007</v>
          </cell>
          <cell r="M47">
            <v>3794492.9940000004</v>
          </cell>
          <cell r="N47">
            <v>9150196.1560000014</v>
          </cell>
          <cell r="O47">
            <v>3388890.966</v>
          </cell>
          <cell r="P47">
            <v>4609869.5899999989</v>
          </cell>
          <cell r="Q47">
            <v>4374466.9450000003</v>
          </cell>
          <cell r="R47">
            <v>5248118.8429999994</v>
          </cell>
          <cell r="S47">
            <v>9518130.398</v>
          </cell>
          <cell r="T47">
            <v>1117163.172</v>
          </cell>
          <cell r="U47">
            <v>2170444.8280000002</v>
          </cell>
          <cell r="V47">
            <v>6165284.7929999996</v>
          </cell>
          <cell r="W47">
            <v>3136913.0520000001</v>
          </cell>
          <cell r="X47">
            <v>0</v>
          </cell>
          <cell r="Y47">
            <v>0</v>
          </cell>
          <cell r="Z47">
            <v>106310245.977</v>
          </cell>
          <cell r="AA47">
            <v>22363.759999999998</v>
          </cell>
          <cell r="AB47">
            <v>0</v>
          </cell>
          <cell r="AC47">
            <v>16873.031999999999</v>
          </cell>
          <cell r="AD47">
            <v>39996.39</v>
          </cell>
          <cell r="AE47"/>
          <cell r="AF47"/>
          <cell r="AG47"/>
          <cell r="AH47">
            <v>79233.182000000001</v>
          </cell>
          <cell r="AI47">
            <v>106389479.15899999</v>
          </cell>
          <cell r="AJ47">
            <v>2993265.3360100002</v>
          </cell>
          <cell r="AK47">
            <v>1103775.2669799998</v>
          </cell>
          <cell r="AL47">
            <v>1871152.48499</v>
          </cell>
          <cell r="AM47"/>
          <cell r="AN47">
            <v>5968193.0879800003</v>
          </cell>
          <cell r="AO47">
            <v>47781098.634000003</v>
          </cell>
          <cell r="AP47">
            <v>0</v>
          </cell>
          <cell r="AQ47"/>
          <cell r="AR47"/>
          <cell r="AS47">
            <v>47781098.634000003</v>
          </cell>
          <cell r="AT47">
            <v>7261.0280000000002</v>
          </cell>
          <cell r="AU47">
            <v>27796.823</v>
          </cell>
          <cell r="AV47">
            <v>0</v>
          </cell>
          <cell r="AW47"/>
          <cell r="AX47"/>
          <cell r="AY47"/>
          <cell r="AZ47"/>
          <cell r="BA47">
            <v>35057.851000000002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5593.3850000000002</v>
          </cell>
          <cell r="BI47"/>
          <cell r="BJ47">
            <v>308398.26500000001</v>
          </cell>
        </row>
        <row r="48">
          <cell r="F48">
            <v>10478036.569019973</v>
          </cell>
          <cell r="G48">
            <v>1453213.4389999993</v>
          </cell>
          <cell r="H48">
            <v>658733.81100000069</v>
          </cell>
          <cell r="I48">
            <v>-69008.228000000119</v>
          </cell>
          <cell r="J48">
            <v>165708.89300000016</v>
          </cell>
          <cell r="K48">
            <v>1235840.2369999997</v>
          </cell>
          <cell r="L48">
            <v>717582.55899999849</v>
          </cell>
          <cell r="M48">
            <v>19201.705999999773</v>
          </cell>
          <cell r="N48">
            <v>1066795.6339999977</v>
          </cell>
          <cell r="O48">
            <v>218451.18099999987</v>
          </cell>
          <cell r="P48">
            <v>515457.44000000134</v>
          </cell>
          <cell r="Q48">
            <v>191861.59399999958</v>
          </cell>
          <cell r="R48">
            <v>666202.85699999984</v>
          </cell>
          <cell r="S48">
            <v>737909.65300000086</v>
          </cell>
          <cell r="T48">
            <v>-26171.618000000017</v>
          </cell>
          <cell r="U48">
            <v>562471.44899999956</v>
          </cell>
          <cell r="V48">
            <v>1015199.3030000003</v>
          </cell>
          <cell r="W48">
            <v>498793.71900000004</v>
          </cell>
          <cell r="X48">
            <v>0</v>
          </cell>
          <cell r="Y48">
            <v>0</v>
          </cell>
          <cell r="Z48">
            <v>9628243.6290000081</v>
          </cell>
          <cell r="AA48">
            <v>102636.24</v>
          </cell>
          <cell r="AB48">
            <v>0</v>
          </cell>
          <cell r="AC48">
            <v>45626.968000000001</v>
          </cell>
          <cell r="AD48">
            <v>106703.61</v>
          </cell>
          <cell r="AE48"/>
          <cell r="AF48"/>
          <cell r="AG48"/>
          <cell r="AH48">
            <v>254966.818</v>
          </cell>
          <cell r="AI48">
            <v>9883210.4470000118</v>
          </cell>
          <cell r="AJ48">
            <v>179122.6639899998</v>
          </cell>
          <cell r="AK48">
            <v>229742.73302000016</v>
          </cell>
          <cell r="AL48">
            <v>-530349.48499000003</v>
          </cell>
          <cell r="AM48"/>
          <cell r="AN48">
            <v>-121484.0879800003</v>
          </cell>
          <cell r="AO48">
            <v>683854.68699999154</v>
          </cell>
          <cell r="AP48">
            <v>0</v>
          </cell>
          <cell r="AQ48"/>
          <cell r="AR48"/>
          <cell r="AS48">
            <v>683854.68699999154</v>
          </cell>
          <cell r="AT48">
            <v>20577.072</v>
          </cell>
          <cell r="AU48">
            <v>1453.1769999999997</v>
          </cell>
          <cell r="AV48">
            <v>310443.489</v>
          </cell>
          <cell r="AW48"/>
          <cell r="AX48"/>
          <cell r="AY48"/>
          <cell r="AZ48"/>
          <cell r="BA48">
            <v>332473.73799999995</v>
          </cell>
          <cell r="BB48">
            <v>0</v>
          </cell>
          <cell r="BC48">
            <v>8380.0499999999993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-5593.3850000000002</v>
          </cell>
          <cell r="BI48"/>
          <cell r="BJ48">
            <v>-300018.21500000003</v>
          </cell>
        </row>
        <row r="49">
          <cell r="F49">
            <v>12834749.537995415</v>
          </cell>
          <cell r="G49">
            <v>1365130.1683178602</v>
          </cell>
          <cell r="H49">
            <v>1158235.4659311627</v>
          </cell>
          <cell r="I49">
            <v>586056.315552552</v>
          </cell>
          <cell r="J49">
            <v>459609.99132770457</v>
          </cell>
          <cell r="K49">
            <v>922786.32560902578</v>
          </cell>
          <cell r="L49">
            <v>807659.00842947466</v>
          </cell>
          <cell r="M49">
            <v>436705.75205290742</v>
          </cell>
          <cell r="N49">
            <v>889934.5646350407</v>
          </cell>
          <cell r="O49">
            <v>392230.10588870582</v>
          </cell>
          <cell r="P49">
            <v>496570.49662828882</v>
          </cell>
          <cell r="Q49">
            <v>457358.78294162289</v>
          </cell>
          <cell r="R49">
            <v>522662.11601410439</v>
          </cell>
          <cell r="S49">
            <v>877623.13723151269</v>
          </cell>
          <cell r="T49">
            <v>128837.2197563497</v>
          </cell>
          <cell r="U49">
            <v>222201.57019866744</v>
          </cell>
          <cell r="V49">
            <v>606119.22224532207</v>
          </cell>
          <cell r="W49">
            <v>312281.25006092776</v>
          </cell>
          <cell r="X49">
            <v>0</v>
          </cell>
          <cell r="Y49">
            <v>0</v>
          </cell>
          <cell r="Z49">
            <v>10642001.492821231</v>
          </cell>
          <cell r="AA49">
            <v>16377.789999999999</v>
          </cell>
          <cell r="AB49">
            <v>983.65699999999993</v>
          </cell>
          <cell r="AC49">
            <v>0</v>
          </cell>
          <cell r="AD49">
            <v>0</v>
          </cell>
          <cell r="AE49"/>
          <cell r="AF49"/>
          <cell r="AG49"/>
          <cell r="AH49">
            <v>17361.447</v>
          </cell>
          <cell r="AI49">
            <v>10659362.939821232</v>
          </cell>
          <cell r="AJ49">
            <v>125501.21762870184</v>
          </cell>
          <cell r="AK49">
            <v>45286.764145480774</v>
          </cell>
          <cell r="AL49">
            <v>63813.52549</v>
          </cell>
          <cell r="AM49"/>
          <cell r="AN49">
            <v>234601.50726418261</v>
          </cell>
          <cell r="AO49">
            <v>744174.88699999999</v>
          </cell>
          <cell r="AP49">
            <v>0</v>
          </cell>
          <cell r="AQ49"/>
          <cell r="AR49"/>
          <cell r="AS49">
            <v>744174.88699999999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76832.77</v>
          </cell>
          <cell r="BD49">
            <v>0</v>
          </cell>
          <cell r="BE49">
            <v>522396.05099999998</v>
          </cell>
          <cell r="BF49">
            <v>140843.07399999999</v>
          </cell>
          <cell r="BG49">
            <v>456538.30891000002</v>
          </cell>
          <cell r="BH49">
            <v>0</v>
          </cell>
          <cell r="BI49"/>
          <cell r="BJ49">
            <v>1196610.2039100002</v>
          </cell>
        </row>
        <row r="50">
          <cell r="F50">
            <v>-2356712.9689754415</v>
          </cell>
          <cell r="G50">
            <v>88083.270682139089</v>
          </cell>
          <cell r="H50">
            <v>-499501.65493116202</v>
          </cell>
          <cell r="I50">
            <v>-655064.54355255212</v>
          </cell>
          <cell r="J50">
            <v>-293901.09832770441</v>
          </cell>
          <cell r="K50">
            <v>313053.91139097395</v>
          </cell>
          <cell r="L50">
            <v>-90076.449429476168</v>
          </cell>
          <cell r="M50">
            <v>-417504.04605290765</v>
          </cell>
          <cell r="N50">
            <v>176861.06936495705</v>
          </cell>
          <cell r="O50">
            <v>-173778.92488870595</v>
          </cell>
          <cell r="P50">
            <v>18886.943371712521</v>
          </cell>
          <cell r="Q50">
            <v>-265497.18894162332</v>
          </cell>
          <cell r="R50">
            <v>143540.74098589545</v>
          </cell>
          <cell r="S50">
            <v>-139713.48423151183</v>
          </cell>
          <cell r="T50">
            <v>-155008.83775634971</v>
          </cell>
          <cell r="U50">
            <v>340269.87880133209</v>
          </cell>
          <cell r="V50">
            <v>409080.08075467823</v>
          </cell>
          <cell r="W50">
            <v>186512.46893907228</v>
          </cell>
          <cell r="X50">
            <v>0</v>
          </cell>
          <cell r="Y50">
            <v>0</v>
          </cell>
          <cell r="Z50">
            <v>-1013757.8638212234</v>
          </cell>
          <cell r="AA50">
            <v>86258.450000000012</v>
          </cell>
          <cell r="AB50">
            <v>-983.65699999999993</v>
          </cell>
          <cell r="AC50">
            <v>45626.968000000001</v>
          </cell>
          <cell r="AD50">
            <v>106703.61</v>
          </cell>
          <cell r="AE50"/>
          <cell r="AF50"/>
          <cell r="AG50"/>
          <cell r="AH50">
            <v>237605.37099999998</v>
          </cell>
          <cell r="AI50">
            <v>-776152.49282122031</v>
          </cell>
          <cell r="AJ50">
            <v>53621.44636129796</v>
          </cell>
          <cell r="AK50">
            <v>184455.9688745194</v>
          </cell>
          <cell r="AL50">
            <v>-594163.01048000006</v>
          </cell>
          <cell r="AM50"/>
          <cell r="AN50">
            <v>-356085.59524418291</v>
          </cell>
          <cell r="AO50">
            <v>-60320.200000008452</v>
          </cell>
          <cell r="AP50">
            <v>0</v>
          </cell>
          <cell r="AQ50"/>
          <cell r="AR50"/>
          <cell r="AS50">
            <v>-60320.200000008452</v>
          </cell>
          <cell r="AT50">
            <v>20577.072</v>
          </cell>
          <cell r="AU50">
            <v>1453.1769999999997</v>
          </cell>
          <cell r="AV50">
            <v>310443.489</v>
          </cell>
          <cell r="AW50"/>
          <cell r="AX50"/>
          <cell r="AY50"/>
          <cell r="AZ50"/>
          <cell r="BA50">
            <v>332473.73799999995</v>
          </cell>
          <cell r="BB50">
            <v>0</v>
          </cell>
          <cell r="BC50">
            <v>-68452.72</v>
          </cell>
          <cell r="BD50">
            <v>0</v>
          </cell>
          <cell r="BE50">
            <v>-522396.05099999998</v>
          </cell>
          <cell r="BF50">
            <v>-140843.07399999999</v>
          </cell>
          <cell r="BG50">
            <v>-759343.18891000003</v>
          </cell>
          <cell r="BH50">
            <v>-5593.3850000000002</v>
          </cell>
          <cell r="BI50"/>
          <cell r="BJ50">
            <v>-1496628.4189100002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217478.5</v>
          </cell>
          <cell r="T5">
            <v>270000</v>
          </cell>
          <cell r="U5">
            <v>218189.5</v>
          </cell>
        </row>
        <row r="6">
          <cell r="H6">
            <v>317.52893046715195</v>
          </cell>
        </row>
        <row r="9">
          <cell r="E9">
            <v>250.71778982299398</v>
          </cell>
          <cell r="F9">
            <v>259.07914901932827</v>
          </cell>
          <cell r="G9">
            <v>97368.408906012904</v>
          </cell>
          <cell r="H9">
            <v>100466.87662285753</v>
          </cell>
        </row>
        <row r="10">
          <cell r="E10">
            <v>33.729638430001138</v>
          </cell>
          <cell r="F10">
            <v>39.317773848909198</v>
          </cell>
          <cell r="G10">
            <v>91989.192996743615</v>
          </cell>
          <cell r="H10">
            <v>94387.61534855279</v>
          </cell>
        </row>
        <row r="11">
          <cell r="E11">
            <v>0</v>
          </cell>
          <cell r="F11">
            <v>1.8016632908540389</v>
          </cell>
        </row>
        <row r="12">
          <cell r="E12">
            <v>50.585937575355807</v>
          </cell>
          <cell r="F12">
            <v>45.70602822807772</v>
          </cell>
          <cell r="G12">
            <v>59683.802455258599</v>
          </cell>
          <cell r="H12">
            <v>57713.51044245177</v>
          </cell>
        </row>
        <row r="13">
          <cell r="E13">
            <v>34.366640055924194</v>
          </cell>
          <cell r="F13">
            <v>31.38383821849057</v>
          </cell>
          <cell r="G13">
            <v>35833.048030699603</v>
          </cell>
          <cell r="H13">
            <v>37804.812049813314</v>
          </cell>
        </row>
        <row r="14">
          <cell r="E14">
            <v>7.0753112798501702E-2</v>
          </cell>
          <cell r="F14">
            <v>0</v>
          </cell>
        </row>
        <row r="15">
          <cell r="E15">
            <v>369.47075899707357</v>
          </cell>
          <cell r="F15">
            <v>377.28845260565981</v>
          </cell>
          <cell r="S15">
            <v>1921.3079998253233</v>
          </cell>
          <cell r="U15">
            <v>1052.4316922327484</v>
          </cell>
        </row>
        <row r="16">
          <cell r="E16">
            <v>826.228787722839</v>
          </cell>
          <cell r="F16">
            <v>814.19604459751201</v>
          </cell>
          <cell r="G16">
            <v>12934.414883920901</v>
          </cell>
          <cell r="H16">
            <v>13026.524911773859</v>
          </cell>
        </row>
        <row r="17">
          <cell r="E17">
            <v>894.54782578779111</v>
          </cell>
          <cell r="F17">
            <v>900.04145414374295</v>
          </cell>
          <cell r="G17">
            <v>15620.276508762676</v>
          </cell>
          <cell r="H17">
            <v>15553.061710880474</v>
          </cell>
        </row>
        <row r="19">
          <cell r="E19">
            <v>3.208993311747768</v>
          </cell>
          <cell r="F19">
            <v>3.1936612124876711</v>
          </cell>
        </row>
        <row r="20">
          <cell r="Q20">
            <v>59329.969014837348</v>
          </cell>
          <cell r="R20">
            <v>61469.272976409164</v>
          </cell>
        </row>
        <row r="21">
          <cell r="Q21">
            <v>19579.538180156749</v>
          </cell>
          <cell r="R21">
            <v>20653.326006938612</v>
          </cell>
        </row>
        <row r="22">
          <cell r="Q22">
            <v>237.01111111111112</v>
          </cell>
          <cell r="R22">
            <v>294.1825007989296</v>
          </cell>
        </row>
        <row r="50">
          <cell r="Q50">
            <v>87030.947946845947</v>
          </cell>
          <cell r="R50">
            <v>91539.918175819679</v>
          </cell>
        </row>
        <row r="56">
          <cell r="L56">
            <v>-875959.09993818961</v>
          </cell>
        </row>
        <row r="61">
          <cell r="T61">
            <v>101432.30731425683</v>
          </cell>
          <cell r="U61">
            <v>102620.91713856411</v>
          </cell>
        </row>
        <row r="80">
          <cell r="H80">
            <v>641987.9040000001</v>
          </cell>
          <cell r="I80">
            <v>673739.38899999997</v>
          </cell>
          <cell r="L80">
            <v>-31751.484999999986</v>
          </cell>
        </row>
        <row r="85">
          <cell r="H85">
            <v>385662.41366732336</v>
          </cell>
          <cell r="I85">
            <v>490613.23553000001</v>
          </cell>
          <cell r="L85">
            <v>-104950.82186267666</v>
          </cell>
          <cell r="Q85">
            <v>101432.30731425683</v>
          </cell>
          <cell r="R85">
            <v>102620.91713856411</v>
          </cell>
        </row>
        <row r="86">
          <cell r="H86">
            <v>2860716.711533614</v>
          </cell>
          <cell r="I86">
            <v>1350292.3179999914</v>
          </cell>
          <cell r="K86">
            <v>258280.7546875863</v>
          </cell>
          <cell r="M86">
            <v>-756043.74142033886</v>
          </cell>
        </row>
        <row r="89">
          <cell r="Q89">
            <v>79146.518306105223</v>
          </cell>
          <cell r="R89">
            <v>82416.781484146704</v>
          </cell>
        </row>
        <row r="90">
          <cell r="Q90">
            <v>22285.789008151609</v>
          </cell>
          <cell r="R90">
            <v>20204.135654417405</v>
          </cell>
        </row>
      </sheetData>
      <sheetData sheetId="1">
        <row r="5">
          <cell r="T5">
            <v>105000</v>
          </cell>
          <cell r="U5">
            <v>92180</v>
          </cell>
        </row>
        <row r="9">
          <cell r="E9">
            <v>274.88565333333338</v>
          </cell>
          <cell r="F9">
            <v>281.93057111254706</v>
          </cell>
          <cell r="G9">
            <v>96999.999999999985</v>
          </cell>
          <cell r="H9">
            <v>99847.642004431065</v>
          </cell>
        </row>
        <row r="10">
          <cell r="E10">
            <v>15.009523809523809</v>
          </cell>
          <cell r="F10">
            <v>20.188889971855048</v>
          </cell>
          <cell r="G10">
            <v>95408.629441624376</v>
          </cell>
          <cell r="H10">
            <v>97245.807614049481</v>
          </cell>
        </row>
        <row r="11">
          <cell r="E11">
            <v>0</v>
          </cell>
          <cell r="F11">
            <v>0.65512041001828891</v>
          </cell>
        </row>
        <row r="12">
          <cell r="E12">
            <v>54.237714285714283</v>
          </cell>
          <cell r="F12">
            <v>45.668604798878583</v>
          </cell>
          <cell r="G12">
            <v>59999.999999999993</v>
          </cell>
          <cell r="H12">
            <v>57075.22254225245</v>
          </cell>
        </row>
        <row r="13">
          <cell r="E13">
            <v>31.508761904761908</v>
          </cell>
          <cell r="F13">
            <v>30.387889238115047</v>
          </cell>
          <cell r="G13">
            <v>39797.967005398343</v>
          </cell>
          <cell r="H13">
            <v>41305.666216712634</v>
          </cell>
        </row>
        <row r="14">
          <cell r="E14">
            <v>0</v>
          </cell>
          <cell r="F14">
            <v>0</v>
          </cell>
        </row>
        <row r="15">
          <cell r="E15">
            <v>375.64165333333335</v>
          </cell>
          <cell r="F15">
            <v>378.83107553141406</v>
          </cell>
        </row>
        <row r="16">
          <cell r="E16">
            <v>850.33885714285714</v>
          </cell>
          <cell r="F16">
            <v>853.6438007841158</v>
          </cell>
          <cell r="G16">
            <v>14912.113691818991</v>
          </cell>
          <cell r="H16">
            <v>15006.07888034938</v>
          </cell>
        </row>
        <row r="17">
          <cell r="E17">
            <v>881.17706666666675</v>
          </cell>
          <cell r="F17">
            <v>868.29417919682817</v>
          </cell>
          <cell r="G17">
            <v>13714.936956130119</v>
          </cell>
          <cell r="H17">
            <v>13966.237444912773</v>
          </cell>
        </row>
        <row r="19">
          <cell r="E19">
            <v>3.2583065904761903</v>
          </cell>
          <cell r="F19">
            <v>3.2153369180730009</v>
          </cell>
        </row>
        <row r="20">
          <cell r="Q20">
            <v>60212.846034616239</v>
          </cell>
          <cell r="R20">
            <v>62243.483030893738</v>
          </cell>
        </row>
        <row r="21">
          <cell r="Q21">
            <v>19303.352635674779</v>
          </cell>
          <cell r="R21">
            <v>20878.432687569129</v>
          </cell>
        </row>
        <row r="22">
          <cell r="Q22">
            <v>245.26666666666665</v>
          </cell>
          <cell r="R22">
            <v>300.03703744264232</v>
          </cell>
        </row>
        <row r="50">
          <cell r="Q50">
            <v>86400.588469497365</v>
          </cell>
          <cell r="R50">
            <v>90508.963816762131</v>
          </cell>
        </row>
        <row r="56">
          <cell r="L56">
            <v>-375160.05002499337</v>
          </cell>
        </row>
        <row r="61">
          <cell r="T61">
            <v>98482.526745520168</v>
          </cell>
          <cell r="U61">
            <v>100715.67502492139</v>
          </cell>
        </row>
        <row r="80">
          <cell r="H80">
            <v>222799.655</v>
          </cell>
          <cell r="I80">
            <v>222588.04199999999</v>
          </cell>
          <cell r="L80">
            <v>211.61300000001575</v>
          </cell>
        </row>
        <row r="85">
          <cell r="H85">
            <v>111772.20188888889</v>
          </cell>
          <cell r="I85">
            <v>109395.13036</v>
          </cell>
          <cell r="L85">
            <v>2377.071528888895</v>
          </cell>
          <cell r="Q85">
            <v>98482.526745520168</v>
          </cell>
          <cell r="R85">
            <v>100715.67502492139</v>
          </cell>
        </row>
        <row r="86">
          <cell r="H86">
            <v>934031.66209350294</v>
          </cell>
          <cell r="I86">
            <v>602596.38599999924</v>
          </cell>
          <cell r="K86">
            <v>203857.40698169972</v>
          </cell>
          <cell r="M86">
            <v>-162721.31757910037</v>
          </cell>
        </row>
        <row r="89">
          <cell r="Q89">
            <v>79761.465336957684</v>
          </cell>
          <cell r="R89">
            <v>83421.952755905513</v>
          </cell>
        </row>
        <row r="90">
          <cell r="Q90">
            <v>18721.061408562484</v>
          </cell>
          <cell r="R90">
            <v>17293.722269015881</v>
          </cell>
        </row>
      </sheetData>
      <sheetData sheetId="2">
        <row r="5">
          <cell r="T5">
            <v>117000</v>
          </cell>
          <cell r="U5">
            <v>83368</v>
          </cell>
        </row>
        <row r="9">
          <cell r="E9">
            <v>219.9480391946451</v>
          </cell>
          <cell r="F9">
            <v>220.53624542036826</v>
          </cell>
          <cell r="G9">
            <v>96999.999999999985</v>
          </cell>
          <cell r="H9">
            <v>100024.57041981928</v>
          </cell>
        </row>
        <row r="10">
          <cell r="E10">
            <v>59.954559005238821</v>
          </cell>
          <cell r="F10">
            <v>67.397060056033141</v>
          </cell>
          <cell r="G10">
            <v>90278.214091712245</v>
          </cell>
          <cell r="H10">
            <v>93795.712655611656</v>
          </cell>
        </row>
        <row r="11">
          <cell r="E11">
            <v>0</v>
          </cell>
          <cell r="F11">
            <v>3.9750247838892752</v>
          </cell>
        </row>
        <row r="12">
          <cell r="E12">
            <v>46.079880609723638</v>
          </cell>
          <cell r="F12">
            <v>49.383336965110992</v>
          </cell>
          <cell r="G12">
            <v>59131.999639248425</v>
          </cell>
          <cell r="H12">
            <v>58398.132158946697</v>
          </cell>
        </row>
        <row r="13">
          <cell r="E13">
            <v>37.539821226287188</v>
          </cell>
          <cell r="F13">
            <v>35.597394219487086</v>
          </cell>
          <cell r="G13">
            <v>32368.269814940653</v>
          </cell>
          <cell r="H13">
            <v>33944.163539954352</v>
          </cell>
        </row>
        <row r="14">
          <cell r="E14">
            <v>0.16327641415038857</v>
          </cell>
          <cell r="F14">
            <v>0</v>
          </cell>
        </row>
        <row r="15">
          <cell r="E15">
            <v>363.68557645004518</v>
          </cell>
          <cell r="F15">
            <v>376.88906144488874</v>
          </cell>
        </row>
        <row r="16">
          <cell r="E16">
            <v>809.43930500142335</v>
          </cell>
          <cell r="F16">
            <v>783.64991384305927</v>
          </cell>
          <cell r="G16">
            <v>11037.030150471721</v>
          </cell>
          <cell r="H16">
            <v>10724.73470767509</v>
          </cell>
        </row>
        <row r="17">
          <cell r="E17">
            <v>897.28292275815045</v>
          </cell>
          <cell r="F17">
            <v>905.79474868896841</v>
          </cell>
          <cell r="G17">
            <v>17785.124172262498</v>
          </cell>
          <cell r="H17">
            <v>17745.092991971622</v>
          </cell>
        </row>
        <row r="19">
          <cell r="E19">
            <v>3.2643077108709186</v>
          </cell>
          <cell r="F19">
            <v>3.208071765522857</v>
          </cell>
        </row>
        <row r="20">
          <cell r="Q20">
            <v>58612.087916372373</v>
          </cell>
          <cell r="R20">
            <v>60295.70917842006</v>
          </cell>
        </row>
        <row r="21">
          <cell r="Q21">
            <v>20162.795336161042</v>
          </cell>
          <cell r="R21">
            <v>20932.748341754268</v>
          </cell>
        </row>
        <row r="22">
          <cell r="Q22">
            <v>234.18803418803418</v>
          </cell>
          <cell r="R22">
            <v>290.0241373530327</v>
          </cell>
        </row>
        <row r="50">
          <cell r="Q50">
            <v>87204.095294556202</v>
          </cell>
          <cell r="R50">
            <v>92217.736045592785</v>
          </cell>
        </row>
        <row r="56">
          <cell r="L56">
            <v>-314069.36768343684</v>
          </cell>
        </row>
        <row r="61">
          <cell r="T61">
            <v>102761.14160059592</v>
          </cell>
          <cell r="U61">
            <v>102825.49369062472</v>
          </cell>
        </row>
        <row r="80">
          <cell r="H80">
            <v>300605.83</v>
          </cell>
          <cell r="I80">
            <v>328848.745</v>
          </cell>
          <cell r="L80">
            <v>-28242.914999999983</v>
          </cell>
        </row>
        <row r="85">
          <cell r="H85">
            <v>186108.9980473092</v>
          </cell>
          <cell r="I85">
            <v>293790.06079999998</v>
          </cell>
          <cell r="L85">
            <v>-107681.06275269079</v>
          </cell>
          <cell r="Q85">
            <v>102761.14160059592</v>
          </cell>
          <cell r="R85">
            <v>102825.49369062472</v>
          </cell>
        </row>
        <row r="86">
          <cell r="H86">
            <v>1333459.5897593366</v>
          </cell>
          <cell r="I86">
            <v>365616.56800000113</v>
          </cell>
          <cell r="K86">
            <v>5364.9050415208776</v>
          </cell>
          <cell r="M86">
            <v>-523214.58136472758</v>
          </cell>
        </row>
        <row r="89">
          <cell r="Q89">
            <v>79009.071286721446</v>
          </cell>
          <cell r="R89">
            <v>81518.481657527358</v>
          </cell>
        </row>
        <row r="90">
          <cell r="Q90">
            <v>23752.070313874472</v>
          </cell>
          <cell r="R90">
            <v>21307.012033097359</v>
          </cell>
        </row>
      </sheetData>
      <sheetData sheetId="3"/>
      <sheetData sheetId="4"/>
      <sheetData sheetId="5"/>
      <sheetData sheetId="6">
        <row r="5">
          <cell r="T5">
            <v>48000</v>
          </cell>
          <cell r="U5">
            <v>42641.5</v>
          </cell>
        </row>
        <row r="9">
          <cell r="E9">
            <v>272.85185555072673</v>
          </cell>
          <cell r="F9">
            <v>285.63767467492107</v>
          </cell>
          <cell r="G9">
            <v>98904.192657775071</v>
          </cell>
          <cell r="H9">
            <v>102444.50215958258</v>
          </cell>
        </row>
        <row r="10">
          <cell r="E10">
            <v>10.756645260153475</v>
          </cell>
          <cell r="F10">
            <v>25.28228499067853</v>
          </cell>
          <cell r="G10">
            <v>104797.05760041148</v>
          </cell>
          <cell r="H10">
            <v>92590.793172503021</v>
          </cell>
        </row>
        <row r="11">
          <cell r="E11">
            <v>0</v>
          </cell>
          <cell r="F11">
            <v>0</v>
          </cell>
        </row>
        <row r="12">
          <cell r="E12">
            <v>53.581189875175042</v>
          </cell>
          <cell r="F12">
            <v>38.583748519704052</v>
          </cell>
          <cell r="G12">
            <v>60140.363313148773</v>
          </cell>
          <cell r="H12">
            <v>57615.027107245434</v>
          </cell>
        </row>
        <row r="13">
          <cell r="E13">
            <v>32.883619408831919</v>
          </cell>
          <cell r="F13">
            <v>25.263760479322755</v>
          </cell>
          <cell r="G13">
            <v>37163.649657017493</v>
          </cell>
          <cell r="H13">
            <v>39442.319515105046</v>
          </cell>
        </row>
        <row r="14">
          <cell r="E14">
            <v>0</v>
          </cell>
          <cell r="F14">
            <v>0</v>
          </cell>
        </row>
        <row r="15">
          <cell r="E15">
            <v>370.07331009488712</v>
          </cell>
          <cell r="F15">
            <v>374.76746866462639</v>
          </cell>
        </row>
        <row r="16">
          <cell r="E16">
            <v>814.41237500000011</v>
          </cell>
          <cell r="F16">
            <v>789.55409382438131</v>
          </cell>
          <cell r="G16">
            <v>13013.989004444258</v>
          </cell>
          <cell r="H16">
            <v>12918.206261778143</v>
          </cell>
        </row>
        <row r="17">
          <cell r="E17">
            <v>917.12956250000002</v>
          </cell>
          <cell r="F17">
            <v>956.75378428130921</v>
          </cell>
          <cell r="G17">
            <v>14462.193161032697</v>
          </cell>
          <cell r="H17">
            <v>14572.122654955359</v>
          </cell>
        </row>
        <row r="19">
          <cell r="E19">
            <v>2.9662916666666668</v>
          </cell>
          <cell r="F19">
            <v>3.1190221252945931</v>
          </cell>
        </row>
        <row r="20">
          <cell r="Q20">
            <v>59148.510711579431</v>
          </cell>
          <cell r="R20">
            <v>62110.002579525601</v>
          </cell>
        </row>
        <row r="21">
          <cell r="Q21">
            <v>18762.004740950593</v>
          </cell>
          <cell r="R21">
            <v>19624.023098479258</v>
          </cell>
        </row>
        <row r="22">
          <cell r="Q22">
            <v>225.83333333333334</v>
          </cell>
          <cell r="R22">
            <v>289.79073012299648</v>
          </cell>
        </row>
        <row r="50">
          <cell r="Q50">
            <v>87987.812643502242</v>
          </cell>
          <cell r="R50">
            <v>92419.931103216193</v>
          </cell>
        </row>
        <row r="56">
          <cell r="L56">
            <v>-189036.21379209813</v>
          </cell>
        </row>
        <row r="61">
          <cell r="T61">
            <v>104645.91873541666</v>
          </cell>
          <cell r="U61">
            <v>106299.69717294186</v>
          </cell>
        </row>
        <row r="80">
          <cell r="H80">
            <v>118582.41899999998</v>
          </cell>
          <cell r="I80">
            <v>122302.60199999998</v>
          </cell>
          <cell r="L80">
            <v>-3720.183</v>
          </cell>
        </row>
        <row r="85">
          <cell r="H85">
            <v>87781.213731125201</v>
          </cell>
          <cell r="I85">
            <v>87428.044369999989</v>
          </cell>
          <cell r="L85">
            <v>353.16936112521216</v>
          </cell>
          <cell r="Q85">
            <v>104645.91873541666</v>
          </cell>
          <cell r="R85">
            <v>106299.69717294186</v>
          </cell>
        </row>
        <row r="86">
          <cell r="H86">
            <v>593225.45968076633</v>
          </cell>
          <cell r="I86">
            <v>382079.36400000076</v>
          </cell>
          <cell r="K86">
            <v>70519.59324373056</v>
          </cell>
          <cell r="M86">
            <v>-89262.461493523268</v>
          </cell>
        </row>
        <row r="89">
          <cell r="Q89">
            <v>78136.34878586336</v>
          </cell>
          <cell r="R89">
            <v>82023.816408127866</v>
          </cell>
        </row>
        <row r="90">
          <cell r="Q90">
            <v>26509.569949553304</v>
          </cell>
          <cell r="R90">
            <v>24275.880764813992</v>
          </cell>
        </row>
      </sheetData>
      <sheetData sheetId="7">
        <row r="2">
          <cell r="N2">
            <v>37000</v>
          </cell>
        </row>
        <row r="5">
          <cell r="T5">
            <v>37000</v>
          </cell>
          <cell r="U5">
            <v>34368</v>
          </cell>
        </row>
        <row r="9">
          <cell r="E9">
            <v>293.06756756756755</v>
          </cell>
          <cell r="F9">
            <v>294.14791076238464</v>
          </cell>
          <cell r="G9">
            <v>97000</v>
          </cell>
          <cell r="H9">
            <v>99733.667924630019</v>
          </cell>
        </row>
        <row r="10">
          <cell r="E10">
            <v>0</v>
          </cell>
          <cell r="F10">
            <v>2.454679412109146</v>
          </cell>
          <cell r="G10">
            <v>0</v>
          </cell>
          <cell r="H10">
            <v>100500.0236754764</v>
          </cell>
        </row>
        <row r="11">
          <cell r="E11">
            <v>0</v>
          </cell>
          <cell r="F11">
            <v>0</v>
          </cell>
        </row>
        <row r="12">
          <cell r="E12">
            <v>47.675675675675677</v>
          </cell>
          <cell r="F12">
            <v>48.945721981496639</v>
          </cell>
          <cell r="G12">
            <v>60000</v>
          </cell>
          <cell r="H12">
            <v>57084.815337581167</v>
          </cell>
        </row>
        <row r="13">
          <cell r="E13">
            <v>29.743243243243246</v>
          </cell>
          <cell r="F13">
            <v>33.6336257172971</v>
          </cell>
          <cell r="G13">
            <v>38500</v>
          </cell>
          <cell r="H13">
            <v>40590.349088308678</v>
          </cell>
        </row>
        <row r="14">
          <cell r="E14">
            <v>0</v>
          </cell>
          <cell r="F14">
            <v>0</v>
          </cell>
        </row>
        <row r="15">
          <cell r="E15">
            <v>370.48648648648646</v>
          </cell>
          <cell r="F15">
            <v>379.18193787328755</v>
          </cell>
        </row>
        <row r="16">
          <cell r="E16">
            <v>842.94594594594594</v>
          </cell>
          <cell r="F16">
            <v>831.41058671975622</v>
          </cell>
          <cell r="G16">
            <v>14133.333333333332</v>
          </cell>
          <cell r="H16">
            <v>14019.966539496569</v>
          </cell>
        </row>
        <row r="17">
          <cell r="E17">
            <v>878.09459459459458</v>
          </cell>
          <cell r="F17">
            <v>867.66456845063783</v>
          </cell>
          <cell r="G17">
            <v>13548.387096774195</v>
          </cell>
          <cell r="H17">
            <v>13580.757877484686</v>
          </cell>
        </row>
        <row r="19">
          <cell r="E19">
            <v>3.35</v>
          </cell>
          <cell r="F19">
            <v>3.2507758519732963</v>
          </cell>
        </row>
        <row r="20">
          <cell r="Q20">
            <v>59325.610970648064</v>
          </cell>
          <cell r="R20">
            <v>60465.052289495259</v>
          </cell>
        </row>
        <row r="21">
          <cell r="Q21">
            <v>18430.464011739012</v>
          </cell>
          <cell r="R21">
            <v>19895.094419721278</v>
          </cell>
        </row>
        <row r="22">
          <cell r="Q22">
            <v>221.62162162162164</v>
          </cell>
          <cell r="R22">
            <v>324.72912519030336</v>
          </cell>
        </row>
        <row r="50">
          <cell r="Q50">
            <v>83783.533435089776</v>
          </cell>
          <cell r="R50">
            <v>86399.479271577482</v>
          </cell>
        </row>
        <row r="56">
          <cell r="L56">
            <v>-89341.809482294702</v>
          </cell>
        </row>
        <row r="80">
          <cell r="H80">
            <v>68291.172999999995</v>
          </cell>
          <cell r="I80">
            <v>71284.912000000011</v>
          </cell>
          <cell r="L80">
            <v>-2993.7390000000059</v>
          </cell>
        </row>
        <row r="85">
          <cell r="H85">
            <v>31086.133888888886</v>
          </cell>
          <cell r="I85">
            <v>31224.482909999999</v>
          </cell>
          <cell r="L85">
            <v>-138.34902111111296</v>
          </cell>
          <cell r="Q85">
            <v>98200.591162162149</v>
          </cell>
          <cell r="R85">
            <v>102248.21350749765</v>
          </cell>
        </row>
        <row r="86">
          <cell r="H86">
            <v>434053.82901278901</v>
          </cell>
          <cell r="I86">
            <v>439645.23199999961</v>
          </cell>
          <cell r="K86">
            <v>138202.01735913547</v>
          </cell>
          <cell r="M86">
            <v>-40136.716868518677</v>
          </cell>
        </row>
        <row r="89">
          <cell r="Q89">
            <v>77977.696604008699</v>
          </cell>
          <cell r="R89">
            <v>80684.875834406848</v>
          </cell>
        </row>
        <row r="92">
          <cell r="H92">
            <v>259823.69940647105</v>
          </cell>
          <cell r="I92">
            <v>239029.26585235476</v>
          </cell>
        </row>
      </sheetData>
      <sheetData sheetId="8">
        <row r="2">
          <cell r="N2">
            <v>35000</v>
          </cell>
        </row>
        <row r="5">
          <cell r="T5">
            <v>35000</v>
          </cell>
          <cell r="U5">
            <v>29096</v>
          </cell>
        </row>
        <row r="9">
          <cell r="E9">
            <v>272.14285714285705</v>
          </cell>
          <cell r="F9">
            <v>298.86005499095069</v>
          </cell>
          <cell r="G9">
            <v>97000</v>
          </cell>
          <cell r="H9">
            <v>99854.838803406717</v>
          </cell>
        </row>
        <row r="10">
          <cell r="E10">
            <v>32</v>
          </cell>
          <cell r="F10">
            <v>27.35834748712238</v>
          </cell>
          <cell r="G10">
            <v>97000</v>
          </cell>
          <cell r="H10">
            <v>99410.616267937978</v>
          </cell>
        </row>
        <row r="11">
          <cell r="E11">
            <v>0</v>
          </cell>
          <cell r="F11">
            <v>2.0820343171376865</v>
          </cell>
        </row>
        <row r="12">
          <cell r="E12">
            <v>56.914285714285725</v>
          </cell>
          <cell r="F12">
            <v>39.163131351802889</v>
          </cell>
          <cell r="G12">
            <v>60000</v>
          </cell>
          <cell r="H12">
            <v>57159.838483174186</v>
          </cell>
        </row>
        <row r="13">
          <cell r="E13">
            <v>30.200000000000003</v>
          </cell>
          <cell r="F13">
            <v>26.182726576639276</v>
          </cell>
          <cell r="G13">
            <v>39000</v>
          </cell>
          <cell r="H13">
            <v>40516.387403076609</v>
          </cell>
        </row>
        <row r="14">
          <cell r="E14">
            <v>0</v>
          </cell>
          <cell r="F14">
            <v>0</v>
          </cell>
        </row>
        <row r="15">
          <cell r="E15">
            <v>391.25714285714275</v>
          </cell>
          <cell r="F15">
            <v>393.64629472365294</v>
          </cell>
        </row>
        <row r="16">
          <cell r="E16">
            <v>880</v>
          </cell>
          <cell r="F16">
            <v>878.17977798273637</v>
          </cell>
          <cell r="G16">
            <v>15333.333333333334</v>
          </cell>
          <cell r="H16">
            <v>15706.539918550145</v>
          </cell>
        </row>
        <row r="17">
          <cell r="E17">
            <v>849.91428571428571</v>
          </cell>
          <cell r="F17">
            <v>859.87802398023075</v>
          </cell>
          <cell r="G17">
            <v>13952.457269132081</v>
          </cell>
          <cell r="H17">
            <v>14634.710954625278</v>
          </cell>
        </row>
        <row r="19">
          <cell r="E19">
            <v>3.2874285714285714</v>
          </cell>
          <cell r="F19">
            <v>3.3738622441876642</v>
          </cell>
        </row>
        <row r="20">
          <cell r="Q20">
            <v>62207.680372901108</v>
          </cell>
          <cell r="R20">
            <v>66438.601733259085</v>
          </cell>
        </row>
        <row r="21">
          <cell r="Q21">
            <v>19633.609373750591</v>
          </cell>
          <cell r="R21">
            <v>20626.337881108171</v>
          </cell>
        </row>
        <row r="22">
          <cell r="Q22">
            <v>330</v>
          </cell>
          <cell r="R22">
            <v>398.19083252123067</v>
          </cell>
        </row>
        <row r="50">
          <cell r="Q50">
            <v>88443.59188950884</v>
          </cell>
          <cell r="R50">
            <v>94576.952387581798</v>
          </cell>
        </row>
        <row r="56">
          <cell r="L56">
            <v>-176195.93416330608</v>
          </cell>
        </row>
        <row r="80">
          <cell r="H80">
            <v>65971.407000000007</v>
          </cell>
          <cell r="I80">
            <v>65953.895999999993</v>
          </cell>
          <cell r="L80">
            <v>17.511000000000422</v>
          </cell>
        </row>
        <row r="85">
          <cell r="H85">
            <v>36646.257555555552</v>
          </cell>
          <cell r="I85">
            <v>39498.932769999999</v>
          </cell>
          <cell r="L85">
            <v>-2852.6752144444472</v>
          </cell>
          <cell r="Q85">
            <v>99846.060890846158</v>
          </cell>
          <cell r="R85">
            <v>99946.750870473537</v>
          </cell>
        </row>
        <row r="86">
          <cell r="H86">
            <v>296468.75049125042</v>
          </cell>
          <cell r="I86">
            <v>49957.465000000346</v>
          </cell>
          <cell r="K86">
            <v>2891.8162148983311</v>
          </cell>
          <cell r="M86">
            <v>-70372.003328398336</v>
          </cell>
        </row>
        <row r="89">
          <cell r="Q89">
            <v>82171.289746651702</v>
          </cell>
          <cell r="R89">
            <v>87463.130446888492</v>
          </cell>
        </row>
        <row r="92">
          <cell r="H92">
            <v>128894.83647269639</v>
          </cell>
          <cell r="I92">
            <v>-115822.81889548176</v>
          </cell>
        </row>
      </sheetData>
      <sheetData sheetId="9">
        <row r="2">
          <cell r="N2">
            <v>18000</v>
          </cell>
        </row>
        <row r="5">
          <cell r="T5">
            <v>18000</v>
          </cell>
          <cell r="U5">
            <v>13394.5</v>
          </cell>
        </row>
        <row r="9">
          <cell r="E9">
            <v>286.49964444444441</v>
          </cell>
          <cell r="F9">
            <v>289.02787967006316</v>
          </cell>
          <cell r="G9">
            <v>97000.000000000015</v>
          </cell>
          <cell r="H9">
            <v>99999.999999999971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49.386666666666677</v>
          </cell>
          <cell r="F12">
            <v>48.638083827865501</v>
          </cell>
          <cell r="G12">
            <v>59999.999999999985</v>
          </cell>
          <cell r="H12">
            <v>57098.345346924245</v>
          </cell>
        </row>
        <row r="13">
          <cell r="E13">
            <v>34.773333333333326</v>
          </cell>
          <cell r="F13">
            <v>31.578776546112795</v>
          </cell>
          <cell r="G13">
            <v>42000</v>
          </cell>
          <cell r="H13">
            <v>43010.385559855684</v>
          </cell>
        </row>
        <row r="14">
          <cell r="E14">
            <v>0</v>
          </cell>
          <cell r="F14">
            <v>0</v>
          </cell>
        </row>
        <row r="15">
          <cell r="E15">
            <v>370.65964444444438</v>
          </cell>
          <cell r="F15">
            <v>369.24474004404146</v>
          </cell>
        </row>
        <row r="16">
          <cell r="E16">
            <v>833.44888888888886</v>
          </cell>
          <cell r="F16">
            <v>856.75624230209428</v>
          </cell>
          <cell r="G16">
            <v>15666.666666666666</v>
          </cell>
          <cell r="H16">
            <v>15750.803025214031</v>
          </cell>
        </row>
        <row r="17">
          <cell r="E17">
            <v>907.64400000000001</v>
          </cell>
          <cell r="F17">
            <v>857.02795506288908</v>
          </cell>
          <cell r="G17">
            <v>13225.806451612902</v>
          </cell>
          <cell r="H17">
            <v>13412.47111031755</v>
          </cell>
        </row>
        <row r="19">
          <cell r="E19">
            <v>2.9690106666666662</v>
          </cell>
          <cell r="F19">
            <v>2.8843093345276785</v>
          </cell>
        </row>
        <row r="20">
          <cell r="Q20">
            <v>59799.494374671449</v>
          </cell>
          <cell r="R20">
            <v>59808.156981301086</v>
          </cell>
        </row>
        <row r="21">
          <cell r="Q21">
            <v>21057.293323881171</v>
          </cell>
          <cell r="R21">
            <v>24217.987534057404</v>
          </cell>
        </row>
        <row r="22">
          <cell r="Q22">
            <v>283.5</v>
          </cell>
          <cell r="R22">
            <v>265.86854775501064</v>
          </cell>
        </row>
        <row r="50">
          <cell r="Q50">
            <v>88688.952689293365</v>
          </cell>
          <cell r="R50">
            <v>93857.092748105846</v>
          </cell>
        </row>
        <row r="56">
          <cell r="L56">
            <v>-69280.87405326005</v>
          </cell>
        </row>
        <row r="80">
          <cell r="H80">
            <v>50852.95</v>
          </cell>
          <cell r="I80">
            <v>47145.716</v>
          </cell>
          <cell r="L80">
            <v>3707.2339999999999</v>
          </cell>
        </row>
        <row r="85">
          <cell r="H85">
            <v>25361.364888888893</v>
          </cell>
          <cell r="I85">
            <v>20712.59115</v>
          </cell>
          <cell r="L85">
            <v>4648.7737388888909</v>
          </cell>
          <cell r="Q85">
            <v>98575.7978</v>
          </cell>
          <cell r="R85">
            <v>102535.02557019671</v>
          </cell>
        </row>
        <row r="86">
          <cell r="H86">
            <v>101748.89710383079</v>
          </cell>
          <cell r="I86">
            <v>48322.041999999907</v>
          </cell>
          <cell r="K86">
            <v>53031.876367899837</v>
          </cell>
          <cell r="M86">
            <v>-45533.865157359396</v>
          </cell>
        </row>
        <row r="89">
          <cell r="Q89">
            <v>81140.287698552624</v>
          </cell>
          <cell r="R89">
            <v>84292.013063113511</v>
          </cell>
        </row>
        <row r="92">
          <cell r="H92">
            <v>16664.438627207433</v>
          </cell>
          <cell r="I92">
            <v>-30096.653559944047</v>
          </cell>
        </row>
      </sheetData>
      <sheetData sheetId="10">
        <row r="2">
          <cell r="N2">
            <v>15000</v>
          </cell>
        </row>
        <row r="5">
          <cell r="T5">
            <v>15000</v>
          </cell>
          <cell r="U5">
            <v>15321.5</v>
          </cell>
        </row>
        <row r="9">
          <cell r="E9">
            <v>222.5</v>
          </cell>
          <cell r="F9">
            <v>215.47067970855394</v>
          </cell>
          <cell r="G9">
            <v>97000</v>
          </cell>
          <cell r="H9">
            <v>99999.999999999913</v>
          </cell>
        </row>
        <row r="10">
          <cell r="E10">
            <v>30.4</v>
          </cell>
          <cell r="F10">
            <v>64.78397977176698</v>
          </cell>
          <cell r="G10">
            <v>91500</v>
          </cell>
          <cell r="H10">
            <v>95217.770013012647</v>
          </cell>
        </row>
        <row r="11">
          <cell r="E11">
            <v>0</v>
          </cell>
          <cell r="F11">
            <v>0</v>
          </cell>
        </row>
        <row r="12">
          <cell r="E12">
            <v>70</v>
          </cell>
          <cell r="F12">
            <v>48.010915926406476</v>
          </cell>
          <cell r="G12">
            <v>60000</v>
          </cell>
          <cell r="H12">
            <v>56900.155717268579</v>
          </cell>
        </row>
        <row r="13">
          <cell r="E13">
            <v>35</v>
          </cell>
          <cell r="F13">
            <v>29.989155937052921</v>
          </cell>
          <cell r="G13">
            <v>41500</v>
          </cell>
          <cell r="H13">
            <v>42846.266884284618</v>
          </cell>
        </row>
        <row r="14">
          <cell r="E14">
            <v>0</v>
          </cell>
          <cell r="F14">
            <v>0</v>
          </cell>
        </row>
        <row r="15">
          <cell r="E15">
            <v>357.9</v>
          </cell>
          <cell r="F15">
            <v>358.25473134378035</v>
          </cell>
        </row>
        <row r="16">
          <cell r="E16">
            <v>819.63333333333333</v>
          </cell>
          <cell r="F16">
            <v>854.49113351299184</v>
          </cell>
          <cell r="G16">
            <v>14911.784402239484</v>
          </cell>
          <cell r="H16">
            <v>15144.825848873828</v>
          </cell>
        </row>
        <row r="17">
          <cell r="E17">
            <v>929.9666666666667</v>
          </cell>
          <cell r="F17">
            <v>895.85820274811203</v>
          </cell>
          <cell r="G17">
            <v>14169.205533658454</v>
          </cell>
          <cell r="H17">
            <v>14060.316539538104</v>
          </cell>
        </row>
        <row r="19">
          <cell r="E19">
            <v>3.3113333333333332</v>
          </cell>
          <cell r="F19">
            <v>3.1267990817446862</v>
          </cell>
        </row>
        <row r="20">
          <cell r="Q20">
            <v>58242.767728340128</v>
          </cell>
          <cell r="R20">
            <v>60435.902452007846</v>
          </cell>
        </row>
        <row r="21">
          <cell r="Q21">
            <v>18581.150026691786</v>
          </cell>
          <cell r="R21">
            <v>20618.376351598628</v>
          </cell>
        </row>
        <row r="22">
          <cell r="Q22">
            <v>60</v>
          </cell>
          <cell r="R22">
            <v>86.722360847722669</v>
          </cell>
        </row>
        <row r="50">
          <cell r="Q50">
            <v>85342.94584392081</v>
          </cell>
          <cell r="R50">
            <v>89086.925508201079</v>
          </cell>
        </row>
        <row r="56">
          <cell r="L56">
            <v>-56266.388854636003</v>
          </cell>
        </row>
        <row r="80">
          <cell r="H80">
            <v>37684.125</v>
          </cell>
          <cell r="I80">
            <v>38203.517999999996</v>
          </cell>
          <cell r="L80">
            <v>-519.39299999999582</v>
          </cell>
        </row>
        <row r="85">
          <cell r="H85">
            <v>18678.445555555558</v>
          </cell>
          <cell r="I85">
            <v>17959.123530000001</v>
          </cell>
          <cell r="L85">
            <v>719.32202555555705</v>
          </cell>
          <cell r="Q85">
            <v>95884.462913333322</v>
          </cell>
          <cell r="R85">
            <v>97081.727318095611</v>
          </cell>
        </row>
        <row r="86">
          <cell r="H86">
            <v>101760.18548563223</v>
          </cell>
          <cell r="I86">
            <v>64671.647000000026</v>
          </cell>
          <cell r="K86">
            <v>17993.088106970059</v>
          </cell>
          <cell r="M86">
            <v>984.83323647825819</v>
          </cell>
        </row>
        <row r="89">
          <cell r="Q89">
            <v>76883.917755031915</v>
          </cell>
          <cell r="R89">
            <v>81141.001164454196</v>
          </cell>
        </row>
        <row r="92">
          <cell r="H92">
            <v>32792.296600648391</v>
          </cell>
          <cell r="I92">
            <v>-20227.199380094797</v>
          </cell>
        </row>
      </sheetData>
      <sheetData sheetId="11">
        <row r="2">
          <cell r="N2">
            <v>20000</v>
          </cell>
        </row>
        <row r="5">
          <cell r="T5">
            <v>20000</v>
          </cell>
          <cell r="U5">
            <v>13162</v>
          </cell>
        </row>
        <row r="9">
          <cell r="E9">
            <v>186.50643471824398</v>
          </cell>
          <cell r="F9">
            <v>212.84736438231272</v>
          </cell>
          <cell r="G9">
            <v>97000</v>
          </cell>
          <cell r="H9">
            <v>100000</v>
          </cell>
        </row>
        <row r="10">
          <cell r="E10">
            <v>149.91268350366457</v>
          </cell>
          <cell r="F10">
            <v>144.02705667831634</v>
          </cell>
          <cell r="G10">
            <v>89600.000000000029</v>
          </cell>
          <cell r="H10">
            <v>93069.497253582536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18.922584713569368</v>
          </cell>
          <cell r="G12">
            <v>0</v>
          </cell>
          <cell r="H12">
            <v>57700.021031156226</v>
          </cell>
        </row>
        <row r="13">
          <cell r="E13">
            <v>29.250381778091764</v>
          </cell>
          <cell r="F13">
            <v>32.46418249506155</v>
          </cell>
          <cell r="G13">
            <v>34500</v>
          </cell>
          <cell r="H13">
            <v>34988.708114657558</v>
          </cell>
        </row>
        <row r="14">
          <cell r="E14">
            <v>0</v>
          </cell>
          <cell r="F14">
            <v>0</v>
          </cell>
        </row>
        <row r="15">
          <cell r="E15">
            <v>365.66950000000031</v>
          </cell>
          <cell r="F15">
            <v>408.26118826926</v>
          </cell>
        </row>
        <row r="16">
          <cell r="E16">
            <v>850.40000000000009</v>
          </cell>
          <cell r="F16">
            <v>890.266600820544</v>
          </cell>
          <cell r="G16">
            <v>11714.415686274509</v>
          </cell>
          <cell r="H16">
            <v>9999.0663688036075</v>
          </cell>
        </row>
        <row r="17">
          <cell r="E17">
            <v>870.19999999999993</v>
          </cell>
          <cell r="F17">
            <v>824.97340829661175</v>
          </cell>
          <cell r="G17">
            <v>18149.720279720277</v>
          </cell>
          <cell r="H17">
            <v>18150.170192387384</v>
          </cell>
        </row>
        <row r="19">
          <cell r="E19">
            <v>3.2520490144999994</v>
          </cell>
          <cell r="F19">
            <v>3.5575717975991488</v>
          </cell>
        </row>
        <row r="20">
          <cell r="Q20">
            <v>61194.750462127609</v>
          </cell>
          <cell r="R20">
            <v>64742.175277313479</v>
          </cell>
        </row>
        <row r="21">
          <cell r="Q21">
            <v>21946.999652777777</v>
          </cell>
          <cell r="R21">
            <v>23220.145418629389</v>
          </cell>
        </row>
        <row r="22">
          <cell r="Q22">
            <v>200</v>
          </cell>
          <cell r="R22">
            <v>365.52727549004709</v>
          </cell>
        </row>
        <row r="50">
          <cell r="Q50">
            <v>91417.472052405385</v>
          </cell>
          <cell r="R50">
            <v>100549.88390822064</v>
          </cell>
        </row>
        <row r="56">
          <cell r="L56">
            <v>-77542.364216240065</v>
          </cell>
        </row>
        <row r="80">
          <cell r="H80">
            <v>57686.852000000006</v>
          </cell>
          <cell r="I80">
            <v>56489.576000000001</v>
          </cell>
          <cell r="L80">
            <v>1197.2760000000071</v>
          </cell>
        </row>
        <row r="85">
          <cell r="H85">
            <v>48073.718333333338</v>
          </cell>
          <cell r="I85">
            <v>92577.972630000004</v>
          </cell>
          <cell r="L85">
            <v>-44504.254296666659</v>
          </cell>
          <cell r="Q85">
            <v>107265.60605000002</v>
          </cell>
          <cell r="R85">
            <v>115681.59079167301</v>
          </cell>
        </row>
        <row r="86">
          <cell r="H86">
            <v>211202.1096185589</v>
          </cell>
          <cell r="I86">
            <v>92754.418000000151</v>
          </cell>
          <cell r="K86">
            <v>110771.1911698999</v>
          </cell>
          <cell r="M86">
            <v>-108369.54027555196</v>
          </cell>
        </row>
        <row r="89">
          <cell r="Q89">
            <v>83341.750114905386</v>
          </cell>
          <cell r="R89">
            <v>88327.847971432915</v>
          </cell>
        </row>
        <row r="92">
          <cell r="H92">
            <v>101709.47230433827</v>
          </cell>
          <cell r="I92">
            <v>-625.3827153697348</v>
          </cell>
        </row>
      </sheetData>
      <sheetData sheetId="12">
        <row r="2">
          <cell r="N2">
            <v>20000</v>
          </cell>
        </row>
        <row r="5">
          <cell r="T5">
            <v>20000</v>
          </cell>
          <cell r="U5">
            <v>19707</v>
          </cell>
        </row>
        <row r="9">
          <cell r="E9">
            <v>246.66046239999991</v>
          </cell>
          <cell r="F9">
            <v>248.13398450554456</v>
          </cell>
          <cell r="G9">
            <v>97000.000000000015</v>
          </cell>
          <cell r="H9">
            <v>100061.78906209102</v>
          </cell>
        </row>
        <row r="10">
          <cell r="E10">
            <v>50.287401360000004</v>
          </cell>
          <cell r="F10">
            <v>66.790121018785797</v>
          </cell>
          <cell r="G10">
            <v>89100</v>
          </cell>
          <cell r="H10">
            <v>93481.120825850245</v>
          </cell>
        </row>
        <row r="11">
          <cell r="E11">
            <v>0</v>
          </cell>
          <cell r="F11">
            <v>0</v>
          </cell>
        </row>
        <row r="12">
          <cell r="E12">
            <v>39.614107280000006</v>
          </cell>
          <cell r="F12">
            <v>40.512843181933263</v>
          </cell>
          <cell r="G12">
            <v>61000</v>
          </cell>
          <cell r="H12">
            <v>60064.956093462395</v>
          </cell>
        </row>
        <row r="13">
          <cell r="E13">
            <v>31.633362960000007</v>
          </cell>
          <cell r="F13">
            <v>28.248627778621714</v>
          </cell>
          <cell r="G13">
            <v>32500</v>
          </cell>
          <cell r="H13">
            <v>33797.440911131489</v>
          </cell>
        </row>
        <row r="14">
          <cell r="E14">
            <v>0</v>
          </cell>
          <cell r="F14">
            <v>0</v>
          </cell>
        </row>
        <row r="15">
          <cell r="E15">
            <v>368.19533399999989</v>
          </cell>
          <cell r="F15">
            <v>383.6855764848853</v>
          </cell>
        </row>
        <row r="16">
          <cell r="E16">
            <v>824.47499999999991</v>
          </cell>
          <cell r="F16">
            <v>807.5345587118336</v>
          </cell>
          <cell r="G16">
            <v>10666.666666666666</v>
          </cell>
          <cell r="H16">
            <v>10667.068472535739</v>
          </cell>
        </row>
        <row r="17">
          <cell r="E17">
            <v>907.28499999999997</v>
          </cell>
          <cell r="F17">
            <v>930.87042381892752</v>
          </cell>
          <cell r="G17">
            <v>17845.689028998037</v>
          </cell>
          <cell r="H17">
            <v>16855.72358429397</v>
          </cell>
        </row>
        <row r="19">
          <cell r="E19">
            <v>3.3405</v>
          </cell>
          <cell r="F19">
            <v>3.212424932907997</v>
          </cell>
        </row>
        <row r="20">
          <cell r="Q20">
            <v>59787.138124930483</v>
          </cell>
          <cell r="R20">
            <v>62029.136411970227</v>
          </cell>
        </row>
        <row r="21">
          <cell r="Q21">
            <v>17283.069408051862</v>
          </cell>
          <cell r="R21">
            <v>18643.113474099955</v>
          </cell>
        </row>
        <row r="22">
          <cell r="Q22">
            <v>180</v>
          </cell>
          <cell r="R22">
            <v>228.12020861815787</v>
          </cell>
        </row>
        <row r="50">
          <cell r="Q50">
            <v>84061.863532982345</v>
          </cell>
          <cell r="R50">
            <v>87838.374905058488</v>
          </cell>
        </row>
        <row r="56">
          <cell r="L56">
            <v>-37849.731985517014</v>
          </cell>
        </row>
        <row r="80">
          <cell r="H80">
            <v>52505.36</v>
          </cell>
          <cell r="I80">
            <v>61708.352000000006</v>
          </cell>
          <cell r="L80">
            <v>-9202.9920000000056</v>
          </cell>
        </row>
        <row r="85">
          <cell r="H85">
            <v>28828.647222222218</v>
          </cell>
          <cell r="I85">
            <v>67284.713369999998</v>
          </cell>
          <cell r="L85">
            <v>-38456.066147777776</v>
          </cell>
          <cell r="Q85">
            <v>104020.9987495</v>
          </cell>
          <cell r="R85">
            <v>103692.33165880144</v>
          </cell>
        </row>
        <row r="86">
          <cell r="H86">
            <v>317848.69710813061</v>
          </cell>
          <cell r="I86">
            <v>220014.83799999993</v>
          </cell>
          <cell r="K86">
            <v>-6477.0423563963795</v>
          </cell>
          <cell r="M86">
            <v>-5848.0266184396714</v>
          </cell>
        </row>
        <row r="89">
          <cell r="Q89">
            <v>77250.207532982342</v>
          </cell>
          <cell r="R89">
            <v>80900.370094688333</v>
          </cell>
        </row>
        <row r="92">
          <cell r="H92">
            <v>211668.03110944165</v>
          </cell>
          <cell r="I92">
            <v>94690.920805979113</v>
          </cell>
        </row>
      </sheetData>
      <sheetData sheetId="13">
        <row r="2">
          <cell r="N2">
            <v>10000</v>
          </cell>
        </row>
        <row r="5">
          <cell r="T5">
            <v>10000</v>
          </cell>
          <cell r="U5">
            <v>5473</v>
          </cell>
        </row>
        <row r="9">
          <cell r="E9">
            <v>157.24571428571426</v>
          </cell>
          <cell r="F9">
            <v>85.110548145441271</v>
          </cell>
          <cell r="G9">
            <v>97000</v>
          </cell>
          <cell r="H9">
            <v>99999.999999999985</v>
          </cell>
        </row>
        <row r="10">
          <cell r="E10">
            <v>167.21714285714287</v>
          </cell>
          <cell r="F10">
            <v>223.46391558560205</v>
          </cell>
          <cell r="G10">
            <v>89100.000000000015</v>
          </cell>
          <cell r="H10">
            <v>93690.464950716472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35.537142857142861</v>
          </cell>
          <cell r="F13">
            <v>38.229318472501383</v>
          </cell>
          <cell r="G13">
            <v>32500</v>
          </cell>
          <cell r="H13">
            <v>33422.350604643529</v>
          </cell>
        </row>
        <row r="14">
          <cell r="E14">
            <v>0</v>
          </cell>
          <cell r="F14">
            <v>0</v>
          </cell>
        </row>
        <row r="15">
          <cell r="E15">
            <v>360</v>
          </cell>
          <cell r="F15">
            <v>346.80378220354476</v>
          </cell>
        </row>
        <row r="16">
          <cell r="E16">
            <v>796</v>
          </cell>
          <cell r="F16">
            <v>831.53663438699095</v>
          </cell>
          <cell r="G16">
            <v>9000</v>
          </cell>
          <cell r="H16">
            <v>9017.5431773236614</v>
          </cell>
        </row>
        <row r="17">
          <cell r="E17">
            <v>914</v>
          </cell>
          <cell r="F17">
            <v>853.42590900785672</v>
          </cell>
          <cell r="G17">
            <v>16710.977594439159</v>
          </cell>
          <cell r="H17">
            <v>16656.741671662243</v>
          </cell>
        </row>
        <row r="19">
          <cell r="E19">
            <v>3.4062000000000001</v>
          </cell>
          <cell r="F19">
            <v>2.3637401790608439</v>
          </cell>
        </row>
        <row r="20">
          <cell r="Q20">
            <v>56810.252378460253</v>
          </cell>
          <cell r="R20">
            <v>54589.386077105795</v>
          </cell>
        </row>
        <row r="21">
          <cell r="Q21">
            <v>21562.160289855077</v>
          </cell>
          <cell r="R21">
            <v>22080.649369632742</v>
          </cell>
        </row>
        <row r="22">
          <cell r="Q22">
            <v>490</v>
          </cell>
          <cell r="R22">
            <v>749.81673670747307</v>
          </cell>
        </row>
        <row r="50">
          <cell r="Q50">
            <v>88419.572368315334</v>
          </cell>
          <cell r="R50">
            <v>92829.213776722099</v>
          </cell>
        </row>
        <row r="56">
          <cell r="L56">
            <v>-21700.746558210256</v>
          </cell>
        </row>
        <row r="80">
          <cell r="H80">
            <v>30604.596999999998</v>
          </cell>
          <cell r="I80">
            <v>32405.33</v>
          </cell>
          <cell r="L80">
            <v>-1800.7330000000024</v>
          </cell>
        </row>
        <row r="85">
          <cell r="H85">
            <v>13584.039666666667</v>
          </cell>
          <cell r="I85">
            <v>15448.211869999999</v>
          </cell>
          <cell r="L85">
            <v>-1864.1722033333313</v>
          </cell>
          <cell r="Q85">
            <v>101293.38088</v>
          </cell>
          <cell r="R85">
            <v>97145.660515256706</v>
          </cell>
        </row>
        <row r="86">
          <cell r="H86">
            <v>84549.448450180178</v>
          </cell>
          <cell r="I86">
            <v>-21796.408000000039</v>
          </cell>
          <cell r="K86">
            <v>-22700.473556240031</v>
          </cell>
          <cell r="M86">
            <v>-58279.731132396555</v>
          </cell>
        </row>
        <row r="89">
          <cell r="Q89">
            <v>78862.41266831533</v>
          </cell>
          <cell r="R89">
            <v>77419.852183446012</v>
          </cell>
        </row>
        <row r="92">
          <cell r="H92">
            <v>32851.239567384939</v>
          </cell>
          <cell r="I92">
            <v>-54403.769459230098</v>
          </cell>
        </row>
      </sheetData>
      <sheetData sheetId="14">
        <row r="2">
          <cell r="N2">
            <v>22000</v>
          </cell>
        </row>
        <row r="5">
          <cell r="T5">
            <v>22000</v>
          </cell>
          <cell r="U5">
            <v>14883</v>
          </cell>
        </row>
        <row r="9">
          <cell r="E9">
            <v>220.75597729779338</v>
          </cell>
          <cell r="F9">
            <v>220.68546827794555</v>
          </cell>
          <cell r="G9">
            <v>97000</v>
          </cell>
          <cell r="H9">
            <v>100045.56738220557</v>
          </cell>
        </row>
        <row r="10">
          <cell r="E10">
            <v>33.865012625828321</v>
          </cell>
          <cell r="F10">
            <v>48.49110641154747</v>
          </cell>
          <cell r="G10">
            <v>89100</v>
          </cell>
          <cell r="H10">
            <v>92099.994097816219</v>
          </cell>
        </row>
        <row r="11">
          <cell r="E11">
            <v>0</v>
          </cell>
          <cell r="F11">
            <v>22.289494461228603</v>
          </cell>
        </row>
        <row r="12">
          <cell r="E12">
            <v>69.432485715348406</v>
          </cell>
          <cell r="F12">
            <v>53.474528365223264</v>
          </cell>
          <cell r="G12">
            <v>59000</v>
          </cell>
          <cell r="H12">
            <v>57719.104922504353</v>
          </cell>
        </row>
        <row r="13">
          <cell r="E13">
            <v>47.123452733742582</v>
          </cell>
          <cell r="F13">
            <v>32.850559248069828</v>
          </cell>
          <cell r="G13">
            <v>32500.000000000015</v>
          </cell>
          <cell r="H13">
            <v>34407.366811995387</v>
          </cell>
        </row>
        <row r="14">
          <cell r="E14">
            <v>0.86833365707252097</v>
          </cell>
          <cell r="F14">
            <v>0</v>
          </cell>
        </row>
        <row r="15">
          <cell r="E15">
            <v>372.04526202978519</v>
          </cell>
          <cell r="F15">
            <v>377.79115676401472</v>
          </cell>
        </row>
        <row r="16">
          <cell r="E16">
            <v>824.21823294279602</v>
          </cell>
          <cell r="F16">
            <v>742.74756629741535</v>
          </cell>
          <cell r="G16">
            <v>11335.55153836004</v>
          </cell>
          <cell r="H16">
            <v>11254.616714384818</v>
          </cell>
        </row>
        <row r="17">
          <cell r="E17">
            <v>903.21084840790047</v>
          </cell>
          <cell r="F17">
            <v>952.07311178247744</v>
          </cell>
          <cell r="G17">
            <v>18860.223886297572</v>
          </cell>
          <cell r="H17">
            <v>19294.873066876407</v>
          </cell>
        </row>
        <row r="19">
          <cell r="E19">
            <v>3.348407358268068</v>
          </cell>
          <cell r="F19">
            <v>3.633340046995635</v>
          </cell>
        </row>
        <row r="20">
          <cell r="Q20">
            <v>60273.805306548136</v>
          </cell>
          <cell r="R20">
            <v>63164.770728432355</v>
          </cell>
        </row>
        <row r="21">
          <cell r="Q21">
            <v>20815.650233100238</v>
          </cell>
          <cell r="R21">
            <v>21086.214165827456</v>
          </cell>
        </row>
        <row r="22">
          <cell r="Q22">
            <v>286.36363636363637</v>
          </cell>
          <cell r="R22">
            <v>351.55065458207451</v>
          </cell>
        </row>
        <row r="50">
          <cell r="Q50">
            <v>88279.875312375647</v>
          </cell>
          <cell r="R50">
            <v>93452.964686136285</v>
          </cell>
        </row>
        <row r="56">
          <cell r="L56">
            <v>-63847.355615913446</v>
          </cell>
        </row>
        <row r="80">
          <cell r="H80">
            <v>48627.209000000003</v>
          </cell>
          <cell r="I80">
            <v>51519.719999999994</v>
          </cell>
          <cell r="L80">
            <v>-2892.5109999999941</v>
          </cell>
        </row>
        <row r="85">
          <cell r="H85">
            <v>19631.002</v>
          </cell>
          <cell r="I85">
            <v>34103.685109999999</v>
          </cell>
          <cell r="L85">
            <v>-14472.68311</v>
          </cell>
          <cell r="Q85">
            <v>106108.08428545456</v>
          </cell>
          <cell r="R85">
            <v>104523.63636363637</v>
          </cell>
        </row>
        <row r="86">
          <cell r="H86">
            <v>323962.38640773634</v>
          </cell>
          <cell r="I86">
            <v>92285.134999999951</v>
          </cell>
          <cell r="K86">
            <v>-23581.338420420198</v>
          </cell>
          <cell r="M86">
            <v>-126883.3632614027</v>
          </cell>
        </row>
        <row r="89">
          <cell r="Q89">
            <v>81375.81917601201</v>
          </cell>
          <cell r="R89">
            <v>84602.535548841872</v>
          </cell>
        </row>
        <row r="92">
          <cell r="H92">
            <v>204820.19481191089</v>
          </cell>
          <cell r="I92">
            <v>-3120.0100672154804</v>
          </cell>
        </row>
      </sheetData>
      <sheetData sheetId="15">
        <row r="2">
          <cell r="N2">
            <v>10000</v>
          </cell>
        </row>
        <row r="5">
          <cell r="T5">
            <v>10000</v>
          </cell>
          <cell r="U5">
            <v>3836</v>
          </cell>
        </row>
        <row r="9">
          <cell r="E9">
            <v>237.72</v>
          </cell>
          <cell r="F9">
            <v>221.01017466110522</v>
          </cell>
          <cell r="G9">
            <v>96999.999999999985</v>
          </cell>
          <cell r="H9">
            <v>100000.00000000004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77.020000000000024</v>
          </cell>
          <cell r="F12">
            <v>93.475385818561051</v>
          </cell>
          <cell r="G12">
            <v>59000</v>
          </cell>
          <cell r="H12">
            <v>57828.2668135606</v>
          </cell>
        </row>
        <row r="13">
          <cell r="E13">
            <v>44.970000000000006</v>
          </cell>
          <cell r="F13">
            <v>45.040802919708042</v>
          </cell>
          <cell r="G13">
            <v>32000</v>
          </cell>
          <cell r="H13">
            <v>34436.913071290001</v>
          </cell>
        </row>
        <row r="14">
          <cell r="E14">
            <v>0</v>
          </cell>
          <cell r="F14">
            <v>0</v>
          </cell>
        </row>
        <row r="15">
          <cell r="E15">
            <v>359.71000000000004</v>
          </cell>
          <cell r="F15">
            <v>359.5263633993743</v>
          </cell>
        </row>
        <row r="16">
          <cell r="E16">
            <v>783.83</v>
          </cell>
          <cell r="F16">
            <v>717.80239833159533</v>
          </cell>
          <cell r="G16">
            <v>9400</v>
          </cell>
          <cell r="H16">
            <v>9138.0113964459651</v>
          </cell>
        </row>
        <row r="17">
          <cell r="E17">
            <v>894.86</v>
          </cell>
          <cell r="F17">
            <v>907.60427528675712</v>
          </cell>
          <cell r="G17">
            <v>17575.958949041244</v>
          </cell>
          <cell r="H17">
            <v>16768.395005701452</v>
          </cell>
        </row>
        <row r="19">
          <cell r="E19">
            <v>3.0811000000000002</v>
          </cell>
          <cell r="F19">
            <v>3.0458237747653798</v>
          </cell>
        </row>
        <row r="20">
          <cell r="Q20">
            <v>54663.784625139044</v>
          </cell>
          <cell r="R20">
            <v>53272.323774765384</v>
          </cell>
        </row>
        <row r="21">
          <cell r="Q21">
            <v>21148.520440559205</v>
          </cell>
          <cell r="R21">
            <v>23005.199426485924</v>
          </cell>
        </row>
        <row r="22">
          <cell r="Q22">
            <v>80</v>
          </cell>
          <cell r="R22">
            <v>0</v>
          </cell>
        </row>
        <row r="50">
          <cell r="Q50">
            <v>85894.029965698253</v>
          </cell>
          <cell r="R50">
            <v>99811.717935349327</v>
          </cell>
        </row>
        <row r="56">
          <cell r="L56">
            <v>-53323.294311581441</v>
          </cell>
        </row>
        <row r="80">
          <cell r="H80">
            <v>27037.060000000005</v>
          </cell>
          <cell r="I80">
            <v>27218.79</v>
          </cell>
          <cell r="L80">
            <v>-181.72999999999547</v>
          </cell>
        </row>
        <row r="85">
          <cell r="H85">
            <v>12554.960111111111</v>
          </cell>
          <cell r="I85">
            <v>13337.70974</v>
          </cell>
          <cell r="L85">
            <v>-782.7496288888899</v>
          </cell>
          <cell r="Q85">
            <v>101350.2203</v>
          </cell>
          <cell r="R85">
            <v>99993.222106360787</v>
          </cell>
        </row>
        <row r="86">
          <cell r="H86">
            <v>114969.88323190634</v>
          </cell>
          <cell r="I86">
            <v>-39795.292999999947</v>
          </cell>
          <cell r="K86">
            <v>-5205.445070800025</v>
          </cell>
          <cell r="M86">
            <v>-95271.957220636075</v>
          </cell>
        </row>
        <row r="89">
          <cell r="Q89">
            <v>75892.305065698252</v>
          </cell>
          <cell r="R89">
            <v>76277.523201251315</v>
          </cell>
        </row>
        <row r="92">
          <cell r="H92">
            <v>63242.664593662041</v>
          </cell>
          <cell r="I92">
            <v>-63319.552720189175</v>
          </cell>
        </row>
      </sheetData>
      <sheetData sheetId="16">
        <row r="2">
          <cell r="N2">
            <v>14000.000000000002</v>
          </cell>
        </row>
        <row r="5">
          <cell r="T5">
            <v>14000.000000000002</v>
          </cell>
          <cell r="U5">
            <v>11287</v>
          </cell>
        </row>
        <row r="9">
          <cell r="E9">
            <v>213.77142857142854</v>
          </cell>
          <cell r="F9">
            <v>211.67095153716667</v>
          </cell>
          <cell r="G9">
            <v>96999.999999999985</v>
          </cell>
          <cell r="H9">
            <v>99999.999999999985</v>
          </cell>
        </row>
        <row r="10">
          <cell r="E10">
            <v>42.391428571428563</v>
          </cell>
          <cell r="F10">
            <v>41.563036236378132</v>
          </cell>
          <cell r="G10">
            <v>100500</v>
          </cell>
          <cell r="H10">
            <v>100500.00001065823</v>
          </cell>
        </row>
        <row r="11">
          <cell r="E11">
            <v>0</v>
          </cell>
          <cell r="F11">
            <v>0</v>
          </cell>
        </row>
        <row r="12">
          <cell r="E12">
            <v>61.457142857142856</v>
          </cell>
          <cell r="F12">
            <v>65.341283777797443</v>
          </cell>
          <cell r="G12">
            <v>61000.000000000015</v>
          </cell>
          <cell r="H12">
            <v>60000.90277100668</v>
          </cell>
        </row>
        <row r="13">
          <cell r="E13">
            <v>35.557142857142857</v>
          </cell>
          <cell r="F13">
            <v>34.835216620891245</v>
          </cell>
          <cell r="G13">
            <v>29500</v>
          </cell>
          <cell r="H13">
            <v>31498.348525881331</v>
          </cell>
        </row>
        <row r="14">
          <cell r="E14">
            <v>0</v>
          </cell>
          <cell r="F14">
            <v>0</v>
          </cell>
        </row>
        <row r="15">
          <cell r="E15">
            <v>353.17714285714283</v>
          </cell>
          <cell r="F15">
            <v>353.4104881722335</v>
          </cell>
        </row>
        <row r="16">
          <cell r="E16">
            <v>828.54285714285709</v>
          </cell>
          <cell r="F16">
            <v>825.80394294320922</v>
          </cell>
          <cell r="G16">
            <v>11466.666666666666</v>
          </cell>
          <cell r="H16">
            <v>11286.457899511981</v>
          </cell>
        </row>
        <row r="17">
          <cell r="E17">
            <v>869.9</v>
          </cell>
          <cell r="F17">
            <v>869.53442012935272</v>
          </cell>
          <cell r="G17">
            <v>17046.560838577385</v>
          </cell>
          <cell r="H17">
            <v>15652.933255964295</v>
          </cell>
        </row>
        <row r="19">
          <cell r="E19">
            <v>3.0811428571428574</v>
          </cell>
          <cell r="F19">
            <v>3.099251351111902</v>
          </cell>
        </row>
        <row r="20">
          <cell r="Q20">
            <v>57134.110892526085</v>
          </cell>
          <cell r="R20">
            <v>55470.073270133784</v>
          </cell>
        </row>
        <row r="21">
          <cell r="Q21">
            <v>19313.080572441741</v>
          </cell>
          <cell r="R21">
            <v>19427.129175157261</v>
          </cell>
        </row>
        <row r="22">
          <cell r="Q22">
            <v>107.14285714285712</v>
          </cell>
          <cell r="R22">
            <v>85.894480375653401</v>
          </cell>
        </row>
        <row r="50">
          <cell r="Q50">
            <v>84752.573964967829</v>
          </cell>
          <cell r="R50">
            <v>84421.326570390724</v>
          </cell>
        </row>
        <row r="56">
          <cell r="L56">
            <v>160.07554259178895</v>
          </cell>
        </row>
        <row r="80">
          <cell r="H80">
            <v>27335.347000000002</v>
          </cell>
          <cell r="I80">
            <v>39142.976999999999</v>
          </cell>
          <cell r="L80">
            <v>-11807.630000000001</v>
          </cell>
        </row>
        <row r="85">
          <cell r="H85">
            <v>31647.162333333334</v>
          </cell>
          <cell r="I85">
            <v>35649.650200000004</v>
          </cell>
          <cell r="L85">
            <v>-4002.4878666666723</v>
          </cell>
          <cell r="Q85">
            <v>98028.22533140867</v>
          </cell>
          <cell r="R85">
            <v>97142.163550987869</v>
          </cell>
        </row>
        <row r="86">
          <cell r="H86">
            <v>126876.60979683849</v>
          </cell>
          <cell r="I86">
            <v>65208.746000000145</v>
          </cell>
          <cell r="K86">
            <v>-10000.979315609586</v>
          </cell>
          <cell r="M86">
            <v>-36016.842157154082</v>
          </cell>
        </row>
        <row r="89">
          <cell r="Q89">
            <v>76554.334322110677</v>
          </cell>
          <cell r="R89">
            <v>74983.096925666701</v>
          </cell>
        </row>
        <row r="92">
          <cell r="H92">
            <v>56832.179689057099</v>
          </cell>
          <cell r="I92">
            <v>-2035.1861094214401</v>
          </cell>
        </row>
      </sheetData>
      <sheetData sheetId="17">
        <row r="2">
          <cell r="N2">
            <v>9000</v>
          </cell>
        </row>
        <row r="5">
          <cell r="T5">
            <v>9000</v>
          </cell>
          <cell r="U5">
            <v>4797</v>
          </cell>
        </row>
        <row r="9">
          <cell r="E9">
            <v>233.316</v>
          </cell>
          <cell r="F9">
            <v>211.89202209714401</v>
          </cell>
          <cell r="G9">
            <v>96999.999999999985</v>
          </cell>
          <cell r="H9">
            <v>100000.00098382011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71.488800000000012</v>
          </cell>
          <cell r="F12">
            <v>69.960614967688173</v>
          </cell>
          <cell r="G12">
            <v>57199.999999999993</v>
          </cell>
          <cell r="H12">
            <v>57555.180023710869</v>
          </cell>
        </row>
        <row r="13">
          <cell r="E13">
            <v>38.455200000000005</v>
          </cell>
          <cell r="F13">
            <v>48.963948301021496</v>
          </cell>
          <cell r="G13">
            <v>30999.999999999993</v>
          </cell>
          <cell r="H13">
            <v>32392.95408899332</v>
          </cell>
        </row>
        <row r="14">
          <cell r="E14">
            <v>0</v>
          </cell>
          <cell r="F14">
            <v>0</v>
          </cell>
        </row>
        <row r="15">
          <cell r="E15">
            <v>343.26</v>
          </cell>
          <cell r="F15">
            <v>330.81658536585365</v>
          </cell>
        </row>
        <row r="16">
          <cell r="E16">
            <v>709.76084004722372</v>
          </cell>
          <cell r="F16">
            <v>662.13570981863688</v>
          </cell>
          <cell r="G16">
            <v>10933.333333333334</v>
          </cell>
          <cell r="H16">
            <v>10668.412112969159</v>
          </cell>
        </row>
        <row r="17">
          <cell r="E17">
            <v>980.14592196997535</v>
          </cell>
          <cell r="F17">
            <v>986.29143214509088</v>
          </cell>
          <cell r="G17">
            <v>14319.243604004449</v>
          </cell>
          <cell r="H17">
            <v>14145.202526187635</v>
          </cell>
        </row>
        <row r="19">
          <cell r="E19">
            <v>3.0893399999999995</v>
          </cell>
          <cell r="F19">
            <v>2.7121430060454452</v>
          </cell>
        </row>
        <row r="20">
          <cell r="Q20">
            <v>51870.460635342592</v>
          </cell>
          <cell r="R20">
            <v>49433.808838857629</v>
          </cell>
        </row>
        <row r="21">
          <cell r="Q21">
            <v>17918.556353003722</v>
          </cell>
          <cell r="R21">
            <v>16732.925786950174</v>
          </cell>
        </row>
        <row r="22">
          <cell r="Q22">
            <v>388.88888888888891</v>
          </cell>
          <cell r="R22">
            <v>230.11653116531164</v>
          </cell>
        </row>
        <row r="50">
          <cell r="Q50">
            <v>80961.1898772352</v>
          </cell>
          <cell r="R50">
            <v>83546.64290181364</v>
          </cell>
        </row>
        <row r="56">
          <cell r="L56">
            <v>-12402.407068902716</v>
          </cell>
        </row>
        <row r="80">
          <cell r="H80">
            <v>29289.285000000003</v>
          </cell>
          <cell r="I80">
            <v>29297.1</v>
          </cell>
          <cell r="L80">
            <v>-7.8149999999982356</v>
          </cell>
        </row>
        <row r="85">
          <cell r="H85">
            <v>15967.632658693112</v>
          </cell>
          <cell r="I85">
            <v>15923.96609</v>
          </cell>
          <cell r="L85">
            <v>43.666568693111913</v>
          </cell>
          <cell r="Q85">
            <v>91629.970373333315</v>
          </cell>
          <cell r="R85">
            <v>77939.962476547851</v>
          </cell>
        </row>
        <row r="86">
          <cell r="H86">
            <v>50762.10680619003</v>
          </cell>
          <cell r="I86">
            <v>-72116.300999999992</v>
          </cell>
          <cell r="K86">
            <v>-65670.967880879878</v>
          </cell>
          <cell r="M86">
            <v>-44840.884425100347</v>
          </cell>
        </row>
        <row r="89">
          <cell r="Q89">
            <v>70177.9058772352</v>
          </cell>
          <cell r="R89">
            <v>66396.85115697312</v>
          </cell>
        </row>
        <row r="92">
          <cell r="H92">
            <v>8672.5371184413234</v>
          </cell>
          <cell r="I92">
            <v>-95045.913475467329</v>
          </cell>
        </row>
      </sheetData>
      <sheetData sheetId="18">
        <row r="2">
          <cell r="N2">
            <v>12000</v>
          </cell>
        </row>
        <row r="5">
          <cell r="T5">
            <v>12000</v>
          </cell>
          <cell r="U5">
            <v>10223</v>
          </cell>
        </row>
        <row r="9">
          <cell r="E9">
            <v>264.30416666666667</v>
          </cell>
          <cell r="F9">
            <v>262.66027801995557</v>
          </cell>
          <cell r="G9">
            <v>97000</v>
          </cell>
          <cell r="H9">
            <v>100000.00036880741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66.462499999999977</v>
          </cell>
          <cell r="F12">
            <v>82.075467402886702</v>
          </cell>
          <cell r="G12">
            <v>57199.999999999993</v>
          </cell>
          <cell r="H12">
            <v>56847.602766100208</v>
          </cell>
        </row>
        <row r="13">
          <cell r="E13">
            <v>40.733333333333334</v>
          </cell>
          <cell r="F13">
            <v>47.33217378668995</v>
          </cell>
          <cell r="G13">
            <v>33500</v>
          </cell>
          <cell r="H13">
            <v>35497.398610503325</v>
          </cell>
        </row>
        <row r="14">
          <cell r="E14">
            <v>0</v>
          </cell>
          <cell r="F14">
            <v>0</v>
          </cell>
        </row>
        <row r="15">
          <cell r="E15">
            <v>371.5</v>
          </cell>
          <cell r="F15">
            <v>392.06791920953225</v>
          </cell>
        </row>
        <row r="16">
          <cell r="E16">
            <v>774.0291666666667</v>
          </cell>
          <cell r="F16">
            <v>670.49210500823381</v>
          </cell>
          <cell r="G16">
            <v>12533.333333333336</v>
          </cell>
          <cell r="H16">
            <v>12262.297713353631</v>
          </cell>
        </row>
        <row r="17">
          <cell r="E17">
            <v>872.77083333333337</v>
          </cell>
          <cell r="F17">
            <v>923.42875133197754</v>
          </cell>
          <cell r="G17">
            <v>19928.716760722607</v>
          </cell>
          <cell r="H17">
            <v>21524.048169666989</v>
          </cell>
        </row>
        <row r="19">
          <cell r="E19">
            <v>3.3829166666666666</v>
          </cell>
          <cell r="F19">
            <v>2.9978785236849759</v>
          </cell>
        </row>
        <row r="20">
          <cell r="Q20">
            <v>60875.060790075389</v>
          </cell>
          <cell r="R20">
            <v>63129.322290031974</v>
          </cell>
        </row>
        <row r="21">
          <cell r="Q21">
            <v>21478.702124223601</v>
          </cell>
          <cell r="R21">
            <v>24394.289838225319</v>
          </cell>
        </row>
        <row r="22">
          <cell r="Q22">
            <v>233.33333333333334</v>
          </cell>
          <cell r="R22">
            <v>338.44095708611837</v>
          </cell>
        </row>
        <row r="50">
          <cell r="Q50">
            <v>91067.701094854536</v>
          </cell>
          <cell r="R50">
            <v>97597.73389518552</v>
          </cell>
        </row>
        <row r="56">
          <cell r="L56">
            <v>-54513.206917302108</v>
          </cell>
        </row>
        <row r="80">
          <cell r="H80">
            <v>27520.12</v>
          </cell>
          <cell r="I80">
            <v>31066.899999999998</v>
          </cell>
          <cell r="L80">
            <v>-3546.7799999999975</v>
          </cell>
        </row>
        <row r="85">
          <cell r="H85">
            <v>15821.835721949396</v>
          </cell>
          <cell r="I85">
            <v>19464.15179</v>
          </cell>
          <cell r="L85">
            <v>-3642.3160680506035</v>
          </cell>
          <cell r="Q85">
            <v>103286.8931</v>
          </cell>
          <cell r="R85">
            <v>104185.73804167075</v>
          </cell>
        </row>
        <row r="86">
          <cell r="H86">
            <v>103288.34833979614</v>
          </cell>
          <cell r="I86">
            <v>29061.433000000023</v>
          </cell>
          <cell r="K86">
            <v>9188.8918387000213</v>
          </cell>
          <cell r="M86">
            <v>-21713.504193143512</v>
          </cell>
        </row>
        <row r="89">
          <cell r="Q89">
            <v>82587.096247632318</v>
          </cell>
          <cell r="R89">
            <v>87862.053085343403</v>
          </cell>
        </row>
        <row r="92">
          <cell r="H92">
            <v>40029.556960352042</v>
          </cell>
          <cell r="I92">
            <v>-36259.659161575371</v>
          </cell>
        </row>
      </sheetData>
      <sheetData sheetId="19">
        <row r="2">
          <cell r="N2">
            <v>22000</v>
          </cell>
        </row>
        <row r="5">
          <cell r="T5">
            <v>22000</v>
          </cell>
          <cell r="U5">
            <v>18291</v>
          </cell>
        </row>
        <row r="9">
          <cell r="E9">
            <v>282.09995756522193</v>
          </cell>
          <cell r="F9">
            <v>301.13213086973144</v>
          </cell>
          <cell r="G9">
            <v>97000.000000000015</v>
          </cell>
          <cell r="H9">
            <v>99729.917532536536</v>
          </cell>
        </row>
        <row r="10">
          <cell r="E10">
            <v>3.1840442039712116</v>
          </cell>
          <cell r="F10">
            <v>25.380422019351677</v>
          </cell>
          <cell r="G10">
            <v>83600</v>
          </cell>
          <cell r="H10">
            <v>86600.005177864572</v>
          </cell>
        </row>
        <row r="11">
          <cell r="E11">
            <v>0</v>
          </cell>
          <cell r="F11">
            <v>0</v>
          </cell>
        </row>
        <row r="12">
          <cell r="E12">
            <v>50.790323364018285</v>
          </cell>
          <cell r="F12">
            <v>29.552126496474049</v>
          </cell>
          <cell r="G12">
            <v>59999.999999999993</v>
          </cell>
          <cell r="H12">
            <v>57081.328875176092</v>
          </cell>
        </row>
        <row r="13">
          <cell r="E13">
            <v>47.544715073815084</v>
          </cell>
          <cell r="F13">
            <v>39.219486142240193</v>
          </cell>
          <cell r="G13">
            <v>37499.999999999993</v>
          </cell>
          <cell r="H13">
            <v>39122.281177660552</v>
          </cell>
        </row>
        <row r="14">
          <cell r="E14">
            <v>0</v>
          </cell>
          <cell r="F14">
            <v>0</v>
          </cell>
        </row>
        <row r="15">
          <cell r="E15">
            <v>383.6190402070265</v>
          </cell>
          <cell r="F15">
            <v>395.28416552779737</v>
          </cell>
        </row>
        <row r="16">
          <cell r="E16">
            <v>858.00063636363632</v>
          </cell>
          <cell r="F16">
            <v>811.18050620455926</v>
          </cell>
          <cell r="G16">
            <v>10853.333333333334</v>
          </cell>
          <cell r="H16">
            <v>10866.034163525996</v>
          </cell>
        </row>
        <row r="17">
          <cell r="E17">
            <v>885.96540909090913</v>
          </cell>
          <cell r="F17">
            <v>961.93434647132824</v>
          </cell>
          <cell r="G17">
            <v>12554.838709677419</v>
          </cell>
          <cell r="H17">
            <v>12451.806578121474</v>
          </cell>
        </row>
        <row r="19">
          <cell r="E19">
            <v>3.0482727272727272</v>
          </cell>
          <cell r="F19">
            <v>3.577138796260865</v>
          </cell>
        </row>
        <row r="20">
          <cell r="Q20">
            <v>55931.627552907725</v>
          </cell>
          <cell r="R20">
            <v>60104.974635106322</v>
          </cell>
        </row>
        <row r="21">
          <cell r="Q21">
            <v>21915.89118083004</v>
          </cell>
          <cell r="R21">
            <v>22513.532553435736</v>
          </cell>
        </row>
        <row r="22">
          <cell r="Q22">
            <v>136.36363636363635</v>
          </cell>
          <cell r="R22">
            <v>246.76794402230362</v>
          </cell>
        </row>
        <row r="50">
          <cell r="Q50">
            <v>85259.982192071097</v>
          </cell>
          <cell r="R50">
            <v>91470.98633357021</v>
          </cell>
        </row>
        <row r="56">
          <cell r="L56">
            <v>-113647.59449482722</v>
          </cell>
        </row>
        <row r="80">
          <cell r="H80">
            <v>48698.353000000003</v>
          </cell>
          <cell r="I80">
            <v>52875.722000000002</v>
          </cell>
          <cell r="L80">
            <v>-4177.3690000000033</v>
          </cell>
        </row>
        <row r="85">
          <cell r="H85">
            <v>36624.721000000005</v>
          </cell>
          <cell r="I85">
            <v>36408.759230000003</v>
          </cell>
          <cell r="L85">
            <v>215.96177000000171</v>
          </cell>
          <cell r="Q85">
            <v>98820.310909090913</v>
          </cell>
          <cell r="R85">
            <v>103047.33677765021</v>
          </cell>
        </row>
        <row r="86">
          <cell r="H86">
            <v>213004.15777443559</v>
          </cell>
          <cell r="I86">
            <v>122416.42700000017</v>
          </cell>
          <cell r="K86">
            <v>77316.53016181814</v>
          </cell>
          <cell r="M86">
            <v>-50295.259211426426</v>
          </cell>
        </row>
        <row r="89">
          <cell r="Q89">
            <v>77983.88237010139</v>
          </cell>
          <cell r="R89">
            <v>82865.275132564362</v>
          </cell>
        </row>
        <row r="92">
          <cell r="H92">
            <v>108754.09380081398</v>
          </cell>
          <cell r="I92">
            <v>14795.907277082355</v>
          </cell>
        </row>
      </sheetData>
      <sheetData sheetId="20">
        <row r="2">
          <cell r="N2">
            <v>12000</v>
          </cell>
        </row>
        <row r="5">
          <cell r="T5">
            <v>12000</v>
          </cell>
          <cell r="U5">
            <v>10494</v>
          </cell>
        </row>
        <row r="9">
          <cell r="E9">
            <v>249.45749999999998</v>
          </cell>
          <cell r="F9">
            <v>229.92539165237278</v>
          </cell>
          <cell r="G9">
            <v>97000.000000000015</v>
          </cell>
          <cell r="H9">
            <v>100000.00000000001</v>
          </cell>
        </row>
        <row r="10">
          <cell r="E10">
            <v>11.205833333333333</v>
          </cell>
          <cell r="F10">
            <v>53.469701734324353</v>
          </cell>
          <cell r="G10">
            <v>94500.000000000015</v>
          </cell>
          <cell r="H10">
            <v>97499.93517326031</v>
          </cell>
        </row>
        <row r="11">
          <cell r="E11">
            <v>0</v>
          </cell>
          <cell r="F11">
            <v>0</v>
          </cell>
        </row>
        <row r="12">
          <cell r="E12">
            <v>74.167500000000004</v>
          </cell>
          <cell r="F12">
            <v>57.351349342481427</v>
          </cell>
          <cell r="G12">
            <v>60000.000000000007</v>
          </cell>
          <cell r="H12">
            <v>57629.270895735179</v>
          </cell>
        </row>
        <row r="13">
          <cell r="E13">
            <v>24.794166666666666</v>
          </cell>
          <cell r="F13">
            <v>18.698883171335996</v>
          </cell>
          <cell r="G13">
            <v>32500.000000000007</v>
          </cell>
          <cell r="H13">
            <v>34427.53379163464</v>
          </cell>
        </row>
        <row r="14">
          <cell r="E14">
            <v>0</v>
          </cell>
          <cell r="F14">
            <v>0</v>
          </cell>
        </row>
        <row r="15">
          <cell r="E15">
            <v>359.625</v>
          </cell>
          <cell r="F15">
            <v>359.44532590051449</v>
          </cell>
        </row>
        <row r="16">
          <cell r="E16">
            <v>728.66499999999996</v>
          </cell>
          <cell r="F16">
            <v>718.04697922622449</v>
          </cell>
          <cell r="G16">
            <v>14733.333333333334</v>
          </cell>
          <cell r="H16">
            <v>13676.142788796826</v>
          </cell>
        </row>
        <row r="17">
          <cell r="E17">
            <v>995.58166666666659</v>
          </cell>
          <cell r="F17">
            <v>1003.1041547550983</v>
          </cell>
          <cell r="G17">
            <v>16000</v>
          </cell>
          <cell r="H17">
            <v>15893.580960568846</v>
          </cell>
        </row>
        <row r="19">
          <cell r="E19">
            <v>2.8283333333333331</v>
          </cell>
          <cell r="F19">
            <v>2.4503192300362113</v>
          </cell>
        </row>
        <row r="20">
          <cell r="Q20">
            <v>59552.960166666671</v>
          </cell>
          <cell r="R20">
            <v>60146.07537640557</v>
          </cell>
        </row>
        <row r="21">
          <cell r="Q21">
            <v>16540.161250000001</v>
          </cell>
          <cell r="R21">
            <v>20039.75433581094</v>
          </cell>
        </row>
        <row r="22">
          <cell r="Q22">
            <v>291.66666666666669</v>
          </cell>
          <cell r="R22">
            <v>340.94854202401376</v>
          </cell>
        </row>
        <row r="50">
          <cell r="Q50">
            <v>84859.979583333348</v>
          </cell>
          <cell r="R50">
            <v>89771.928149418716</v>
          </cell>
        </row>
        <row r="56">
          <cell r="L56">
            <v>-51546.0007425</v>
          </cell>
        </row>
        <row r="80">
          <cell r="H80">
            <v>29936.421999999999</v>
          </cell>
          <cell r="I80">
            <v>29239.425999999999</v>
          </cell>
          <cell r="L80">
            <v>696.99599999999896</v>
          </cell>
        </row>
        <row r="85">
          <cell r="H85">
            <v>21946.325444444443</v>
          </cell>
          <cell r="I85">
            <v>21704.56451</v>
          </cell>
          <cell r="L85">
            <v>241.76093444444268</v>
          </cell>
          <cell r="Q85">
            <v>102691.16666666666</v>
          </cell>
          <cell r="R85">
            <v>96677.339050886221</v>
          </cell>
        </row>
        <row r="86">
          <cell r="H86">
            <v>162091.49755555557</v>
          </cell>
          <cell r="I86">
            <v>21521.37899999999</v>
          </cell>
          <cell r="K86">
            <v>-63109.106999999894</v>
          </cell>
          <cell r="M86">
            <v>-26853.767747499995</v>
          </cell>
        </row>
        <row r="89">
          <cell r="Q89">
            <v>76384.788083333347</v>
          </cell>
          <cell r="R89">
            <v>80526.778254240518</v>
          </cell>
        </row>
        <row r="92">
          <cell r="H92">
            <v>103000.43936367684</v>
          </cell>
          <cell r="I92">
            <v>-36406.364498129769</v>
          </cell>
        </row>
      </sheetData>
      <sheetData sheetId="21">
        <row r="2">
          <cell r="N2">
            <v>5000</v>
          </cell>
        </row>
        <row r="5">
          <cell r="T5">
            <v>5000</v>
          </cell>
          <cell r="U5">
            <v>4027.5</v>
          </cell>
        </row>
        <row r="9">
          <cell r="E9">
            <v>270.23999999999995</v>
          </cell>
          <cell r="F9">
            <v>272.7622669149597</v>
          </cell>
          <cell r="G9">
            <v>97000.000000000015</v>
          </cell>
          <cell r="H9">
            <v>99999.999999999985</v>
          </cell>
        </row>
        <row r="10">
          <cell r="E10">
            <v>0</v>
          </cell>
          <cell r="F10">
            <v>13.09249162011173</v>
          </cell>
          <cell r="G10">
            <v>0</v>
          </cell>
          <cell r="H10">
            <v>93100.058202150933</v>
          </cell>
        </row>
        <row r="11">
          <cell r="E11">
            <v>0</v>
          </cell>
          <cell r="F11">
            <v>0</v>
          </cell>
        </row>
        <row r="12">
          <cell r="E12">
            <v>72.2</v>
          </cell>
          <cell r="F12">
            <v>62.783361887026686</v>
          </cell>
          <cell r="G12">
            <v>61000</v>
          </cell>
          <cell r="H12">
            <v>58965.85300031057</v>
          </cell>
        </row>
        <row r="13">
          <cell r="E13">
            <v>12.88</v>
          </cell>
          <cell r="F13">
            <v>4.8069546865301049</v>
          </cell>
          <cell r="G13">
            <v>32500.000000000015</v>
          </cell>
          <cell r="H13">
            <v>32593.733164394023</v>
          </cell>
        </row>
        <row r="14">
          <cell r="E14">
            <v>0</v>
          </cell>
          <cell r="F14">
            <v>0</v>
          </cell>
        </row>
        <row r="15">
          <cell r="E15">
            <v>355.31999999999994</v>
          </cell>
          <cell r="F15">
            <v>353.4450751086282</v>
          </cell>
        </row>
        <row r="16">
          <cell r="E16">
            <v>856</v>
          </cell>
          <cell r="F16">
            <v>859.07262569832426</v>
          </cell>
          <cell r="G16">
            <v>15133.333333333332</v>
          </cell>
          <cell r="H16">
            <v>15151.267588943656</v>
          </cell>
        </row>
        <row r="17">
          <cell r="E17">
            <v>818</v>
          </cell>
          <cell r="F17">
            <v>801.52203600248299</v>
          </cell>
          <cell r="G17">
            <v>15328.767905659912</v>
          </cell>
          <cell r="H17">
            <v>16084.879171532744</v>
          </cell>
        </row>
        <row r="19">
          <cell r="E19">
            <v>2.76</v>
          </cell>
          <cell r="F19">
            <v>2.6074860335195535</v>
          </cell>
        </row>
        <row r="20">
          <cell r="Q20">
            <v>58572.097480163138</v>
          </cell>
          <cell r="R20">
            <v>60014.817628801989</v>
          </cell>
        </row>
        <row r="21">
          <cell r="Q21">
            <v>14284.299645527439</v>
          </cell>
          <cell r="R21">
            <v>14823.844320297952</v>
          </cell>
        </row>
        <row r="22">
          <cell r="Q22">
            <v>68</v>
          </cell>
          <cell r="R22">
            <v>68.735940409683423</v>
          </cell>
        </row>
        <row r="50">
          <cell r="Q50">
            <v>86201.032725690573</v>
          </cell>
          <cell r="R50">
            <v>89502.552700186221</v>
          </cell>
        </row>
        <row r="56">
          <cell r="L56">
            <v>-13296.864187281226</v>
          </cell>
        </row>
        <row r="80">
          <cell r="H80">
            <v>12176.483</v>
          </cell>
          <cell r="I80">
            <v>12766.316999999999</v>
          </cell>
          <cell r="L80">
            <v>-589.83400000000029</v>
          </cell>
        </row>
        <row r="85">
          <cell r="H85">
            <v>10370.319666666666</v>
          </cell>
          <cell r="I85">
            <v>10566.827510000001</v>
          </cell>
          <cell r="L85">
            <v>-196.50784333333468</v>
          </cell>
          <cell r="Q85">
            <v>112084.76</v>
          </cell>
          <cell r="R85">
            <v>106453.29708255742</v>
          </cell>
        </row>
        <row r="86">
          <cell r="H86">
            <v>106871.8337048804</v>
          </cell>
          <cell r="I86">
            <v>44935.98599999999</v>
          </cell>
          <cell r="K86">
            <v>-22680.716899999989</v>
          </cell>
          <cell r="M86">
            <v>-25171.924774265921</v>
          </cell>
        </row>
        <row r="89">
          <cell r="Q89">
            <v>72924.397125690579</v>
          </cell>
          <cell r="R89">
            <v>74907.397889509622</v>
          </cell>
        </row>
        <row r="92">
          <cell r="H92">
            <v>79998.347850113758</v>
          </cell>
          <cell r="I92">
            <v>20455.75400135103</v>
          </cell>
        </row>
      </sheetData>
      <sheetData sheetId="22">
        <row r="2">
          <cell r="N2">
            <v>4000</v>
          </cell>
        </row>
        <row r="5">
          <cell r="T5">
            <v>4000</v>
          </cell>
          <cell r="U5">
            <v>4766</v>
          </cell>
        </row>
        <row r="9">
          <cell r="E9">
            <v>269.75</v>
          </cell>
          <cell r="F9">
            <v>277.29291019723036</v>
          </cell>
          <cell r="G9">
            <v>97000</v>
          </cell>
          <cell r="H9">
            <v>100000.00000000001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50.875</v>
          </cell>
          <cell r="F12">
            <v>52.46411665967269</v>
          </cell>
          <cell r="G12">
            <v>60000</v>
          </cell>
          <cell r="H12">
            <v>57368.563722269973</v>
          </cell>
        </row>
        <row r="13">
          <cell r="E13">
            <v>42.625</v>
          </cell>
          <cell r="F13">
            <v>30.278434746118336</v>
          </cell>
          <cell r="G13">
            <v>45000</v>
          </cell>
          <cell r="H13">
            <v>48771.244808464624</v>
          </cell>
        </row>
        <row r="14">
          <cell r="E14">
            <v>0</v>
          </cell>
          <cell r="F14">
            <v>0</v>
          </cell>
        </row>
        <row r="15">
          <cell r="E15">
            <v>363.25</v>
          </cell>
          <cell r="F15">
            <v>360.03546160302142</v>
          </cell>
        </row>
        <row r="16">
          <cell r="E16">
            <v>866.5</v>
          </cell>
          <cell r="F16">
            <v>848.37914393621497</v>
          </cell>
          <cell r="G16">
            <v>12466.666666666666</v>
          </cell>
          <cell r="H16">
            <v>12290.846384517883</v>
          </cell>
        </row>
        <row r="17">
          <cell r="E17">
            <v>880.625</v>
          </cell>
          <cell r="F17">
            <v>879.10721779269829</v>
          </cell>
          <cell r="G17">
            <v>12387.096774193547</v>
          </cell>
          <cell r="H17">
            <v>12159.179679342216</v>
          </cell>
        </row>
        <row r="19">
          <cell r="E19">
            <v>2.9824999999999999</v>
          </cell>
          <cell r="F19">
            <v>2.9240872849349557</v>
          </cell>
        </row>
        <row r="20">
          <cell r="Q20">
            <v>55511.628763440858</v>
          </cell>
          <cell r="R20">
            <v>56462.537977339489</v>
          </cell>
        </row>
        <row r="21">
          <cell r="Q21">
            <v>14791.004200021</v>
          </cell>
          <cell r="R21">
            <v>13729.638690725975</v>
          </cell>
        </row>
        <row r="22">
          <cell r="Q22">
            <v>375</v>
          </cell>
          <cell r="R22">
            <v>330.81766680654636</v>
          </cell>
        </row>
        <row r="50">
          <cell r="Q50">
            <v>88505.30473429519</v>
          </cell>
          <cell r="R50">
            <v>83395.122114981117</v>
          </cell>
        </row>
        <row r="56">
          <cell r="L56">
            <v>24355.131743650854</v>
          </cell>
        </row>
        <row r="80">
          <cell r="H80">
            <v>11984.141</v>
          </cell>
          <cell r="I80">
            <v>9690.7589999999982</v>
          </cell>
          <cell r="L80">
            <v>2293.3820000000005</v>
          </cell>
        </row>
        <row r="85">
          <cell r="H85">
            <v>6031.4589999999989</v>
          </cell>
          <cell r="I85">
            <v>6157.2233799999995</v>
          </cell>
          <cell r="L85">
            <v>-125.76438000000053</v>
          </cell>
          <cell r="Q85">
            <v>111634.86482500004</v>
          </cell>
          <cell r="R85">
            <v>114695.55182543013</v>
          </cell>
        </row>
        <row r="86">
          <cell r="H86">
            <v>74502.640362819395</v>
          </cell>
          <cell r="I86">
            <v>133329.86699999997</v>
          </cell>
          <cell r="K86">
            <v>14587.234244049794</v>
          </cell>
          <cell r="M86">
            <v>17717.243029479912</v>
          </cell>
        </row>
        <row r="89">
          <cell r="Q89">
            <v>70677.63296346186</v>
          </cell>
          <cell r="R89">
            <v>70522.994334872012</v>
          </cell>
        </row>
        <row r="92">
          <cell r="H92">
            <v>53090.145313369852</v>
          </cell>
          <cell r="I92">
            <v>102117.87575386667</v>
          </cell>
        </row>
      </sheetData>
      <sheetData sheetId="23">
        <row r="2">
          <cell r="N2">
            <v>5000</v>
          </cell>
        </row>
        <row r="5">
          <cell r="T5">
            <v>5000</v>
          </cell>
          <cell r="U5">
            <v>5063</v>
          </cell>
        </row>
        <row r="9">
          <cell r="E9">
            <v>293.39999999999998</v>
          </cell>
          <cell r="F9">
            <v>363.22634999012422</v>
          </cell>
          <cell r="G9">
            <v>113999.99999999999</v>
          </cell>
          <cell r="H9">
            <v>117000.00153886732</v>
          </cell>
        </row>
        <row r="10">
          <cell r="E10">
            <v>62.360000000000014</v>
          </cell>
          <cell r="F10">
            <v>0</v>
          </cell>
          <cell r="G10">
            <v>113999.99999999997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355.76</v>
          </cell>
          <cell r="F15">
            <v>363.22634999012422</v>
          </cell>
        </row>
        <row r="16">
          <cell r="E16">
            <v>745.16000000000008</v>
          </cell>
          <cell r="F16">
            <v>748.95318980841421</v>
          </cell>
          <cell r="G16">
            <v>17999.999999999996</v>
          </cell>
          <cell r="H16">
            <v>18074.203773783931</v>
          </cell>
        </row>
        <row r="17">
          <cell r="E17">
            <v>994.3</v>
          </cell>
          <cell r="F17">
            <v>1038.5413786292711</v>
          </cell>
          <cell r="G17">
            <v>19002.02826858365</v>
          </cell>
          <cell r="H17">
            <v>20016.352566071429</v>
          </cell>
        </row>
        <row r="19">
          <cell r="E19">
            <v>3.13</v>
          </cell>
          <cell r="F19">
            <v>3.440237013628284</v>
          </cell>
        </row>
        <row r="20">
          <cell r="Q20">
            <v>75818.036707452717</v>
          </cell>
          <cell r="R20">
            <v>80407.771084337335</v>
          </cell>
        </row>
        <row r="21">
          <cell r="Q21">
            <v>17871.834311929309</v>
          </cell>
          <cell r="R21">
            <v>17689.374876555401</v>
          </cell>
        </row>
        <row r="22">
          <cell r="Q22">
            <v>500</v>
          </cell>
          <cell r="R22">
            <v>476.42504444005527</v>
          </cell>
        </row>
        <row r="50">
          <cell r="Q50">
            <v>108869.85221938202</v>
          </cell>
          <cell r="R50">
            <v>112153.12699980248</v>
          </cell>
        </row>
        <row r="56">
          <cell r="L56">
            <v>-16623.235473268876</v>
          </cell>
        </row>
        <row r="80">
          <cell r="H80">
            <v>15787.02</v>
          </cell>
          <cell r="I80">
            <v>17730.377999999997</v>
          </cell>
          <cell r="L80">
            <v>-1943.357999999999</v>
          </cell>
        </row>
        <row r="85">
          <cell r="H85">
            <v>12808.388620014095</v>
          </cell>
          <cell r="I85">
            <v>12590.669740000001</v>
          </cell>
          <cell r="L85">
            <v>217.71888001409388</v>
          </cell>
          <cell r="Q85">
            <v>121940</v>
          </cell>
          <cell r="R85">
            <v>129968.01303574958</v>
          </cell>
        </row>
        <row r="86">
          <cell r="H86">
            <v>36755.330283075789</v>
          </cell>
          <cell r="I86">
            <v>59875.705000000031</v>
          </cell>
          <cell r="K86">
            <v>40645.830000000125</v>
          </cell>
          <cell r="M86">
            <v>823.4193101789333</v>
          </cell>
        </row>
        <row r="89">
          <cell r="Q89">
            <v>94189.87101938203</v>
          </cell>
          <cell r="R89">
            <v>98573.571005332793</v>
          </cell>
        </row>
        <row r="92">
          <cell r="H92">
            <v>7518.9482349700047</v>
          </cell>
          <cell r="I92">
            <v>22303.622261098906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97989.575994436498</v>
          </cell>
        </row>
        <row r="89">
          <cell r="Q89">
            <v>78999.853961044631</v>
          </cell>
        </row>
        <row r="90">
          <cell r="Q90">
            <v>18989.722033391867</v>
          </cell>
        </row>
      </sheetData>
      <sheetData sheetId="1">
        <row r="5">
          <cell r="T5">
            <v>85768.5</v>
          </cell>
        </row>
        <row r="85">
          <cell r="Q85">
            <v>96609.726187731649</v>
          </cell>
        </row>
        <row r="89">
          <cell r="Q89">
            <v>80138.588294407295</v>
          </cell>
        </row>
        <row r="90">
          <cell r="Q90">
            <v>16471.137893324354</v>
          </cell>
        </row>
      </sheetData>
      <sheetData sheetId="2">
        <row r="5">
          <cell r="T5">
            <v>106883</v>
          </cell>
        </row>
        <row r="85">
          <cell r="Q85">
            <v>97803.840427345582</v>
          </cell>
        </row>
        <row r="89">
          <cell r="Q89">
            <v>78382.794930897362</v>
          </cell>
        </row>
        <row r="90">
          <cell r="Q90">
            <v>19421.04549644822</v>
          </cell>
        </row>
      </sheetData>
      <sheetData sheetId="3"/>
      <sheetData sheetId="4"/>
      <sheetData sheetId="5">
        <row r="5">
          <cell r="T5">
            <v>50344</v>
          </cell>
        </row>
        <row r="85">
          <cell r="Q85">
            <v>100717.64272921025</v>
          </cell>
        </row>
        <row r="89">
          <cell r="Q89">
            <v>78379.748982265926</v>
          </cell>
        </row>
        <row r="90">
          <cell r="Q90">
            <v>22337.893746944319</v>
          </cell>
        </row>
      </sheetData>
      <sheetData sheetId="6">
        <row r="85">
          <cell r="Q85">
            <v>95747.281405910195</v>
          </cell>
        </row>
        <row r="86">
          <cell r="H86">
            <v>242511.78900000025</v>
          </cell>
        </row>
        <row r="89">
          <cell r="Q89">
            <v>78706.317417167709</v>
          </cell>
        </row>
        <row r="92">
          <cell r="H92">
            <v>70007.907065969077</v>
          </cell>
        </row>
      </sheetData>
      <sheetData sheetId="7">
        <row r="85">
          <cell r="Q85">
            <v>99229.134195245584</v>
          </cell>
        </row>
        <row r="86">
          <cell r="H86">
            <v>160605.06799999982</v>
          </cell>
        </row>
        <row r="89">
          <cell r="Q89">
            <v>83784.720316961277</v>
          </cell>
        </row>
        <row r="92">
          <cell r="H92">
            <v>-22039.388376601302</v>
          </cell>
        </row>
      </sheetData>
      <sheetData sheetId="8">
        <row r="85">
          <cell r="Q85">
            <v>92818.057723000529</v>
          </cell>
        </row>
        <row r="86">
          <cell r="H86">
            <v>-28835.517999999858</v>
          </cell>
        </row>
        <row r="89">
          <cell r="Q89">
            <v>76791.948749778327</v>
          </cell>
        </row>
        <row r="92">
          <cell r="H92">
            <v>-89797.555581764376</v>
          </cell>
        </row>
      </sheetData>
      <sheetData sheetId="9">
        <row r="85">
          <cell r="Q85">
            <v>95512.757833709096</v>
          </cell>
        </row>
        <row r="86">
          <cell r="H86">
            <v>30961.595999999903</v>
          </cell>
        </row>
        <row r="89">
          <cell r="Q89">
            <v>77274.194542861092</v>
          </cell>
        </row>
        <row r="92">
          <cell r="H92">
            <v>-29130.571323903714</v>
          </cell>
        </row>
      </sheetData>
      <sheetData sheetId="10">
        <row r="85">
          <cell r="Q85">
            <v>110171.71663698928</v>
          </cell>
        </row>
        <row r="86">
          <cell r="H86">
            <v>308131.44899999985</v>
          </cell>
        </row>
        <row r="89">
          <cell r="Q89">
            <v>83925.996294335622</v>
          </cell>
        </row>
        <row r="92">
          <cell r="H92">
            <v>168407.65164444695</v>
          </cell>
        </row>
      </sheetData>
      <sheetData sheetId="11">
        <row r="85">
          <cell r="Q85">
            <v>96775.187191818346</v>
          </cell>
        </row>
        <row r="86">
          <cell r="H86">
            <v>89008.720999999816</v>
          </cell>
        </row>
        <row r="89">
          <cell r="Q89">
            <v>78037.415144712097</v>
          </cell>
        </row>
        <row r="92">
          <cell r="H92">
            <v>-11917.371199551097</v>
          </cell>
        </row>
      </sheetData>
      <sheetData sheetId="12">
        <row r="85">
          <cell r="Q85">
            <v>85822.552447552458</v>
          </cell>
        </row>
        <row r="86">
          <cell r="H86">
            <v>-70922.997999999905</v>
          </cell>
        </row>
        <row r="89">
          <cell r="Q89">
            <v>78014.983391608403</v>
          </cell>
        </row>
        <row r="92">
          <cell r="H92">
            <v>-113420.06108734992</v>
          </cell>
        </row>
      </sheetData>
      <sheetData sheetId="13">
        <row r="85">
          <cell r="Q85">
            <v>96261.011859427701</v>
          </cell>
        </row>
        <row r="86">
          <cell r="H86">
            <v>201783.50400000007</v>
          </cell>
        </row>
        <row r="89">
          <cell r="Q89">
            <v>78911.617334174516</v>
          </cell>
        </row>
        <row r="92">
          <cell r="H92">
            <v>64179.564122349198</v>
          </cell>
        </row>
      </sheetData>
      <sheetData sheetId="14">
        <row r="85">
          <cell r="Q85">
            <v>89706.091335698758</v>
          </cell>
        </row>
        <row r="86">
          <cell r="H86">
            <v>38252.910999999905</v>
          </cell>
        </row>
        <row r="89">
          <cell r="Q89">
            <v>71251.382167792166</v>
          </cell>
        </row>
        <row r="92">
          <cell r="H92">
            <v>-9583.6433971816732</v>
          </cell>
        </row>
      </sheetData>
      <sheetData sheetId="15">
        <row r="85">
          <cell r="Q85">
            <v>97242.514156285397</v>
          </cell>
        </row>
        <row r="86">
          <cell r="H86">
            <v>24863.254000000019</v>
          </cell>
        </row>
        <row r="89">
          <cell r="Q89">
            <v>75675.416421291055</v>
          </cell>
        </row>
        <row r="92">
          <cell r="H92">
            <v>-27544.132573257844</v>
          </cell>
        </row>
      </sheetData>
      <sheetData sheetId="16">
        <row r="85">
          <cell r="Q85">
            <v>85090.070845984403</v>
          </cell>
        </row>
        <row r="86">
          <cell r="H86">
            <v>-22058.378000000081</v>
          </cell>
        </row>
        <row r="89">
          <cell r="Q89">
            <v>70269.760840541014</v>
          </cell>
        </row>
        <row r="92">
          <cell r="H92">
            <v>-65675.422312936891</v>
          </cell>
        </row>
      </sheetData>
      <sheetData sheetId="17">
        <row r="85">
          <cell r="Q85">
            <v>104262.06564551423</v>
          </cell>
        </row>
        <row r="86">
          <cell r="H86">
            <v>111424.3560000001</v>
          </cell>
        </row>
        <row r="89">
          <cell r="Q89">
            <v>81655.984682713344</v>
          </cell>
        </row>
        <row r="92">
          <cell r="H92">
            <v>38720.381275817519</v>
          </cell>
        </row>
      </sheetData>
      <sheetData sheetId="18">
        <row r="85">
          <cell r="Q85">
            <v>96668.742271683441</v>
          </cell>
        </row>
        <row r="86">
          <cell r="H86">
            <v>136468.28100000008</v>
          </cell>
        </row>
        <row r="89">
          <cell r="Q89">
            <v>79974.965713529251</v>
          </cell>
        </row>
        <row r="92">
          <cell r="H92">
            <v>10536.863315252878</v>
          </cell>
        </row>
      </sheetData>
      <sheetData sheetId="19">
        <row r="85">
          <cell r="Q85">
            <v>109562.92001189414</v>
          </cell>
        </row>
        <row r="86">
          <cell r="H86">
            <v>-23378.171000000028</v>
          </cell>
        </row>
        <row r="89">
          <cell r="Q89">
            <v>72019.424918227771</v>
          </cell>
        </row>
        <row r="92">
          <cell r="H92">
            <v>-33976.938079006635</v>
          </cell>
        </row>
      </sheetData>
      <sheetData sheetId="20">
        <row r="85">
          <cell r="Q85">
            <v>104554.3251484513</v>
          </cell>
        </row>
        <row r="86">
          <cell r="H86">
            <v>130463.13499999999</v>
          </cell>
        </row>
        <row r="89">
          <cell r="Q89">
            <v>70840.843363826032</v>
          </cell>
        </row>
        <row r="92">
          <cell r="H92">
            <v>92983.562155629217</v>
          </cell>
        </row>
      </sheetData>
      <sheetData sheetId="21">
        <row r="85">
          <cell r="Q85">
            <v>96734.686995515687</v>
          </cell>
        </row>
        <row r="86">
          <cell r="H86">
            <v>165007.19200000016</v>
          </cell>
        </row>
        <row r="89">
          <cell r="Q89">
            <v>74428.278457399094</v>
          </cell>
        </row>
        <row r="92">
          <cell r="H92">
            <v>87442.872026305602</v>
          </cell>
        </row>
      </sheetData>
      <sheetData sheetId="22">
        <row r="85">
          <cell r="Q85">
            <v>120514.23646489547</v>
          </cell>
        </row>
        <row r="86">
          <cell r="H86">
            <v>60026.911000000051</v>
          </cell>
        </row>
        <row r="89">
          <cell r="Q89">
            <v>92365.437779603759</v>
          </cell>
        </row>
        <row r="92">
          <cell r="H92">
            <v>19314.696376594089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17179.993846153848</v>
          </cell>
          <cell r="X10">
            <v>11722</v>
          </cell>
        </row>
        <row r="14">
          <cell r="W14">
            <v>8000</v>
          </cell>
          <cell r="X14">
            <v>4488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슬러지토사"/>
      <sheetName val="슬러지토사raw"/>
      <sheetName val="제조원가raw"/>
      <sheetName val="수불부raw"/>
      <sheetName val="입고내역"/>
      <sheetName val="입고내역raw"/>
      <sheetName val="PTF손익"/>
      <sheetName val="PFTraw"/>
    </sheetNames>
    <sheetDataSet>
      <sheetData sheetId="0">
        <row r="27">
          <cell r="U27">
            <v>0</v>
          </cell>
          <cell r="V27">
            <v>0</v>
          </cell>
        </row>
        <row r="29">
          <cell r="U29">
            <v>0</v>
          </cell>
          <cell r="V2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Sheet1"/>
      <sheetName val="Sheet2"/>
      <sheetName val="PFT손익"/>
      <sheetName val="제조원가물량"/>
      <sheetName val="제조원가금액"/>
      <sheetName val="제조원가raw"/>
      <sheetName val="수불부raw"/>
      <sheetName val="입고내역"/>
      <sheetName val="입고내역raw"/>
      <sheetName val="PFTraw"/>
    </sheetNames>
    <sheetDataSet>
      <sheetData sheetId="0" refreshError="1"/>
      <sheetData sheetId="1">
        <row r="10">
          <cell r="F10">
            <v>28247.173333333332</v>
          </cell>
          <cell r="G10">
            <v>19904</v>
          </cell>
        </row>
        <row r="12">
          <cell r="F12">
            <v>20160</v>
          </cell>
          <cell r="G12">
            <v>16464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X10">
            <v>11052</v>
          </cell>
        </row>
        <row r="14">
          <cell r="X14">
            <v>15079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V27">
            <v>21570</v>
          </cell>
        </row>
        <row r="29">
          <cell r="V29">
            <v>1600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25">
          <cell r="Y25">
            <v>10884</v>
          </cell>
        </row>
        <row r="27">
          <cell r="Y27">
            <v>9504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매출이익,매출이익률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7000</v>
          </cell>
          <cell r="I6">
            <v>8500</v>
          </cell>
          <cell r="J6">
            <v>9400</v>
          </cell>
          <cell r="K6">
            <v>8100</v>
          </cell>
          <cell r="L6">
            <v>8500</v>
          </cell>
          <cell r="M6">
            <v>9500</v>
          </cell>
          <cell r="N6">
            <v>10000</v>
          </cell>
          <cell r="O6">
            <v>11000</v>
          </cell>
          <cell r="P6">
            <v>11600</v>
          </cell>
          <cell r="Q6">
            <v>11600</v>
          </cell>
          <cell r="R6">
            <v>10800</v>
          </cell>
          <cell r="S6">
            <v>114000</v>
          </cell>
          <cell r="T6"/>
          <cell r="U6"/>
          <cell r="V6">
            <v>15000</v>
          </cell>
          <cell r="W6">
            <v>23500</v>
          </cell>
          <cell r="X6">
            <v>32900</v>
          </cell>
          <cell r="Y6">
            <v>41000</v>
          </cell>
          <cell r="Z6">
            <v>49500</v>
          </cell>
          <cell r="AA6">
            <v>59000</v>
          </cell>
          <cell r="AB6">
            <v>69000</v>
          </cell>
          <cell r="AC6">
            <v>80000</v>
          </cell>
          <cell r="AD6">
            <v>91600</v>
          </cell>
          <cell r="AE6">
            <v>103200</v>
          </cell>
          <cell r="AF6">
            <v>114000</v>
          </cell>
        </row>
        <row r="7">
          <cell r="G7">
            <v>7664843.438000001</v>
          </cell>
          <cell r="H7">
            <v>6724612.3420000011</v>
          </cell>
          <cell r="I7">
            <v>8197613.5220000008</v>
          </cell>
          <cell r="J7">
            <v>9270292.1250000019</v>
          </cell>
          <cell r="K7">
            <v>8182096.0099999998</v>
          </cell>
          <cell r="L7">
            <v>8768426.0300000012</v>
          </cell>
          <cell r="M7">
            <v>9997633.0600000005</v>
          </cell>
          <cell r="N7">
            <v>10755852.659999998</v>
          </cell>
          <cell r="O7">
            <v>12095400.806</v>
          </cell>
          <cell r="P7">
            <v>13010178.374</v>
          </cell>
          <cell r="Q7">
            <v>13245843.674000001</v>
          </cell>
          <cell r="R7">
            <v>12087608.564999999</v>
          </cell>
          <cell r="S7">
            <v>120000400.60599999</v>
          </cell>
          <cell r="T7">
            <v>1052635.0930350877</v>
          </cell>
          <cell r="U7"/>
          <cell r="V7">
            <v>14389455.780000001</v>
          </cell>
          <cell r="W7">
            <v>22587069.302000001</v>
          </cell>
          <cell r="X7">
            <v>31857361.427000001</v>
          </cell>
          <cell r="Y7">
            <v>40039457.436999999</v>
          </cell>
          <cell r="Z7">
            <v>48807883.467</v>
          </cell>
          <cell r="AA7">
            <v>58805516.527000003</v>
          </cell>
          <cell r="AB7">
            <v>69561369.187000006</v>
          </cell>
          <cell r="AC7">
            <v>81656769.993000001</v>
          </cell>
          <cell r="AD7">
            <v>94666948.366999999</v>
          </cell>
          <cell r="AE7">
            <v>107912792.04099999</v>
          </cell>
          <cell r="AF7">
            <v>120000400.60599999</v>
          </cell>
        </row>
        <row r="8">
          <cell r="G8">
            <v>958105.42975000013</v>
          </cell>
          <cell r="H8">
            <v>960658.90600000008</v>
          </cell>
          <cell r="I8">
            <v>964425.12023529422</v>
          </cell>
          <cell r="J8">
            <v>986201.28989361716</v>
          </cell>
          <cell r="K8">
            <v>1010135.3098765431</v>
          </cell>
          <cell r="L8">
            <v>1031579.5329411767</v>
          </cell>
          <cell r="M8">
            <v>1052382.4273684211</v>
          </cell>
          <cell r="N8">
            <v>1075585.2659999998</v>
          </cell>
          <cell r="O8">
            <v>1099581.8914545455</v>
          </cell>
          <cell r="P8">
            <v>1121567.1012068966</v>
          </cell>
          <cell r="Q8">
            <v>1141883.0753448275</v>
          </cell>
          <cell r="R8">
            <v>1119223.0152777776</v>
          </cell>
          <cell r="S8">
            <v>12521328.365349099</v>
          </cell>
          <cell r="T8">
            <v>109836.21373113245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7497045.0560000008</v>
          </cell>
          <cell r="H9">
            <v>6587018.6040000003</v>
          </cell>
          <cell r="I9">
            <v>8020259.3359999992</v>
          </cell>
          <cell r="J9">
            <v>9047355.0950000007</v>
          </cell>
          <cell r="K9">
            <v>7960224.5199999986</v>
          </cell>
          <cell r="L9">
            <v>8509567.8339999989</v>
          </cell>
          <cell r="M9">
            <v>9686395.1279999986</v>
          </cell>
          <cell r="N9">
            <v>10399756.106000002</v>
          </cell>
          <cell r="O9">
            <v>11655315.384</v>
          </cell>
          <cell r="P9">
            <v>12510523.375999996</v>
          </cell>
          <cell r="Q9">
            <v>12713703.596000001</v>
          </cell>
          <cell r="R9">
            <v>11610766.225000001</v>
          </cell>
          <cell r="S9">
            <v>116197930.25999999</v>
          </cell>
          <cell r="T9">
            <v>1019280.09</v>
          </cell>
          <cell r="U9"/>
          <cell r="V9">
            <v>14084063.66</v>
          </cell>
          <cell r="W9">
            <v>22104322.995999999</v>
          </cell>
          <cell r="X9">
            <v>31151678.090999998</v>
          </cell>
          <cell r="Y9">
            <v>39111902.610999994</v>
          </cell>
          <cell r="Z9">
            <v>47621470.444999993</v>
          </cell>
          <cell r="AA9">
            <v>57307865.572999991</v>
          </cell>
          <cell r="AB9">
            <v>67707621.67899999</v>
          </cell>
          <cell r="AC9">
            <v>79362937.062999994</v>
          </cell>
          <cell r="AD9">
            <v>91873460.438999996</v>
          </cell>
          <cell r="AE9">
            <v>104587164.035</v>
          </cell>
          <cell r="AF9">
            <v>116197930.25999999</v>
          </cell>
        </row>
        <row r="10">
          <cell r="G10">
            <v>937130.6320000001</v>
          </cell>
          <cell r="H10">
            <v>941002.65771428577</v>
          </cell>
          <cell r="I10">
            <v>943559.92188235279</v>
          </cell>
          <cell r="J10">
            <v>962484.5845744682</v>
          </cell>
          <cell r="K10">
            <v>982743.76790123433</v>
          </cell>
          <cell r="L10">
            <v>1001125.6275294117</v>
          </cell>
          <cell r="M10">
            <v>1019620.5397894736</v>
          </cell>
          <cell r="N10">
            <v>1039975.6106000002</v>
          </cell>
          <cell r="O10">
            <v>1059574.1258181818</v>
          </cell>
          <cell r="P10">
            <v>1078493.3944827584</v>
          </cell>
          <cell r="Q10">
            <v>1096008.9306896552</v>
          </cell>
          <cell r="R10">
            <v>1075070.9467592593</v>
          </cell>
          <cell r="S10">
            <v>12136790.739741081</v>
          </cell>
          <cell r="T10">
            <v>106463.07666439544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167798.38200000022</v>
          </cell>
          <cell r="H11">
            <v>137593.73800000083</v>
          </cell>
          <cell r="I11">
            <v>177354.18600000162</v>
          </cell>
          <cell r="J11">
            <v>222937.03000000119</v>
          </cell>
          <cell r="K11">
            <v>221871.49000000115</v>
          </cell>
          <cell r="L11">
            <v>258858.19600000232</v>
          </cell>
          <cell r="M11">
            <v>311237.93200000189</v>
          </cell>
          <cell r="N11">
            <v>356096.55399999581</v>
          </cell>
          <cell r="O11">
            <v>440085.42200000025</v>
          </cell>
          <cell r="P11">
            <v>499654.9980000034</v>
          </cell>
          <cell r="Q11">
            <v>532140.07799999975</v>
          </cell>
          <cell r="R11">
            <v>476842.33999999799</v>
          </cell>
          <cell r="S11">
            <v>3802470.3460000064</v>
          </cell>
          <cell r="T11">
            <v>33355.003035087779</v>
          </cell>
          <cell r="U11"/>
          <cell r="V11">
            <v>305392.12000000104</v>
          </cell>
          <cell r="W11">
            <v>482746.30600000173</v>
          </cell>
          <cell r="X11">
            <v>705683.33600000292</v>
          </cell>
          <cell r="Y11">
            <v>927554.82600000501</v>
          </cell>
          <cell r="Z11">
            <v>1186413.0220000073</v>
          </cell>
          <cell r="AA11">
            <v>1497650.9540000111</v>
          </cell>
          <cell r="AB11">
            <v>1853747.5080000162</v>
          </cell>
          <cell r="AC11">
            <v>2293832.9300000072</v>
          </cell>
          <cell r="AD11">
            <v>2793487.9280000031</v>
          </cell>
          <cell r="AE11">
            <v>3325628.0059999973</v>
          </cell>
          <cell r="AF11">
            <v>3802470.3460000008</v>
          </cell>
        </row>
        <row r="12">
          <cell r="G12">
            <v>20974.797750000027</v>
          </cell>
          <cell r="H12">
            <v>19656.248285714406</v>
          </cell>
          <cell r="I12">
            <v>20865.198352941366</v>
          </cell>
          <cell r="J12">
            <v>23716.705319149063</v>
          </cell>
          <cell r="K12">
            <v>27391.541975308784</v>
          </cell>
          <cell r="L12">
            <v>30453.905411764979</v>
          </cell>
          <cell r="M12">
            <v>32761.887578947564</v>
          </cell>
          <cell r="N12">
            <v>35609.655399999581</v>
          </cell>
          <cell r="O12">
            <v>40007.765636363656</v>
          </cell>
          <cell r="P12">
            <v>43073.706724138225</v>
          </cell>
          <cell r="Q12">
            <v>45874.144655172393</v>
          </cell>
          <cell r="R12">
            <v>44152.068518518332</v>
          </cell>
          <cell r="S12">
            <v>384537.62560801837</v>
          </cell>
          <cell r="T12">
            <v>3373.1370667370034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2.189195165658649E-2</v>
          </cell>
          <cell r="H13">
            <v>2.046121486299363E-2</v>
          </cell>
          <cell r="I13">
            <v>2.1634855744788989E-2</v>
          </cell>
          <cell r="J13">
            <v>2.4048544209171956E-2</v>
          </cell>
          <cell r="K13">
            <v>2.7116705759604152E-2</v>
          </cell>
          <cell r="L13">
            <v>2.9521626243336433E-2</v>
          </cell>
          <cell r="M13">
            <v>3.1131161759201619E-2</v>
          </cell>
          <cell r="N13">
            <v>3.3107236149141885E-2</v>
          </cell>
          <cell r="O13">
            <v>3.6384525743181087E-2</v>
          </cell>
          <cell r="P13">
            <v>3.8404930634812172E-2</v>
          </cell>
          <cell r="Q13">
            <v>4.0174117337993864E-2</v>
          </cell>
          <cell r="R13">
            <v>3.9448856855003399E-2</v>
          </cell>
          <cell r="S13">
            <v>3.1687147099489631E-2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162117.92599999998</v>
          </cell>
          <cell r="H14">
            <v>137838.93599999999</v>
          </cell>
          <cell r="I14">
            <v>142380.815</v>
          </cell>
          <cell r="J14">
            <v>162462.32500000001</v>
          </cell>
          <cell r="K14">
            <v>132151.32500000001</v>
          </cell>
          <cell r="L14">
            <v>133701.32500000001</v>
          </cell>
          <cell r="M14">
            <v>160201.32500000001</v>
          </cell>
          <cell r="N14">
            <v>130201.32500000001</v>
          </cell>
          <cell r="O14">
            <v>151849.35500000001</v>
          </cell>
          <cell r="P14">
            <v>161241.32500000001</v>
          </cell>
          <cell r="Q14">
            <v>145201.32500000001</v>
          </cell>
          <cell r="R14">
            <v>150901.32500000001</v>
          </cell>
          <cell r="S14">
            <v>1770248.6319999998</v>
          </cell>
          <cell r="T14">
            <v>15528.496771929822</v>
          </cell>
          <cell r="U14"/>
          <cell r="V14">
            <v>299956.86199999996</v>
          </cell>
          <cell r="W14">
            <v>442337.67699999997</v>
          </cell>
          <cell r="X14">
            <v>604800.00199999998</v>
          </cell>
          <cell r="Y14">
            <v>736951.32700000005</v>
          </cell>
          <cell r="Z14">
            <v>870652.652</v>
          </cell>
          <cell r="AA14">
            <v>1030853.9770000001</v>
          </cell>
          <cell r="AB14">
            <v>1161055.3020000001</v>
          </cell>
          <cell r="AC14">
            <v>1312904.6570000001</v>
          </cell>
          <cell r="AD14">
            <v>1474145.9820000003</v>
          </cell>
          <cell r="AE14">
            <v>1619347.3070000003</v>
          </cell>
          <cell r="AF14">
            <v>1770248.6320000002</v>
          </cell>
        </row>
        <row r="15">
          <cell r="D15">
            <v>11</v>
          </cell>
          <cell r="G15">
            <v>93613.635999999984</v>
          </cell>
          <cell r="H15">
            <v>93613.635999999984</v>
          </cell>
          <cell r="I15">
            <v>95152.545000000013</v>
          </cell>
          <cell r="J15">
            <v>95152.545000000013</v>
          </cell>
          <cell r="K15">
            <v>95152.545000000013</v>
          </cell>
          <cell r="L15">
            <v>95152.545000000013</v>
          </cell>
          <cell r="M15">
            <v>95152.545000000013</v>
          </cell>
          <cell r="N15">
            <v>95152.545000000013</v>
          </cell>
          <cell r="O15">
            <v>95152.545000000013</v>
          </cell>
          <cell r="P15">
            <v>95152.545000000013</v>
          </cell>
          <cell r="Q15">
            <v>95152.545000000013</v>
          </cell>
          <cell r="R15">
            <v>95152.545000000013</v>
          </cell>
          <cell r="S15">
            <v>1138752.7220000003</v>
          </cell>
          <cell r="T15">
            <v>9989.058964912283</v>
          </cell>
          <cell r="U15"/>
          <cell r="V15">
            <v>187227.27199999997</v>
          </cell>
          <cell r="W15">
            <v>282379.81699999998</v>
          </cell>
          <cell r="X15">
            <v>377532.36199999996</v>
          </cell>
          <cell r="Y15">
            <v>472684.90700000001</v>
          </cell>
          <cell r="Z15">
            <v>567837.45200000005</v>
          </cell>
          <cell r="AA15">
            <v>662989.99700000009</v>
          </cell>
          <cell r="AB15">
            <v>758142.54200000013</v>
          </cell>
          <cell r="AC15">
            <v>853295.08700000017</v>
          </cell>
          <cell r="AD15">
            <v>948447.63200000022</v>
          </cell>
          <cell r="AE15">
            <v>1043600.1770000003</v>
          </cell>
          <cell r="AF15">
            <v>1138752.7220000003</v>
          </cell>
        </row>
        <row r="16">
          <cell r="D16">
            <v>12</v>
          </cell>
          <cell r="G16">
            <v>68504.289999999994</v>
          </cell>
          <cell r="H16">
            <v>44225.3</v>
          </cell>
          <cell r="I16">
            <v>47228.27</v>
          </cell>
          <cell r="J16">
            <v>67309.78</v>
          </cell>
          <cell r="K16">
            <v>36998.78</v>
          </cell>
          <cell r="L16">
            <v>38548.78</v>
          </cell>
          <cell r="M16">
            <v>65048.78</v>
          </cell>
          <cell r="N16">
            <v>35048.78</v>
          </cell>
          <cell r="O16">
            <v>56696.81</v>
          </cell>
          <cell r="P16">
            <v>66088.78</v>
          </cell>
          <cell r="Q16">
            <v>50048.78</v>
          </cell>
          <cell r="R16">
            <v>55748.78</v>
          </cell>
          <cell r="S16">
            <v>631495.91</v>
          </cell>
          <cell r="T16">
            <v>5539.4378070175435</v>
          </cell>
          <cell r="U16"/>
          <cell r="V16">
            <v>112729.59</v>
          </cell>
          <cell r="W16">
            <v>159957.85999999999</v>
          </cell>
          <cell r="X16">
            <v>227267.63999999998</v>
          </cell>
          <cell r="Y16">
            <v>264266.42</v>
          </cell>
          <cell r="Z16">
            <v>302815.19999999995</v>
          </cell>
          <cell r="AA16">
            <v>367863.98</v>
          </cell>
          <cell r="AB16">
            <v>402912.76</v>
          </cell>
          <cell r="AC16">
            <v>459609.57</v>
          </cell>
          <cell r="AD16">
            <v>525698.35</v>
          </cell>
          <cell r="AE16">
            <v>575747.13</v>
          </cell>
          <cell r="AF16">
            <v>631495.91</v>
          </cell>
        </row>
        <row r="17">
          <cell r="G17">
            <v>5680.4560000002384</v>
          </cell>
          <cell r="H17">
            <v>-245.19799999915995</v>
          </cell>
          <cell r="I17">
            <v>34973.371000001614</v>
          </cell>
          <cell r="J17">
            <v>60474.70500000118</v>
          </cell>
          <cell r="K17">
            <v>89720.165000001143</v>
          </cell>
          <cell r="L17">
            <v>125156.87100000231</v>
          </cell>
          <cell r="M17">
            <v>151036.60700000188</v>
          </cell>
          <cell r="N17">
            <v>225895.2289999958</v>
          </cell>
          <cell r="O17">
            <v>288236.06700000027</v>
          </cell>
          <cell r="P17">
            <v>338413.67300000339</v>
          </cell>
          <cell r="Q17">
            <v>386938.75299999974</v>
          </cell>
          <cell r="R17">
            <v>325941.01499999798</v>
          </cell>
          <cell r="S17">
            <v>2032221.7140000064</v>
          </cell>
          <cell r="T17">
            <v>17826.506263157953</v>
          </cell>
          <cell r="U17"/>
          <cell r="V17">
            <v>5435.2580000010785</v>
          </cell>
          <cell r="W17">
            <v>40408.629000001762</v>
          </cell>
          <cell r="X17">
            <v>100883.33400000294</v>
          </cell>
          <cell r="Y17">
            <v>190603.49900000496</v>
          </cell>
          <cell r="Z17">
            <v>315760.37000000733</v>
          </cell>
          <cell r="AA17">
            <v>466796.97700001101</v>
          </cell>
          <cell r="AB17">
            <v>692692.20600001607</v>
          </cell>
          <cell r="AC17">
            <v>980928.27300000703</v>
          </cell>
          <cell r="AD17">
            <v>1319341.9460000028</v>
          </cell>
          <cell r="AE17">
            <v>1706280.698999997</v>
          </cell>
          <cell r="AF17">
            <v>2032221.7140000006</v>
          </cell>
        </row>
        <row r="18">
          <cell r="G18">
            <v>7.4110528753114997E-4</v>
          </cell>
          <cell r="H18">
            <v>-3.6462771016215097E-5</v>
          </cell>
          <cell r="I18">
            <v>4.2662868780216703E-3</v>
          </cell>
          <cell r="J18">
            <v>6.5234950727079887E-3</v>
          </cell>
          <cell r="K18">
            <v>1.0965425593924452E-2</v>
          </cell>
          <cell r="L18">
            <v>1.4273584628734366E-2</v>
          </cell>
          <cell r="M18">
            <v>1.510723649223448E-2</v>
          </cell>
          <cell r="N18">
            <v>2.1002075441222699E-2</v>
          </cell>
          <cell r="O18">
            <v>2.3830220397245451E-2</v>
          </cell>
          <cell r="P18">
            <v>2.6011455283065237E-2</v>
          </cell>
          <cell r="Q18">
            <v>2.9212088148036504E-2</v>
          </cell>
          <cell r="R18">
            <v>2.69648883190815E-2</v>
          </cell>
          <cell r="S18">
            <v>1.6935124414062964E-2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D19">
            <v>15</v>
          </cell>
          <cell r="G19">
            <v>5186.2629999999999</v>
          </cell>
          <cell r="H19">
            <v>5186.2629999999999</v>
          </cell>
          <cell r="I19">
            <v>5186.2629999999999</v>
          </cell>
          <cell r="J19">
            <v>5186.2629999999999</v>
          </cell>
          <cell r="K19">
            <v>5186.2629999999999</v>
          </cell>
          <cell r="L19">
            <v>5186.2629999999999</v>
          </cell>
          <cell r="M19">
            <v>5186.2629999999999</v>
          </cell>
          <cell r="N19">
            <v>5186.2629999999999</v>
          </cell>
          <cell r="O19">
            <v>5186.2629999999999</v>
          </cell>
          <cell r="P19">
            <v>5186.2629999999999</v>
          </cell>
          <cell r="Q19">
            <v>5186.2629999999999</v>
          </cell>
          <cell r="R19">
            <v>5186.2629999999999</v>
          </cell>
          <cell r="S19">
            <v>62235.155999999995</v>
          </cell>
          <cell r="T19">
            <v>545.92242105263153</v>
          </cell>
          <cell r="U19"/>
          <cell r="V19">
            <v>10372.526</v>
          </cell>
          <cell r="W19">
            <v>15558.789000000001</v>
          </cell>
          <cell r="X19">
            <v>20745.052</v>
          </cell>
          <cell r="Y19">
            <v>25931.314999999999</v>
          </cell>
          <cell r="Z19">
            <v>31117.577999999998</v>
          </cell>
          <cell r="AA19">
            <v>36303.841</v>
          </cell>
          <cell r="AB19">
            <v>41490.103999999999</v>
          </cell>
          <cell r="AC19">
            <v>46676.366999999998</v>
          </cell>
          <cell r="AD19">
            <v>51862.63</v>
          </cell>
          <cell r="AE19">
            <v>57048.892999999996</v>
          </cell>
          <cell r="AF19">
            <v>62235.155999999995</v>
          </cell>
        </row>
        <row r="20">
          <cell r="G20">
            <v>5186.2629999999999</v>
          </cell>
          <cell r="H20">
            <v>5186.2629999999999</v>
          </cell>
          <cell r="I20">
            <v>5186.2629999999999</v>
          </cell>
          <cell r="J20">
            <v>5186.2629999999999</v>
          </cell>
          <cell r="K20">
            <v>5186.2629999999999</v>
          </cell>
          <cell r="L20">
            <v>5186.2629999999999</v>
          </cell>
          <cell r="M20">
            <v>5186.2629999999999</v>
          </cell>
          <cell r="N20">
            <v>5186.2629999999999</v>
          </cell>
          <cell r="O20">
            <v>5186.2629999999999</v>
          </cell>
          <cell r="P20">
            <v>5186.2629999999999</v>
          </cell>
          <cell r="Q20">
            <v>5186.2629999999999</v>
          </cell>
          <cell r="R20">
            <v>5186.2629999999999</v>
          </cell>
          <cell r="S20">
            <v>62235.155999999995</v>
          </cell>
          <cell r="T20">
            <v>545.92242105263153</v>
          </cell>
          <cell r="U20"/>
          <cell r="V20">
            <v>10372.526</v>
          </cell>
          <cell r="W20">
            <v>15558.789000000001</v>
          </cell>
          <cell r="X20">
            <v>20745.052</v>
          </cell>
          <cell r="Y20">
            <v>25931.314999999999</v>
          </cell>
          <cell r="Z20">
            <v>31117.577999999998</v>
          </cell>
          <cell r="AA20">
            <v>36303.841</v>
          </cell>
          <cell r="AB20">
            <v>41490.103999999999</v>
          </cell>
          <cell r="AC20">
            <v>46676.366999999998</v>
          </cell>
          <cell r="AD20">
            <v>51862.63</v>
          </cell>
          <cell r="AE20">
            <v>57048.892999999996</v>
          </cell>
          <cell r="AF20">
            <v>62235.155999999995</v>
          </cell>
        </row>
        <row r="21">
          <cell r="G21">
            <v>494.1930000002385</v>
          </cell>
          <cell r="H21">
            <v>-5431.4609999991599</v>
          </cell>
          <cell r="I21">
            <v>29787.108000001615</v>
          </cell>
          <cell r="J21">
            <v>55288.442000001181</v>
          </cell>
          <cell r="K21">
            <v>84533.902000001137</v>
          </cell>
          <cell r="L21">
            <v>119970.60800000231</v>
          </cell>
          <cell r="M21">
            <v>145850.34400000187</v>
          </cell>
          <cell r="N21">
            <v>220708.96599999579</v>
          </cell>
          <cell r="O21">
            <v>283049.80400000029</v>
          </cell>
          <cell r="P21">
            <v>333227.41000000341</v>
          </cell>
          <cell r="Q21">
            <v>381752.48999999976</v>
          </cell>
          <cell r="R21">
            <v>320754.751999998</v>
          </cell>
          <cell r="S21">
            <v>1969986.5580000065</v>
          </cell>
          <cell r="T21">
            <v>17280.583842105319</v>
          </cell>
          <cell r="U21"/>
          <cell r="V21">
            <v>-4937.2679999989214</v>
          </cell>
          <cell r="W21">
            <v>24849.840000001761</v>
          </cell>
          <cell r="X21">
            <v>80138.282000002946</v>
          </cell>
          <cell r="Y21">
            <v>164672.18400000496</v>
          </cell>
          <cell r="Z21">
            <v>284642.79200000735</v>
          </cell>
          <cell r="AA21">
            <v>430493.136000011</v>
          </cell>
          <cell r="AB21">
            <v>651202.10200001602</v>
          </cell>
          <cell r="AC21">
            <v>934251.90600000706</v>
          </cell>
          <cell r="AD21">
            <v>1267479.3160000029</v>
          </cell>
          <cell r="AE21">
            <v>1649231.8059999971</v>
          </cell>
          <cell r="AF21">
            <v>1969986.5580000007</v>
          </cell>
        </row>
        <row r="22">
          <cell r="G22">
            <v>6.4475289547360801E-5</v>
          </cell>
          <cell r="H22">
            <v>-8.0769875254753517E-4</v>
          </cell>
          <cell r="I22">
            <v>3.6336316563426313E-3</v>
          </cell>
          <cell r="J22">
            <v>5.9640452808277788E-3</v>
          </cell>
          <cell r="K22">
            <v>1.0331570528711156E-2</v>
          </cell>
          <cell r="L22">
            <v>1.3682114394252612E-2</v>
          </cell>
          <cell r="M22">
            <v>1.4588487407438603E-2</v>
          </cell>
          <cell r="N22">
            <v>2.0519894886696581E-2</v>
          </cell>
          <cell r="O22">
            <v>2.3401440641767874E-2</v>
          </cell>
          <cell r="P22">
            <v>2.5612824084405857E-2</v>
          </cell>
          <cell r="Q22">
            <v>2.8820549252693811E-2</v>
          </cell>
          <cell r="R22">
            <v>2.6535832152006653E-2</v>
          </cell>
          <cell r="S22">
            <v>1.6416499845430581E-2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D23">
            <v>19</v>
          </cell>
          <cell r="G23">
            <v>46711.785891015665</v>
          </cell>
          <cell r="H23">
            <v>31064.681835606094</v>
          </cell>
          <cell r="I23">
            <v>32500.88350237425</v>
          </cell>
          <cell r="J23">
            <v>53262.669134276592</v>
          </cell>
          <cell r="K23">
            <v>40928.836279637973</v>
          </cell>
          <cell r="L23">
            <v>36973.36228764063</v>
          </cell>
          <cell r="M23">
            <v>39636.337685581108</v>
          </cell>
          <cell r="N23">
            <v>38609.148357060745</v>
          </cell>
          <cell r="O23">
            <v>34777.95497231694</v>
          </cell>
          <cell r="P23">
            <v>35414.757381865682</v>
          </cell>
          <cell r="Q23">
            <v>35208.407481104048</v>
          </cell>
          <cell r="R23">
            <v>44414.015062429309</v>
          </cell>
          <cell r="S23">
            <v>469502.83987090905</v>
          </cell>
          <cell r="T23">
            <v>4118.4459637799046</v>
          </cell>
          <cell r="U23"/>
          <cell r="V23">
            <v>77776.467726621762</v>
          </cell>
          <cell r="W23">
            <v>110277.35122899601</v>
          </cell>
          <cell r="X23">
            <v>163540.0203632726</v>
          </cell>
          <cell r="Y23">
            <v>204468.85664291057</v>
          </cell>
          <cell r="Z23">
            <v>241442.2189305512</v>
          </cell>
          <cell r="AA23">
            <v>281078.55661613232</v>
          </cell>
          <cell r="AB23">
            <v>319687.70497319306</v>
          </cell>
          <cell r="AC23">
            <v>354465.65994550998</v>
          </cell>
          <cell r="AD23">
            <v>389880.41732737568</v>
          </cell>
          <cell r="AE23">
            <v>425088.82480847975</v>
          </cell>
          <cell r="AF23">
            <v>469502.83987090905</v>
          </cell>
        </row>
        <row r="24">
          <cell r="G24">
            <v>-46217.592891015425</v>
          </cell>
          <cell r="H24">
            <v>-36496.142835605257</v>
          </cell>
          <cell r="I24">
            <v>-2713.7755023726349</v>
          </cell>
          <cell r="J24">
            <v>2025.7728657245898</v>
          </cell>
          <cell r="K24">
            <v>43605.065720363164</v>
          </cell>
          <cell r="L24">
            <v>82997.245712361677</v>
          </cell>
          <cell r="M24">
            <v>106214.00631442077</v>
          </cell>
          <cell r="N24">
            <v>182099.81764293506</v>
          </cell>
          <cell r="O24">
            <v>248271.84902768335</v>
          </cell>
          <cell r="P24">
            <v>297812.65261813771</v>
          </cell>
          <cell r="Q24">
            <v>346544.08251889574</v>
          </cell>
          <cell r="R24">
            <v>276340.7369375687</v>
          </cell>
          <cell r="S24">
            <v>1500483.7181290977</v>
          </cell>
          <cell r="T24">
            <v>13162.137878325419</v>
          </cell>
          <cell r="U24"/>
          <cell r="V24">
            <v>-82713.735726620682</v>
          </cell>
          <cell r="W24">
            <v>-85427.511228994248</v>
          </cell>
          <cell r="X24">
            <v>-83401.738363269658</v>
          </cell>
          <cell r="Y24">
            <v>-39796.672642905614</v>
          </cell>
          <cell r="Z24">
            <v>43200.57306945615</v>
          </cell>
          <cell r="AA24">
            <v>149414.57938387868</v>
          </cell>
          <cell r="AB24">
            <v>331514.39702682296</v>
          </cell>
          <cell r="AC24">
            <v>579786.24605449708</v>
          </cell>
          <cell r="AD24">
            <v>877598.89867262729</v>
          </cell>
          <cell r="AE24">
            <v>1224142.9811915173</v>
          </cell>
          <cell r="AF24">
            <v>1500483.7181290917</v>
          </cell>
          <cell r="AG24"/>
        </row>
        <row r="25">
          <cell r="G25">
            <v>-6.0298156465769968E-3</v>
          </cell>
          <cell r="H25">
            <v>-5.4272485876488089E-3</v>
          </cell>
          <cell r="I25">
            <v>-3.3104457719184419E-4</v>
          </cell>
          <cell r="J25">
            <v>2.1852308842150854E-4</v>
          </cell>
          <cell r="K25">
            <v>5.329327065713956E-3</v>
          </cell>
          <cell r="L25">
            <v>9.4654668270448602E-3</v>
          </cell>
          <cell r="M25">
            <v>1.0623915248437889E-2</v>
          </cell>
          <cell r="N25">
            <v>1.6930300497713872E-2</v>
          </cell>
          <cell r="O25">
            <v>2.0526136587762062E-2</v>
          </cell>
          <cell r="P25">
            <v>2.2890743236333871E-2</v>
          </cell>
          <cell r="Q25">
            <v>2.6162477154937299E-2</v>
          </cell>
          <cell r="R25">
            <v>2.2861489553667451E-2</v>
          </cell>
          <cell r="S25">
            <v>1.2503989241299866E-2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</row>
        <row r="26">
          <cell r="G26">
            <v>214015.97489101565</v>
          </cell>
          <cell r="H26">
            <v>174089.88083560608</v>
          </cell>
          <cell r="I26">
            <v>180067.96150237427</v>
          </cell>
          <cell r="J26">
            <v>220911.25713427662</v>
          </cell>
          <cell r="K26">
            <v>178266.42427963798</v>
          </cell>
          <cell r="L26">
            <v>175860.95028764065</v>
          </cell>
          <cell r="M26">
            <v>205023.92568558111</v>
          </cell>
          <cell r="N26">
            <v>173996.73635706076</v>
          </cell>
          <cell r="O26">
            <v>191813.57297231696</v>
          </cell>
          <cell r="P26">
            <v>201842.34538186569</v>
          </cell>
          <cell r="Q26">
            <v>185595.99548110407</v>
          </cell>
          <cell r="R26">
            <v>200501.60306242932</v>
          </cell>
          <cell r="S26">
            <v>2301986.6278709089</v>
          </cell>
          <cell r="T26">
            <v>20192.86515676236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</row>
        <row r="27"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</row>
        <row r="28">
          <cell r="S28"/>
        </row>
        <row r="29">
          <cell r="D29">
            <v>25</v>
          </cell>
          <cell r="G29">
            <v>8000</v>
          </cell>
          <cell r="H29">
            <v>7000</v>
          </cell>
          <cell r="I29">
            <v>8500</v>
          </cell>
          <cell r="J29">
            <v>9400</v>
          </cell>
          <cell r="K29">
            <v>8100</v>
          </cell>
          <cell r="L29">
            <v>8500</v>
          </cell>
          <cell r="M29">
            <v>9500</v>
          </cell>
          <cell r="N29">
            <v>10000</v>
          </cell>
          <cell r="O29">
            <v>11000</v>
          </cell>
          <cell r="P29">
            <v>11600</v>
          </cell>
          <cell r="Q29">
            <v>11600</v>
          </cell>
          <cell r="R29">
            <v>10800</v>
          </cell>
          <cell r="S29">
            <v>114000</v>
          </cell>
          <cell r="T29"/>
          <cell r="U29"/>
          <cell r="V29">
            <v>15000</v>
          </cell>
          <cell r="W29">
            <v>23500</v>
          </cell>
          <cell r="X29">
            <v>32900</v>
          </cell>
          <cell r="Y29">
            <v>41000</v>
          </cell>
          <cell r="Z29">
            <v>49500</v>
          </cell>
          <cell r="AA29">
            <v>59000</v>
          </cell>
          <cell r="AB29">
            <v>69000</v>
          </cell>
          <cell r="AC29">
            <v>80000</v>
          </cell>
          <cell r="AD29">
            <v>91600</v>
          </cell>
          <cell r="AE29">
            <v>103200</v>
          </cell>
          <cell r="AF29">
            <v>114000</v>
          </cell>
        </row>
        <row r="30">
          <cell r="D30">
            <v>26</v>
          </cell>
          <cell r="G30">
            <v>743250</v>
          </cell>
          <cell r="H30">
            <v>742142.85714285716</v>
          </cell>
          <cell r="I30">
            <v>745617.6470588235</v>
          </cell>
          <cell r="J30">
            <v>766053.19148936169</v>
          </cell>
          <cell r="K30">
            <v>784722.22222222213</v>
          </cell>
          <cell r="L30">
            <v>802811.76470588229</v>
          </cell>
          <cell r="M30">
            <v>822568.42105263157</v>
          </cell>
          <cell r="N30">
            <v>844000</v>
          </cell>
          <cell r="O30">
            <v>861454.54545454553</v>
          </cell>
          <cell r="P30">
            <v>880801.72413793101</v>
          </cell>
          <cell r="Q30">
            <v>899637.93103448278</v>
          </cell>
          <cell r="R30">
            <v>880185.18518518517</v>
          </cell>
          <cell r="S30">
            <v>822362.28070175438</v>
          </cell>
          <cell r="T30"/>
          <cell r="U30"/>
          <cell r="V30">
            <v>742733.33333333337</v>
          </cell>
          <cell r="W30">
            <v>743776.59574468085</v>
          </cell>
          <cell r="X30">
            <v>750141.33738601825</v>
          </cell>
          <cell r="Y30">
            <v>756973.17073170736</v>
          </cell>
          <cell r="Z30">
            <v>764844.44444444438</v>
          </cell>
          <cell r="AA30">
            <v>774138.98305084754</v>
          </cell>
          <cell r="AB30">
            <v>784263.76811594202</v>
          </cell>
          <cell r="AC30">
            <v>794877.5</v>
          </cell>
          <cell r="AD30">
            <v>805758.73362445412</v>
          </cell>
          <cell r="AE30">
            <v>816311.04651162785</v>
          </cell>
          <cell r="AF30">
            <v>822362.28070175438</v>
          </cell>
        </row>
        <row r="31">
          <cell r="D31">
            <v>27</v>
          </cell>
          <cell r="G31">
            <v>5946000</v>
          </cell>
          <cell r="H31">
            <v>5195000</v>
          </cell>
          <cell r="I31">
            <v>6337750</v>
          </cell>
          <cell r="J31">
            <v>7200900</v>
          </cell>
          <cell r="K31">
            <v>6356250</v>
          </cell>
          <cell r="L31">
            <v>6823900</v>
          </cell>
          <cell r="M31">
            <v>7814400</v>
          </cell>
          <cell r="N31">
            <v>8440000</v>
          </cell>
          <cell r="O31">
            <v>9476000</v>
          </cell>
          <cell r="P31">
            <v>10217300</v>
          </cell>
          <cell r="Q31">
            <v>10435800</v>
          </cell>
          <cell r="R31">
            <v>9506000</v>
          </cell>
          <cell r="S31">
            <v>93749300</v>
          </cell>
          <cell r="T31"/>
          <cell r="U31"/>
          <cell r="V31">
            <v>11141000</v>
          </cell>
          <cell r="W31">
            <v>17478750</v>
          </cell>
          <cell r="X31">
            <v>24679650</v>
          </cell>
          <cell r="Y31">
            <v>31035900</v>
          </cell>
          <cell r="Z31">
            <v>37859800</v>
          </cell>
          <cell r="AA31">
            <v>45674200</v>
          </cell>
          <cell r="AB31">
            <v>54114200</v>
          </cell>
          <cell r="AC31">
            <v>63590200</v>
          </cell>
          <cell r="AD31">
            <v>73807500</v>
          </cell>
          <cell r="AE31">
            <v>84243300</v>
          </cell>
          <cell r="AF31">
            <v>93749300</v>
          </cell>
        </row>
        <row r="32">
          <cell r="D32">
            <v>28</v>
          </cell>
          <cell r="G32">
            <v>1718843.438000001</v>
          </cell>
          <cell r="H32">
            <v>1529612.3420000011</v>
          </cell>
          <cell r="I32">
            <v>1859863.5220000008</v>
          </cell>
          <cell r="J32">
            <v>2069392.1250000019</v>
          </cell>
          <cell r="K32">
            <v>1825846.0099999998</v>
          </cell>
          <cell r="L32">
            <v>1944526.0300000012</v>
          </cell>
          <cell r="M32">
            <v>2183233.0600000005</v>
          </cell>
          <cell r="N32">
            <v>2315852.6599999983</v>
          </cell>
          <cell r="O32">
            <v>2619400.8059999999</v>
          </cell>
          <cell r="P32">
            <v>2792878.3739999998</v>
          </cell>
          <cell r="Q32">
            <v>2810043.6740000006</v>
          </cell>
          <cell r="R32">
            <v>2581608.5649999995</v>
          </cell>
          <cell r="S32">
            <v>26251100.606000006</v>
          </cell>
          <cell r="T32"/>
          <cell r="U32"/>
          <cell r="V32">
            <v>3248455.7800000021</v>
          </cell>
          <cell r="W32">
            <v>5108319.3020000029</v>
          </cell>
          <cell r="X32">
            <v>7177711.4270000048</v>
          </cell>
          <cell r="Y32">
            <v>9003557.4370000046</v>
          </cell>
          <cell r="Z32">
            <v>10948083.467000006</v>
          </cell>
          <cell r="AA32">
            <v>13131316.527000006</v>
          </cell>
          <cell r="AB32">
            <v>15447169.187000005</v>
          </cell>
          <cell r="AC32">
            <v>18066569.993000004</v>
          </cell>
          <cell r="AD32">
            <v>20859448.367000006</v>
          </cell>
          <cell r="AE32">
            <v>23669492.041000009</v>
          </cell>
          <cell r="AF32">
            <v>26251100.606000006</v>
          </cell>
        </row>
        <row r="33">
          <cell r="G33">
            <v>7664843.438000001</v>
          </cell>
          <cell r="H33">
            <v>6724612.3420000011</v>
          </cell>
          <cell r="I33">
            <v>8197613.5220000008</v>
          </cell>
          <cell r="J33">
            <v>9270292.1250000019</v>
          </cell>
          <cell r="K33">
            <v>8182096.0099999998</v>
          </cell>
          <cell r="L33">
            <v>8768426.0300000012</v>
          </cell>
          <cell r="M33">
            <v>9997633.0600000005</v>
          </cell>
          <cell r="N33">
            <v>10755852.659999998</v>
          </cell>
          <cell r="O33">
            <v>12095400.806</v>
          </cell>
          <cell r="P33">
            <v>13010178.374</v>
          </cell>
          <cell r="Q33">
            <v>13245843.674000001</v>
          </cell>
          <cell r="R33">
            <v>12087608.564999999</v>
          </cell>
          <cell r="S33">
            <v>120000400.60599999</v>
          </cell>
          <cell r="T33"/>
          <cell r="U33"/>
          <cell r="V33">
            <v>14389455.780000001</v>
          </cell>
          <cell r="W33">
            <v>22587069.302000001</v>
          </cell>
          <cell r="X33">
            <v>31857361.427000005</v>
          </cell>
          <cell r="Y33">
            <v>40039457.437000006</v>
          </cell>
          <cell r="Z33">
            <v>48807883.467000008</v>
          </cell>
          <cell r="AA33">
            <v>58805516.52700001</v>
          </cell>
          <cell r="AB33">
            <v>69561369.187000006</v>
          </cell>
          <cell r="AC33">
            <v>81656769.993000001</v>
          </cell>
          <cell r="AD33">
            <v>94666948.367000014</v>
          </cell>
          <cell r="AE33">
            <v>107912792.04100001</v>
          </cell>
          <cell r="AF33">
            <v>120000400.60600001</v>
          </cell>
        </row>
        <row r="34">
          <cell r="D34">
            <v>30</v>
          </cell>
          <cell r="G34">
            <v>5848200</v>
          </cell>
          <cell r="H34">
            <v>5121500</v>
          </cell>
          <cell r="I34">
            <v>6228300</v>
          </cell>
          <cell r="J34">
            <v>7056700</v>
          </cell>
          <cell r="K34">
            <v>6207750</v>
          </cell>
          <cell r="L34">
            <v>6644300</v>
          </cell>
          <cell r="M34">
            <v>7589800</v>
          </cell>
          <cell r="N34">
            <v>8177200</v>
          </cell>
          <cell r="O34">
            <v>9145000</v>
          </cell>
          <cell r="P34">
            <v>9834400</v>
          </cell>
          <cell r="Q34">
            <v>10031500</v>
          </cell>
          <cell r="R34">
            <v>9149200</v>
          </cell>
          <cell r="S34">
            <v>91033850</v>
          </cell>
          <cell r="T34"/>
          <cell r="U34"/>
          <cell r="V34">
            <v>10969700</v>
          </cell>
          <cell r="W34">
            <v>17198000</v>
          </cell>
          <cell r="X34">
            <v>24254700</v>
          </cell>
          <cell r="Y34">
            <v>30462450</v>
          </cell>
          <cell r="Z34">
            <v>37106750</v>
          </cell>
          <cell r="AA34">
            <v>44696550</v>
          </cell>
          <cell r="AB34">
            <v>52873750</v>
          </cell>
          <cell r="AC34">
            <v>62018750</v>
          </cell>
          <cell r="AD34">
            <v>71853150</v>
          </cell>
          <cell r="AE34">
            <v>81884650</v>
          </cell>
          <cell r="AF34">
            <v>91033850</v>
          </cell>
        </row>
        <row r="35">
          <cell r="D35">
            <v>31</v>
          </cell>
          <cell r="G35">
            <v>1648845.0560000008</v>
          </cell>
          <cell r="H35">
            <v>1465518.6040000003</v>
          </cell>
          <cell r="I35">
            <v>1791959.3359999992</v>
          </cell>
          <cell r="J35">
            <v>1990655.0950000007</v>
          </cell>
          <cell r="K35">
            <v>1752474.5199999986</v>
          </cell>
          <cell r="L35">
            <v>1865267.8339999989</v>
          </cell>
          <cell r="M35">
            <v>2096595.1279999986</v>
          </cell>
          <cell r="N35">
            <v>2222556.1060000025</v>
          </cell>
          <cell r="O35">
            <v>2510315.3839999996</v>
          </cell>
          <cell r="P35">
            <v>2676123.3759999964</v>
          </cell>
          <cell r="Q35">
            <v>2682203.5960000008</v>
          </cell>
          <cell r="R35">
            <v>2461566.2250000015</v>
          </cell>
          <cell r="S35">
            <v>25164080.259999998</v>
          </cell>
          <cell r="T35"/>
          <cell r="U35"/>
          <cell r="V35">
            <v>3114363.6600000011</v>
          </cell>
          <cell r="W35">
            <v>4906322.9960000003</v>
          </cell>
          <cell r="X35">
            <v>6896978.0910000009</v>
          </cell>
          <cell r="Y35">
            <v>8649452.6109999996</v>
          </cell>
          <cell r="Z35">
            <v>10514720.444999998</v>
          </cell>
          <cell r="AA35">
            <v>12611315.572999997</v>
          </cell>
          <cell r="AB35">
            <v>14833871.679</v>
          </cell>
          <cell r="AC35">
            <v>17344187.063000001</v>
          </cell>
          <cell r="AD35">
            <v>20020310.438999996</v>
          </cell>
          <cell r="AE35">
            <v>22702514.034999996</v>
          </cell>
          <cell r="AF35">
            <v>25164080.259999998</v>
          </cell>
        </row>
        <row r="36">
          <cell r="G36">
            <v>7497045.0560000008</v>
          </cell>
          <cell r="H36">
            <v>6587018.6040000003</v>
          </cell>
          <cell r="I36">
            <v>8020259.3359999992</v>
          </cell>
          <cell r="J36">
            <v>9047355.0950000007</v>
          </cell>
          <cell r="K36">
            <v>7960224.5199999986</v>
          </cell>
          <cell r="L36">
            <v>8509567.8339999989</v>
          </cell>
          <cell r="M36">
            <v>9686395.1279999986</v>
          </cell>
          <cell r="N36">
            <v>10399756.106000002</v>
          </cell>
          <cell r="O36">
            <v>11655315.384</v>
          </cell>
          <cell r="P36">
            <v>12510523.375999996</v>
          </cell>
          <cell r="Q36">
            <v>12713703.596000001</v>
          </cell>
          <cell r="R36">
            <v>11610766.225000001</v>
          </cell>
          <cell r="S36">
            <v>116197930.25999999</v>
          </cell>
          <cell r="T36"/>
          <cell r="U36"/>
          <cell r="V36">
            <v>14084063.66</v>
          </cell>
          <cell r="W36">
            <v>22104322.995999999</v>
          </cell>
          <cell r="X36">
            <v>31151678.091000002</v>
          </cell>
          <cell r="Y36">
            <v>39111902.611000001</v>
          </cell>
          <cell r="Z36">
            <v>47621470.445</v>
          </cell>
          <cell r="AA36">
            <v>57307865.572999999</v>
          </cell>
          <cell r="AB36">
            <v>67707621.679000005</v>
          </cell>
          <cell r="AC36">
            <v>79362937.062999994</v>
          </cell>
          <cell r="AD36">
            <v>91873460.438999996</v>
          </cell>
          <cell r="AE36">
            <v>104587164.035</v>
          </cell>
          <cell r="AF36">
            <v>116197930.25999999</v>
          </cell>
        </row>
        <row r="37">
          <cell r="G37">
            <v>97800</v>
          </cell>
          <cell r="H37">
            <v>73500</v>
          </cell>
          <cell r="I37">
            <v>109450</v>
          </cell>
          <cell r="J37">
            <v>144200</v>
          </cell>
          <cell r="K37">
            <v>148500</v>
          </cell>
          <cell r="L37">
            <v>179600</v>
          </cell>
          <cell r="M37">
            <v>224600</v>
          </cell>
          <cell r="N37">
            <v>262800</v>
          </cell>
          <cell r="O37">
            <v>331000</v>
          </cell>
          <cell r="P37">
            <v>382900</v>
          </cell>
          <cell r="Q37">
            <v>404300</v>
          </cell>
          <cell r="R37">
            <v>356800</v>
          </cell>
          <cell r="S37">
            <v>2715450</v>
          </cell>
          <cell r="T37"/>
          <cell r="U37"/>
          <cell r="V37">
            <v>171300</v>
          </cell>
          <cell r="W37">
            <v>280750</v>
          </cell>
          <cell r="X37">
            <v>424950</v>
          </cell>
          <cell r="Y37">
            <v>573450</v>
          </cell>
          <cell r="Z37">
            <v>753050</v>
          </cell>
          <cell r="AA37">
            <v>977650</v>
          </cell>
          <cell r="AB37">
            <v>1240450</v>
          </cell>
          <cell r="AC37">
            <v>1571450</v>
          </cell>
          <cell r="AD37">
            <v>1954350</v>
          </cell>
          <cell r="AE37">
            <v>2358650</v>
          </cell>
          <cell r="AF37">
            <v>2715450</v>
          </cell>
        </row>
        <row r="38">
          <cell r="G38">
            <v>1.644803229061554E-2</v>
          </cell>
          <cell r="H38">
            <v>1.4148219441770934E-2</v>
          </cell>
          <cell r="I38">
            <v>1.7269535718512089E-2</v>
          </cell>
          <cell r="J38">
            <v>2.0025274618450471E-2</v>
          </cell>
          <cell r="K38">
            <v>2.3362831858407079E-2</v>
          </cell>
          <cell r="L38">
            <v>2.631926024707279E-2</v>
          </cell>
          <cell r="M38">
            <v>2.8741809991809992E-2</v>
          </cell>
          <cell r="N38">
            <v>3.113744075829384E-2</v>
          </cell>
          <cell r="O38">
            <v>3.4930350358801182E-2</v>
          </cell>
          <cell r="P38">
            <v>3.7475654037759487E-2</v>
          </cell>
          <cell r="Q38">
            <v>3.8741639356829373E-2</v>
          </cell>
          <cell r="R38">
            <v>3.7534188933305283E-2</v>
          </cell>
          <cell r="S38">
            <v>2.8965016272121499E-2</v>
          </cell>
          <cell r="T38"/>
          <cell r="U38"/>
          <cell r="V38">
            <v>1.5375639529665201E-2</v>
          </cell>
          <cell r="W38">
            <v>1.6062361438890081E-2</v>
          </cell>
          <cell r="X38">
            <v>1.7218639648455308E-2</v>
          </cell>
          <cell r="Y38">
            <v>1.8476989550810514E-2</v>
          </cell>
          <cell r="Z38">
            <v>1.9890490705180692E-2</v>
          </cell>
          <cell r="AA38">
            <v>2.1404863139365331E-2</v>
          </cell>
          <cell r="AB38">
            <v>2.2922818779544E-2</v>
          </cell>
          <cell r="AC38">
            <v>2.47121411789867E-2</v>
          </cell>
          <cell r="AD38">
            <v>2.6479016360126003E-2</v>
          </cell>
          <cell r="AE38">
            <v>2.7998072250256103E-2</v>
          </cell>
          <cell r="AF38">
            <v>2.8965016272121499E-2</v>
          </cell>
        </row>
        <row r="39">
          <cell r="G39">
            <v>69998.382000000216</v>
          </cell>
          <cell r="H39">
            <v>64093.738000000827</v>
          </cell>
          <cell r="I39">
            <v>67904.186000001617</v>
          </cell>
          <cell r="J39">
            <v>78737.030000001192</v>
          </cell>
          <cell r="K39">
            <v>73371.490000001155</v>
          </cell>
          <cell r="L39">
            <v>79258.196000002325</v>
          </cell>
          <cell r="M39">
            <v>86637.932000001892</v>
          </cell>
          <cell r="N39">
            <v>93296.553999995813</v>
          </cell>
          <cell r="O39">
            <v>109085.42200000025</v>
          </cell>
          <cell r="P39">
            <v>116754.9980000034</v>
          </cell>
          <cell r="Q39">
            <v>127840.07799999975</v>
          </cell>
          <cell r="R39">
            <v>120042.33999999799</v>
          </cell>
          <cell r="S39">
            <v>1087020.3460000083</v>
          </cell>
          <cell r="T39"/>
          <cell r="U39"/>
          <cell r="V39">
            <v>134092.12000000104</v>
          </cell>
          <cell r="W39">
            <v>201996.30600000266</v>
          </cell>
          <cell r="X39">
            <v>280733.33600000385</v>
          </cell>
          <cell r="Y39">
            <v>354104.82600000501</v>
          </cell>
          <cell r="Z39">
            <v>433363.02200000733</v>
          </cell>
          <cell r="AA39">
            <v>520000.95400000922</v>
          </cell>
          <cell r="AB39">
            <v>613297.50800000504</v>
          </cell>
          <cell r="AC39">
            <v>722382.93000000343</v>
          </cell>
          <cell r="AD39">
            <v>839137.92800001055</v>
          </cell>
          <cell r="AE39">
            <v>966978.00600001216</v>
          </cell>
          <cell r="AF39">
            <v>1087020.3460000083</v>
          </cell>
        </row>
        <row r="40">
          <cell r="G40">
            <v>4.0724117422496847E-2</v>
          </cell>
          <cell r="H40">
            <v>4.1901948774940509E-2</v>
          </cell>
          <cell r="I40">
            <v>3.6510305835226541E-2</v>
          </cell>
          <cell r="J40">
            <v>3.8048385827312028E-2</v>
          </cell>
          <cell r="K40">
            <v>4.0184927753026206E-2</v>
          </cell>
          <cell r="L40">
            <v>4.0759647737912914E-2</v>
          </cell>
          <cell r="M40">
            <v>3.9683318097061916E-2</v>
          </cell>
          <cell r="N40">
            <v>4.0286049113329982E-2</v>
          </cell>
          <cell r="O40">
            <v>4.1645181504918673E-2</v>
          </cell>
          <cell r="P40">
            <v>4.1804540823159889E-2</v>
          </cell>
          <cell r="Q40">
            <v>4.5493982596371461E-2</v>
          </cell>
          <cell r="R40">
            <v>4.6499047774889148E-2</v>
          </cell>
          <cell r="S40">
            <v>4.1408562723330412E-2</v>
          </cell>
          <cell r="T40"/>
          <cell r="U40"/>
          <cell r="V40">
            <v>4.1278727211118436E-2</v>
          </cell>
          <cell r="W40">
            <v>3.9542615498000942E-2</v>
          </cell>
          <cell r="X40">
            <v>3.9111817026243854E-2</v>
          </cell>
          <cell r="Y40">
            <v>3.9329434890348534E-2</v>
          </cell>
          <cell r="Z40">
            <v>3.9583459817991093E-2</v>
          </cell>
          <cell r="AA40">
            <v>3.9600062410407005E-2</v>
          </cell>
          <cell r="AB40">
            <v>3.9702906116684644E-2</v>
          </cell>
          <cell r="AC40">
            <v>3.9984508973197171E-2</v>
          </cell>
          <cell r="AD40">
            <v>4.0228193633708005E-2</v>
          </cell>
          <cell r="AE40">
            <v>4.0853348450614169E-2</v>
          </cell>
          <cell r="AF40">
            <v>4.1408562723330412E-2</v>
          </cell>
        </row>
        <row r="41">
          <cell r="G41">
            <v>167798.38200000022</v>
          </cell>
          <cell r="H41">
            <v>137593.73800000083</v>
          </cell>
          <cell r="I41">
            <v>177354.18600000162</v>
          </cell>
          <cell r="J41">
            <v>222937.03000000119</v>
          </cell>
          <cell r="K41">
            <v>221871.49000000115</v>
          </cell>
          <cell r="L41">
            <v>258858.19600000232</v>
          </cell>
          <cell r="M41">
            <v>311237.93200000189</v>
          </cell>
          <cell r="N41">
            <v>356096.55399999581</v>
          </cell>
          <cell r="O41">
            <v>440085.42200000025</v>
          </cell>
          <cell r="P41">
            <v>499654.9980000034</v>
          </cell>
          <cell r="Q41">
            <v>532140.07799999975</v>
          </cell>
          <cell r="R41">
            <v>476842.33999999799</v>
          </cell>
          <cell r="S41">
            <v>3802470.3460000083</v>
          </cell>
          <cell r="T41"/>
          <cell r="U41"/>
          <cell r="V41">
            <v>305392.12000000104</v>
          </cell>
          <cell r="W41">
            <v>482746.30600000266</v>
          </cell>
          <cell r="X41">
            <v>705683.33600000385</v>
          </cell>
          <cell r="Y41">
            <v>927554.82600000501</v>
          </cell>
          <cell r="Z41">
            <v>1186413.0220000073</v>
          </cell>
          <cell r="AA41">
            <v>1497650.9540000092</v>
          </cell>
          <cell r="AB41">
            <v>1853747.508000005</v>
          </cell>
          <cell r="AC41">
            <v>2293832.9300000034</v>
          </cell>
          <cell r="AD41">
            <v>2793487.9280000106</v>
          </cell>
          <cell r="AE41">
            <v>3325628.0060000122</v>
          </cell>
          <cell r="AF41">
            <v>3802470.3460000083</v>
          </cell>
        </row>
        <row r="42">
          <cell r="G42">
            <v>2.189195165658649E-2</v>
          </cell>
          <cell r="H42">
            <v>2.046121486299363E-2</v>
          </cell>
          <cell r="I42">
            <v>2.1634855744788989E-2</v>
          </cell>
          <cell r="J42">
            <v>2.4048544209171956E-2</v>
          </cell>
          <cell r="K42">
            <v>2.7116705759604152E-2</v>
          </cell>
          <cell r="L42">
            <v>2.9521626243336433E-2</v>
          </cell>
          <cell r="M42">
            <v>3.1131161759201619E-2</v>
          </cell>
          <cell r="N42">
            <v>3.3107236149141885E-2</v>
          </cell>
          <cell r="O42">
            <v>3.6384525743181087E-2</v>
          </cell>
          <cell r="P42">
            <v>3.8404930634812172E-2</v>
          </cell>
          <cell r="Q42">
            <v>4.0174117337993864E-2</v>
          </cell>
          <cell r="R42">
            <v>3.9448856855003399E-2</v>
          </cell>
          <cell r="S42">
            <v>3.1687147099489645E-2</v>
          </cell>
          <cell r="T42"/>
          <cell r="U42"/>
          <cell r="V42">
            <v>2.122332662674203E-2</v>
          </cell>
          <cell r="W42">
            <v>2.1372684501271586E-2</v>
          </cell>
          <cell r="X42">
            <v>2.2151342873045269E-2</v>
          </cell>
          <cell r="Y42">
            <v>2.3166018856760586E-2</v>
          </cell>
          <cell r="Z42">
            <v>2.4307815412691784E-2</v>
          </cell>
          <cell r="AA42">
            <v>2.5467864963185496E-2</v>
          </cell>
          <cell r="AB42">
            <v>2.6649094600432952E-2</v>
          </cell>
          <cell r="AC42">
            <v>2.8091154354949889E-2</v>
          </cell>
          <cell r="AD42">
            <v>2.9508587486842382E-2</v>
          </cell>
          <cell r="AE42">
            <v>3.0817736647352101E-2</v>
          </cell>
          <cell r="AF42">
            <v>3.1687147099489645E-2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/>
      <sheetData sheetId="5">
        <row r="4">
          <cell r="E4" t="str">
            <v>계정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품목별"/>
    </sheetNames>
    <sheetDataSet>
      <sheetData sheetId="0" refreshError="1"/>
      <sheetData sheetId="1">
        <row r="8">
          <cell r="G8">
            <v>4969.8379999999997</v>
          </cell>
        </row>
      </sheetData>
      <sheetData sheetId="2">
        <row r="8">
          <cell r="G8">
            <v>4982.9359999999997</v>
          </cell>
        </row>
      </sheetData>
      <sheetData sheetId="3">
        <row r="8">
          <cell r="G8">
            <v>3925.4639999999999</v>
          </cell>
        </row>
      </sheetData>
      <sheetData sheetId="4">
        <row r="8">
          <cell r="G8">
            <v>3426.7159999999999</v>
          </cell>
        </row>
      </sheetData>
      <sheetData sheetId="5">
        <row r="8">
          <cell r="G8">
            <v>3740.2310000000002</v>
          </cell>
          <cell r="Q8">
            <v>21045.184999999998</v>
          </cell>
        </row>
        <row r="9">
          <cell r="G9">
            <v>3267786.9559999998</v>
          </cell>
          <cell r="J9">
            <v>1246460.9470000002</v>
          </cell>
          <cell r="Q9">
            <v>17230808.553999998</v>
          </cell>
          <cell r="T9">
            <v>5290521.2379999999</v>
          </cell>
        </row>
        <row r="10">
          <cell r="F10">
            <v>784722.22222222213</v>
          </cell>
          <cell r="G10">
            <v>873685.86485701008</v>
          </cell>
        </row>
        <row r="11">
          <cell r="G11">
            <v>3303714.594</v>
          </cell>
          <cell r="J11">
            <v>1219235.69</v>
          </cell>
          <cell r="Q11">
            <v>16958795.039000001</v>
          </cell>
          <cell r="T11">
            <v>5126053.4700000007</v>
          </cell>
        </row>
        <row r="15">
          <cell r="F15">
            <v>2.3362831858407079E-2</v>
          </cell>
          <cell r="G15">
            <v>-1.0994486018751424E-2</v>
          </cell>
        </row>
        <row r="19">
          <cell r="M19">
            <v>91947.356</v>
          </cell>
          <cell r="W19">
            <v>486238.51400000002</v>
          </cell>
        </row>
        <row r="37">
          <cell r="M37">
            <v>63563.249000000003</v>
          </cell>
          <cell r="W37">
            <v>82731.642999999982</v>
          </cell>
        </row>
        <row r="40">
          <cell r="M40">
            <v>4725.183</v>
          </cell>
          <cell r="W40">
            <v>23639.237000000001</v>
          </cell>
        </row>
        <row r="43">
          <cell r="M43">
            <v>38933.425999999999</v>
          </cell>
          <cell r="W43">
            <v>225057.76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/>
      <sheetData sheetId="1"/>
      <sheetData sheetId="2"/>
      <sheetData sheetId="3"/>
      <sheetData sheetId="4"/>
      <sheetData sheetId="5">
        <row r="8">
          <cell r="G8">
            <v>10256.286000000002</v>
          </cell>
          <cell r="Q8">
            <v>55602.745999999999</v>
          </cell>
        </row>
        <row r="9">
          <cell r="G9">
            <v>8184531.8760000002</v>
          </cell>
          <cell r="J9">
            <v>1840573.7359999996</v>
          </cell>
          <cell r="Q9">
            <v>42538841.267999999</v>
          </cell>
          <cell r="T9">
            <v>5926112.0530000003</v>
          </cell>
        </row>
        <row r="10">
          <cell r="G10">
            <v>798001.52569848381</v>
          </cell>
        </row>
        <row r="11">
          <cell r="G11">
            <v>8048622.2910000002</v>
          </cell>
          <cell r="J11">
            <v>1792788.5919999992</v>
          </cell>
          <cell r="Q11">
            <v>42028869.851999998</v>
          </cell>
          <cell r="T11">
            <v>5752228.7820000006</v>
          </cell>
        </row>
        <row r="15">
          <cell r="G15">
            <v>1.6605663837480539E-2</v>
          </cell>
        </row>
        <row r="19">
          <cell r="M19">
            <v>94794.214999999997</v>
          </cell>
          <cell r="W19">
            <v>473504.10700000002</v>
          </cell>
        </row>
        <row r="37">
          <cell r="M37">
            <v>37081.118999999999</v>
          </cell>
          <cell r="W37">
            <v>242074.05400000006</v>
          </cell>
        </row>
        <row r="40">
          <cell r="M40">
            <v>5556.6629999999996</v>
          </cell>
          <cell r="W40">
            <v>28596.726000000002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101423.97976986498</v>
          </cell>
          <cell r="R85">
            <v>103166.36302188772</v>
          </cell>
        </row>
        <row r="89">
          <cell r="Q89">
            <v>80686.257474933693</v>
          </cell>
          <cell r="R89">
            <v>84056.996768706536</v>
          </cell>
        </row>
      </sheetData>
      <sheetData sheetId="1">
        <row r="85">
          <cell r="Q85">
            <v>98915.360934792407</v>
          </cell>
          <cell r="R85">
            <v>100617.1224971459</v>
          </cell>
        </row>
        <row r="89">
          <cell r="Q89">
            <v>81550.160899680326</v>
          </cell>
          <cell r="R89">
            <v>85247.699331907308</v>
          </cell>
        </row>
      </sheetData>
      <sheetData sheetId="2">
        <row r="85">
          <cell r="Q85">
            <v>102182.8251179161</v>
          </cell>
          <cell r="R85">
            <v>104788.38437884804</v>
          </cell>
        </row>
        <row r="89">
          <cell r="Q89">
            <v>80255.832191305017</v>
          </cell>
          <cell r="R89">
            <v>83318.136812213372</v>
          </cell>
        </row>
      </sheetData>
      <sheetData sheetId="3"/>
      <sheetData sheetId="4"/>
      <sheetData sheetId="5"/>
      <sheetData sheetId="6">
        <row r="85">
          <cell r="Q85">
            <v>105210.6568420324</v>
          </cell>
          <cell r="R85">
            <v>105182.23282453099</v>
          </cell>
        </row>
        <row r="89">
          <cell r="Q89">
            <v>79827.129985876731</v>
          </cell>
          <cell r="R89">
            <v>83077.222002893162</v>
          </cell>
        </row>
      </sheetData>
      <sheetData sheetId="7">
        <row r="2">
          <cell r="N2">
            <v>173000</v>
          </cell>
        </row>
        <row r="85">
          <cell r="Q85">
            <v>98202.697323699438</v>
          </cell>
          <cell r="R85">
            <v>101803.25610420233</v>
          </cell>
        </row>
        <row r="86">
          <cell r="H86">
            <v>1612041.105230778</v>
          </cell>
          <cell r="I86">
            <v>1569866.5670000012</v>
          </cell>
        </row>
        <row r="89">
          <cell r="Q89">
            <v>79582.591988550426</v>
          </cell>
          <cell r="R89">
            <v>83885.997659617467</v>
          </cell>
        </row>
        <row r="92">
          <cell r="H92">
            <v>574577.42417926411</v>
          </cell>
          <cell r="I92">
            <v>368568.64743586443</v>
          </cell>
        </row>
      </sheetData>
      <sheetData sheetId="8">
        <row r="2">
          <cell r="N2">
            <v>152000</v>
          </cell>
        </row>
        <row r="85">
          <cell r="Q85">
            <v>100687.9608168484</v>
          </cell>
          <cell r="R85">
            <v>100716.14626740504</v>
          </cell>
        </row>
        <row r="86">
          <cell r="H86">
            <v>755049.65576180653</v>
          </cell>
          <cell r="I86">
            <v>97222.4690000017</v>
          </cell>
        </row>
        <row r="89">
          <cell r="Q89">
            <v>84818.355546485647</v>
          </cell>
          <cell r="R89">
            <v>88284.023399887228</v>
          </cell>
        </row>
        <row r="92">
          <cell r="H92">
            <v>-169540.75289438479</v>
          </cell>
          <cell r="I92">
            <v>-821434.43997680803</v>
          </cell>
        </row>
      </sheetData>
      <sheetData sheetId="9">
        <row r="2">
          <cell r="N2">
            <v>69000</v>
          </cell>
        </row>
        <row r="85">
          <cell r="Q85">
            <v>97358.501663768126</v>
          </cell>
          <cell r="R85">
            <v>100200.02222089276</v>
          </cell>
        </row>
        <row r="86">
          <cell r="H86">
            <v>-12101.274581402889</v>
          </cell>
          <cell r="I86">
            <v>-166686.08000000069</v>
          </cell>
        </row>
        <row r="89">
          <cell r="Q89">
            <v>80829.178590873809</v>
          </cell>
          <cell r="R89">
            <v>85262.69206908044</v>
          </cell>
        </row>
        <row r="92">
          <cell r="H92">
            <v>-410160.5505720342</v>
          </cell>
          <cell r="I92">
            <v>-553948.69765307615</v>
          </cell>
        </row>
      </sheetData>
      <sheetData sheetId="10">
        <row r="2">
          <cell r="N2">
            <v>59000</v>
          </cell>
        </row>
        <row r="85">
          <cell r="Q85">
            <v>98259.071313559311</v>
          </cell>
          <cell r="R85">
            <v>97320.386508210475</v>
          </cell>
        </row>
        <row r="86">
          <cell r="H86">
            <v>136834.70280014953</v>
          </cell>
          <cell r="I86">
            <v>-28492.609999999157</v>
          </cell>
        </row>
        <row r="89">
          <cell r="Q89">
            <v>79742.900130505936</v>
          </cell>
          <cell r="R89">
            <v>82321.261092234214</v>
          </cell>
        </row>
        <row r="92">
          <cell r="H92">
            <v>-207869.30800158498</v>
          </cell>
          <cell r="I92">
            <v>-407989.35964031471</v>
          </cell>
        </row>
      </sheetData>
      <sheetData sheetId="11">
        <row r="2">
          <cell r="N2">
            <v>94000</v>
          </cell>
        </row>
        <row r="85">
          <cell r="Q85">
            <v>108531.63735319149</v>
          </cell>
          <cell r="R85">
            <v>117281.02406640719</v>
          </cell>
        </row>
        <row r="86">
          <cell r="H86">
            <v>853564.90293706104</v>
          </cell>
          <cell r="I86">
            <v>1096358.4089999998</v>
          </cell>
        </row>
        <row r="89">
          <cell r="Q89">
            <v>85150.337966449704</v>
          </cell>
          <cell r="R89">
            <v>92254.810589097237</v>
          </cell>
        </row>
        <row r="92">
          <cell r="H92">
            <v>184003.27567083004</v>
          </cell>
          <cell r="I92">
            <v>276091.94813397806</v>
          </cell>
        </row>
      </sheetData>
      <sheetData sheetId="12">
        <row r="2">
          <cell r="N2">
            <v>95000</v>
          </cell>
        </row>
        <row r="85">
          <cell r="Q85">
            <v>102611.2369208421</v>
          </cell>
          <cell r="R85">
            <v>103265.77823882483</v>
          </cell>
        </row>
        <row r="86">
          <cell r="H86">
            <v>1228276.9813409632</v>
          </cell>
          <cell r="I86">
            <v>774016.66299999913</v>
          </cell>
        </row>
        <row r="89">
          <cell r="Q89">
            <v>77845.324617837789</v>
          </cell>
          <cell r="R89">
            <v>81468.077391342769</v>
          </cell>
        </row>
        <row r="92">
          <cell r="H92">
            <v>590793.51369478891</v>
          </cell>
          <cell r="I92">
            <v>138281.83307761454</v>
          </cell>
        </row>
      </sheetData>
      <sheetData sheetId="13">
        <row r="2">
          <cell r="N2">
            <v>43000</v>
          </cell>
        </row>
        <row r="85">
          <cell r="Q85">
            <v>99605.108399069766</v>
          </cell>
          <cell r="R85">
            <v>97923.369254986086</v>
          </cell>
        </row>
        <row r="86">
          <cell r="H86">
            <v>158771.52248587704</v>
          </cell>
          <cell r="I86">
            <v>-147495.73199999987</v>
          </cell>
        </row>
        <row r="89">
          <cell r="Q89">
            <v>78926.307633248318</v>
          </cell>
          <cell r="R89">
            <v>78977.136012177623</v>
          </cell>
        </row>
        <row r="92">
          <cell r="H92">
            <v>-115603.23163311533</v>
          </cell>
          <cell r="I92">
            <v>-348166.14605976135</v>
          </cell>
        </row>
      </sheetData>
      <sheetData sheetId="14">
        <row r="2">
          <cell r="N2">
            <v>102000</v>
          </cell>
        </row>
        <row r="85">
          <cell r="Q85">
            <v>103833.50135303923</v>
          </cell>
          <cell r="R85">
            <v>104813.97588916212</v>
          </cell>
        </row>
        <row r="86">
          <cell r="H86">
            <v>1023541.709058586</v>
          </cell>
          <cell r="I86">
            <v>208459.3870000006</v>
          </cell>
        </row>
        <row r="89">
          <cell r="Q89">
            <v>82749.306782748055</v>
          </cell>
          <cell r="R89">
            <v>84613.648566463933</v>
          </cell>
        </row>
        <row r="92">
          <cell r="H92">
            <v>332550.70495424024</v>
          </cell>
          <cell r="I92">
            <v>-279845.9978869562</v>
          </cell>
        </row>
      </sheetData>
      <sheetData sheetId="15">
        <row r="2">
          <cell r="N2">
            <v>41000</v>
          </cell>
        </row>
        <row r="85">
          <cell r="Q85">
            <v>99515.35568292682</v>
          </cell>
          <cell r="R85">
            <v>101069.70193923989</v>
          </cell>
        </row>
        <row r="86">
          <cell r="H86">
            <v>218360.63366797371</v>
          </cell>
          <cell r="I86">
            <v>-105251.03499999992</v>
          </cell>
        </row>
        <row r="89">
          <cell r="Q89">
            <v>76291.716336011465</v>
          </cell>
          <cell r="R89">
            <v>78377.794637366242</v>
          </cell>
        </row>
        <row r="92">
          <cell r="H92">
            <v>-39221.665365248482</v>
          </cell>
          <cell r="I92">
            <v>-276343.52960360318</v>
          </cell>
        </row>
      </sheetData>
      <sheetData sheetId="16">
        <row r="2">
          <cell r="N2">
            <v>55999.999999999993</v>
          </cell>
        </row>
        <row r="85">
          <cell r="Q85">
            <v>97735.969011350549</v>
          </cell>
          <cell r="R85">
            <v>96644.576796036345</v>
          </cell>
        </row>
        <row r="86">
          <cell r="H86">
            <v>237395.73048409578</v>
          </cell>
          <cell r="I86">
            <v>147230.80900000059</v>
          </cell>
        </row>
        <row r="89">
          <cell r="Q89">
            <v>77605.607607864702</v>
          </cell>
          <cell r="R89">
            <v>74550.901197357554</v>
          </cell>
        </row>
        <row r="92">
          <cell r="H92">
            <v>-111676.35665380346</v>
          </cell>
          <cell r="I92">
            <v>-187221.18448842951</v>
          </cell>
        </row>
      </sheetData>
      <sheetData sheetId="17">
        <row r="2">
          <cell r="N2">
            <v>38000</v>
          </cell>
        </row>
        <row r="85">
          <cell r="Q85">
            <v>90877.601880973671</v>
          </cell>
          <cell r="R85">
            <v>82649.253532994684</v>
          </cell>
        </row>
        <row r="86">
          <cell r="H86">
            <v>-34804.339775919289</v>
          </cell>
          <cell r="I86">
            <v>-440338.87400000013</v>
          </cell>
        </row>
        <row r="89">
          <cell r="Q89">
            <v>71580.770074956366</v>
          </cell>
          <cell r="R89">
            <v>69846.979030743678</v>
          </cell>
        </row>
        <row r="92">
          <cell r="H92">
            <v>-259008.64781689894</v>
          </cell>
          <cell r="I92">
            <v>-565818.24152305385</v>
          </cell>
        </row>
      </sheetData>
      <sheetData sheetId="18">
        <row r="2">
          <cell r="N2">
            <v>48000</v>
          </cell>
        </row>
        <row r="85">
          <cell r="Q85">
            <v>104119.78435416665</v>
          </cell>
          <cell r="R85">
            <v>106005.29102396668</v>
          </cell>
        </row>
        <row r="86">
          <cell r="H86">
            <v>152505.38626163092</v>
          </cell>
          <cell r="I86">
            <v>334076.73100000026</v>
          </cell>
        </row>
        <row r="89">
          <cell r="Q89">
            <v>84679.655346429616</v>
          </cell>
          <cell r="R89">
            <v>86228.9851771002</v>
          </cell>
        </row>
        <row r="92">
          <cell r="H92">
            <v>-163165.52742371388</v>
          </cell>
          <cell r="I92">
            <v>-90662.663878656109</v>
          </cell>
        </row>
      </sheetData>
      <sheetData sheetId="19">
        <row r="2">
          <cell r="N2">
            <v>87000</v>
          </cell>
        </row>
        <row r="85">
          <cell r="Q85">
            <v>98318.738390804603</v>
          </cell>
          <cell r="R85">
            <v>100806.03918312435</v>
          </cell>
        </row>
        <row r="86">
          <cell r="H86">
            <v>402969.17988395557</v>
          </cell>
          <cell r="I86">
            <v>320024.32900000055</v>
          </cell>
        </row>
        <row r="89">
          <cell r="Q89">
            <v>79213.431119149944</v>
          </cell>
          <cell r="R89">
            <v>84093.026796499966</v>
          </cell>
        </row>
        <row r="92">
          <cell r="H92">
            <v>-93776.83663448767</v>
          </cell>
          <cell r="I92">
            <v>-313200.20420869271</v>
          </cell>
        </row>
      </sheetData>
      <sheetData sheetId="20">
        <row r="2">
          <cell r="N2">
            <v>44000</v>
          </cell>
        </row>
        <row r="85">
          <cell r="Q85">
            <v>102123.22840909089</v>
          </cell>
          <cell r="R85">
            <v>98401.822000705215</v>
          </cell>
        </row>
        <row r="86">
          <cell r="H86">
            <v>283947.78396843391</v>
          </cell>
          <cell r="I86">
            <v>130070.42100000058</v>
          </cell>
        </row>
        <row r="89">
          <cell r="Q89">
            <v>77432.237467889121</v>
          </cell>
          <cell r="R89">
            <v>80679.06893299162</v>
          </cell>
        </row>
        <row r="92">
          <cell r="H92">
            <v>22050.970202497992</v>
          </cell>
          <cell r="I92">
            <v>-198063.81861526662</v>
          </cell>
        </row>
      </sheetData>
      <sheetData sheetId="21">
        <row r="2">
          <cell r="N2">
            <v>19500</v>
          </cell>
        </row>
        <row r="85">
          <cell r="Q85">
            <v>112328.54717948714</v>
          </cell>
          <cell r="R85">
            <v>109895.90131994183</v>
          </cell>
        </row>
        <row r="86">
          <cell r="H86">
            <v>305610.97266509751</v>
          </cell>
          <cell r="I86">
            <v>213431.38100000005</v>
          </cell>
        </row>
        <row r="89">
          <cell r="Q89">
            <v>73971.950632559077</v>
          </cell>
          <cell r="R89">
            <v>74600.507879086857</v>
          </cell>
        </row>
        <row r="92">
          <cell r="H92">
            <v>176202.3654201685</v>
          </cell>
          <cell r="I92">
            <v>88436.705213808949</v>
          </cell>
        </row>
      </sheetData>
      <sheetData sheetId="22">
        <row r="2">
          <cell r="N2">
            <v>17999.8</v>
          </cell>
        </row>
        <row r="85">
          <cell r="Q85">
            <v>112535.00746274962</v>
          </cell>
          <cell r="R85">
            <v>118431.65940547109</v>
          </cell>
        </row>
        <row r="86">
          <cell r="H86">
            <v>251571.53174869058</v>
          </cell>
          <cell r="I86">
            <v>312668.12</v>
          </cell>
        </row>
        <row r="89">
          <cell r="Q89">
            <v>72289.131499385723</v>
          </cell>
          <cell r="R89">
            <v>75207.289173409212</v>
          </cell>
        </row>
        <row r="92">
          <cell r="H92">
            <v>127583.49976100461</v>
          </cell>
          <cell r="I92">
            <v>188770.88993100153</v>
          </cell>
        </row>
      </sheetData>
      <sheetData sheetId="23">
        <row r="2">
          <cell r="N2">
            <v>28000</v>
          </cell>
        </row>
        <row r="85">
          <cell r="Q85">
            <v>121810.9442857143</v>
          </cell>
          <cell r="R85">
            <v>128206.65401074839</v>
          </cell>
        </row>
        <row r="86">
          <cell r="H86">
            <v>244330.61232963993</v>
          </cell>
          <cell r="I86">
            <v>106678.90999999958</v>
          </cell>
        </row>
        <row r="89">
          <cell r="Q89">
            <v>94420.899083859564</v>
          </cell>
          <cell r="R89">
            <v>98827.806010249275</v>
          </cell>
        </row>
        <row r="92">
          <cell r="H92">
            <v>28813.520933664142</v>
          </cell>
          <cell r="I92">
            <v>-64160.133119977996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98710.299071813628</v>
          </cell>
        </row>
        <row r="89">
          <cell r="Q89">
            <v>80055.456161775423</v>
          </cell>
        </row>
      </sheetData>
      <sheetData sheetId="1">
        <row r="85">
          <cell r="Q85">
            <v>96149.777100403342</v>
          </cell>
        </row>
        <row r="89">
          <cell r="Q89">
            <v>81368.339317581951</v>
          </cell>
        </row>
      </sheetData>
      <sheetData sheetId="2">
        <row r="85">
          <cell r="Q85">
            <v>99082.682700711084</v>
          </cell>
        </row>
        <row r="89">
          <cell r="Q89">
            <v>79225.148213028995</v>
          </cell>
        </row>
      </sheetData>
      <sheetData sheetId="3"/>
      <sheetData sheetId="4"/>
      <sheetData sheetId="5"/>
      <sheetData sheetId="6">
        <row r="85">
          <cell r="Q85">
            <v>102222.85088725066</v>
          </cell>
        </row>
        <row r="89">
          <cell r="Q89">
            <v>79650.460137540882</v>
          </cell>
        </row>
      </sheetData>
      <sheetData sheetId="7">
        <row r="85">
          <cell r="Q85">
            <v>95893.386429763195</v>
          </cell>
        </row>
        <row r="86">
          <cell r="H86">
            <v>1107785.416999998</v>
          </cell>
        </row>
        <row r="89">
          <cell r="Q89">
            <v>80603.97989267511</v>
          </cell>
        </row>
        <row r="92">
          <cell r="H92">
            <v>88083.270682137925</v>
          </cell>
        </row>
      </sheetData>
      <sheetData sheetId="8">
        <row r="85">
          <cell r="Q85">
            <v>98223.972881129055</v>
          </cell>
        </row>
        <row r="86">
          <cell r="H86">
            <v>304488.31599999871</v>
          </cell>
        </row>
        <row r="89">
          <cell r="Q89">
            <v>84575.511946356637</v>
          </cell>
        </row>
        <row r="92">
          <cell r="H92">
            <v>-499501.654931164</v>
          </cell>
        </row>
      </sheetData>
      <sheetData sheetId="9">
        <row r="85">
          <cell r="Q85">
            <v>92490.514103814377</v>
          </cell>
        </row>
        <row r="86">
          <cell r="H86">
            <v>-341585.86599999992</v>
          </cell>
        </row>
        <row r="89">
          <cell r="Q89">
            <v>78587.598715802262</v>
          </cell>
        </row>
        <row r="92">
          <cell r="H92">
            <v>-655064.543552552</v>
          </cell>
        </row>
      </sheetData>
      <sheetData sheetId="10">
        <row r="85">
          <cell r="Q85">
            <v>95383.144771183113</v>
          </cell>
        </row>
        <row r="86">
          <cell r="H86">
            <v>-19549.578000000722</v>
          </cell>
        </row>
        <row r="89">
          <cell r="Q89">
            <v>78207.018683001545</v>
          </cell>
        </row>
        <row r="92">
          <cell r="H92">
            <v>-293901.09832770535</v>
          </cell>
        </row>
      </sheetData>
      <sheetData sheetId="11">
        <row r="85">
          <cell r="Q85">
            <v>106822.24625101959</v>
          </cell>
        </row>
        <row r="86">
          <cell r="H86">
            <v>984209.83199999877</v>
          </cell>
        </row>
        <row r="89">
          <cell r="Q89">
            <v>83688.464433791814</v>
          </cell>
        </row>
        <row r="92">
          <cell r="H92">
            <v>326880.41739097307</v>
          </cell>
        </row>
      </sheetData>
      <sheetData sheetId="12">
        <row r="85">
          <cell r="Q85">
            <v>96774.728248655098</v>
          </cell>
        </row>
        <row r="86">
          <cell r="H86">
            <v>503894.06999999838</v>
          </cell>
        </row>
        <row r="89">
          <cell r="Q89">
            <v>77306.215613258188</v>
          </cell>
        </row>
        <row r="92">
          <cell r="H92">
            <v>-26581.075429476274</v>
          </cell>
        </row>
      </sheetData>
      <sheetData sheetId="13">
        <row r="85">
          <cell r="Q85">
            <v>89944.964603246495</v>
          </cell>
        </row>
        <row r="86">
          <cell r="H86">
            <v>-176447.43000000005</v>
          </cell>
        </row>
        <row r="89">
          <cell r="Q89">
            <v>76862.834123900553</v>
          </cell>
        </row>
        <row r="92">
          <cell r="H92">
            <v>-418874.68005290744</v>
          </cell>
        </row>
      </sheetData>
      <sheetData sheetId="14">
        <row r="85">
          <cell r="Q85">
            <v>100786.5673756055</v>
          </cell>
        </row>
        <row r="86">
          <cell r="H86">
            <v>848945.40800000052</v>
          </cell>
        </row>
        <row r="89">
          <cell r="Q89">
            <v>82885.372354215957</v>
          </cell>
        </row>
        <row r="92">
          <cell r="H92">
            <v>179111.55736495985</v>
          </cell>
        </row>
      </sheetData>
      <sheetData sheetId="15">
        <row r="85">
          <cell r="Q85">
            <v>93326.317413913523</v>
          </cell>
        </row>
        <row r="86">
          <cell r="H86">
            <v>59189.077999999718</v>
          </cell>
        </row>
        <row r="89">
          <cell r="Q89">
            <v>73002.242271374998</v>
          </cell>
        </row>
        <row r="92">
          <cell r="H92">
            <v>-173778.92488870613</v>
          </cell>
        </row>
      </sheetData>
      <sheetData sheetId="16">
        <row r="85">
          <cell r="Q85">
            <v>98391.795703672426</v>
          </cell>
        </row>
        <row r="86">
          <cell r="H86">
            <v>356992.13500000094</v>
          </cell>
        </row>
        <row r="89">
          <cell r="Q89">
            <v>74533.821581463213</v>
          </cell>
        </row>
        <row r="92">
          <cell r="H92">
            <v>18886.943371712114</v>
          </cell>
        </row>
      </sheetData>
      <sheetData sheetId="17">
        <row r="85">
          <cell r="Q85">
            <v>90745.797674880756</v>
          </cell>
        </row>
        <row r="86">
          <cell r="H86">
            <v>39110.661999999589</v>
          </cell>
        </row>
        <row r="89">
          <cell r="Q89">
            <v>74066.553932917785</v>
          </cell>
        </row>
        <row r="92">
          <cell r="H92">
            <v>-265497.18894162326</v>
          </cell>
        </row>
      </sheetData>
      <sheetData sheetId="18">
        <row r="85">
          <cell r="Q85">
            <v>105169.67245181021</v>
          </cell>
        </row>
        <row r="86">
          <cell r="H86">
            <v>530680.57899999933</v>
          </cell>
        </row>
        <row r="89">
          <cell r="Q89">
            <v>83117.167543173899</v>
          </cell>
        </row>
        <row r="92">
          <cell r="H92">
            <v>143540.74098589492</v>
          </cell>
        </row>
      </sheetData>
      <sheetData sheetId="19">
        <row r="85">
          <cell r="Q85">
            <v>98612.641822524427</v>
          </cell>
        </row>
        <row r="86">
          <cell r="H86">
            <v>494227.88900000072</v>
          </cell>
        </row>
        <row r="89">
          <cell r="Q89">
            <v>82304.015130832675</v>
          </cell>
        </row>
        <row r="92">
          <cell r="H92">
            <v>-139713.484231512</v>
          </cell>
        </row>
      </sheetData>
      <sheetData sheetId="20">
        <row r="85">
          <cell r="Q85">
            <v>97053.955432282513</v>
          </cell>
        </row>
        <row r="86">
          <cell r="H86">
            <v>851347.50800000015</v>
          </cell>
        </row>
        <row r="89">
          <cell r="Q89">
            <v>75113.770920106006</v>
          </cell>
        </row>
        <row r="92">
          <cell r="H92">
            <v>409080.080754678</v>
          </cell>
        </row>
      </sheetData>
      <sheetData sheetId="21">
        <row r="85">
          <cell r="Q85">
            <v>108307.2277176713</v>
          </cell>
        </row>
        <row r="86">
          <cell r="H86">
            <v>504237.33699999948</v>
          </cell>
        </row>
        <row r="89">
          <cell r="Q89">
            <v>71998.920857607096</v>
          </cell>
        </row>
        <row r="92">
          <cell r="H92">
            <v>340269.87880133203</v>
          </cell>
        </row>
      </sheetData>
      <sheetData sheetId="22">
        <row r="85">
          <cell r="Q85">
            <v>107810.81614704285</v>
          </cell>
        </row>
        <row r="86">
          <cell r="H86">
            <v>-85337.9200000001</v>
          </cell>
        </row>
        <row r="89">
          <cell r="Q89">
            <v>73545.049261327134</v>
          </cell>
        </row>
        <row r="92">
          <cell r="H92">
            <v>-155008.83775634979</v>
          </cell>
        </row>
      </sheetData>
      <sheetData sheetId="23">
        <row r="85">
          <cell r="Q85">
            <v>121414.60366763183</v>
          </cell>
        </row>
        <row r="86">
          <cell r="H86">
            <v>415792.17300000053</v>
          </cell>
        </row>
        <row r="89">
          <cell r="Q89">
            <v>90681.271001140645</v>
          </cell>
        </row>
        <row r="92">
          <cell r="H92">
            <v>186512.46893907274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272948</v>
          </cell>
        </row>
      </sheetData>
      <sheetData sheetId="1">
        <row r="5">
          <cell r="T5">
            <v>114695.5</v>
          </cell>
        </row>
        <row r="85">
          <cell r="Q85">
            <v>98815.722886796051</v>
          </cell>
        </row>
      </sheetData>
      <sheetData sheetId="2">
        <row r="5">
          <cell r="T5">
            <v>106450.5</v>
          </cell>
        </row>
        <row r="85">
          <cell r="Q85">
            <v>101778.54633843899</v>
          </cell>
        </row>
      </sheetData>
      <sheetData sheetId="3"/>
      <sheetData sheetId="4"/>
      <sheetData sheetId="5">
        <row r="5">
          <cell r="T5">
            <v>51802</v>
          </cell>
        </row>
        <row r="85">
          <cell r="Q85">
            <v>103655.65271368716</v>
          </cell>
        </row>
      </sheetData>
      <sheetData sheetId="6">
        <row r="2">
          <cell r="N2">
            <v>41774</v>
          </cell>
        </row>
        <row r="5">
          <cell r="T5">
            <v>42104</v>
          </cell>
        </row>
        <row r="85">
          <cell r="Q85">
            <v>97182.938119404411</v>
          </cell>
        </row>
      </sheetData>
      <sheetData sheetId="7">
        <row r="2">
          <cell r="N2">
            <v>35201.5</v>
          </cell>
        </row>
        <row r="5">
          <cell r="T5">
            <v>35418.5</v>
          </cell>
        </row>
        <row r="85">
          <cell r="Q85">
            <v>99671.435961535724</v>
          </cell>
        </row>
      </sheetData>
      <sheetData sheetId="8">
        <row r="2">
          <cell r="N2">
            <v>18032</v>
          </cell>
        </row>
        <row r="5">
          <cell r="T5">
            <v>19506</v>
          </cell>
        </row>
        <row r="85">
          <cell r="Q85">
            <v>100911.57941437444</v>
          </cell>
        </row>
      </sheetData>
      <sheetData sheetId="9">
        <row r="2">
          <cell r="N2">
            <v>17387</v>
          </cell>
        </row>
        <row r="5">
          <cell r="T5">
            <v>17667</v>
          </cell>
        </row>
        <row r="85">
          <cell r="Q85">
            <v>98832.579283372645</v>
          </cell>
        </row>
      </sheetData>
      <sheetData sheetId="10">
        <row r="2">
          <cell r="N2">
            <v>20768</v>
          </cell>
        </row>
        <row r="5">
          <cell r="T5">
            <v>20768</v>
          </cell>
        </row>
        <row r="85">
          <cell r="Q85">
            <v>115306.91448382125</v>
          </cell>
        </row>
      </sheetData>
      <sheetData sheetId="11">
        <row r="2">
          <cell r="N2">
            <v>22096</v>
          </cell>
        </row>
        <row r="5">
          <cell r="T5">
            <v>22096</v>
          </cell>
        </row>
        <row r="85">
          <cell r="Q85">
            <v>100945.8046705286</v>
          </cell>
        </row>
      </sheetData>
      <sheetData sheetId="12">
        <row r="2">
          <cell r="N2">
            <v>6351</v>
          </cell>
        </row>
        <row r="5">
          <cell r="T5">
            <v>6351</v>
          </cell>
        </row>
        <row r="85">
          <cell r="Q85">
            <v>98414.61187214611</v>
          </cell>
        </row>
      </sheetData>
      <sheetData sheetId="13">
        <row r="2">
          <cell r="N2">
            <v>18285</v>
          </cell>
        </row>
        <row r="5">
          <cell r="T5">
            <v>18285</v>
          </cell>
        </row>
        <row r="85">
          <cell r="Q85">
            <v>102762.76729559748</v>
          </cell>
        </row>
      </sheetData>
      <sheetData sheetId="14">
        <row r="2">
          <cell r="N2">
            <v>7209</v>
          </cell>
        </row>
        <row r="5">
          <cell r="T5">
            <v>7209</v>
          </cell>
        </row>
        <row r="85">
          <cell r="Q85">
            <v>98465.654043556671</v>
          </cell>
        </row>
      </sheetData>
      <sheetData sheetId="15">
        <row r="2">
          <cell r="N2">
            <v>11571</v>
          </cell>
        </row>
        <row r="5">
          <cell r="T5">
            <v>11571</v>
          </cell>
        </row>
        <row r="85">
          <cell r="Q85">
            <v>93656.434188920583</v>
          </cell>
        </row>
      </sheetData>
      <sheetData sheetId="16">
        <row r="2">
          <cell r="N2">
            <v>5713.5</v>
          </cell>
        </row>
        <row r="5">
          <cell r="T5">
            <v>5713.5</v>
          </cell>
        </row>
        <row r="85">
          <cell r="Q85">
            <v>77590.486916951078</v>
          </cell>
        </row>
      </sheetData>
      <sheetData sheetId="17">
        <row r="2">
          <cell r="N2">
            <v>14457</v>
          </cell>
        </row>
        <row r="5">
          <cell r="T5">
            <v>14457</v>
          </cell>
        </row>
        <row r="85">
          <cell r="Q85">
            <v>101562.25357958082</v>
          </cell>
        </row>
      </sheetData>
      <sheetData sheetId="18">
        <row r="2">
          <cell r="N2">
            <v>24258</v>
          </cell>
        </row>
        <row r="5">
          <cell r="T5">
            <v>24258</v>
          </cell>
        </row>
        <row r="85">
          <cell r="Q85">
            <v>99909.184681342231</v>
          </cell>
        </row>
      </sheetData>
      <sheetData sheetId="19">
        <row r="2">
          <cell r="N2">
            <v>13501</v>
          </cell>
        </row>
        <row r="5">
          <cell r="T5">
            <v>13510</v>
          </cell>
        </row>
        <row r="85">
          <cell r="Q85">
            <v>97239.589660025173</v>
          </cell>
        </row>
      </sheetData>
      <sheetData sheetId="20">
        <row r="2">
          <cell r="N2">
            <v>5101</v>
          </cell>
        </row>
        <row r="5">
          <cell r="T5">
            <v>5101</v>
          </cell>
        </row>
        <row r="85">
          <cell r="Q85">
            <v>111336.29680454811</v>
          </cell>
        </row>
      </sheetData>
      <sheetData sheetId="21">
        <row r="2">
          <cell r="N2">
            <v>4844</v>
          </cell>
        </row>
        <row r="5">
          <cell r="T5">
            <v>4844</v>
          </cell>
        </row>
        <row r="85">
          <cell r="Q85">
            <v>108954.28571428572</v>
          </cell>
        </row>
      </sheetData>
      <sheetData sheetId="22">
        <row r="2">
          <cell r="N2">
            <v>4089</v>
          </cell>
        </row>
        <row r="5">
          <cell r="T5">
            <v>4089</v>
          </cell>
        </row>
        <row r="85">
          <cell r="Q85">
            <v>131207.51014918071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영업계획"/>
      <sheetName val="재료비"/>
      <sheetName val="월별원가"/>
      <sheetName val="제조운반비"/>
      <sheetName val="인별예산"/>
      <sheetName val="제조4"/>
      <sheetName val="판매4"/>
      <sheetName val="제조6"/>
      <sheetName val="판매6"/>
      <sheetName val="계정통제"/>
      <sheetName val="본사산출"/>
    </sheetNames>
    <sheetDataSet>
      <sheetData sheetId="0" refreshError="1"/>
      <sheetData sheetId="1">
        <row r="6">
          <cell r="J6">
            <v>170430</v>
          </cell>
          <cell r="K6">
            <v>168870</v>
          </cell>
        </row>
        <row r="7">
          <cell r="K7">
            <v>103466.20619934329</v>
          </cell>
        </row>
        <row r="10">
          <cell r="K10">
            <v>98283.945176574198</v>
          </cell>
        </row>
        <row r="21">
          <cell r="K21">
            <v>270000</v>
          </cell>
        </row>
        <row r="22">
          <cell r="K22">
            <v>101432.30731425682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본사"/>
      <sheetName val="2019공장"/>
      <sheetName val="2019raw"/>
      <sheetName val="2020본사"/>
      <sheetName val="2020공장"/>
      <sheetName val="2020raw"/>
      <sheetName val="2021본사"/>
      <sheetName val="2021공장"/>
      <sheetName val="2021raw"/>
      <sheetName val="2022본사"/>
      <sheetName val="2022공장"/>
      <sheetName val="2022raw"/>
      <sheetName val="계획대비"/>
      <sheetName val="1군판가 차이분석(계획대비)"/>
      <sheetName val="1군판가 차이분석 (2)"/>
      <sheetName val="합계(내한영향차이)"/>
      <sheetName val="Sheet2"/>
      <sheetName val="합계"/>
      <sheetName val="수도권"/>
      <sheetName val="영남권"/>
      <sheetName val="중부권"/>
      <sheetName val="부산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2026raw"/>
      <sheetName val="Sheet1"/>
      <sheetName val="19년 정리"/>
      <sheetName val="20년 정리"/>
      <sheetName val="21년 정리"/>
      <sheetName val="22년 정리"/>
      <sheetName val="23년 정리"/>
      <sheetName val="한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4">
          <cell r="F44">
            <v>0.6956821971583198</v>
          </cell>
          <cell r="G44">
            <v>0.70229569837832273</v>
          </cell>
        </row>
        <row r="93">
          <cell r="F93">
            <v>96782.529682976587</v>
          </cell>
          <cell r="G93">
            <v>97368.98425105396</v>
          </cell>
        </row>
        <row r="94">
          <cell r="F94">
            <v>102811.09027864838</v>
          </cell>
          <cell r="G94">
            <v>104976.67977665883</v>
          </cell>
        </row>
        <row r="95">
          <cell r="F95">
            <v>100907.33058181037</v>
          </cell>
          <cell r="G95">
            <v>102620.91713856412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예산대비 차이"/>
      <sheetName val="Sheet1"/>
      <sheetName val="MS"/>
      <sheetName val="규격물량"/>
      <sheetName val="규격단가(실단가)"/>
      <sheetName val="규격단가(예산안)"/>
      <sheetName val="재료비(합계)"/>
      <sheetName val="재료비(1군)"/>
      <sheetName val="재료비(중소개인)"/>
      <sheetName val="재료비(관수)"/>
      <sheetName val="26년계획(강도)"/>
      <sheetName val="지역수요"/>
    </sheetNames>
    <sheetDataSet>
      <sheetData sheetId="0" refreshError="1"/>
      <sheetData sheetId="1">
        <row r="15">
          <cell r="N15">
            <v>28.04042608191628</v>
          </cell>
          <cell r="O15">
            <v>27.895905773037999</v>
          </cell>
        </row>
        <row r="16">
          <cell r="O16">
            <v>26.112582749627148</v>
          </cell>
        </row>
        <row r="18">
          <cell r="O18">
            <v>27.228066895329725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구분"/>
      <sheetName val="규격"/>
      <sheetName val="평균강도집계"/>
      <sheetName val="생산량"/>
      <sheetName val="규격조정"/>
      <sheetName val="물차제외raw"/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합계RAW"/>
      <sheetName val="수도권RAW"/>
      <sheetName val="영남권RAW"/>
      <sheetName val="중부권RAW"/>
      <sheetName val="안양RAW"/>
      <sheetName val="인천RAW"/>
      <sheetName val="파주RAW"/>
      <sheetName val="김포RAW"/>
      <sheetName val="부산RAW"/>
      <sheetName val="서부산RAW"/>
      <sheetName val="김해RAW"/>
      <sheetName val="정관RAW"/>
      <sheetName val="양산RAW"/>
      <sheetName val="창원RAW"/>
      <sheetName val="대구RAW"/>
      <sheetName val="울산RAW"/>
      <sheetName val="아산RAW"/>
      <sheetName val="전주RAW"/>
      <sheetName val="군산RAW"/>
      <sheetName val="원주RAW"/>
      <sheetName val="제주RAW"/>
    </sheetNames>
    <sheetDataSet>
      <sheetData sheetId="0"/>
      <sheetData sheetId="1"/>
      <sheetData sheetId="2">
        <row r="27">
          <cell r="T27">
            <v>29.492905002738137</v>
          </cell>
          <cell r="U27">
            <v>28.652707382443477</v>
          </cell>
        </row>
        <row r="49">
          <cell r="T49">
            <v>26.183269124931204</v>
          </cell>
          <cell r="U49">
            <v>26.702111868294988</v>
          </cell>
        </row>
        <row r="71">
          <cell r="U71">
            <v>28.054382894764075</v>
          </cell>
        </row>
      </sheetData>
      <sheetData sheetId="3"/>
      <sheetData sheetId="4"/>
      <sheetData sheetId="5"/>
      <sheetData sheetId="6">
        <row r="82">
          <cell r="T82">
            <v>28.460091191640952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년10월~12월"/>
      <sheetName val="25년1월"/>
      <sheetName val="25년2월"/>
      <sheetName val="25년3월"/>
      <sheetName val="25년4월"/>
      <sheetName val="25년5월"/>
      <sheetName val="25년6월"/>
      <sheetName val="25년7월"/>
      <sheetName val="25년8월"/>
      <sheetName val="25년9월"/>
      <sheetName val="25년10월"/>
      <sheetName val="25년11월"/>
      <sheetName val="25년12월"/>
      <sheetName val="갑지"/>
      <sheetName val="25년 정산액"/>
      <sheetName val="2025년 소급분"/>
      <sheetName val="2025년 소급분(공장별)"/>
      <sheetName val="26년1월"/>
      <sheetName val="26년2월"/>
      <sheetName val="26년3월"/>
      <sheetName val="26년4월"/>
      <sheetName val="26년5월"/>
      <sheetName val="2026년 소급분"/>
      <sheetName val="2026년 소급분(공장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8">
          <cell r="D8">
            <v>2176.0817004084465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6">
          <cell r="H6">
            <v>-223.59104837408742</v>
          </cell>
        </row>
        <row r="15">
          <cell r="E15">
            <v>369.88153006655199</v>
          </cell>
          <cell r="F15">
            <v>382.31754149094104</v>
          </cell>
          <cell r="G15">
            <v>86674.102489008044</v>
          </cell>
          <cell r="U15">
            <v>1404.1498174052101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U4">
            <v>330</v>
          </cell>
        </row>
      </sheetData>
      <sheetData sheetId="8">
        <row r="4">
          <cell r="U4">
            <v>217</v>
          </cell>
        </row>
      </sheetData>
      <sheetData sheetId="9">
        <row r="4">
          <cell r="U4">
            <v>1474</v>
          </cell>
        </row>
      </sheetData>
      <sheetData sheetId="10">
        <row r="4">
          <cell r="U4">
            <v>280</v>
          </cell>
        </row>
      </sheetData>
      <sheetData sheetId="11">
        <row r="4">
          <cell r="U4">
            <v>0</v>
          </cell>
        </row>
      </sheetData>
      <sheetData sheetId="12">
        <row r="4">
          <cell r="U4">
            <v>0</v>
          </cell>
        </row>
      </sheetData>
      <sheetData sheetId="13">
        <row r="4">
          <cell r="U4">
            <v>0</v>
          </cell>
        </row>
      </sheetData>
      <sheetData sheetId="14">
        <row r="4">
          <cell r="U4">
            <v>0</v>
          </cell>
        </row>
      </sheetData>
      <sheetData sheetId="15">
        <row r="4">
          <cell r="U4">
            <v>0</v>
          </cell>
        </row>
      </sheetData>
      <sheetData sheetId="16">
        <row r="4">
          <cell r="U4">
            <v>0</v>
          </cell>
        </row>
      </sheetData>
      <sheetData sheetId="17">
        <row r="4">
          <cell r="U4">
            <v>0</v>
          </cell>
        </row>
      </sheetData>
      <sheetData sheetId="18">
        <row r="4">
          <cell r="U4">
            <v>0</v>
          </cell>
        </row>
      </sheetData>
      <sheetData sheetId="19">
        <row r="4">
          <cell r="U4">
            <v>0</v>
          </cell>
        </row>
      </sheetData>
      <sheetData sheetId="20">
        <row r="4">
          <cell r="U4">
            <v>9</v>
          </cell>
        </row>
      </sheetData>
      <sheetData sheetId="21">
        <row r="4">
          <cell r="U4">
            <v>0</v>
          </cell>
        </row>
      </sheetData>
      <sheetData sheetId="22">
        <row r="4">
          <cell r="U4">
            <v>0</v>
          </cell>
        </row>
      </sheetData>
      <sheetData sheetId="23">
        <row r="4">
          <cell r="U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6:M25"/>
  <sheetViews>
    <sheetView showGridLines="0" view="pageBreakPreview" zoomScale="85" zoomScaleNormal="100" zoomScaleSheetLayoutView="85" workbookViewId="0">
      <selection activeCell="G40" sqref="G40"/>
    </sheetView>
  </sheetViews>
  <sheetFormatPr defaultRowHeight="16.5" x14ac:dyDescent="0.3"/>
  <cols>
    <col min="13" max="13" width="15.75" customWidth="1"/>
  </cols>
  <sheetData>
    <row r="6" spans="1:13" x14ac:dyDescent="0.3">
      <c r="A6" s="667" t="s">
        <v>205</v>
      </c>
      <c r="B6" s="668"/>
      <c r="C6" s="668"/>
      <c r="D6" s="668"/>
      <c r="E6" s="668"/>
      <c r="F6" s="668"/>
      <c r="G6" s="668"/>
      <c r="H6" s="668"/>
      <c r="I6" s="668"/>
      <c r="J6" s="668"/>
      <c r="K6" s="668"/>
      <c r="L6" s="668"/>
      <c r="M6" s="669"/>
    </row>
    <row r="7" spans="1:13" x14ac:dyDescent="0.3">
      <c r="A7" s="670"/>
      <c r="B7" s="671"/>
      <c r="C7" s="671"/>
      <c r="D7" s="671"/>
      <c r="E7" s="671"/>
      <c r="F7" s="671"/>
      <c r="G7" s="671"/>
      <c r="H7" s="671"/>
      <c r="I7" s="671"/>
      <c r="J7" s="671"/>
      <c r="K7" s="671"/>
      <c r="L7" s="671"/>
      <c r="M7" s="672"/>
    </row>
    <row r="8" spans="1:13" x14ac:dyDescent="0.3">
      <c r="A8" s="670"/>
      <c r="B8" s="671"/>
      <c r="C8" s="671"/>
      <c r="D8" s="671"/>
      <c r="E8" s="671"/>
      <c r="F8" s="671"/>
      <c r="G8" s="671"/>
      <c r="H8" s="671"/>
      <c r="I8" s="671"/>
      <c r="J8" s="671"/>
      <c r="K8" s="671"/>
      <c r="L8" s="671"/>
      <c r="M8" s="672"/>
    </row>
    <row r="9" spans="1:13" x14ac:dyDescent="0.3">
      <c r="A9" s="670"/>
      <c r="B9" s="671"/>
      <c r="C9" s="671"/>
      <c r="D9" s="671"/>
      <c r="E9" s="671"/>
      <c r="F9" s="671"/>
      <c r="G9" s="671"/>
      <c r="H9" s="671"/>
      <c r="I9" s="671"/>
      <c r="J9" s="671"/>
      <c r="K9" s="671"/>
      <c r="L9" s="671"/>
      <c r="M9" s="672"/>
    </row>
    <row r="10" spans="1:13" x14ac:dyDescent="0.3">
      <c r="A10" s="670"/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2"/>
    </row>
    <row r="11" spans="1:13" x14ac:dyDescent="0.3">
      <c r="A11" s="670"/>
      <c r="B11" s="671"/>
      <c r="C11" s="671"/>
      <c r="D11" s="671"/>
      <c r="E11" s="671"/>
      <c r="F11" s="671"/>
      <c r="G11" s="671"/>
      <c r="H11" s="671"/>
      <c r="I11" s="671"/>
      <c r="J11" s="671"/>
      <c r="K11" s="671"/>
      <c r="L11" s="671"/>
      <c r="M11" s="672"/>
    </row>
    <row r="12" spans="1:13" x14ac:dyDescent="0.3">
      <c r="A12" s="670"/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</row>
    <row r="13" spans="1:13" x14ac:dyDescent="0.3">
      <c r="A13" s="670"/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</row>
    <row r="14" spans="1:13" x14ac:dyDescent="0.3">
      <c r="A14" s="673"/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</row>
    <row r="24" spans="1:13" x14ac:dyDescent="0.3">
      <c r="A24" s="676" t="s">
        <v>167</v>
      </c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</row>
    <row r="25" spans="1:13" x14ac:dyDescent="0.3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  <pageSetUpPr fitToPage="1"/>
  </sheetPr>
  <dimension ref="A1:AE42"/>
  <sheetViews>
    <sheetView showGridLines="0" topLeftCell="A7" zoomScale="70" zoomScaleNormal="70" zoomScaleSheetLayoutView="70" workbookViewId="0">
      <selection activeCell="V29" sqref="V29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27" width="9.125" customWidth="1"/>
    <col min="28" max="28" width="11.375" bestFit="1" customWidth="1"/>
    <col min="29" max="37" width="9.125" customWidth="1"/>
  </cols>
  <sheetData>
    <row r="1" spans="1:29" ht="20.100000000000001" customHeight="1" x14ac:dyDescent="0.3"/>
    <row r="2" spans="1:29" ht="20.100000000000001" customHeight="1" x14ac:dyDescent="0.3"/>
    <row r="3" spans="1:29" ht="20.100000000000001" customHeight="1" x14ac:dyDescent="0.3">
      <c r="C3" s="2" t="s">
        <v>213</v>
      </c>
    </row>
    <row r="4" spans="1:29" ht="20.100000000000001" customHeight="1" x14ac:dyDescent="0.3">
      <c r="H4" s="211"/>
      <c r="X4" s="3" t="s">
        <v>99</v>
      </c>
    </row>
    <row r="5" spans="1:29" ht="27" customHeight="1" thickBot="1" x14ac:dyDescent="0.35">
      <c r="C5" s="679" t="s">
        <v>61</v>
      </c>
      <c r="D5" s="680"/>
      <c r="E5" s="526" t="s">
        <v>210</v>
      </c>
      <c r="F5" s="527"/>
      <c r="G5" s="527"/>
      <c r="H5" s="527"/>
      <c r="I5" s="528"/>
      <c r="J5" s="527" t="s">
        <v>211</v>
      </c>
      <c r="K5" s="527"/>
      <c r="L5" s="527"/>
      <c r="M5" s="527"/>
      <c r="N5" s="528"/>
      <c r="O5" s="114"/>
      <c r="P5" s="679" t="s">
        <v>217</v>
      </c>
      <c r="Q5" s="680"/>
      <c r="R5" s="680"/>
      <c r="S5" s="680"/>
      <c r="T5" s="680"/>
      <c r="U5" s="680"/>
      <c r="V5" s="680"/>
      <c r="W5" s="680"/>
      <c r="X5" s="683"/>
    </row>
    <row r="6" spans="1:29" ht="27" customHeight="1" thickTop="1" x14ac:dyDescent="0.3">
      <c r="C6" s="681"/>
      <c r="D6" s="682"/>
      <c r="E6" s="529" t="s">
        <v>62</v>
      </c>
      <c r="F6" s="530" t="s">
        <v>63</v>
      </c>
      <c r="G6" s="531" t="s">
        <v>64</v>
      </c>
      <c r="H6" s="532" t="s">
        <v>65</v>
      </c>
      <c r="I6" s="533" t="s">
        <v>66</v>
      </c>
      <c r="J6" s="529" t="s">
        <v>62</v>
      </c>
      <c r="K6" s="530" t="s">
        <v>63</v>
      </c>
      <c r="L6" s="531" t="s">
        <v>64</v>
      </c>
      <c r="M6" s="532" t="s">
        <v>65</v>
      </c>
      <c r="N6" s="533" t="s">
        <v>66</v>
      </c>
      <c r="O6" s="114"/>
      <c r="P6" s="681"/>
      <c r="Q6" s="682"/>
      <c r="R6" s="682"/>
      <c r="S6" s="682"/>
      <c r="T6" s="682"/>
      <c r="U6" s="682"/>
      <c r="V6" s="682"/>
      <c r="W6" s="682"/>
      <c r="X6" s="684"/>
    </row>
    <row r="7" spans="1:29" ht="21.75" customHeight="1" x14ac:dyDescent="0.3">
      <c r="A7" s="211"/>
      <c r="B7" s="211"/>
      <c r="C7" s="83" t="s">
        <v>0</v>
      </c>
      <c r="D7" s="84" t="s">
        <v>40</v>
      </c>
      <c r="E7" s="291">
        <f>+'[1]5월'!$Z$7/1000</f>
        <v>270</v>
      </c>
      <c r="F7" s="292">
        <f>+'[2]5월'!$Z$7/1000</f>
        <v>218.18950000000001</v>
      </c>
      <c r="G7" s="267">
        <f t="shared" ref="G7:G30" si="0">+F7-E7</f>
        <v>-51.81049999999999</v>
      </c>
      <c r="H7" s="268">
        <f>+'[3]5월'!$Z$7/1000</f>
        <v>242.99549999999999</v>
      </c>
      <c r="I7" s="269">
        <f t="shared" ref="I7:I30" si="1">+F7-H7</f>
        <v>-24.805999999999983</v>
      </c>
      <c r="J7" s="291">
        <f>+'[1]5월누계'!$Z$7/1000</f>
        <v>1166.4998000000001</v>
      </c>
      <c r="K7" s="292">
        <f>+'[2]5월누계'!$Z$7/1000</f>
        <v>1075.5440000000001</v>
      </c>
      <c r="L7" s="267">
        <f t="shared" ref="L7" si="2">+K7-J7</f>
        <v>-90.955799999999954</v>
      </c>
      <c r="M7" s="268">
        <f>+'[3]5월누계'!$Z$7/1000</f>
        <v>1174.434</v>
      </c>
      <c r="N7" s="269">
        <f t="shared" ref="N7" si="3">+K7-M7</f>
        <v>-98.889999999999873</v>
      </c>
      <c r="O7" s="82"/>
      <c r="P7" s="519"/>
      <c r="Q7" s="520" t="s">
        <v>83</v>
      </c>
      <c r="R7" s="520"/>
      <c r="S7" s="521"/>
      <c r="T7" s="521"/>
      <c r="U7" s="521"/>
      <c r="V7" s="521"/>
      <c r="W7" s="521"/>
      <c r="X7" s="522"/>
      <c r="Y7" s="211"/>
    </row>
    <row r="8" spans="1:29" ht="21.75" customHeight="1" x14ac:dyDescent="0.3">
      <c r="B8" s="211"/>
      <c r="C8" s="83"/>
      <c r="D8" s="87" t="s">
        <v>1</v>
      </c>
      <c r="E8" s="293">
        <f>+'[1]5월'!$AE$7/1000</f>
        <v>73.588167179487186</v>
      </c>
      <c r="F8" s="294">
        <f>+'[2]5월'!$AN$7/1000</f>
        <v>67.367999999999995</v>
      </c>
      <c r="G8" s="270">
        <f t="shared" si="0"/>
        <v>-6.2201671794871913</v>
      </c>
      <c r="H8" s="271">
        <f>+'[3]5월'!$AN$7/1000</f>
        <v>69.688999999999993</v>
      </c>
      <c r="I8" s="272">
        <f t="shared" si="1"/>
        <v>-2.320999999999998</v>
      </c>
      <c r="J8" s="293">
        <f>+'[1]5월누계'!$AE$7/1000</f>
        <v>346.96908270396267</v>
      </c>
      <c r="K8" s="294">
        <f>+'[2]5월누계'!$AN$7/1000</f>
        <v>316.09100000000001</v>
      </c>
      <c r="L8" s="270">
        <f t="shared" ref="L8:L30" si="4">+K8-J8</f>
        <v>-30.878082703962662</v>
      </c>
      <c r="M8" s="271">
        <f>+'[3]5월누계'!$AN$7/1000</f>
        <v>305.11399999999998</v>
      </c>
      <c r="N8" s="272">
        <f t="shared" ref="N8:N30" si="5">+K8-M8</f>
        <v>10.977000000000032</v>
      </c>
      <c r="O8" s="82"/>
      <c r="P8" s="85"/>
      <c r="Q8" s="197" t="s">
        <v>55</v>
      </c>
      <c r="R8" s="198"/>
      <c r="S8" s="199" t="s">
        <v>12</v>
      </c>
      <c r="T8" s="200" t="s">
        <v>67</v>
      </c>
      <c r="U8" s="201" t="s">
        <v>56</v>
      </c>
      <c r="V8" s="200" t="s">
        <v>39</v>
      </c>
      <c r="W8" s="202" t="s">
        <v>57</v>
      </c>
      <c r="X8" s="86"/>
      <c r="Y8" s="211"/>
    </row>
    <row r="9" spans="1:29" ht="21.75" customHeight="1" x14ac:dyDescent="0.3">
      <c r="B9" s="211"/>
      <c r="C9" s="90" t="s">
        <v>2</v>
      </c>
      <c r="D9" s="91" t="s">
        <v>40</v>
      </c>
      <c r="E9" s="295">
        <f>+'[1]5월'!$Z$8/1000</f>
        <v>27386.722974849345</v>
      </c>
      <c r="F9" s="296">
        <f>+'[2]5월'!$Z$8/1000</f>
        <v>22382.409020999999</v>
      </c>
      <c r="G9" s="297">
        <f t="shared" si="0"/>
        <v>-5004.3139538493451</v>
      </c>
      <c r="H9" s="298">
        <f>+'[3]5월'!$Z$8/1000</f>
        <v>23799.92798</v>
      </c>
      <c r="I9" s="299">
        <f t="shared" si="1"/>
        <v>-1417.5189590000009</v>
      </c>
      <c r="J9" s="295">
        <f>+'[1]5월누계'!$Z$8/1000</f>
        <v>118311.05211675155</v>
      </c>
      <c r="K9" s="296">
        <f>+'[2]5월누계'!$Z$8/1000</f>
        <v>110917.84356799997</v>
      </c>
      <c r="L9" s="297">
        <f t="shared" si="4"/>
        <v>-7393.2085487515869</v>
      </c>
      <c r="M9" s="298">
        <f>+'[3]5월누계'!$Z$8/1000</f>
        <v>115938.489606</v>
      </c>
      <c r="N9" s="299">
        <f t="shared" si="5"/>
        <v>-5020.6460380000353</v>
      </c>
      <c r="O9" s="82"/>
      <c r="P9" s="85"/>
      <c r="Q9" s="88" t="s">
        <v>51</v>
      </c>
      <c r="R9" s="162" t="s">
        <v>16</v>
      </c>
      <c r="S9" s="175">
        <f>+[4]수도권!$T$5/1000</f>
        <v>105</v>
      </c>
      <c r="T9" s="89">
        <f>+[4]수도권!$U$5/1000</f>
        <v>92.18</v>
      </c>
      <c r="U9" s="267">
        <f>+T9-S9</f>
        <v>-12.819999999999993</v>
      </c>
      <c r="V9" s="268">
        <f>+[5]수도권!$T$5/1000</f>
        <v>85.768500000000003</v>
      </c>
      <c r="W9" s="269">
        <f>+T9-V9</f>
        <v>6.4115000000000038</v>
      </c>
      <c r="X9" s="86"/>
      <c r="Y9" s="211"/>
    </row>
    <row r="10" spans="1:29" ht="21.75" customHeight="1" x14ac:dyDescent="0.3">
      <c r="B10" s="211"/>
      <c r="C10" s="83"/>
      <c r="D10" s="87" t="s">
        <v>1</v>
      </c>
      <c r="E10" s="293">
        <f>+'[1]5월'!$AE$8/1000</f>
        <v>1333.4311646620047</v>
      </c>
      <c r="F10" s="294">
        <f>+'[2]5월'!$AN$8/1000</f>
        <v>1213.8512000000001</v>
      </c>
      <c r="G10" s="270">
        <f t="shared" si="0"/>
        <v>-119.57996466200461</v>
      </c>
      <c r="H10" s="271">
        <f>+'[3]5월'!$AN$8/1000</f>
        <v>1467.6265000000001</v>
      </c>
      <c r="I10" s="272">
        <f t="shared" si="1"/>
        <v>-253.77530000000002</v>
      </c>
      <c r="J10" s="293">
        <f>+'[1]5월누계'!$AE$8/1000</f>
        <v>6265.4408326107223</v>
      </c>
      <c r="K10" s="294">
        <f>+'[2]5월누계'!$AN$8/1000</f>
        <v>6154.7293</v>
      </c>
      <c r="L10" s="270">
        <f t="shared" si="4"/>
        <v>-110.71153261072232</v>
      </c>
      <c r="M10" s="271">
        <f>+'[3]5월누계'!$AN$8/1000</f>
        <v>6494.4409999999998</v>
      </c>
      <c r="N10" s="272">
        <f t="shared" si="5"/>
        <v>-339.71169999999984</v>
      </c>
      <c r="O10" s="82"/>
      <c r="P10" s="85"/>
      <c r="Q10" s="92"/>
      <c r="R10" s="163" t="s">
        <v>17</v>
      </c>
      <c r="S10" s="176">
        <f>+[4]영남권!$T$5/1000</f>
        <v>117</v>
      </c>
      <c r="T10" s="93">
        <f>+[4]영남권!$U$5/1000</f>
        <v>83.367999999999995</v>
      </c>
      <c r="U10" s="270">
        <f t="shared" ref="U10:U20" si="6">+T10-S10</f>
        <v>-33.632000000000005</v>
      </c>
      <c r="V10" s="271">
        <f>+[5]영남권!$T$5/1000</f>
        <v>106.883</v>
      </c>
      <c r="W10" s="272">
        <f t="shared" ref="W10:W20" si="7">+T10-V10</f>
        <v>-23.515000000000001</v>
      </c>
      <c r="X10" s="86"/>
      <c r="Y10" s="211"/>
    </row>
    <row r="11" spans="1:29" ht="21.75" customHeight="1" x14ac:dyDescent="0.3">
      <c r="B11" s="211"/>
      <c r="C11" s="83"/>
      <c r="D11" s="97" t="s">
        <v>4</v>
      </c>
      <c r="E11" s="300">
        <f>+'[1]5월'!$E$8/1000-E9-E33-E10</f>
        <v>119.36666666665838</v>
      </c>
      <c r="F11" s="301">
        <f>+('[2]5월'!$BJ$8+'[2]5월'!$BA$8+'[2]5월'!$AP$8+'[2]5월'!$AH$8)/1000</f>
        <v>56.283369999999998</v>
      </c>
      <c r="G11" s="273">
        <f t="shared" si="0"/>
        <v>-63.083296666658377</v>
      </c>
      <c r="H11" s="274">
        <f>+'[3]5월'!$F$8/1000-H9-H33-H10</f>
        <v>118.78848100000164</v>
      </c>
      <c r="I11" s="275">
        <f t="shared" si="1"/>
        <v>-62.505111000001641</v>
      </c>
      <c r="J11" s="300">
        <f>+'[1]5월누계'!$E$8/1000-J9-J33-J10</f>
        <v>604.63333333335322</v>
      </c>
      <c r="K11" s="301">
        <f>+('[2]5월누계'!$BJ$8+'[2]5월누계'!$BA$8+'[2]5월누계'!$AP$8+'[2]5월누계'!$AH$8)/1000</f>
        <v>463.26409100000001</v>
      </c>
      <c r="L11" s="273">
        <f t="shared" si="4"/>
        <v>-141.36924233335321</v>
      </c>
      <c r="M11" s="274">
        <f>+'[3]5월누계'!$F$8/1000-M9-M33-M10</f>
        <v>710.11163900000156</v>
      </c>
      <c r="N11" s="275">
        <f t="shared" si="5"/>
        <v>-246.84754800000155</v>
      </c>
      <c r="O11" s="82"/>
      <c r="P11" s="85"/>
      <c r="Q11" s="92"/>
      <c r="R11" s="164" t="s">
        <v>104</v>
      </c>
      <c r="S11" s="177">
        <f>+[4]중부권!$T$5/1000</f>
        <v>48</v>
      </c>
      <c r="T11" s="94">
        <f>+[4]중부권!$U$5/1000</f>
        <v>42.641500000000001</v>
      </c>
      <c r="U11" s="273">
        <f t="shared" si="6"/>
        <v>-5.3584999999999994</v>
      </c>
      <c r="V11" s="274">
        <f>+[5]중부권!$T$5/1000</f>
        <v>50.344000000000001</v>
      </c>
      <c r="W11" s="275">
        <f t="shared" si="7"/>
        <v>-7.7025000000000006</v>
      </c>
      <c r="X11" s="86"/>
      <c r="Y11" s="211"/>
    </row>
    <row r="12" spans="1:29" ht="21.75" customHeight="1" x14ac:dyDescent="0.3">
      <c r="B12" s="211"/>
      <c r="C12" s="98" t="s">
        <v>8</v>
      </c>
      <c r="D12" s="99"/>
      <c r="E12" s="300">
        <f>SUM(E9:E11)</f>
        <v>28839.520806178007</v>
      </c>
      <c r="F12" s="301">
        <f>SUM(F9:F11)</f>
        <v>23652.543591000001</v>
      </c>
      <c r="G12" s="273">
        <f t="shared" si="0"/>
        <v>-5186.9772151780053</v>
      </c>
      <c r="H12" s="274">
        <f>SUM(H9:H11)</f>
        <v>25386.342961000002</v>
      </c>
      <c r="I12" s="275">
        <f t="shared" si="1"/>
        <v>-1733.7993700000006</v>
      </c>
      <c r="J12" s="300">
        <f>SUM(J9:J11)</f>
        <v>125181.12628269562</v>
      </c>
      <c r="K12" s="301">
        <f>SUM(K9:K11)</f>
        <v>117535.83695899998</v>
      </c>
      <c r="L12" s="273">
        <f t="shared" si="4"/>
        <v>-7645.2893236956443</v>
      </c>
      <c r="M12" s="274">
        <f>SUM(M9:M11)</f>
        <v>123143.042245</v>
      </c>
      <c r="N12" s="275">
        <f t="shared" si="5"/>
        <v>-5607.2052860000258</v>
      </c>
      <c r="O12" s="82"/>
      <c r="P12" s="85"/>
      <c r="Q12" s="95" t="s">
        <v>58</v>
      </c>
      <c r="R12" s="165"/>
      <c r="S12" s="178">
        <f>SUM(S9:S11)</f>
        <v>270</v>
      </c>
      <c r="T12" s="96">
        <f>SUM(T9:T11)</f>
        <v>218.18950000000001</v>
      </c>
      <c r="U12" s="276">
        <f t="shared" si="6"/>
        <v>-51.81049999999999</v>
      </c>
      <c r="V12" s="277">
        <f>SUM(V9:V11)</f>
        <v>242.99549999999999</v>
      </c>
      <c r="W12" s="278">
        <f t="shared" si="7"/>
        <v>-24.805999999999983</v>
      </c>
      <c r="X12" s="86"/>
      <c r="AA12" s="460"/>
      <c r="AB12" s="460"/>
      <c r="AC12" s="211"/>
    </row>
    <row r="13" spans="1:29" ht="21.75" customHeight="1" x14ac:dyDescent="0.3">
      <c r="B13" s="211"/>
      <c r="C13" s="83" t="s">
        <v>5</v>
      </c>
      <c r="D13" s="91" t="s">
        <v>40</v>
      </c>
      <c r="E13" s="295">
        <f>+('[1]5월'!$Z$10+'[1]5월'!$Z$19)/1000</f>
        <v>23862.62574531573</v>
      </c>
      <c r="F13" s="296">
        <f>+('[2]5월'!$Z$10+'[2]5월'!$Z$19)/1000</f>
        <v>20336.808346000002</v>
      </c>
      <c r="G13" s="297">
        <f t="shared" si="0"/>
        <v>-3525.8173993157288</v>
      </c>
      <c r="H13" s="298">
        <f>+('[3]5월'!$Z$10+'[3]5월'!$Z$19)/1000</f>
        <v>21588.830735</v>
      </c>
      <c r="I13" s="299">
        <f t="shared" si="1"/>
        <v>-1252.0223889999979</v>
      </c>
      <c r="J13" s="295">
        <f>+('[1]5월누계'!$Z$10+'[1]5월누계'!$Z$19)/1000</f>
        <v>107056.14976648414</v>
      </c>
      <c r="K13" s="296">
        <f>+('[2]5월누계'!$Z$10+'[2]5월누계'!$Z$19)/1000</f>
        <v>102910.29438900002</v>
      </c>
      <c r="L13" s="297">
        <f t="shared" si="4"/>
        <v>-4145.8553774841275</v>
      </c>
      <c r="M13" s="298">
        <f>+('[3]5월누계'!$Z$10+'[3]5월누계'!$Z$19)/1000</f>
        <v>106232.044243</v>
      </c>
      <c r="N13" s="299">
        <f t="shared" si="5"/>
        <v>-3321.7498539999797</v>
      </c>
      <c r="O13" s="82"/>
      <c r="P13" s="85"/>
      <c r="Q13" s="88" t="s">
        <v>59</v>
      </c>
      <c r="R13" s="162" t="s">
        <v>16</v>
      </c>
      <c r="S13" s="175">
        <f>+[4]수도권!$T$61</f>
        <v>98482.526745520168</v>
      </c>
      <c r="T13" s="89">
        <f>+[4]수도권!$U$61</f>
        <v>100715.67502492139</v>
      </c>
      <c r="U13" s="267">
        <f t="shared" si="6"/>
        <v>2233.1482794012263</v>
      </c>
      <c r="V13" s="268">
        <f>+[5]수도권!$Q$85</f>
        <v>96609.726187731649</v>
      </c>
      <c r="W13" s="269">
        <f t="shared" si="7"/>
        <v>4105.948837189746</v>
      </c>
      <c r="X13" s="86"/>
      <c r="AA13" s="460"/>
      <c r="AB13" s="460"/>
      <c r="AC13" s="211"/>
    </row>
    <row r="14" spans="1:29" ht="21.75" customHeight="1" x14ac:dyDescent="0.3">
      <c r="A14" s="211"/>
      <c r="B14" s="211"/>
      <c r="C14" s="83"/>
      <c r="D14" s="87" t="s">
        <v>1</v>
      </c>
      <c r="E14" s="293">
        <f>+('[1]5월'!$AE$10+'[1]5월'!$AE$19)/1000</f>
        <v>1332.0381200764957</v>
      </c>
      <c r="F14" s="294">
        <f>+('[2]5월'!$AN$10+'[2]5월'!$AN$19)/1000</f>
        <v>1270.1057480000002</v>
      </c>
      <c r="G14" s="270">
        <f t="shared" si="0"/>
        <v>-61.93237207649554</v>
      </c>
      <c r="H14" s="271">
        <f>+('[3]5월'!$AN$10+'[3]5월'!$AN$19)/1000</f>
        <v>1406.9589059800001</v>
      </c>
      <c r="I14" s="272">
        <f t="shared" si="1"/>
        <v>-136.85315797999988</v>
      </c>
      <c r="J14" s="293">
        <f>+('[1]5월누계'!$AE$10+'[1]5월누계'!$AE$19)/1000</f>
        <v>6343.928501949973</v>
      </c>
      <c r="K14" s="294">
        <f>+('[2]5월누계'!$AN$10+'[2]5월누계'!$AN$19)/1000</f>
        <v>6548.1851150000002</v>
      </c>
      <c r="L14" s="270">
        <f t="shared" si="4"/>
        <v>204.25661305002723</v>
      </c>
      <c r="M14" s="271">
        <f>+('[3]5월누계'!$AN$10+'[3]5월누계'!$AN$19)/1000</f>
        <v>6694.1268219799995</v>
      </c>
      <c r="N14" s="272">
        <f t="shared" si="5"/>
        <v>-145.94170697999925</v>
      </c>
      <c r="O14" s="82"/>
      <c r="P14" s="85"/>
      <c r="Q14" s="92"/>
      <c r="R14" s="163" t="s">
        <v>17</v>
      </c>
      <c r="S14" s="176">
        <f>+[4]영남권!$T$61</f>
        <v>102761.14160059592</v>
      </c>
      <c r="T14" s="93">
        <f>+[4]영남권!$U$61</f>
        <v>102825.49369062472</v>
      </c>
      <c r="U14" s="270">
        <f t="shared" si="6"/>
        <v>64.352090028798557</v>
      </c>
      <c r="V14" s="271">
        <f>+[5]영남권!$Q$85</f>
        <v>97803.840427345582</v>
      </c>
      <c r="W14" s="272">
        <f t="shared" si="7"/>
        <v>5021.653263279135</v>
      </c>
      <c r="X14" s="86"/>
      <c r="Y14" s="211"/>
      <c r="AB14" s="460"/>
      <c r="AC14" s="211"/>
    </row>
    <row r="15" spans="1:29" ht="21.75" customHeight="1" x14ac:dyDescent="0.3">
      <c r="C15" s="83"/>
      <c r="D15" s="97" t="s">
        <v>4</v>
      </c>
      <c r="E15" s="300">
        <f>+('[1]5월'!$AL$10+'[1]5월'!$AL$19+'[1]5월'!$AV$10+'[1]5월'!$AV$19)/1000</f>
        <v>54.346293000000003</v>
      </c>
      <c r="F15" s="301">
        <f>+('[2]5월'!$AH$10+'[2]5월'!$AH$19+'[2]5월'!$AP$10+'[2]5월'!$AP$19+'[2]5월'!$BA$10+'[2]5월'!$BA$19+'[2]5월'!$BJ$10+'[2]5월'!$BJ$19)/1000</f>
        <v>20.826595000000001</v>
      </c>
      <c r="G15" s="273">
        <f t="shared" si="0"/>
        <v>-33.519698000000005</v>
      </c>
      <c r="H15" s="274">
        <f>+('[3]5월'!$F$10+'[3]5월'!$F$19)/1000-H13-H14-('[3]5월'!$AO$10+'[3]5월'!$AO$19)/1000</f>
        <v>18.465355000000272</v>
      </c>
      <c r="I15" s="275">
        <f t="shared" si="1"/>
        <v>2.3612399999997287</v>
      </c>
      <c r="J15" s="300">
        <f>+('[1]5월누계'!$AL$10+'[1]5월누계'!$AL$19+'[1]5월누계'!$AV$10+'[1]5월누계'!$AV$19)/1000</f>
        <v>-164.90284700000001</v>
      </c>
      <c r="K15" s="301">
        <f>+('[2]5월누계'!$AH$10+'[2]5월누계'!$AH$19+'[2]5월누계'!$AP$10+'[2]5월누계'!$AP$19+'[2]5월누계'!$BA$10+'[2]5월누계'!$BA$19+'[2]5월누계'!$BJ$10+'[2]5월누계'!$BJ$19)/1000</f>
        <v>-409.71526599999993</v>
      </c>
      <c r="L15" s="273">
        <f t="shared" si="4"/>
        <v>-244.81241899999992</v>
      </c>
      <c r="M15" s="274">
        <f>+('[3]5월누계'!$F$10+'[3]5월누계'!$F$19)/1000-M13-M14-('[3]5월누계'!$AO$10+'[3]5월누계'!$AO$19)/1000</f>
        <v>422.68929800001933</v>
      </c>
      <c r="N15" s="275">
        <f t="shared" si="5"/>
        <v>-832.40456400001926</v>
      </c>
      <c r="O15" s="82"/>
      <c r="P15" s="85"/>
      <c r="Q15" s="92"/>
      <c r="R15" s="164" t="s">
        <v>103</v>
      </c>
      <c r="S15" s="177">
        <f>+[4]중부권!$T$61</f>
        <v>104645.91873541666</v>
      </c>
      <c r="T15" s="94">
        <f>+[4]중부권!$U$61</f>
        <v>106299.69717294186</v>
      </c>
      <c r="U15" s="273">
        <f t="shared" si="6"/>
        <v>1653.778437525194</v>
      </c>
      <c r="V15" s="274">
        <f>+[5]중부권!$Q$85</f>
        <v>100717.64272921025</v>
      </c>
      <c r="W15" s="275">
        <f t="shared" si="7"/>
        <v>5582.054443731613</v>
      </c>
      <c r="X15" s="86"/>
      <c r="AB15" s="460"/>
    </row>
    <row r="16" spans="1:29" ht="21.75" customHeight="1" x14ac:dyDescent="0.3">
      <c r="C16" s="83" t="s">
        <v>8</v>
      </c>
      <c r="D16" s="102"/>
      <c r="E16" s="293">
        <f>SUM(E13:E15)</f>
        <v>25249.010158392226</v>
      </c>
      <c r="F16" s="294">
        <f>SUM(F13:F15)</f>
        <v>21627.740689000002</v>
      </c>
      <c r="G16" s="270">
        <f t="shared" si="0"/>
        <v>-3621.269469392224</v>
      </c>
      <c r="H16" s="271">
        <f>SUM(H13:H15)</f>
        <v>23014.254995980002</v>
      </c>
      <c r="I16" s="272">
        <f t="shared" si="1"/>
        <v>-1386.5143069799997</v>
      </c>
      <c r="J16" s="293">
        <f>SUM(J13:J15)</f>
        <v>113235.17542143412</v>
      </c>
      <c r="K16" s="294">
        <f>SUM(K13:K15)</f>
        <v>109048.76423800002</v>
      </c>
      <c r="L16" s="270">
        <f t="shared" si="4"/>
        <v>-4186.411183434102</v>
      </c>
      <c r="M16" s="271">
        <f>SUM(M13:M15)</f>
        <v>113348.86036298002</v>
      </c>
      <c r="N16" s="272">
        <f t="shared" si="5"/>
        <v>-4300.0961249800021</v>
      </c>
      <c r="O16" s="82"/>
      <c r="P16" s="85"/>
      <c r="Q16" s="95" t="s">
        <v>58</v>
      </c>
      <c r="R16" s="165"/>
      <c r="S16" s="178">
        <f>+[4]합계!$T$61</f>
        <v>101432.30731425683</v>
      </c>
      <c r="T16" s="96">
        <f>+[4]합계!$U$61</f>
        <v>102620.91713856411</v>
      </c>
      <c r="U16" s="276">
        <f>+T16-S16</f>
        <v>1188.6098243072774</v>
      </c>
      <c r="V16" s="277">
        <f>+[5]합계!$Q$85</f>
        <v>97989.575994436498</v>
      </c>
      <c r="W16" s="278">
        <f>+T16-V16</f>
        <v>4631.3411441276112</v>
      </c>
      <c r="X16" s="86"/>
    </row>
    <row r="17" spans="2:27" ht="21.75" customHeight="1" x14ac:dyDescent="0.3">
      <c r="C17" s="90" t="s">
        <v>15</v>
      </c>
      <c r="D17" s="91" t="s">
        <v>40</v>
      </c>
      <c r="E17" s="295">
        <f t="shared" ref="E17:F19" si="8">+E9-E13</f>
        <v>3524.0972295336142</v>
      </c>
      <c r="F17" s="296">
        <f t="shared" si="8"/>
        <v>2045.6006749999979</v>
      </c>
      <c r="G17" s="297">
        <f t="shared" si="0"/>
        <v>-1478.4965545336163</v>
      </c>
      <c r="H17" s="298">
        <f>+H9-H13</f>
        <v>2211.0972450000008</v>
      </c>
      <c r="I17" s="299">
        <f t="shared" si="1"/>
        <v>-165.49657000000298</v>
      </c>
      <c r="J17" s="295">
        <f t="shared" ref="J17:K17" si="9">+J9-J13</f>
        <v>11254.90235026741</v>
      </c>
      <c r="K17" s="296">
        <f t="shared" si="9"/>
        <v>8007.5491789999505</v>
      </c>
      <c r="L17" s="297">
        <f t="shared" si="4"/>
        <v>-3247.3531712674594</v>
      </c>
      <c r="M17" s="298">
        <f>+M9-M13</f>
        <v>9706.4453630000062</v>
      </c>
      <c r="N17" s="299">
        <f t="shared" si="5"/>
        <v>-1698.8961840000557</v>
      </c>
      <c r="O17" s="82"/>
      <c r="P17" s="85"/>
      <c r="Q17" s="159" t="s">
        <v>60</v>
      </c>
      <c r="R17" s="166" t="s">
        <v>16</v>
      </c>
      <c r="S17" s="179">
        <f>+[4]수도권!$Q$90</f>
        <v>18721.061408562484</v>
      </c>
      <c r="T17" s="100">
        <f>+[4]수도권!$R$90</f>
        <v>17293.722269015881</v>
      </c>
      <c r="U17" s="279">
        <f t="shared" si="6"/>
        <v>-1427.3391395466024</v>
      </c>
      <c r="V17" s="280">
        <f>+[5]수도권!$Q$90</f>
        <v>16471.137893324354</v>
      </c>
      <c r="W17" s="281">
        <f t="shared" si="7"/>
        <v>822.58437569152738</v>
      </c>
      <c r="X17" s="86"/>
    </row>
    <row r="18" spans="2:27" ht="21.75" customHeight="1" x14ac:dyDescent="0.3">
      <c r="C18" s="83"/>
      <c r="D18" s="87" t="s">
        <v>1</v>
      </c>
      <c r="E18" s="293">
        <f t="shared" si="8"/>
        <v>1.3930445855089602</v>
      </c>
      <c r="F18" s="294">
        <f t="shared" si="8"/>
        <v>-56.254548000000113</v>
      </c>
      <c r="G18" s="270">
        <f t="shared" si="0"/>
        <v>-57.647592585509074</v>
      </c>
      <c r="H18" s="271">
        <f>+H10-H14</f>
        <v>60.667594020000024</v>
      </c>
      <c r="I18" s="272">
        <f t="shared" si="1"/>
        <v>-116.92214202000014</v>
      </c>
      <c r="J18" s="293">
        <f t="shared" ref="J18:K18" si="10">+J10-J14</f>
        <v>-78.487669339250715</v>
      </c>
      <c r="K18" s="294">
        <f t="shared" si="10"/>
        <v>-393.45581500000026</v>
      </c>
      <c r="L18" s="270">
        <f t="shared" si="4"/>
        <v>-314.96814566074954</v>
      </c>
      <c r="M18" s="271">
        <f>+M10-M14</f>
        <v>-199.68582197999967</v>
      </c>
      <c r="N18" s="272">
        <f t="shared" si="5"/>
        <v>-193.76999302000058</v>
      </c>
      <c r="O18" s="82"/>
      <c r="P18" s="85"/>
      <c r="Q18" s="160"/>
      <c r="R18" s="167" t="s">
        <v>17</v>
      </c>
      <c r="S18" s="180">
        <f>+[4]영남권!$Q$90</f>
        <v>23752.070313874472</v>
      </c>
      <c r="T18" s="101">
        <f>+[4]영남권!$R$90</f>
        <v>21307.012033097359</v>
      </c>
      <c r="U18" s="282">
        <f t="shared" si="6"/>
        <v>-2445.0582807771134</v>
      </c>
      <c r="V18" s="283">
        <f>+[5]영남권!$Q$90</f>
        <v>19421.04549644822</v>
      </c>
      <c r="W18" s="284">
        <f t="shared" si="7"/>
        <v>1885.966536649139</v>
      </c>
      <c r="X18" s="86"/>
    </row>
    <row r="19" spans="2:27" ht="21.75" customHeight="1" x14ac:dyDescent="0.3">
      <c r="C19" s="83"/>
      <c r="D19" s="97" t="s">
        <v>4</v>
      </c>
      <c r="E19" s="300">
        <f t="shared" si="8"/>
        <v>65.020373666658372</v>
      </c>
      <c r="F19" s="301">
        <f t="shared" si="8"/>
        <v>35.456774999999993</v>
      </c>
      <c r="G19" s="273">
        <f t="shared" si="0"/>
        <v>-29.563598666658379</v>
      </c>
      <c r="H19" s="274">
        <f>+H11-H15</f>
        <v>100.32312600000137</v>
      </c>
      <c r="I19" s="275">
        <f t="shared" si="1"/>
        <v>-64.866351000001373</v>
      </c>
      <c r="J19" s="300">
        <f t="shared" ref="J19:K19" si="11">+J11-J15</f>
        <v>769.53618033335329</v>
      </c>
      <c r="K19" s="301">
        <f t="shared" si="11"/>
        <v>872.97935699999994</v>
      </c>
      <c r="L19" s="273">
        <f t="shared" si="4"/>
        <v>103.44317666664665</v>
      </c>
      <c r="M19" s="274">
        <f>+M11-M15</f>
        <v>287.42234099998223</v>
      </c>
      <c r="N19" s="275">
        <f t="shared" si="5"/>
        <v>585.55701600001771</v>
      </c>
      <c r="O19" s="82"/>
      <c r="P19" s="85"/>
      <c r="Q19" s="160"/>
      <c r="R19" s="168" t="s">
        <v>103</v>
      </c>
      <c r="S19" s="181">
        <f>+[4]중부권!$Q$90</f>
        <v>26509.569949553304</v>
      </c>
      <c r="T19" s="103">
        <f>+[4]중부권!$R$90</f>
        <v>24275.880764813992</v>
      </c>
      <c r="U19" s="285">
        <f t="shared" si="6"/>
        <v>-2233.6891847393126</v>
      </c>
      <c r="V19" s="286">
        <f>+[5]중부권!$Q$90</f>
        <v>22337.893746944319</v>
      </c>
      <c r="W19" s="287">
        <f t="shared" si="7"/>
        <v>1937.9870178696729</v>
      </c>
      <c r="X19" s="86"/>
    </row>
    <row r="20" spans="2:27" ht="21.75" customHeight="1" x14ac:dyDescent="0.3">
      <c r="C20" s="98" t="s">
        <v>8</v>
      </c>
      <c r="D20" s="99"/>
      <c r="E20" s="300">
        <f>SUM(E17:E19)</f>
        <v>3590.5106477857817</v>
      </c>
      <c r="F20" s="301">
        <f>SUM(F17:F19)</f>
        <v>2024.8029019999976</v>
      </c>
      <c r="G20" s="273">
        <f t="shared" si="0"/>
        <v>-1565.707745785784</v>
      </c>
      <c r="H20" s="274">
        <f>SUM(H17:H19)</f>
        <v>2372.0879650200022</v>
      </c>
      <c r="I20" s="275">
        <f t="shared" si="1"/>
        <v>-347.2850630200046</v>
      </c>
      <c r="J20" s="300">
        <f>SUM(J17:J19)</f>
        <v>11945.950861261512</v>
      </c>
      <c r="K20" s="301">
        <f>SUM(K17:K19)</f>
        <v>8487.0727209999495</v>
      </c>
      <c r="L20" s="273">
        <f t="shared" si="4"/>
        <v>-3458.8781402615623</v>
      </c>
      <c r="M20" s="274">
        <f>SUM(M17:M19)</f>
        <v>9794.1818820199878</v>
      </c>
      <c r="N20" s="275">
        <f t="shared" si="5"/>
        <v>-1307.1091610200383</v>
      </c>
      <c r="O20" s="82"/>
      <c r="P20" s="85"/>
      <c r="Q20" s="161" t="s">
        <v>58</v>
      </c>
      <c r="R20" s="169"/>
      <c r="S20" s="182">
        <f>+[4]합계!$Q$90</f>
        <v>22285.789008151609</v>
      </c>
      <c r="T20" s="104">
        <f>+[4]합계!$R$90</f>
        <v>20204.135654417405</v>
      </c>
      <c r="U20" s="288">
        <f t="shared" si="6"/>
        <v>-2081.6533537342038</v>
      </c>
      <c r="V20" s="289">
        <f>+[5]합계!$Q$90</f>
        <v>18989.722033391867</v>
      </c>
      <c r="W20" s="290">
        <f t="shared" si="7"/>
        <v>1214.4136210255383</v>
      </c>
      <c r="X20" s="86"/>
    </row>
    <row r="21" spans="2:27" ht="21.75" customHeight="1" x14ac:dyDescent="0.3">
      <c r="C21" s="90" t="s">
        <v>6</v>
      </c>
      <c r="D21" s="91" t="s">
        <v>40</v>
      </c>
      <c r="E21" s="295">
        <f>+('[1]5월'!$Z$13+'[1]5월'!$Z$20+'[1]5월'!$Z$22)/1000</f>
        <v>2013.7341077090505</v>
      </c>
      <c r="F21" s="296">
        <f>+('[2]5월'!$Z$13+'[2]5월'!$Z$20+'[2]5월'!$Z$22)/1000</f>
        <v>2009.5698390903865</v>
      </c>
      <c r="G21" s="297">
        <f t="shared" si="0"/>
        <v>-4.1642686186639821</v>
      </c>
      <c r="H21" s="298">
        <f>+('[3]5월'!$Z$13+'[3]5월'!$Z$20+'[3]5월'!$Z$22)/1000</f>
        <v>2062.5888309491893</v>
      </c>
      <c r="I21" s="299">
        <f t="shared" si="1"/>
        <v>-53.018991858802792</v>
      </c>
      <c r="J21" s="295">
        <f>+('[1]5월누계'!$Z$13+'[1]5월누계'!$Z$20+'[1]5월누계'!$Z$22)/1000</f>
        <v>10788.349952446231</v>
      </c>
      <c r="K21" s="296">
        <f>+('[2]5월누계'!$Z$13+'[2]5월누계'!$Z$20+'[2]5월누계'!$Z$22)/1000</f>
        <v>11054.253571862333</v>
      </c>
      <c r="L21" s="297">
        <f t="shared" si="4"/>
        <v>265.90361941610172</v>
      </c>
      <c r="M21" s="298">
        <f>+('[3]5월누계'!$Z$13+'[3]5월누계'!$Z$20+'[3]5월누계'!$Z$22)/1000</f>
        <v>10642.001492821229</v>
      </c>
      <c r="N21" s="299">
        <f t="shared" si="5"/>
        <v>412.25207904110357</v>
      </c>
      <c r="O21" s="82"/>
      <c r="P21" s="85"/>
      <c r="Q21" s="133" t="s">
        <v>87</v>
      </c>
      <c r="R21" s="138"/>
      <c r="S21" s="66"/>
      <c r="T21" s="139"/>
      <c r="U21" s="66"/>
      <c r="V21" s="523"/>
      <c r="W21" s="523"/>
      <c r="X21" s="86"/>
    </row>
    <row r="22" spans="2:27" ht="21.75" customHeight="1" x14ac:dyDescent="0.3">
      <c r="C22" s="83"/>
      <c r="D22" s="87" t="s">
        <v>1</v>
      </c>
      <c r="E22" s="293">
        <f>+('[1]5월'!$AE$13+'[1]5월'!$AE$20+'[1]5월'!$AE$22)/1000</f>
        <v>49.762295655606607</v>
      </c>
      <c r="F22" s="294">
        <f>+('[2]5월'!$AN$13+'[2]5월'!$AN$20+'[2]5월'!$AN$22)/1000</f>
        <v>48.745047907247006</v>
      </c>
      <c r="G22" s="270">
        <f t="shared" si="0"/>
        <v>-1.0172477483596012</v>
      </c>
      <c r="H22" s="271">
        <f>+('[3]5월'!$AN$13+'[3]5월'!$AN$20+'[3]5월'!$AN$22)/1000</f>
        <v>47.21642004712421</v>
      </c>
      <c r="I22" s="272">
        <f t="shared" si="1"/>
        <v>1.5286278601227963</v>
      </c>
      <c r="J22" s="293">
        <f>+('[1]5월누계'!$AE$13+'[1]5월누계'!$AE$20+'[1]5월누계'!$AE$22)/1000</f>
        <v>252.15726383939443</v>
      </c>
      <c r="K22" s="294">
        <f>+('[2]5월누계'!$AN$13+'[2]5월누계'!$AN$20+'[2]5월누계'!$AN$22)/1000</f>
        <v>253.73709913540313</v>
      </c>
      <c r="L22" s="270">
        <f t="shared" si="4"/>
        <v>1.5798352960086959</v>
      </c>
      <c r="M22" s="271">
        <f>+('[3]5월누계'!$AN$13+'[3]5월누계'!$AN$20+'[3]5월누계'!$AN$22)/1000</f>
        <v>234.6015072641826</v>
      </c>
      <c r="N22" s="272">
        <f t="shared" si="5"/>
        <v>19.135591871220527</v>
      </c>
      <c r="O22" s="82"/>
      <c r="P22" s="85"/>
      <c r="Q22" s="513" t="s">
        <v>11</v>
      </c>
      <c r="R22" s="514"/>
      <c r="S22" s="515" t="s">
        <v>12</v>
      </c>
      <c r="T22" s="516" t="s">
        <v>13</v>
      </c>
      <c r="U22" s="517" t="s">
        <v>91</v>
      </c>
      <c r="V22" s="516" t="s">
        <v>14</v>
      </c>
      <c r="W22" s="518" t="s">
        <v>92</v>
      </c>
      <c r="X22" s="86"/>
    </row>
    <row r="23" spans="2:27" ht="21.75" customHeight="1" x14ac:dyDescent="0.3">
      <c r="C23" s="83"/>
      <c r="D23" s="97" t="s">
        <v>4</v>
      </c>
      <c r="E23" s="300">
        <f>+('[1]5월'!$AL$13+'[1]5월'!$AV$13+'[1]5월'!$AL$20+'[1]5월'!$AV$20+'[1]5월'!$AL$22+'[1]5월'!$AV$22)/1000</f>
        <v>81.055168999999992</v>
      </c>
      <c r="F23" s="301">
        <f>+('[2]5월'!$F$13+'[2]5월'!$F$20+'[2]5월'!$F$22)/1000-F21-F22-('[2]5월'!$AO$13+'[2]5월'!$AO$20+'[2]5월'!$AO$22)/1000</f>
        <v>63.591676999999891</v>
      </c>
      <c r="G23" s="273">
        <f t="shared" si="0"/>
        <v>-17.463492000000102</v>
      </c>
      <c r="H23" s="274">
        <f>+('[3]5월'!$F$13+'[3]5월'!$F$20+'[3]5월'!$F$22)/1000-H21-H22-('[3]5월'!$AO$13+'[3]5월'!$AO$20+'[3]5월'!$AO$22)/1000</f>
        <v>63.464138999999477</v>
      </c>
      <c r="I23" s="275">
        <f t="shared" si="1"/>
        <v>0.12753800000041338</v>
      </c>
      <c r="J23" s="300">
        <f>+('[1]5월누계'!$AL$13+'[1]5월누계'!$AV$13+'[1]5월누계'!$AL$20+'[1]5월누계'!$AV$20+'[1]5월누계'!$AL$22+'[1]5월누계'!$AV$22)/1000</f>
        <v>319.25733999999994</v>
      </c>
      <c r="K23" s="301">
        <f>+('[2]5월누계'!$F$13+'[2]5월누계'!$F$20+'[2]5월누계'!$F$22)/1000-K21-K22-('[2]5월누계'!$AO$13+'[2]5월누계'!$AO$20+'[2]5월누계'!$AO$22)/1000</f>
        <v>73.683920999999259</v>
      </c>
      <c r="L23" s="273">
        <f t="shared" si="4"/>
        <v>-245.57341900000068</v>
      </c>
      <c r="M23" s="274">
        <f>+('[3]5월누계'!$F$13+'[3]5월누계'!$F$20+'[3]5월누계'!$F$22)/1000-M21-M22-('[3]5월누계'!$AO$13+'[3]5월누계'!$AO$20+'[3]5월누계'!$AO$22)/1000</f>
        <v>1213.9716509099985</v>
      </c>
      <c r="N23" s="275">
        <f t="shared" si="5"/>
        <v>-1140.2877299099991</v>
      </c>
      <c r="O23" s="82"/>
      <c r="P23" s="85"/>
      <c r="Q23" s="543" t="s">
        <v>88</v>
      </c>
      <c r="R23" s="544" t="s">
        <v>89</v>
      </c>
      <c r="S23" s="189">
        <f>+[6]원가손익!$W$10+[7]원가손익!$U$27+[8]손익!$F$10</f>
        <v>45427.16717948718</v>
      </c>
      <c r="T23" s="195">
        <f>+[6]원가손익!$X$10+[7]원가손익!$V$27+[8]손익!$G$10</f>
        <v>31626</v>
      </c>
      <c r="U23" s="192">
        <f>+T23-S23</f>
        <v>-13801.16717948718</v>
      </c>
      <c r="V23" s="173">
        <f>+[9]원가손익!$X$10+[10]원가손익!$V$27+[11]손익!$Y$25</f>
        <v>43506</v>
      </c>
      <c r="W23" s="170">
        <f>+T23-V23</f>
        <v>-11880</v>
      </c>
      <c r="X23" s="86"/>
    </row>
    <row r="24" spans="2:27" ht="21.75" customHeight="1" x14ac:dyDescent="0.3">
      <c r="C24" s="98" t="s">
        <v>8</v>
      </c>
      <c r="D24" s="99"/>
      <c r="E24" s="300">
        <f>SUM(E21:E23)</f>
        <v>2144.5515723646572</v>
      </c>
      <c r="F24" s="301">
        <f>SUM(F21:F23)</f>
        <v>2121.9065639976334</v>
      </c>
      <c r="G24" s="273">
        <f t="shared" si="0"/>
        <v>-22.64500836702382</v>
      </c>
      <c r="H24" s="274">
        <f>SUM(H21:H23)</f>
        <v>2173.2693899963133</v>
      </c>
      <c r="I24" s="275">
        <f t="shared" si="1"/>
        <v>-51.362825998679909</v>
      </c>
      <c r="J24" s="300">
        <f>SUM(J21:J23)</f>
        <v>11359.764556285625</v>
      </c>
      <c r="K24" s="301">
        <f>SUM(K21:K23)</f>
        <v>11381.674591997737</v>
      </c>
      <c r="L24" s="273">
        <f t="shared" si="4"/>
        <v>21.910035712111494</v>
      </c>
      <c r="M24" s="274">
        <f>SUM(M21:M23)</f>
        <v>12090.57465099541</v>
      </c>
      <c r="N24" s="275">
        <f t="shared" si="5"/>
        <v>-708.90005899767311</v>
      </c>
      <c r="O24" s="82"/>
      <c r="P24" s="85"/>
      <c r="Q24" s="545"/>
      <c r="R24" s="546" t="s">
        <v>90</v>
      </c>
      <c r="S24" s="191">
        <f>+[6]원가손익!$W$14+[7]원가손익!$U$29+[8]손익!$F$12</f>
        <v>28160</v>
      </c>
      <c r="T24" s="130">
        <f>+[6]원가손익!$X$14+[7]원가손익!$V$29+[8]손익!$G$12</f>
        <v>20952</v>
      </c>
      <c r="U24" s="194">
        <f>+T24-S24</f>
        <v>-7208</v>
      </c>
      <c r="V24" s="65">
        <f>+[9]원가손익!$X$14+[10]원가손익!$V$29+[11]손익!$Y$27</f>
        <v>26183</v>
      </c>
      <c r="W24" s="172">
        <f>+T24-V24</f>
        <v>-5231</v>
      </c>
      <c r="X24" s="86"/>
    </row>
    <row r="25" spans="2:27" ht="21.75" customHeight="1" x14ac:dyDescent="0.3">
      <c r="C25" s="83" t="s">
        <v>7</v>
      </c>
      <c r="D25" s="91" t="s">
        <v>40</v>
      </c>
      <c r="E25" s="295">
        <f>+E17-E21</f>
        <v>1510.3631218245637</v>
      </c>
      <c r="F25" s="302">
        <f>+F17-F21</f>
        <v>36.030835909611369</v>
      </c>
      <c r="G25" s="297">
        <f t="shared" si="0"/>
        <v>-1474.3322859149523</v>
      </c>
      <c r="H25" s="298">
        <f>+H17-H21</f>
        <v>148.50841405081155</v>
      </c>
      <c r="I25" s="299">
        <f t="shared" si="1"/>
        <v>-112.47757814120018</v>
      </c>
      <c r="J25" s="295">
        <f>+J17-J21</f>
        <v>466.5523978211786</v>
      </c>
      <c r="K25" s="302">
        <f>+K17-K21</f>
        <v>-3046.7043928623825</v>
      </c>
      <c r="L25" s="297">
        <f t="shared" si="4"/>
        <v>-3513.2567906835611</v>
      </c>
      <c r="M25" s="298">
        <f>+M17-M21</f>
        <v>-935.55612982122329</v>
      </c>
      <c r="N25" s="299">
        <f t="shared" si="5"/>
        <v>-2111.1482630411592</v>
      </c>
      <c r="O25" s="82"/>
      <c r="P25" s="85"/>
      <c r="Q25" s="511" t="s">
        <v>98</v>
      </c>
      <c r="R25" s="512"/>
      <c r="S25" s="191">
        <f>SUM(S23:S24)</f>
        <v>73587.16717948718</v>
      </c>
      <c r="T25" s="130">
        <f>SUM(T23:T24)</f>
        <v>52578</v>
      </c>
      <c r="U25" s="194">
        <f>+T25-S25</f>
        <v>-21009.16717948718</v>
      </c>
      <c r="V25" s="65">
        <f>SUM(V23:V24)</f>
        <v>69689</v>
      </c>
      <c r="W25" s="172">
        <f>+T25-V25</f>
        <v>-17111</v>
      </c>
      <c r="X25" s="86"/>
    </row>
    <row r="26" spans="2:27" ht="21.75" customHeight="1" x14ac:dyDescent="0.3">
      <c r="C26" s="83"/>
      <c r="D26" s="105" t="s">
        <v>10</v>
      </c>
      <c r="E26" s="183">
        <f>+E25/E9</f>
        <v>5.5149465060555396E-2</v>
      </c>
      <c r="F26" s="187">
        <f>+F25/F9</f>
        <v>1.6097836419576603E-3</v>
      </c>
      <c r="G26" s="185">
        <f t="shared" si="0"/>
        <v>-5.3539681418597738E-2</v>
      </c>
      <c r="H26" s="106">
        <f>+H25/H9</f>
        <v>6.2398682120218566E-3</v>
      </c>
      <c r="I26" s="107">
        <f t="shared" si="1"/>
        <v>-4.6300845700641968E-3</v>
      </c>
      <c r="J26" s="183">
        <f>+J25/J9</f>
        <v>3.9434388374872701E-3</v>
      </c>
      <c r="K26" s="187">
        <f>+K25/K9</f>
        <v>-2.7468117796525238E-2</v>
      </c>
      <c r="L26" s="185">
        <f t="shared" si="4"/>
        <v>-3.1411556634012509E-2</v>
      </c>
      <c r="M26" s="106">
        <f>+M25/M9</f>
        <v>-8.0694179560262848E-3</v>
      </c>
      <c r="N26" s="107">
        <f t="shared" si="5"/>
        <v>-1.9398699840498954E-2</v>
      </c>
      <c r="O26" s="82"/>
      <c r="P26" s="85"/>
      <c r="Q26" s="133" t="s">
        <v>110</v>
      </c>
      <c r="R26" s="523"/>
      <c r="S26" s="523"/>
      <c r="T26" s="523"/>
      <c r="U26" s="523"/>
      <c r="V26" s="523"/>
      <c r="W26" s="523"/>
      <c r="X26" s="86"/>
    </row>
    <row r="27" spans="2:27" ht="21.75" customHeight="1" x14ac:dyDescent="0.3">
      <c r="C27" s="83"/>
      <c r="D27" s="87" t="s">
        <v>1</v>
      </c>
      <c r="E27" s="293">
        <f>+E18-E22</f>
        <v>-48.369251070097647</v>
      </c>
      <c r="F27" s="294">
        <f>+F18-F22</f>
        <v>-104.99959590724711</v>
      </c>
      <c r="G27" s="270">
        <f t="shared" si="0"/>
        <v>-56.630344837149465</v>
      </c>
      <c r="H27" s="271">
        <f>+H18-H22</f>
        <v>13.451173972875814</v>
      </c>
      <c r="I27" s="272">
        <f t="shared" si="1"/>
        <v>-118.45076988012292</v>
      </c>
      <c r="J27" s="293">
        <f>+J18-J22</f>
        <v>-330.64493317864515</v>
      </c>
      <c r="K27" s="294">
        <f>+K18-K22</f>
        <v>-647.19291413540338</v>
      </c>
      <c r="L27" s="270">
        <f t="shared" si="4"/>
        <v>-316.54798095675824</v>
      </c>
      <c r="M27" s="271">
        <f>+M18-M22</f>
        <v>-434.28732924418227</v>
      </c>
      <c r="N27" s="272">
        <f t="shared" si="5"/>
        <v>-212.90558489122111</v>
      </c>
      <c r="O27" s="82"/>
      <c r="P27" s="85"/>
      <c r="Q27" s="513" t="s">
        <v>11</v>
      </c>
      <c r="R27" s="514"/>
      <c r="S27" s="515" t="s">
        <v>12</v>
      </c>
      <c r="T27" s="516" t="s">
        <v>13</v>
      </c>
      <c r="U27" s="517" t="s">
        <v>91</v>
      </c>
      <c r="V27" s="516" t="s">
        <v>14</v>
      </c>
      <c r="W27" s="518" t="s">
        <v>92</v>
      </c>
      <c r="X27" s="86"/>
    </row>
    <row r="28" spans="2:27" ht="21.75" customHeight="1" x14ac:dyDescent="0.3">
      <c r="B28" s="80"/>
      <c r="C28" s="83"/>
      <c r="D28" s="97" t="s">
        <v>4</v>
      </c>
      <c r="E28" s="300">
        <f>+E19-E23</f>
        <v>-16.03479533334162</v>
      </c>
      <c r="F28" s="301">
        <f>+F19-F23</f>
        <v>-28.134901999999897</v>
      </c>
      <c r="G28" s="273">
        <f t="shared" si="0"/>
        <v>-12.100106666658277</v>
      </c>
      <c r="H28" s="274">
        <f>+H19-H23</f>
        <v>36.858987000001889</v>
      </c>
      <c r="I28" s="275">
        <f t="shared" si="1"/>
        <v>-64.993889000001786</v>
      </c>
      <c r="J28" s="300">
        <f>+J19-J23</f>
        <v>450.27884033335334</v>
      </c>
      <c r="K28" s="301">
        <f>+K19-K23</f>
        <v>799.29543600000068</v>
      </c>
      <c r="L28" s="273">
        <f t="shared" si="4"/>
        <v>349.01659566664733</v>
      </c>
      <c r="M28" s="274">
        <f>+M19-M23</f>
        <v>-926.54930991001629</v>
      </c>
      <c r="N28" s="275">
        <f t="shared" si="5"/>
        <v>1725.8447459100171</v>
      </c>
      <c r="O28" s="82"/>
      <c r="P28" s="85"/>
      <c r="Q28" s="590" t="s">
        <v>102</v>
      </c>
      <c r="R28" s="591"/>
      <c r="S28" s="215">
        <f>+'사업장별(당월)'!T32</f>
        <v>25.462031000000003</v>
      </c>
      <c r="T28" s="216">
        <f>+'사업장별(당월)'!U32</f>
        <v>16.302810999999998</v>
      </c>
      <c r="U28" s="217">
        <f>+T28-S28</f>
        <v>-9.1592200000000048</v>
      </c>
      <c r="V28" s="218">
        <f>+'사업장별(당월)'!W32</f>
        <v>23.178219000000002</v>
      </c>
      <c r="W28" s="219">
        <f>+T28-V28</f>
        <v>-6.8754080000000037</v>
      </c>
      <c r="X28" s="86"/>
    </row>
    <row r="29" spans="2:27" ht="21.75" customHeight="1" x14ac:dyDescent="0.3">
      <c r="C29" s="83" t="s">
        <v>8</v>
      </c>
      <c r="D29" s="102"/>
      <c r="E29" s="293">
        <f>+E25+E27+E28</f>
        <v>1445.9590754211245</v>
      </c>
      <c r="F29" s="303">
        <f>+F25+F27+F28</f>
        <v>-97.103661997635641</v>
      </c>
      <c r="G29" s="270">
        <f t="shared" si="0"/>
        <v>-1543.0627374187602</v>
      </c>
      <c r="H29" s="271">
        <f>+H25+H27+H28</f>
        <v>198.81857502368925</v>
      </c>
      <c r="I29" s="272">
        <f t="shared" si="1"/>
        <v>-295.92223702132492</v>
      </c>
      <c r="J29" s="293">
        <f>+J25+J27+J28</f>
        <v>586.18630497588674</v>
      </c>
      <c r="K29" s="303">
        <f>+K25+K27+K28</f>
        <v>-2894.6018709977852</v>
      </c>
      <c r="L29" s="270">
        <f t="shared" si="4"/>
        <v>-3480.788175973672</v>
      </c>
      <c r="M29" s="271">
        <f>+M25+M27+M28</f>
        <v>-2296.3927689754219</v>
      </c>
      <c r="N29" s="272">
        <f t="shared" si="5"/>
        <v>-598.20910202236337</v>
      </c>
      <c r="O29" s="82"/>
      <c r="P29" s="85"/>
      <c r="Q29" s="592" t="s">
        <v>44</v>
      </c>
      <c r="R29" s="593"/>
      <c r="S29" s="156">
        <f>+'사업장별(당월)'!T33</f>
        <v>72.847672666666682</v>
      </c>
      <c r="T29" s="225">
        <f>+'사업장별(당월)'!U33</f>
        <v>4.0910010000000003</v>
      </c>
      <c r="U29" s="157">
        <f>+T29-S29</f>
        <v>-68.756671666666676</v>
      </c>
      <c r="V29" s="226">
        <f>+'사업장별(당월)'!W33</f>
        <v>66.602380999999994</v>
      </c>
      <c r="W29" s="158">
        <f>+T29-V29</f>
        <v>-62.511379999999996</v>
      </c>
      <c r="X29" s="86"/>
    </row>
    <row r="30" spans="2:27" ht="21.75" customHeight="1" thickBot="1" x14ac:dyDescent="0.35">
      <c r="B30" s="211"/>
      <c r="C30" s="108"/>
      <c r="D30" s="109" t="s">
        <v>9</v>
      </c>
      <c r="E30" s="184">
        <f>+E29/E12</f>
        <v>5.0138110308385254E-2</v>
      </c>
      <c r="F30" s="188">
        <f>+F29/F12</f>
        <v>-4.1054215426785824E-3</v>
      </c>
      <c r="G30" s="186">
        <f t="shared" si="0"/>
        <v>-5.4243531851063835E-2</v>
      </c>
      <c r="H30" s="110">
        <f>+H29/H12</f>
        <v>7.8317138994429443E-3</v>
      </c>
      <c r="I30" s="111">
        <f t="shared" si="1"/>
        <v>-1.1937135442121527E-2</v>
      </c>
      <c r="J30" s="184">
        <f>+J29/J12</f>
        <v>4.6827051519899776E-3</v>
      </c>
      <c r="K30" s="188">
        <f>+K29/K12</f>
        <v>-2.4627398297316836E-2</v>
      </c>
      <c r="L30" s="186">
        <f t="shared" si="4"/>
        <v>-2.9310103449306815E-2</v>
      </c>
      <c r="M30" s="110">
        <f>+M29/M12</f>
        <v>-1.864817310917672E-2</v>
      </c>
      <c r="N30" s="111">
        <f t="shared" si="5"/>
        <v>-5.9792251881401158E-3</v>
      </c>
      <c r="O30" s="82"/>
      <c r="P30" s="85"/>
      <c r="Q30" s="594" t="s">
        <v>29</v>
      </c>
      <c r="R30" s="595"/>
      <c r="S30" s="232">
        <f>+'사업장별(당월)'!T34</f>
        <v>-1350.3535897090505</v>
      </c>
      <c r="T30" s="233">
        <f>+'사업장별(당월)'!U34</f>
        <v>-1314.2614820903864</v>
      </c>
      <c r="U30" s="234">
        <f>+T30-S30</f>
        <v>36.092107618664159</v>
      </c>
      <c r="V30" s="235">
        <f>+'사업장별(당월)'!W34</f>
        <v>-1405.804687949189</v>
      </c>
      <c r="W30" s="236">
        <f>+T30-V30</f>
        <v>91.543205858802594</v>
      </c>
      <c r="X30" s="86"/>
      <c r="Z30" s="211"/>
      <c r="AA30" s="211"/>
    </row>
    <row r="31" spans="2:27" ht="21.75" customHeight="1" thickTop="1" thickBot="1" x14ac:dyDescent="0.35">
      <c r="B31" s="211"/>
      <c r="C31" s="542" t="s">
        <v>173</v>
      </c>
      <c r="O31" s="82"/>
      <c r="P31" s="85"/>
      <c r="Q31" s="596" t="s">
        <v>101</v>
      </c>
      <c r="R31" s="597"/>
      <c r="S31" s="227">
        <f>+S32-S28-S29-S30</f>
        <v>-114.34449900000322</v>
      </c>
      <c r="T31" s="228">
        <f>+T32-T28-T29-T30</f>
        <v>-48.528714000005493</v>
      </c>
      <c r="U31" s="229">
        <f>+T31-S31</f>
        <v>65.815784999997732</v>
      </c>
      <c r="V31" s="230">
        <f>+V32-V28-V29-V30</f>
        <v>-52.921612999998615</v>
      </c>
      <c r="W31" s="231">
        <f>+T31-V31</f>
        <v>4.3928989999931218</v>
      </c>
      <c r="X31" s="86"/>
    </row>
    <row r="32" spans="2:27" ht="21.75" customHeight="1" thickTop="1" x14ac:dyDescent="0.3">
      <c r="B32" s="211"/>
      <c r="C32" s="534" t="s">
        <v>169</v>
      </c>
      <c r="D32" s="536"/>
      <c r="E32" s="537">
        <f>+IFERROR(HLOOKUP($E$5,[12]손익!$G$5:$AI$54,2,),)</f>
        <v>8100</v>
      </c>
      <c r="F32" s="541">
        <f>+'[2]5월'!$AO$7</f>
        <v>3740.2310000000002</v>
      </c>
      <c r="G32" s="538">
        <f t="shared" ref="G32:G33" si="12">+F32-E32</f>
        <v>-4359.7690000000002</v>
      </c>
      <c r="H32" s="539">
        <f>+'[3]5월'!$AO$7</f>
        <v>10256.286000000002</v>
      </c>
      <c r="I32" s="540">
        <f t="shared" ref="I32:I33" si="13">+F32-H32</f>
        <v>-6516.0550000000021</v>
      </c>
      <c r="J32" s="537">
        <f>+'[1]5월누계'!$AA$7</f>
        <v>41000</v>
      </c>
      <c r="K32" s="541">
        <f>+'[2]5월누계'!$AO$7</f>
        <v>21045.184999999998</v>
      </c>
      <c r="L32" s="538">
        <f t="shared" ref="L32:L33" si="14">+K32-J32</f>
        <v>-19954.815000000002</v>
      </c>
      <c r="M32" s="539">
        <f>+'[3]5월누계'!$AO$7</f>
        <v>55602.745999999999</v>
      </c>
      <c r="N32" s="540">
        <f t="shared" ref="N32:N33" si="15">+K32-M32</f>
        <v>-34557.561000000002</v>
      </c>
      <c r="O32" s="82"/>
      <c r="P32" s="85"/>
      <c r="Q32" s="677" t="s">
        <v>100</v>
      </c>
      <c r="R32" s="678"/>
      <c r="S32" s="220">
        <f>+'사업장별(당월)'!T40</f>
        <v>-1366.388385042387</v>
      </c>
      <c r="T32" s="221">
        <f>+'사업장별(당월)'!U40</f>
        <v>-1342.3963840903918</v>
      </c>
      <c r="U32" s="222">
        <f>+T32-S32</f>
        <v>23.992000951995124</v>
      </c>
      <c r="V32" s="223">
        <f>+'사업장별(당월)'!W40</f>
        <v>-1368.9457009491878</v>
      </c>
      <c r="W32" s="224">
        <f>+T32-V32</f>
        <v>26.549316858795919</v>
      </c>
      <c r="X32" s="86"/>
      <c r="Z32" s="211"/>
      <c r="AA32" s="211"/>
    </row>
    <row r="33" spans="2:31" ht="21.75" customHeight="1" x14ac:dyDescent="0.3">
      <c r="B33" s="211"/>
      <c r="C33" s="534" t="s">
        <v>170</v>
      </c>
      <c r="D33" s="535"/>
      <c r="E33" s="293">
        <f>+IFERROR(HLOOKUP($E$5,[12]손익!$G$5:$AI$54,3,),)/1000</f>
        <v>8182.0960100000002</v>
      </c>
      <c r="F33" s="294">
        <f>+'[2]5월'!$AO$8/1000</f>
        <v>4514.2479029999995</v>
      </c>
      <c r="G33" s="270">
        <f t="shared" si="12"/>
        <v>-3667.8481070000007</v>
      </c>
      <c r="H33" s="271">
        <f>+'[3]5월'!$AO$8/1000</f>
        <v>10025.105611999999</v>
      </c>
      <c r="I33" s="272">
        <f t="shared" si="13"/>
        <v>-5510.8577089999999</v>
      </c>
      <c r="J33" s="293">
        <f>+'[1]5월누계'!$AA$8/1000</f>
        <v>40039.457436999997</v>
      </c>
      <c r="K33" s="294">
        <f>+'[2]5월누계'!$AO$8/1000</f>
        <v>22521.329792</v>
      </c>
      <c r="L33" s="270">
        <f t="shared" si="14"/>
        <v>-17518.127644999997</v>
      </c>
      <c r="M33" s="271">
        <f>+'[3]5월누계'!$AO$8/1000</f>
        <v>48464.953320999994</v>
      </c>
      <c r="N33" s="272">
        <f t="shared" si="15"/>
        <v>-25943.623528999993</v>
      </c>
      <c r="O33" s="82"/>
      <c r="P33" s="85"/>
      <c r="X33" s="86"/>
      <c r="Z33" s="211"/>
      <c r="AA33" s="211"/>
    </row>
    <row r="34" spans="2:31" ht="21.75" customHeight="1" x14ac:dyDescent="0.3">
      <c r="B34" s="211"/>
      <c r="C34" s="534" t="s">
        <v>171</v>
      </c>
      <c r="D34" s="598"/>
      <c r="E34" s="291">
        <f>+IFERROR(HLOOKUP($E$5,[12]손익!$G$5:$AI$54,7,),)/1000</f>
        <v>221.87149000000116</v>
      </c>
      <c r="F34" s="292">
        <f>+'[2]5월'!$AO$12/1000</f>
        <v>-8.7023810000000523</v>
      </c>
      <c r="G34" s="267">
        <f>+F34-E34</f>
        <v>-230.57387100000122</v>
      </c>
      <c r="H34" s="268">
        <f>+'[3]5월'!$AO$12/1000</f>
        <v>183.69472900000028</v>
      </c>
      <c r="I34" s="269">
        <f>+F34-H34</f>
        <v>-192.39711000000034</v>
      </c>
      <c r="J34" s="291">
        <f>+'[1]5월누계'!$AA$12/1000</f>
        <v>927.55482600000505</v>
      </c>
      <c r="K34" s="292">
        <f>+'[2]5월누계'!$AO$12/1000</f>
        <v>436.4812829999961</v>
      </c>
      <c r="L34" s="267">
        <f>+K34-J34</f>
        <v>-491.07354300000895</v>
      </c>
      <c r="M34" s="268">
        <f>+'[3]5월누계'!$AO$12/1000</f>
        <v>683.85468699999149</v>
      </c>
      <c r="N34" s="269">
        <f>+K34-M34</f>
        <v>-247.37340399999539</v>
      </c>
      <c r="O34" s="82"/>
      <c r="P34" s="85"/>
      <c r="Q34" s="133" t="s">
        <v>84</v>
      </c>
      <c r="R34" s="138"/>
      <c r="S34" s="66"/>
      <c r="T34" s="139"/>
      <c r="U34" s="66"/>
      <c r="V34" s="523"/>
      <c r="W34" s="523"/>
      <c r="X34" s="86"/>
      <c r="Z34" s="211"/>
      <c r="AA34" s="211"/>
    </row>
    <row r="35" spans="2:31" ht="21.75" customHeight="1" x14ac:dyDescent="0.3">
      <c r="B35" s="211"/>
      <c r="C35" s="599" t="s">
        <v>180</v>
      </c>
      <c r="D35" s="600"/>
      <c r="E35" s="601">
        <f>+E34/E33</f>
        <v>2.7116705759604152E-2</v>
      </c>
      <c r="F35" s="602">
        <f t="shared" ref="F35" si="16">+F34/F33</f>
        <v>-1.9277587733311627E-3</v>
      </c>
      <c r="G35" s="603">
        <f t="shared" ref="G35:G37" si="17">+F35-E35</f>
        <v>-2.9044464532935313E-2</v>
      </c>
      <c r="H35" s="604">
        <f>+H34/H33</f>
        <v>1.8323470705397721E-2</v>
      </c>
      <c r="I35" s="605">
        <f>+I34/I33</f>
        <v>3.4912371205990132E-2</v>
      </c>
      <c r="J35" s="601">
        <f>+J34/J33</f>
        <v>2.3166018856760593E-2</v>
      </c>
      <c r="K35" s="602">
        <f t="shared" ref="K35" si="18">+K34/K33</f>
        <v>1.9380795318535874E-2</v>
      </c>
      <c r="L35" s="603">
        <f>+K35-J35</f>
        <v>-3.785223538224719E-3</v>
      </c>
      <c r="M35" s="604">
        <f>+M34/M33</f>
        <v>1.4110292905279152E-2</v>
      </c>
      <c r="N35" s="605">
        <f>+K35-M35</f>
        <v>5.2705024132567221E-3</v>
      </c>
      <c r="O35" s="82"/>
      <c r="P35" s="85"/>
      <c r="Q35" s="203" t="s">
        <v>11</v>
      </c>
      <c r="R35" s="204"/>
      <c r="S35" s="205" t="s">
        <v>12</v>
      </c>
      <c r="T35" s="206" t="s">
        <v>13</v>
      </c>
      <c r="U35" s="207" t="s">
        <v>91</v>
      </c>
      <c r="V35" s="206" t="s">
        <v>14</v>
      </c>
      <c r="W35" s="208" t="s">
        <v>92</v>
      </c>
      <c r="X35" s="86"/>
      <c r="Z35" s="211"/>
      <c r="AA35" s="211"/>
      <c r="AD35" s="81"/>
      <c r="AE35" s="211"/>
    </row>
    <row r="36" spans="2:31" ht="21.75" customHeight="1" x14ac:dyDescent="0.3">
      <c r="B36" s="211"/>
      <c r="C36" s="534" t="s">
        <v>172</v>
      </c>
      <c r="D36" s="598"/>
      <c r="E36" s="291">
        <f>+IFERROR(HLOOKUP($E$5,[12]손익!$G$5:$AI$54,20,),)/1000</f>
        <v>43.605065720363164</v>
      </c>
      <c r="F36" s="292">
        <f>+'[2]5월'!$AO$26/1000</f>
        <v>-207.87159500000007</v>
      </c>
      <c r="G36" s="267">
        <f t="shared" si="17"/>
        <v>-251.47666072036324</v>
      </c>
      <c r="H36" s="268">
        <f>+'[3]5월'!$AO$26/1000</f>
        <v>46.262732000000277</v>
      </c>
      <c r="I36" s="269">
        <f>+F36-H36</f>
        <v>-254.13432700000035</v>
      </c>
      <c r="J36" s="291">
        <f>+'[1]5월누계'!$AA$26/1000</f>
        <v>-39.796672642905612</v>
      </c>
      <c r="K36" s="292">
        <f>+'[2]5월누계'!$AO$26/1000</f>
        <v>-381.18587100000394</v>
      </c>
      <c r="L36" s="267">
        <f>+K36-J36</f>
        <v>-341.38919835709834</v>
      </c>
      <c r="M36" s="268">
        <f>+'[3]5월누계'!$AO$26/1000</f>
        <v>-60.320200000008427</v>
      </c>
      <c r="N36" s="269">
        <f>+K36-M36</f>
        <v>-320.86567099999553</v>
      </c>
      <c r="O36" s="82"/>
      <c r="P36" s="85"/>
      <c r="Q36" s="134" t="s">
        <v>85</v>
      </c>
      <c r="R36" s="135"/>
      <c r="S36" s="189">
        <f>+'[13]5월'!$F$10</f>
        <v>784722.22222222213</v>
      </c>
      <c r="T36" s="195">
        <f>+'[13]5월'!$G$10</f>
        <v>873685.86485701008</v>
      </c>
      <c r="U36" s="192">
        <f>+T36-S36</f>
        <v>88963.642634787946</v>
      </c>
      <c r="V36" s="173">
        <f>+'[14]5월'!$G$10</f>
        <v>798001.52569848381</v>
      </c>
      <c r="W36" s="170">
        <f>+T36-V36</f>
        <v>75684.339158526273</v>
      </c>
      <c r="X36" s="86"/>
      <c r="AA36" s="211"/>
    </row>
    <row r="37" spans="2:31" ht="20.100000000000001" customHeight="1" thickBot="1" x14ac:dyDescent="0.35">
      <c r="C37" s="599" t="s">
        <v>180</v>
      </c>
      <c r="D37" s="600"/>
      <c r="E37" s="601">
        <f>+E36/E33</f>
        <v>5.3293270657139551E-3</v>
      </c>
      <c r="F37" s="607">
        <f t="shared" ref="F37" si="19">+F36/F33</f>
        <v>-4.604789091486456E-2</v>
      </c>
      <c r="G37" s="603">
        <f t="shared" si="17"/>
        <v>-5.1377217980578517E-2</v>
      </c>
      <c r="H37" s="604">
        <f>+H36/H33</f>
        <v>4.6146877439998263E-3</v>
      </c>
      <c r="I37" s="605">
        <f>+F37-H37</f>
        <v>-5.0662578658864386E-2</v>
      </c>
      <c r="J37" s="601">
        <f>+J36/J33</f>
        <v>-9.9393636153845516E-4</v>
      </c>
      <c r="K37" s="607">
        <f t="shared" ref="K37" si="20">+K36/K33</f>
        <v>-1.6925549002679598E-2</v>
      </c>
      <c r="L37" s="603">
        <f>+K37-J37</f>
        <v>-1.5931612641141141E-2</v>
      </c>
      <c r="M37" s="604">
        <f>+M36/M33</f>
        <v>-1.2446148374576382E-3</v>
      </c>
      <c r="N37" s="605">
        <f>+K37-M37</f>
        <v>-1.5680934165221958E-2</v>
      </c>
      <c r="P37" s="524"/>
      <c r="Q37" s="136" t="s">
        <v>86</v>
      </c>
      <c r="R37" s="137"/>
      <c r="S37" s="190">
        <f>+'[13]5월'!$F$15</f>
        <v>2.3362831858407079E-2</v>
      </c>
      <c r="T37" s="196">
        <f>+'[13]5월'!$G$15</f>
        <v>-1.0994486018751424E-2</v>
      </c>
      <c r="U37" s="193">
        <f>+T37-S37</f>
        <v>-3.4357317877158504E-2</v>
      </c>
      <c r="V37" s="174">
        <f>+'[14]5월'!$G$15</f>
        <v>1.6605663837480539E-2</v>
      </c>
      <c r="W37" s="171">
        <f>+T37-V37</f>
        <v>-2.7600149856231965E-2</v>
      </c>
      <c r="X37" s="525"/>
    </row>
    <row r="38" spans="2:31" ht="17.25" thickTop="1" x14ac:dyDescent="0.3">
      <c r="N38" s="213"/>
      <c r="O38" s="213"/>
      <c r="P38" s="523"/>
      <c r="Q38" s="523"/>
      <c r="R38" s="523"/>
      <c r="S38" s="523"/>
      <c r="T38" s="523"/>
      <c r="U38" s="523"/>
      <c r="V38" s="523"/>
      <c r="W38" s="523"/>
      <c r="X38" s="523"/>
    </row>
    <row r="39" spans="2:31" x14ac:dyDescent="0.3">
      <c r="E39" s="454">
        <f>+'[1]5월'!$E$26/1000</f>
        <v>1489.5641411414924</v>
      </c>
      <c r="F39" s="460">
        <f>+'[2]5월'!$F$26/1000</f>
        <v>-304.97525699763838</v>
      </c>
      <c r="G39" s="460"/>
      <c r="H39" s="460">
        <f>+'[3]5월'!$F$26/1000</f>
        <v>245.081307023688</v>
      </c>
      <c r="I39" s="460"/>
      <c r="J39" s="606">
        <f>+'[1]5월누계'!$E$26/1000</f>
        <v>546.38963233297602</v>
      </c>
      <c r="K39" s="606">
        <f>+'[2]5월누계'!$F$26/1000</f>
        <v>-3275.7877419977644</v>
      </c>
      <c r="L39" s="606"/>
      <c r="M39" s="606">
        <f>+'[3]5월누계'!$F$26/1000</f>
        <v>-2356.7129689754352</v>
      </c>
      <c r="P39" s="523"/>
      <c r="Q39" s="523"/>
      <c r="R39" s="523"/>
      <c r="S39" s="523"/>
      <c r="T39" s="523"/>
      <c r="U39" s="523"/>
      <c r="V39" s="523"/>
      <c r="W39" s="523"/>
      <c r="X39" s="523"/>
    </row>
    <row r="40" spans="2:31" x14ac:dyDescent="0.3">
      <c r="E40" s="214">
        <f>+(E29+E36)-E39</f>
        <v>-4.7748471843078732E-12</v>
      </c>
      <c r="F40" s="214">
        <f>+(F29+F36)-F39</f>
        <v>2.6716406864579767E-12</v>
      </c>
      <c r="G40" s="212"/>
      <c r="H40" s="214">
        <f>+(H29+H36)-H39</f>
        <v>1.5347723092418164E-12</v>
      </c>
      <c r="I40" s="212"/>
      <c r="J40" s="214">
        <f>+(J29+J36)-J39</f>
        <v>5.1159076974727213E-12</v>
      </c>
      <c r="K40" s="214">
        <f>+(K29+K36)-K39</f>
        <v>-2.4556356947869062E-11</v>
      </c>
      <c r="L40" s="212"/>
      <c r="M40" s="214">
        <f>+(M29+M36)-M39</f>
        <v>5.0022208597511053E-12</v>
      </c>
      <c r="N40" s="212"/>
      <c r="O40" s="81"/>
      <c r="P40" s="81"/>
    </row>
    <row r="42" spans="2:31" x14ac:dyDescent="0.3">
      <c r="E42" s="80"/>
      <c r="F42" s="80"/>
      <c r="G42" s="80"/>
    </row>
  </sheetData>
  <mergeCells count="3">
    <mergeCell ref="Q32:R32"/>
    <mergeCell ref="C5:D6"/>
    <mergeCell ref="P5:X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0"/>
    <pageSetUpPr fitToPage="1"/>
  </sheetPr>
  <dimension ref="A1:AF28"/>
  <sheetViews>
    <sheetView showGridLines="0" showZeros="0" topLeftCell="E7" zoomScale="85" zoomScaleNormal="85" zoomScaleSheetLayoutView="85" workbookViewId="0">
      <selection activeCell="R27" sqref="R2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2"/>
      <c r="K1" s="4"/>
      <c r="L1" s="4"/>
      <c r="P1" s="4"/>
      <c r="Q1" s="4"/>
    </row>
    <row r="2" spans="1:32" ht="18" customHeight="1" x14ac:dyDescent="0.3">
      <c r="H2" s="5"/>
    </row>
    <row r="3" spans="1:32" ht="26.25" x14ac:dyDescent="0.3">
      <c r="H3" s="2" t="s">
        <v>216</v>
      </c>
    </row>
    <row r="4" spans="1:32" ht="18" customHeight="1" x14ac:dyDescent="0.3">
      <c r="H4" s="5"/>
    </row>
    <row r="5" spans="1:32" ht="18" customHeight="1" x14ac:dyDescent="0.3">
      <c r="H5" s="685" t="s">
        <v>11</v>
      </c>
      <c r="I5" s="686"/>
      <c r="J5" s="508" t="s">
        <v>210</v>
      </c>
      <c r="K5" s="509"/>
      <c r="L5" s="509"/>
      <c r="M5" s="509"/>
      <c r="N5" s="509"/>
      <c r="O5" s="509"/>
      <c r="P5" s="509"/>
      <c r="Q5" s="509"/>
      <c r="R5" s="509"/>
      <c r="S5" s="510"/>
      <c r="T5" s="508" t="s">
        <v>211</v>
      </c>
      <c r="U5" s="509"/>
      <c r="V5" s="509"/>
      <c r="W5" s="509"/>
      <c r="X5" s="509"/>
      <c r="Y5" s="509"/>
      <c r="Z5" s="509"/>
      <c r="AA5" s="509"/>
      <c r="AB5" s="509"/>
      <c r="AC5" s="510"/>
    </row>
    <row r="6" spans="1:32" s="6" customFormat="1" ht="19.5" customHeight="1" x14ac:dyDescent="0.3">
      <c r="G6" s="304"/>
      <c r="H6" s="685"/>
      <c r="I6" s="686"/>
      <c r="J6" s="145" t="s">
        <v>97</v>
      </c>
      <c r="K6" s="146"/>
      <c r="L6" s="146"/>
      <c r="M6" s="146"/>
      <c r="N6" s="147"/>
      <c r="O6" s="145" t="s">
        <v>166</v>
      </c>
      <c r="P6" s="146"/>
      <c r="Q6" s="146"/>
      <c r="R6" s="146"/>
      <c r="S6" s="147"/>
      <c r="T6" s="145" t="s">
        <v>97</v>
      </c>
      <c r="U6" s="146"/>
      <c r="V6" s="146"/>
      <c r="W6" s="146"/>
      <c r="X6" s="147"/>
      <c r="Y6" s="145" t="s">
        <v>97</v>
      </c>
      <c r="Z6" s="146"/>
      <c r="AA6" s="146"/>
      <c r="AB6" s="146"/>
      <c r="AC6" s="147"/>
    </row>
    <row r="7" spans="1:32" s="6" customFormat="1" ht="19.5" customHeight="1" x14ac:dyDescent="0.3">
      <c r="A7" s="6" t="s">
        <v>168</v>
      </c>
      <c r="G7" s="304"/>
      <c r="H7" s="687"/>
      <c r="I7" s="688"/>
      <c r="J7" s="148" t="s">
        <v>12</v>
      </c>
      <c r="K7" s="149" t="s">
        <v>13</v>
      </c>
      <c r="L7" s="150" t="s">
        <v>28</v>
      </c>
      <c r="M7" s="149" t="s">
        <v>14</v>
      </c>
      <c r="N7" s="151" t="s">
        <v>28</v>
      </c>
      <c r="O7" s="148" t="s">
        <v>12</v>
      </c>
      <c r="P7" s="149" t="s">
        <v>13</v>
      </c>
      <c r="Q7" s="150" t="s">
        <v>28</v>
      </c>
      <c r="R7" s="149" t="s">
        <v>14</v>
      </c>
      <c r="S7" s="151" t="s">
        <v>28</v>
      </c>
      <c r="T7" s="148" t="s">
        <v>12</v>
      </c>
      <c r="U7" s="149" t="s">
        <v>13</v>
      </c>
      <c r="V7" s="150" t="s">
        <v>28</v>
      </c>
      <c r="W7" s="149" t="s">
        <v>14</v>
      </c>
      <c r="X7" s="151" t="s">
        <v>28</v>
      </c>
      <c r="Y7" s="148" t="s">
        <v>12</v>
      </c>
      <c r="Z7" s="149" t="s">
        <v>13</v>
      </c>
      <c r="AA7" s="150" t="s">
        <v>28</v>
      </c>
      <c r="AB7" s="149" t="s">
        <v>14</v>
      </c>
      <c r="AC7" s="151" t="s">
        <v>28</v>
      </c>
    </row>
    <row r="8" spans="1:32" s="6" customFormat="1" ht="22.5" customHeight="1" x14ac:dyDescent="0.3">
      <c r="B8" s="6" t="s">
        <v>18</v>
      </c>
      <c r="G8" s="305"/>
      <c r="H8" s="67" t="s">
        <v>40</v>
      </c>
      <c r="I8" s="68" t="s">
        <v>18</v>
      </c>
      <c r="J8" s="30">
        <f>+[4]안양!$H$86/1000</f>
        <v>434.05382901278898</v>
      </c>
      <c r="K8" s="31">
        <f>+[4]안양!$I$86/1000</f>
        <v>439.64523199999962</v>
      </c>
      <c r="L8" s="35">
        <f>+K8-J8</f>
        <v>5.5914029872106426</v>
      </c>
      <c r="M8" s="36">
        <f>+[5]안양!$H$86/1000</f>
        <v>242.51178900000025</v>
      </c>
      <c r="N8" s="34">
        <f>+K8-M8</f>
        <v>197.13344299999937</v>
      </c>
      <c r="O8" s="30">
        <f>+[4]안양!$H$92/1000</f>
        <v>259.82369940647106</v>
      </c>
      <c r="P8" s="31">
        <f>+[4]안양!$I$92/1000</f>
        <v>239.02926585235477</v>
      </c>
      <c r="Q8" s="35">
        <f>+P8-O8</f>
        <v>-20.794433554116296</v>
      </c>
      <c r="R8" s="36">
        <f>+[5]안양!$H$92/1000</f>
        <v>70.007907065969079</v>
      </c>
      <c r="S8" s="34">
        <f>+P8-R8</f>
        <v>169.02135878638569</v>
      </c>
      <c r="T8" s="30">
        <f>+[15]안양!$H$86/1000</f>
        <v>1612.0411052307779</v>
      </c>
      <c r="U8" s="31">
        <f>+[15]안양!$I$86/1000</f>
        <v>1569.8665670000012</v>
      </c>
      <c r="V8" s="35">
        <f>+U8-T8</f>
        <v>-42.174538230776761</v>
      </c>
      <c r="W8" s="36">
        <f>+[16]안양!$H$86/1000</f>
        <v>1107.785416999998</v>
      </c>
      <c r="X8" s="34">
        <f>+U8-W8</f>
        <v>462.08115000000316</v>
      </c>
      <c r="Y8" s="30">
        <f>+[15]안양!$H$92/1000</f>
        <v>574.57742417926409</v>
      </c>
      <c r="Z8" s="31">
        <f>+[15]안양!$I$92/1000</f>
        <v>368.56864743586442</v>
      </c>
      <c r="AA8" s="35">
        <f>+Z8-Y8</f>
        <v>-206.00877674339966</v>
      </c>
      <c r="AB8" s="36">
        <f>+[16]안양!$H$92/1000</f>
        <v>88.083270682137922</v>
      </c>
      <c r="AC8" s="34">
        <f>+Z8-AB8</f>
        <v>280.48537675372648</v>
      </c>
    </row>
    <row r="9" spans="1:32" s="6" customFormat="1" ht="22.5" customHeight="1" x14ac:dyDescent="0.3">
      <c r="B9" s="6" t="s">
        <v>19</v>
      </c>
      <c r="G9" s="306"/>
      <c r="H9" s="69" t="s">
        <v>41</v>
      </c>
      <c r="I9" s="70" t="s">
        <v>19</v>
      </c>
      <c r="J9" s="40">
        <f>+[4]인천!$H$86/1000</f>
        <v>296.46875049125043</v>
      </c>
      <c r="K9" s="41">
        <f>+[4]인천!$I$86/1000</f>
        <v>49.957465000000347</v>
      </c>
      <c r="L9" s="42">
        <f t="shared" ref="L9:L28" si="0">+K9-J9</f>
        <v>-246.51128549125008</v>
      </c>
      <c r="M9" s="43">
        <f>+[5]인천!$H$86/1000</f>
        <v>160.60506799999982</v>
      </c>
      <c r="N9" s="44">
        <f t="shared" ref="N9:N28" si="1">+K9-M9</f>
        <v>-110.64760299999946</v>
      </c>
      <c r="O9" s="40">
        <f>+[4]인천!$H$92/1000</f>
        <v>128.8948364726964</v>
      </c>
      <c r="P9" s="41">
        <f>+[4]인천!$I$92/1000</f>
        <v>-115.82281889548176</v>
      </c>
      <c r="Q9" s="42">
        <f t="shared" ref="Q9:Q28" si="2">+P9-O9</f>
        <v>-244.71765536817816</v>
      </c>
      <c r="R9" s="43">
        <f>+[5]인천!$H$92/1000</f>
        <v>-22.039388376601302</v>
      </c>
      <c r="S9" s="44">
        <f t="shared" ref="S9:S28" si="3">+P9-R9</f>
        <v>-93.783430518880465</v>
      </c>
      <c r="T9" s="40">
        <f>+[15]인천!$H$86/1000</f>
        <v>755.04965576180655</v>
      </c>
      <c r="U9" s="41">
        <f>+[15]인천!$I$86/1000</f>
        <v>97.222469000001695</v>
      </c>
      <c r="V9" s="42">
        <f t="shared" ref="V9:V24" si="4">+U9-T9</f>
        <v>-657.8271867618048</v>
      </c>
      <c r="W9" s="43">
        <f>+[16]인천!$H$86/1000</f>
        <v>304.48831599999869</v>
      </c>
      <c r="X9" s="44">
        <f t="shared" ref="X9:X24" si="5">+U9-W9</f>
        <v>-207.265846999997</v>
      </c>
      <c r="Y9" s="40">
        <f>+[15]인천!$H$92/1000</f>
        <v>-169.54075289438478</v>
      </c>
      <c r="Z9" s="41">
        <f>+[15]인천!$I$92/1000</f>
        <v>-821.43443997680799</v>
      </c>
      <c r="AA9" s="42">
        <f t="shared" ref="AA9:AA24" si="6">+Z9-Y9</f>
        <v>-651.89368708242318</v>
      </c>
      <c r="AB9" s="43">
        <f>+[16]인천!$H$92/1000</f>
        <v>-499.50165493116401</v>
      </c>
      <c r="AC9" s="44">
        <f t="shared" ref="AC9:AC24" si="7">+Z9-AB9</f>
        <v>-321.93278504564398</v>
      </c>
    </row>
    <row r="10" spans="1:32" s="6" customFormat="1" ht="22.5" customHeight="1" x14ac:dyDescent="0.3">
      <c r="B10" s="6" t="s">
        <v>20</v>
      </c>
      <c r="G10" s="306"/>
      <c r="H10" s="69"/>
      <c r="I10" s="70" t="s">
        <v>20</v>
      </c>
      <c r="J10" s="40">
        <f>+[4]파주!$H$86/1000</f>
        <v>101.7488971038308</v>
      </c>
      <c r="K10" s="41">
        <f>+[4]파주!$I$86/1000</f>
        <v>48.322041999999904</v>
      </c>
      <c r="L10" s="42">
        <f t="shared" si="0"/>
        <v>-53.426855103830896</v>
      </c>
      <c r="M10" s="43">
        <f>+[5]파주!$H$86/1000</f>
        <v>-28.835517999999858</v>
      </c>
      <c r="N10" s="44">
        <f t="shared" si="1"/>
        <v>77.157559999999762</v>
      </c>
      <c r="O10" s="40">
        <f>+[4]파주!$H$92/1000</f>
        <v>16.664438627207435</v>
      </c>
      <c r="P10" s="41">
        <f>+[4]파주!$I$92/1000</f>
        <v>-30.096653559944048</v>
      </c>
      <c r="Q10" s="42">
        <f t="shared" si="2"/>
        <v>-46.761092187151483</v>
      </c>
      <c r="R10" s="43">
        <f>+[5]파주!$H$92/1000</f>
        <v>-89.797555581764371</v>
      </c>
      <c r="S10" s="44">
        <f t="shared" si="3"/>
        <v>59.700902021820326</v>
      </c>
      <c r="T10" s="40">
        <f>+[15]파주!$H$86/1000</f>
        <v>-12.101274581402889</v>
      </c>
      <c r="U10" s="41">
        <f>+[15]파주!$I$86/1000</f>
        <v>-166.68608000000069</v>
      </c>
      <c r="V10" s="42">
        <f t="shared" si="4"/>
        <v>-154.5848054185978</v>
      </c>
      <c r="W10" s="43">
        <f>+[16]파주!$H$86/1000</f>
        <v>-341.5858659999999</v>
      </c>
      <c r="X10" s="44">
        <f t="shared" si="5"/>
        <v>174.89978599999921</v>
      </c>
      <c r="Y10" s="40">
        <f>+[15]파주!$H$92/1000</f>
        <v>-410.1605505720342</v>
      </c>
      <c r="Z10" s="41">
        <f>+[15]파주!$I$92/1000</f>
        <v>-553.94869765307612</v>
      </c>
      <c r="AA10" s="42">
        <f t="shared" si="6"/>
        <v>-143.78814708104193</v>
      </c>
      <c r="AB10" s="43">
        <f>+[16]파주!$H$92/1000</f>
        <v>-655.06454355255198</v>
      </c>
      <c r="AC10" s="44">
        <f t="shared" si="7"/>
        <v>101.11584589947586</v>
      </c>
    </row>
    <row r="11" spans="1:32" s="6" customFormat="1" ht="22.5" customHeight="1" x14ac:dyDescent="0.3">
      <c r="B11" s="6" t="s">
        <v>107</v>
      </c>
      <c r="G11" s="306"/>
      <c r="H11" s="69"/>
      <c r="I11" s="70" t="s">
        <v>106</v>
      </c>
      <c r="J11" s="40">
        <f>+[4]김포!$H$86/1000</f>
        <v>101.76018548563223</v>
      </c>
      <c r="K11" s="41">
        <f>+[4]김포!$I$86/1000</f>
        <v>64.671647000000021</v>
      </c>
      <c r="L11" s="42">
        <f t="shared" si="0"/>
        <v>-37.088538485632213</v>
      </c>
      <c r="M11" s="43">
        <f>+[5]김포!$H$86/1000</f>
        <v>30.961595999999904</v>
      </c>
      <c r="N11" s="44">
        <f t="shared" si="1"/>
        <v>33.710051000000121</v>
      </c>
      <c r="O11" s="40">
        <f>+[4]김포!$H$92/1000</f>
        <v>32.792296600648392</v>
      </c>
      <c r="P11" s="41">
        <f>+[4]김포!$I$92/1000</f>
        <v>-20.227199380094795</v>
      </c>
      <c r="Q11" s="42">
        <f t="shared" si="2"/>
        <v>-53.019495980743187</v>
      </c>
      <c r="R11" s="43">
        <f>+[5]김포!$H$92/1000</f>
        <v>-29.130571323903713</v>
      </c>
      <c r="S11" s="44">
        <f t="shared" si="3"/>
        <v>8.9033719438089172</v>
      </c>
      <c r="T11" s="40">
        <f>+[15]김포!$H$86/1000</f>
        <v>136.83470280014953</v>
      </c>
      <c r="U11" s="41">
        <f>+[15]김포!$I$86/1000</f>
        <v>-28.492609999999157</v>
      </c>
      <c r="V11" s="42">
        <f t="shared" si="4"/>
        <v>-165.32731280014869</v>
      </c>
      <c r="W11" s="43">
        <f>+[16]김포!$H$86/1000</f>
        <v>-19.549578000000722</v>
      </c>
      <c r="X11" s="44">
        <f t="shared" si="5"/>
        <v>-8.9430319999984356</v>
      </c>
      <c r="Y11" s="40">
        <f>+[15]김포!$H$92/1000</f>
        <v>-207.86930800158498</v>
      </c>
      <c r="Z11" s="41">
        <f>+[15]김포!$I$92/1000</f>
        <v>-407.98935964031472</v>
      </c>
      <c r="AA11" s="42">
        <f t="shared" si="6"/>
        <v>-200.12005163872973</v>
      </c>
      <c r="AB11" s="43">
        <f>+[16]김포!$H$92/1000</f>
        <v>-293.90109832770537</v>
      </c>
      <c r="AC11" s="44">
        <f t="shared" si="7"/>
        <v>-114.08826131260935</v>
      </c>
    </row>
    <row r="12" spans="1:32" s="6" customFormat="1" ht="22.5" customHeight="1" x14ac:dyDescent="0.3">
      <c r="B12" s="6" t="s">
        <v>21</v>
      </c>
      <c r="G12" s="304"/>
      <c r="H12" s="69"/>
      <c r="I12" s="71" t="s">
        <v>21</v>
      </c>
      <c r="J12" s="57">
        <f>+[4]부산!$H$86/1000</f>
        <v>211.20210961855889</v>
      </c>
      <c r="K12" s="58">
        <f>+[4]부산!$I$86/1000</f>
        <v>92.754418000000157</v>
      </c>
      <c r="L12" s="59">
        <f t="shared" si="0"/>
        <v>-118.44769161855874</v>
      </c>
      <c r="M12" s="60">
        <f>+[5]부산!$H$86/1000</f>
        <v>308.13144899999986</v>
      </c>
      <c r="N12" s="61">
        <f t="shared" si="1"/>
        <v>-215.3770309999997</v>
      </c>
      <c r="O12" s="57">
        <f>+[4]부산!$H$92/1000</f>
        <v>101.70947230433826</v>
      </c>
      <c r="P12" s="58">
        <f>+[4]부산!$I$92/1000</f>
        <v>-0.62538271536973478</v>
      </c>
      <c r="Q12" s="59">
        <f t="shared" si="2"/>
        <v>-102.334855019708</v>
      </c>
      <c r="R12" s="60">
        <f>+[5]부산!$H$92/1000</f>
        <v>168.40765164444696</v>
      </c>
      <c r="S12" s="61">
        <f t="shared" si="3"/>
        <v>-169.0330343598167</v>
      </c>
      <c r="T12" s="57">
        <f>+[15]부산!$H$86/1000</f>
        <v>853.56490293706099</v>
      </c>
      <c r="U12" s="58">
        <f>+[15]부산!$I$86/1000</f>
        <v>1096.3584089999997</v>
      </c>
      <c r="V12" s="59">
        <f t="shared" si="4"/>
        <v>242.79350606293872</v>
      </c>
      <c r="W12" s="60">
        <f>+[16]부산!$H$86/1000</f>
        <v>984.20983199999876</v>
      </c>
      <c r="X12" s="61">
        <f t="shared" si="5"/>
        <v>112.14857700000096</v>
      </c>
      <c r="Y12" s="57">
        <f>+[15]부산!$H$92/1000</f>
        <v>184.00327567083005</v>
      </c>
      <c r="Z12" s="58">
        <f>+[15]부산!$I$92/1000</f>
        <v>276.09194813397806</v>
      </c>
      <c r="AA12" s="59">
        <f t="shared" si="6"/>
        <v>92.088672463148015</v>
      </c>
      <c r="AB12" s="60">
        <f>+[16]부산!$H$92/1000</f>
        <v>326.88041739097309</v>
      </c>
      <c r="AC12" s="61">
        <f t="shared" si="7"/>
        <v>-50.788469256995029</v>
      </c>
      <c r="AD12" s="457"/>
      <c r="AE12" s="81"/>
    </row>
    <row r="13" spans="1:32" s="6" customFormat="1" ht="22.5" customHeight="1" x14ac:dyDescent="0.3">
      <c r="B13" s="6" t="s">
        <v>22</v>
      </c>
      <c r="G13" s="304"/>
      <c r="H13" s="69"/>
      <c r="I13" s="70" t="s">
        <v>22</v>
      </c>
      <c r="J13" s="40">
        <f>+[4]서부산!$H$86/1000</f>
        <v>317.84869710813064</v>
      </c>
      <c r="K13" s="41">
        <f>+[4]서부산!$I$86/1000</f>
        <v>220.01483799999994</v>
      </c>
      <c r="L13" s="42">
        <f t="shared" si="0"/>
        <v>-97.833859108130696</v>
      </c>
      <c r="M13" s="43">
        <f>+[5]서부산!$H$86/1000</f>
        <v>89.008720999999809</v>
      </c>
      <c r="N13" s="44">
        <f t="shared" si="1"/>
        <v>131.00611700000013</v>
      </c>
      <c r="O13" s="40">
        <f>+[4]서부산!$H$92/1000</f>
        <v>211.66803110944164</v>
      </c>
      <c r="P13" s="41">
        <f>+[4]서부산!$I$92/1000</f>
        <v>94.690920805979118</v>
      </c>
      <c r="Q13" s="42">
        <f t="shared" si="2"/>
        <v>-116.97711030346252</v>
      </c>
      <c r="R13" s="43">
        <f>+[5]서부산!$H$92/1000</f>
        <v>-11.917371199551097</v>
      </c>
      <c r="S13" s="44">
        <f t="shared" si="3"/>
        <v>106.60829200553022</v>
      </c>
      <c r="T13" s="40">
        <f>+[15]서부산!$H$86/1000</f>
        <v>1228.2769813409632</v>
      </c>
      <c r="U13" s="41">
        <f>+[15]서부산!$I$86/1000</f>
        <v>774.01666299999908</v>
      </c>
      <c r="V13" s="42">
        <f t="shared" si="4"/>
        <v>-454.26031834096409</v>
      </c>
      <c r="W13" s="43">
        <f>+[16]서부산!$H$86/1000</f>
        <v>503.89406999999835</v>
      </c>
      <c r="X13" s="44">
        <f t="shared" si="5"/>
        <v>270.12259300000073</v>
      </c>
      <c r="Y13" s="40">
        <f>+[15]서부산!$H$92/1000</f>
        <v>590.79351369478889</v>
      </c>
      <c r="Z13" s="41">
        <f>+[15]서부산!$I$92/1000</f>
        <v>138.28183307761455</v>
      </c>
      <c r="AA13" s="42">
        <f t="shared" si="6"/>
        <v>-452.51168061717431</v>
      </c>
      <c r="AB13" s="43">
        <f>+[16]서부산!$H$92/1000</f>
        <v>-26.581075429476275</v>
      </c>
      <c r="AC13" s="44">
        <f t="shared" si="7"/>
        <v>164.86290850709082</v>
      </c>
    </row>
    <row r="14" spans="1:32" s="6" customFormat="1" ht="22.5" customHeight="1" x14ac:dyDescent="0.3">
      <c r="B14" s="6" t="s">
        <v>23</v>
      </c>
      <c r="G14" s="304"/>
      <c r="H14" s="69"/>
      <c r="I14" s="70" t="s">
        <v>23</v>
      </c>
      <c r="J14" s="40">
        <f>+[4]김해!$H$86/1000</f>
        <v>84.549448450180179</v>
      </c>
      <c r="K14" s="41">
        <f>+[4]김해!$I$86/1000</f>
        <v>-21.796408000000039</v>
      </c>
      <c r="L14" s="42">
        <f t="shared" si="0"/>
        <v>-106.34585645018022</v>
      </c>
      <c r="M14" s="43">
        <f>+[5]김해!$H$86/1000</f>
        <v>-70.922997999999907</v>
      </c>
      <c r="N14" s="44">
        <f t="shared" si="1"/>
        <v>49.126589999999865</v>
      </c>
      <c r="O14" s="40">
        <f>+[4]김해!$H$92/1000</f>
        <v>32.851239567384937</v>
      </c>
      <c r="P14" s="41">
        <f>+[4]김해!$I$92/1000</f>
        <v>-54.403769459230098</v>
      </c>
      <c r="Q14" s="42">
        <f t="shared" si="2"/>
        <v>-87.255009026615028</v>
      </c>
      <c r="R14" s="43">
        <f>+[5]김해!$H$92/1000</f>
        <v>-113.42006108734992</v>
      </c>
      <c r="S14" s="44">
        <f t="shared" si="3"/>
        <v>59.016291628119824</v>
      </c>
      <c r="T14" s="40">
        <f>+[15]김해!$H$86/1000</f>
        <v>158.77152248587703</v>
      </c>
      <c r="U14" s="41">
        <f>+[15]김해!$I$86/1000</f>
        <v>-147.49573199999986</v>
      </c>
      <c r="V14" s="42">
        <f t="shared" si="4"/>
        <v>-306.26725448587689</v>
      </c>
      <c r="W14" s="43">
        <f>+[16]김해!$H$86/1000</f>
        <v>-176.44743000000005</v>
      </c>
      <c r="X14" s="44">
        <f t="shared" si="5"/>
        <v>28.951698000000192</v>
      </c>
      <c r="Y14" s="40">
        <f>+[15]김해!$H$92/1000</f>
        <v>-115.60323163311533</v>
      </c>
      <c r="Z14" s="41">
        <f>+[15]김해!$I$92/1000</f>
        <v>-348.16614605976133</v>
      </c>
      <c r="AA14" s="42">
        <f t="shared" si="6"/>
        <v>-232.56291442664599</v>
      </c>
      <c r="AB14" s="43">
        <f>+[16]김해!$H$92/1000</f>
        <v>-418.87468005290742</v>
      </c>
      <c r="AC14" s="44">
        <f t="shared" si="7"/>
        <v>70.708533993146091</v>
      </c>
      <c r="AF14" s="453"/>
    </row>
    <row r="15" spans="1:32" s="6" customFormat="1" ht="22.5" customHeight="1" x14ac:dyDescent="0.3">
      <c r="B15" s="6" t="s">
        <v>24</v>
      </c>
      <c r="G15" s="304"/>
      <c r="H15" s="69"/>
      <c r="I15" s="70" t="s">
        <v>24</v>
      </c>
      <c r="J15" s="40">
        <f>+[4]정관!$H$86/1000</f>
        <v>323.96238640773635</v>
      </c>
      <c r="K15" s="41">
        <f>+[4]정관!$I$86/1000</f>
        <v>92.285134999999954</v>
      </c>
      <c r="L15" s="42">
        <f t="shared" si="0"/>
        <v>-231.67725140773638</v>
      </c>
      <c r="M15" s="43">
        <f>+[5]정관!$H$86/1000</f>
        <v>201.78350400000008</v>
      </c>
      <c r="N15" s="44">
        <f t="shared" si="1"/>
        <v>-109.49836900000012</v>
      </c>
      <c r="O15" s="40">
        <f>+[4]정관!$H$92/1000</f>
        <v>204.82019481191088</v>
      </c>
      <c r="P15" s="41">
        <f>+[4]정관!$I$92/1000</f>
        <v>-3.1200100672154805</v>
      </c>
      <c r="Q15" s="42">
        <f t="shared" si="2"/>
        <v>-207.94020487912636</v>
      </c>
      <c r="R15" s="43">
        <f>+[5]정관!$H$92/1000</f>
        <v>64.179564122349205</v>
      </c>
      <c r="S15" s="44">
        <f t="shared" si="3"/>
        <v>-67.29957418956468</v>
      </c>
      <c r="T15" s="40">
        <f>+[15]정관!$H$86/1000</f>
        <v>1023.5417090585861</v>
      </c>
      <c r="U15" s="41">
        <f>+[15]정관!$I$86/1000</f>
        <v>208.45938700000059</v>
      </c>
      <c r="V15" s="42">
        <f t="shared" si="4"/>
        <v>-815.08232205858553</v>
      </c>
      <c r="W15" s="43">
        <f>+[16]정관!$H$86/1000</f>
        <v>848.9454080000005</v>
      </c>
      <c r="X15" s="44">
        <f t="shared" si="5"/>
        <v>-640.48602099999994</v>
      </c>
      <c r="Y15" s="40">
        <f>+[15]정관!$H$92/1000</f>
        <v>332.55070495424025</v>
      </c>
      <c r="Z15" s="41">
        <f>+[15]정관!$I$92/1000</f>
        <v>-279.84599788695618</v>
      </c>
      <c r="AA15" s="42">
        <f t="shared" si="6"/>
        <v>-612.39670284119643</v>
      </c>
      <c r="AB15" s="43">
        <f>+[16]정관!$H$92/1000</f>
        <v>179.11155736495985</v>
      </c>
      <c r="AC15" s="44">
        <f t="shared" si="7"/>
        <v>-458.95755525191601</v>
      </c>
      <c r="AF15" s="453"/>
    </row>
    <row r="16" spans="1:32" s="6" customFormat="1" ht="22.5" customHeight="1" x14ac:dyDescent="0.3">
      <c r="B16" s="6" t="s">
        <v>25</v>
      </c>
      <c r="G16" s="304"/>
      <c r="H16" s="69"/>
      <c r="I16" s="70" t="s">
        <v>25</v>
      </c>
      <c r="J16" s="40">
        <f>+[4]양산!$H$86/1000</f>
        <v>114.96988323190634</v>
      </c>
      <c r="K16" s="41">
        <f>+[4]양산!$I$86/1000</f>
        <v>-39.795292999999944</v>
      </c>
      <c r="L16" s="42">
        <f t="shared" si="0"/>
        <v>-154.76517623190628</v>
      </c>
      <c r="M16" s="43">
        <f>+[5]양산!$H$86/1000</f>
        <v>38.252910999999905</v>
      </c>
      <c r="N16" s="44">
        <f t="shared" si="1"/>
        <v>-78.048203999999856</v>
      </c>
      <c r="O16" s="40">
        <f>+[4]양산!$H$92/1000</f>
        <v>63.242664593662042</v>
      </c>
      <c r="P16" s="41">
        <f>+[4]양산!$I$92/1000</f>
        <v>-63.319552720189172</v>
      </c>
      <c r="Q16" s="42">
        <f t="shared" si="2"/>
        <v>-126.56221731385122</v>
      </c>
      <c r="R16" s="43">
        <f>+[5]양산!$H$92/1000</f>
        <v>-9.5836433971816728</v>
      </c>
      <c r="S16" s="44">
        <f t="shared" si="3"/>
        <v>-53.735909323007498</v>
      </c>
      <c r="T16" s="40">
        <f>+[15]양산!$H$86/1000</f>
        <v>218.3606336679737</v>
      </c>
      <c r="U16" s="41">
        <f>+[15]양산!$I$86/1000</f>
        <v>-105.25103499999992</v>
      </c>
      <c r="V16" s="42">
        <f t="shared" si="4"/>
        <v>-323.61166866797362</v>
      </c>
      <c r="W16" s="43">
        <f>+[16]양산!$H$86/1000</f>
        <v>59.189077999999718</v>
      </c>
      <c r="X16" s="44">
        <f t="shared" si="5"/>
        <v>-164.44011299999963</v>
      </c>
      <c r="Y16" s="40">
        <f>+[15]양산!$H$92/1000</f>
        <v>-39.221665365248484</v>
      </c>
      <c r="Z16" s="41">
        <f>+[15]양산!$I$92/1000</f>
        <v>-276.3435296036032</v>
      </c>
      <c r="AA16" s="42">
        <f t="shared" si="6"/>
        <v>-237.1218642383547</v>
      </c>
      <c r="AB16" s="43">
        <f>+[16]양산!$H$92/1000</f>
        <v>-173.77892488870611</v>
      </c>
      <c r="AC16" s="44">
        <f t="shared" si="7"/>
        <v>-102.56460471489709</v>
      </c>
      <c r="AF16" s="453"/>
    </row>
    <row r="17" spans="2:30" s="6" customFormat="1" ht="22.5" customHeight="1" x14ac:dyDescent="0.3">
      <c r="B17" s="6" t="s">
        <v>26</v>
      </c>
      <c r="G17" s="304"/>
      <c r="H17" s="69"/>
      <c r="I17" s="70" t="s">
        <v>26</v>
      </c>
      <c r="J17" s="40">
        <f>+[4]창원!$H$86/1000</f>
        <v>126.87660979683848</v>
      </c>
      <c r="K17" s="41">
        <f>+[4]창원!$I$86/1000</f>
        <v>65.208746000000147</v>
      </c>
      <c r="L17" s="42">
        <f t="shared" si="0"/>
        <v>-61.667863796838333</v>
      </c>
      <c r="M17" s="43">
        <f>+[5]창원!$H$86/1000</f>
        <v>24.863254000000019</v>
      </c>
      <c r="N17" s="44">
        <f t="shared" si="1"/>
        <v>40.345492000000128</v>
      </c>
      <c r="O17" s="40">
        <f>+[4]창원!$H$92/1000</f>
        <v>56.832179689057099</v>
      </c>
      <c r="P17" s="41">
        <f>+[4]창원!$I$92/1000</f>
        <v>-2.0351861094214398</v>
      </c>
      <c r="Q17" s="42">
        <f t="shared" si="2"/>
        <v>-58.867365798478538</v>
      </c>
      <c r="R17" s="43">
        <f>+[5]창원!$H$92/1000</f>
        <v>-27.544132573257844</v>
      </c>
      <c r="S17" s="44">
        <f t="shared" si="3"/>
        <v>25.508946463836406</v>
      </c>
      <c r="T17" s="40">
        <f>+[15]창원!$H$86/1000</f>
        <v>237.39573048409579</v>
      </c>
      <c r="U17" s="41">
        <f>+[15]창원!$I$86/1000</f>
        <v>147.23080900000059</v>
      </c>
      <c r="V17" s="42">
        <f t="shared" si="4"/>
        <v>-90.164921484095203</v>
      </c>
      <c r="W17" s="43">
        <f>+[16]창원!$H$86/1000</f>
        <v>356.99213500000093</v>
      </c>
      <c r="X17" s="44">
        <f t="shared" si="5"/>
        <v>-209.76132600000034</v>
      </c>
      <c r="Y17" s="40">
        <f>+[15]창원!$H$92/1000</f>
        <v>-111.67635665380347</v>
      </c>
      <c r="Z17" s="41">
        <f>+[15]창원!$I$92/1000</f>
        <v>-187.22118448842951</v>
      </c>
      <c r="AA17" s="42">
        <f t="shared" si="6"/>
        <v>-75.544827834626048</v>
      </c>
      <c r="AB17" s="43">
        <f>+[16]창원!$H$92/1000</f>
        <v>18.886943371712114</v>
      </c>
      <c r="AC17" s="44">
        <f t="shared" si="7"/>
        <v>-206.10812786014162</v>
      </c>
    </row>
    <row r="18" spans="2:30" s="6" customFormat="1" ht="22.5" customHeight="1" x14ac:dyDescent="0.3">
      <c r="B18" s="6" t="s">
        <v>69</v>
      </c>
      <c r="G18" s="304"/>
      <c r="H18" s="69"/>
      <c r="I18" s="70" t="s">
        <v>69</v>
      </c>
      <c r="J18" s="40">
        <f>+[4]대구!$H$86/1000</f>
        <v>50.762106806190033</v>
      </c>
      <c r="K18" s="41">
        <f>+[4]대구!$I$86/1000</f>
        <v>-72.116300999999993</v>
      </c>
      <c r="L18" s="42">
        <f t="shared" si="0"/>
        <v>-122.87840780619003</v>
      </c>
      <c r="M18" s="43">
        <f>+[5]대구!$H$86/1000</f>
        <v>-22.058378000000079</v>
      </c>
      <c r="N18" s="44">
        <f t="shared" si="1"/>
        <v>-50.057922999999917</v>
      </c>
      <c r="O18" s="40">
        <f>+[4]대구!$H$92/1000</f>
        <v>8.6725371184413227</v>
      </c>
      <c r="P18" s="41">
        <f>+[4]대구!$I$92/1000</f>
        <v>-95.04591347546733</v>
      </c>
      <c r="Q18" s="42">
        <f t="shared" si="2"/>
        <v>-103.71845059390866</v>
      </c>
      <c r="R18" s="43">
        <f>+[5]대구!$H$92/1000</f>
        <v>-65.675422312936888</v>
      </c>
      <c r="S18" s="44">
        <f t="shared" si="3"/>
        <v>-29.370491162530442</v>
      </c>
      <c r="T18" s="40">
        <f>+[15]대구!$H$86/1000</f>
        <v>-34.804339775919289</v>
      </c>
      <c r="U18" s="41">
        <f>+[15]대구!$I$86/1000</f>
        <v>-440.33887400000015</v>
      </c>
      <c r="V18" s="42">
        <f t="shared" si="4"/>
        <v>-405.53453422408086</v>
      </c>
      <c r="W18" s="43">
        <f>+[16]대구!$H$86/1000</f>
        <v>39.110661999999586</v>
      </c>
      <c r="X18" s="44">
        <f t="shared" si="5"/>
        <v>-479.44953599999974</v>
      </c>
      <c r="Y18" s="40">
        <f>+[15]대구!$H$92/1000</f>
        <v>-259.00864781689893</v>
      </c>
      <c r="Z18" s="41">
        <f>+[15]대구!$I$92/1000</f>
        <v>-565.81824152305387</v>
      </c>
      <c r="AA18" s="42">
        <f t="shared" si="6"/>
        <v>-306.80959370615494</v>
      </c>
      <c r="AB18" s="43">
        <f>+[16]대구!$H$92/1000</f>
        <v>-265.49718894162328</v>
      </c>
      <c r="AC18" s="44">
        <f t="shared" si="7"/>
        <v>-300.32105258143059</v>
      </c>
    </row>
    <row r="19" spans="2:30" s="6" customFormat="1" ht="22.5" customHeight="1" x14ac:dyDescent="0.3">
      <c r="B19" s="6" t="s">
        <v>70</v>
      </c>
      <c r="G19" s="306"/>
      <c r="H19" s="69"/>
      <c r="I19" s="72" t="s">
        <v>70</v>
      </c>
      <c r="J19" s="7">
        <f>+[4]울산!$H$86/1000</f>
        <v>103.28834833979614</v>
      </c>
      <c r="K19" s="8">
        <f>+[4]울산!$I$86/1000</f>
        <v>29.061433000000022</v>
      </c>
      <c r="L19" s="9">
        <f t="shared" si="0"/>
        <v>-74.226915339796122</v>
      </c>
      <c r="M19" s="10">
        <f>+[5]울산!$H$86/1000</f>
        <v>111.4243560000001</v>
      </c>
      <c r="N19" s="11">
        <f t="shared" si="1"/>
        <v>-82.36292300000008</v>
      </c>
      <c r="O19" s="7">
        <f>+[4]울산!$H$92/1000</f>
        <v>40.029556960352039</v>
      </c>
      <c r="P19" s="8">
        <f>+[4]울산!$I$92/1000</f>
        <v>-36.259659161575371</v>
      </c>
      <c r="Q19" s="9">
        <f t="shared" si="2"/>
        <v>-76.28921612192741</v>
      </c>
      <c r="R19" s="10">
        <f>+[5]울산!$H$92/1000</f>
        <v>38.720381275817516</v>
      </c>
      <c r="S19" s="11">
        <f t="shared" si="3"/>
        <v>-74.980040437392887</v>
      </c>
      <c r="T19" s="7">
        <f>+[15]울산!$H$86/1000</f>
        <v>152.50538626163092</v>
      </c>
      <c r="U19" s="8">
        <f>+[15]울산!$I$86/1000</f>
        <v>334.07673100000028</v>
      </c>
      <c r="V19" s="9">
        <f t="shared" si="4"/>
        <v>181.57134473836936</v>
      </c>
      <c r="W19" s="10">
        <f>+[16]울산!$H$86/1000</f>
        <v>530.68057899999928</v>
      </c>
      <c r="X19" s="11">
        <f t="shared" si="5"/>
        <v>-196.603847999999</v>
      </c>
      <c r="Y19" s="7">
        <f>+[15]울산!$H$92/1000</f>
        <v>-163.16552742371388</v>
      </c>
      <c r="Z19" s="8">
        <f>+[15]울산!$I$92/1000</f>
        <v>-90.662663878656105</v>
      </c>
      <c r="AA19" s="9">
        <f t="shared" si="6"/>
        <v>72.502863545057778</v>
      </c>
      <c r="AB19" s="10">
        <f>+[16]울산!$H$92/1000</f>
        <v>143.54074098589493</v>
      </c>
      <c r="AC19" s="11">
        <f t="shared" si="7"/>
        <v>-234.20340486455103</v>
      </c>
    </row>
    <row r="20" spans="2:30" s="6" customFormat="1" ht="22.5" customHeight="1" x14ac:dyDescent="0.3">
      <c r="B20" s="6" t="s">
        <v>75</v>
      </c>
      <c r="G20" s="306"/>
      <c r="H20" s="69"/>
      <c r="I20" s="70" t="s">
        <v>27</v>
      </c>
      <c r="J20" s="40">
        <f>+[4]아산!$H$86/1000</f>
        <v>213.00415777443558</v>
      </c>
      <c r="K20" s="41">
        <f>+[4]아산!$I$86/1000</f>
        <v>122.41642700000017</v>
      </c>
      <c r="L20" s="42">
        <f t="shared" si="0"/>
        <v>-90.587730774435414</v>
      </c>
      <c r="M20" s="43">
        <f>+[5]아산!$H$86/1000</f>
        <v>136.46828100000008</v>
      </c>
      <c r="N20" s="44">
        <f t="shared" si="1"/>
        <v>-14.051853999999906</v>
      </c>
      <c r="O20" s="40">
        <f>+[4]아산!$H$92/1000</f>
        <v>108.75409380081398</v>
      </c>
      <c r="P20" s="41">
        <f>+[4]아산!$I$92/1000</f>
        <v>14.795907277082355</v>
      </c>
      <c r="Q20" s="42">
        <f t="shared" si="2"/>
        <v>-93.958186523731626</v>
      </c>
      <c r="R20" s="43">
        <f>+[5]아산!$H$92/1000</f>
        <v>10.536863315252878</v>
      </c>
      <c r="S20" s="44">
        <f t="shared" si="3"/>
        <v>4.2590439618294766</v>
      </c>
      <c r="T20" s="40">
        <f>+[15]아산!$H$86/1000</f>
        <v>402.96917988395558</v>
      </c>
      <c r="U20" s="41">
        <f>+[15]아산!$I$86/1000</f>
        <v>320.02432900000053</v>
      </c>
      <c r="V20" s="42">
        <f t="shared" si="4"/>
        <v>-82.944850883955041</v>
      </c>
      <c r="W20" s="43">
        <f>+[16]아산!$H$86/1000</f>
        <v>494.22788900000074</v>
      </c>
      <c r="X20" s="44">
        <f t="shared" si="5"/>
        <v>-174.20356000000021</v>
      </c>
      <c r="Y20" s="40">
        <f>+[15]아산!$H$92/1000</f>
        <v>-93.776836634487665</v>
      </c>
      <c r="Z20" s="41">
        <f>+[15]아산!$I$92/1000</f>
        <v>-313.2002042086927</v>
      </c>
      <c r="AA20" s="42">
        <f t="shared" si="6"/>
        <v>-219.42336757420503</v>
      </c>
      <c r="AB20" s="43">
        <f>+[16]아산!$H$92/1000</f>
        <v>-139.71348423151201</v>
      </c>
      <c r="AC20" s="44">
        <f t="shared" si="7"/>
        <v>-173.48671997718068</v>
      </c>
    </row>
    <row r="21" spans="2:30" s="6" customFormat="1" ht="22.5" customHeight="1" x14ac:dyDescent="0.3">
      <c r="B21" s="6" t="s">
        <v>71</v>
      </c>
      <c r="G21" s="306"/>
      <c r="H21" s="69"/>
      <c r="I21" s="70" t="s">
        <v>71</v>
      </c>
      <c r="J21" s="40">
        <f>+[4]전주!$H$86/1000</f>
        <v>162.09149755555558</v>
      </c>
      <c r="K21" s="41">
        <f>+[4]전주!$I$86/1000</f>
        <v>21.521378999999989</v>
      </c>
      <c r="L21" s="42">
        <f t="shared" si="0"/>
        <v>-140.57011855555558</v>
      </c>
      <c r="M21" s="43">
        <f>+[5]전주!$H$86/1000</f>
        <v>165.00719200000015</v>
      </c>
      <c r="N21" s="44">
        <f t="shared" si="1"/>
        <v>-143.48581300000015</v>
      </c>
      <c r="O21" s="40">
        <f>+[4]전주!$H$92/1000</f>
        <v>103.00043936367683</v>
      </c>
      <c r="P21" s="41">
        <f>+[4]전주!$I$92/1000</f>
        <v>-36.406364498129768</v>
      </c>
      <c r="Q21" s="42">
        <f t="shared" si="2"/>
        <v>-139.40680386180659</v>
      </c>
      <c r="R21" s="43">
        <f>+[5]전주!$H$92/1000</f>
        <v>87.442872026305608</v>
      </c>
      <c r="S21" s="44">
        <f t="shared" si="3"/>
        <v>-123.84923652443538</v>
      </c>
      <c r="T21" s="40">
        <f>+[15]전주!$H$86/1000</f>
        <v>283.9477839684339</v>
      </c>
      <c r="U21" s="41">
        <f>+[15]전주!$I$86/1000</f>
        <v>130.07042100000058</v>
      </c>
      <c r="V21" s="42">
        <f t="shared" si="4"/>
        <v>-153.87736296843332</v>
      </c>
      <c r="W21" s="43">
        <f>+[16]전주!$H$86/1000</f>
        <v>851.34750800000018</v>
      </c>
      <c r="X21" s="44">
        <f t="shared" si="5"/>
        <v>-721.2770869999996</v>
      </c>
      <c r="Y21" s="40">
        <f>+[15]전주!$H$92/1000</f>
        <v>22.050970202497993</v>
      </c>
      <c r="Z21" s="41">
        <f>+[15]전주!$I$92/1000</f>
        <v>-198.06381861526663</v>
      </c>
      <c r="AA21" s="42">
        <f t="shared" si="6"/>
        <v>-220.11478881776463</v>
      </c>
      <c r="AB21" s="43">
        <f>+[16]전주!$H$92/1000</f>
        <v>409.08008075467802</v>
      </c>
      <c r="AC21" s="44">
        <f t="shared" si="7"/>
        <v>-607.14389936994462</v>
      </c>
    </row>
    <row r="22" spans="2:30" s="6" customFormat="1" ht="22.5" customHeight="1" x14ac:dyDescent="0.3">
      <c r="B22" s="6" t="s">
        <v>72</v>
      </c>
      <c r="G22" s="306"/>
      <c r="H22" s="69"/>
      <c r="I22" s="70" t="s">
        <v>72</v>
      </c>
      <c r="J22" s="40">
        <f>+[4]군산!$H$86/1000</f>
        <v>106.8718337048804</v>
      </c>
      <c r="K22" s="41">
        <f>+[4]군산!$I$86/1000</f>
        <v>44.935985999999993</v>
      </c>
      <c r="L22" s="42">
        <f t="shared" si="0"/>
        <v>-61.935847704880409</v>
      </c>
      <c r="M22" s="43">
        <f>+[5]군산!$H$86/1000</f>
        <v>130.46313499999999</v>
      </c>
      <c r="N22" s="44">
        <f t="shared" si="1"/>
        <v>-85.527149000000009</v>
      </c>
      <c r="O22" s="40">
        <f>+[4]군산!$H$92/1000</f>
        <v>79.99834785011376</v>
      </c>
      <c r="P22" s="41">
        <f>+[4]군산!$I$92/1000</f>
        <v>20.455754001351028</v>
      </c>
      <c r="Q22" s="42">
        <f t="shared" si="2"/>
        <v>-59.542593848762735</v>
      </c>
      <c r="R22" s="43">
        <f>+[5]군산!$H$92/1000</f>
        <v>92.983562155629215</v>
      </c>
      <c r="S22" s="44">
        <f t="shared" si="3"/>
        <v>-72.527808154278191</v>
      </c>
      <c r="T22" s="40">
        <f>+[15]군산!$H$86/1000</f>
        <v>305.61097266509751</v>
      </c>
      <c r="U22" s="41">
        <f>+[15]군산!$I$86/1000</f>
        <v>213.43138100000004</v>
      </c>
      <c r="V22" s="42">
        <f t="shared" si="4"/>
        <v>-92.179591665097462</v>
      </c>
      <c r="W22" s="43">
        <f>+[16]군산!$H$86/1000</f>
        <v>504.23733699999946</v>
      </c>
      <c r="X22" s="44">
        <f t="shared" si="5"/>
        <v>-290.80595599999941</v>
      </c>
      <c r="Y22" s="40">
        <f>+[15]군산!$H$92/1000</f>
        <v>176.20236542016849</v>
      </c>
      <c r="Z22" s="41">
        <f>+[15]군산!$I$92/1000</f>
        <v>88.436705213808949</v>
      </c>
      <c r="AA22" s="42">
        <f t="shared" si="6"/>
        <v>-87.765660206359541</v>
      </c>
      <c r="AB22" s="43">
        <f>+[16]군산!$H$92/1000</f>
        <v>340.26987880133203</v>
      </c>
      <c r="AC22" s="44">
        <f t="shared" si="7"/>
        <v>-251.83317358752308</v>
      </c>
    </row>
    <row r="23" spans="2:30" s="6" customFormat="1" ht="22.5" customHeight="1" x14ac:dyDescent="0.3">
      <c r="B23" s="6" t="s">
        <v>73</v>
      </c>
      <c r="G23" s="306"/>
      <c r="H23" s="69"/>
      <c r="I23" s="70" t="s">
        <v>73</v>
      </c>
      <c r="J23" s="40">
        <f>+[4]원주!$H$86/1000</f>
        <v>74.502640362819392</v>
      </c>
      <c r="K23" s="41">
        <f>+[4]원주!$I$86/1000</f>
        <v>133.32986699999998</v>
      </c>
      <c r="L23" s="42">
        <f t="shared" si="0"/>
        <v>58.827226637180587</v>
      </c>
      <c r="M23" s="43">
        <f>+[5]원주!$H$86/1000</f>
        <v>-23.378171000000027</v>
      </c>
      <c r="N23" s="44">
        <f t="shared" si="1"/>
        <v>156.70803800000002</v>
      </c>
      <c r="O23" s="40">
        <f>+[4]원주!$H$92/1000</f>
        <v>53.090145313369852</v>
      </c>
      <c r="P23" s="41">
        <f>+[4]원주!$I$92/1000</f>
        <v>102.11787575386667</v>
      </c>
      <c r="Q23" s="42">
        <f t="shared" si="2"/>
        <v>49.027730440496818</v>
      </c>
      <c r="R23" s="43">
        <f>+[5]원주!$H$92/1000</f>
        <v>-33.976938079006636</v>
      </c>
      <c r="S23" s="44">
        <f t="shared" si="3"/>
        <v>136.09481383287331</v>
      </c>
      <c r="T23" s="40">
        <f>+[15]원주!$H$86/1000</f>
        <v>251.57153174869057</v>
      </c>
      <c r="U23" s="41">
        <f>+[15]원주!$I$86/1000</f>
        <v>312.66811999999999</v>
      </c>
      <c r="V23" s="42">
        <f t="shared" si="4"/>
        <v>61.096588251309413</v>
      </c>
      <c r="W23" s="43">
        <f>+[16]원주!$H$86/1000</f>
        <v>-85.337920000000096</v>
      </c>
      <c r="X23" s="44">
        <f t="shared" si="5"/>
        <v>398.0060400000001</v>
      </c>
      <c r="Y23" s="40">
        <f>+[15]원주!$H$92/1000</f>
        <v>127.58349976100462</v>
      </c>
      <c r="Z23" s="41">
        <f>+[15]원주!$I$92/1000</f>
        <v>188.77088993100153</v>
      </c>
      <c r="AA23" s="42">
        <f t="shared" si="6"/>
        <v>61.187390169996917</v>
      </c>
      <c r="AB23" s="43">
        <f>+[16]원주!$H$92/1000</f>
        <v>-155.00883775634981</v>
      </c>
      <c r="AC23" s="44">
        <f t="shared" si="7"/>
        <v>343.77972768735134</v>
      </c>
    </row>
    <row r="24" spans="2:30" s="6" customFormat="1" ht="22.5" customHeight="1" x14ac:dyDescent="0.3">
      <c r="B24" s="6" t="s">
        <v>74</v>
      </c>
      <c r="F24" s="79"/>
      <c r="G24" s="304"/>
      <c r="H24" s="69"/>
      <c r="I24" s="70" t="s">
        <v>74</v>
      </c>
      <c r="J24" s="40">
        <f>+[4]제주!$H$86/1000</f>
        <v>36.755330283075793</v>
      </c>
      <c r="K24" s="41">
        <f>+[4]제주!$I$86/1000</f>
        <v>59.875705000000032</v>
      </c>
      <c r="L24" s="42">
        <f t="shared" si="0"/>
        <v>23.120374716924239</v>
      </c>
      <c r="M24" s="43">
        <f>+[5]제주!$H$86/1000</f>
        <v>60.026911000000048</v>
      </c>
      <c r="N24" s="44">
        <f t="shared" si="1"/>
        <v>-0.15120600000001616</v>
      </c>
      <c r="O24" s="40">
        <f>+[4]제주!$H$92/1000</f>
        <v>7.5189482349700043</v>
      </c>
      <c r="P24" s="41">
        <f>+[4]제주!$I$92/1000</f>
        <v>22.303622261098905</v>
      </c>
      <c r="Q24" s="42">
        <f t="shared" si="2"/>
        <v>14.784674026128901</v>
      </c>
      <c r="R24" s="43">
        <f>+[5]제주!$H$92/1000</f>
        <v>19.314696376594089</v>
      </c>
      <c r="S24" s="44">
        <f t="shared" si="3"/>
        <v>2.9889258845048161</v>
      </c>
      <c r="T24" s="40">
        <f>+[15]제주!$H$86/1000</f>
        <v>244.33061232963993</v>
      </c>
      <c r="U24" s="41">
        <f>+[15]제주!$I$86/1000</f>
        <v>106.67890999999958</v>
      </c>
      <c r="V24" s="42">
        <f t="shared" si="4"/>
        <v>-137.65170232964036</v>
      </c>
      <c r="W24" s="43">
        <f>+[16]제주!$H$86/1000</f>
        <v>415.79217300000056</v>
      </c>
      <c r="X24" s="44">
        <f t="shared" si="5"/>
        <v>-309.11326300000098</v>
      </c>
      <c r="Y24" s="40">
        <f>+[15]제주!$H$92/1000</f>
        <v>28.81352093366414</v>
      </c>
      <c r="Z24" s="41">
        <f>+[15]제주!$I$92/1000</f>
        <v>-64.160133119977999</v>
      </c>
      <c r="AA24" s="42">
        <f t="shared" si="6"/>
        <v>-92.973654053642136</v>
      </c>
      <c r="AB24" s="43">
        <f>+[16]제주!$H$92/1000</f>
        <v>186.51246893907273</v>
      </c>
      <c r="AC24" s="44">
        <f t="shared" si="7"/>
        <v>-250.67260205905075</v>
      </c>
    </row>
    <row r="25" spans="2:30" s="6" customFormat="1" ht="22.5" customHeight="1" x14ac:dyDescent="0.3">
      <c r="F25" s="463"/>
      <c r="G25" s="307"/>
      <c r="H25" s="69"/>
      <c r="I25" s="73" t="s">
        <v>42</v>
      </c>
      <c r="J25" s="20">
        <f>SUM(J8:J11)</f>
        <v>934.03166209350252</v>
      </c>
      <c r="K25" s="17">
        <f>SUM(K8:K11)</f>
        <v>602.59638599999994</v>
      </c>
      <c r="L25" s="18">
        <f t="shared" si="0"/>
        <v>-331.43527609350258</v>
      </c>
      <c r="M25" s="22">
        <f>SUM(M8:M11)</f>
        <v>405.24293500000016</v>
      </c>
      <c r="N25" s="19">
        <f t="shared" si="1"/>
        <v>197.35345099999978</v>
      </c>
      <c r="O25" s="20">
        <f>SUM(O8:O11)</f>
        <v>438.17527110702332</v>
      </c>
      <c r="P25" s="17">
        <f>SUM(P8:P11)</f>
        <v>72.882594016834162</v>
      </c>
      <c r="Q25" s="18">
        <f t="shared" si="2"/>
        <v>-365.29267709018916</v>
      </c>
      <c r="R25" s="22">
        <f>SUM(R8:R11)</f>
        <v>-70.95960821630031</v>
      </c>
      <c r="S25" s="19">
        <f t="shared" si="3"/>
        <v>143.84220223313446</v>
      </c>
      <c r="T25" s="20">
        <f>SUM(T8:T11)</f>
        <v>2491.824189211331</v>
      </c>
      <c r="U25" s="17">
        <f>SUM(U8:U11)</f>
        <v>1471.9103460000031</v>
      </c>
      <c r="V25" s="18">
        <f>+U25-T25</f>
        <v>-1019.913843211328</v>
      </c>
      <c r="W25" s="22">
        <f>SUM(W8:W11)</f>
        <v>1051.1382889999961</v>
      </c>
      <c r="X25" s="19">
        <f>+U25-W25</f>
        <v>420.77205700000695</v>
      </c>
      <c r="Y25" s="20">
        <f>SUM(Y8:Y11)</f>
        <v>-212.9931872887399</v>
      </c>
      <c r="Z25" s="17">
        <f>SUM(Z8:Z11)</f>
        <v>-1414.8038498343344</v>
      </c>
      <c r="AA25" s="18">
        <f>+Z25-Y25</f>
        <v>-1201.8106625455946</v>
      </c>
      <c r="AB25" s="22">
        <f>SUM(AB8:AB11)</f>
        <v>-1360.3840261292835</v>
      </c>
      <c r="AC25" s="19">
        <f>+Z25-AB25</f>
        <v>-54.419823705050931</v>
      </c>
    </row>
    <row r="26" spans="2:30" s="6" customFormat="1" ht="22.5" customHeight="1" x14ac:dyDescent="0.3">
      <c r="F26" s="463"/>
      <c r="G26" s="304"/>
      <c r="H26" s="69"/>
      <c r="I26" s="73" t="s">
        <v>43</v>
      </c>
      <c r="J26" s="20">
        <f>SUM(J12:J19)</f>
        <v>1333.4595897593372</v>
      </c>
      <c r="K26" s="17">
        <f>SUM(K12:K19)</f>
        <v>365.6165680000002</v>
      </c>
      <c r="L26" s="18">
        <f t="shared" si="0"/>
        <v>-967.84302175933703</v>
      </c>
      <c r="M26" s="22">
        <f>SUM(M12:M19)</f>
        <v>680.48281899999984</v>
      </c>
      <c r="N26" s="19">
        <f t="shared" si="1"/>
        <v>-314.86625099999964</v>
      </c>
      <c r="O26" s="20">
        <f>SUM(O12:O19)</f>
        <v>719.82587615458829</v>
      </c>
      <c r="P26" s="17">
        <f>SUM(P12:P19)</f>
        <v>-160.11855290248951</v>
      </c>
      <c r="Q26" s="18">
        <f t="shared" si="2"/>
        <v>-879.94442905707774</v>
      </c>
      <c r="R26" s="22">
        <f>SUM(R12:R19)</f>
        <v>43.166966472336256</v>
      </c>
      <c r="S26" s="19">
        <f t="shared" si="3"/>
        <v>-203.28551937482575</v>
      </c>
      <c r="T26" s="20">
        <f>SUM(T12:T19)</f>
        <v>3837.6125264602683</v>
      </c>
      <c r="U26" s="17">
        <f>SUM(U12:U19)</f>
        <v>1867.0563580000005</v>
      </c>
      <c r="V26" s="18">
        <f>+U26-T26</f>
        <v>-1970.5561684602678</v>
      </c>
      <c r="W26" s="22">
        <f>SUM(W12:W19)</f>
        <v>3146.5743339999972</v>
      </c>
      <c r="X26" s="19">
        <f>+U26-W26</f>
        <v>-1279.5179759999967</v>
      </c>
      <c r="Y26" s="20">
        <f>SUM(Y12:Y19)</f>
        <v>418.67206542707902</v>
      </c>
      <c r="Z26" s="17">
        <f>SUM(Z12:Z19)</f>
        <v>-1333.6839822288675</v>
      </c>
      <c r="AA26" s="18">
        <f>+Z26-Y26</f>
        <v>-1752.3560476559464</v>
      </c>
      <c r="AB26" s="22">
        <f>SUM(AB12:AB19)</f>
        <v>-216.31221019917311</v>
      </c>
      <c r="AC26" s="19">
        <f>+Z26-AB26</f>
        <v>-1117.3717720296945</v>
      </c>
    </row>
    <row r="27" spans="2:30" s="6" customFormat="1" ht="22.5" customHeight="1" x14ac:dyDescent="0.3">
      <c r="F27" s="463"/>
      <c r="G27" s="304"/>
      <c r="H27" s="69"/>
      <c r="I27" s="73" t="s">
        <v>104</v>
      </c>
      <c r="J27" s="20">
        <f>SUM(J20:J24)</f>
        <v>593.22545968076668</v>
      </c>
      <c r="K27" s="17">
        <f>SUM(K20:K24)</f>
        <v>382.07936400000017</v>
      </c>
      <c r="L27" s="18">
        <f t="shared" si="0"/>
        <v>-211.14609568076651</v>
      </c>
      <c r="M27" s="22">
        <f>SUM(M20:M24)</f>
        <v>468.58734800000019</v>
      </c>
      <c r="N27" s="19">
        <f t="shared" si="1"/>
        <v>-86.507984000000022</v>
      </c>
      <c r="O27" s="20">
        <f>SUM(O20:O24)</f>
        <v>352.36197456294445</v>
      </c>
      <c r="P27" s="17">
        <f>SUM(P20:P24)</f>
        <v>123.26679479526919</v>
      </c>
      <c r="Q27" s="18">
        <f t="shared" si="2"/>
        <v>-229.09517976767526</v>
      </c>
      <c r="R27" s="22">
        <f>SUM(R20:R24)</f>
        <v>176.30105579477515</v>
      </c>
      <c r="S27" s="19">
        <f t="shared" si="3"/>
        <v>-53.03426099950596</v>
      </c>
      <c r="T27" s="20">
        <f>SUM(T20:T24)</f>
        <v>1488.4300805958176</v>
      </c>
      <c r="U27" s="17">
        <f>SUM(U20:U24)</f>
        <v>1082.8731610000009</v>
      </c>
      <c r="V27" s="18">
        <f>+U27-T27</f>
        <v>-405.55691959581668</v>
      </c>
      <c r="W27" s="22">
        <f>SUM(W20:W24)</f>
        <v>2180.2669870000009</v>
      </c>
      <c r="X27" s="19">
        <f>+U27-W27</f>
        <v>-1097.393826</v>
      </c>
      <c r="Y27" s="20">
        <f>SUM(Y20:Y24)</f>
        <v>260.87351968284759</v>
      </c>
      <c r="Z27" s="17">
        <f>SUM(Z20:Z24)</f>
        <v>-298.2165607991268</v>
      </c>
      <c r="AA27" s="18">
        <f>+Z27-Y27</f>
        <v>-559.09008048197438</v>
      </c>
      <c r="AB27" s="22">
        <f>SUM(AB20:AB24)</f>
        <v>641.14010650722093</v>
      </c>
      <c r="AC27" s="19">
        <f>+Z27-AB27</f>
        <v>-939.35666730634773</v>
      </c>
    </row>
    <row r="28" spans="2:30" s="1" customFormat="1" ht="22.5" customHeight="1" x14ac:dyDescent="0.3">
      <c r="B28" s="23"/>
      <c r="F28" s="452"/>
      <c r="G28" s="306"/>
      <c r="H28" s="501" t="s">
        <v>93</v>
      </c>
      <c r="I28" s="502"/>
      <c r="J28" s="503">
        <f>SUM(J25:J27)</f>
        <v>2860.7167115336065</v>
      </c>
      <c r="K28" s="504">
        <f>SUM(K25:K27)</f>
        <v>1350.2923180000003</v>
      </c>
      <c r="L28" s="505">
        <f t="shared" si="0"/>
        <v>-1510.4243935336062</v>
      </c>
      <c r="M28" s="506">
        <f>SUM(M25:M27)</f>
        <v>1554.3131020000003</v>
      </c>
      <c r="N28" s="507">
        <f t="shared" si="1"/>
        <v>-204.02078400000005</v>
      </c>
      <c r="O28" s="503">
        <f>SUM(O25:O27)</f>
        <v>1510.3631218245559</v>
      </c>
      <c r="P28" s="504">
        <f>SUM(P25:P27)</f>
        <v>36.030835909613842</v>
      </c>
      <c r="Q28" s="505">
        <f t="shared" si="2"/>
        <v>-1474.3322859149421</v>
      </c>
      <c r="R28" s="506">
        <f>SUM(R25:R27)</f>
        <v>148.5084140508111</v>
      </c>
      <c r="S28" s="507">
        <f t="shared" si="3"/>
        <v>-112.47757814119726</v>
      </c>
      <c r="T28" s="503">
        <f>SUM(T25:T27)</f>
        <v>7817.8667962674172</v>
      </c>
      <c r="U28" s="504">
        <f>SUM(U25:U27)</f>
        <v>4421.8398650000045</v>
      </c>
      <c r="V28" s="505">
        <f>+U28-T28</f>
        <v>-3396.0269312674127</v>
      </c>
      <c r="W28" s="506">
        <f>SUM(W25:W27)</f>
        <v>6377.979609999994</v>
      </c>
      <c r="X28" s="507">
        <f>+U28-W28</f>
        <v>-1956.1397449999895</v>
      </c>
      <c r="Y28" s="503">
        <f>SUM(Y25:Y27)</f>
        <v>466.55239782118667</v>
      </c>
      <c r="Z28" s="504">
        <f>SUM(Z25:Z27)</f>
        <v>-3046.7043928623289</v>
      </c>
      <c r="AA28" s="505">
        <f>+Z28-Y28</f>
        <v>-3513.2567906835156</v>
      </c>
      <c r="AB28" s="506">
        <f>SUM(AB25:AB27)</f>
        <v>-935.55612982123557</v>
      </c>
      <c r="AC28" s="507">
        <f>+Z28-AB28</f>
        <v>-2111.1482630410933</v>
      </c>
      <c r="AD28" s="23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  <pageSetUpPr fitToPage="1"/>
  </sheetPr>
  <dimension ref="A1:AR80"/>
  <sheetViews>
    <sheetView showGridLines="0" showZeros="0" tabSelected="1" topLeftCell="I22" zoomScale="85" zoomScaleNormal="85" zoomScaleSheetLayoutView="85" workbookViewId="0">
      <selection activeCell="AJ32" sqref="AJ32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3" ht="18" customHeight="1" x14ac:dyDescent="0.3">
      <c r="H1" s="2"/>
      <c r="K1" s="4"/>
      <c r="L1" s="4"/>
      <c r="P1" s="4"/>
      <c r="Q1" s="4"/>
    </row>
    <row r="2" spans="1:43" ht="18" customHeight="1" x14ac:dyDescent="0.3">
      <c r="H2" s="5"/>
      <c r="AD2" s="3"/>
      <c r="AG2" s="3"/>
    </row>
    <row r="3" spans="1:43" ht="26.25" x14ac:dyDescent="0.3">
      <c r="H3" s="2" t="s">
        <v>215</v>
      </c>
      <c r="AD3" s="3"/>
      <c r="AG3" s="3"/>
    </row>
    <row r="4" spans="1:43" ht="18" customHeight="1" x14ac:dyDescent="0.3">
      <c r="H4" s="5"/>
      <c r="AD4" s="3"/>
      <c r="AG4" s="3" t="s">
        <v>76</v>
      </c>
    </row>
    <row r="5" spans="1:43" s="6" customFormat="1" ht="19.5" customHeight="1" x14ac:dyDescent="0.3">
      <c r="G5" s="304"/>
      <c r="H5" s="689" t="s">
        <v>35</v>
      </c>
      <c r="I5" s="690"/>
      <c r="J5" s="145" t="s">
        <v>51</v>
      </c>
      <c r="K5" s="146"/>
      <c r="L5" s="146"/>
      <c r="M5" s="146"/>
      <c r="N5" s="147"/>
      <c r="O5" s="145" t="s">
        <v>52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I5" s="635" t="s">
        <v>191</v>
      </c>
      <c r="AJ5" s="635"/>
      <c r="AK5" s="635"/>
      <c r="AL5" s="635"/>
    </row>
    <row r="6" spans="1:43" s="6" customFormat="1" ht="19.5" customHeight="1" x14ac:dyDescent="0.3">
      <c r="A6" s="6" t="s">
        <v>219</v>
      </c>
      <c r="G6" s="304"/>
      <c r="H6" s="691"/>
      <c r="I6" s="688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I6" s="608" t="s">
        <v>192</v>
      </c>
      <c r="AJ6" s="608" t="s">
        <v>36</v>
      </c>
      <c r="AK6" s="608" t="s">
        <v>193</v>
      </c>
      <c r="AL6" s="608" t="s">
        <v>38</v>
      </c>
      <c r="AO6" s="660" t="s">
        <v>181</v>
      </c>
      <c r="AP6" s="660" t="s">
        <v>38</v>
      </c>
    </row>
    <row r="7" spans="1:43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+IFERROR(HLOOKUP($B7,'[1]5월'!$D$6:$BN$259,2,),)/1000</f>
        <v>37</v>
      </c>
      <c r="K7" s="31">
        <f>+IFERROR(HLOOKUP($B7,'[2]5월'!$F$6:$CP$99,2,),)/1000</f>
        <v>34.368000000000002</v>
      </c>
      <c r="L7" s="32">
        <f t="shared" ref="L7:L26" si="0">+K7-J7</f>
        <v>-2.6319999999999979</v>
      </c>
      <c r="M7" s="33">
        <f>+IFERROR(HLOOKUP($B7,'[3]5월'!$F$6:$CC$57,2,),)/1000</f>
        <v>31.314</v>
      </c>
      <c r="N7" s="34">
        <f>+K7-M7</f>
        <v>3.054000000000002</v>
      </c>
      <c r="O7" s="30">
        <f>+IFERROR(HLOOKUP($B7,'[1]5월'!$D$6:$BN$259,3,),)/1000</f>
        <v>3633.4218729999998</v>
      </c>
      <c r="P7" s="31">
        <f>+IFERROR(HLOOKUP($B7,'[2]5월'!$F$6:$CP$99,3,),)/1000</f>
        <v>3513.5378019999998</v>
      </c>
      <c r="Q7" s="32">
        <f>+P7-O7</f>
        <v>-119.88407099999995</v>
      </c>
      <c r="R7" s="33">
        <f>+IFERROR(HLOOKUP($B7,'[3]5월'!$F$6:$CC$57,3,),)/1000</f>
        <v>2998.4995950000002</v>
      </c>
      <c r="S7" s="34">
        <f>+P7-R7</f>
        <v>515.0382069999996</v>
      </c>
      <c r="T7" s="30">
        <f>+IFERROR(HLOOKUP($B7,'[1]5월'!$D$6:$BN$259,16,),)/1000</f>
        <v>434.05382901278898</v>
      </c>
      <c r="U7" s="31">
        <f>+IFERROR(HLOOKUP($B7,'[2]5월'!$F$6:$CP$99,16,),)/1000</f>
        <v>439.64523199999962</v>
      </c>
      <c r="V7" s="35">
        <f>+U7-T7</f>
        <v>5.5914029872106426</v>
      </c>
      <c r="W7" s="36">
        <f>+IFERROR(HLOOKUP($B7,'[3]5월'!$F$6:$CC$57,16,),)/1000</f>
        <v>242.51178900000025</v>
      </c>
      <c r="X7" s="34">
        <f>+U7-W7</f>
        <v>197.13344299999937</v>
      </c>
      <c r="Y7" s="30">
        <f>+[4]안양!$Q$85</f>
        <v>98200.591162162149</v>
      </c>
      <c r="Z7" s="31">
        <f>+[4]안양!$R$85</f>
        <v>102248.21350749765</v>
      </c>
      <c r="AA7" s="37">
        <f>+[5]안양!$Q$85</f>
        <v>95747.281405910195</v>
      </c>
      <c r="AB7" s="38">
        <f>+[4]안양!$Q$89</f>
        <v>77977.696604008699</v>
      </c>
      <c r="AC7" s="31">
        <f>+[4]안양!$R$89</f>
        <v>80684.875834406848</v>
      </c>
      <c r="AD7" s="39">
        <f>+[5]안양!$Q$89</f>
        <v>78706.317417167709</v>
      </c>
      <c r="AE7" s="38">
        <f>+Y7-AB7</f>
        <v>20222.89455815345</v>
      </c>
      <c r="AF7" s="31">
        <f>+Z7-AC7</f>
        <v>21563.337673090806</v>
      </c>
      <c r="AG7" s="39">
        <f>+AA7-AD7</f>
        <v>17040.963988742486</v>
      </c>
      <c r="AH7" s="15"/>
      <c r="AI7" s="636" t="str">
        <f t="shared" ref="AI7:AI26" si="1">+I7</f>
        <v>안양</v>
      </c>
      <c r="AJ7" s="463">
        <f t="shared" ref="AJ7:AJ27" si="2">+J7/$J$27</f>
        <v>0.13703703703703704</v>
      </c>
      <c r="AK7" s="463">
        <f t="shared" ref="AK7:AK27" si="3">+K7/$K$27</f>
        <v>0.15751445417859247</v>
      </c>
      <c r="AL7" s="463">
        <f>+AK7-AJ7</f>
        <v>2.0477417141555432E-2</v>
      </c>
      <c r="AM7" s="453">
        <f t="shared" ref="AM7:AM26" si="4">+Y7*AL7</f>
        <v>2010.8944687749361</v>
      </c>
      <c r="AO7" s="463">
        <f>+[17]안양!$T$5/[17]합계!$T$5</f>
        <v>0.15425648841537581</v>
      </c>
      <c r="AP7" s="463">
        <f>+AK7-AO7</f>
        <v>3.2579657632166581E-3</v>
      </c>
      <c r="AQ7" s="453">
        <f>+[17]안양!$Q$85*AP7</f>
        <v>316.61868516182267</v>
      </c>
    </row>
    <row r="8" spans="1:43" s="6" customFormat="1" ht="22.5" customHeight="1" x14ac:dyDescent="0.3">
      <c r="B8" s="6" t="s">
        <v>19</v>
      </c>
      <c r="G8" s="306" t="str">
        <f t="shared" ref="G8:G26" si="5">+I8</f>
        <v>인천</v>
      </c>
      <c r="H8" s="69" t="s">
        <v>41</v>
      </c>
      <c r="I8" s="70" t="s">
        <v>19</v>
      </c>
      <c r="J8" s="40">
        <f>+IFERROR(HLOOKUP($B8,'[1]5월'!$D$6:$BN$259,2,),)/1000</f>
        <v>35</v>
      </c>
      <c r="K8" s="41">
        <f>+IFERROR(HLOOKUP($B8,'[2]5월'!$F$6:$CP$99,2,),)/1000</f>
        <v>29.096</v>
      </c>
      <c r="L8" s="42">
        <f t="shared" si="0"/>
        <v>-5.9039999999999999</v>
      </c>
      <c r="M8" s="43">
        <f>+IFERROR(HLOOKUP($B8,'[3]5월'!$F$6:$CC$57,2,),)/1000</f>
        <v>32.103999999999999</v>
      </c>
      <c r="N8" s="44">
        <f t="shared" ref="N8:N26" si="6">+K8-M8</f>
        <v>-3.0079999999999991</v>
      </c>
      <c r="O8" s="40">
        <f>+IFERROR(HLOOKUP($B8,'[1]5월'!$D$6:$BN$259,3,),)/1000</f>
        <v>3494.6121311796155</v>
      </c>
      <c r="P8" s="41">
        <f>+IFERROR(HLOOKUP($B8,'[2]5월'!$F$6:$CP$99,3,),)/1000</f>
        <v>2903.434385</v>
      </c>
      <c r="Q8" s="42">
        <f t="shared" ref="Q8:Q26" si="7">+P8-O8</f>
        <v>-591.1777461796155</v>
      </c>
      <c r="R8" s="43">
        <f>+IFERROR(HLOOKUP($B8,'[3]5월'!$F$6:$CC$57,3,),)/1000</f>
        <v>3174.7652419999995</v>
      </c>
      <c r="S8" s="44">
        <f t="shared" ref="S8:S26" si="8">+P8-R8</f>
        <v>-271.33085699999947</v>
      </c>
      <c r="T8" s="40">
        <f>+IFERROR(HLOOKUP($B8,'[1]5월'!$D$6:$BN$259,16,),)/1000</f>
        <v>296.46875049125043</v>
      </c>
      <c r="U8" s="41">
        <f>+IFERROR(HLOOKUP($B8,'[2]5월'!$F$6:$CP$99,16,),)/1000</f>
        <v>49.957465000000347</v>
      </c>
      <c r="V8" s="42">
        <f t="shared" ref="V8:V26" si="9">+U8-T8</f>
        <v>-246.51128549125008</v>
      </c>
      <c r="W8" s="43">
        <f>+IFERROR(HLOOKUP($B8,'[3]5월'!$F$6:$CC$57,16,),)/1000</f>
        <v>160.60506799999982</v>
      </c>
      <c r="X8" s="44">
        <f t="shared" ref="X8:X26" si="10">+U8-W8</f>
        <v>-110.64760299999946</v>
      </c>
      <c r="Y8" s="40">
        <f>+[4]인천!$Q$85</f>
        <v>99846.060890846158</v>
      </c>
      <c r="Z8" s="41">
        <f>+[4]인천!$R$85</f>
        <v>99946.750870473537</v>
      </c>
      <c r="AA8" s="45">
        <f>+[5]인천!$Q$85</f>
        <v>99229.134195245584</v>
      </c>
      <c r="AB8" s="46">
        <f>+[4]인천!$Q$89</f>
        <v>82171.289746651702</v>
      </c>
      <c r="AC8" s="41">
        <f>+[4]인천!$R$89</f>
        <v>87463.130446888492</v>
      </c>
      <c r="AD8" s="47">
        <f>+[5]인천!$Q$89</f>
        <v>83784.720316961277</v>
      </c>
      <c r="AE8" s="46">
        <f t="shared" ref="AE8:AE27" si="11">+Y8-AB8</f>
        <v>17674.771144194456</v>
      </c>
      <c r="AF8" s="41">
        <f t="shared" ref="AF8:AF27" si="12">+Z8-AC8</f>
        <v>12483.620423585046</v>
      </c>
      <c r="AG8" s="47">
        <f t="shared" ref="AG8:AG27" si="13">+AA8-AD8</f>
        <v>15444.413878284307</v>
      </c>
      <c r="AH8" s="15"/>
      <c r="AI8" s="637" t="str">
        <f t="shared" si="1"/>
        <v>인천</v>
      </c>
      <c r="AJ8" s="463">
        <f t="shared" si="2"/>
        <v>0.12962962962962962</v>
      </c>
      <c r="AK8" s="463">
        <f t="shared" si="3"/>
        <v>0.13335197156600112</v>
      </c>
      <c r="AL8" s="463">
        <f t="shared" ref="AL8:AL27" si="14">+AK8-AJ8</f>
        <v>3.7223419363714982E-3</v>
      </c>
      <c r="AM8" s="453">
        <f t="shared" si="4"/>
        <v>371.6611796354988</v>
      </c>
      <c r="AO8" s="463">
        <f>+[17]인천!$T$5/[17]합계!$T$5</f>
        <v>0.12976281196418366</v>
      </c>
      <c r="AP8" s="463">
        <f t="shared" ref="AP8:AP27" si="15">+AK8-AO8</f>
        <v>3.5891596018174654E-3</v>
      </c>
      <c r="AQ8" s="453">
        <f>+[17]인천!$Q$85*AP8</f>
        <v>357.73669140828054</v>
      </c>
    </row>
    <row r="9" spans="1:43" s="6" customFormat="1" ht="22.5" customHeight="1" x14ac:dyDescent="0.3">
      <c r="B9" s="6" t="s">
        <v>20</v>
      </c>
      <c r="G9" s="306" t="str">
        <f t="shared" si="5"/>
        <v>파주</v>
      </c>
      <c r="H9" s="69"/>
      <c r="I9" s="70" t="s">
        <v>20</v>
      </c>
      <c r="J9" s="40">
        <f>+IFERROR(HLOOKUP($B9,'[1]5월'!$D$6:$BN$259,2,),)/1000</f>
        <v>18</v>
      </c>
      <c r="K9" s="41">
        <f>+IFERROR(HLOOKUP($B9,'[2]5월'!$F$6:$CP$99,2,),)/1000</f>
        <v>13.394500000000001</v>
      </c>
      <c r="L9" s="42">
        <f t="shared" si="0"/>
        <v>-4.6054999999999993</v>
      </c>
      <c r="M9" s="43">
        <f>+IFERROR(HLOOKUP($B9,'[3]5월'!$F$6:$CC$57,2,),)/1000</f>
        <v>11.412000000000001</v>
      </c>
      <c r="N9" s="44">
        <f t="shared" si="6"/>
        <v>1.9824999999999999</v>
      </c>
      <c r="O9" s="40">
        <f>+IFERROR(HLOOKUP($B9,'[1]5월'!$D$6:$BN$259,3,),)/1000</f>
        <v>1774.3643604000001</v>
      </c>
      <c r="P9" s="41">
        <f>+IFERROR(HLOOKUP($B9,'[2]5월'!$F$6:$CP$99,3,),)/1000</f>
        <v>1373.4053999999999</v>
      </c>
      <c r="Q9" s="42">
        <f t="shared" si="7"/>
        <v>-400.95896040000025</v>
      </c>
      <c r="R9" s="43">
        <f>+IFERROR(HLOOKUP($B9,'[3]5월'!$F$6:$CC$57,3,),)/1000</f>
        <v>1059.6552550000001</v>
      </c>
      <c r="S9" s="44">
        <f t="shared" si="8"/>
        <v>313.75014499999975</v>
      </c>
      <c r="T9" s="40">
        <f>+IFERROR(HLOOKUP($B9,'[1]5월'!$D$6:$BN$259,16,),)/1000</f>
        <v>101.7488971038308</v>
      </c>
      <c r="U9" s="41">
        <f>+IFERROR(HLOOKUP($B9,'[2]5월'!$F$6:$CP$99,16,),)/1000</f>
        <v>48.322041999999904</v>
      </c>
      <c r="V9" s="42">
        <f t="shared" si="9"/>
        <v>-53.426855103830896</v>
      </c>
      <c r="W9" s="43">
        <f>+IFERROR(HLOOKUP($B9,'[3]5월'!$F$6:$CC$57,16,),)/1000</f>
        <v>-28.835517999999858</v>
      </c>
      <c r="X9" s="44">
        <f t="shared" si="10"/>
        <v>77.157559999999762</v>
      </c>
      <c r="Y9" s="40">
        <f>+[4]파주!$Q$85</f>
        <v>98575.7978</v>
      </c>
      <c r="Z9" s="41">
        <f>+[4]파주!$R$85</f>
        <v>102535.02557019671</v>
      </c>
      <c r="AA9" s="45">
        <f>+[5]파주!$Q$85</f>
        <v>92818.057723000529</v>
      </c>
      <c r="AB9" s="46">
        <f>+[4]파주!$Q$89</f>
        <v>81140.287698552624</v>
      </c>
      <c r="AC9" s="41">
        <f>+[4]파주!$R$89</f>
        <v>84292.013063113511</v>
      </c>
      <c r="AD9" s="47">
        <f>+[5]파주!$Q$89</f>
        <v>76791.948749778327</v>
      </c>
      <c r="AE9" s="46">
        <f t="shared" si="11"/>
        <v>17435.510101447377</v>
      </c>
      <c r="AF9" s="41">
        <f t="shared" si="12"/>
        <v>18243.0125070832</v>
      </c>
      <c r="AG9" s="47">
        <f t="shared" si="13"/>
        <v>16026.108973222203</v>
      </c>
      <c r="AH9" s="15"/>
      <c r="AI9" s="637" t="str">
        <f t="shared" si="1"/>
        <v>파주</v>
      </c>
      <c r="AJ9" s="463">
        <f t="shared" si="2"/>
        <v>6.6666666666666666E-2</v>
      </c>
      <c r="AK9" s="463">
        <f t="shared" si="3"/>
        <v>6.1389296918504331E-2</v>
      </c>
      <c r="AL9" s="463">
        <f t="shared" si="14"/>
        <v>-5.2773697481623347E-3</v>
      </c>
      <c r="AM9" s="453">
        <f t="shared" si="4"/>
        <v>-520.22093321068724</v>
      </c>
      <c r="AO9" s="463">
        <f>+[17]파주!$T$5/[17]합계!$T$5</f>
        <v>7.1464161671820278E-2</v>
      </c>
      <c r="AP9" s="463">
        <f t="shared" si="15"/>
        <v>-1.0074864753315947E-2</v>
      </c>
      <c r="AQ9" s="453">
        <f>+[17]파주!$Q$85*AP9</f>
        <v>-1016.6705146433242</v>
      </c>
    </row>
    <row r="10" spans="1:43" s="6" customFormat="1" ht="22.5" customHeight="1" x14ac:dyDescent="0.3">
      <c r="B10" s="6" t="s">
        <v>107</v>
      </c>
      <c r="G10" s="306" t="str">
        <f t="shared" si="5"/>
        <v>김포</v>
      </c>
      <c r="H10" s="69"/>
      <c r="I10" s="70" t="s">
        <v>106</v>
      </c>
      <c r="J10" s="40">
        <f>+IFERROR(HLOOKUP($B10,'[1]5월'!$D$6:$BN$259,2,),)/1000</f>
        <v>15</v>
      </c>
      <c r="K10" s="41">
        <f>+IFERROR(HLOOKUP($B10,'[2]5월'!$F$6:$CP$99,2,),)/1000</f>
        <v>15.3215</v>
      </c>
      <c r="L10" s="42">
        <f t="shared" si="0"/>
        <v>0.32150000000000034</v>
      </c>
      <c r="M10" s="43">
        <f>+IFERROR(HLOOKUP($B10,'[3]5월'!$F$6:$CC$57,2,),)/1000</f>
        <v>10.938499999999999</v>
      </c>
      <c r="N10" s="44">
        <f t="shared" si="6"/>
        <v>4.3830000000000009</v>
      </c>
      <c r="O10" s="40">
        <f>+IFERROR(HLOOKUP($B10,'[1]5월'!$D$6:$BN$259,3,),)/1000</f>
        <v>1438.2669437</v>
      </c>
      <c r="P10" s="41">
        <f>+IFERROR(HLOOKUP($B10,'[2]5월'!$F$6:$CP$99,3,),)/1000</f>
        <v>1486.8971389999999</v>
      </c>
      <c r="Q10" s="42">
        <f t="shared" si="7"/>
        <v>48.630195299999968</v>
      </c>
      <c r="R10" s="43">
        <f>+IFERROR(HLOOKUP($B10,'[3]5월'!$F$6:$CC$57,3,),)/1000</f>
        <v>1044.534983</v>
      </c>
      <c r="S10" s="44">
        <f t="shared" si="8"/>
        <v>442.36215599999991</v>
      </c>
      <c r="T10" s="40">
        <f>+IFERROR(HLOOKUP($B10,'[1]5월'!$D$6:$BN$259,16,),)/1000</f>
        <v>101.76018548563223</v>
      </c>
      <c r="U10" s="41">
        <f>+IFERROR(HLOOKUP($B10,'[2]5월'!$F$6:$CP$99,16,),)/1000</f>
        <v>64.671647000000021</v>
      </c>
      <c r="V10" s="42">
        <f t="shared" si="9"/>
        <v>-37.088538485632213</v>
      </c>
      <c r="W10" s="43">
        <f>+IFERROR(HLOOKUP($B10,'[3]5월'!$F$6:$CC$57,16,),)/1000</f>
        <v>30.961595999999904</v>
      </c>
      <c r="X10" s="44">
        <f t="shared" si="10"/>
        <v>33.710051000000121</v>
      </c>
      <c r="Y10" s="40">
        <f>+[4]김포!$Q$85</f>
        <v>95884.462913333322</v>
      </c>
      <c r="Z10" s="41">
        <f>+[4]김포!$R$85</f>
        <v>97081.727318095611</v>
      </c>
      <c r="AA10" s="45">
        <f>+[5]김포!$Q$85</f>
        <v>95512.757833709096</v>
      </c>
      <c r="AB10" s="46">
        <f>+[4]김포!$Q$89</f>
        <v>76883.917755031915</v>
      </c>
      <c r="AC10" s="41">
        <f>+[4]김포!$R$89</f>
        <v>81141.001164454196</v>
      </c>
      <c r="AD10" s="47">
        <f>+[5]김포!$Q$89</f>
        <v>77274.194542861092</v>
      </c>
      <c r="AE10" s="46">
        <f t="shared" si="11"/>
        <v>19000.545158301407</v>
      </c>
      <c r="AF10" s="41">
        <f t="shared" si="12"/>
        <v>15940.726153641415</v>
      </c>
      <c r="AG10" s="47">
        <f t="shared" si="13"/>
        <v>18238.563290848004</v>
      </c>
      <c r="AH10" s="15"/>
      <c r="AI10" s="637" t="str">
        <f t="shared" si="1"/>
        <v>김포</v>
      </c>
      <c r="AJ10" s="463">
        <f t="shared" si="2"/>
        <v>5.5555555555555552E-2</v>
      </c>
      <c r="AK10" s="463">
        <f t="shared" si="3"/>
        <v>7.0221069299851738E-2</v>
      </c>
      <c r="AL10" s="463">
        <f t="shared" si="14"/>
        <v>1.4665513744296185E-2</v>
      </c>
      <c r="AM10" s="453">
        <f t="shared" si="4"/>
        <v>1406.1949087199478</v>
      </c>
      <c r="AO10" s="463">
        <f>+[17]김포!$T$5/[17]합계!$T$5</f>
        <v>6.4726614593255863E-2</v>
      </c>
      <c r="AP10" s="463">
        <f t="shared" si="15"/>
        <v>5.4944547065958749E-3</v>
      </c>
      <c r="AQ10" s="453">
        <f>+[17]김포!$Q$85*AP10</f>
        <v>543.0311304085368</v>
      </c>
    </row>
    <row r="11" spans="1:43" s="6" customFormat="1" ht="22.5" customHeight="1" x14ac:dyDescent="0.3">
      <c r="B11" s="6" t="s">
        <v>21</v>
      </c>
      <c r="G11" s="304" t="str">
        <f t="shared" si="5"/>
        <v>부산</v>
      </c>
      <c r="H11" s="69"/>
      <c r="I11" s="71" t="s">
        <v>21</v>
      </c>
      <c r="J11" s="57">
        <f>+IFERROR(HLOOKUP($B11,'[1]5월'!$D$6:$BN$259,2,),)/1000</f>
        <v>20</v>
      </c>
      <c r="K11" s="58">
        <f>+IFERROR(HLOOKUP($B11,'[2]5월'!$F$6:$CP$99,2,),)/1000</f>
        <v>13.162000000000001</v>
      </c>
      <c r="L11" s="59">
        <f t="shared" si="0"/>
        <v>-6.8379999999999992</v>
      </c>
      <c r="M11" s="60">
        <f>+IFERROR(HLOOKUP($B11,'[3]5월'!$F$6:$CC$57,2,),)/1000</f>
        <v>20.779</v>
      </c>
      <c r="N11" s="61">
        <f t="shared" si="6"/>
        <v>-7.6169999999999991</v>
      </c>
      <c r="O11" s="57">
        <f>+IFERROR(HLOOKUP($B11,'[1]5월'!$D$6:$BN$259,3,),)/1000</f>
        <v>2145.3121210000004</v>
      </c>
      <c r="P11" s="58">
        <f>+IFERROR(HLOOKUP($B11,'[2]5월'!$F$6:$CP$99,3,),)/1000</f>
        <v>1522.6010980000001</v>
      </c>
      <c r="Q11" s="59">
        <f t="shared" si="7"/>
        <v>-622.7110230000003</v>
      </c>
      <c r="R11" s="60">
        <f>+IFERROR(HLOOKUP($B11,'[3]5월'!$F$6:$CC$57,3,),)/1000</f>
        <v>2289.2581</v>
      </c>
      <c r="S11" s="61">
        <f t="shared" si="8"/>
        <v>-766.65700199999992</v>
      </c>
      <c r="T11" s="57">
        <f>+IFERROR(HLOOKUP($B11,'[1]5월'!$D$6:$BN$259,16,),)/1000</f>
        <v>211.20210961855889</v>
      </c>
      <c r="U11" s="58">
        <f>+IFERROR(HLOOKUP($B11,'[2]5월'!$F$6:$CP$99,16,),)/1000</f>
        <v>92.754418000000157</v>
      </c>
      <c r="V11" s="59">
        <f t="shared" si="9"/>
        <v>-118.44769161855874</v>
      </c>
      <c r="W11" s="60">
        <f>+IFERROR(HLOOKUP($B11,'[3]5월'!$F$6:$CC$57,16,),)/1000</f>
        <v>308.13144899999986</v>
      </c>
      <c r="X11" s="61">
        <f t="shared" si="10"/>
        <v>-215.3770309999997</v>
      </c>
      <c r="Y11" s="57">
        <f>+[4]부산!$Q$85</f>
        <v>107265.60605000002</v>
      </c>
      <c r="Z11" s="58">
        <f>+[4]부산!$R$85</f>
        <v>115681.59079167301</v>
      </c>
      <c r="AA11" s="62">
        <f>+[5]부산!$Q$85</f>
        <v>110171.71663698928</v>
      </c>
      <c r="AB11" s="63">
        <f>+[4]부산!$Q$89</f>
        <v>83341.750114905386</v>
      </c>
      <c r="AC11" s="58">
        <f>+[4]부산!$R$89</f>
        <v>88327.847971432915</v>
      </c>
      <c r="AD11" s="64">
        <f>+[5]부산!$Q$89</f>
        <v>83925.996294335622</v>
      </c>
      <c r="AE11" s="63">
        <f t="shared" si="11"/>
        <v>23923.855935094631</v>
      </c>
      <c r="AF11" s="58">
        <f t="shared" si="12"/>
        <v>27353.742820240092</v>
      </c>
      <c r="AG11" s="64">
        <f t="shared" si="13"/>
        <v>26245.720342653658</v>
      </c>
      <c r="AH11" s="15"/>
      <c r="AI11" s="637" t="str">
        <f t="shared" si="1"/>
        <v>부산</v>
      </c>
      <c r="AJ11" s="463">
        <f t="shared" si="2"/>
        <v>7.407407407407407E-2</v>
      </c>
      <c r="AK11" s="463">
        <f t="shared" si="3"/>
        <v>6.0323709436063605E-2</v>
      </c>
      <c r="AL11" s="463">
        <f t="shared" si="14"/>
        <v>-1.3750364638010465E-2</v>
      </c>
      <c r="AM11" s="453">
        <f t="shared" si="4"/>
        <v>-1474.9411963046816</v>
      </c>
      <c r="AO11" s="463">
        <f>+[17]부산!$T$5/[17]합계!$T$5</f>
        <v>7.6087752978589329E-2</v>
      </c>
      <c r="AP11" s="463">
        <f t="shared" si="15"/>
        <v>-1.5764043542525724E-2</v>
      </c>
      <c r="AQ11" s="453">
        <f>+[17]부산!$Q$85*AP11</f>
        <v>-1817.7032206772483</v>
      </c>
    </row>
    <row r="12" spans="1:43" s="6" customFormat="1" ht="22.5" customHeight="1" x14ac:dyDescent="0.3">
      <c r="B12" s="6" t="s">
        <v>22</v>
      </c>
      <c r="G12" s="304" t="str">
        <f t="shared" si="5"/>
        <v>서부산</v>
      </c>
      <c r="H12" s="69"/>
      <c r="I12" s="70" t="s">
        <v>22</v>
      </c>
      <c r="J12" s="40">
        <f>+IFERROR(HLOOKUP($B12,'[1]5월'!$D$6:$BN$259,2,),)/1000</f>
        <v>20</v>
      </c>
      <c r="K12" s="41">
        <f>+IFERROR(HLOOKUP($B12,'[2]5월'!$F$6:$CP$99,2,),)/1000</f>
        <v>19.707000000000001</v>
      </c>
      <c r="L12" s="42">
        <f t="shared" si="0"/>
        <v>-0.29299999999999926</v>
      </c>
      <c r="M12" s="43">
        <f>+IFERROR(HLOOKUP($B12,'[3]5월'!$F$6:$CC$57,2,),)/1000</f>
        <v>17.146999999999998</v>
      </c>
      <c r="N12" s="44">
        <f t="shared" si="6"/>
        <v>2.5600000000000023</v>
      </c>
      <c r="O12" s="40">
        <f>+IFERROR(HLOOKUP($B12,'[1]5월'!$D$6:$BN$259,3,),)/1000</f>
        <v>2080.4199749899999</v>
      </c>
      <c r="P12" s="41">
        <f>+IFERROR(HLOOKUP($B12,'[2]5월'!$F$6:$CP$99,3,),)/1000</f>
        <v>2043.46478</v>
      </c>
      <c r="Q12" s="42">
        <f t="shared" si="7"/>
        <v>-36.955194989999882</v>
      </c>
      <c r="R12" s="43">
        <f>+IFERROR(HLOOKUP($B12,'[3]5월'!$F$6:$CC$57,3,),)/1000</f>
        <v>1653.59</v>
      </c>
      <c r="S12" s="44">
        <f t="shared" si="8"/>
        <v>389.8747800000001</v>
      </c>
      <c r="T12" s="40">
        <f>+IFERROR(HLOOKUP($B12,'[1]5월'!$D$6:$BN$259,16,),)/1000</f>
        <v>317.84869710813064</v>
      </c>
      <c r="U12" s="41">
        <f>+IFERROR(HLOOKUP($B12,'[2]5월'!$F$6:$CP$99,16,),)/1000</f>
        <v>220.01483799999994</v>
      </c>
      <c r="V12" s="42">
        <f t="shared" si="9"/>
        <v>-97.833859108130696</v>
      </c>
      <c r="W12" s="43">
        <f>+IFERROR(HLOOKUP($B12,'[3]5월'!$F$6:$CC$57,16,),)/1000</f>
        <v>89.008720999999809</v>
      </c>
      <c r="X12" s="44">
        <f t="shared" si="10"/>
        <v>131.00611700000013</v>
      </c>
      <c r="Y12" s="40">
        <f>+[4]서부산!$Q$85</f>
        <v>104020.9987495</v>
      </c>
      <c r="Z12" s="41">
        <f>+[4]서부산!$R$85</f>
        <v>103692.33165880144</v>
      </c>
      <c r="AA12" s="45">
        <f>+[5]서부산!$Q$85</f>
        <v>96775.187191818346</v>
      </c>
      <c r="AB12" s="46">
        <f>+[4]서부산!$Q$89</f>
        <v>77250.207532982342</v>
      </c>
      <c r="AC12" s="41">
        <f>+[4]서부산!$R$89</f>
        <v>80900.370094688333</v>
      </c>
      <c r="AD12" s="47">
        <f>+[5]서부산!$Q$89</f>
        <v>78037.415144712097</v>
      </c>
      <c r="AE12" s="46">
        <f t="shared" si="11"/>
        <v>26770.791216517653</v>
      </c>
      <c r="AF12" s="41">
        <f t="shared" si="12"/>
        <v>22791.961564113109</v>
      </c>
      <c r="AG12" s="47">
        <f t="shared" si="13"/>
        <v>18737.772047106249</v>
      </c>
      <c r="AH12" s="15"/>
      <c r="AI12" s="637" t="str">
        <f t="shared" si="1"/>
        <v>서부산</v>
      </c>
      <c r="AJ12" s="463">
        <f t="shared" si="2"/>
        <v>7.407407407407407E-2</v>
      </c>
      <c r="AK12" s="463">
        <f t="shared" si="3"/>
        <v>9.0320569963265873E-2</v>
      </c>
      <c r="AL12" s="463">
        <f t="shared" si="14"/>
        <v>1.6246495889191803E-2</v>
      </c>
      <c r="AM12" s="453">
        <f t="shared" si="4"/>
        <v>1689.9767285733774</v>
      </c>
      <c r="AO12" s="463">
        <f>+[17]서부산!$T$5/[17]합계!$T$5</f>
        <v>8.0953148585078474E-2</v>
      </c>
      <c r="AP12" s="463">
        <f t="shared" si="15"/>
        <v>9.3674213781873988E-3</v>
      </c>
      <c r="AQ12" s="453">
        <f>+[17]서부산!$Q$85*AP12</f>
        <v>945.60188870903892</v>
      </c>
    </row>
    <row r="13" spans="1:43" s="6" customFormat="1" ht="22.5" customHeight="1" x14ac:dyDescent="0.3">
      <c r="B13" s="6" t="s">
        <v>23</v>
      </c>
      <c r="G13" s="304" t="str">
        <f t="shared" si="5"/>
        <v>김해</v>
      </c>
      <c r="H13" s="69"/>
      <c r="I13" s="70" t="s">
        <v>23</v>
      </c>
      <c r="J13" s="40">
        <f>+IFERROR(HLOOKUP($B13,'[1]5월'!$D$6:$BN$259,2,),)/1000</f>
        <v>10</v>
      </c>
      <c r="K13" s="41">
        <f>+IFERROR(HLOOKUP($B13,'[2]5월'!$F$6:$CP$99,2,),)/1000</f>
        <v>5.4729999999999999</v>
      </c>
      <c r="L13" s="42">
        <f t="shared" si="0"/>
        <v>-4.5270000000000001</v>
      </c>
      <c r="M13" s="43">
        <f>+IFERROR(HLOOKUP($B13,'[3]5월'!$F$6:$CC$57,2,),)/1000</f>
        <v>8.1280000000000001</v>
      </c>
      <c r="N13" s="44">
        <f t="shared" si="6"/>
        <v>-2.6550000000000002</v>
      </c>
      <c r="O13" s="40">
        <f>+IFERROR(HLOOKUP($B13,'[1]5월'!$D$6:$BN$259,3,),)/1000</f>
        <v>1012.9338088</v>
      </c>
      <c r="P13" s="41">
        <f>+IFERROR(HLOOKUP($B13,'[2]5월'!$F$6:$CP$99,3,),)/1000</f>
        <v>531.67819999999995</v>
      </c>
      <c r="Q13" s="42">
        <f t="shared" si="7"/>
        <v>-481.2556088</v>
      </c>
      <c r="R13" s="43">
        <f>+IFERROR(HLOOKUP($B13,'[3]5월'!$F$6:$CC$57,3,),)/1000</f>
        <v>696.279</v>
      </c>
      <c r="S13" s="44">
        <f t="shared" si="8"/>
        <v>-164.60080000000005</v>
      </c>
      <c r="T13" s="40">
        <f>+IFERROR(HLOOKUP($B13,'[1]5월'!$D$6:$BN$259,16,),)/1000</f>
        <v>84.549448450180179</v>
      </c>
      <c r="U13" s="41">
        <f>+IFERROR(HLOOKUP($B13,'[2]5월'!$F$6:$CP$99,16,),)/1000</f>
        <v>-21.796408000000039</v>
      </c>
      <c r="V13" s="42">
        <f t="shared" si="9"/>
        <v>-106.34585645018022</v>
      </c>
      <c r="W13" s="43">
        <f>+IFERROR(HLOOKUP($B13,'[3]5월'!$F$6:$CC$57,16,),)/1000</f>
        <v>-70.922997999999907</v>
      </c>
      <c r="X13" s="44">
        <f t="shared" si="10"/>
        <v>49.126589999999865</v>
      </c>
      <c r="Y13" s="40">
        <f>+[4]김해!$Q$85</f>
        <v>101293.38088</v>
      </c>
      <c r="Z13" s="41">
        <f>+[4]김해!$R$85</f>
        <v>97145.660515256706</v>
      </c>
      <c r="AA13" s="45">
        <f>+[5]김해!$Q$85</f>
        <v>85822.552447552458</v>
      </c>
      <c r="AB13" s="46">
        <f>+[4]김해!$Q$89</f>
        <v>78862.41266831533</v>
      </c>
      <c r="AC13" s="41">
        <f>+[4]김해!$R$89</f>
        <v>77419.852183446012</v>
      </c>
      <c r="AD13" s="47">
        <f>+[5]김해!$Q$89</f>
        <v>78014.983391608403</v>
      </c>
      <c r="AE13" s="46">
        <f t="shared" si="11"/>
        <v>22430.968211684667</v>
      </c>
      <c r="AF13" s="41">
        <f t="shared" si="12"/>
        <v>19725.808331810695</v>
      </c>
      <c r="AG13" s="47">
        <f t="shared" si="13"/>
        <v>7807.5690559440554</v>
      </c>
      <c r="AH13" s="15"/>
      <c r="AI13" s="637" t="str">
        <f t="shared" si="1"/>
        <v>김해</v>
      </c>
      <c r="AJ13" s="463">
        <f t="shared" si="2"/>
        <v>3.7037037037037035E-2</v>
      </c>
      <c r="AK13" s="463">
        <f t="shared" si="3"/>
        <v>2.508370017805623E-2</v>
      </c>
      <c r="AL13" s="463">
        <f t="shared" si="14"/>
        <v>-1.1953336858980805E-2</v>
      </c>
      <c r="AM13" s="453">
        <f t="shared" si="4"/>
        <v>-1210.7939032436855</v>
      </c>
      <c r="AO13" s="463">
        <f>+[17]김해!$T$5/[17]합계!$T$5</f>
        <v>2.3268168295792604E-2</v>
      </c>
      <c r="AP13" s="463">
        <f t="shared" si="15"/>
        <v>1.8155318822636254E-3</v>
      </c>
      <c r="AQ13" s="453">
        <f>+[17]김해!$Q$85*AP13</f>
        <v>178.67486553448157</v>
      </c>
    </row>
    <row r="14" spans="1:43" s="6" customFormat="1" ht="22.5" customHeight="1" x14ac:dyDescent="0.3">
      <c r="B14" s="6" t="s">
        <v>24</v>
      </c>
      <c r="G14" s="304" t="str">
        <f t="shared" si="5"/>
        <v>정관</v>
      </c>
      <c r="H14" s="69"/>
      <c r="I14" s="70" t="s">
        <v>24</v>
      </c>
      <c r="J14" s="40">
        <f>+IFERROR(HLOOKUP($B14,'[1]5월'!$D$6:$BN$259,2,),)/1000</f>
        <v>22</v>
      </c>
      <c r="K14" s="41">
        <f>+IFERROR(HLOOKUP($B14,'[2]5월'!$F$6:$CP$99,2,),)/1000</f>
        <v>14.882999999999999</v>
      </c>
      <c r="L14" s="42">
        <f t="shared" si="0"/>
        <v>-7.1170000000000009</v>
      </c>
      <c r="M14" s="43">
        <f>+IFERROR(HLOOKUP($B14,'[3]5월'!$F$6:$CC$57,2,),)/1000</f>
        <v>23.438500000000001</v>
      </c>
      <c r="N14" s="44">
        <f t="shared" si="6"/>
        <v>-8.5555000000000021</v>
      </c>
      <c r="O14" s="40">
        <f>+IFERROR(HLOOKUP($B14,'[1]5월'!$D$6:$BN$259,3,),)/1000</f>
        <v>2334.3778542800005</v>
      </c>
      <c r="P14" s="41">
        <f>+IFERROR(HLOOKUP($B14,'[2]5월'!$F$6:$CP$99,3,),)/1000</f>
        <v>1555.62528</v>
      </c>
      <c r="Q14" s="42">
        <f t="shared" si="7"/>
        <v>-778.75257428000054</v>
      </c>
      <c r="R14" s="43">
        <f>+IFERROR(HLOOKUP($B14,'[3]5월'!$F$6:$CC$57,3,),)/1000</f>
        <v>2254.5259999999998</v>
      </c>
      <c r="S14" s="44">
        <f t="shared" si="8"/>
        <v>-698.90071999999986</v>
      </c>
      <c r="T14" s="40">
        <f>+IFERROR(HLOOKUP($B14,'[1]5월'!$D$6:$BN$259,16,),)/1000</f>
        <v>323.96238640773635</v>
      </c>
      <c r="U14" s="41">
        <f>+IFERROR(HLOOKUP($B14,'[2]5월'!$F$6:$CP$99,16,),)/1000</f>
        <v>92.285134999999954</v>
      </c>
      <c r="V14" s="42">
        <f t="shared" si="9"/>
        <v>-231.67725140773638</v>
      </c>
      <c r="W14" s="43">
        <f>+IFERROR(HLOOKUP($B14,'[3]5월'!$F$6:$CC$57,16,),)/1000</f>
        <v>201.78350400000008</v>
      </c>
      <c r="X14" s="44">
        <f t="shared" si="10"/>
        <v>-109.49836900000012</v>
      </c>
      <c r="Y14" s="40">
        <f>+[4]정관!$Q$85</f>
        <v>106108.08428545456</v>
      </c>
      <c r="Z14" s="41">
        <f>+[4]정관!$R$85</f>
        <v>104523.63636363637</v>
      </c>
      <c r="AA14" s="45">
        <f>+[5]정관!$Q$85</f>
        <v>96261.011859427701</v>
      </c>
      <c r="AB14" s="46">
        <f>+[4]정관!$Q$89</f>
        <v>81375.81917601201</v>
      </c>
      <c r="AC14" s="41">
        <f>+[4]정관!$R$89</f>
        <v>84602.535548841872</v>
      </c>
      <c r="AD14" s="47">
        <f>+[5]정관!$Q$89</f>
        <v>78911.617334174516</v>
      </c>
      <c r="AE14" s="46">
        <f t="shared" si="11"/>
        <v>24732.265109442553</v>
      </c>
      <c r="AF14" s="41">
        <f t="shared" si="12"/>
        <v>19921.100814794496</v>
      </c>
      <c r="AG14" s="47">
        <f t="shared" si="13"/>
        <v>17349.394525253185</v>
      </c>
      <c r="AH14" s="15"/>
      <c r="AI14" s="637" t="str">
        <f t="shared" si="1"/>
        <v>정관</v>
      </c>
      <c r="AJ14" s="463">
        <f t="shared" si="2"/>
        <v>8.1481481481481488E-2</v>
      </c>
      <c r="AK14" s="463">
        <f t="shared" si="3"/>
        <v>6.8211348392108684E-2</v>
      </c>
      <c r="AL14" s="463">
        <f t="shared" si="14"/>
        <v>-1.3270133089372804E-2</v>
      </c>
      <c r="AM14" s="453">
        <f t="shared" si="4"/>
        <v>-1408.0684003263691</v>
      </c>
      <c r="AO14" s="463">
        <f>+[17]정관!$T$5/[17]합계!$T$5</f>
        <v>6.6990782126998549E-2</v>
      </c>
      <c r="AP14" s="463">
        <f t="shared" si="15"/>
        <v>1.2205662651101346E-3</v>
      </c>
      <c r="AQ14" s="453">
        <f>+[17]정관!$Q$85*AP14</f>
        <v>125.4287670703693</v>
      </c>
    </row>
    <row r="15" spans="1:43" s="6" customFormat="1" ht="22.5" customHeight="1" x14ac:dyDescent="0.3">
      <c r="B15" s="6" t="s">
        <v>25</v>
      </c>
      <c r="G15" s="304" t="str">
        <f t="shared" si="5"/>
        <v>양산</v>
      </c>
      <c r="H15" s="69"/>
      <c r="I15" s="70" t="s">
        <v>25</v>
      </c>
      <c r="J15" s="40">
        <f>+IFERROR(HLOOKUP($B15,'[1]5월'!$D$6:$BN$259,2,),)/1000</f>
        <v>10</v>
      </c>
      <c r="K15" s="41">
        <f>+IFERROR(HLOOKUP($B15,'[2]5월'!$F$6:$CP$99,2,),)/1000</f>
        <v>3.8359999999999999</v>
      </c>
      <c r="L15" s="42">
        <f t="shared" si="0"/>
        <v>-6.1639999999999997</v>
      </c>
      <c r="M15" s="43">
        <f>+IFERROR(HLOOKUP($B15,'[3]5월'!$F$6:$CC$57,2,),)/1000</f>
        <v>8.7370000000000001</v>
      </c>
      <c r="N15" s="44">
        <f t="shared" si="6"/>
        <v>-4.9009999999999998</v>
      </c>
      <c r="O15" s="40">
        <f>+IFERROR(HLOOKUP($B15,'[1]5월'!$D$6:$BN$259,3,),)/1000</f>
        <v>1013.502203</v>
      </c>
      <c r="P15" s="41">
        <f>+IFERROR(HLOOKUP($B15,'[2]5월'!$F$6:$CP$99,3,),)/1000</f>
        <v>383.57400000000001</v>
      </c>
      <c r="Q15" s="42">
        <f t="shared" si="7"/>
        <v>-629.92820299999994</v>
      </c>
      <c r="R15" s="43">
        <f>+IFERROR(HLOOKUP($B15,'[3]5월'!$F$6:$CC$57,3,),)/1000</f>
        <v>783.76211999999998</v>
      </c>
      <c r="S15" s="44">
        <f t="shared" si="8"/>
        <v>-400.18811999999997</v>
      </c>
      <c r="T15" s="40">
        <f>+IFERROR(HLOOKUP($B15,'[1]5월'!$D$6:$BN$259,16,),)/1000</f>
        <v>114.96988323190634</v>
      </c>
      <c r="U15" s="41">
        <f>+IFERROR(HLOOKUP($B15,'[2]5월'!$F$6:$CP$99,16,),)/1000</f>
        <v>-39.795292999999944</v>
      </c>
      <c r="V15" s="42">
        <f t="shared" si="9"/>
        <v>-154.76517623190628</v>
      </c>
      <c r="W15" s="43">
        <f>+IFERROR(HLOOKUP($B15,'[3]5월'!$F$6:$CC$57,16,),)/1000</f>
        <v>38.252910999999905</v>
      </c>
      <c r="X15" s="44">
        <f t="shared" si="10"/>
        <v>-78.048203999999856</v>
      </c>
      <c r="Y15" s="40">
        <f>+[4]양산!$Q$85</f>
        <v>101350.2203</v>
      </c>
      <c r="Z15" s="41">
        <f>+[4]양산!$R$85</f>
        <v>99993.222106360787</v>
      </c>
      <c r="AA15" s="45">
        <f>+[5]양산!$Q$85</f>
        <v>89706.091335698758</v>
      </c>
      <c r="AB15" s="46">
        <f>+[4]양산!$Q$89</f>
        <v>75892.305065698252</v>
      </c>
      <c r="AC15" s="41">
        <f>+[4]양산!$R$89</f>
        <v>76277.523201251315</v>
      </c>
      <c r="AD15" s="47">
        <f>+[5]양산!$Q$89</f>
        <v>71251.382167792166</v>
      </c>
      <c r="AE15" s="46">
        <f t="shared" si="11"/>
        <v>25457.915234301749</v>
      </c>
      <c r="AF15" s="41">
        <f t="shared" si="12"/>
        <v>23715.698905109472</v>
      </c>
      <c r="AG15" s="47">
        <f t="shared" si="13"/>
        <v>18454.709167906592</v>
      </c>
      <c r="AH15" s="15"/>
      <c r="AI15" s="637" t="str">
        <f t="shared" si="1"/>
        <v>양산</v>
      </c>
      <c r="AJ15" s="463">
        <f t="shared" si="2"/>
        <v>3.7037037037037035E-2</v>
      </c>
      <c r="AK15" s="463">
        <f t="shared" si="3"/>
        <v>1.7581047667280046E-2</v>
      </c>
      <c r="AL15" s="463">
        <f t="shared" si="14"/>
        <v>-1.9455989369756989E-2</v>
      </c>
      <c r="AM15" s="453">
        <f t="shared" si="4"/>
        <v>-1971.8688087793289</v>
      </c>
      <c r="AO15" s="463">
        <f>+[17]양산!$T$5/[17]합계!$T$5</f>
        <v>2.6411624192153815E-2</v>
      </c>
      <c r="AP15" s="463">
        <f t="shared" si="15"/>
        <v>-8.8305765248737692E-3</v>
      </c>
      <c r="AQ15" s="453">
        <f>+[17]양산!$Q$85*AP15</f>
        <v>-869.50849310337344</v>
      </c>
    </row>
    <row r="16" spans="1:43" s="6" customFormat="1" ht="22.5" customHeight="1" x14ac:dyDescent="0.3">
      <c r="B16" s="6" t="s">
        <v>26</v>
      </c>
      <c r="G16" s="304" t="str">
        <f t="shared" si="5"/>
        <v>창원</v>
      </c>
      <c r="H16" s="69"/>
      <c r="I16" s="70" t="s">
        <v>26</v>
      </c>
      <c r="J16" s="40">
        <f>+IFERROR(HLOOKUP($B16,'[1]5월'!$D$6:$BN$259,2,),)/1000</f>
        <v>14.000000000000002</v>
      </c>
      <c r="K16" s="41">
        <f>+IFERROR(HLOOKUP($B16,'[2]5월'!$F$6:$CP$99,2,),)/1000</f>
        <v>11.287000000000001</v>
      </c>
      <c r="L16" s="42">
        <f t="shared" si="0"/>
        <v>-2.713000000000001</v>
      </c>
      <c r="M16" s="43">
        <f>+IFERROR(HLOOKUP($B16,'[3]5월'!$F$6:$CC$57,2,),)/1000</f>
        <v>8.83</v>
      </c>
      <c r="N16" s="44">
        <f t="shared" si="6"/>
        <v>2.4570000000000007</v>
      </c>
      <c r="O16" s="40">
        <f>+IFERROR(HLOOKUP($B16,'[1]5월'!$D$6:$BN$259,3,),)/1000</f>
        <v>1372.3951546397213</v>
      </c>
      <c r="P16" s="41">
        <f>+IFERROR(HLOOKUP($B16,'[2]5월'!$F$6:$CP$99,3,),)/1000</f>
        <v>1096.4436000000001</v>
      </c>
      <c r="Q16" s="42">
        <f t="shared" si="7"/>
        <v>-275.95155463972128</v>
      </c>
      <c r="R16" s="43">
        <f>+IFERROR(HLOOKUP($B16,'[3]5월'!$F$6:$CC$57,3,),)/1000</f>
        <v>858.65139999999997</v>
      </c>
      <c r="S16" s="44">
        <f t="shared" si="8"/>
        <v>237.79220000000009</v>
      </c>
      <c r="T16" s="40">
        <f>+IFERROR(HLOOKUP($B16,'[1]5월'!$D$6:$BN$259,16,),)/1000</f>
        <v>126.87660979683848</v>
      </c>
      <c r="U16" s="41">
        <f>+IFERROR(HLOOKUP($B16,'[2]5월'!$F$6:$CP$99,16,),)/1000</f>
        <v>65.208746000000147</v>
      </c>
      <c r="V16" s="42">
        <f t="shared" si="9"/>
        <v>-61.667863796838333</v>
      </c>
      <c r="W16" s="43">
        <f>+IFERROR(HLOOKUP($B16,'[3]5월'!$F$6:$CC$57,16,),)/1000</f>
        <v>24.863254000000019</v>
      </c>
      <c r="X16" s="44">
        <f t="shared" si="10"/>
        <v>40.345492000000128</v>
      </c>
      <c r="Y16" s="40">
        <f>+[4]창원!$Q$85</f>
        <v>98028.22533140867</v>
      </c>
      <c r="Z16" s="41">
        <f>+[4]창원!$R$85</f>
        <v>97142.163550987869</v>
      </c>
      <c r="AA16" s="45">
        <f>+[5]창원!$Q$85</f>
        <v>97242.514156285397</v>
      </c>
      <c r="AB16" s="46">
        <f>+[4]창원!$Q$89</f>
        <v>76554.334322110677</v>
      </c>
      <c r="AC16" s="41">
        <f>+[4]창원!$R$89</f>
        <v>74983.096925666701</v>
      </c>
      <c r="AD16" s="47">
        <f>+[5]창원!$Q$89</f>
        <v>75675.416421291055</v>
      </c>
      <c r="AE16" s="46">
        <f t="shared" si="11"/>
        <v>21473.891009297993</v>
      </c>
      <c r="AF16" s="41">
        <f t="shared" si="12"/>
        <v>22159.066625321168</v>
      </c>
      <c r="AG16" s="47">
        <f t="shared" si="13"/>
        <v>21567.097734994342</v>
      </c>
      <c r="AH16" s="15"/>
      <c r="AI16" s="637" t="str">
        <f t="shared" si="1"/>
        <v>창원</v>
      </c>
      <c r="AJ16" s="463">
        <f t="shared" si="2"/>
        <v>5.1851851851851857E-2</v>
      </c>
      <c r="AK16" s="463">
        <f t="shared" si="3"/>
        <v>5.1730261997025524E-2</v>
      </c>
      <c r="AL16" s="463">
        <f t="shared" si="14"/>
        <v>-1.2158985482633305E-4</v>
      </c>
      <c r="AM16" s="453">
        <f t="shared" si="4"/>
        <v>-11.919237686929044</v>
      </c>
      <c r="AO16" s="463">
        <f>+[17]창원!$T$5/[17]합계!$T$5</f>
        <v>4.2392690182745434E-2</v>
      </c>
      <c r="AP16" s="463">
        <f t="shared" si="15"/>
        <v>9.3375718142800906E-3</v>
      </c>
      <c r="AQ16" s="453">
        <f>+[17]창원!$Q$85*AP16</f>
        <v>874.52368010844305</v>
      </c>
    </row>
    <row r="17" spans="2:43" s="6" customFormat="1" ht="22.5" customHeight="1" x14ac:dyDescent="0.3">
      <c r="B17" s="6" t="s">
        <v>77</v>
      </c>
      <c r="G17" s="304" t="str">
        <f t="shared" si="5"/>
        <v>대구</v>
      </c>
      <c r="H17" s="69"/>
      <c r="I17" s="70" t="s">
        <v>69</v>
      </c>
      <c r="J17" s="40">
        <f>+IFERROR(HLOOKUP($B17,'[1]5월'!$D$6:$BN$259,2,),)/1000</f>
        <v>9</v>
      </c>
      <c r="K17" s="41">
        <f>+IFERROR(HLOOKUP($B17,'[2]5월'!$F$6:$CP$99,2,),)/1000</f>
        <v>4.7969999999999997</v>
      </c>
      <c r="L17" s="42">
        <f t="shared" si="0"/>
        <v>-4.2030000000000003</v>
      </c>
      <c r="M17" s="43">
        <f>+IFERROR(HLOOKUP($B17,'[3]5월'!$F$6:$CC$57,2,),)/1000</f>
        <v>8.3985000000000003</v>
      </c>
      <c r="N17" s="44">
        <f t="shared" si="6"/>
        <v>-3.6015000000000006</v>
      </c>
      <c r="O17" s="40">
        <f>+IFERROR(HLOOKUP($B17,'[1]5월'!$D$6:$BN$259,3,),)/1000</f>
        <v>824.66973336000001</v>
      </c>
      <c r="P17" s="41">
        <f>+IFERROR(HLOOKUP($B17,'[2]5월'!$F$6:$CP$99,3,),)/1000</f>
        <v>373.87799999999999</v>
      </c>
      <c r="Q17" s="42">
        <f t="shared" si="7"/>
        <v>-450.79173336000002</v>
      </c>
      <c r="R17" s="43">
        <f>+IFERROR(HLOOKUP($B17,'[3]5월'!$F$6:$CC$57,3,),)/1000</f>
        <v>714.62896000000001</v>
      </c>
      <c r="S17" s="44">
        <f t="shared" si="8"/>
        <v>-340.75096000000002</v>
      </c>
      <c r="T17" s="40">
        <f>+IFERROR(HLOOKUP($B17,'[1]5월'!$D$6:$BN$259,16,),)/1000</f>
        <v>50.762106806190033</v>
      </c>
      <c r="U17" s="41">
        <f>+IFERROR(HLOOKUP($B17,'[2]5월'!$F$6:$CP$99,16,),)/1000</f>
        <v>-72.116300999999993</v>
      </c>
      <c r="V17" s="42">
        <f t="shared" si="9"/>
        <v>-122.87840780619003</v>
      </c>
      <c r="W17" s="43">
        <f>+IFERROR(HLOOKUP($B17,'[3]5월'!$F$6:$CC$57,16,),)/1000</f>
        <v>-22.058378000000079</v>
      </c>
      <c r="X17" s="44">
        <f t="shared" si="10"/>
        <v>-50.057922999999917</v>
      </c>
      <c r="Y17" s="40">
        <f>+[4]대구!$Q$85</f>
        <v>91629.970373333315</v>
      </c>
      <c r="Z17" s="41">
        <f>+[4]대구!$R$85</f>
        <v>77939.962476547851</v>
      </c>
      <c r="AA17" s="45">
        <f>+[5]대구!$Q$85</f>
        <v>85090.070845984403</v>
      </c>
      <c r="AB17" s="46">
        <f>+[4]대구!$Q$89</f>
        <v>70177.9058772352</v>
      </c>
      <c r="AC17" s="41">
        <f>+[4]대구!$R$89</f>
        <v>66396.85115697312</v>
      </c>
      <c r="AD17" s="47">
        <f>+[5]대구!$Q$89</f>
        <v>70269.760840541014</v>
      </c>
      <c r="AE17" s="46">
        <f t="shared" si="11"/>
        <v>21452.064496098115</v>
      </c>
      <c r="AF17" s="41">
        <f t="shared" si="12"/>
        <v>11543.111319574731</v>
      </c>
      <c r="AG17" s="47">
        <f t="shared" si="13"/>
        <v>14820.310005443389</v>
      </c>
      <c r="AH17" s="15"/>
      <c r="AI17" s="637" t="str">
        <f t="shared" si="1"/>
        <v>대구</v>
      </c>
      <c r="AJ17" s="463">
        <f t="shared" si="2"/>
        <v>3.3333333333333333E-2</v>
      </c>
      <c r="AK17" s="463">
        <f t="shared" si="3"/>
        <v>2.1985475928035032E-2</v>
      </c>
      <c r="AL17" s="463">
        <f t="shared" si="14"/>
        <v>-1.1347857405298301E-2</v>
      </c>
      <c r="AM17" s="453">
        <f t="shared" si="4"/>
        <v>-1039.8038378482945</v>
      </c>
      <c r="AO17" s="463">
        <f>+[17]대구!$T$5/[17]합계!$T$5</f>
        <v>2.0932558582587159E-2</v>
      </c>
      <c r="AP17" s="463">
        <f t="shared" si="15"/>
        <v>1.0529173454478721E-3</v>
      </c>
      <c r="AQ17" s="453">
        <f>+[17]대구!$Q$85*AP17</f>
        <v>81.69636951660398</v>
      </c>
    </row>
    <row r="18" spans="2:43" s="6" customFormat="1" ht="22.5" customHeight="1" x14ac:dyDescent="0.3">
      <c r="B18" s="6" t="s">
        <v>78</v>
      </c>
      <c r="G18" s="306" t="str">
        <f t="shared" si="5"/>
        <v>울산</v>
      </c>
      <c r="H18" s="69"/>
      <c r="I18" s="72" t="s">
        <v>70</v>
      </c>
      <c r="J18" s="7">
        <f>+IFERROR(HLOOKUP($B18,'[1]5월'!$D$6:$BN$259,2,),)/1000</f>
        <v>12</v>
      </c>
      <c r="K18" s="8">
        <f>+IFERROR(HLOOKUP($B18,'[2]5월'!$F$6:$CP$99,2,),)/1000</f>
        <v>10.223000000000001</v>
      </c>
      <c r="L18" s="9">
        <f t="shared" si="0"/>
        <v>-1.7769999999999992</v>
      </c>
      <c r="M18" s="10">
        <f>+IFERROR(HLOOKUP($B18,'[3]5월'!$F$6:$CC$57,2,),)/1000</f>
        <v>11.425000000000001</v>
      </c>
      <c r="N18" s="11">
        <f t="shared" si="6"/>
        <v>-1.202</v>
      </c>
      <c r="O18" s="7">
        <f>+IFERROR(HLOOKUP($B18,'[1]5월'!$D$6:$BN$259,3,),)/1000</f>
        <v>1239.4427172000001</v>
      </c>
      <c r="P18" s="8">
        <f>+IFERROR(HLOOKUP($B18,'[2]5월'!$F$6:$CP$99,3,),)/1000</f>
        <v>1065.0907999999999</v>
      </c>
      <c r="Q18" s="9">
        <f t="shared" si="7"/>
        <v>-174.35191720000012</v>
      </c>
      <c r="R18" s="10">
        <f>+IFERROR(HLOOKUP($B18,'[3]5월'!$F$6:$CC$57,3,),)/1000</f>
        <v>1191.1941000000002</v>
      </c>
      <c r="S18" s="11">
        <f t="shared" si="8"/>
        <v>-126.10330000000022</v>
      </c>
      <c r="T18" s="7">
        <f>+IFERROR(HLOOKUP($B18,'[1]5월'!$D$6:$BN$259,16,),)/1000</f>
        <v>103.28834833979614</v>
      </c>
      <c r="U18" s="8">
        <f>+IFERROR(HLOOKUP($B18,'[2]5월'!$F$6:$CP$99,16,),)/1000</f>
        <v>29.061433000000022</v>
      </c>
      <c r="V18" s="9">
        <f t="shared" si="9"/>
        <v>-74.226915339796122</v>
      </c>
      <c r="W18" s="10">
        <f>+IFERROR(HLOOKUP($B18,'[3]5월'!$F$6:$CC$57,16,),)/1000</f>
        <v>111.4243560000001</v>
      </c>
      <c r="X18" s="11">
        <f t="shared" si="10"/>
        <v>-82.36292300000008</v>
      </c>
      <c r="Y18" s="7">
        <f>+[4]울산!$Q$85</f>
        <v>103286.8931</v>
      </c>
      <c r="Z18" s="8">
        <f>+[4]울산!$R$85</f>
        <v>104185.73804167075</v>
      </c>
      <c r="AA18" s="12">
        <f>+[5]울산!$Q$85</f>
        <v>104262.06564551423</v>
      </c>
      <c r="AB18" s="13">
        <f>+[4]울산!$Q$89</f>
        <v>82587.096247632318</v>
      </c>
      <c r="AC18" s="8">
        <f>+[4]울산!$R$89</f>
        <v>87862.053085343403</v>
      </c>
      <c r="AD18" s="14">
        <f>+[5]울산!$Q$89</f>
        <v>81655.984682713344</v>
      </c>
      <c r="AE18" s="13">
        <f t="shared" si="11"/>
        <v>20699.796852367683</v>
      </c>
      <c r="AF18" s="8">
        <f t="shared" si="12"/>
        <v>16323.684956327343</v>
      </c>
      <c r="AG18" s="14">
        <f t="shared" si="13"/>
        <v>22606.080962800886</v>
      </c>
      <c r="AH18" s="15"/>
      <c r="AI18" s="637" t="str">
        <f t="shared" si="1"/>
        <v>울산</v>
      </c>
      <c r="AJ18" s="463">
        <f t="shared" si="2"/>
        <v>4.4444444444444446E-2</v>
      </c>
      <c r="AK18" s="463">
        <f t="shared" si="3"/>
        <v>4.6853767023619375E-2</v>
      </c>
      <c r="AL18" s="463">
        <f t="shared" si="14"/>
        <v>2.4093225791749287E-3</v>
      </c>
      <c r="AM18" s="453">
        <f t="shared" si="4"/>
        <v>248.85144367865715</v>
      </c>
      <c r="AO18" s="463">
        <f>+[17]울산!$T$5/[17]합계!$T$5</f>
        <v>5.2966132743233141E-2</v>
      </c>
      <c r="AP18" s="463">
        <f t="shared" si="15"/>
        <v>-6.112365719613766E-3</v>
      </c>
      <c r="AQ18" s="453">
        <f>+[17]울산!$Q$85*AP18</f>
        <v>-620.78563718655028</v>
      </c>
    </row>
    <row r="19" spans="2:43" s="6" customFormat="1" ht="22.5" customHeight="1" x14ac:dyDescent="0.3">
      <c r="B19" s="6" t="s">
        <v>75</v>
      </c>
      <c r="G19" s="306" t="str">
        <f t="shared" si="5"/>
        <v>아산</v>
      </c>
      <c r="H19" s="69"/>
      <c r="I19" s="70" t="s">
        <v>27</v>
      </c>
      <c r="J19" s="40">
        <f>+IFERROR(HLOOKUP($B19,'[1]5월'!$D$6:$BN$259,2,),)/1000</f>
        <v>22</v>
      </c>
      <c r="K19" s="41">
        <f>+IFERROR(HLOOKUP($B19,'[2]5월'!$F$6:$CP$99,2,),)/1000</f>
        <v>18.291</v>
      </c>
      <c r="L19" s="42">
        <f t="shared" si="0"/>
        <v>-3.7089999999999996</v>
      </c>
      <c r="M19" s="43">
        <f>+IFERROR(HLOOKUP($B19,'[3]5월'!$F$6:$CC$57,2,),)/1000</f>
        <v>22.643999999999998</v>
      </c>
      <c r="N19" s="44">
        <f t="shared" si="6"/>
        <v>-4.352999999999998</v>
      </c>
      <c r="O19" s="40">
        <f>+IFERROR(HLOOKUP($B19,'[1]5월'!$D$6:$BN$259,3,),)/1000</f>
        <v>2174.04684</v>
      </c>
      <c r="P19" s="41">
        <f>+IFERROR(HLOOKUP($B19,'[2]5월'!$F$6:$CP$99,3,),)/1000</f>
        <v>1884.838837</v>
      </c>
      <c r="Q19" s="42">
        <f t="shared" si="7"/>
        <v>-289.20800299999996</v>
      </c>
      <c r="R19" s="43">
        <f>+IFERROR(HLOOKUP($B19,'[3]5월'!$F$6:$CC$57,3,),)/1000</f>
        <v>2188.9670000000001</v>
      </c>
      <c r="S19" s="44">
        <f t="shared" si="8"/>
        <v>-304.12816300000009</v>
      </c>
      <c r="T19" s="40">
        <f>+IFERROR(HLOOKUP($B19,'[1]5월'!$D$6:$BN$259,16,),)/1000</f>
        <v>213.00415777443558</v>
      </c>
      <c r="U19" s="41">
        <f>+IFERROR(HLOOKUP($B19,'[2]5월'!$F$6:$CP$99,16,),)/1000</f>
        <v>122.41642700000017</v>
      </c>
      <c r="V19" s="42">
        <f t="shared" si="9"/>
        <v>-90.587730774435414</v>
      </c>
      <c r="W19" s="43">
        <f>+IFERROR(HLOOKUP($B19,'[3]5월'!$F$6:$CC$57,16,),)/1000</f>
        <v>136.46828100000008</v>
      </c>
      <c r="X19" s="44">
        <f t="shared" si="10"/>
        <v>-14.051853999999906</v>
      </c>
      <c r="Y19" s="40">
        <f>+[4]아산!$Q$85</f>
        <v>98820.310909090913</v>
      </c>
      <c r="Z19" s="41">
        <f>+[4]아산!$R$85</f>
        <v>103047.33677765021</v>
      </c>
      <c r="AA19" s="45">
        <f>+[5]아산!$Q$85</f>
        <v>96668.742271683441</v>
      </c>
      <c r="AB19" s="46">
        <f>+[4]아산!$Q$89</f>
        <v>77983.88237010139</v>
      </c>
      <c r="AC19" s="41">
        <f>+[4]아산!$R$89</f>
        <v>82865.275132564362</v>
      </c>
      <c r="AD19" s="47">
        <f>+[5]아산!$Q$89</f>
        <v>79974.965713529251</v>
      </c>
      <c r="AE19" s="46">
        <f t="shared" si="11"/>
        <v>20836.428538989523</v>
      </c>
      <c r="AF19" s="41">
        <f t="shared" si="12"/>
        <v>20182.061645085851</v>
      </c>
      <c r="AG19" s="47">
        <f t="shared" si="13"/>
        <v>16693.77655815419</v>
      </c>
      <c r="AH19" s="15"/>
      <c r="AI19" s="637" t="str">
        <f t="shared" si="1"/>
        <v>아산</v>
      </c>
      <c r="AJ19" s="463">
        <f t="shared" si="2"/>
        <v>8.1481481481481488E-2</v>
      </c>
      <c r="AK19" s="463">
        <f t="shared" si="3"/>
        <v>8.3830798457304317E-2</v>
      </c>
      <c r="AL19" s="463">
        <f t="shared" si="14"/>
        <v>2.3493169758228294E-3</v>
      </c>
      <c r="AM19" s="453">
        <f t="shared" si="4"/>
        <v>232.16023397481723</v>
      </c>
      <c r="AO19" s="463">
        <f>+[17]아산!$T$5/[17]합계!$T$5</f>
        <v>8.8874071251666978E-2</v>
      </c>
      <c r="AP19" s="463">
        <f t="shared" si="15"/>
        <v>-5.0432727943626604E-3</v>
      </c>
      <c r="AQ19" s="453">
        <f>+[17]아산!$Q$85*AP19</f>
        <v>-503.86927301036792</v>
      </c>
    </row>
    <row r="20" spans="2:43" s="6" customFormat="1" ht="22.5" customHeight="1" x14ac:dyDescent="0.3">
      <c r="B20" s="6" t="s">
        <v>71</v>
      </c>
      <c r="G20" s="306" t="str">
        <f t="shared" si="5"/>
        <v>전주</v>
      </c>
      <c r="H20" s="69"/>
      <c r="I20" s="70" t="s">
        <v>71</v>
      </c>
      <c r="J20" s="40">
        <f>+IFERROR(HLOOKUP($B20,'[1]5월'!$D$6:$BN$259,2,),)/1000</f>
        <v>12</v>
      </c>
      <c r="K20" s="41">
        <f>+IFERROR(HLOOKUP($B20,'[2]5월'!$F$6:$CP$99,2,),)/1000</f>
        <v>10.494</v>
      </c>
      <c r="L20" s="42">
        <f t="shared" si="0"/>
        <v>-1.5060000000000002</v>
      </c>
      <c r="M20" s="43">
        <f>+IFERROR(HLOOKUP($B20,'[3]5월'!$F$6:$CC$57,2,),)/1000</f>
        <v>13.9375</v>
      </c>
      <c r="N20" s="44">
        <f t="shared" si="6"/>
        <v>-3.4435000000000002</v>
      </c>
      <c r="O20" s="40">
        <f>+IFERROR(HLOOKUP($B20,'[1]5월'!$D$6:$BN$259,3,),)/1000</f>
        <v>1232.2940000000001</v>
      </c>
      <c r="P20" s="41">
        <f>+IFERROR(HLOOKUP($B20,'[2]5월'!$F$6:$CP$99,3,),)/1000</f>
        <v>1014.531996</v>
      </c>
      <c r="Q20" s="42">
        <f t="shared" si="7"/>
        <v>-217.76200400000005</v>
      </c>
      <c r="R20" s="43">
        <f>+IFERROR(HLOOKUP($B20,'[3]5월'!$F$6:$CC$57,3,),)/1000</f>
        <v>1348.2396999999999</v>
      </c>
      <c r="S20" s="44">
        <f t="shared" si="8"/>
        <v>-333.70770399999981</v>
      </c>
      <c r="T20" s="40">
        <f>+IFERROR(HLOOKUP($B20,'[1]5월'!$D$6:$BN$259,16,),)/1000</f>
        <v>162.09149755555558</v>
      </c>
      <c r="U20" s="41">
        <f>+IFERROR(HLOOKUP($B20,'[2]5월'!$F$6:$CP$99,16,),)/1000</f>
        <v>21.521378999999989</v>
      </c>
      <c r="V20" s="42">
        <f t="shared" si="9"/>
        <v>-140.57011855555558</v>
      </c>
      <c r="W20" s="43">
        <f>+IFERROR(HLOOKUP($B20,'[3]5월'!$F$6:$CC$57,16,),)/1000</f>
        <v>165.00719200000015</v>
      </c>
      <c r="X20" s="44">
        <f t="shared" si="10"/>
        <v>-143.48581300000015</v>
      </c>
      <c r="Y20" s="40">
        <f>+[4]전주!$Q$85</f>
        <v>102691.16666666666</v>
      </c>
      <c r="Z20" s="41">
        <f>+[4]전주!$R$85</f>
        <v>96677.339050886221</v>
      </c>
      <c r="AA20" s="45">
        <f>+[5]전주!$Q$85</f>
        <v>96734.686995515687</v>
      </c>
      <c r="AB20" s="46">
        <f>+[4]전주!$Q$89</f>
        <v>76384.788083333347</v>
      </c>
      <c r="AC20" s="41">
        <f>+[4]전주!$R$89</f>
        <v>80526.778254240518</v>
      </c>
      <c r="AD20" s="47">
        <f>+[5]전주!$Q$89</f>
        <v>74428.278457399094</v>
      </c>
      <c r="AE20" s="46">
        <f t="shared" si="11"/>
        <v>26306.37858333331</v>
      </c>
      <c r="AF20" s="41">
        <f t="shared" si="12"/>
        <v>16150.560796645703</v>
      </c>
      <c r="AG20" s="47">
        <f t="shared" si="13"/>
        <v>22306.408538116593</v>
      </c>
      <c r="AH20" s="15"/>
      <c r="AI20" s="637" t="str">
        <f t="shared" si="1"/>
        <v>전주</v>
      </c>
      <c r="AJ20" s="463">
        <f t="shared" si="2"/>
        <v>4.4444444444444446E-2</v>
      </c>
      <c r="AK20" s="463">
        <f t="shared" si="3"/>
        <v>4.8095806626808346E-2</v>
      </c>
      <c r="AL20" s="463">
        <f t="shared" si="14"/>
        <v>3.6513621823639E-3</v>
      </c>
      <c r="AM20" s="453">
        <f t="shared" si="4"/>
        <v>374.96264242949496</v>
      </c>
      <c r="AO20" s="463">
        <f>+[17]전주!$T$5/[17]합계!$T$5</f>
        <v>4.9496607412400896E-2</v>
      </c>
      <c r="AP20" s="463">
        <f t="shared" si="15"/>
        <v>-1.40080078559255E-3</v>
      </c>
      <c r="AQ20" s="453">
        <f>+[17]전주!$Q$85*AP20</f>
        <v>-136.21329358646045</v>
      </c>
    </row>
    <row r="21" spans="2:43" s="6" customFormat="1" ht="22.5" customHeight="1" x14ac:dyDescent="0.3">
      <c r="B21" s="6" t="s">
        <v>72</v>
      </c>
      <c r="G21" s="306" t="str">
        <f t="shared" si="5"/>
        <v>군산</v>
      </c>
      <c r="H21" s="69"/>
      <c r="I21" s="70" t="s">
        <v>72</v>
      </c>
      <c r="J21" s="40">
        <f>+IFERROR(HLOOKUP($B21,'[1]5월'!$D$6:$BN$259,2,),)/1000</f>
        <v>5</v>
      </c>
      <c r="K21" s="41">
        <f>+IFERROR(HLOOKUP($B21,'[2]5월'!$F$6:$CP$99,2,),)/1000</f>
        <v>4.0274999999999999</v>
      </c>
      <c r="L21" s="42">
        <f t="shared" si="0"/>
        <v>-0.97250000000000014</v>
      </c>
      <c r="M21" s="43">
        <f>+IFERROR(HLOOKUP($B21,'[3]5월'!$F$6:$CC$57,2,),)/1000</f>
        <v>6.2309999999999999</v>
      </c>
      <c r="N21" s="44">
        <f t="shared" si="6"/>
        <v>-2.2035</v>
      </c>
      <c r="O21" s="40">
        <f>+IFERROR(HLOOKUP($B21,'[1]5월'!$D$6:$BN$259,3,),)/1000</f>
        <v>560.42379999999991</v>
      </c>
      <c r="P21" s="41">
        <f>+IFERROR(HLOOKUP($B21,'[2]5월'!$F$6:$CP$99,3,),)/1000</f>
        <v>428.74065400000001</v>
      </c>
      <c r="Q21" s="42">
        <f t="shared" si="7"/>
        <v>-131.68314599999991</v>
      </c>
      <c r="R21" s="43">
        <f>+IFERROR(HLOOKUP($B21,'[3]5월'!$F$6:$CC$57,3,),)/1000</f>
        <v>651.47799999999995</v>
      </c>
      <c r="S21" s="44">
        <f t="shared" si="8"/>
        <v>-222.73734599999995</v>
      </c>
      <c r="T21" s="40">
        <f>+IFERROR(HLOOKUP($B21,'[1]5월'!$D$6:$BN$259,16,),)/1000</f>
        <v>106.8718337048804</v>
      </c>
      <c r="U21" s="41">
        <f>+IFERROR(HLOOKUP($B21,'[2]5월'!$F$6:$CP$99,16,),)/1000</f>
        <v>44.935985999999993</v>
      </c>
      <c r="V21" s="42">
        <f t="shared" si="9"/>
        <v>-61.935847704880409</v>
      </c>
      <c r="W21" s="43">
        <f>+IFERROR(HLOOKUP($B21,'[3]5월'!$F$6:$CC$57,16,),)/1000</f>
        <v>130.46313499999999</v>
      </c>
      <c r="X21" s="44">
        <f t="shared" si="10"/>
        <v>-85.527149000000009</v>
      </c>
      <c r="Y21" s="40">
        <f>+[4]군산!$Q$85</f>
        <v>112084.76</v>
      </c>
      <c r="Z21" s="41">
        <f>+[4]군산!$R$85</f>
        <v>106453.29708255742</v>
      </c>
      <c r="AA21" s="45">
        <f>+[5]군산!$Q$85</f>
        <v>104554.3251484513</v>
      </c>
      <c r="AB21" s="46">
        <f>+[4]군산!$Q$89</f>
        <v>72924.397125690579</v>
      </c>
      <c r="AC21" s="41">
        <f>+[4]군산!$R$89</f>
        <v>74907.397889509622</v>
      </c>
      <c r="AD21" s="47">
        <f>+[5]군산!$Q$89</f>
        <v>70840.843363826032</v>
      </c>
      <c r="AE21" s="46">
        <f t="shared" si="11"/>
        <v>39160.362874309416</v>
      </c>
      <c r="AF21" s="41">
        <f t="shared" si="12"/>
        <v>31545.899193047793</v>
      </c>
      <c r="AG21" s="47">
        <f t="shared" si="13"/>
        <v>33713.48178462527</v>
      </c>
      <c r="AH21" s="15"/>
      <c r="AI21" s="637" t="str">
        <f t="shared" si="1"/>
        <v>군산</v>
      </c>
      <c r="AJ21" s="463">
        <f t="shared" si="2"/>
        <v>1.8518518518518517E-2</v>
      </c>
      <c r="AK21" s="463">
        <f t="shared" si="3"/>
        <v>1.8458725099053802E-2</v>
      </c>
      <c r="AL21" s="463">
        <f t="shared" si="14"/>
        <v>-5.9793419464715392E-5</v>
      </c>
      <c r="AM21" s="453">
        <f t="shared" si="4"/>
        <v>-6.7019310702819528</v>
      </c>
      <c r="AO21" s="463">
        <f>+[17]군산!$T$5/[17]합계!$T$5</f>
        <v>1.8688541407154476E-2</v>
      </c>
      <c r="AP21" s="463">
        <f t="shared" si="15"/>
        <v>-2.2981630810067419E-4</v>
      </c>
      <c r="AQ21" s="453">
        <f>+[17]군산!$Q$85*AP21</f>
        <v>-25.586896689222137</v>
      </c>
    </row>
    <row r="22" spans="2:43" s="6" customFormat="1" ht="22.5" customHeight="1" x14ac:dyDescent="0.3">
      <c r="B22" s="6" t="s">
        <v>73</v>
      </c>
      <c r="G22" s="306" t="str">
        <f t="shared" si="5"/>
        <v>원주</v>
      </c>
      <c r="H22" s="69"/>
      <c r="I22" s="70" t="s">
        <v>73</v>
      </c>
      <c r="J22" s="40">
        <f>+IFERROR(HLOOKUP($B22,'[1]5월'!$D$6:$BN$259,2,),)/1000</f>
        <v>4</v>
      </c>
      <c r="K22" s="41">
        <f>+IFERROR(HLOOKUP($B22,'[2]5월'!$F$6:$CP$99,2,),)/1000</f>
        <v>4.766</v>
      </c>
      <c r="L22" s="42">
        <f t="shared" si="0"/>
        <v>0.76600000000000001</v>
      </c>
      <c r="M22" s="43">
        <f>+IFERROR(HLOOKUP($B22,'[3]5월'!$F$6:$CC$57,2,),)/1000</f>
        <v>1.6815</v>
      </c>
      <c r="N22" s="44">
        <f t="shared" si="6"/>
        <v>3.0845000000000002</v>
      </c>
      <c r="O22" s="40">
        <f>+IFERROR(HLOOKUP($B22,'[1]5월'!$D$6:$BN$259,3,),)/1000</f>
        <v>446.53945930000015</v>
      </c>
      <c r="P22" s="41">
        <f>+IFERROR(HLOOKUP($B22,'[2]5월'!$F$6:$CP$99,3,),)/1000</f>
        <v>546.63900000000001</v>
      </c>
      <c r="Q22" s="42">
        <f t="shared" si="7"/>
        <v>100.09954069999986</v>
      </c>
      <c r="R22" s="43">
        <f>+IFERROR(HLOOKUP($B22,'[3]5월'!$F$6:$CC$57,3,),)/1000</f>
        <v>184.23004999999998</v>
      </c>
      <c r="S22" s="44">
        <f t="shared" si="8"/>
        <v>362.40895</v>
      </c>
      <c r="T22" s="40">
        <f>+IFERROR(HLOOKUP($B22,'[1]5월'!$D$6:$BN$259,16,),)/1000</f>
        <v>74.502640362819392</v>
      </c>
      <c r="U22" s="41">
        <f>+IFERROR(HLOOKUP($B22,'[2]5월'!$F$6:$CP$99,16,),)/1000</f>
        <v>133.32986699999998</v>
      </c>
      <c r="V22" s="42">
        <f t="shared" si="9"/>
        <v>58.827226637180587</v>
      </c>
      <c r="W22" s="43">
        <f>+IFERROR(HLOOKUP($B22,'[3]5월'!$F$6:$CC$57,16,),)/1000</f>
        <v>-23.378171000000027</v>
      </c>
      <c r="X22" s="44">
        <f t="shared" si="10"/>
        <v>156.70803800000002</v>
      </c>
      <c r="Y22" s="40">
        <f>+[4]원주!$Q$85</f>
        <v>111634.86482500004</v>
      </c>
      <c r="Z22" s="41">
        <f>+[4]원주!$R$85</f>
        <v>114695.55182543013</v>
      </c>
      <c r="AA22" s="45">
        <f>+[5]원주!$Q$85</f>
        <v>109562.92001189414</v>
      </c>
      <c r="AB22" s="46">
        <f>+[4]원주!$Q$89</f>
        <v>70677.63296346186</v>
      </c>
      <c r="AC22" s="41">
        <f>+[4]원주!$R$89</f>
        <v>70522.994334872012</v>
      </c>
      <c r="AD22" s="47">
        <f>+[5]원주!$Q$89</f>
        <v>72019.424918227771</v>
      </c>
      <c r="AE22" s="46">
        <f t="shared" si="11"/>
        <v>40957.231861538181</v>
      </c>
      <c r="AF22" s="41">
        <f t="shared" si="12"/>
        <v>44172.557490558116</v>
      </c>
      <c r="AG22" s="47">
        <f t="shared" si="13"/>
        <v>37543.495093666366</v>
      </c>
      <c r="AH22" s="15"/>
      <c r="AI22" s="637" t="str">
        <f t="shared" si="1"/>
        <v>원주</v>
      </c>
      <c r="AJ22" s="463">
        <f t="shared" si="2"/>
        <v>1.4814814814814815E-2</v>
      </c>
      <c r="AK22" s="463">
        <f t="shared" si="3"/>
        <v>2.1843397597042936E-2</v>
      </c>
      <c r="AL22" s="463">
        <f t="shared" si="14"/>
        <v>7.0285827822281211E-3</v>
      </c>
      <c r="AM22" s="453">
        <f t="shared" si="4"/>
        <v>784.63488880535897</v>
      </c>
      <c r="AO22" s="463">
        <f>+[17]원주!$T$5/[17]합계!$T$5</f>
        <v>1.7746970118850475E-2</v>
      </c>
      <c r="AP22" s="463">
        <f t="shared" si="15"/>
        <v>4.096427478192461E-3</v>
      </c>
      <c r="AQ22" s="453">
        <f>+[17]원주!$Q$85*AP22</f>
        <v>446.32332986683235</v>
      </c>
    </row>
    <row r="23" spans="2:43" s="6" customFormat="1" ht="22.5" customHeight="1" x14ac:dyDescent="0.3">
      <c r="B23" s="6" t="s">
        <v>74</v>
      </c>
      <c r="F23" s="79">
        <f>+K27-J27</f>
        <v>-51.81049999999999</v>
      </c>
      <c r="G23" s="304" t="str">
        <f t="shared" si="5"/>
        <v>제주</v>
      </c>
      <c r="H23" s="69"/>
      <c r="I23" s="70" t="s">
        <v>74</v>
      </c>
      <c r="J23" s="40">
        <f>+IFERROR(HLOOKUP($B23,'[1]5월'!$D$6:$BN$259,2,),)/1000</f>
        <v>5</v>
      </c>
      <c r="K23" s="41">
        <f>+IFERROR(HLOOKUP($B23,'[2]5월'!$F$6:$CP$99,2,),)/1000</f>
        <v>5.0629999999999997</v>
      </c>
      <c r="L23" s="42">
        <f t="shared" si="0"/>
        <v>6.2999999999999723E-2</v>
      </c>
      <c r="M23" s="43">
        <f>+IFERROR(HLOOKUP($B23,'[3]5월'!$F$6:$CC$57,2,),)/1000</f>
        <v>5.85</v>
      </c>
      <c r="N23" s="44">
        <f t="shared" si="6"/>
        <v>-0.78699999999999992</v>
      </c>
      <c r="O23" s="40">
        <f>+IFERROR(HLOOKUP($B23,'[1]5월'!$D$6:$BN$259,3,),)/1000</f>
        <v>609.70000000000005</v>
      </c>
      <c r="P23" s="41">
        <f>+IFERROR(HLOOKUP($B23,'[2]5월'!$F$6:$CP$99,3,),)/1000</f>
        <v>658.02805000000001</v>
      </c>
      <c r="Q23" s="42">
        <f t="shared" si="7"/>
        <v>48.328049999999962</v>
      </c>
      <c r="R23" s="43">
        <f>+IFERROR(HLOOKUP($B23,'[3]5월'!$F$6:$CC$57,3,),)/1000</f>
        <v>707.66847499999994</v>
      </c>
      <c r="S23" s="44">
        <f t="shared" si="8"/>
        <v>-49.640424999999937</v>
      </c>
      <c r="T23" s="40">
        <f>+IFERROR(HLOOKUP($B23,'[1]5월'!$D$6:$BN$259,16,),)/1000</f>
        <v>36.755330283075793</v>
      </c>
      <c r="U23" s="41">
        <f>+IFERROR(HLOOKUP($B23,'[2]5월'!$F$6:$CP$99,16,),)/1000</f>
        <v>59.875705000000032</v>
      </c>
      <c r="V23" s="42">
        <f t="shared" si="9"/>
        <v>23.120374716924239</v>
      </c>
      <c r="W23" s="43">
        <f>+IFERROR(HLOOKUP($B23,'[3]5월'!$F$6:$CC$57,16,),)/1000</f>
        <v>60.026911000000048</v>
      </c>
      <c r="X23" s="44">
        <f t="shared" si="10"/>
        <v>-0.15120600000001616</v>
      </c>
      <c r="Y23" s="40">
        <f>+[4]제주!$Q$85</f>
        <v>121940</v>
      </c>
      <c r="Z23" s="41">
        <f>+[4]제주!$R$85</f>
        <v>129968.01303574958</v>
      </c>
      <c r="AA23" s="45">
        <f>+[5]제주!$Q$85</f>
        <v>120514.23646489547</v>
      </c>
      <c r="AB23" s="46">
        <f>+[4]제주!$Q$89</f>
        <v>94189.87101938203</v>
      </c>
      <c r="AC23" s="41">
        <f>+[4]제주!$R$89</f>
        <v>98573.571005332793</v>
      </c>
      <c r="AD23" s="47">
        <f>+[5]제주!$Q$89</f>
        <v>92365.437779603759</v>
      </c>
      <c r="AE23" s="46">
        <f t="shared" si="11"/>
        <v>27750.12898061797</v>
      </c>
      <c r="AF23" s="41">
        <f t="shared" si="12"/>
        <v>31394.442030416787</v>
      </c>
      <c r="AG23" s="47">
        <f t="shared" si="13"/>
        <v>28148.798685291709</v>
      </c>
      <c r="AH23" s="15"/>
      <c r="AI23" s="637" t="str">
        <f t="shared" si="1"/>
        <v>제주</v>
      </c>
      <c r="AJ23" s="463">
        <f t="shared" si="2"/>
        <v>1.8518518518518517E-2</v>
      </c>
      <c r="AK23" s="463">
        <f t="shared" si="3"/>
        <v>2.3204599671386567E-2</v>
      </c>
      <c r="AL23" s="463">
        <f t="shared" si="14"/>
        <v>4.6860811528680497E-3</v>
      </c>
      <c r="AM23" s="453">
        <f t="shared" si="4"/>
        <v>571.42073578072996</v>
      </c>
      <c r="AO23" s="463">
        <f>+[17]제주!$T$5/[17]합계!$T$5</f>
        <v>1.4980875478113047E-2</v>
      </c>
      <c r="AP23" s="463">
        <f t="shared" si="15"/>
        <v>8.2237241932735204E-3</v>
      </c>
      <c r="AQ23" s="453">
        <f>+[17]제주!$Q$85*AP23</f>
        <v>1079.0143755529984</v>
      </c>
    </row>
    <row r="24" spans="2:43" s="6" customFormat="1" ht="22.5" customHeight="1" x14ac:dyDescent="0.3">
      <c r="F24" s="463">
        <f>+K24/J24</f>
        <v>0.87790476190476185</v>
      </c>
      <c r="G24" s="307" t="str">
        <f t="shared" si="5"/>
        <v>수도권</v>
      </c>
      <c r="H24" s="69"/>
      <c r="I24" s="73" t="s">
        <v>42</v>
      </c>
      <c r="J24" s="20">
        <f>SUM(J7:J10)</f>
        <v>105</v>
      </c>
      <c r="K24" s="17">
        <f>SUM(K7:K10)</f>
        <v>92.179999999999993</v>
      </c>
      <c r="L24" s="18">
        <f t="shared" si="0"/>
        <v>-12.820000000000007</v>
      </c>
      <c r="M24" s="22">
        <f>SUM(M7:M10)</f>
        <v>85.768500000000003</v>
      </c>
      <c r="N24" s="19">
        <f t="shared" si="6"/>
        <v>6.4114999999999895</v>
      </c>
      <c r="O24" s="20">
        <f>SUM(O7:O10)</f>
        <v>10340.665308279617</v>
      </c>
      <c r="P24" s="17">
        <f>SUM(P7:P10)</f>
        <v>9277.2747259999996</v>
      </c>
      <c r="Q24" s="18">
        <f t="shared" si="7"/>
        <v>-1063.3905822796169</v>
      </c>
      <c r="R24" s="22">
        <f>SUM(R7:R10)</f>
        <v>8277.4550749999999</v>
      </c>
      <c r="S24" s="19">
        <f t="shared" si="8"/>
        <v>999.81965099999979</v>
      </c>
      <c r="T24" s="20">
        <f>SUM(T7:T10)</f>
        <v>934.03166209350252</v>
      </c>
      <c r="U24" s="17">
        <f>SUM(U7:U10)</f>
        <v>602.59638599999994</v>
      </c>
      <c r="V24" s="18">
        <f t="shared" si="9"/>
        <v>-331.43527609350258</v>
      </c>
      <c r="W24" s="22">
        <f>SUM(W7:W10)</f>
        <v>405.24293500000016</v>
      </c>
      <c r="X24" s="19">
        <f t="shared" si="10"/>
        <v>197.35345099999978</v>
      </c>
      <c r="Y24" s="20">
        <f>+[4]수도권!$Q$85</f>
        <v>98482.526745520168</v>
      </c>
      <c r="Z24" s="17">
        <f>+[4]수도권!$R$85</f>
        <v>100715.67502492139</v>
      </c>
      <c r="AA24" s="21">
        <f>+[5]수도권!$Q$85</f>
        <v>96609.726187731649</v>
      </c>
      <c r="AB24" s="25">
        <f>+[4]수도권!$Q$89</f>
        <v>79761.465336957684</v>
      </c>
      <c r="AC24" s="17">
        <f>+[4]수도권!$R$89</f>
        <v>83421.952755905513</v>
      </c>
      <c r="AD24" s="26">
        <f>+[5]수도권!$Q$89</f>
        <v>80138.588294407295</v>
      </c>
      <c r="AE24" s="25">
        <f t="shared" si="11"/>
        <v>18721.061408562484</v>
      </c>
      <c r="AF24" s="17">
        <f t="shared" si="12"/>
        <v>17293.722269015881</v>
      </c>
      <c r="AG24" s="26">
        <f t="shared" si="13"/>
        <v>16471.137893324354</v>
      </c>
      <c r="AH24" s="15"/>
      <c r="AI24" s="637" t="str">
        <f t="shared" si="1"/>
        <v>수도권</v>
      </c>
      <c r="AJ24" s="463">
        <f t="shared" si="2"/>
        <v>0.3888888888888889</v>
      </c>
      <c r="AK24" s="463">
        <f t="shared" si="3"/>
        <v>0.42247679196294957</v>
      </c>
      <c r="AL24" s="463">
        <f t="shared" si="14"/>
        <v>3.3587903074060677E-2</v>
      </c>
      <c r="AM24" s="453">
        <f t="shared" si="4"/>
        <v>3307.8215628171197</v>
      </c>
      <c r="AO24" s="463">
        <f>+[17]수도권!$T$5/[17]합계!$T$5</f>
        <v>0.42021007664463561</v>
      </c>
      <c r="AP24" s="463">
        <f t="shared" si="15"/>
        <v>2.266715318313961E-3</v>
      </c>
      <c r="AQ24" s="453">
        <f>+[17]수도권!$Q$85*AP24</f>
        <v>223.98711275776807</v>
      </c>
    </row>
    <row r="25" spans="2:43" s="6" customFormat="1" ht="22.5" customHeight="1" x14ac:dyDescent="0.3">
      <c r="F25" s="463">
        <f>+K25/J25</f>
        <v>0.71254700854700848</v>
      </c>
      <c r="G25" s="304" t="str">
        <f t="shared" si="5"/>
        <v>영남권</v>
      </c>
      <c r="H25" s="69"/>
      <c r="I25" s="73" t="s">
        <v>43</v>
      </c>
      <c r="J25" s="20">
        <f>SUM(J11:J18)</f>
        <v>117</v>
      </c>
      <c r="K25" s="17">
        <f>SUM(K11:K18)</f>
        <v>83.367999999999995</v>
      </c>
      <c r="L25" s="18">
        <f t="shared" si="0"/>
        <v>-33.632000000000005</v>
      </c>
      <c r="M25" s="22">
        <f>SUM(M11:M18)</f>
        <v>106.883</v>
      </c>
      <c r="N25" s="19">
        <f t="shared" si="6"/>
        <v>-23.515000000000001</v>
      </c>
      <c r="O25" s="20">
        <f>SUM(O11:O18)</f>
        <v>12023.053567269724</v>
      </c>
      <c r="P25" s="17">
        <f>SUM(P11:P18)</f>
        <v>8572.3557580000015</v>
      </c>
      <c r="Q25" s="18">
        <f t="shared" si="7"/>
        <v>-3450.6978092697227</v>
      </c>
      <c r="R25" s="22">
        <f>SUM(R11:R18)</f>
        <v>10441.88968</v>
      </c>
      <c r="S25" s="19">
        <f t="shared" si="8"/>
        <v>-1869.5339219999987</v>
      </c>
      <c r="T25" s="20">
        <f>SUM(T11:T18)</f>
        <v>1333.4595897593372</v>
      </c>
      <c r="U25" s="17">
        <f>SUM(U11:U18)</f>
        <v>365.6165680000002</v>
      </c>
      <c r="V25" s="18">
        <f t="shared" si="9"/>
        <v>-967.84302175933703</v>
      </c>
      <c r="W25" s="22">
        <f>SUM(W11:W18)</f>
        <v>680.48281899999984</v>
      </c>
      <c r="X25" s="19">
        <f t="shared" si="10"/>
        <v>-314.86625099999964</v>
      </c>
      <c r="Y25" s="20">
        <f>+[4]영남권!$Q$85</f>
        <v>102761.14160059592</v>
      </c>
      <c r="Z25" s="17">
        <f>+[4]영남권!$R$85</f>
        <v>102825.49369062472</v>
      </c>
      <c r="AA25" s="21">
        <f>+[5]영남권!$Q$85</f>
        <v>97803.840427345582</v>
      </c>
      <c r="AB25" s="25">
        <f>+[4]영남권!$Q$89</f>
        <v>79009.071286721446</v>
      </c>
      <c r="AC25" s="17">
        <f>+[4]영남권!$R$89</f>
        <v>81518.481657527358</v>
      </c>
      <c r="AD25" s="26">
        <f>+[5]영남권!$Q$89</f>
        <v>78382.794930897362</v>
      </c>
      <c r="AE25" s="25">
        <f t="shared" si="11"/>
        <v>23752.070313874472</v>
      </c>
      <c r="AF25" s="17">
        <f t="shared" si="12"/>
        <v>21307.012033097359</v>
      </c>
      <c r="AG25" s="26">
        <f t="shared" si="13"/>
        <v>19421.04549644822</v>
      </c>
      <c r="AH25" s="15"/>
      <c r="AI25" s="638" t="str">
        <f t="shared" si="1"/>
        <v>영남권</v>
      </c>
      <c r="AJ25" s="463">
        <f t="shared" si="2"/>
        <v>0.43333333333333335</v>
      </c>
      <c r="AK25" s="463">
        <f t="shared" si="3"/>
        <v>0.38208988058545434</v>
      </c>
      <c r="AL25" s="463">
        <f t="shared" si="14"/>
        <v>-5.1243452747879004E-2</v>
      </c>
      <c r="AM25" s="453">
        <f t="shared" si="4"/>
        <v>-5265.83570392824</v>
      </c>
      <c r="AO25" s="463">
        <f>+[17]영남권!$T$5/[17]합계!$T$5</f>
        <v>0.39000285768717852</v>
      </c>
      <c r="AP25" s="463">
        <f t="shared" si="15"/>
        <v>-7.9129771017241723E-3</v>
      </c>
      <c r="AQ25" s="453">
        <f>+[17]영남권!$Q$85*AP25</f>
        <v>-805.37130662284028</v>
      </c>
    </row>
    <row r="26" spans="2:43" s="6" customFormat="1" ht="22.5" customHeight="1" x14ac:dyDescent="0.3">
      <c r="F26" s="463">
        <f>+K26/J26</f>
        <v>0.88836458333333335</v>
      </c>
      <c r="G26" s="304" t="str">
        <f t="shared" si="5"/>
        <v>중부권</v>
      </c>
      <c r="H26" s="69"/>
      <c r="I26" s="73" t="s">
        <v>105</v>
      </c>
      <c r="J26" s="20">
        <f>SUM(J19:J23)</f>
        <v>48</v>
      </c>
      <c r="K26" s="17">
        <f>SUM(K19:K23)</f>
        <v>42.641500000000001</v>
      </c>
      <c r="L26" s="18">
        <f t="shared" si="0"/>
        <v>-5.3584999999999994</v>
      </c>
      <c r="M26" s="22">
        <f>SUM(M19:M23)</f>
        <v>50.344000000000001</v>
      </c>
      <c r="N26" s="19">
        <f t="shared" si="6"/>
        <v>-7.7025000000000006</v>
      </c>
      <c r="O26" s="20">
        <f>SUM(O19:O23)</f>
        <v>5023.0040993000002</v>
      </c>
      <c r="P26" s="17">
        <f>SUM(P19:P23)</f>
        <v>4532.7785370000001</v>
      </c>
      <c r="Q26" s="18">
        <f t="shared" si="7"/>
        <v>-490.22556230000009</v>
      </c>
      <c r="R26" s="22">
        <f>SUM(R19:R23)</f>
        <v>5080.5832250000003</v>
      </c>
      <c r="S26" s="19">
        <f t="shared" si="8"/>
        <v>-547.80468800000017</v>
      </c>
      <c r="T26" s="20">
        <f>SUM(T19:T23)</f>
        <v>593.22545968076668</v>
      </c>
      <c r="U26" s="17">
        <f>SUM(U19:U23)</f>
        <v>382.07936400000017</v>
      </c>
      <c r="V26" s="18">
        <f t="shared" si="9"/>
        <v>-211.14609568076651</v>
      </c>
      <c r="W26" s="22">
        <f>SUM(W19:W23)</f>
        <v>468.58734800000019</v>
      </c>
      <c r="X26" s="19">
        <f t="shared" si="10"/>
        <v>-86.507984000000022</v>
      </c>
      <c r="Y26" s="20">
        <f>+[4]중부권!$Q$85</f>
        <v>104645.91873541666</v>
      </c>
      <c r="Z26" s="17">
        <f>+[4]중부권!$R$85</f>
        <v>106299.69717294186</v>
      </c>
      <c r="AA26" s="21">
        <f>+[5]중부권!$Q$85</f>
        <v>100717.64272921025</v>
      </c>
      <c r="AB26" s="25">
        <f>+[4]중부권!$Q$89</f>
        <v>78136.34878586336</v>
      </c>
      <c r="AC26" s="17">
        <f>+[4]중부권!$R$89</f>
        <v>82023.816408127866</v>
      </c>
      <c r="AD26" s="26">
        <f>+[5]중부권!$Q$89</f>
        <v>78379.748982265926</v>
      </c>
      <c r="AE26" s="25">
        <f t="shared" si="11"/>
        <v>26509.569949553304</v>
      </c>
      <c r="AF26" s="17">
        <f t="shared" si="12"/>
        <v>24275.880764813992</v>
      </c>
      <c r="AG26" s="26">
        <f t="shared" si="13"/>
        <v>22337.893746944319</v>
      </c>
      <c r="AH26" s="15"/>
      <c r="AI26" s="638" t="str">
        <f t="shared" si="1"/>
        <v>중부권</v>
      </c>
      <c r="AJ26" s="463">
        <f t="shared" si="2"/>
        <v>0.17777777777777778</v>
      </c>
      <c r="AK26" s="463">
        <f t="shared" si="3"/>
        <v>0.19543332745159597</v>
      </c>
      <c r="AL26" s="463">
        <f t="shared" si="14"/>
        <v>1.7655549673818188E-2</v>
      </c>
      <c r="AM26" s="453">
        <f t="shared" si="4"/>
        <v>1847.5812163954904</v>
      </c>
      <c r="AO26" s="463">
        <f>+[17]중부권!$T$5/[17]합계!$T$5</f>
        <v>0.18978706566818587</v>
      </c>
      <c r="AP26" s="463">
        <f t="shared" si="15"/>
        <v>5.6462617834101003E-3</v>
      </c>
      <c r="AQ26" s="453">
        <f>+[17]중부권!$Q$85*AP26</f>
        <v>585.26695055172127</v>
      </c>
    </row>
    <row r="27" spans="2:43" s="1" customFormat="1" ht="22.5" customHeight="1" x14ac:dyDescent="0.3">
      <c r="B27" s="23"/>
      <c r="F27" s="452">
        <f>+K27/M27</f>
        <v>0.89791580502519597</v>
      </c>
      <c r="G27" s="306">
        <f>+K27/J27</f>
        <v>0.80810925925925925</v>
      </c>
      <c r="H27" s="238" t="s">
        <v>93</v>
      </c>
      <c r="I27" s="239"/>
      <c r="J27" s="240">
        <f>SUM(J24:J26)</f>
        <v>270</v>
      </c>
      <c r="K27" s="241">
        <f>SUM(K24:K26)</f>
        <v>218.18950000000001</v>
      </c>
      <c r="L27" s="242">
        <f t="shared" ref="L27" si="16">+K27-J27</f>
        <v>-51.81049999999999</v>
      </c>
      <c r="M27" s="243">
        <f>SUM(M24:M26)</f>
        <v>242.99549999999999</v>
      </c>
      <c r="N27" s="244">
        <f t="shared" ref="N27" si="17">+K27-M27</f>
        <v>-24.805999999999983</v>
      </c>
      <c r="O27" s="240">
        <f>SUM(O24:O26)</f>
        <v>27386.722974849341</v>
      </c>
      <c r="P27" s="241">
        <f>SUM(P24:P26)</f>
        <v>22382.409020999999</v>
      </c>
      <c r="Q27" s="242">
        <f t="shared" ref="Q27" si="18">+P27-O27</f>
        <v>-5004.3139538493415</v>
      </c>
      <c r="R27" s="243">
        <f>SUM(R24:R26)</f>
        <v>23799.92798</v>
      </c>
      <c r="S27" s="244">
        <f t="shared" ref="S27" si="19">+P27-R27</f>
        <v>-1417.5189590000009</v>
      </c>
      <c r="T27" s="240">
        <f>SUM(T24:T26)</f>
        <v>2860.7167115336065</v>
      </c>
      <c r="U27" s="241">
        <f>SUM(U24:U26)</f>
        <v>1350.2923180000003</v>
      </c>
      <c r="V27" s="242">
        <f t="shared" ref="V27" si="20">+U27-T27</f>
        <v>-1510.4243935336062</v>
      </c>
      <c r="W27" s="243">
        <f>SUM(W24:W26)</f>
        <v>1554.3131020000003</v>
      </c>
      <c r="X27" s="244">
        <f t="shared" ref="X27" si="21">+U27-W27</f>
        <v>-204.02078400000005</v>
      </c>
      <c r="Y27" s="640">
        <f>+[4]합계!$Q$85</f>
        <v>101432.30731425683</v>
      </c>
      <c r="Z27" s="641">
        <f>+[4]합계!$R$85</f>
        <v>102620.91713856411</v>
      </c>
      <c r="AA27" s="642">
        <f>+[5]합계!$Q$85</f>
        <v>97989.575994436498</v>
      </c>
      <c r="AB27" s="643">
        <f>+[4]합계!$Q$89</f>
        <v>79146.518306105223</v>
      </c>
      <c r="AC27" s="641">
        <f>+[4]합계!$R$89</f>
        <v>82416.781484146704</v>
      </c>
      <c r="AD27" s="644">
        <f>+[5]합계!$Q$89</f>
        <v>78999.853961044631</v>
      </c>
      <c r="AE27" s="643">
        <f t="shared" si="11"/>
        <v>22285.789008151609</v>
      </c>
      <c r="AF27" s="641">
        <f t="shared" si="12"/>
        <v>20204.135654417405</v>
      </c>
      <c r="AG27" s="644">
        <f t="shared" si="13"/>
        <v>18989.722033391867</v>
      </c>
      <c r="AH27" s="24"/>
      <c r="AI27" s="638" t="s">
        <v>8</v>
      </c>
      <c r="AJ27" s="463">
        <f t="shared" si="2"/>
        <v>1</v>
      </c>
      <c r="AK27" s="463">
        <f t="shared" si="3"/>
        <v>1</v>
      </c>
      <c r="AL27" s="463">
        <f t="shared" si="14"/>
        <v>0</v>
      </c>
      <c r="AM27" s="639">
        <f>SUM(AM7:AM23)</f>
        <v>46.438981902561181</v>
      </c>
      <c r="AO27" s="463">
        <f>+[17]합계!$T$5/[17]합계!$T$5</f>
        <v>1</v>
      </c>
      <c r="AP27" s="463">
        <f t="shared" si="15"/>
        <v>0</v>
      </c>
      <c r="AQ27" s="639">
        <f>SUM(AQ7:AQ23)</f>
        <v>-41.687545559138698</v>
      </c>
    </row>
    <row r="28" spans="2:43" s="6" customFormat="1" ht="22.5" customHeight="1" thickBot="1" x14ac:dyDescent="0.35">
      <c r="B28" s="6" t="s">
        <v>111</v>
      </c>
      <c r="E28" s="6" t="s">
        <v>179</v>
      </c>
      <c r="G28" s="304" t="s">
        <v>3</v>
      </c>
      <c r="H28" s="75" t="s">
        <v>45</v>
      </c>
      <c r="I28" s="68" t="s">
        <v>112</v>
      </c>
      <c r="J28" s="50">
        <f>+IFERROR(HLOOKUP($B29,'[1]5월'!$D$6:$BN$259,2,),)/1000</f>
        <v>25.179993846153849</v>
      </c>
      <c r="K28" s="51">
        <f>+IFERROR(HLOOKUP($C29,'[2]5월'!$F$6:$CP$99,2,),)/1000</f>
        <v>16.21</v>
      </c>
      <c r="L28" s="32">
        <f t="shared" ref="L28:L34" si="22">+K28-J28</f>
        <v>-8.969993846153848</v>
      </c>
      <c r="M28" s="32">
        <f>+IFERROR(HLOOKUP($C29,'[3]5월'!$F$6:$CC$57,2,),)/1000</f>
        <v>26.131</v>
      </c>
      <c r="N28" s="52">
        <f>+K28-M28</f>
        <v>-9.9209999999999994</v>
      </c>
      <c r="O28" s="50">
        <f>+IFERROR(HLOOKUP($B29,'[1]5월'!$D$6:$BN$259,3,),)/1000</f>
        <v>704.70927132867132</v>
      </c>
      <c r="P28" s="51">
        <f>+IFERROR(HLOOKUP($C29,'[2]5월'!$F$6:$CP$99,3,),)/1000</f>
        <v>456.15100000000001</v>
      </c>
      <c r="Q28" s="32">
        <f t="shared" ref="Q28:Q37" si="23">+P28-O28</f>
        <v>-248.55827132867131</v>
      </c>
      <c r="R28" s="32">
        <f>+IFERROR(HLOOKUP($C29,'[3]5월'!$F$6:$CC$57,3,),)/1000</f>
        <v>733.43550000000005</v>
      </c>
      <c r="S28" s="52">
        <f t="shared" ref="S28:S37" si="24">+P28-R28</f>
        <v>-277.28450000000004</v>
      </c>
      <c r="T28" s="50">
        <f>+IFERROR(HLOOKUP($B29,'[1]5월'!$D$6:$BN$259,21,),)/1000</f>
        <v>20.098329809792048</v>
      </c>
      <c r="U28" s="51">
        <f>+IFERROR(HLOOKUP($C29,'[2]5월'!$F$6:$CP$99,21,),)/1000</f>
        <v>6.7118372928261412</v>
      </c>
      <c r="V28" s="32">
        <f>+U28-T28</f>
        <v>-13.386492516965907</v>
      </c>
      <c r="W28" s="32">
        <f>+IFERROR(HLOOKUP($C29,'[3]5월'!$F$6:$CC$57,21,),)/1000</f>
        <v>74.17930093222661</v>
      </c>
      <c r="X28" s="52">
        <f>+U28-W28</f>
        <v>-67.467463639400464</v>
      </c>
      <c r="Y28" s="449" t="s">
        <v>194</v>
      </c>
      <c r="Z28" s="210"/>
      <c r="AA28" s="210"/>
      <c r="AB28" s="210"/>
      <c r="AC28" s="210"/>
      <c r="AD28" s="210"/>
      <c r="AE28" s="609"/>
      <c r="AF28" s="609"/>
      <c r="AG28" s="260"/>
      <c r="AH28" s="15"/>
      <c r="AI28" s="16"/>
      <c r="AJ28" s="453"/>
      <c r="AK28" s="457"/>
    </row>
    <row r="29" spans="2:43" s="6" customFormat="1" ht="22.5" customHeight="1" thickTop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+IFERROR(HLOOKUP($B30,'[1]5월'!$D$6:$BN$259,2,),)/1000</f>
        <v>48.407173333333326</v>
      </c>
      <c r="K29" s="53">
        <f>+IFERROR(HLOOKUP($C30,'[2]5월'!$F$6:$CP$99,2,),)/1000</f>
        <v>36.368000000000002</v>
      </c>
      <c r="L29" s="42">
        <f t="shared" si="22"/>
        <v>-12.039173333333324</v>
      </c>
      <c r="M29" s="42">
        <f>+IFERROR(HLOOKUP($C30,'[3]5월'!$F$6:$CC$57,2,),)/1000</f>
        <v>20.388000000000002</v>
      </c>
      <c r="N29" s="54">
        <f>+K29-M29</f>
        <v>15.98</v>
      </c>
      <c r="O29" s="48">
        <f>+IFERROR(HLOOKUP($B30,'[1]5월'!$D$6:$BN$259,3,),)/1000</f>
        <v>628.72189333333336</v>
      </c>
      <c r="P29" s="53">
        <f>+IFERROR(HLOOKUP($C30,'[2]5월'!$F$6:$CP$99,3,),)/1000</f>
        <v>478.52800000000002</v>
      </c>
      <c r="Q29" s="42">
        <f t="shared" si="23"/>
        <v>-150.19389333333334</v>
      </c>
      <c r="R29" s="42">
        <f>+IFERROR(HLOOKUP($C30,'[3]5월'!$F$6:$CC$57,3,),)/1000</f>
        <v>291.392</v>
      </c>
      <c r="S29" s="54">
        <f t="shared" si="24"/>
        <v>187.13600000000002</v>
      </c>
      <c r="T29" s="48">
        <f>+IFERROR(HLOOKUP($B30,'[1]5월'!$D$6:$BN$259,21,),)/1000</f>
        <v>82.271386953443638</v>
      </c>
      <c r="U29" s="53">
        <f>+IFERROR(HLOOKUP($C30,'[2]5월'!$F$6:$CP$99,21,),)/1000</f>
        <v>21.920483389926812</v>
      </c>
      <c r="V29" s="42">
        <f>+U29-T29</f>
        <v>-60.350903563516823</v>
      </c>
      <c r="W29" s="42">
        <f>+IFERROR(HLOOKUP($C30,'[3]5월'!$F$6:$CC$57,21,),)/1000</f>
        <v>29.834151440649151</v>
      </c>
      <c r="X29" s="54">
        <f>+U29-W29</f>
        <v>-7.9136680507223396</v>
      </c>
      <c r="Y29" s="610" t="s">
        <v>11</v>
      </c>
      <c r="Z29" s="611" t="s">
        <v>36</v>
      </c>
      <c r="AA29" s="612" t="s">
        <v>37</v>
      </c>
      <c r="AB29" s="613" t="s">
        <v>38</v>
      </c>
      <c r="AC29" s="610" t="s">
        <v>181</v>
      </c>
      <c r="AD29" s="610" t="s">
        <v>38</v>
      </c>
      <c r="AE29" s="210" t="s">
        <v>197</v>
      </c>
      <c r="AF29" s="210"/>
      <c r="AG29" s="45"/>
      <c r="AH29" s="15"/>
      <c r="AI29" s="210" t="s">
        <v>198</v>
      </c>
      <c r="AJ29" s="453"/>
      <c r="AK29" s="457"/>
    </row>
    <row r="30" spans="2:43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+IFERROR(HLOOKUP($B31,'[1]5월'!$D$6:$BN$259,2,),)/1000</f>
        <v>1E-3</v>
      </c>
      <c r="K30" s="53">
        <f>+IFERROR(HLOOKUP($C31,'[2]5월'!$F$6:$CP$99,2,),)/1000</f>
        <v>14.79</v>
      </c>
      <c r="L30" s="42">
        <f t="shared" si="22"/>
        <v>14.789</v>
      </c>
      <c r="M30" s="42">
        <f>+IFERROR(HLOOKUP($C31,'[3]5월'!$F$6:$CC$57,2,),)/1000</f>
        <v>23.17</v>
      </c>
      <c r="N30" s="54">
        <f>+K30-M30</f>
        <v>-8.3800000000000026</v>
      </c>
      <c r="O30" s="48">
        <f>+IFERROR(HLOOKUP($B31,'[1]5월'!$D$6:$BN$259,3,),)/1000</f>
        <v>0</v>
      </c>
      <c r="P30" s="53">
        <f>+IFERROR(HLOOKUP($C31,'[2]5월'!$F$6:$CP$99,3,),)/1000</f>
        <v>279.17220000000003</v>
      </c>
      <c r="Q30" s="42">
        <f t="shared" si="23"/>
        <v>279.17220000000003</v>
      </c>
      <c r="R30" s="42">
        <f>+IFERROR(HLOOKUP($C31,'[3]5월'!$F$6:$CC$57,3,),)/1000</f>
        <v>442.79899999999998</v>
      </c>
      <c r="S30" s="54">
        <f t="shared" si="24"/>
        <v>-163.62679999999995</v>
      </c>
      <c r="T30" s="48">
        <f>+IFERROR(HLOOKUP($B31,'[1]5월'!$D$6:$BN$259,21,),)/1000</f>
        <v>-150.73896783333331</v>
      </c>
      <c r="U30" s="53">
        <f>+IFERROR(HLOOKUP($C31,'[2]5월'!$F$6:$CP$99,21,),)/1000</f>
        <v>-133.63191658999997</v>
      </c>
      <c r="V30" s="42">
        <f>+U30-T30</f>
        <v>17.107051243333331</v>
      </c>
      <c r="W30" s="42">
        <f>+IFERROR(HLOOKUP($C31,'[3]5월'!$F$6:$CC$57,21,),)/1000</f>
        <v>-90.562278400000039</v>
      </c>
      <c r="X30" s="54">
        <f>+U30-W30</f>
        <v>-43.069638189999935</v>
      </c>
      <c r="Y30" s="614" t="s">
        <v>182</v>
      </c>
      <c r="Z30" s="615">
        <f>+[18]영업계획!$K$7</f>
        <v>103466.20619934329</v>
      </c>
      <c r="AA30" s="616">
        <f>+[19]합계!$G$94</f>
        <v>104976.67977665883</v>
      </c>
      <c r="AB30" s="37">
        <f>+AA30-Z30</f>
        <v>1510.4735773155408</v>
      </c>
      <c r="AC30" s="617">
        <f>+[19]합계!$F$94</f>
        <v>102811.09027864838</v>
      </c>
      <c r="AD30" s="617">
        <f>+AA30-AC30</f>
        <v>2165.5894980104495</v>
      </c>
      <c r="AE30" s="210" t="s">
        <v>183</v>
      </c>
      <c r="AF30" s="210">
        <f>+(Z30-Z31)*AB36</f>
        <v>398.26325781246697</v>
      </c>
      <c r="AG30" s="45" t="s">
        <v>196</v>
      </c>
      <c r="AH30" s="15"/>
      <c r="AI30" s="210" t="s">
        <v>183</v>
      </c>
      <c r="AJ30" s="210">
        <f>+(AC30-AC31)*AD36</f>
        <v>39.86989285433696</v>
      </c>
      <c r="AK30" s="210" t="s">
        <v>196</v>
      </c>
      <c r="AL30" s="81"/>
      <c r="AN30" s="453"/>
    </row>
    <row r="31" spans="2:43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73.588167179487186</v>
      </c>
      <c r="K31" s="129">
        <f>SUM(K28:K30)</f>
        <v>67.367999999999995</v>
      </c>
      <c r="L31" s="127">
        <f t="shared" si="22"/>
        <v>-6.2201671794871913</v>
      </c>
      <c r="M31" s="127">
        <f>SUM(M28:M30)</f>
        <v>69.689000000000007</v>
      </c>
      <c r="N31" s="128">
        <f>+K31-M31</f>
        <v>-2.3210000000000122</v>
      </c>
      <c r="O31" s="125">
        <f>SUM(O28:O30)</f>
        <v>1333.4311646620047</v>
      </c>
      <c r="P31" s="129">
        <f>SUM(P28:P30)</f>
        <v>1213.8512000000001</v>
      </c>
      <c r="Q31" s="127">
        <f t="shared" si="23"/>
        <v>-119.57996466200461</v>
      </c>
      <c r="R31" s="127">
        <f>SUM(R28:R30)</f>
        <v>1467.6265000000001</v>
      </c>
      <c r="S31" s="128">
        <f t="shared" si="24"/>
        <v>-253.77530000000002</v>
      </c>
      <c r="T31" s="125">
        <f>SUM(T28:T30)</f>
        <v>-48.369251070097619</v>
      </c>
      <c r="U31" s="129">
        <f>SUM(U28:U30)</f>
        <v>-104.99959590724703</v>
      </c>
      <c r="V31" s="127">
        <f>+U31-T31</f>
        <v>-56.630344837149408</v>
      </c>
      <c r="W31" s="127">
        <f>SUM(W28:W30)</f>
        <v>13.451173972875722</v>
      </c>
      <c r="X31" s="128">
        <f>+U31-W31</f>
        <v>-118.45076988012275</v>
      </c>
      <c r="Y31" s="618" t="s">
        <v>184</v>
      </c>
      <c r="Z31" s="619">
        <f>+[18]영업계획!$K$10</f>
        <v>98283.945176574198</v>
      </c>
      <c r="AA31" s="620">
        <f>+[19]합계!$G$93</f>
        <v>97368.98425105396</v>
      </c>
      <c r="AB31" s="621">
        <f t="shared" ref="AB31:AB32" si="25">+AA31-Z31</f>
        <v>-914.96092552023765</v>
      </c>
      <c r="AC31" s="622">
        <f>+[19]합계!$F$93</f>
        <v>96782.529682976587</v>
      </c>
      <c r="AD31" s="622">
        <f t="shared" ref="AD31:AD32" si="26">+AA31-AC31</f>
        <v>586.45456807737355</v>
      </c>
      <c r="AE31" s="210" t="s">
        <v>185</v>
      </c>
      <c r="AF31" s="210">
        <f>+AB35*120*10</f>
        <v>991.57919932121956</v>
      </c>
      <c r="AG31" s="45" t="s">
        <v>196</v>
      </c>
      <c r="AH31" s="15"/>
      <c r="AI31" s="210" t="s">
        <v>185</v>
      </c>
      <c r="AJ31" s="210">
        <f>+AD35*120*10</f>
        <v>-486.84995625225298</v>
      </c>
      <c r="AK31" s="210" t="s">
        <v>196</v>
      </c>
      <c r="AL31" s="81"/>
      <c r="AM31" s="453"/>
      <c r="AN31" s="453"/>
    </row>
    <row r="32" spans="2:43" s="1" customFormat="1" ht="22.5" customHeight="1" x14ac:dyDescent="0.3">
      <c r="G32" s="308"/>
      <c r="H32" s="78" t="s">
        <v>49</v>
      </c>
      <c r="I32" s="77" t="s">
        <v>79</v>
      </c>
      <c r="J32" s="40"/>
      <c r="K32" s="41"/>
      <c r="L32" s="43">
        <f t="shared" si="22"/>
        <v>0</v>
      </c>
      <c r="M32" s="42"/>
      <c r="N32" s="54">
        <f>+K32-M32</f>
        <v>0</v>
      </c>
      <c r="O32" s="40">
        <f>(IFERROR(HLOOKUP($B33,'[1]5월'!$D$6:$BN$259,3,),)++IFERROR(HLOOKUP($C33,'[1]5월'!$D$6:$BN$259,3,),)+IFERROR(HLOOKUP($D33,'[1]5월'!$D$6:$BN$259,3,),))/1000</f>
        <v>37.5</v>
      </c>
      <c r="P32" s="41">
        <f>+IFERROR(HLOOKUP($E33,'[2]5월'!$F$6:$CP$99,3,),)/1000</f>
        <v>43.34</v>
      </c>
      <c r="Q32" s="43">
        <f t="shared" si="23"/>
        <v>5.8400000000000034</v>
      </c>
      <c r="R32" s="42">
        <f>+IFERROR(HLOOKUP($E33,'[3]5월'!$F$6:$CC$57,3,),)/1000</f>
        <v>43.34</v>
      </c>
      <c r="S32" s="54">
        <f t="shared" si="24"/>
        <v>0</v>
      </c>
      <c r="T32" s="40">
        <f>(IFERROR(HLOOKUP($B33,'[1]5월'!$D$6:$BN$259,21,),)++IFERROR(HLOOKUP($C33,'[1]5월'!$D$6:$BN$259,21,),)+IFERROR(HLOOKUP($D33,'[1]5월'!$D$6:$BN$259,21,),))/1000</f>
        <v>25.462031000000003</v>
      </c>
      <c r="U32" s="41">
        <f>+IFERROR(HLOOKUP($E33,'[2]5월'!$F$6:$CP$99,16,),)/1000</f>
        <v>16.302810999999998</v>
      </c>
      <c r="V32" s="43">
        <f t="shared" ref="V32:V38" si="27">+U32-T32</f>
        <v>-9.1592200000000048</v>
      </c>
      <c r="W32" s="42">
        <f>+IFERROR(HLOOKUP($E33,'[3]5월'!$F$6:$CC$57,16,),)/1000</f>
        <v>23.178219000000002</v>
      </c>
      <c r="X32" s="54">
        <f t="shared" ref="X32:X40" si="28">+U32-W32</f>
        <v>-6.8754080000000037</v>
      </c>
      <c r="Y32" s="610" t="s">
        <v>136</v>
      </c>
      <c r="Z32" s="623">
        <f>+[18]영업계획!$K$22</f>
        <v>101432.30731425682</v>
      </c>
      <c r="AA32" s="624">
        <f>+[19]합계!$G$95</f>
        <v>102620.91713856412</v>
      </c>
      <c r="AB32" s="625">
        <f t="shared" si="25"/>
        <v>1188.6098243073066</v>
      </c>
      <c r="AC32" s="626">
        <f>+[19]합계!$F$95</f>
        <v>100907.33058181037</v>
      </c>
      <c r="AD32" s="626">
        <f t="shared" si="26"/>
        <v>1713.5865567537548</v>
      </c>
      <c r="AE32" s="210" t="s">
        <v>204</v>
      </c>
      <c r="AF32" s="210">
        <f>+AB32-AF30-AF31-AF34-AF33</f>
        <v>480.65187471944114</v>
      </c>
      <c r="AG32" s="45" t="s">
        <v>196</v>
      </c>
      <c r="AH32" s="24"/>
      <c r="AI32" s="210" t="s">
        <v>204</v>
      </c>
      <c r="AJ32" s="210">
        <f>+AD32-AJ30-AJ31-AJ34-AJ33</f>
        <v>754.49595475074511</v>
      </c>
      <c r="AK32" s="210" t="s">
        <v>196</v>
      </c>
      <c r="AL32" s="458"/>
      <c r="AM32" s="455"/>
      <c r="AN32" s="455"/>
    </row>
    <row r="33" spans="2:44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29">+I32</f>
        <v>레미콘임대</v>
      </c>
      <c r="H33" s="78"/>
      <c r="I33" s="77" t="s">
        <v>44</v>
      </c>
      <c r="J33" s="40"/>
      <c r="K33" s="41"/>
      <c r="L33" s="43">
        <f t="shared" si="22"/>
        <v>0</v>
      </c>
      <c r="M33" s="42">
        <v>0</v>
      </c>
      <c r="N33" s="54">
        <f t="shared" ref="N33:N40" si="30">+K33-M33</f>
        <v>0</v>
      </c>
      <c r="O33" s="40">
        <f>(+IFERROR(HLOOKUP($B34,'[1]5월'!$D$6:$BN$259,3,),)+IFERROR(HLOOKUP($C34,'[1]5월'!$D$6:$BN$259,3,),))/1000</f>
        <v>80.096666666666678</v>
      </c>
      <c r="P33" s="41">
        <f>+IFERROR(HLOOKUP($E34,'[2]5월'!$F$6:$CP$99,3,),)/1000</f>
        <v>11.34047</v>
      </c>
      <c r="Q33" s="43">
        <f t="shared" si="23"/>
        <v>-68.756196666666682</v>
      </c>
      <c r="R33" s="42">
        <f>+IFERROR(HLOOKUP($E34,'[3]5월'!$F$6:$CC$57,3,),)/1000</f>
        <v>73.768631000000013</v>
      </c>
      <c r="S33" s="54">
        <f t="shared" si="24"/>
        <v>-62.428161000000017</v>
      </c>
      <c r="T33" s="40">
        <f>(+IFERROR(HLOOKUP($B34,'[1]5월'!$D$6:$BN$259,21,),)+IFERROR(HLOOKUP($C34,'[1]5월'!$D$6:$BN$259,21,),))/1000</f>
        <v>72.847672666666682</v>
      </c>
      <c r="U33" s="41">
        <f>+IFERROR(HLOOKUP($E34,'[2]5월'!$F$6:$CP$99,16,),)/1000</f>
        <v>4.0910010000000003</v>
      </c>
      <c r="V33" s="43">
        <f t="shared" si="27"/>
        <v>-68.756671666666676</v>
      </c>
      <c r="W33" s="42">
        <f>+IFERROR(HLOOKUP($E34,'[3]5월'!$F$6:$CC$57,16,),)/1000</f>
        <v>66.602380999999994</v>
      </c>
      <c r="X33" s="54">
        <f t="shared" si="28"/>
        <v>-62.511379999999996</v>
      </c>
      <c r="Y33" s="649" t="s">
        <v>182</v>
      </c>
      <c r="Z33" s="627">
        <f>+'[20]예산대비 차이'!$O$15</f>
        <v>27.895905773037999</v>
      </c>
      <c r="AA33" s="628">
        <f>+[21]평균강도집계!$U$27</f>
        <v>28.652707382443477</v>
      </c>
      <c r="AB33" s="629">
        <f>+AA33-Z33</f>
        <v>0.75680160940547836</v>
      </c>
      <c r="AC33" s="630">
        <f>+[21]평균강도집계!$T$27</f>
        <v>29.492905002738137</v>
      </c>
      <c r="AD33" s="630">
        <f>+AA33-AC33</f>
        <v>-0.84019762029465994</v>
      </c>
      <c r="AE33" s="210" t="s">
        <v>195</v>
      </c>
      <c r="AF33" s="79">
        <f>+-AM36</f>
        <v>-728.32348944838225</v>
      </c>
      <c r="AG33" s="45" t="s">
        <v>196</v>
      </c>
      <c r="AI33" s="210" t="s">
        <v>195</v>
      </c>
      <c r="AJ33" s="79">
        <f>+AN36</f>
        <v>1447.7582109600644</v>
      </c>
      <c r="AK33" s="210" t="s">
        <v>196</v>
      </c>
      <c r="AL33" s="453"/>
      <c r="AM33" s="453"/>
      <c r="AN33" s="453"/>
    </row>
    <row r="34" spans="2:44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29"/>
        <v>임대</v>
      </c>
      <c r="H34" s="76"/>
      <c r="I34" s="77" t="s">
        <v>50</v>
      </c>
      <c r="J34" s="40"/>
      <c r="K34" s="41"/>
      <c r="L34" s="43">
        <f t="shared" si="22"/>
        <v>0</v>
      </c>
      <c r="M34" s="42"/>
      <c r="N34" s="54">
        <f t="shared" si="30"/>
        <v>0</v>
      </c>
      <c r="O34" s="40"/>
      <c r="P34" s="41"/>
      <c r="Q34" s="43">
        <f t="shared" si="23"/>
        <v>0</v>
      </c>
      <c r="R34" s="42"/>
      <c r="S34" s="54">
        <f t="shared" si="24"/>
        <v>0</v>
      </c>
      <c r="T34" s="40">
        <f>-'[1]5월'!$Z$22/1000</f>
        <v>-1350.3535897090505</v>
      </c>
      <c r="U34" s="41">
        <f>+-'[2]5월'!$Z$22/1000</f>
        <v>-1314.2614820903864</v>
      </c>
      <c r="V34" s="43">
        <f t="shared" si="27"/>
        <v>36.092107618664159</v>
      </c>
      <c r="W34" s="42">
        <f>+-'[3]5월'!$Z$22/1000</f>
        <v>-1405.804687949189</v>
      </c>
      <c r="X34" s="54">
        <f t="shared" si="28"/>
        <v>91.543205858802594</v>
      </c>
      <c r="Y34" s="650" t="s">
        <v>184</v>
      </c>
      <c r="Z34" s="645">
        <f>+'[20]예산대비 차이'!$O$16</f>
        <v>26.112582749627148</v>
      </c>
      <c r="AA34" s="646">
        <f>+[21]평균강도집계!$U$49</f>
        <v>26.702111868294988</v>
      </c>
      <c r="AB34" s="647">
        <f t="shared" ref="AB34" si="31">+AA34-Z34</f>
        <v>0.58952911866784063</v>
      </c>
      <c r="AC34" s="648">
        <f>+[21]평균강도집계!$T$49</f>
        <v>26.183269124931204</v>
      </c>
      <c r="AD34" s="648">
        <f t="shared" ref="AD34" si="32">+AA34-AC34</f>
        <v>0.51884274336378411</v>
      </c>
      <c r="AE34" s="210" t="s">
        <v>187</v>
      </c>
      <c r="AF34" s="210">
        <f>+AM27</f>
        <v>46.438981902561181</v>
      </c>
      <c r="AG34" s="45" t="s">
        <v>196</v>
      </c>
      <c r="AH34" s="15"/>
      <c r="AI34" s="210" t="s">
        <v>187</v>
      </c>
      <c r="AJ34" s="210">
        <f>+AQ27</f>
        <v>-41.687545559138698</v>
      </c>
      <c r="AK34" s="210" t="s">
        <v>196</v>
      </c>
      <c r="AM34" s="453"/>
      <c r="AN34" s="453"/>
    </row>
    <row r="35" spans="2:44" s="6" customFormat="1" ht="22.5" customHeight="1" x14ac:dyDescent="0.3">
      <c r="B35" s="6" t="s">
        <v>119</v>
      </c>
      <c r="D35"/>
      <c r="E35"/>
      <c r="F35"/>
      <c r="G35" s="304" t="str">
        <f t="shared" si="29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30"/>
        <v>0</v>
      </c>
      <c r="O35" s="40"/>
      <c r="P35" s="41"/>
      <c r="Q35" s="43">
        <f t="shared" si="23"/>
        <v>0</v>
      </c>
      <c r="R35" s="42"/>
      <c r="S35" s="54">
        <f t="shared" si="24"/>
        <v>0</v>
      </c>
      <c r="T35" s="40">
        <f>+'[1]5월'!$AT$26/1000</f>
        <v>0</v>
      </c>
      <c r="U35" s="41">
        <f>'[2]5월'!$BD$26/1000</f>
        <v>0</v>
      </c>
      <c r="V35" s="43">
        <f t="shared" si="27"/>
        <v>0</v>
      </c>
      <c r="W35" s="42">
        <f>'[3]5월'!$BD$26/1000</f>
        <v>0</v>
      </c>
      <c r="X35" s="54">
        <f t="shared" si="28"/>
        <v>0</v>
      </c>
      <c r="Y35" s="610" t="s">
        <v>186</v>
      </c>
      <c r="Z35" s="651">
        <f>+'[20]예산대비 차이'!$O$18</f>
        <v>27.228066895329725</v>
      </c>
      <c r="AA35" s="652">
        <f>+[21]평균강도집계!$U$71</f>
        <v>28.054382894764075</v>
      </c>
      <c r="AB35" s="653">
        <f>+AA35-Z35</f>
        <v>0.82631599943434964</v>
      </c>
      <c r="AC35" s="654">
        <f>+[21]합계!$T$82</f>
        <v>28.460091191640952</v>
      </c>
      <c r="AD35" s="654">
        <f>+AA35-AC35</f>
        <v>-0.40570829687687748</v>
      </c>
      <c r="AE35" s="657" t="s">
        <v>189</v>
      </c>
      <c r="AF35" s="657">
        <f>+SUM(AF30:AF34)</f>
        <v>1188.6098243073068</v>
      </c>
      <c r="AG35" s="245" t="s">
        <v>190</v>
      </c>
      <c r="AH35" s="15"/>
      <c r="AI35" s="657" t="s">
        <v>189</v>
      </c>
      <c r="AJ35" s="657">
        <f>+SUM(AJ30:AJ34)</f>
        <v>1713.5865567537548</v>
      </c>
      <c r="AK35" s="657" t="s">
        <v>190</v>
      </c>
      <c r="AL35" s="81"/>
      <c r="AM35" s="453">
        <v>158394700</v>
      </c>
      <c r="AN35" s="453"/>
    </row>
    <row r="36" spans="2:44" s="6" customFormat="1" ht="22.5" customHeight="1" thickBot="1" x14ac:dyDescent="0.35">
      <c r="D36"/>
      <c r="E36"/>
      <c r="F36"/>
      <c r="G36" s="304" t="str">
        <f t="shared" si="29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30"/>
        <v>0</v>
      </c>
      <c r="O36" s="40"/>
      <c r="P36" s="41"/>
      <c r="Q36" s="43">
        <f t="shared" si="23"/>
        <v>0</v>
      </c>
      <c r="R36" s="42"/>
      <c r="S36" s="54">
        <f t="shared" si="24"/>
        <v>0</v>
      </c>
      <c r="T36" s="40"/>
      <c r="U36" s="41">
        <f>'[2]5월'!$BE$26/1000</f>
        <v>0</v>
      </c>
      <c r="V36" s="43">
        <f t="shared" si="27"/>
        <v>0</v>
      </c>
      <c r="W36" s="42">
        <f>'[3]5월'!$BE$26/1000</f>
        <v>0</v>
      </c>
      <c r="X36" s="54">
        <f t="shared" si="28"/>
        <v>0</v>
      </c>
      <c r="Y36" s="618" t="s">
        <v>188</v>
      </c>
      <c r="Z36" s="631">
        <f>+[18]영업계획!$K$6/[18]영업계획!$K$21</f>
        <v>0.62544444444444447</v>
      </c>
      <c r="AA36" s="632">
        <f>+[19]합계!$G$44</f>
        <v>0.70229569837832273</v>
      </c>
      <c r="AB36" s="633">
        <f>+AA36-Z36</f>
        <v>7.6851253933878261E-2</v>
      </c>
      <c r="AC36" s="634">
        <f>+[19]합계!$F$44</f>
        <v>0.6956821971583198</v>
      </c>
      <c r="AD36" s="634">
        <f>+AA36-AC36</f>
        <v>6.6135012200029264E-3</v>
      </c>
      <c r="AE36" s="210"/>
      <c r="AF36" s="210"/>
      <c r="AG36" s="45"/>
      <c r="AH36" s="15"/>
      <c r="AI36" s="16"/>
      <c r="AJ36" s="453"/>
      <c r="AK36" s="457"/>
      <c r="AL36" s="81"/>
      <c r="AM36" s="453">
        <f>+AM35/[4]합계!$O$5</f>
        <v>728.32348944838225</v>
      </c>
      <c r="AN36" s="453">
        <f>+-AM36--'[22]2026년 소급분(공장별)'!$D$8</f>
        <v>1447.7582109600644</v>
      </c>
      <c r="AO36" s="453"/>
    </row>
    <row r="37" spans="2:44" s="6" customFormat="1" ht="22.5" customHeight="1" thickTop="1" x14ac:dyDescent="0.3">
      <c r="D37"/>
      <c r="E37"/>
      <c r="F37"/>
      <c r="G37" s="304" t="str">
        <f t="shared" si="29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30"/>
        <v>0</v>
      </c>
      <c r="O37" s="40"/>
      <c r="P37" s="41"/>
      <c r="Q37" s="43">
        <f t="shared" si="23"/>
        <v>0</v>
      </c>
      <c r="R37" s="42">
        <f>+IFERROR(HLOOKUP($I$37,'[3]5월'!$F$6:$BJ$50,3,),)/1000</f>
        <v>0</v>
      </c>
      <c r="S37" s="54">
        <f t="shared" si="24"/>
        <v>0</v>
      </c>
      <c r="T37" s="40">
        <f>SUM('[1]5월'!$AM$26:$AQ$26)/1000</f>
        <v>-12.762081</v>
      </c>
      <c r="U37" s="41">
        <f>+'[2]5월'!$BF$26/1000</f>
        <v>-32.364201999999999</v>
      </c>
      <c r="V37" s="43">
        <f t="shared" si="27"/>
        <v>-19.602120999999997</v>
      </c>
      <c r="W37" s="42">
        <f>+'[3]5월'!$BF$26/1000</f>
        <v>-37.499671999999997</v>
      </c>
      <c r="X37" s="54">
        <f t="shared" si="28"/>
        <v>5.135469999999998</v>
      </c>
      <c r="Y37" s="237" t="s">
        <v>220</v>
      </c>
      <c r="AE37" s="210"/>
      <c r="AF37" s="210"/>
      <c r="AG37" s="45"/>
      <c r="AH37" s="15"/>
      <c r="AI37" s="16"/>
      <c r="AJ37" s="453"/>
      <c r="AK37" s="457"/>
      <c r="AL37" s="656"/>
      <c r="AM37" s="656"/>
      <c r="AO37" s="453"/>
      <c r="AP37" s="453"/>
      <c r="AQ37" s="453"/>
    </row>
    <row r="38" spans="2:44" s="6" customFormat="1" ht="22.5" customHeight="1" x14ac:dyDescent="0.3">
      <c r="D38"/>
      <c r="E38"/>
      <c r="F38"/>
      <c r="G38" s="304" t="str">
        <f t="shared" si="29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+'[2]5월'!$BG$26/1000</f>
        <v>0</v>
      </c>
      <c r="V38" s="43">
        <f t="shared" si="27"/>
        <v>0</v>
      </c>
      <c r="W38" s="42"/>
      <c r="X38" s="54">
        <f t="shared" si="28"/>
        <v>0</v>
      </c>
      <c r="Y38" s="1" t="s">
        <v>203</v>
      </c>
      <c r="Z38" s="210">
        <f>+[4]합계!$S$15</f>
        <v>1921.3079998253233</v>
      </c>
      <c r="AA38" s="210" t="s">
        <v>199</v>
      </c>
      <c r="AB38" s="210"/>
      <c r="AC38" s="210"/>
      <c r="AD38" s="210"/>
      <c r="AG38" s="665"/>
      <c r="AH38" s="662"/>
      <c r="AI38" s="210" t="s">
        <v>197</v>
      </c>
      <c r="AJ38" s="210"/>
      <c r="AK38" s="210"/>
      <c r="AL38" s="664"/>
      <c r="AM38" s="656"/>
      <c r="AQ38" s="453"/>
    </row>
    <row r="39" spans="2:44" s="6" customFormat="1" ht="22.5" customHeight="1" x14ac:dyDescent="0.3">
      <c r="B39" t="s">
        <v>30</v>
      </c>
      <c r="D39"/>
      <c r="G39" s="304" t="str">
        <f t="shared" si="29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IFERROR(HLOOKUP($B39,'[1]5월'!$D$6:$BN$259,3,),)/1000</f>
        <v>1.77</v>
      </c>
      <c r="P39" s="41">
        <f>+('[2]5월'!$F$8-SUM('[2]5월'!$Z$8,'[2]5월'!$AH$8,'[2]5월'!$AN$8,'[2]5월'!$AO$8,'[2]5월'!$BA$8,'[2]5월'!$BD$8,'[2]5월'!$BE$8,'[2]5월'!$BF$8))/1000</f>
        <v>1.6028999999985099</v>
      </c>
      <c r="Q39" s="49">
        <f>+P39-O39</f>
        <v>-0.16710000000149017</v>
      </c>
      <c r="R39" s="55">
        <f>+('[3]5월'!$F$8-SUM('[3]5월'!$Z$8,'[3]5월'!$AH$8,'[3]5월'!$AN$8,'[3]5월'!$AO$8,'[3]5월'!$BA$8,'[3]5월'!$BD$8,'[3]5월'!$BE$8,'[3]5월'!$BF$8))/1000</f>
        <v>1.6798500000014902</v>
      </c>
      <c r="S39" s="56">
        <f>+P39-R39</f>
        <v>-7.6950000002980357E-2</v>
      </c>
      <c r="T39" s="40">
        <f>+('[1]5월'!$E$26-'[1]5월'!$Z$26-'[1]5월'!$AA$26-'[1]5월'!$AE$26-'[1]5월'!$AL$26-'[1]5월'!$AM$26-'[1]5월'!$AN$26-'[1]5월'!$AO$26-'[1]5월'!$AP$26-'[1]5월'!$AQ$26-'[1]5월'!$AS$26+'[1]5월'!$AS$26)/1000-T35</f>
        <v>-101.58241800000319</v>
      </c>
      <c r="U39" s="41">
        <f>+('[2]5월'!$F$26-SUM('[2]5월'!$Z$26,'[2]5월'!$AH$26,'[2]5월'!$AN$26,'[2]5월'!$AO$26,'[2]5월'!$BA$26,'[2]5월'!$BD$26,'[2]5월'!$BE$26,'[2]5월'!$BF$26))/1000-U38</f>
        <v>-16.164512000005576</v>
      </c>
      <c r="V39" s="43">
        <f>+U39-T39</f>
        <v>85.417905999997615</v>
      </c>
      <c r="W39" s="55">
        <f>+('[3]5월'!$F$26-SUM('[3]5월'!$Z$26,'[3]5월'!$AH$26,'[3]5월'!$AN$26,'[3]5월'!$AO$26,'[3]5월'!$BA$26,'[3]5월'!$BD$26,'[3]5월'!$BE$26,'[3]5월'!$BF$26))/1000</f>
        <v>-15.421940999998974</v>
      </c>
      <c r="X39" s="54">
        <f t="shared" si="28"/>
        <v>-0.74257100000660259</v>
      </c>
      <c r="Y39" s="209" t="s">
        <v>221</v>
      </c>
      <c r="Z39" s="210"/>
      <c r="AA39" s="210"/>
      <c r="AC39" s="210"/>
      <c r="AD39" s="210"/>
      <c r="AG39" s="665"/>
      <c r="AH39" s="662"/>
      <c r="AI39" s="210" t="s">
        <v>200</v>
      </c>
      <c r="AJ39" s="210">
        <f>-[23]합계!$H$6</f>
        <v>223.59104837408742</v>
      </c>
      <c r="AK39" s="210" t="s">
        <v>196</v>
      </c>
      <c r="AL39" s="664"/>
      <c r="AM39" s="656"/>
    </row>
    <row r="40" spans="2:44" s="6" customFormat="1" ht="22.5" customHeight="1" x14ac:dyDescent="0.3">
      <c r="G40" s="304" t="str">
        <f t="shared" si="29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30"/>
        <v>0</v>
      </c>
      <c r="O40" s="125">
        <f>SUM(O32:O39)</f>
        <v>119.36666666666667</v>
      </c>
      <c r="P40" s="126">
        <f>SUM(P32:P39)</f>
        <v>56.283369999998513</v>
      </c>
      <c r="Q40" s="130">
        <f>+P40-O40</f>
        <v>-63.083296666668161</v>
      </c>
      <c r="R40" s="131">
        <f>SUM(R32:R39)</f>
        <v>118.78848100000151</v>
      </c>
      <c r="S40" s="132">
        <f>+P40-R40</f>
        <v>-62.505111000002998</v>
      </c>
      <c r="T40" s="125">
        <f>SUM(T32:T39)</f>
        <v>-1366.388385042387</v>
      </c>
      <c r="U40" s="126">
        <f>SUM(U32:U39)</f>
        <v>-1342.3963840903918</v>
      </c>
      <c r="V40" s="130">
        <f>+U40-T40</f>
        <v>23.992000951995124</v>
      </c>
      <c r="W40" s="131">
        <f>SUM(W32:W39)</f>
        <v>-1368.9457009491878</v>
      </c>
      <c r="X40" s="132">
        <f t="shared" si="28"/>
        <v>26.549316858795919</v>
      </c>
      <c r="Y40" s="210" t="s">
        <v>222</v>
      </c>
      <c r="Z40" s="210"/>
      <c r="AA40" s="210"/>
      <c r="AB40" s="210"/>
      <c r="AC40" s="210"/>
      <c r="AD40" s="210"/>
      <c r="AG40" s="665"/>
      <c r="AH40" s="563"/>
      <c r="AI40" s="210" t="s">
        <v>201</v>
      </c>
      <c r="AJ40" s="210">
        <f>([23]합계!$F$15-[23]합계!$E$15-AB35*10)*[23]합계!$G$15/1000</f>
        <v>361.67815251917216</v>
      </c>
      <c r="AK40" s="210" t="s">
        <v>196</v>
      </c>
      <c r="AL40" s="664"/>
      <c r="AM40" s="453"/>
    </row>
    <row r="41" spans="2:44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28839.52080617801</v>
      </c>
      <c r="P41" s="251">
        <f>+P27+P31+P40</f>
        <v>23652.543590999998</v>
      </c>
      <c r="Q41" s="252">
        <f>+P41-O41</f>
        <v>-5186.9772151780126</v>
      </c>
      <c r="R41" s="253">
        <f>+R27+R31+R40</f>
        <v>25386.342961000002</v>
      </c>
      <c r="S41" s="254">
        <f>+P41-R41</f>
        <v>-1733.7993700000043</v>
      </c>
      <c r="T41" s="250">
        <f>+T27+T31+T40</f>
        <v>1445.959075421122</v>
      </c>
      <c r="U41" s="251">
        <f>+U27+U31+U40</f>
        <v>-97.10366199763871</v>
      </c>
      <c r="V41" s="252">
        <f>+U41-T41</f>
        <v>-1543.0627374187607</v>
      </c>
      <c r="W41" s="253">
        <f>+W27+W31+W40</f>
        <v>198.81857502368825</v>
      </c>
      <c r="X41" s="254">
        <f>+U41-W41</f>
        <v>-295.92223702132696</v>
      </c>
      <c r="Y41" s="209"/>
      <c r="Z41" s="210"/>
      <c r="AA41" s="210"/>
      <c r="AB41" s="210"/>
      <c r="AC41" s="210"/>
      <c r="AD41" s="210"/>
      <c r="AG41" s="666"/>
      <c r="AH41" s="663"/>
      <c r="AI41" s="210" t="s">
        <v>202</v>
      </c>
      <c r="AJ41" s="210">
        <f>[23]합계!$U$15-AJ39-AJ40</f>
        <v>818.88061651195051</v>
      </c>
      <c r="AK41" s="210" t="s">
        <v>196</v>
      </c>
      <c r="AL41" s="664"/>
      <c r="AM41" s="453"/>
    </row>
    <row r="42" spans="2:44" s="6" customFormat="1" ht="19.5" customHeight="1" x14ac:dyDescent="0.3">
      <c r="G42" s="309">
        <f>+P41/O41</f>
        <v>0.82014343268606404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L42" s="664"/>
      <c r="AM42" s="453"/>
      <c r="AO42" s="453"/>
    </row>
    <row r="43" spans="2:44" s="1" customFormat="1" ht="22.5" customHeight="1" x14ac:dyDescent="0.3">
      <c r="H43" s="547" t="s">
        <v>48</v>
      </c>
      <c r="I43" s="548"/>
      <c r="J43" s="140">
        <f>+IFERROR(HLOOKUP($B28,'[1]5월'!$D$6:$BN$259,2,),)</f>
        <v>8100</v>
      </c>
      <c r="K43" s="141">
        <f>+IFERROR(HLOOKUP($E28,'[2]5월'!$F$6:$CP$99,2,),)</f>
        <v>3740.2310000000002</v>
      </c>
      <c r="L43" s="142">
        <f>+K43-J43</f>
        <v>-4359.7690000000002</v>
      </c>
      <c r="M43" s="143">
        <f>+IFERROR(HLOOKUP($E28,'[3]5월'!$F$6:$CC$57,2,),)</f>
        <v>10256.286000000002</v>
      </c>
      <c r="N43" s="144">
        <f>+K43-M43</f>
        <v>-6516.0550000000021</v>
      </c>
      <c r="O43" s="140">
        <f>+IFERROR(HLOOKUP($B28,'[1]5월'!$D$6:$BN$259,3,),)/1000</f>
        <v>8182.0960100000002</v>
      </c>
      <c r="P43" s="141">
        <f>+IFERROR(HLOOKUP($E28,'[2]5월'!$F$6:$CP$99,3,),)/1000</f>
        <v>4514.2479029999995</v>
      </c>
      <c r="Q43" s="142">
        <f>+P43-O43</f>
        <v>-3667.8481070000007</v>
      </c>
      <c r="R43" s="143">
        <f>+IFERROR(HLOOKUP($E28,'[3]5월'!$F$6:$CC$57,3,),)/1000</f>
        <v>10025.105611999999</v>
      </c>
      <c r="S43" s="144">
        <f>+P43-R43</f>
        <v>-5510.8577089999999</v>
      </c>
      <c r="T43" s="140">
        <f>+IFERROR(HLOOKUP($B28,'[1]5월'!$D$6:$BN$259,21,),)/1000</f>
        <v>43.605065720363164</v>
      </c>
      <c r="U43" s="141">
        <f>+IFERROR(HLOOKUP($E28,'[2]5월'!$F$6:$CP$99,21,),)/1000</f>
        <v>-207.87159500000007</v>
      </c>
      <c r="V43" s="142">
        <f>+U43-T43</f>
        <v>-251.47666072036324</v>
      </c>
      <c r="W43" s="143">
        <f>+IFERROR(HLOOKUP($E28,'[3]5월'!$F$6:$CC$57,16,),)/1000</f>
        <v>46.262732000000277</v>
      </c>
      <c r="X43" s="144">
        <f>+U43-W43</f>
        <v>-254.13432700000035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L43" s="656"/>
      <c r="AM43" s="656"/>
      <c r="AO43" s="455"/>
      <c r="AR43" s="264"/>
    </row>
    <row r="44" spans="2:44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37021.616816178008</v>
      </c>
      <c r="P44" s="251">
        <f>+P41+P43</f>
        <v>28166.791493999997</v>
      </c>
      <c r="Q44" s="252">
        <f>+P44-O44</f>
        <v>-8854.8253221780105</v>
      </c>
      <c r="R44" s="253">
        <f>+R41+R43</f>
        <v>35411.448573000001</v>
      </c>
      <c r="S44" s="254">
        <f>+P44-R44</f>
        <v>-7244.6570790000042</v>
      </c>
      <c r="T44" s="250">
        <f>+T41+T43</f>
        <v>1489.5641411414852</v>
      </c>
      <c r="U44" s="251">
        <f>+U41+U43</f>
        <v>-304.97525699763878</v>
      </c>
      <c r="V44" s="252">
        <f>+U44-T44</f>
        <v>-1794.5393981391239</v>
      </c>
      <c r="W44" s="253">
        <f>+W41+W43</f>
        <v>245.08130702368854</v>
      </c>
      <c r="X44" s="254">
        <f>+U44-W44</f>
        <v>-550.05656402132729</v>
      </c>
      <c r="Y44" s="619"/>
      <c r="Z44" s="661"/>
      <c r="AA44" s="661"/>
      <c r="AB44" s="661"/>
      <c r="AC44" s="661"/>
      <c r="AD44" s="661"/>
      <c r="AE44" s="661"/>
      <c r="AF44" s="661"/>
      <c r="AG44" s="621"/>
      <c r="AH44" s="23"/>
      <c r="AJ44" s="455"/>
      <c r="AK44" s="457"/>
      <c r="AO44" s="455"/>
    </row>
    <row r="45" spans="2:44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4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4" s="28" customFormat="1" ht="17.25" thickBot="1" x14ac:dyDescent="0.35">
      <c r="G47" s="310"/>
      <c r="AC47" s="29"/>
      <c r="AF47" s="29"/>
      <c r="AJ47" s="456"/>
    </row>
    <row r="48" spans="2:44" s="28" customFormat="1" x14ac:dyDescent="0.3">
      <c r="F48" s="266">
        <f>+K43/M43</f>
        <v>0.36467694056113487</v>
      </c>
      <c r="G48" s="306">
        <f>+K43/J43</f>
        <v>0.46175691358024695</v>
      </c>
      <c r="I48" s="692" t="s">
        <v>81</v>
      </c>
      <c r="J48" s="115">
        <f>+'[1]5월'!$Z$7/1000</f>
        <v>270</v>
      </c>
      <c r="K48" s="116">
        <f>+'[2]5월'!$AI$7/1000</f>
        <v>218.18950000000001</v>
      </c>
      <c r="L48" s="116"/>
      <c r="M48" s="116">
        <f>+'[3]5월'!$Z$7/1000</f>
        <v>242.99549999999999</v>
      </c>
      <c r="N48" s="116"/>
      <c r="O48" s="116">
        <f>+'[1]5월'!$E$8/1000</f>
        <v>37021.616816178008</v>
      </c>
      <c r="P48" s="116">
        <f>+'[2]5월'!$F$8/1000</f>
        <v>28166.791493999994</v>
      </c>
      <c r="Q48" s="116"/>
      <c r="R48" s="116">
        <f>+'[3]5월'!$F$8/1000</f>
        <v>35411.448573000001</v>
      </c>
      <c r="S48" s="116"/>
      <c r="T48" s="121">
        <f>+'[1]5월'!$E$26/1000</f>
        <v>1489.5641411414924</v>
      </c>
      <c r="U48" s="116">
        <f>+'[2]5월'!$F$26/1000</f>
        <v>-304.97525699763838</v>
      </c>
      <c r="V48" s="116"/>
      <c r="W48" s="116">
        <f>+'[3]5월'!$F$26/1000</f>
        <v>245.081307023688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0.96669488728493724</v>
      </c>
      <c r="G49" s="306">
        <f>+K31/J31</f>
        <v>0.91547326944132568</v>
      </c>
      <c r="I49" s="692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7.2759576141834259E-12</v>
      </c>
      <c r="U49" s="122">
        <f>+U48-U44</f>
        <v>0</v>
      </c>
      <c r="V49" s="118"/>
      <c r="W49" s="118">
        <f>+W48-W44</f>
        <v>-5.4001247917767614E-13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20657.424796178009</v>
      </c>
      <c r="P51" s="460">
        <f>+P41-P43</f>
        <v>19138.295687999998</v>
      </c>
      <c r="Q51" s="460">
        <f>+P51-O51</f>
        <v>-1519.1291081780109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206.57424796178009</v>
      </c>
      <c r="P52" s="460">
        <f>+P51/100</f>
        <v>191.38295687999999</v>
      </c>
      <c r="Q52" s="460">
        <f>+P52-O52</f>
        <v>-15.191291081780093</v>
      </c>
      <c r="S52" t="s">
        <v>40</v>
      </c>
      <c r="T52" s="212">
        <f>(+T27+T34)/100</f>
        <v>15.10363121824556</v>
      </c>
      <c r="U52" s="212">
        <f>(+U27+U34)/100</f>
        <v>0.36030835909613868</v>
      </c>
      <c r="V52" s="212">
        <f>+U52-T52</f>
        <v>-14.743322859149421</v>
      </c>
      <c r="W52" s="211">
        <f>+U52/T52-1</f>
        <v>-0.97614425604745447</v>
      </c>
      <c r="AC52" s="29"/>
      <c r="AD52" s="28"/>
      <c r="AE52" s="28"/>
      <c r="AF52" s="29"/>
      <c r="AJ52" s="460"/>
    </row>
    <row r="53" spans="6:36" x14ac:dyDescent="0.3">
      <c r="Q53" s="211">
        <f>+P52/O52</f>
        <v>0.92646086706513997</v>
      </c>
      <c r="S53" t="s">
        <v>1</v>
      </c>
      <c r="T53" s="4">
        <f>+T31/100</f>
        <v>-0.48369251070097619</v>
      </c>
      <c r="U53" s="4">
        <f>+U31/100</f>
        <v>-1.0499959590724703</v>
      </c>
      <c r="V53" s="212">
        <f>+U53-T53</f>
        <v>-0.56630344837149416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0.98309703666666681</v>
      </c>
      <c r="U54" s="4">
        <f>(U32+U33)/100</f>
        <v>0.20393811999999997</v>
      </c>
      <c r="V54" s="265">
        <f>+U54-T54</f>
        <v>-0.77915891666666681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-1.1434449899999581</v>
      </c>
      <c r="U55" s="212">
        <f>((U48-U43)/100)-U52-U53-U54</f>
        <v>-0.48528714000005146</v>
      </c>
      <c r="V55" s="212">
        <f>+U55-T55</f>
        <v>0.65815784999990667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-0.16034795333329133</v>
      </c>
      <c r="U56" s="212">
        <f>SUM(U54:U55)</f>
        <v>-0.28134902000005146</v>
      </c>
      <c r="V56" s="212">
        <f>SUM(V54:V55)</f>
        <v>-0.12100106666676014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14.459590754211293</v>
      </c>
      <c r="U57" s="212">
        <f>SUM(U52:U55)</f>
        <v>-0.97103661997638313</v>
      </c>
      <c r="V57" s="212">
        <f>+U57-T57</f>
        <v>-15.430627374187676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0.98309703666666681</v>
      </c>
      <c r="U60" s="265">
        <f>+(U32+U33)/100</f>
        <v>0.20393811999999997</v>
      </c>
      <c r="V60" s="212">
        <f>+U60-T60</f>
        <v>-0.77915891666666681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33">+T35/100</f>
        <v>0</v>
      </c>
      <c r="U61" s="212">
        <f t="shared" si="33"/>
        <v>0</v>
      </c>
      <c r="V61" s="212">
        <f>+U61-T61</f>
        <v>0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33"/>
        <v>0</v>
      </c>
      <c r="U62" s="212">
        <f t="shared" si="33"/>
        <v>0</v>
      </c>
      <c r="V62" s="212">
        <f>+U62-T62</f>
        <v>0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33"/>
        <v>-0.12762081</v>
      </c>
      <c r="U63" s="212">
        <f t="shared" si="33"/>
        <v>-0.32364201999999997</v>
      </c>
      <c r="V63" s="212">
        <f>+U63-T63</f>
        <v>-0.19602120999999997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-1.0158241800000318</v>
      </c>
      <c r="U64" s="212">
        <f>+U39/100</f>
        <v>-0.16164512000005576</v>
      </c>
      <c r="V64" s="212">
        <f>+U64-T64</f>
        <v>0.85417905999997612</v>
      </c>
      <c r="AC64" s="212"/>
      <c r="AD64" s="212"/>
      <c r="AE64" s="212"/>
    </row>
    <row r="65" spans="20:31" x14ac:dyDescent="0.3">
      <c r="T65" s="4">
        <f>SUM(T60:T64)</f>
        <v>-0.16034795333336505</v>
      </c>
      <c r="U65" s="4">
        <f>SUM(U60:U64)</f>
        <v>-0.28134902000005579</v>
      </c>
      <c r="V65" s="4">
        <f>SUM(V60:V64)</f>
        <v>-0.12100106666669064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-16.034795333336504</v>
      </c>
      <c r="U68" s="4">
        <f>SUM(U32:U33,U35,U37:U39)</f>
        <v>-28.134902000005578</v>
      </c>
      <c r="V68" s="4">
        <f>+U68-T68</f>
        <v>-12.100106666669074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1402.3540097007588</v>
      </c>
      <c r="U70" s="460">
        <f>+U41-U43</f>
        <v>110.76793300236136</v>
      </c>
      <c r="V70" s="460"/>
      <c r="AC70" s="212"/>
      <c r="AE70" s="212"/>
    </row>
    <row r="71" spans="20:31" x14ac:dyDescent="0.3">
      <c r="T71" s="460">
        <f>+T70/100</f>
        <v>14.023540097007588</v>
      </c>
      <c r="U71" s="460">
        <f>+U70/100</f>
        <v>1.1076793300236136</v>
      </c>
      <c r="V71" s="460">
        <f>+U71-T71</f>
        <v>-12.915860766983975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5561-3E2E-4676-938F-53896FB4585D}">
  <sheetPr>
    <tabColor theme="0"/>
    <pageSetUpPr fitToPage="1"/>
  </sheetPr>
  <dimension ref="A1:AS80"/>
  <sheetViews>
    <sheetView showGridLines="0" showZeros="0" topLeftCell="F22" zoomScale="85" zoomScaleNormal="85" zoomScaleSheetLayoutView="85" workbookViewId="0">
      <selection activeCell="F34" sqref="F3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5" ht="18" customHeight="1" x14ac:dyDescent="0.3">
      <c r="H1" s="2"/>
      <c r="K1" s="4"/>
      <c r="L1" s="4"/>
      <c r="P1" s="4"/>
      <c r="Q1" s="4"/>
    </row>
    <row r="2" spans="1:45" ht="18" customHeight="1" x14ac:dyDescent="0.3">
      <c r="H2" s="5"/>
      <c r="AD2" s="3"/>
      <c r="AG2" s="3"/>
    </row>
    <row r="3" spans="1:45" ht="26.25" x14ac:dyDescent="0.3">
      <c r="H3" s="2" t="s">
        <v>214</v>
      </c>
      <c r="AD3" s="3"/>
      <c r="AG3" s="3"/>
    </row>
    <row r="4" spans="1:45" ht="18" customHeight="1" x14ac:dyDescent="0.3">
      <c r="H4" s="5"/>
      <c r="AD4" s="3"/>
      <c r="AG4" s="3" t="s">
        <v>76</v>
      </c>
    </row>
    <row r="5" spans="1:45" s="6" customFormat="1" ht="19.5" customHeight="1" x14ac:dyDescent="0.3">
      <c r="G5" s="304"/>
      <c r="H5" s="689" t="s">
        <v>11</v>
      </c>
      <c r="I5" s="690"/>
      <c r="J5" s="145" t="s">
        <v>0</v>
      </c>
      <c r="K5" s="146"/>
      <c r="L5" s="146"/>
      <c r="M5" s="146"/>
      <c r="N5" s="147"/>
      <c r="O5" s="145" t="s">
        <v>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O5"/>
      <c r="AP5"/>
      <c r="AQ5"/>
      <c r="AR5"/>
      <c r="AS5"/>
    </row>
    <row r="6" spans="1:45" s="6" customFormat="1" ht="19.5" customHeight="1" x14ac:dyDescent="0.3">
      <c r="A6" s="6" t="s">
        <v>218</v>
      </c>
      <c r="G6" s="304"/>
      <c r="H6" s="691"/>
      <c r="I6" s="688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O6"/>
      <c r="AP6"/>
      <c r="AQ6"/>
      <c r="AR6"/>
      <c r="AS6"/>
    </row>
    <row r="7" spans="1:45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+IFERROR(HLOOKUP($B7,'[1]5월누계'!$D$6:$BN$259,2,),)/1000</f>
        <v>173</v>
      </c>
      <c r="K7" s="31">
        <f>+IFERROR(HLOOKUP($B7,'[2]5월누계'!$F$6:$CP$99,2,),)/1000</f>
        <v>178.66900000000001</v>
      </c>
      <c r="L7" s="32">
        <f t="shared" ref="L7:L34" si="0">+K7-J7</f>
        <v>5.6690000000000111</v>
      </c>
      <c r="M7" s="33">
        <f>+IFERROR(HLOOKUP($B7,'[3]5월누계'!$F$6:$CC$57,2,),)/1000</f>
        <v>171.774</v>
      </c>
      <c r="N7" s="34">
        <f>+K7-M7</f>
        <v>6.8950000000000102</v>
      </c>
      <c r="O7" s="30">
        <f>+IFERROR(HLOOKUP($B7,'[1]5월누계'!$D$6:$BN$259,3,),)/1000</f>
        <v>16989.066637000004</v>
      </c>
      <c r="P7" s="31">
        <f>+IFERROR(HLOOKUP($B7,'[2]5월누계'!$F$6:$CP$99,3,),)/1000</f>
        <v>18188.226761000002</v>
      </c>
      <c r="Q7" s="32">
        <f>+P7-O7</f>
        <v>1199.1601239999982</v>
      </c>
      <c r="R7" s="33">
        <f>+IFERROR(HLOOKUP($B7,'[3]5월누계'!$F$6:$CC$57,3,),)/1000</f>
        <v>16474.908903</v>
      </c>
      <c r="S7" s="34">
        <f>+P7-R7</f>
        <v>1713.3178580000022</v>
      </c>
      <c r="T7" s="30">
        <f>+IFERROR(HLOOKUP($B7,'[1]5월누계'!$D$6:$BN$259,16,),)/1000</f>
        <v>1612.0411052307779</v>
      </c>
      <c r="U7" s="31">
        <f>+IFERROR(HLOOKUP($B7,'[2]5월누계'!$F$6:$CP$99,16,),)/1000</f>
        <v>1569.8665670000012</v>
      </c>
      <c r="V7" s="35">
        <f>+U7-T7</f>
        <v>-42.174538230776761</v>
      </c>
      <c r="W7" s="36">
        <f>+IFERROR(HLOOKUP($B7,'[3]5월누계'!$F$6:$CC$57,16,),)/1000</f>
        <v>1107.7854169999998</v>
      </c>
      <c r="X7" s="34">
        <f>+U7-W7</f>
        <v>462.08115000000134</v>
      </c>
      <c r="Y7" s="30">
        <f>+[15]안양!$Q$85</f>
        <v>98202.697323699438</v>
      </c>
      <c r="Z7" s="31">
        <f>+[15]안양!$R$85</f>
        <v>101803.25610420233</v>
      </c>
      <c r="AA7" s="37">
        <f>+[16]안양!$Q$85</f>
        <v>95893.386429763195</v>
      </c>
      <c r="AB7" s="38">
        <f>+[15]안양!$Q$89</f>
        <v>79582.591988550426</v>
      </c>
      <c r="AC7" s="31">
        <f>+[15]안양!$R$89</f>
        <v>83885.997659617467</v>
      </c>
      <c r="AD7" s="39">
        <f>+[16]안양!$Q$89</f>
        <v>80603.97989267511</v>
      </c>
      <c r="AE7" s="38">
        <f>+Y7-AB7</f>
        <v>18620.105335149012</v>
      </c>
      <c r="AF7" s="31">
        <f>+Z7-AC7</f>
        <v>17917.258444584862</v>
      </c>
      <c r="AG7" s="39">
        <f>+AA7-AD7</f>
        <v>15289.406537088085</v>
      </c>
      <c r="AH7" s="15"/>
      <c r="AI7" s="16"/>
      <c r="AJ7" s="453"/>
      <c r="AK7" s="453"/>
      <c r="AO7"/>
      <c r="AP7"/>
      <c r="AQ7"/>
      <c r="AR7"/>
      <c r="AS7"/>
    </row>
    <row r="8" spans="1:45" s="6" customFormat="1" ht="22.5" customHeight="1" x14ac:dyDescent="0.3">
      <c r="B8" s="6" t="s">
        <v>19</v>
      </c>
      <c r="G8" s="306" t="str">
        <f t="shared" ref="G8:G26" si="1">+I8</f>
        <v>인천</v>
      </c>
      <c r="H8" s="69" t="s">
        <v>41</v>
      </c>
      <c r="I8" s="70" t="s">
        <v>19</v>
      </c>
      <c r="J8" s="40">
        <f>+IFERROR(HLOOKUP($B8,'[1]5월누계'!$D$6:$BN$259,2,),)/1000</f>
        <v>152</v>
      </c>
      <c r="K8" s="41">
        <f>+IFERROR(HLOOKUP($B8,'[2]5월누계'!$F$6:$CP$99,2,),)/1000</f>
        <v>139.541</v>
      </c>
      <c r="L8" s="42">
        <f t="shared" si="0"/>
        <v>-12.459000000000003</v>
      </c>
      <c r="M8" s="43">
        <f>+IFERROR(HLOOKUP($B8,'[3]5월누계'!$F$6:$CC$57,2,),)/1000</f>
        <v>135.82599999999999</v>
      </c>
      <c r="N8" s="44">
        <f t="shared" ref="N8:N27" si="2">+K8-M8</f>
        <v>3.7150000000000034</v>
      </c>
      <c r="O8" s="40">
        <f>+IFERROR(HLOOKUP($B8,'[1]5월누계'!$D$6:$BN$259,3,),)/1000</f>
        <v>15304.570044160957</v>
      </c>
      <c r="P8" s="41">
        <f>+IFERROR(HLOOKUP($B8,'[2]5월누계'!$F$6:$CP$99,3,),)/1000</f>
        <v>14037.268083999999</v>
      </c>
      <c r="Q8" s="42">
        <f t="shared" ref="Q8:Q37" si="3">+P8-O8</f>
        <v>-1267.3019601609576</v>
      </c>
      <c r="R8" s="43">
        <f>+IFERROR(HLOOKUP($B8,'[3]5월누계'!$F$6:$CC$57,3,),)/1000</f>
        <v>13329.678620999999</v>
      </c>
      <c r="S8" s="44">
        <f t="shared" ref="S8:S37" si="4">+P8-R8</f>
        <v>707.58946300000025</v>
      </c>
      <c r="T8" s="40">
        <f>+IFERROR(HLOOKUP($B8,'[1]5월누계'!$D$6:$BN$259,16,),)/1000</f>
        <v>755.04965576180655</v>
      </c>
      <c r="U8" s="41">
        <f>+IFERROR(HLOOKUP($B8,'[2]5월누계'!$F$6:$CP$99,16,),)/1000</f>
        <v>97.222468999999833</v>
      </c>
      <c r="V8" s="42">
        <f t="shared" ref="V8:V27" si="5">+U8-T8</f>
        <v>-657.82718676180673</v>
      </c>
      <c r="W8" s="43">
        <f>+IFERROR(HLOOKUP($B8,'[3]5월누계'!$F$6:$CC$57,16,),)/1000</f>
        <v>304.48831600000057</v>
      </c>
      <c r="X8" s="44">
        <f t="shared" ref="X8:X27" si="6">+U8-W8</f>
        <v>-207.26584700000075</v>
      </c>
      <c r="Y8" s="40">
        <f>+[15]인천!$Q$85</f>
        <v>100687.9608168484</v>
      </c>
      <c r="Z8" s="41">
        <f>+[15]인천!$R$85</f>
        <v>100716.14626740504</v>
      </c>
      <c r="AA8" s="45">
        <f>+[16]인천!$Q$85</f>
        <v>98223.972881129055</v>
      </c>
      <c r="AB8" s="46">
        <f>+[15]인천!$Q$89</f>
        <v>84818.355546485647</v>
      </c>
      <c r="AC8" s="41">
        <f>+[15]인천!$R$89</f>
        <v>88284.023399887228</v>
      </c>
      <c r="AD8" s="47">
        <f>+[16]인천!$Q$89</f>
        <v>84575.511946356637</v>
      </c>
      <c r="AE8" s="46">
        <f t="shared" ref="AE8:AG27" si="7">+Y8-AB8</f>
        <v>15869.60527036275</v>
      </c>
      <c r="AF8" s="41">
        <f t="shared" si="7"/>
        <v>12432.122867517814</v>
      </c>
      <c r="AG8" s="47">
        <f t="shared" si="7"/>
        <v>13648.460934772418</v>
      </c>
      <c r="AH8" s="15"/>
      <c r="AI8" s="16"/>
      <c r="AJ8" s="453"/>
      <c r="AK8" s="453"/>
      <c r="AO8"/>
      <c r="AP8"/>
      <c r="AQ8"/>
      <c r="AR8"/>
      <c r="AS8"/>
    </row>
    <row r="9" spans="1:45" s="6" customFormat="1" ht="22.5" customHeight="1" x14ac:dyDescent="0.3">
      <c r="B9" s="6" t="s">
        <v>20</v>
      </c>
      <c r="G9" s="306" t="str">
        <f t="shared" si="1"/>
        <v>파주</v>
      </c>
      <c r="H9" s="69"/>
      <c r="I9" s="70" t="s">
        <v>20</v>
      </c>
      <c r="J9" s="40">
        <f>+IFERROR(HLOOKUP($B9,'[1]5월누계'!$D$6:$BN$259,2,),)/1000</f>
        <v>69</v>
      </c>
      <c r="K9" s="41">
        <f>+IFERROR(HLOOKUP($B9,'[2]5월누계'!$F$6:$CP$99,2,),)/1000</f>
        <v>60.035499999999999</v>
      </c>
      <c r="L9" s="42">
        <f t="shared" si="0"/>
        <v>-8.964500000000001</v>
      </c>
      <c r="M9" s="43">
        <f>+IFERROR(HLOOKUP($B9,'[3]5월누계'!$F$6:$CC$57,2,),)/1000</f>
        <v>54.692999999999998</v>
      </c>
      <c r="N9" s="44">
        <f t="shared" si="2"/>
        <v>5.3425000000000011</v>
      </c>
      <c r="O9" s="40">
        <f>+IFERROR(HLOOKUP($B9,'[1]5월누계'!$D$6:$BN$259,3,),)/1000</f>
        <v>6717.736614800001</v>
      </c>
      <c r="P9" s="41">
        <f>+IFERROR(HLOOKUP($B9,'[2]5월누계'!$F$6:$CP$99,3,),)/1000</f>
        <v>6003.6850000000004</v>
      </c>
      <c r="Q9" s="42">
        <f t="shared" si="3"/>
        <v>-714.05161480000061</v>
      </c>
      <c r="R9" s="43">
        <f>+IFERROR(HLOOKUP($B9,'[3]5월누계'!$F$6:$CC$57,3,),)/1000</f>
        <v>5056.7411700000002</v>
      </c>
      <c r="S9" s="44">
        <f t="shared" si="4"/>
        <v>946.94383000000016</v>
      </c>
      <c r="T9" s="40">
        <f>+IFERROR(HLOOKUP($B9,'[1]5월누계'!$D$6:$BN$259,16,),)/1000</f>
        <v>-12.101274581402947</v>
      </c>
      <c r="U9" s="41">
        <f>+IFERROR(HLOOKUP($B9,'[2]5월누계'!$F$6:$CP$99,16,),)/1000</f>
        <v>-166.68608000000074</v>
      </c>
      <c r="V9" s="42">
        <f t="shared" si="5"/>
        <v>-154.5848054185978</v>
      </c>
      <c r="W9" s="43">
        <f>+IFERROR(HLOOKUP($B9,'[3]5월누계'!$F$6:$CC$57,16,),)/1000</f>
        <v>-341.58586599999984</v>
      </c>
      <c r="X9" s="44">
        <f t="shared" si="6"/>
        <v>174.8997859999991</v>
      </c>
      <c r="Y9" s="40">
        <f>+[15]파주!$Q$85</f>
        <v>97358.501663768126</v>
      </c>
      <c r="Z9" s="41">
        <f>+[15]파주!$R$85</f>
        <v>100200.02222089276</v>
      </c>
      <c r="AA9" s="45">
        <f>+[16]파주!$Q$85</f>
        <v>92490.514103814377</v>
      </c>
      <c r="AB9" s="46">
        <f>+[15]파주!$Q$89</f>
        <v>80829.178590873809</v>
      </c>
      <c r="AC9" s="41">
        <f>+[15]파주!$R$89</f>
        <v>85262.69206908044</v>
      </c>
      <c r="AD9" s="47">
        <f>+[16]파주!$Q$89</f>
        <v>78587.598715802262</v>
      </c>
      <c r="AE9" s="46">
        <f t="shared" si="7"/>
        <v>16529.323072894316</v>
      </c>
      <c r="AF9" s="41">
        <f t="shared" si="7"/>
        <v>14937.330151812319</v>
      </c>
      <c r="AG9" s="47">
        <f t="shared" si="7"/>
        <v>13902.915388012116</v>
      </c>
      <c r="AH9" s="15"/>
      <c r="AI9" s="16"/>
      <c r="AJ9" s="453"/>
      <c r="AK9" s="457"/>
      <c r="AO9"/>
      <c r="AP9"/>
      <c r="AQ9"/>
      <c r="AR9"/>
      <c r="AS9"/>
    </row>
    <row r="10" spans="1:45" s="6" customFormat="1" ht="22.5" customHeight="1" x14ac:dyDescent="0.3">
      <c r="B10" s="6" t="s">
        <v>107</v>
      </c>
      <c r="G10" s="306" t="str">
        <f t="shared" si="1"/>
        <v>김포</v>
      </c>
      <c r="H10" s="69"/>
      <c r="I10" s="70" t="s">
        <v>106</v>
      </c>
      <c r="J10" s="40">
        <f>+IFERROR(HLOOKUP($B10,'[1]5월누계'!$D$6:$BN$259,2,),)/1000</f>
        <v>59</v>
      </c>
      <c r="K10" s="41">
        <f>+IFERROR(HLOOKUP($B10,'[2]5월누계'!$F$6:$CP$99,2,),)/1000</f>
        <v>61.465000000000003</v>
      </c>
      <c r="L10" s="42">
        <f t="shared" si="0"/>
        <v>2.4650000000000034</v>
      </c>
      <c r="M10" s="43">
        <f>+IFERROR(HLOOKUP($B10,'[3]5월누계'!$F$6:$CC$57,2,),)/1000</f>
        <v>47.865499999999997</v>
      </c>
      <c r="N10" s="44">
        <f t="shared" si="2"/>
        <v>13.599500000000006</v>
      </c>
      <c r="O10" s="40">
        <f>+IFERROR(HLOOKUP($B10,'[1]5월누계'!$D$6:$BN$259,3,),)/1000</f>
        <v>5797.2852074999992</v>
      </c>
      <c r="P10" s="41">
        <f>+IFERROR(HLOOKUP($B10,'[2]5월누계'!$F$6:$CP$99,3,),)/1000</f>
        <v>5977.5079539999997</v>
      </c>
      <c r="Q10" s="42">
        <f t="shared" si="3"/>
        <v>180.22274650000054</v>
      </c>
      <c r="R10" s="43">
        <f>+IFERROR(HLOOKUP($B10,'[3]5월누계'!$F$6:$CC$57,3,),)/1000</f>
        <v>4562.9621189999998</v>
      </c>
      <c r="S10" s="44">
        <f t="shared" si="4"/>
        <v>1414.5458349999999</v>
      </c>
      <c r="T10" s="40">
        <f>+IFERROR(HLOOKUP($B10,'[1]5월누계'!$D$6:$BN$259,16,),)/1000</f>
        <v>136.83470280014953</v>
      </c>
      <c r="U10" s="41">
        <f>+IFERROR(HLOOKUP($B10,'[2]5월누계'!$F$6:$CP$99,16,),)/1000</f>
        <v>-28.492610000000088</v>
      </c>
      <c r="V10" s="42">
        <f t="shared" si="5"/>
        <v>-165.32731280014963</v>
      </c>
      <c r="W10" s="43">
        <f>+IFERROR(HLOOKUP($B10,'[3]5월누계'!$F$6:$CC$57,16,),)/1000</f>
        <v>-19.549577999999791</v>
      </c>
      <c r="X10" s="44">
        <f t="shared" si="6"/>
        <v>-8.9430320000002972</v>
      </c>
      <c r="Y10" s="40">
        <f>+[15]김포!$Q$85</f>
        <v>98259.071313559311</v>
      </c>
      <c r="Z10" s="41">
        <f>+[15]김포!$R$85</f>
        <v>97320.386508210475</v>
      </c>
      <c r="AA10" s="45">
        <f>+[16]김포!$Q$85</f>
        <v>95383.144771183113</v>
      </c>
      <c r="AB10" s="46">
        <f>+[15]김포!$Q$89</f>
        <v>79742.900130505936</v>
      </c>
      <c r="AC10" s="41">
        <f>+[15]김포!$R$89</f>
        <v>82321.261092234214</v>
      </c>
      <c r="AD10" s="47">
        <f>+[16]김포!$Q$89</f>
        <v>78207.018683001545</v>
      </c>
      <c r="AE10" s="46">
        <f t="shared" si="7"/>
        <v>18516.171183053375</v>
      </c>
      <c r="AF10" s="41">
        <f t="shared" si="7"/>
        <v>14999.125415976261</v>
      </c>
      <c r="AG10" s="47">
        <f t="shared" si="7"/>
        <v>17176.126088181569</v>
      </c>
      <c r="AH10" s="15"/>
      <c r="AI10" s="16"/>
      <c r="AJ10" s="453"/>
      <c r="AK10" s="457"/>
      <c r="AO10"/>
      <c r="AP10"/>
      <c r="AQ10"/>
      <c r="AR10"/>
      <c r="AS10"/>
    </row>
    <row r="11" spans="1:45" s="6" customFormat="1" ht="22.5" customHeight="1" x14ac:dyDescent="0.3">
      <c r="B11" s="6" t="s">
        <v>21</v>
      </c>
      <c r="G11" s="304" t="str">
        <f t="shared" si="1"/>
        <v>부산</v>
      </c>
      <c r="H11" s="69"/>
      <c r="I11" s="71" t="s">
        <v>21</v>
      </c>
      <c r="J11" s="57">
        <f>+IFERROR(HLOOKUP($B11,'[1]5월누계'!$D$6:$BN$259,2,),)/1000</f>
        <v>94</v>
      </c>
      <c r="K11" s="58">
        <f>+IFERROR(HLOOKUP($B11,'[2]5월누계'!$F$6:$CP$99,2,),)/1000</f>
        <v>96.856999999999999</v>
      </c>
      <c r="L11" s="59">
        <f t="shared" si="0"/>
        <v>2.8569999999999993</v>
      </c>
      <c r="M11" s="60">
        <f>+IFERROR(HLOOKUP($B11,'[3]5월누계'!$F$6:$CC$57,2,),)/1000</f>
        <v>95.626000000000005</v>
      </c>
      <c r="N11" s="61">
        <f t="shared" si="2"/>
        <v>1.2309999999999945</v>
      </c>
      <c r="O11" s="57">
        <f>+IFERROR(HLOOKUP($B11,'[1]5월누계'!$D$6:$BN$259,3,),)/1000</f>
        <v>10201.973911200001</v>
      </c>
      <c r="P11" s="58">
        <f>+IFERROR(HLOOKUP($B11,'[2]5월누계'!$F$6:$CP$99,3,),)/1000</f>
        <v>11359.488148</v>
      </c>
      <c r="Q11" s="59">
        <f t="shared" si="3"/>
        <v>1157.5142367999997</v>
      </c>
      <c r="R11" s="60">
        <f>+IFERROR(HLOOKUP($B11,'[3]5월누계'!$F$6:$CC$57,3,),)/1000</f>
        <v>10214.984119999999</v>
      </c>
      <c r="S11" s="61">
        <f t="shared" si="4"/>
        <v>1144.5040280000012</v>
      </c>
      <c r="T11" s="57">
        <f>+IFERROR(HLOOKUP($B11,'[1]5월누계'!$D$6:$BN$259,16,),)/1000</f>
        <v>853.56490293706099</v>
      </c>
      <c r="U11" s="58">
        <f>+IFERROR(HLOOKUP($B11,'[2]5월누계'!$F$6:$CP$99,16,),)/1000</f>
        <v>1096.3584089999995</v>
      </c>
      <c r="V11" s="59">
        <f t="shared" si="5"/>
        <v>242.79350606293849</v>
      </c>
      <c r="W11" s="60">
        <f>+IFERROR(HLOOKUP($B11,'[3]5월누계'!$F$6:$CC$57,16,),)/1000</f>
        <v>984.20983199999876</v>
      </c>
      <c r="X11" s="61">
        <f t="shared" si="6"/>
        <v>112.14857700000073</v>
      </c>
      <c r="Y11" s="57">
        <f>+[15]부산!$Q$85</f>
        <v>108531.63735319149</v>
      </c>
      <c r="Z11" s="58">
        <f>+[15]부산!$R$85</f>
        <v>117281.02406640719</v>
      </c>
      <c r="AA11" s="62">
        <f>+[16]부산!$Q$85</f>
        <v>106822.24625101959</v>
      </c>
      <c r="AB11" s="63">
        <f>+[15]부산!$Q$89</f>
        <v>85150.337966449704</v>
      </c>
      <c r="AC11" s="58">
        <f>+[15]부산!$R$89</f>
        <v>92254.810589097237</v>
      </c>
      <c r="AD11" s="64">
        <f>+[16]부산!$Q$89</f>
        <v>83688.464433791814</v>
      </c>
      <c r="AE11" s="63">
        <f t="shared" si="7"/>
        <v>23381.299386741783</v>
      </c>
      <c r="AF11" s="58">
        <f t="shared" si="7"/>
        <v>25026.213477309953</v>
      </c>
      <c r="AG11" s="64">
        <f t="shared" si="7"/>
        <v>23133.781817227777</v>
      </c>
      <c r="AH11" s="15"/>
      <c r="AI11" s="16"/>
      <c r="AJ11" s="459"/>
      <c r="AK11" s="453"/>
      <c r="AL11" s="457"/>
      <c r="AM11" s="81"/>
      <c r="AO11"/>
      <c r="AP11"/>
      <c r="AQ11"/>
      <c r="AR11"/>
      <c r="AS11"/>
    </row>
    <row r="12" spans="1:45" s="6" customFormat="1" ht="22.5" customHeight="1" x14ac:dyDescent="0.3">
      <c r="B12" s="6" t="s">
        <v>22</v>
      </c>
      <c r="G12" s="304" t="str">
        <f t="shared" si="1"/>
        <v>서부산</v>
      </c>
      <c r="H12" s="69"/>
      <c r="I12" s="70" t="s">
        <v>22</v>
      </c>
      <c r="J12" s="40">
        <f>+IFERROR(HLOOKUP($B12,'[1]5월누계'!$D$6:$BN$259,2,),)/1000</f>
        <v>95</v>
      </c>
      <c r="K12" s="41">
        <f>+IFERROR(HLOOKUP($B12,'[2]5월누계'!$F$6:$CP$99,2,),)/1000</f>
        <v>90.132999999999996</v>
      </c>
      <c r="L12" s="42">
        <f t="shared" si="0"/>
        <v>-4.8670000000000044</v>
      </c>
      <c r="M12" s="43">
        <f>+IFERROR(HLOOKUP($B12,'[3]5월누계'!$F$6:$CC$57,2,),)/1000</f>
        <v>84.37</v>
      </c>
      <c r="N12" s="44">
        <f t="shared" si="2"/>
        <v>5.762999999999991</v>
      </c>
      <c r="O12" s="40">
        <f>+IFERROR(HLOOKUP($B12,'[1]5월누계'!$D$6:$BN$259,3,),)/1000</f>
        <v>9748.0675074799983</v>
      </c>
      <c r="P12" s="41">
        <f>+IFERROR(HLOOKUP($B12,'[2]5월누계'!$F$6:$CP$99,3,),)/1000</f>
        <v>9307.8497899999984</v>
      </c>
      <c r="Q12" s="42">
        <f t="shared" si="3"/>
        <v>-440.21771747999992</v>
      </c>
      <c r="R12" s="43">
        <f>+IFERROR(HLOOKUP($B12,'[3]5월누계'!$F$6:$CC$57,3,),)/1000</f>
        <v>8159.0700179999994</v>
      </c>
      <c r="S12" s="44">
        <f t="shared" si="4"/>
        <v>1148.779771999999</v>
      </c>
      <c r="T12" s="40">
        <f>+IFERROR(HLOOKUP($B12,'[1]5월누계'!$D$6:$BN$259,16,),)/1000</f>
        <v>1228.2769813409634</v>
      </c>
      <c r="U12" s="41">
        <f>+IFERROR(HLOOKUP($B12,'[2]5월누계'!$F$6:$CP$99,16,),)/1000</f>
        <v>774.01666299999908</v>
      </c>
      <c r="V12" s="42">
        <f t="shared" si="5"/>
        <v>-454.26031834096432</v>
      </c>
      <c r="W12" s="43">
        <f>+IFERROR(HLOOKUP($B12,'[3]5월누계'!$F$6:$CC$57,16,),)/1000</f>
        <v>503.89406999999835</v>
      </c>
      <c r="X12" s="44">
        <f t="shared" si="6"/>
        <v>270.12259300000073</v>
      </c>
      <c r="Y12" s="40">
        <f>+[15]서부산!$Q$85</f>
        <v>102611.2369208421</v>
      </c>
      <c r="Z12" s="41">
        <f>+[15]서부산!$R$85</f>
        <v>103265.77823882483</v>
      </c>
      <c r="AA12" s="45">
        <f>+[16]서부산!$Q$85</f>
        <v>96774.728248655098</v>
      </c>
      <c r="AB12" s="46">
        <f>+[15]서부산!$Q$89</f>
        <v>77845.324617837789</v>
      </c>
      <c r="AC12" s="41">
        <f>+[15]서부산!$R$89</f>
        <v>81468.077391342769</v>
      </c>
      <c r="AD12" s="47">
        <f>+[16]서부산!$Q$89</f>
        <v>77306.215613258188</v>
      </c>
      <c r="AE12" s="46">
        <f t="shared" si="7"/>
        <v>24765.912303004312</v>
      </c>
      <c r="AF12" s="41">
        <f t="shared" si="7"/>
        <v>21797.700847482061</v>
      </c>
      <c r="AG12" s="47">
        <f t="shared" si="7"/>
        <v>19468.51263539691</v>
      </c>
      <c r="AH12" s="15"/>
      <c r="AI12" s="16"/>
      <c r="AJ12" s="453"/>
      <c r="AK12" s="457"/>
      <c r="AO12"/>
      <c r="AP12"/>
      <c r="AQ12"/>
      <c r="AR12"/>
      <c r="AS12"/>
    </row>
    <row r="13" spans="1:45" s="6" customFormat="1" ht="22.5" customHeight="1" x14ac:dyDescent="0.3">
      <c r="B13" s="6" t="s">
        <v>23</v>
      </c>
      <c r="G13" s="304" t="str">
        <f t="shared" si="1"/>
        <v>김해</v>
      </c>
      <c r="H13" s="69"/>
      <c r="I13" s="70" t="s">
        <v>23</v>
      </c>
      <c r="J13" s="40">
        <f>+IFERROR(HLOOKUP($B13,'[1]5월누계'!$D$6:$BN$259,2,),)/1000</f>
        <v>43</v>
      </c>
      <c r="K13" s="41">
        <f>+IFERROR(HLOOKUP($B13,'[2]5월누계'!$F$6:$CP$99,2,),)/1000</f>
        <v>28.9055</v>
      </c>
      <c r="L13" s="42">
        <f t="shared" si="0"/>
        <v>-14.0945</v>
      </c>
      <c r="M13" s="43">
        <f>+IFERROR(HLOOKUP($B13,'[3]5월누계'!$F$6:$CC$57,2,),)/1000</f>
        <v>42.402999999999999</v>
      </c>
      <c r="N13" s="44">
        <f t="shared" si="2"/>
        <v>-13.497499999999999</v>
      </c>
      <c r="O13" s="40">
        <f>+IFERROR(HLOOKUP($B13,'[1]5월누계'!$D$6:$BN$259,3,),)/1000</f>
        <v>4283.0196611599995</v>
      </c>
      <c r="P13" s="41">
        <f>+IFERROR(HLOOKUP($B13,'[2]5월누계'!$F$6:$CP$99,3,),)/1000</f>
        <v>2830.5239500000002</v>
      </c>
      <c r="Q13" s="42">
        <f t="shared" si="3"/>
        <v>-1452.4957111599992</v>
      </c>
      <c r="R13" s="43">
        <f>+IFERROR(HLOOKUP($B13,'[3]5월누계'!$F$6:$CC$57,3,),)/1000</f>
        <v>3813.6947</v>
      </c>
      <c r="S13" s="44">
        <f t="shared" si="4"/>
        <v>-983.17074999999977</v>
      </c>
      <c r="T13" s="40">
        <f>+IFERROR(HLOOKUP($B13,'[1]5월누계'!$D$6:$BN$259,16,),)/1000</f>
        <v>158.77152248587703</v>
      </c>
      <c r="U13" s="41">
        <f>+IFERROR(HLOOKUP($B13,'[2]5월누계'!$F$6:$CP$99,16,),)/1000</f>
        <v>-147.49573199999986</v>
      </c>
      <c r="V13" s="42">
        <f t="shared" si="5"/>
        <v>-306.26725448587689</v>
      </c>
      <c r="W13" s="43">
        <f>+IFERROR(HLOOKUP($B13,'[3]5월누계'!$F$6:$CC$57,16,),)/1000</f>
        <v>-176.44743000000005</v>
      </c>
      <c r="X13" s="44">
        <f t="shared" si="6"/>
        <v>28.951698000000192</v>
      </c>
      <c r="Y13" s="40">
        <f>+[15]김해!$Q$85</f>
        <v>99605.108399069766</v>
      </c>
      <c r="Z13" s="41">
        <f>+[15]김해!$R$85</f>
        <v>97923.369254986086</v>
      </c>
      <c r="AA13" s="45">
        <f>+[16]김해!$Q$85</f>
        <v>89944.964603246495</v>
      </c>
      <c r="AB13" s="46">
        <f>+[15]김해!$Q$89</f>
        <v>78926.307633248318</v>
      </c>
      <c r="AC13" s="41">
        <f>+[15]김해!$R$89</f>
        <v>78977.136012177623</v>
      </c>
      <c r="AD13" s="47">
        <f>+[16]김해!$Q$89</f>
        <v>76862.834123900553</v>
      </c>
      <c r="AE13" s="46">
        <f t="shared" si="7"/>
        <v>20678.800765821448</v>
      </c>
      <c r="AF13" s="41">
        <f t="shared" si="7"/>
        <v>18946.233242808463</v>
      </c>
      <c r="AG13" s="47">
        <f t="shared" si="7"/>
        <v>13082.130479345942</v>
      </c>
      <c r="AH13" s="15"/>
      <c r="AI13" s="16"/>
      <c r="AJ13" s="453"/>
      <c r="AK13" s="457"/>
      <c r="AO13"/>
      <c r="AP13"/>
      <c r="AQ13"/>
      <c r="AR13"/>
      <c r="AS13"/>
    </row>
    <row r="14" spans="1:45" s="6" customFormat="1" ht="22.5" customHeight="1" x14ac:dyDescent="0.3">
      <c r="B14" s="6" t="s">
        <v>24</v>
      </c>
      <c r="G14" s="304" t="str">
        <f t="shared" si="1"/>
        <v>정관</v>
      </c>
      <c r="H14" s="69"/>
      <c r="I14" s="70" t="s">
        <v>24</v>
      </c>
      <c r="J14" s="40">
        <f>+IFERROR(HLOOKUP($B14,'[1]5월누계'!$D$6:$BN$259,2,),)/1000</f>
        <v>102</v>
      </c>
      <c r="K14" s="41">
        <f>+IFERROR(HLOOKUP($B14,'[2]5월누계'!$F$6:$CP$99,2,),)/1000</f>
        <v>66.691999999999993</v>
      </c>
      <c r="L14" s="42">
        <f t="shared" si="0"/>
        <v>-35.308000000000007</v>
      </c>
      <c r="M14" s="43">
        <f>+IFERROR(HLOOKUP($B14,'[3]5월누계'!$F$6:$CC$57,2,),)/1000</f>
        <v>101.41</v>
      </c>
      <c r="N14" s="44">
        <f t="shared" si="2"/>
        <v>-34.718000000000004</v>
      </c>
      <c r="O14" s="40">
        <f>+IFERROR(HLOOKUP($B14,'[1]5월누계'!$D$6:$BN$259,3,),)/1000</f>
        <v>10591.01713801</v>
      </c>
      <c r="P14" s="41">
        <f>+IFERROR(HLOOKUP($B14,'[2]5월누계'!$F$6:$CP$99,3,),)/1000</f>
        <v>6990.2536800000007</v>
      </c>
      <c r="Q14" s="42">
        <f t="shared" si="3"/>
        <v>-3600.7634580099993</v>
      </c>
      <c r="R14" s="43">
        <f>+IFERROR(HLOOKUP($B14,'[3]5월누계'!$F$6:$CC$57,3,),)/1000</f>
        <v>10216.991789999998</v>
      </c>
      <c r="S14" s="44">
        <f t="shared" si="4"/>
        <v>-3226.7381099999975</v>
      </c>
      <c r="T14" s="40">
        <f>+IFERROR(HLOOKUP($B14,'[1]5월누계'!$D$6:$BN$259,16,),)/1000</f>
        <v>1023.5417090585861</v>
      </c>
      <c r="U14" s="41">
        <f>+IFERROR(HLOOKUP($B14,'[2]5월누계'!$F$6:$CP$99,16,),)/1000</f>
        <v>208.45938700000059</v>
      </c>
      <c r="V14" s="42">
        <f t="shared" si="5"/>
        <v>-815.08232205858553</v>
      </c>
      <c r="W14" s="43">
        <f>+IFERROR(HLOOKUP($B14,'[3]5월누계'!$F$6:$CC$57,16,),)/1000</f>
        <v>848.94540799999868</v>
      </c>
      <c r="X14" s="44">
        <f t="shared" si="6"/>
        <v>-640.48602099999812</v>
      </c>
      <c r="Y14" s="40">
        <f>+[15]정관!$Q$85</f>
        <v>103833.50135303923</v>
      </c>
      <c r="Z14" s="41">
        <f>+[15]정관!$R$85</f>
        <v>104813.97588916212</v>
      </c>
      <c r="AA14" s="45">
        <f>+[16]정관!$Q$85</f>
        <v>100786.5673756055</v>
      </c>
      <c r="AB14" s="46">
        <f>+[15]정관!$Q$89</f>
        <v>82749.306782748055</v>
      </c>
      <c r="AC14" s="41">
        <f>+[15]정관!$R$89</f>
        <v>84613.648566463933</v>
      </c>
      <c r="AD14" s="47">
        <f>+[16]정관!$Q$89</f>
        <v>82885.372354215957</v>
      </c>
      <c r="AE14" s="46">
        <f t="shared" si="7"/>
        <v>21084.194570291176</v>
      </c>
      <c r="AF14" s="41">
        <f t="shared" si="7"/>
        <v>20200.327322698184</v>
      </c>
      <c r="AG14" s="47">
        <f t="shared" si="7"/>
        <v>17901.195021389547</v>
      </c>
      <c r="AH14" s="15"/>
      <c r="AI14" s="16"/>
      <c r="AJ14" s="453"/>
      <c r="AK14" s="457"/>
      <c r="AO14"/>
      <c r="AP14"/>
      <c r="AQ14"/>
      <c r="AR14"/>
      <c r="AS14"/>
    </row>
    <row r="15" spans="1:45" s="6" customFormat="1" ht="22.5" customHeight="1" x14ac:dyDescent="0.3">
      <c r="B15" s="6" t="s">
        <v>25</v>
      </c>
      <c r="G15" s="304" t="str">
        <f t="shared" si="1"/>
        <v>양산</v>
      </c>
      <c r="H15" s="69"/>
      <c r="I15" s="70" t="s">
        <v>25</v>
      </c>
      <c r="J15" s="40">
        <f>+IFERROR(HLOOKUP($B15,'[1]5월누계'!$D$6:$BN$259,2,),)/1000</f>
        <v>41</v>
      </c>
      <c r="K15" s="41">
        <f>+IFERROR(HLOOKUP($B15,'[2]5월누계'!$F$6:$CP$99,2,),)/1000</f>
        <v>24.390999999999998</v>
      </c>
      <c r="L15" s="42">
        <f t="shared" si="0"/>
        <v>-16.609000000000002</v>
      </c>
      <c r="M15" s="43">
        <f>+IFERROR(HLOOKUP($B15,'[3]5월누계'!$F$6:$CC$57,2,),)/1000</f>
        <v>38.652999999999999</v>
      </c>
      <c r="N15" s="44">
        <f t="shared" si="2"/>
        <v>-14.262</v>
      </c>
      <c r="O15" s="40">
        <f>+IFERROR(HLOOKUP($B15,'[1]5월누계'!$D$6:$BN$259,3,),)/1000</f>
        <v>4080.1295829999995</v>
      </c>
      <c r="P15" s="41">
        <f>+IFERROR(HLOOKUP($B15,'[2]5월누계'!$F$6:$CP$99,3,),)/1000</f>
        <v>2465.1911</v>
      </c>
      <c r="Q15" s="42">
        <f t="shared" si="3"/>
        <v>-1614.9384829999995</v>
      </c>
      <c r="R15" s="43">
        <f>+IFERROR(HLOOKUP($B15,'[3]5월누계'!$F$6:$CC$57,3,),)/1000</f>
        <v>3607.3421469999998</v>
      </c>
      <c r="S15" s="44">
        <f t="shared" si="4"/>
        <v>-1142.1510469999998</v>
      </c>
      <c r="T15" s="40">
        <f>+IFERROR(HLOOKUP($B15,'[1]5월누계'!$D$6:$BN$259,16,),)/1000</f>
        <v>218.3606336679737</v>
      </c>
      <c r="U15" s="41">
        <f>+IFERROR(HLOOKUP($B15,'[2]5월누계'!$F$6:$CP$99,16,),)/1000</f>
        <v>-105.25103499999994</v>
      </c>
      <c r="V15" s="42">
        <f t="shared" si="5"/>
        <v>-323.61166866797362</v>
      </c>
      <c r="W15" s="43">
        <f>+IFERROR(HLOOKUP($B15,'[3]5월누계'!$F$6:$CC$57,16,),)/1000</f>
        <v>59.189077999999718</v>
      </c>
      <c r="X15" s="44">
        <f t="shared" si="6"/>
        <v>-164.44011299999966</v>
      </c>
      <c r="Y15" s="40">
        <f>+[15]양산!$Q$85</f>
        <v>99515.35568292682</v>
      </c>
      <c r="Z15" s="41">
        <f>+[15]양산!$R$85</f>
        <v>101069.70193923989</v>
      </c>
      <c r="AA15" s="45">
        <f>+[16]양산!$Q$85</f>
        <v>93326.317413913523</v>
      </c>
      <c r="AB15" s="46">
        <f>+[15]양산!$Q$89</f>
        <v>76291.716336011465</v>
      </c>
      <c r="AC15" s="41">
        <f>+[15]양산!$R$89</f>
        <v>78377.794637366242</v>
      </c>
      <c r="AD15" s="47">
        <f>+[16]양산!$Q$89</f>
        <v>73002.242271374998</v>
      </c>
      <c r="AE15" s="46">
        <f t="shared" si="7"/>
        <v>23223.639346915355</v>
      </c>
      <c r="AF15" s="41">
        <f t="shared" si="7"/>
        <v>22691.907301873653</v>
      </c>
      <c r="AG15" s="47">
        <f t="shared" si="7"/>
        <v>20324.075142538524</v>
      </c>
      <c r="AH15" s="15"/>
      <c r="AI15" s="16"/>
      <c r="AJ15" s="453"/>
      <c r="AK15" s="457"/>
      <c r="AO15"/>
      <c r="AP15"/>
      <c r="AQ15"/>
      <c r="AR15"/>
      <c r="AS15"/>
    </row>
    <row r="16" spans="1:45" s="6" customFormat="1" ht="22.5" customHeight="1" x14ac:dyDescent="0.3">
      <c r="B16" s="6" t="s">
        <v>26</v>
      </c>
      <c r="G16" s="304" t="str">
        <f t="shared" si="1"/>
        <v>창원</v>
      </c>
      <c r="H16" s="69"/>
      <c r="I16" s="70" t="s">
        <v>26</v>
      </c>
      <c r="J16" s="40">
        <f>+IFERROR(HLOOKUP($B16,'[1]5월누계'!$D$6:$BN$259,2,),)/1000</f>
        <v>55.999999999999993</v>
      </c>
      <c r="K16" s="41">
        <f>+IFERROR(HLOOKUP($B16,'[2]5월누계'!$F$6:$CP$99,2,),)/1000</f>
        <v>48.44</v>
      </c>
      <c r="L16" s="42">
        <f t="shared" si="0"/>
        <v>-7.5599999999999952</v>
      </c>
      <c r="M16" s="43">
        <f>+IFERROR(HLOOKUP($B16,'[3]5월누계'!$F$6:$CC$57,2,),)/1000</f>
        <v>52.091000000000001</v>
      </c>
      <c r="N16" s="44">
        <f t="shared" si="2"/>
        <v>-3.6510000000000034</v>
      </c>
      <c r="O16" s="40">
        <f>+IFERROR(HLOOKUP($B16,'[1]5월누계'!$D$6:$BN$259,3,),)/1000</f>
        <v>5473.2142646356297</v>
      </c>
      <c r="P16" s="41">
        <f>+IFERROR(HLOOKUP($B16,'[2]5월누계'!$F$6:$CP$99,3,),)/1000</f>
        <v>4681.4633000000003</v>
      </c>
      <c r="Q16" s="42">
        <f t="shared" si="3"/>
        <v>-791.75096463562932</v>
      </c>
      <c r="R16" s="43">
        <f>+IFERROR(HLOOKUP($B16,'[3]5월누계'!$F$6:$CC$57,3,),)/1000</f>
        <v>5125.3270300000004</v>
      </c>
      <c r="S16" s="44">
        <f t="shared" si="4"/>
        <v>-443.86373000000003</v>
      </c>
      <c r="T16" s="40">
        <f>+IFERROR(HLOOKUP($B16,'[1]5월누계'!$D$6:$BN$259,16,),)/1000</f>
        <v>237.39573048409579</v>
      </c>
      <c r="U16" s="41">
        <f>+IFERROR(HLOOKUP($B16,'[2]5월누계'!$F$6:$CP$99,16,),)/1000</f>
        <v>147.23080900000059</v>
      </c>
      <c r="V16" s="42">
        <f t="shared" si="5"/>
        <v>-90.164921484095203</v>
      </c>
      <c r="W16" s="43">
        <f>+IFERROR(HLOOKUP($B16,'[3]5월누계'!$F$6:$CC$57,16,),)/1000</f>
        <v>356.99213500000093</v>
      </c>
      <c r="X16" s="44">
        <f t="shared" si="6"/>
        <v>-209.76132600000034</v>
      </c>
      <c r="Y16" s="40">
        <f>+[15]창원!$Q$85</f>
        <v>97735.969011350549</v>
      </c>
      <c r="Z16" s="41">
        <f>+[15]창원!$R$85</f>
        <v>96644.576796036345</v>
      </c>
      <c r="AA16" s="45">
        <f>+[16]창원!$Q$85</f>
        <v>98391.795703672426</v>
      </c>
      <c r="AB16" s="46">
        <f>+[15]창원!$Q$89</f>
        <v>77605.607607864702</v>
      </c>
      <c r="AC16" s="41">
        <f>+[15]창원!$R$89</f>
        <v>74550.901197357554</v>
      </c>
      <c r="AD16" s="47">
        <f>+[16]창원!$Q$89</f>
        <v>74533.821581463213</v>
      </c>
      <c r="AE16" s="46">
        <f t="shared" si="7"/>
        <v>20130.361403485847</v>
      </c>
      <c r="AF16" s="41">
        <f t="shared" si="7"/>
        <v>22093.67559867879</v>
      </c>
      <c r="AG16" s="47">
        <f t="shared" si="7"/>
        <v>23857.974122209213</v>
      </c>
      <c r="AH16" s="15"/>
      <c r="AI16" s="16"/>
      <c r="AJ16" s="453"/>
      <c r="AK16" s="457"/>
      <c r="AO16"/>
      <c r="AP16"/>
      <c r="AQ16"/>
      <c r="AR16"/>
      <c r="AS16"/>
    </row>
    <row r="17" spans="2:45" s="6" customFormat="1" ht="22.5" customHeight="1" x14ac:dyDescent="0.3">
      <c r="B17" s="6" t="s">
        <v>69</v>
      </c>
      <c r="G17" s="304" t="str">
        <f t="shared" si="1"/>
        <v>대구</v>
      </c>
      <c r="H17" s="69"/>
      <c r="I17" s="70" t="s">
        <v>69</v>
      </c>
      <c r="J17" s="40">
        <f>+IFERROR(HLOOKUP($B17,'[1]5월누계'!$D$6:$BN$259,2,),)/1000</f>
        <v>38</v>
      </c>
      <c r="K17" s="41">
        <f>+IFERROR(HLOOKUP($B17,'[2]5월누계'!$F$6:$CP$99,2,),)/1000</f>
        <v>20.7685</v>
      </c>
      <c r="L17" s="42">
        <f t="shared" si="0"/>
        <v>-17.2315</v>
      </c>
      <c r="M17" s="43">
        <f>+IFERROR(HLOOKUP($B17,'[3]5월누계'!$F$6:$CC$57,2,),)/1000</f>
        <v>50.32</v>
      </c>
      <c r="N17" s="44">
        <f t="shared" si="2"/>
        <v>-29.551500000000001</v>
      </c>
      <c r="O17" s="40">
        <f>+IFERROR(HLOOKUP($B17,'[1]5월누계'!$D$6:$BN$259,3,),)/1000</f>
        <v>3453.3488714769996</v>
      </c>
      <c r="P17" s="41">
        <f>+IFERROR(HLOOKUP($B17,'[2]5월누계'!$F$6:$CP$99,3,),)/1000</f>
        <v>1716.5010219999999</v>
      </c>
      <c r="Q17" s="42">
        <f t="shared" si="3"/>
        <v>-1736.8478494769997</v>
      </c>
      <c r="R17" s="43">
        <f>+IFERROR(HLOOKUP($B17,'[3]5월누계'!$F$6:$CC$57,3,),)/1000</f>
        <v>4566.3285390000001</v>
      </c>
      <c r="S17" s="44">
        <f t="shared" si="4"/>
        <v>-2849.8275170000002</v>
      </c>
      <c r="T17" s="40">
        <f>+IFERROR(HLOOKUP($B17,'[1]5월누계'!$D$6:$BN$259,16,),)/1000</f>
        <v>-34.80433977591926</v>
      </c>
      <c r="U17" s="41">
        <f>+IFERROR(HLOOKUP($B17,'[2]5월누계'!$F$6:$CP$99,16,),)/1000</f>
        <v>-440.33887400000015</v>
      </c>
      <c r="V17" s="42">
        <f t="shared" si="5"/>
        <v>-405.53453422408086</v>
      </c>
      <c r="W17" s="43">
        <f>+IFERROR(HLOOKUP($B17,'[3]5월누계'!$F$6:$CC$57,16,),)/1000</f>
        <v>39.110661999999586</v>
      </c>
      <c r="X17" s="44">
        <f t="shared" si="6"/>
        <v>-479.44953599999974</v>
      </c>
      <c r="Y17" s="40">
        <f>+[15]대구!$Q$85</f>
        <v>90877.601880973671</v>
      </c>
      <c r="Z17" s="41">
        <f>+[15]대구!$R$85</f>
        <v>82649.253532994684</v>
      </c>
      <c r="AA17" s="45">
        <f>+[16]대구!$Q$85</f>
        <v>90745.797674880756</v>
      </c>
      <c r="AB17" s="46">
        <f>+[15]대구!$Q$89</f>
        <v>71580.770074956366</v>
      </c>
      <c r="AC17" s="41">
        <f>+[15]대구!$R$89</f>
        <v>69846.979030743678</v>
      </c>
      <c r="AD17" s="47">
        <f>+[16]대구!$Q$89</f>
        <v>74066.553932917785</v>
      </c>
      <c r="AE17" s="46">
        <f t="shared" si="7"/>
        <v>19296.831806017304</v>
      </c>
      <c r="AF17" s="41">
        <f t="shared" si="7"/>
        <v>12802.274502251006</v>
      </c>
      <c r="AG17" s="47">
        <f t="shared" si="7"/>
        <v>16679.243741962971</v>
      </c>
      <c r="AH17" s="15"/>
      <c r="AI17" s="16"/>
      <c r="AJ17" s="453"/>
      <c r="AK17" s="457"/>
      <c r="AO17"/>
      <c r="AP17"/>
      <c r="AQ17"/>
      <c r="AR17"/>
      <c r="AS17"/>
    </row>
    <row r="18" spans="2:45" s="6" customFormat="1" ht="22.5" customHeight="1" x14ac:dyDescent="0.3">
      <c r="B18" s="6" t="s">
        <v>70</v>
      </c>
      <c r="G18" s="306" t="str">
        <f t="shared" si="1"/>
        <v>울산</v>
      </c>
      <c r="H18" s="69"/>
      <c r="I18" s="72" t="s">
        <v>70</v>
      </c>
      <c r="J18" s="7">
        <f>+IFERROR(HLOOKUP($B18,'[1]5월누계'!$D$6:$BN$259,2,),)/1000</f>
        <v>48</v>
      </c>
      <c r="K18" s="8">
        <f>+IFERROR(HLOOKUP($B18,'[2]5월누계'!$F$6:$CP$99,2,),)/1000</f>
        <v>56.661999999999999</v>
      </c>
      <c r="L18" s="9">
        <f t="shared" si="0"/>
        <v>8.661999999999999</v>
      </c>
      <c r="M18" s="10">
        <f>+IFERROR(HLOOKUP($B18,'[3]5월누계'!$F$6:$CC$57,2,),)/1000</f>
        <v>56.235999999999997</v>
      </c>
      <c r="N18" s="11">
        <f t="shared" si="2"/>
        <v>0.42600000000000193</v>
      </c>
      <c r="O18" s="7">
        <f>+IFERROR(HLOOKUP($B18,'[1]5월누계'!$D$6:$BN$259,3,),)/1000</f>
        <v>4997.7496489999994</v>
      </c>
      <c r="P18" s="8">
        <f>+IFERROR(HLOOKUP($B18,'[2]5월누계'!$F$6:$CP$99,3,),)/1000</f>
        <v>6006.4718000000003</v>
      </c>
      <c r="Q18" s="9">
        <f t="shared" si="3"/>
        <v>1008.7221510000008</v>
      </c>
      <c r="R18" s="10">
        <f>+IFERROR(HLOOKUP($B18,'[3]5월누계'!$F$6:$CC$57,3,),)/1000</f>
        <v>5914.3216999999995</v>
      </c>
      <c r="S18" s="11">
        <f t="shared" si="4"/>
        <v>92.150100000000748</v>
      </c>
      <c r="T18" s="7">
        <f>+IFERROR(HLOOKUP($B18,'[1]5월누계'!$D$6:$BN$259,16,),)/1000</f>
        <v>152.50538626163095</v>
      </c>
      <c r="U18" s="8">
        <f>+IFERROR(HLOOKUP($B18,'[2]5월누계'!$F$6:$CP$99,16,),)/1000</f>
        <v>334.07673100000028</v>
      </c>
      <c r="V18" s="9">
        <f t="shared" si="5"/>
        <v>181.57134473836933</v>
      </c>
      <c r="W18" s="10">
        <f>+IFERROR(HLOOKUP($B18,'[3]5월누계'!$F$6:$CC$57,16,),)/1000</f>
        <v>530.6805789999994</v>
      </c>
      <c r="X18" s="11">
        <f t="shared" si="6"/>
        <v>-196.60384799999912</v>
      </c>
      <c r="Y18" s="7">
        <f>+[15]울산!$Q$85</f>
        <v>104119.78435416665</v>
      </c>
      <c r="Z18" s="8">
        <f>+[15]울산!$R$85</f>
        <v>106005.29102396668</v>
      </c>
      <c r="AA18" s="12">
        <f>+[16]울산!$Q$85</f>
        <v>105169.67245181021</v>
      </c>
      <c r="AB18" s="13">
        <f>+[15]울산!$Q$89</f>
        <v>84679.655346429616</v>
      </c>
      <c r="AC18" s="8">
        <f>+[15]울산!$R$89</f>
        <v>86228.9851771002</v>
      </c>
      <c r="AD18" s="14">
        <f>+[16]울산!$Q$89</f>
        <v>83117.167543173899</v>
      </c>
      <c r="AE18" s="13">
        <f t="shared" si="7"/>
        <v>19440.129007737036</v>
      </c>
      <c r="AF18" s="8">
        <f t="shared" si="7"/>
        <v>19776.305846866482</v>
      </c>
      <c r="AG18" s="14">
        <f t="shared" si="7"/>
        <v>22052.504908636314</v>
      </c>
      <c r="AH18" s="15"/>
      <c r="AI18" s="16"/>
      <c r="AJ18" s="453"/>
      <c r="AK18" s="457"/>
      <c r="AO18"/>
      <c r="AP18"/>
      <c r="AQ18"/>
      <c r="AR18"/>
      <c r="AS18"/>
    </row>
    <row r="19" spans="2:45" s="6" customFormat="1" ht="22.5" customHeight="1" x14ac:dyDescent="0.3">
      <c r="B19" s="6" t="s">
        <v>75</v>
      </c>
      <c r="G19" s="306" t="str">
        <f t="shared" si="1"/>
        <v>아산</v>
      </c>
      <c r="H19" s="69"/>
      <c r="I19" s="70" t="s">
        <v>27</v>
      </c>
      <c r="J19" s="40">
        <f>+IFERROR(HLOOKUP($B19,'[1]5월누계'!$D$6:$BN$259,2,),)/1000</f>
        <v>87</v>
      </c>
      <c r="K19" s="41">
        <f>+IFERROR(HLOOKUP($B19,'[2]5월누계'!$F$6:$CP$99,2,),)/1000</f>
        <v>95.143000000000001</v>
      </c>
      <c r="L19" s="42">
        <f t="shared" si="0"/>
        <v>8.1430000000000007</v>
      </c>
      <c r="M19" s="43">
        <f>+IFERROR(HLOOKUP($B19,'[3]5월누계'!$F$6:$CC$57,2,),)/1000</f>
        <v>103.98399999999999</v>
      </c>
      <c r="N19" s="44">
        <f t="shared" si="2"/>
        <v>-8.840999999999994</v>
      </c>
      <c r="O19" s="40">
        <f>+IFERROR(HLOOKUP($B19,'[1]5월누계'!$D$6:$BN$259,3,),)/1000</f>
        <v>8553.7302400000008</v>
      </c>
      <c r="P19" s="41">
        <f>+IFERROR(HLOOKUP($B19,'[2]5월누계'!$F$6:$CP$99,3,),)/1000</f>
        <v>9590.9889860000003</v>
      </c>
      <c r="Q19" s="42">
        <f t="shared" si="3"/>
        <v>1037.2587459999995</v>
      </c>
      <c r="R19" s="43">
        <f>+IFERROR(HLOOKUP($B19,'[3]5월누계'!$F$6:$CC$57,3,),)/1000</f>
        <v>10256.040051000002</v>
      </c>
      <c r="S19" s="44">
        <f t="shared" si="4"/>
        <v>-665.05106500000147</v>
      </c>
      <c r="T19" s="40">
        <f>+IFERROR(HLOOKUP($B19,'[1]5월누계'!$D$6:$BN$259,16,),)/1000</f>
        <v>402.96917988395558</v>
      </c>
      <c r="U19" s="41">
        <f>+IFERROR(HLOOKUP($B19,'[2]5월누계'!$F$6:$CP$99,16,),)/1000</f>
        <v>320.02432900000053</v>
      </c>
      <c r="V19" s="42">
        <f t="shared" si="5"/>
        <v>-82.944850883955041</v>
      </c>
      <c r="W19" s="43">
        <f>+IFERROR(HLOOKUP($B19,'[3]5월누계'!$F$6:$CC$57,16,),)/1000</f>
        <v>494.22788900000074</v>
      </c>
      <c r="X19" s="44">
        <f t="shared" si="6"/>
        <v>-174.20356000000021</v>
      </c>
      <c r="Y19" s="40">
        <f>+[15]아산!$Q$85</f>
        <v>98318.738390804603</v>
      </c>
      <c r="Z19" s="41">
        <f>+[15]아산!$R$85</f>
        <v>100806.03918312435</v>
      </c>
      <c r="AA19" s="45">
        <f>+[16]아산!$Q$85</f>
        <v>98612.641822524427</v>
      </c>
      <c r="AB19" s="46">
        <f>+[15]아산!$Q$89</f>
        <v>79213.431119149944</v>
      </c>
      <c r="AC19" s="41">
        <f>+[15]아산!$R$89</f>
        <v>84093.026796499966</v>
      </c>
      <c r="AD19" s="47">
        <f>+[16]아산!$Q$89</f>
        <v>82304.015130832675</v>
      </c>
      <c r="AE19" s="46">
        <f t="shared" si="7"/>
        <v>19105.307271654659</v>
      </c>
      <c r="AF19" s="41">
        <f t="shared" si="7"/>
        <v>16713.012386624381</v>
      </c>
      <c r="AG19" s="47">
        <f t="shared" si="7"/>
        <v>16308.626691691752</v>
      </c>
      <c r="AH19" s="15"/>
      <c r="AI19" s="16"/>
      <c r="AJ19" s="453"/>
      <c r="AK19" s="457"/>
      <c r="AO19"/>
      <c r="AP19"/>
      <c r="AQ19"/>
      <c r="AR19"/>
      <c r="AS19"/>
    </row>
    <row r="20" spans="2:45" s="6" customFormat="1" ht="22.5" customHeight="1" x14ac:dyDescent="0.3">
      <c r="B20" s="6" t="s">
        <v>71</v>
      </c>
      <c r="G20" s="306" t="str">
        <f t="shared" si="1"/>
        <v>전주</v>
      </c>
      <c r="H20" s="69"/>
      <c r="I20" s="70" t="s">
        <v>71</v>
      </c>
      <c r="J20" s="40">
        <f>+IFERROR(HLOOKUP($B20,'[1]5월누계'!$D$6:$BN$259,2,),)/1000</f>
        <v>44</v>
      </c>
      <c r="K20" s="41">
        <f>+IFERROR(HLOOKUP($B20,'[2]5월누계'!$F$6:$CP$99,2,),)/1000</f>
        <v>52.511499999999998</v>
      </c>
      <c r="L20" s="42">
        <f t="shared" si="0"/>
        <v>8.5114999999999981</v>
      </c>
      <c r="M20" s="43">
        <f>+IFERROR(HLOOKUP($B20,'[3]5월누계'!$F$6:$CC$57,2,),)/1000</f>
        <v>73.985500000000002</v>
      </c>
      <c r="N20" s="44">
        <f t="shared" si="2"/>
        <v>-21.474000000000004</v>
      </c>
      <c r="O20" s="40">
        <f>+IFERROR(HLOOKUP($B20,'[1]5월누계'!$D$6:$BN$259,3,),)/1000</f>
        <v>4493.4220500000001</v>
      </c>
      <c r="P20" s="41">
        <f>+IFERROR(HLOOKUP($B20,'[2]5월누계'!$F$6:$CP$99,3,),)/1000</f>
        <v>5166.8149940000003</v>
      </c>
      <c r="Q20" s="42">
        <f t="shared" si="3"/>
        <v>673.39294400000017</v>
      </c>
      <c r="R20" s="43">
        <f>+IFERROR(HLOOKUP($B20,'[3]5월누계'!$F$6:$CC$57,3,),)/1000</f>
        <v>7180.4840960000001</v>
      </c>
      <c r="S20" s="44">
        <f t="shared" si="4"/>
        <v>-2013.6691019999998</v>
      </c>
      <c r="T20" s="40">
        <f>+IFERROR(HLOOKUP($B20,'[1]5월누계'!$D$6:$BN$259,16,),)/1000</f>
        <v>283.9477839684339</v>
      </c>
      <c r="U20" s="41">
        <f>+IFERROR(HLOOKUP($B20,'[2]5월누계'!$F$6:$CP$99,16,),)/1000</f>
        <v>130.07042099999967</v>
      </c>
      <c r="V20" s="42">
        <f t="shared" si="5"/>
        <v>-153.87736296843423</v>
      </c>
      <c r="W20" s="43">
        <f>+IFERROR(HLOOKUP($B20,'[3]5월누계'!$F$6:$CC$57,16,),)/1000</f>
        <v>851.34750800000018</v>
      </c>
      <c r="X20" s="44">
        <f t="shared" si="6"/>
        <v>-721.27708700000051</v>
      </c>
      <c r="Y20" s="40">
        <f>+[15]전주!$Q$85</f>
        <v>102123.22840909089</v>
      </c>
      <c r="Z20" s="41">
        <f>+[15]전주!$R$85</f>
        <v>98401.822000705215</v>
      </c>
      <c r="AA20" s="45">
        <f>+[16]전주!$Q$85</f>
        <v>97053.955432282513</v>
      </c>
      <c r="AB20" s="46">
        <f>+[15]전주!$Q$89</f>
        <v>77432.237467889121</v>
      </c>
      <c r="AC20" s="41">
        <f>+[15]전주!$R$89</f>
        <v>80679.06893299162</v>
      </c>
      <c r="AD20" s="47">
        <f>+[16]전주!$Q$89</f>
        <v>75113.770920106006</v>
      </c>
      <c r="AE20" s="46">
        <f t="shared" si="7"/>
        <v>24690.990941201773</v>
      </c>
      <c r="AF20" s="41">
        <f t="shared" si="7"/>
        <v>17722.753067713595</v>
      </c>
      <c r="AG20" s="47">
        <f t="shared" si="7"/>
        <v>21940.184512176507</v>
      </c>
      <c r="AH20" s="15"/>
      <c r="AI20" s="16"/>
      <c r="AJ20" s="453"/>
      <c r="AK20" s="457"/>
      <c r="AO20"/>
      <c r="AP20"/>
      <c r="AQ20"/>
      <c r="AR20"/>
      <c r="AS20"/>
    </row>
    <row r="21" spans="2:45" s="6" customFormat="1" ht="22.5" customHeight="1" x14ac:dyDescent="0.3">
      <c r="B21" s="6" t="s">
        <v>72</v>
      </c>
      <c r="G21" s="306" t="str">
        <f t="shared" si="1"/>
        <v>군산</v>
      </c>
      <c r="H21" s="69"/>
      <c r="I21" s="70" t="s">
        <v>72</v>
      </c>
      <c r="J21" s="40">
        <f>+IFERROR(HLOOKUP($B21,'[1]5월누계'!$D$6:$BN$259,2,),)/1000</f>
        <v>19.5</v>
      </c>
      <c r="K21" s="41">
        <f>+IFERROR(HLOOKUP($B21,'[2]5월누계'!$F$6:$CP$99,2,),)/1000</f>
        <v>18.222999999999999</v>
      </c>
      <c r="L21" s="42">
        <f t="shared" si="0"/>
        <v>-1.277000000000001</v>
      </c>
      <c r="M21" s="43">
        <f>+IFERROR(HLOOKUP($B21,'[3]5월누계'!$F$6:$CC$57,2,),)/1000</f>
        <v>25.233000000000001</v>
      </c>
      <c r="N21" s="44">
        <f t="shared" si="2"/>
        <v>-7.0100000000000016</v>
      </c>
      <c r="O21" s="40">
        <f>+IFERROR(HLOOKUP($B21,'[1]5월누계'!$D$6:$BN$259,3,),)/1000</f>
        <v>2190.4066699999994</v>
      </c>
      <c r="P21" s="41">
        <f>+IFERROR(HLOOKUP($B21,'[2]5월누계'!$F$6:$CP$99,3,),)/1000</f>
        <v>2002.5910200000001</v>
      </c>
      <c r="Q21" s="42">
        <f t="shared" si="3"/>
        <v>-187.81564999999932</v>
      </c>
      <c r="R21" s="43">
        <f>+IFERROR(HLOOKUP($B21,'[3]5월누계'!$F$6:$CC$57,3,),)/1000</f>
        <v>2732.9162769999998</v>
      </c>
      <c r="S21" s="44">
        <f t="shared" si="4"/>
        <v>-730.32525699999974</v>
      </c>
      <c r="T21" s="40">
        <f>+IFERROR(HLOOKUP($B21,'[1]5월누계'!$D$6:$BN$259,16,),)/1000</f>
        <v>305.61097266509751</v>
      </c>
      <c r="U21" s="41">
        <f>+IFERROR(HLOOKUP($B21,'[2]5월누계'!$F$6:$CP$99,16,),)/1000</f>
        <v>213.43138100000004</v>
      </c>
      <c r="V21" s="42">
        <f t="shared" si="5"/>
        <v>-92.179591665097462</v>
      </c>
      <c r="W21" s="43">
        <f>+IFERROR(HLOOKUP($B21,'[3]5월누계'!$F$6:$CC$57,16,),)/1000</f>
        <v>504.23733699999946</v>
      </c>
      <c r="X21" s="44">
        <f t="shared" si="6"/>
        <v>-290.80595599999941</v>
      </c>
      <c r="Y21" s="40">
        <f>+[15]군산!$Q$85</f>
        <v>112328.54717948714</v>
      </c>
      <c r="Z21" s="41">
        <f>+[15]군산!$R$85</f>
        <v>109895.90131994183</v>
      </c>
      <c r="AA21" s="45">
        <f>+[16]군산!$Q$85</f>
        <v>108307.2277176713</v>
      </c>
      <c r="AB21" s="46">
        <f>+[15]군산!$Q$89</f>
        <v>73971.950632559077</v>
      </c>
      <c r="AC21" s="41">
        <f>+[15]군산!$R$89</f>
        <v>74600.507879086857</v>
      </c>
      <c r="AD21" s="47">
        <f>+[16]군산!$Q$89</f>
        <v>71998.920857607096</v>
      </c>
      <c r="AE21" s="46">
        <f t="shared" si="7"/>
        <v>38356.596546928064</v>
      </c>
      <c r="AF21" s="41">
        <f t="shared" si="7"/>
        <v>35295.393440854969</v>
      </c>
      <c r="AG21" s="47">
        <f t="shared" si="7"/>
        <v>36308.3068600642</v>
      </c>
      <c r="AH21" s="15"/>
      <c r="AI21" s="16"/>
      <c r="AJ21" s="453"/>
      <c r="AK21" s="457"/>
      <c r="AO21"/>
      <c r="AP21"/>
      <c r="AQ21"/>
      <c r="AR21"/>
      <c r="AS21"/>
    </row>
    <row r="22" spans="2:45" s="6" customFormat="1" ht="22.5" customHeight="1" x14ac:dyDescent="0.3">
      <c r="B22" s="6" t="s">
        <v>73</v>
      </c>
      <c r="G22" s="306" t="str">
        <f t="shared" si="1"/>
        <v>원주</v>
      </c>
      <c r="H22" s="69"/>
      <c r="I22" s="70" t="s">
        <v>73</v>
      </c>
      <c r="J22" s="40">
        <f>+IFERROR(HLOOKUP($B22,'[1]5월누계'!$D$6:$BN$259,2,),)/1000</f>
        <v>17.9998</v>
      </c>
      <c r="K22" s="41">
        <f>+IFERROR(HLOOKUP($B22,'[2]5월누계'!$F$6:$CP$99,2,),)/1000</f>
        <v>16.875</v>
      </c>
      <c r="L22" s="42">
        <f t="shared" si="0"/>
        <v>-1.1248000000000005</v>
      </c>
      <c r="M22" s="43">
        <f>+IFERROR(HLOOKUP($B22,'[3]5월누계'!$F$6:$CC$57,2,),)/1000</f>
        <v>10.1195</v>
      </c>
      <c r="N22" s="44">
        <f t="shared" si="2"/>
        <v>6.7554999999999996</v>
      </c>
      <c r="O22" s="40">
        <f>+IFERROR(HLOOKUP($B22,'[1]5월누계'!$D$6:$BN$259,3,),)/1000</f>
        <v>2025.6076273280005</v>
      </c>
      <c r="P22" s="41">
        <f>+IFERROR(HLOOKUP($B22,'[2]5월누계'!$F$6:$CP$99,3,),)/1000</f>
        <v>1998.5714599999999</v>
      </c>
      <c r="Q22" s="42">
        <f t="shared" si="3"/>
        <v>-27.036167328000602</v>
      </c>
      <c r="R22" s="43">
        <f>+IFERROR(HLOOKUP($B22,'[3]5월누계'!$F$6:$CC$57,3,),)/1000</f>
        <v>1090.991554</v>
      </c>
      <c r="S22" s="44">
        <f t="shared" si="4"/>
        <v>907.57990599999994</v>
      </c>
      <c r="T22" s="40">
        <f>+IFERROR(HLOOKUP($B22,'[1]5월누계'!$D$6:$BN$259,16,),)/1000</f>
        <v>251.57153174869057</v>
      </c>
      <c r="U22" s="41">
        <f>+IFERROR(HLOOKUP($B22,'[2]5월누계'!$F$6:$CP$99,16,),)/1000</f>
        <v>312.66811999999999</v>
      </c>
      <c r="V22" s="42">
        <f t="shared" si="5"/>
        <v>61.096588251309413</v>
      </c>
      <c r="W22" s="43">
        <f>+IFERROR(HLOOKUP($B22,'[3]5월누계'!$F$6:$CC$57,16,),)/1000</f>
        <v>-85.337920000000096</v>
      </c>
      <c r="X22" s="44">
        <f t="shared" si="6"/>
        <v>398.0060400000001</v>
      </c>
      <c r="Y22" s="40">
        <f>+[15]원주!$Q$85</f>
        <v>112535.00746274962</v>
      </c>
      <c r="Z22" s="41">
        <f>+[15]원주!$R$85</f>
        <v>118431.65940547109</v>
      </c>
      <c r="AA22" s="45">
        <f>+[16]원주!$Q$85</f>
        <v>107810.81614704285</v>
      </c>
      <c r="AB22" s="46">
        <f>+[15]원주!$Q$89</f>
        <v>72289.131499385723</v>
      </c>
      <c r="AC22" s="41">
        <f>+[15]원주!$R$89</f>
        <v>75207.289173409212</v>
      </c>
      <c r="AD22" s="47">
        <f>+[16]원주!$Q$89</f>
        <v>73545.049261327134</v>
      </c>
      <c r="AE22" s="46">
        <f t="shared" si="7"/>
        <v>40245.875963363898</v>
      </c>
      <c r="AF22" s="41">
        <f t="shared" si="7"/>
        <v>43224.370232061876</v>
      </c>
      <c r="AG22" s="47">
        <f t="shared" si="7"/>
        <v>34265.766885715711</v>
      </c>
      <c r="AH22" s="15"/>
      <c r="AI22" s="16"/>
      <c r="AJ22" s="453"/>
      <c r="AK22" s="457"/>
      <c r="AO22"/>
      <c r="AP22"/>
      <c r="AQ22"/>
      <c r="AR22"/>
      <c r="AS22"/>
    </row>
    <row r="23" spans="2:45" s="6" customFormat="1" ht="22.5" customHeight="1" x14ac:dyDescent="0.3">
      <c r="B23" s="6" t="s">
        <v>74</v>
      </c>
      <c r="F23" s="79">
        <f>+K27-J27</f>
        <v>-90.955799999999954</v>
      </c>
      <c r="G23" s="304" t="str">
        <f t="shared" si="1"/>
        <v>제주</v>
      </c>
      <c r="H23" s="69"/>
      <c r="I23" s="70" t="s">
        <v>74</v>
      </c>
      <c r="J23" s="40">
        <f>+IFERROR(HLOOKUP($B23,'[1]5월누계'!$D$6:$BN$259,2,),)/1000</f>
        <v>28</v>
      </c>
      <c r="K23" s="41">
        <f>+IFERROR(HLOOKUP($B23,'[2]5월누계'!$F$6:$CP$99,2,),)/1000</f>
        <v>20.231999999999999</v>
      </c>
      <c r="L23" s="42">
        <f t="shared" si="0"/>
        <v>-7.7680000000000007</v>
      </c>
      <c r="M23" s="43">
        <f>+IFERROR(HLOOKUP($B23,'[3]5월누계'!$F$6:$CC$57,2,),)/1000</f>
        <v>29.8445</v>
      </c>
      <c r="N23" s="44">
        <f t="shared" si="2"/>
        <v>-9.6125000000000007</v>
      </c>
      <c r="O23" s="40">
        <f>+IFERROR(HLOOKUP($B23,'[1]5월누계'!$D$6:$BN$259,3,),)/1000</f>
        <v>3410.7064400000004</v>
      </c>
      <c r="P23" s="41">
        <f>+IFERROR(HLOOKUP($B23,'[2]5월누계'!$F$6:$CP$99,3,),)/1000</f>
        <v>2594.4465190000005</v>
      </c>
      <c r="Q23" s="42">
        <f t="shared" si="3"/>
        <v>-816.25992099999985</v>
      </c>
      <c r="R23" s="43">
        <f>+IFERROR(HLOOKUP($B23,'[3]5월누계'!$F$6:$CC$57,3,),)/1000</f>
        <v>3635.7067710000001</v>
      </c>
      <c r="S23" s="44">
        <f t="shared" si="4"/>
        <v>-1041.2602519999996</v>
      </c>
      <c r="T23" s="40">
        <f>+IFERROR(HLOOKUP($B23,'[1]5월누계'!$D$6:$BN$259,16,),)/1000</f>
        <v>244.33061232963993</v>
      </c>
      <c r="U23" s="41">
        <f>+IFERROR(HLOOKUP($B23,'[2]5월누계'!$F$6:$CP$99,16,),)/1000</f>
        <v>106.67891000000051</v>
      </c>
      <c r="V23" s="42">
        <f t="shared" si="5"/>
        <v>-137.65170232963942</v>
      </c>
      <c r="W23" s="43">
        <f>+IFERROR(HLOOKUP($B23,'[3]5월누계'!$F$6:$CC$57,16,),)/1000</f>
        <v>415.79217300000005</v>
      </c>
      <c r="X23" s="44">
        <f t="shared" si="6"/>
        <v>-309.11326299999951</v>
      </c>
      <c r="Y23" s="40">
        <f>+[15]제주!$Q$85</f>
        <v>121810.9442857143</v>
      </c>
      <c r="Z23" s="41">
        <f>+[15]제주!$R$85</f>
        <v>128206.65401074839</v>
      </c>
      <c r="AA23" s="45">
        <f>+[16]제주!$Q$85</f>
        <v>121414.60366763183</v>
      </c>
      <c r="AB23" s="46">
        <f>+[15]제주!$Q$89</f>
        <v>94420.899083859564</v>
      </c>
      <c r="AC23" s="41">
        <f>+[15]제주!$R$89</f>
        <v>98827.806010249275</v>
      </c>
      <c r="AD23" s="47">
        <f>+[16]제주!$Q$89</f>
        <v>90681.271001140645</v>
      </c>
      <c r="AE23" s="46">
        <f t="shared" si="7"/>
        <v>27390.045201854737</v>
      </c>
      <c r="AF23" s="41">
        <f t="shared" si="7"/>
        <v>29378.848000499114</v>
      </c>
      <c r="AG23" s="47">
        <f t="shared" si="7"/>
        <v>30733.332666491187</v>
      </c>
      <c r="AH23" s="15"/>
      <c r="AI23" s="16"/>
      <c r="AJ23" s="453"/>
      <c r="AK23" s="457"/>
      <c r="AO23"/>
      <c r="AP23"/>
      <c r="AQ23"/>
      <c r="AR23"/>
      <c r="AS23"/>
    </row>
    <row r="24" spans="2:45" s="6" customFormat="1" ht="22.5" customHeight="1" x14ac:dyDescent="0.3">
      <c r="F24" s="463">
        <f>+K24/J24</f>
        <v>0.97066335540838855</v>
      </c>
      <c r="G24" s="307" t="str">
        <f t="shared" si="1"/>
        <v>수도권</v>
      </c>
      <c r="H24" s="69"/>
      <c r="I24" s="73" t="s">
        <v>42</v>
      </c>
      <c r="J24" s="20">
        <f>SUM(J7:J10)</f>
        <v>453</v>
      </c>
      <c r="K24" s="17">
        <f>SUM(K7:K10)</f>
        <v>439.71050000000002</v>
      </c>
      <c r="L24" s="18">
        <f t="shared" si="0"/>
        <v>-13.289499999999975</v>
      </c>
      <c r="M24" s="22">
        <f>SUM(M7:M10)</f>
        <v>410.1585</v>
      </c>
      <c r="N24" s="19">
        <f t="shared" si="2"/>
        <v>29.552000000000021</v>
      </c>
      <c r="O24" s="20">
        <f>SUM(O7:O10)</f>
        <v>44808.65850346096</v>
      </c>
      <c r="P24" s="17">
        <f>SUM(P7:P10)</f>
        <v>44206.687798999999</v>
      </c>
      <c r="Q24" s="18">
        <f t="shared" si="3"/>
        <v>-601.97070446096041</v>
      </c>
      <c r="R24" s="22">
        <f>SUM(R7:R10)</f>
        <v>39424.290813</v>
      </c>
      <c r="S24" s="19">
        <f t="shared" si="4"/>
        <v>4782.3969859999997</v>
      </c>
      <c r="T24" s="20">
        <f>SUM(T7:T10)</f>
        <v>2491.824189211331</v>
      </c>
      <c r="U24" s="17">
        <f>SUM(U7:U10)</f>
        <v>1471.9103460000003</v>
      </c>
      <c r="V24" s="18">
        <f t="shared" si="5"/>
        <v>-1019.9138432113307</v>
      </c>
      <c r="W24" s="22">
        <f>SUM(W7:W10)</f>
        <v>1051.1382890000007</v>
      </c>
      <c r="X24" s="19">
        <f t="shared" si="6"/>
        <v>420.77205699999968</v>
      </c>
      <c r="Y24" s="20">
        <f>+[15]수도권!$Q$85</f>
        <v>98915.360934792407</v>
      </c>
      <c r="Z24" s="17">
        <f>+[15]수도권!$R$85</f>
        <v>100617.1224971459</v>
      </c>
      <c r="AA24" s="21">
        <f>+[16]수도권!$Q$85</f>
        <v>96149.777100403342</v>
      </c>
      <c r="AB24" s="25">
        <f>+[15]수도권!$Q$89</f>
        <v>81550.160899680326</v>
      </c>
      <c r="AC24" s="17">
        <f>+[15]수도권!$R$89</f>
        <v>85247.699331907308</v>
      </c>
      <c r="AD24" s="26">
        <f>+[16]수도권!$Q$89</f>
        <v>81368.339317581951</v>
      </c>
      <c r="AE24" s="25">
        <f t="shared" si="7"/>
        <v>17365.200035112081</v>
      </c>
      <c r="AF24" s="17">
        <f t="shared" si="7"/>
        <v>15369.423165238593</v>
      </c>
      <c r="AG24" s="26">
        <f t="shared" si="7"/>
        <v>14781.437782821391</v>
      </c>
      <c r="AH24" s="15"/>
      <c r="AI24" s="16"/>
      <c r="AJ24" s="453"/>
      <c r="AK24" s="457"/>
      <c r="AO24"/>
      <c r="AP24"/>
      <c r="AQ24"/>
      <c r="AR24"/>
      <c r="AS24"/>
    </row>
    <row r="25" spans="2:45" s="6" customFormat="1" ht="22.5" customHeight="1" x14ac:dyDescent="0.3">
      <c r="F25" s="463">
        <f>+K25/J25</f>
        <v>0.83723210831721473</v>
      </c>
      <c r="G25" s="304" t="str">
        <f t="shared" si="1"/>
        <v>영남권</v>
      </c>
      <c r="H25" s="69"/>
      <c r="I25" s="73" t="s">
        <v>43</v>
      </c>
      <c r="J25" s="20">
        <f>SUM(J11:J18)</f>
        <v>517</v>
      </c>
      <c r="K25" s="17">
        <f>SUM(K11:K18)</f>
        <v>432.84899999999999</v>
      </c>
      <c r="L25" s="18">
        <f t="shared" si="0"/>
        <v>-84.15100000000001</v>
      </c>
      <c r="M25" s="22">
        <f>SUM(M11:M18)</f>
        <v>521.10900000000004</v>
      </c>
      <c r="N25" s="19">
        <f t="shared" si="2"/>
        <v>-88.260000000000048</v>
      </c>
      <c r="O25" s="20">
        <f>SUM(O11:O18)</f>
        <v>52828.520585962622</v>
      </c>
      <c r="P25" s="17">
        <f>SUM(P11:P18)</f>
        <v>45357.742789999997</v>
      </c>
      <c r="Q25" s="18">
        <f t="shared" si="3"/>
        <v>-7470.7777959626255</v>
      </c>
      <c r="R25" s="22">
        <f>SUM(R11:R18)</f>
        <v>51618.060044000005</v>
      </c>
      <c r="S25" s="19">
        <f t="shared" si="4"/>
        <v>-6260.3172540000087</v>
      </c>
      <c r="T25" s="20">
        <f>SUM(T11:T18)</f>
        <v>3837.6125264602683</v>
      </c>
      <c r="U25" s="17">
        <f>SUM(U11:U18)</f>
        <v>1867.056358</v>
      </c>
      <c r="V25" s="18">
        <f t="shared" si="5"/>
        <v>-1970.5561684602683</v>
      </c>
      <c r="W25" s="22">
        <f>SUM(W11:W18)</f>
        <v>3146.5743339999954</v>
      </c>
      <c r="X25" s="19">
        <f t="shared" si="6"/>
        <v>-1279.5179759999953</v>
      </c>
      <c r="Y25" s="20">
        <f>+[15]영남권!$Q$85</f>
        <v>102182.8251179161</v>
      </c>
      <c r="Z25" s="17">
        <f>+[15]영남권!$R$85</f>
        <v>104788.38437884804</v>
      </c>
      <c r="AA25" s="21">
        <f>+[16]영남권!$Q$85</f>
        <v>99082.682700711084</v>
      </c>
      <c r="AB25" s="25">
        <f>+[15]영남권!$Q$89</f>
        <v>80255.832191305017</v>
      </c>
      <c r="AC25" s="17">
        <f>+[15]영남권!$R$89</f>
        <v>83318.136812213372</v>
      </c>
      <c r="AD25" s="26">
        <f>+[16]영남권!$Q$89</f>
        <v>79225.148213028995</v>
      </c>
      <c r="AE25" s="25">
        <f t="shared" si="7"/>
        <v>21926.992926611085</v>
      </c>
      <c r="AF25" s="17">
        <f t="shared" si="7"/>
        <v>21470.247566634673</v>
      </c>
      <c r="AG25" s="26">
        <f t="shared" si="7"/>
        <v>19857.534487682089</v>
      </c>
      <c r="AH25" s="15"/>
      <c r="AI25" s="16"/>
      <c r="AJ25" s="453"/>
      <c r="AK25" s="457"/>
      <c r="AO25"/>
      <c r="AP25"/>
      <c r="AQ25"/>
      <c r="AR25"/>
      <c r="AS25"/>
    </row>
    <row r="26" spans="2:45" s="6" customFormat="1" ht="22.5" customHeight="1" x14ac:dyDescent="0.3">
      <c r="F26" s="463">
        <f>+K26/J26</f>
        <v>1.0330010514005612</v>
      </c>
      <c r="G26" s="304" t="str">
        <f t="shared" si="1"/>
        <v>중부권</v>
      </c>
      <c r="H26" s="69"/>
      <c r="I26" s="73" t="s">
        <v>104</v>
      </c>
      <c r="J26" s="20">
        <f>SUM(J19:J23)</f>
        <v>196.49979999999999</v>
      </c>
      <c r="K26" s="17">
        <f>SUM(K19:K23)</f>
        <v>202.9845</v>
      </c>
      <c r="L26" s="18">
        <f t="shared" si="0"/>
        <v>6.4847000000000037</v>
      </c>
      <c r="M26" s="22">
        <f>SUM(M19:M23)</f>
        <v>243.16649999999998</v>
      </c>
      <c r="N26" s="19">
        <f t="shared" si="2"/>
        <v>-40.181999999999988</v>
      </c>
      <c r="O26" s="20">
        <f>SUM(O19:O23)</f>
        <v>20673.873027328005</v>
      </c>
      <c r="P26" s="17">
        <f>SUM(P19:P23)</f>
        <v>21353.412979000001</v>
      </c>
      <c r="Q26" s="18">
        <f t="shared" si="3"/>
        <v>679.53995167199537</v>
      </c>
      <c r="R26" s="22">
        <f>SUM(R19:R23)</f>
        <v>24896.138749000005</v>
      </c>
      <c r="S26" s="19">
        <f t="shared" si="4"/>
        <v>-3542.7257700000046</v>
      </c>
      <c r="T26" s="20">
        <f>SUM(T19:T23)</f>
        <v>1488.4300805958176</v>
      </c>
      <c r="U26" s="17">
        <f>SUM(U19:U23)</f>
        <v>1082.8731610000009</v>
      </c>
      <c r="V26" s="18">
        <f t="shared" si="5"/>
        <v>-405.55691959581668</v>
      </c>
      <c r="W26" s="22">
        <f>SUM(W19:W23)</f>
        <v>2180.2669870000004</v>
      </c>
      <c r="X26" s="19">
        <f t="shared" si="6"/>
        <v>-1097.3938259999995</v>
      </c>
      <c r="Y26" s="20">
        <f>+[15]중부권!$Q$85</f>
        <v>105210.6568420324</v>
      </c>
      <c r="Z26" s="17">
        <f>+[15]중부권!$R$85</f>
        <v>105182.23282453099</v>
      </c>
      <c r="AA26" s="21">
        <f>+[16]중부권!$Q$85</f>
        <v>102222.85088725066</v>
      </c>
      <c r="AB26" s="25">
        <f>+[15]중부권!$Q$89</f>
        <v>79827.129985876731</v>
      </c>
      <c r="AC26" s="17">
        <f>+[15]중부권!$R$89</f>
        <v>83077.222002893162</v>
      </c>
      <c r="AD26" s="26">
        <f>+[16]중부권!$Q$89</f>
        <v>79650.460137540882</v>
      </c>
      <c r="AE26" s="25">
        <f t="shared" si="7"/>
        <v>25383.526856155673</v>
      </c>
      <c r="AF26" s="17">
        <f t="shared" si="7"/>
        <v>22105.010821637828</v>
      </c>
      <c r="AG26" s="26">
        <f t="shared" si="7"/>
        <v>22572.390749709783</v>
      </c>
      <c r="AH26" s="15"/>
      <c r="AI26" s="16"/>
      <c r="AJ26" s="453"/>
      <c r="AK26" s="457"/>
      <c r="AO26"/>
      <c r="AP26"/>
      <c r="AQ26"/>
      <c r="AR26"/>
      <c r="AS26"/>
    </row>
    <row r="27" spans="2:45" s="1" customFormat="1" ht="22.5" customHeight="1" x14ac:dyDescent="0.3">
      <c r="B27" s="23"/>
      <c r="F27" s="452">
        <f>+K27/M27</f>
        <v>0.91579773746332283</v>
      </c>
      <c r="G27" s="306">
        <f>+K27/J27</f>
        <v>0.92202673330934137</v>
      </c>
      <c r="H27" s="238" t="s">
        <v>93</v>
      </c>
      <c r="I27" s="239"/>
      <c r="J27" s="240">
        <f>SUM(J24:J26)</f>
        <v>1166.4998000000001</v>
      </c>
      <c r="K27" s="241">
        <f>SUM(K24:K26)</f>
        <v>1075.5440000000001</v>
      </c>
      <c r="L27" s="242">
        <f t="shared" si="0"/>
        <v>-90.955799999999954</v>
      </c>
      <c r="M27" s="243">
        <f>SUM(M24:M26)</f>
        <v>1174.434</v>
      </c>
      <c r="N27" s="244">
        <f t="shared" si="2"/>
        <v>-98.889999999999873</v>
      </c>
      <c r="O27" s="240">
        <f>SUM(O24:O26)</f>
        <v>118311.0521167516</v>
      </c>
      <c r="P27" s="241">
        <f>SUM(P24:P26)</f>
        <v>110917.843568</v>
      </c>
      <c r="Q27" s="242">
        <f t="shared" si="3"/>
        <v>-7393.2085487516015</v>
      </c>
      <c r="R27" s="243">
        <f>SUM(R24:R26)</f>
        <v>115938.48960600002</v>
      </c>
      <c r="S27" s="244">
        <f t="shared" si="4"/>
        <v>-5020.6460380000208</v>
      </c>
      <c r="T27" s="240">
        <f>SUM(T24:T26)</f>
        <v>7817.8667962674172</v>
      </c>
      <c r="U27" s="241">
        <f>SUM(U24:U26)</f>
        <v>4421.8398650000017</v>
      </c>
      <c r="V27" s="242">
        <f t="shared" si="5"/>
        <v>-3396.0269312674154</v>
      </c>
      <c r="W27" s="243">
        <f>SUM(W24:W26)</f>
        <v>6377.9796099999967</v>
      </c>
      <c r="X27" s="244">
        <f t="shared" si="6"/>
        <v>-1956.1397449999949</v>
      </c>
      <c r="Y27" s="240">
        <f>+[15]합계!$Q$85</f>
        <v>101423.97976986498</v>
      </c>
      <c r="Z27" s="241">
        <f>+[15]합계!$R$85</f>
        <v>103166.36302188772</v>
      </c>
      <c r="AA27" s="245">
        <f>+[16]합계!$Q$85</f>
        <v>98710.299071813628</v>
      </c>
      <c r="AB27" s="246">
        <f>+[15]합계!$Q$89</f>
        <v>80686.257474933693</v>
      </c>
      <c r="AC27" s="241">
        <f>+[15]합계!$R$89</f>
        <v>84056.996768706536</v>
      </c>
      <c r="AD27" s="247">
        <f>+[16]합계!$Q$89</f>
        <v>80055.456161775423</v>
      </c>
      <c r="AE27" s="246">
        <f t="shared" si="7"/>
        <v>20737.722294931285</v>
      </c>
      <c r="AF27" s="241">
        <f t="shared" si="7"/>
        <v>19109.366253181186</v>
      </c>
      <c r="AG27" s="247">
        <f t="shared" si="7"/>
        <v>18654.842910038205</v>
      </c>
      <c r="AH27" s="24"/>
      <c r="AI27" s="461">
        <f>+AF27-AE27</f>
        <v>-1628.3560417500994</v>
      </c>
      <c r="AJ27" s="462"/>
      <c r="AK27" s="457"/>
      <c r="AL27" s="23"/>
      <c r="AO27"/>
      <c r="AP27"/>
      <c r="AQ27"/>
      <c r="AR27"/>
      <c r="AS27"/>
    </row>
    <row r="28" spans="2:45" s="6" customFormat="1" ht="22.5" customHeight="1" x14ac:dyDescent="0.3">
      <c r="B28" s="6" t="s">
        <v>3</v>
      </c>
      <c r="E28" s="6" t="s">
        <v>179</v>
      </c>
      <c r="G28" s="304" t="s">
        <v>3</v>
      </c>
      <c r="H28" s="75" t="s">
        <v>1</v>
      </c>
      <c r="I28" s="68" t="s">
        <v>112</v>
      </c>
      <c r="J28" s="50">
        <f>+IFERROR(HLOOKUP($B29,'[1]5월누계'!$D$6:$BN$259,2,),)/1000</f>
        <v>106.29522937062939</v>
      </c>
      <c r="K28" s="51">
        <f>+IFERROR(HLOOKUP($C29,'[2]5월누계'!$F$6:$CP$99,2,),)/1000</f>
        <v>92.061000000000007</v>
      </c>
      <c r="L28" s="32">
        <f t="shared" si="0"/>
        <v>-14.234229370629379</v>
      </c>
      <c r="M28" s="32">
        <f>+IFERROR(HLOOKUP($C29,'[3]5월누계'!$F$6:$CC$57,2,),)/1000</f>
        <v>120.542</v>
      </c>
      <c r="N28" s="52">
        <f>+K28-M28</f>
        <v>-28.480999999999995</v>
      </c>
      <c r="O28" s="50">
        <f>+IFERROR(HLOOKUP($B29,'[1]5월누계'!$D$6:$BN$259,3,),)/1000</f>
        <v>3014.2805559440558</v>
      </c>
      <c r="P28" s="51">
        <f>+IFERROR(HLOOKUP($C29,'[2]5월누계'!$F$6:$CP$99,3,),)/1000</f>
        <v>2604.7555000000002</v>
      </c>
      <c r="Q28" s="32">
        <f t="shared" si="3"/>
        <v>-409.52505594405557</v>
      </c>
      <c r="R28" s="32">
        <f>+IFERROR(HLOOKUP($C29,'[3]5월누계'!$F$6:$CC$57,3,),)/1000</f>
        <v>3462.6680000000001</v>
      </c>
      <c r="S28" s="52">
        <f t="shared" si="4"/>
        <v>-857.91249999999991</v>
      </c>
      <c r="T28" s="50">
        <f>+IFERROR(HLOOKUP($B29,'[1]5월누계'!$D$6:$BN$259,21,),)/1000</f>
        <v>76.624904825684226</v>
      </c>
      <c r="U28" s="51">
        <f>+IFERROR(HLOOKUP($C29,'[2]5월누계'!$F$6:$CP$99,21,),)/1000</f>
        <v>47.80210260154</v>
      </c>
      <c r="V28" s="32">
        <f>+U28-T28</f>
        <v>-28.822802224144226</v>
      </c>
      <c r="W28" s="32">
        <f>+IFERROR(HLOOKUP($C29,'[3]5월누계'!$F$6:$CC$57,21,),)/1000</f>
        <v>77.929177361297903</v>
      </c>
      <c r="X28" s="52">
        <f>+U28-W28</f>
        <v>-30.127074759757903</v>
      </c>
      <c r="Y28" s="258"/>
      <c r="Z28" s="259"/>
      <c r="AA28" s="259"/>
      <c r="AB28" s="259"/>
      <c r="AC28" s="259"/>
      <c r="AD28" s="259"/>
      <c r="AE28" s="259"/>
      <c r="AF28" s="259"/>
      <c r="AG28" s="260"/>
      <c r="AH28" s="15"/>
      <c r="AI28" s="16"/>
      <c r="AJ28" s="453"/>
      <c r="AK28" s="457"/>
      <c r="AO28"/>
      <c r="AP28"/>
      <c r="AQ28"/>
      <c r="AR28"/>
      <c r="AS28"/>
    </row>
    <row r="29" spans="2:45" s="6" customFormat="1" ht="22.5" customHeight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+IFERROR(HLOOKUP($B30,'[1]5월누계'!$D$6:$BN$259,2,),)/1000</f>
        <v>222.45261333333335</v>
      </c>
      <c r="K29" s="53">
        <f>+IFERROR(HLOOKUP($C30,'[2]5월누계'!$F$6:$CP$99,2,),)/1000</f>
        <v>145.77199999999999</v>
      </c>
      <c r="L29" s="42">
        <f t="shared" si="0"/>
        <v>-76.680613333333355</v>
      </c>
      <c r="M29" s="42">
        <f>+IFERROR(HLOOKUP($C30,'[3]5월누계'!$F$6:$CC$57,2,),)/1000</f>
        <v>93.866</v>
      </c>
      <c r="N29" s="54">
        <f>+K29-M29</f>
        <v>51.905999999999992</v>
      </c>
      <c r="O29" s="48">
        <f>+IFERROR(HLOOKUP($B30,'[1]5월누계'!$D$6:$BN$259,3,),)/1000</f>
        <v>2883.4519166666669</v>
      </c>
      <c r="P29" s="53">
        <f>+IFERROR(HLOOKUP($C30,'[2]5월누계'!$F$6:$CP$99,3,),)/1000</f>
        <v>2011.008</v>
      </c>
      <c r="Q29" s="42">
        <f t="shared" si="3"/>
        <v>-872.44391666666684</v>
      </c>
      <c r="R29" s="42">
        <f>+IFERROR(HLOOKUP($C30,'[3]5월누계'!$F$6:$CC$57,3,),)/1000</f>
        <v>1333.518</v>
      </c>
      <c r="S29" s="54">
        <f t="shared" si="4"/>
        <v>677.49</v>
      </c>
      <c r="T29" s="48">
        <f>+IFERROR(HLOOKUP($B30,'[1]5월누계'!$D$6:$BN$259,21,),)/1000</f>
        <v>299.87542386153461</v>
      </c>
      <c r="U29" s="53">
        <f>+IFERROR(HLOOKUP($C30,'[2]5월누계'!$F$6:$CP$99,21,),)/1000</f>
        <v>-82.308140746943209</v>
      </c>
      <c r="V29" s="42">
        <f>+U29-T29</f>
        <v>-382.18356460847781</v>
      </c>
      <c r="W29" s="42">
        <f>+IFERROR(HLOOKUP($C30,'[3]5월누계'!$F$6:$CC$57,21,),)/1000</f>
        <v>184.45596887451933</v>
      </c>
      <c r="X29" s="54">
        <f>+U29-W29</f>
        <v>-266.76410962146252</v>
      </c>
      <c r="Y29" s="464"/>
      <c r="Z29" s="210"/>
      <c r="AA29" s="210"/>
      <c r="AB29" s="311"/>
      <c r="AC29" s="210"/>
      <c r="AD29" s="210"/>
      <c r="AE29" s="210"/>
      <c r="AF29" s="210"/>
      <c r="AG29" s="45"/>
      <c r="AH29" s="15"/>
      <c r="AI29" s="210"/>
      <c r="AJ29" s="453"/>
      <c r="AK29" s="457"/>
    </row>
    <row r="30" spans="2:45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+IFERROR(HLOOKUP($B31,'[1]5월누계'!$D$6:$BN$259,2,),)/1000</f>
        <v>18.221239999999998</v>
      </c>
      <c r="K30" s="53">
        <f>+IFERROR(HLOOKUP($C31,'[2]5월누계'!$F$6:$CP$99,2,),)/1000</f>
        <v>78.257999999999996</v>
      </c>
      <c r="L30" s="42">
        <f t="shared" si="0"/>
        <v>60.036760000000001</v>
      </c>
      <c r="M30" s="42">
        <f>+IFERROR(HLOOKUP($C31,'[3]5월누계'!$F$6:$CC$57,2,),)/1000</f>
        <v>90.706000000000003</v>
      </c>
      <c r="N30" s="54">
        <f>+K30-M30</f>
        <v>-12.448000000000008</v>
      </c>
      <c r="O30" s="48">
        <f>+IFERROR(HLOOKUP($B31,'[1]5월누계'!$D$6:$BN$259,3,),)/1000</f>
        <v>367.70835999999997</v>
      </c>
      <c r="P30" s="53">
        <f>+IFERROR(HLOOKUP($C31,'[2]5월누계'!$F$6:$CP$99,3,),)/1000</f>
        <v>1538.9657999999999</v>
      </c>
      <c r="Q30" s="42">
        <f t="shared" si="3"/>
        <v>1171.2574399999999</v>
      </c>
      <c r="R30" s="42">
        <f>+IFERROR(HLOOKUP($C31,'[3]5월누계'!$F$6:$CC$57,3,),)/1000</f>
        <v>1698.2550000000001</v>
      </c>
      <c r="S30" s="54">
        <f t="shared" si="4"/>
        <v>-159.28920000000016</v>
      </c>
      <c r="T30" s="48">
        <f>+IFERROR(HLOOKUP($B31,'[1]5월누계'!$D$6:$BN$259,21,),)/1000</f>
        <v>-707.14526186586329</v>
      </c>
      <c r="U30" s="53">
        <f>+IFERROR(HLOOKUP($C31,'[2]5월누계'!$F$6:$CP$99,21,),)/1000</f>
        <v>-612.6868759900002</v>
      </c>
      <c r="V30" s="42">
        <f>+U30-T30</f>
        <v>94.458385875863087</v>
      </c>
      <c r="W30" s="42">
        <f>+IFERROR(HLOOKUP($C31,'[3]5월누계'!$F$6:$CC$57,21,),)/1000</f>
        <v>-696.67247547999989</v>
      </c>
      <c r="X30" s="54">
        <f>+U30-W30</f>
        <v>83.985599489999686</v>
      </c>
      <c r="Y30" s="464"/>
      <c r="Z30" s="210"/>
      <c r="AA30" s="210"/>
      <c r="AB30" s="210"/>
      <c r="AC30" s="210"/>
      <c r="AD30" s="210"/>
      <c r="AE30" s="210"/>
      <c r="AF30" s="210"/>
      <c r="AG30" s="45"/>
      <c r="AH30" s="15"/>
      <c r="AI30" s="210"/>
      <c r="AJ30" s="210">
        <f>+(AC30-AC31)*AD36</f>
        <v>0</v>
      </c>
      <c r="AK30" s="210"/>
      <c r="AL30" s="81"/>
    </row>
    <row r="31" spans="2:45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346.96908270396278</v>
      </c>
      <c r="K31" s="129">
        <f>SUM(K28:K30)</f>
        <v>316.09100000000001</v>
      </c>
      <c r="L31" s="127">
        <f t="shared" si="0"/>
        <v>-30.878082703962775</v>
      </c>
      <c r="M31" s="127">
        <f>SUM(M28:M30)</f>
        <v>305.11400000000003</v>
      </c>
      <c r="N31" s="128">
        <f>+K31-M31</f>
        <v>10.976999999999975</v>
      </c>
      <c r="O31" s="125">
        <f>SUM(O28:O30)</f>
        <v>6265.4408326107223</v>
      </c>
      <c r="P31" s="129">
        <f>SUM(P28:P30)</f>
        <v>6154.7293</v>
      </c>
      <c r="Q31" s="127">
        <f t="shared" si="3"/>
        <v>-110.71153261072232</v>
      </c>
      <c r="R31" s="127">
        <f>SUM(R28:R30)</f>
        <v>6494.4409999999998</v>
      </c>
      <c r="S31" s="128">
        <f t="shared" si="4"/>
        <v>-339.71169999999984</v>
      </c>
      <c r="T31" s="125">
        <f>SUM(T28:T30)</f>
        <v>-330.64493317864446</v>
      </c>
      <c r="U31" s="129">
        <f>SUM(U28:U30)</f>
        <v>-647.19291413540338</v>
      </c>
      <c r="V31" s="127">
        <f>+U31-T31</f>
        <v>-316.54798095675892</v>
      </c>
      <c r="W31" s="127">
        <f>SUM(W28:W30)</f>
        <v>-434.28732924418267</v>
      </c>
      <c r="X31" s="128">
        <f>+U31-W31</f>
        <v>-212.90558489122071</v>
      </c>
      <c r="Y31" s="464"/>
      <c r="Z31" s="210"/>
      <c r="AA31" s="210"/>
      <c r="AB31" s="210"/>
      <c r="AC31" s="210"/>
      <c r="AD31" s="210"/>
      <c r="AE31" s="210"/>
      <c r="AF31" s="210"/>
      <c r="AG31" s="45"/>
      <c r="AH31" s="15"/>
      <c r="AI31" s="210"/>
      <c r="AJ31" s="210">
        <f>+AD35*120*10</f>
        <v>0</v>
      </c>
      <c r="AK31" s="210"/>
      <c r="AL31" s="81"/>
    </row>
    <row r="32" spans="2:45" s="1" customFormat="1" ht="22.5" customHeight="1" x14ac:dyDescent="0.3">
      <c r="G32" s="308"/>
      <c r="H32" s="78" t="s">
        <v>4</v>
      </c>
      <c r="I32" s="77" t="s">
        <v>79</v>
      </c>
      <c r="J32" s="40"/>
      <c r="K32" s="41"/>
      <c r="L32" s="43">
        <f t="shared" si="0"/>
        <v>0</v>
      </c>
      <c r="M32" s="42"/>
      <c r="N32" s="54">
        <f>+K32-M32</f>
        <v>0</v>
      </c>
      <c r="O32" s="40">
        <f>(IFERROR(HLOOKUP($B33,'[1]5월누계'!$D$6:$BN$259,3,),)++IFERROR(HLOOKUP($C33,'[1]5월누계'!$D$6:$BN$259,3,),)+IFERROR(HLOOKUP($D33,'[1]5월누계'!$D$6:$BN$259,3,),))/1000</f>
        <v>200</v>
      </c>
      <c r="P32" s="41">
        <f>+IFERROR(HLOOKUP($E33,'[2]5월누계'!$F$6:$CP$99,3,),)/1000</f>
        <v>216.7</v>
      </c>
      <c r="Q32" s="43">
        <f t="shared" si="3"/>
        <v>16.699999999999989</v>
      </c>
      <c r="R32" s="42">
        <f>+IFERROR(HLOOKUP($E33,'[3]5월누계'!$F$6:$CC$57,3,),)/1000</f>
        <v>334.2</v>
      </c>
      <c r="S32" s="54">
        <f t="shared" si="4"/>
        <v>-117.5</v>
      </c>
      <c r="T32" s="40">
        <f>(IFERROR(HLOOKUP($B33,'[1]5월누계'!$D$6:$BN$259,21,),)++IFERROR(HLOOKUP($C33,'[1]5월누계'!$D$6:$BN$259,21,),)+IFERROR(HLOOKUP($D33,'[1]5월누계'!$D$6:$BN$259,21,),))/1000</f>
        <v>142.629381</v>
      </c>
      <c r="U32" s="41">
        <f>+IFERROR(HLOOKUP($E33,'[2]5월누계'!$F$6:$CP$99,16,),)/1000</f>
        <v>112.520321</v>
      </c>
      <c r="V32" s="43">
        <f t="shared" ref="V32:V38" si="8">+U32-T32</f>
        <v>-30.109059999999999</v>
      </c>
      <c r="W32" s="42">
        <f>+IFERROR(HLOOKUP($E33,'[3]5월누계'!$F$6:$CC$57,16,),)/1000</f>
        <v>237.60537100000002</v>
      </c>
      <c r="X32" s="54">
        <f t="shared" ref="X32:X40" si="9">+U32-W32</f>
        <v>-125.08505000000002</v>
      </c>
      <c r="Y32" s="464"/>
      <c r="Z32" s="210"/>
      <c r="AA32" s="210"/>
      <c r="AB32" s="210"/>
      <c r="AC32" s="210"/>
      <c r="AD32" s="210"/>
      <c r="AE32" s="210"/>
      <c r="AF32" s="210"/>
      <c r="AG32" s="45"/>
      <c r="AH32" s="24"/>
      <c r="AI32" s="210"/>
      <c r="AJ32" s="210"/>
      <c r="AK32" s="210"/>
      <c r="AL32" s="458"/>
      <c r="AM32" s="455"/>
    </row>
    <row r="33" spans="2:43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10">+I32</f>
        <v>레미콘임대</v>
      </c>
      <c r="H33" s="78"/>
      <c r="I33" s="77" t="s">
        <v>44</v>
      </c>
      <c r="J33" s="40"/>
      <c r="K33" s="41"/>
      <c r="L33" s="43">
        <f t="shared" si="0"/>
        <v>0</v>
      </c>
      <c r="M33" s="42">
        <v>0</v>
      </c>
      <c r="N33" s="54">
        <f t="shared" ref="N33:N40" si="11">+K33-M33</f>
        <v>0</v>
      </c>
      <c r="O33" s="40">
        <f>(+IFERROR(HLOOKUP($B34,'[1]5월누계'!$D$6:$BN$259,3,),)+IFERROR(HLOOKUP($C34,'[1]5월누계'!$D$6:$BN$259,3,),))/1000</f>
        <v>395.78333333333336</v>
      </c>
      <c r="P33" s="41">
        <f>+IFERROR(HLOOKUP($E34,'[2]5월누계'!$F$6:$CP$99,3,),)/1000</f>
        <v>238.43919099999999</v>
      </c>
      <c r="Q33" s="43">
        <f t="shared" si="3"/>
        <v>-157.34414233333337</v>
      </c>
      <c r="R33" s="42">
        <f>+IFERROR(HLOOKUP($E34,'[3]5월누계'!$F$6:$CC$57,3,),)/1000</f>
        <v>367.531589</v>
      </c>
      <c r="S33" s="54">
        <f t="shared" si="4"/>
        <v>-129.092398</v>
      </c>
      <c r="T33" s="40">
        <f>(+IFERROR(HLOOKUP($B34,'[1]5월누계'!$D$6:$BN$259,21,),)+IFERROR(HLOOKUP($C34,'[1]5월누계'!$D$6:$BN$259,21,),))/1000</f>
        <v>363.23478933333337</v>
      </c>
      <c r="U33" s="41">
        <f>+IFERROR(HLOOKUP($E34,'[2]5월누계'!$F$6:$CP$99,16,),)/1000</f>
        <v>205.94149300000001</v>
      </c>
      <c r="V33" s="43">
        <f t="shared" si="8"/>
        <v>-157.29329633333336</v>
      </c>
      <c r="W33" s="42">
        <f>+IFERROR(HLOOKUP($E34,'[3]5월누계'!$F$6:$CC$57,16,),)/1000</f>
        <v>332.47373800000003</v>
      </c>
      <c r="X33" s="54">
        <f t="shared" si="9"/>
        <v>-126.53224500000002</v>
      </c>
      <c r="Y33" s="464"/>
      <c r="Z33" s="210"/>
      <c r="AA33" s="210"/>
      <c r="AB33" s="210"/>
      <c r="AC33" s="210"/>
      <c r="AD33" s="210"/>
      <c r="AE33" s="210"/>
      <c r="AF33" s="210"/>
      <c r="AG33" s="45"/>
      <c r="AI33" s="210"/>
      <c r="AJ33" s="210"/>
      <c r="AK33" s="210"/>
    </row>
    <row r="34" spans="2:43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10"/>
        <v>임대</v>
      </c>
      <c r="H34" s="76"/>
      <c r="I34" s="77" t="s">
        <v>29</v>
      </c>
      <c r="J34" s="40"/>
      <c r="K34" s="41"/>
      <c r="L34" s="43">
        <f t="shared" si="0"/>
        <v>0</v>
      </c>
      <c r="M34" s="42"/>
      <c r="N34" s="54">
        <f t="shared" si="11"/>
        <v>0</v>
      </c>
      <c r="O34" s="40"/>
      <c r="P34" s="41"/>
      <c r="Q34" s="43">
        <f t="shared" si="3"/>
        <v>0</v>
      </c>
      <c r="R34" s="42"/>
      <c r="S34" s="54">
        <f t="shared" si="4"/>
        <v>0</v>
      </c>
      <c r="T34" s="40">
        <f>-'[1]5월누계'!$Z$22/1000</f>
        <v>-7351.3143984462313</v>
      </c>
      <c r="U34" s="41">
        <f>+-'[2]5월누계'!$Z$22/1000</f>
        <v>-7468.5442578623324</v>
      </c>
      <c r="V34" s="43">
        <f t="shared" si="8"/>
        <v>-117.22985941610114</v>
      </c>
      <c r="W34" s="42">
        <f>+-'[3]5월누계'!$Z$22/1000</f>
        <v>-7313.5357398212291</v>
      </c>
      <c r="X34" s="54">
        <f t="shared" si="9"/>
        <v>-155.00851804110334</v>
      </c>
      <c r="Y34" s="464"/>
      <c r="Z34" s="210"/>
      <c r="AA34" s="210"/>
      <c r="AB34" s="210"/>
      <c r="AC34" s="210"/>
      <c r="AD34" s="210"/>
      <c r="AE34" s="210"/>
      <c r="AF34" s="210">
        <f>+AM27</f>
        <v>0</v>
      </c>
      <c r="AG34" s="45"/>
      <c r="AH34" s="15"/>
      <c r="AI34" s="210"/>
      <c r="AJ34" s="210">
        <f>+AQ27</f>
        <v>0</v>
      </c>
      <c r="AK34" s="210"/>
    </row>
    <row r="35" spans="2:43" s="6" customFormat="1" ht="22.5" customHeight="1" x14ac:dyDescent="0.3">
      <c r="B35" s="6" t="s">
        <v>119</v>
      </c>
      <c r="D35"/>
      <c r="E35"/>
      <c r="F35"/>
      <c r="G35" s="304" t="str">
        <f t="shared" si="10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11"/>
        <v>0</v>
      </c>
      <c r="O35" s="40"/>
      <c r="P35" s="41"/>
      <c r="Q35" s="43">
        <f t="shared" si="3"/>
        <v>0</v>
      </c>
      <c r="R35" s="42"/>
      <c r="S35" s="54">
        <f t="shared" si="4"/>
        <v>0</v>
      </c>
      <c r="T35" s="40">
        <f>+'[1]5월누계'!$AT$26/1000</f>
        <v>360</v>
      </c>
      <c r="U35" s="41">
        <f>'[2]5월누계'!$BD$26/1000</f>
        <v>533.64834999999994</v>
      </c>
      <c r="V35" s="43">
        <f t="shared" si="8"/>
        <v>173.64834999999994</v>
      </c>
      <c r="W35" s="42">
        <f>'[3]5월누계'!$BD$26/1000</f>
        <v>0</v>
      </c>
      <c r="X35" s="54">
        <f t="shared" si="9"/>
        <v>533.64834999999994</v>
      </c>
      <c r="Y35" s="464"/>
      <c r="Z35" s="210"/>
      <c r="AA35" s="210"/>
      <c r="AB35" s="210"/>
      <c r="AC35" s="210"/>
      <c r="AD35" s="210"/>
      <c r="AE35" s="658"/>
      <c r="AF35" s="658"/>
      <c r="AG35" s="659"/>
      <c r="AH35" s="15"/>
      <c r="AI35" s="658"/>
      <c r="AJ35" s="658"/>
      <c r="AK35" s="658"/>
      <c r="AL35" s="81"/>
    </row>
    <row r="36" spans="2:43" s="6" customFormat="1" ht="22.5" customHeight="1" x14ac:dyDescent="0.3">
      <c r="D36"/>
      <c r="E36"/>
      <c r="F36"/>
      <c r="G36" s="304" t="str">
        <f t="shared" si="10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11"/>
        <v>0</v>
      </c>
      <c r="O36" s="40"/>
      <c r="P36" s="41"/>
      <c r="Q36" s="43">
        <f t="shared" si="3"/>
        <v>0</v>
      </c>
      <c r="R36" s="42"/>
      <c r="S36" s="54">
        <f t="shared" si="4"/>
        <v>0</v>
      </c>
      <c r="T36" s="40"/>
      <c r="U36" s="41">
        <f>'[2]5월누계'!$BE$26/1000</f>
        <v>184.44025500000001</v>
      </c>
      <c r="V36" s="43">
        <f t="shared" si="8"/>
        <v>184.44025500000001</v>
      </c>
      <c r="W36" s="42">
        <f>'[3]5월누계'!$BE$26/1000</f>
        <v>-522.39605099999994</v>
      </c>
      <c r="X36" s="54">
        <f t="shared" si="9"/>
        <v>706.83630599999992</v>
      </c>
      <c r="Y36" s="464"/>
      <c r="Z36" s="210"/>
      <c r="AA36" s="210"/>
      <c r="AB36" s="210"/>
      <c r="AC36" s="210"/>
      <c r="AD36" s="210"/>
      <c r="AE36" s="210"/>
      <c r="AF36" s="210"/>
      <c r="AG36" s="45"/>
      <c r="AH36" s="15"/>
      <c r="AI36" s="16"/>
      <c r="AJ36" s="453"/>
      <c r="AK36" s="457"/>
      <c r="AL36" s="81"/>
    </row>
    <row r="37" spans="2:43" s="6" customFormat="1" ht="22.5" customHeight="1" x14ac:dyDescent="0.3">
      <c r="D37"/>
      <c r="E37"/>
      <c r="F37"/>
      <c r="G37" s="304" t="str">
        <f t="shared" si="10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11"/>
        <v>0</v>
      </c>
      <c r="O37" s="40"/>
      <c r="P37" s="41"/>
      <c r="Q37" s="43">
        <f t="shared" si="3"/>
        <v>0</v>
      </c>
      <c r="R37" s="42">
        <f>+IFERROR(HLOOKUP($I$37,'[3]5월누계'!$F$6:$BJ$50,3,),)/1000</f>
        <v>0</v>
      </c>
      <c r="S37" s="54">
        <f t="shared" si="4"/>
        <v>0</v>
      </c>
      <c r="T37" s="40">
        <f>SUM('[1]5월누계'!$AM$26:$AQ$26)/1000</f>
        <v>-63.443627999999997</v>
      </c>
      <c r="U37" s="41">
        <f>+'[2]5월누계'!$BF$26/1000</f>
        <v>-133.47865499999997</v>
      </c>
      <c r="V37" s="43">
        <f t="shared" si="8"/>
        <v>-70.035026999999985</v>
      </c>
      <c r="W37" s="42">
        <f>+'[3]5월누계'!$BF$26/1000</f>
        <v>-140.843074</v>
      </c>
      <c r="X37" s="54">
        <f t="shared" si="9"/>
        <v>7.3644190000000265</v>
      </c>
      <c r="Y37" s="464"/>
      <c r="AE37" s="210"/>
      <c r="AF37" s="210"/>
      <c r="AG37" s="45"/>
      <c r="AH37" s="15"/>
      <c r="AI37" s="16"/>
      <c r="AJ37" s="453"/>
      <c r="AK37" s="457"/>
      <c r="AL37" s="81"/>
      <c r="AM37" s="457"/>
      <c r="AO37" s="453"/>
      <c r="AP37" s="453"/>
      <c r="AQ37" s="453"/>
    </row>
    <row r="38" spans="2:43" s="6" customFormat="1" ht="22.5" customHeight="1" x14ac:dyDescent="0.3">
      <c r="D38"/>
      <c r="E38"/>
      <c r="F38"/>
      <c r="G38" s="304" t="str">
        <f t="shared" si="10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+'[2]5월누계'!$BG$26/1000</f>
        <v>0</v>
      </c>
      <c r="V38" s="43">
        <f t="shared" si="8"/>
        <v>0</v>
      </c>
      <c r="W38" s="42"/>
      <c r="X38" s="54">
        <f t="shared" si="9"/>
        <v>0</v>
      </c>
      <c r="Y38" s="209"/>
      <c r="Z38" s="210"/>
      <c r="AA38" s="210"/>
      <c r="AB38" s="210"/>
      <c r="AC38" s="210"/>
      <c r="AD38" s="210"/>
      <c r="AE38" s="210"/>
      <c r="AF38" s="210"/>
      <c r="AG38" s="45"/>
      <c r="AH38" s="15"/>
      <c r="AI38" s="16"/>
      <c r="AJ38" s="453"/>
      <c r="AK38" s="453"/>
      <c r="AL38" s="81"/>
      <c r="AM38" s="453"/>
      <c r="AQ38" s="453"/>
    </row>
    <row r="39" spans="2:43" s="6" customFormat="1" ht="22.5" customHeight="1" x14ac:dyDescent="0.3">
      <c r="B39" t="s">
        <v>30</v>
      </c>
      <c r="D39"/>
      <c r="G39" s="304" t="str">
        <f t="shared" si="10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IFERROR(HLOOKUP($B39,'[1]5월누계'!$D$6:$BN$259,3,),)/1000</f>
        <v>8.85</v>
      </c>
      <c r="P39" s="41">
        <f>+('[2]5월누계'!$F$8-SUM('[2]5월누계'!$Z$8,'[2]5월누계'!$AH$8,'[2]5월누계'!$AN$8,'[2]5월누계'!$AO$8,'[2]5월누계'!$BA$8,'[2]5월누계'!$BD$8,'[2]5월누계'!$BE$8,'[2]5월누계'!$BF$8))/1000</f>
        <v>8.1249000000059599</v>
      </c>
      <c r="Q39" s="49">
        <f>+P39-O39</f>
        <v>-0.72509999999403973</v>
      </c>
      <c r="R39" s="55">
        <f>+('[3]5월누계'!$F$8-SUM('[3]5월누계'!$Z$8,'[3]5월누계'!$AH$8,'[3]5월누계'!$AN$8,'[3]5월누계'!$AO$8,'[3]5월누계'!$BA$8,'[3]5월누계'!$BD$8,'[3]5월누계'!$BE$8,'[3]5월누계'!$BF$8))/1000</f>
        <v>8.3800500000119218</v>
      </c>
      <c r="S39" s="56">
        <f>+P39-R39</f>
        <v>-0.25515000000596189</v>
      </c>
      <c r="T39" s="40">
        <f>+('[1]5월누계'!$E$26-'[1]5월누계'!$Z$26-'[1]5월누계'!$AA$26-'[1]5월누계'!$AE$26-'[1]5월누계'!$AL$26-'[1]5월누계'!$AM$26-'[1]5월누계'!$AN$26-'[1]5월누계'!$AO$26-'[1]5월누계'!$AP$26-'[1]5월누계'!$AQ$26-'[1]5월누계'!$AS$26+'[1]5월누계'!$AS$26)/1000-T35</f>
        <v>-352.14170199998188</v>
      </c>
      <c r="U39" s="41">
        <f>+('[2]5월누계'!$F$26-SUM('[2]5월누계'!$Z$26,'[2]5월누계'!$AH$26,'[2]5월누계'!$AN$26,'[2]5월누계'!$AO$26,'[2]5월누계'!$BA$26,'[2]5월누계'!$BD$26,'[2]5월누계'!$BE$26,'[2]5월누계'!$BF$26))/1000-U38</f>
        <v>-103.77632800002769</v>
      </c>
      <c r="V39" s="43">
        <f>+U39-T39</f>
        <v>248.36537399995419</v>
      </c>
      <c r="W39" s="55">
        <f>+('[3]5월누계'!$F$26-SUM('[3]5월누계'!$Z$26,'[3]5월누계'!$AH$26,'[3]5월누계'!$AN$26,'[3]5월누계'!$AO$26,'[3]5월누계'!$BA$26,'[3]5월누계'!$BD$26,'[3]5월누계'!$BE$26,'[3]5월누계'!$BF$26))/1000</f>
        <v>-833.38929391001216</v>
      </c>
      <c r="X39" s="54">
        <f t="shared" si="9"/>
        <v>729.6129659099845</v>
      </c>
      <c r="Y39" s="655"/>
      <c r="Z39" s="210"/>
      <c r="AA39" s="210"/>
      <c r="AB39" s="210"/>
      <c r="AC39" s="210"/>
      <c r="AD39" s="210"/>
      <c r="AE39" s="210"/>
      <c r="AF39" s="210"/>
      <c r="AG39" s="45"/>
      <c r="AH39" s="15"/>
      <c r="AI39" s="16"/>
      <c r="AJ39" s="453">
        <f>-[4]합계!$H$6</f>
        <v>-317.52893046715195</v>
      </c>
      <c r="AK39" s="457"/>
    </row>
    <row r="40" spans="2:43" s="6" customFormat="1" ht="22.5" customHeight="1" x14ac:dyDescent="0.3">
      <c r="G40" s="304" t="str">
        <f t="shared" si="10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11"/>
        <v>0</v>
      </c>
      <c r="O40" s="125">
        <f>SUM(O32:O39)</f>
        <v>604.63333333333333</v>
      </c>
      <c r="P40" s="126">
        <f>SUM(P32:P39)</f>
        <v>463.26409100000592</v>
      </c>
      <c r="Q40" s="130">
        <f>+P40-O40</f>
        <v>-141.36924233332741</v>
      </c>
      <c r="R40" s="131">
        <f>SUM(R32:R39)</f>
        <v>710.11163900001191</v>
      </c>
      <c r="S40" s="132">
        <f>+P40-R40</f>
        <v>-246.84754800000599</v>
      </c>
      <c r="T40" s="125">
        <f>SUM(T32:T39)</f>
        <v>-6901.0355581128797</v>
      </c>
      <c r="U40" s="126">
        <f>SUM(U32:U39)</f>
        <v>-6669.2488218623594</v>
      </c>
      <c r="V40" s="130">
        <f>+U40-T40</f>
        <v>231.78673625052033</v>
      </c>
      <c r="W40" s="131">
        <f>SUM(W32:W39)</f>
        <v>-8240.0850497312404</v>
      </c>
      <c r="X40" s="132">
        <f t="shared" si="9"/>
        <v>1570.836227868881</v>
      </c>
      <c r="Y40" s="209"/>
      <c r="Z40" s="210"/>
      <c r="AA40" s="210"/>
      <c r="AB40" s="210"/>
      <c r="AC40" s="210"/>
      <c r="AD40" s="210"/>
      <c r="AE40" s="210"/>
      <c r="AF40" s="210"/>
      <c r="AG40" s="45"/>
      <c r="AH40" s="27"/>
      <c r="AJ40" s="453"/>
      <c r="AK40" s="457"/>
    </row>
    <row r="41" spans="2:43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125181.12628269565</v>
      </c>
      <c r="P41" s="251">
        <f>+P27+P31+P40</f>
        <v>117535.83695900001</v>
      </c>
      <c r="Q41" s="252">
        <f>+P41-O41</f>
        <v>-7645.2893236956443</v>
      </c>
      <c r="R41" s="253">
        <f>+R27+R31+R40</f>
        <v>123143.04224500003</v>
      </c>
      <c r="S41" s="254">
        <f>+P41-R41</f>
        <v>-5607.2052860000258</v>
      </c>
      <c r="T41" s="250">
        <f>+T27+T31+T40</f>
        <v>586.18630497589311</v>
      </c>
      <c r="U41" s="251">
        <f>+U27+U31+U40</f>
        <v>-2894.6018709977611</v>
      </c>
      <c r="V41" s="252">
        <f>+U41-T41</f>
        <v>-3480.7881759736542</v>
      </c>
      <c r="W41" s="253">
        <f>+W27+W31+W40</f>
        <v>-2296.3927689754264</v>
      </c>
      <c r="X41" s="254">
        <f>+U41-W41</f>
        <v>-598.20910202233472</v>
      </c>
      <c r="Y41" s="209"/>
      <c r="Z41" s="210"/>
      <c r="AA41" s="210"/>
      <c r="AB41" s="210"/>
      <c r="AC41" s="210"/>
      <c r="AD41" s="210"/>
      <c r="AE41" s="210"/>
      <c r="AF41" s="210"/>
      <c r="AG41" s="45"/>
      <c r="AH41" s="23"/>
      <c r="AJ41" s="455">
        <f>[4]합계!$U$15-AJ39-AJ40</f>
        <v>1369.9606226999003</v>
      </c>
      <c r="AK41" s="457"/>
    </row>
    <row r="42" spans="2:43" s="6" customFormat="1" ht="19.5" customHeight="1" x14ac:dyDescent="0.3">
      <c r="G42" s="309">
        <f>+P41/O41</f>
        <v>0.93892618199943068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O42" s="453"/>
    </row>
    <row r="43" spans="2:43" s="1" customFormat="1" ht="22.5" customHeight="1" x14ac:dyDescent="0.3">
      <c r="H43" s="547" t="s">
        <v>3</v>
      </c>
      <c r="I43" s="548"/>
      <c r="J43" s="140">
        <f>+IFERROR(HLOOKUP($B28,'[1]5월누계'!$D$6:$BN$259,2,),)</f>
        <v>41000</v>
      </c>
      <c r="K43" s="141">
        <f>+IFERROR(HLOOKUP($E28,'[2]5월누계'!$F$6:$CP$99,2,),)</f>
        <v>21045.184999999998</v>
      </c>
      <c r="L43" s="142">
        <f>+K43-J43</f>
        <v>-19954.815000000002</v>
      </c>
      <c r="M43" s="143">
        <f>+IFERROR(HLOOKUP($E28,'[3]5월누계'!$F$6:$CC$57,2,),)</f>
        <v>55602.745999999999</v>
      </c>
      <c r="N43" s="144">
        <f>+K43-M43</f>
        <v>-34557.561000000002</v>
      </c>
      <c r="O43" s="140">
        <f>+IFERROR(HLOOKUP($B28,'[1]5월누계'!$D$6:$BN$259,3,),)/1000</f>
        <v>40039.457436999997</v>
      </c>
      <c r="P43" s="141">
        <f>+IFERROR(HLOOKUP($E28,'[2]5월누계'!$F$6:$CP$99,3,),)/1000</f>
        <v>22521.329792</v>
      </c>
      <c r="Q43" s="142">
        <f>+P43-O43</f>
        <v>-17518.127644999997</v>
      </c>
      <c r="R43" s="143">
        <f>+IFERROR(HLOOKUP($E28,'[3]5월누계'!$F$6:$CC$57,3,),)/1000</f>
        <v>48464.953320999994</v>
      </c>
      <c r="S43" s="144">
        <f>+P43-R43</f>
        <v>-25943.623528999993</v>
      </c>
      <c r="T43" s="140">
        <f>+IFERROR(HLOOKUP($B28,'[1]5월누계'!$D$6:$BN$259,21,),)/1000</f>
        <v>-39.796672642905612</v>
      </c>
      <c r="U43" s="141">
        <f>+IFERROR(HLOOKUP($E28,'[2]5월누계'!$F$6:$CP$99,21,),)/1000</f>
        <v>-381.18587100000394</v>
      </c>
      <c r="V43" s="142">
        <f>+U43-T43</f>
        <v>-341.38919835709834</v>
      </c>
      <c r="W43" s="143">
        <f>+IFERROR(HLOOKUP($E28,'[3]5월누계'!$F$6:$CC$57,16,),)/1000</f>
        <v>-60.320200000008427</v>
      </c>
      <c r="X43" s="144">
        <f>+U43-W43</f>
        <v>-320.86567099999553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O43" s="455"/>
    </row>
    <row r="44" spans="2:43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165220.58371969566</v>
      </c>
      <c r="P44" s="251">
        <f>+P41+P43</f>
        <v>140057.16675100001</v>
      </c>
      <c r="Q44" s="252">
        <f>+P44-O44</f>
        <v>-25163.416968695645</v>
      </c>
      <c r="R44" s="253">
        <f>+R41+R43</f>
        <v>171607.99556600003</v>
      </c>
      <c r="S44" s="254">
        <f>+P44-R44</f>
        <v>-31550.828815000015</v>
      </c>
      <c r="T44" s="250">
        <f>+T41+T43</f>
        <v>546.3896323329875</v>
      </c>
      <c r="U44" s="251">
        <f>+U41+U43</f>
        <v>-3275.7877419977649</v>
      </c>
      <c r="V44" s="252">
        <f>+U44-T44</f>
        <v>-3822.1773743307522</v>
      </c>
      <c r="W44" s="253">
        <f>+W41+W43</f>
        <v>-2356.7129689754347</v>
      </c>
      <c r="X44" s="254">
        <f>+U44-W44</f>
        <v>-919.07477302233019</v>
      </c>
      <c r="Y44" s="619"/>
      <c r="Z44" s="661"/>
      <c r="AA44" s="661"/>
      <c r="AB44" s="661"/>
      <c r="AC44" s="661"/>
      <c r="AD44" s="661"/>
      <c r="AE44" s="661"/>
      <c r="AF44" s="661"/>
      <c r="AG44" s="621"/>
      <c r="AH44" s="23"/>
      <c r="AJ44" s="455"/>
      <c r="AK44" s="457"/>
      <c r="AO44" s="455"/>
    </row>
    <row r="45" spans="2:43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3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3" s="28" customFormat="1" ht="17.25" thickBot="1" x14ac:dyDescent="0.35">
      <c r="G47" s="310"/>
      <c r="AC47" s="29"/>
      <c r="AF47" s="29"/>
      <c r="AJ47" s="456"/>
    </row>
    <row r="48" spans="2:43" s="28" customFormat="1" x14ac:dyDescent="0.3">
      <c r="F48" s="266">
        <f>+K43/M43</f>
        <v>0.37849182844314916</v>
      </c>
      <c r="G48" s="306">
        <f>+K43/J43</f>
        <v>0.51329719512195116</v>
      </c>
      <c r="I48" s="692" t="s">
        <v>81</v>
      </c>
      <c r="J48" s="115">
        <f>+'[1]5월누계'!$Z$7/1000</f>
        <v>1166.4998000000001</v>
      </c>
      <c r="K48" s="116">
        <f>+'[2]5월누계'!$AI$7/1000</f>
        <v>1075.5440000000001</v>
      </c>
      <c r="L48" s="116"/>
      <c r="M48" s="116">
        <f>+'[3]5월누계'!$Z$7/1000</f>
        <v>1174.434</v>
      </c>
      <c r="N48" s="116"/>
      <c r="O48" s="116">
        <f>+'[1]5월누계'!$E$8/1000</f>
        <v>165220.58371969563</v>
      </c>
      <c r="P48" s="116">
        <f>+'[2]5월누계'!$F$8/1000</f>
        <v>140057.16675099998</v>
      </c>
      <c r="Q48" s="116"/>
      <c r="R48" s="116">
        <f>+'[3]5월누계'!$F$8/1000</f>
        <v>171607.995566</v>
      </c>
      <c r="S48" s="116"/>
      <c r="T48" s="121">
        <f>+'[1]5월누계'!$E$26/1000</f>
        <v>546.38963233297602</v>
      </c>
      <c r="U48" s="116">
        <f>+'[2]5월누계'!$F$26/1000</f>
        <v>-3275.7877419977644</v>
      </c>
      <c r="V48" s="116"/>
      <c r="W48" s="116">
        <f>+'[3]5월누계'!$F$26/1000</f>
        <v>-2356.7129689754352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1.0359767168992573</v>
      </c>
      <c r="G49" s="306">
        <f>+K31/J31</f>
        <v>0.91100624164168476</v>
      </c>
      <c r="I49" s="692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-1.1482370609883219E-11</v>
      </c>
      <c r="U49" s="122">
        <f>+U48-U44</f>
        <v>0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85141.668845695647</v>
      </c>
      <c r="P51" s="460">
        <f>+P41-P43</f>
        <v>95014.507167000003</v>
      </c>
      <c r="Q51" s="460">
        <f>+P51-O51</f>
        <v>9872.8383213043562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851.41668845695642</v>
      </c>
      <c r="P52" s="460">
        <f>+P51/100</f>
        <v>950.14507166999999</v>
      </c>
      <c r="Q52" s="460">
        <f>+P52-O52</f>
        <v>98.728383213043571</v>
      </c>
      <c r="S52" t="s">
        <v>40</v>
      </c>
      <c r="T52" s="212">
        <f>(+T27+T34)/100</f>
        <v>4.6655239782118585</v>
      </c>
      <c r="U52" s="212">
        <f>(+U27+U34)/100</f>
        <v>-30.467043928623308</v>
      </c>
      <c r="V52" s="212">
        <f>+U52-T52</f>
        <v>-35.132567906835163</v>
      </c>
      <c r="W52" s="211">
        <f>+U52/T52-1</f>
        <v>-7.5302512795787457</v>
      </c>
      <c r="AC52" s="29"/>
      <c r="AD52" s="28"/>
      <c r="AE52" s="28"/>
      <c r="AF52" s="29"/>
      <c r="AJ52" s="460"/>
    </row>
    <row r="53" spans="6:36" x14ac:dyDescent="0.3">
      <c r="Q53" s="211">
        <f>+P52/O52</f>
        <v>1.115957773146274</v>
      </c>
      <c r="S53" t="s">
        <v>1</v>
      </c>
      <c r="T53" s="4">
        <f>+T31/100</f>
        <v>-3.3064493317864447</v>
      </c>
      <c r="U53" s="4">
        <f>+U31/100</f>
        <v>-6.4719291413540336</v>
      </c>
      <c r="V53" s="212">
        <f>+U53-T53</f>
        <v>-3.1654798095675889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5.0586417033333335</v>
      </c>
      <c r="U54" s="4">
        <f>(U32+U33)/100</f>
        <v>3.18461814</v>
      </c>
      <c r="V54" s="265">
        <f>+U54-T54</f>
        <v>-1.8740235633333335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-0.55585329999993061</v>
      </c>
      <c r="U55" s="212">
        <f>((U48-U43)/100)-U52-U53-U54</f>
        <v>4.8083362199997346</v>
      </c>
      <c r="V55" s="212">
        <f>+U55-T55</f>
        <v>5.3641895199996652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4.5027884033334029</v>
      </c>
      <c r="U56" s="212">
        <f>SUM(U54:U55)</f>
        <v>7.9929543599997341</v>
      </c>
      <c r="V56" s="212">
        <f>SUM(V54:V55)</f>
        <v>3.4901659566663317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5.8618630497588162</v>
      </c>
      <c r="U57" s="212">
        <f>SUM(U52:U55)</f>
        <v>-28.946018709977611</v>
      </c>
      <c r="V57" s="212">
        <f>+U57-T57</f>
        <v>-34.807881759736425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5.0586417033333335</v>
      </c>
      <c r="U60" s="265">
        <f>+(U32+U33)/100</f>
        <v>3.18461814</v>
      </c>
      <c r="V60" s="212">
        <f>+U60-T60</f>
        <v>-1.8740235633333335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12">+T35/100</f>
        <v>3.6</v>
      </c>
      <c r="U61" s="212">
        <f t="shared" si="12"/>
        <v>5.336483499999999</v>
      </c>
      <c r="V61" s="212">
        <f>+U61-T61</f>
        <v>1.736483499999999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12"/>
        <v>0</v>
      </c>
      <c r="U62" s="212">
        <f t="shared" si="12"/>
        <v>1.8444025500000001</v>
      </c>
      <c r="V62" s="212">
        <f>+U62-T62</f>
        <v>1.8444025500000001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12"/>
        <v>-0.63443627999999996</v>
      </c>
      <c r="U63" s="212">
        <f t="shared" si="12"/>
        <v>-1.3347865499999998</v>
      </c>
      <c r="V63" s="212">
        <f>+U63-T63</f>
        <v>-0.70035026999999983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-3.5214170199998187</v>
      </c>
      <c r="U64" s="212">
        <f>+U39/100</f>
        <v>-1.037763280000277</v>
      </c>
      <c r="V64" s="212">
        <f>+U64-T64</f>
        <v>2.483653739999542</v>
      </c>
      <c r="AC64" s="212"/>
      <c r="AD64" s="212"/>
      <c r="AE64" s="212"/>
    </row>
    <row r="65" spans="20:31" x14ac:dyDescent="0.3">
      <c r="T65" s="4">
        <f>SUM(T60:T64)</f>
        <v>4.5027884033335166</v>
      </c>
      <c r="U65" s="4">
        <f>SUM(U60:U64)</f>
        <v>7.9929543599997217</v>
      </c>
      <c r="V65" s="4">
        <f>SUM(V60:V64)</f>
        <v>3.4901659566662078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450.27884033335152</v>
      </c>
      <c r="U68" s="4">
        <f>SUM(U32:U33,U35,U37:U39)</f>
        <v>614.85518099997228</v>
      </c>
      <c r="V68" s="4">
        <f>+U68-T68</f>
        <v>164.57634066662075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625.98297761879871</v>
      </c>
      <c r="U70" s="460">
        <f>+U41-U43</f>
        <v>-2513.4159999977574</v>
      </c>
      <c r="V70" s="460"/>
      <c r="AC70" s="212"/>
      <c r="AE70" s="212"/>
    </row>
    <row r="71" spans="20:31" x14ac:dyDescent="0.3">
      <c r="T71" s="460">
        <f>+T70/100</f>
        <v>6.2598297761879875</v>
      </c>
      <c r="U71" s="460">
        <f>+U70/100</f>
        <v>-25.134159999977573</v>
      </c>
      <c r="V71" s="460">
        <f>+U71-T71</f>
        <v>-31.393989776165562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0"/>
    <pageSetUpPr fitToPage="1"/>
  </sheetPr>
  <dimension ref="D1:Z52"/>
  <sheetViews>
    <sheetView showGridLines="0" showZeros="0" view="pageBreakPreview" zoomScale="85" zoomScaleNormal="85" zoomScaleSheetLayoutView="85" workbookViewId="0">
      <pane xSplit="4" ySplit="7" topLeftCell="E17" activePane="bottomRight" state="frozen"/>
      <selection activeCell="G40" sqref="G40"/>
      <selection pane="topRight" activeCell="G40" sqref="G40"/>
      <selection pane="bottomLeft" activeCell="G40" sqref="G40"/>
      <selection pane="bottomRight" activeCell="Q26" sqref="Q26"/>
    </sheetView>
  </sheetViews>
  <sheetFormatPr defaultRowHeight="16.5" x14ac:dyDescent="0.3"/>
  <cols>
    <col min="1" max="3" width="5.625" style="4" customWidth="1"/>
    <col min="4" max="4" width="9.875" style="4" customWidth="1"/>
    <col min="5" max="7" width="9.625" style="4" customWidth="1"/>
    <col min="8" max="10" width="8.625" style="4" customWidth="1"/>
    <col min="11" max="23" width="9.625" style="4" customWidth="1"/>
    <col min="24" max="16384" width="9" style="4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368" t="s">
        <v>206</v>
      </c>
      <c r="F4" s="368"/>
      <c r="I4" s="368"/>
      <c r="J4" s="368"/>
    </row>
    <row r="5" spans="4:26" ht="21.95" customHeight="1" x14ac:dyDescent="0.3">
      <c r="W5" s="367" t="s">
        <v>135</v>
      </c>
    </row>
    <row r="6" spans="4:26" ht="24" customHeight="1" thickBot="1" x14ac:dyDescent="0.35">
      <c r="D6" s="693" t="s">
        <v>11</v>
      </c>
      <c r="E6" s="366" t="s">
        <v>134</v>
      </c>
      <c r="F6" s="365"/>
      <c r="G6" s="364"/>
      <c r="H6" s="366" t="s">
        <v>133</v>
      </c>
      <c r="I6" s="365"/>
      <c r="J6" s="365"/>
      <c r="K6" s="364"/>
      <c r="L6" s="366" t="s">
        <v>132</v>
      </c>
      <c r="M6" s="365"/>
      <c r="N6" s="365"/>
      <c r="O6" s="364"/>
      <c r="P6" s="366" t="s">
        <v>131</v>
      </c>
      <c r="Q6" s="365"/>
      <c r="R6" s="365"/>
      <c r="S6" s="364"/>
      <c r="T6" s="366" t="s">
        <v>130</v>
      </c>
      <c r="U6" s="365"/>
      <c r="V6" s="365"/>
      <c r="W6" s="364"/>
    </row>
    <row r="7" spans="4:26" ht="24" customHeight="1" x14ac:dyDescent="0.3">
      <c r="D7" s="694"/>
      <c r="E7" s="362" t="s">
        <v>36</v>
      </c>
      <c r="F7" s="361" t="s">
        <v>37</v>
      </c>
      <c r="G7" s="363" t="s">
        <v>38</v>
      </c>
      <c r="H7" s="362" t="s">
        <v>12</v>
      </c>
      <c r="I7" s="361" t="s">
        <v>13</v>
      </c>
      <c r="J7" s="360" t="s">
        <v>38</v>
      </c>
      <c r="K7" s="359" t="s">
        <v>129</v>
      </c>
      <c r="L7" s="362" t="s">
        <v>12</v>
      </c>
      <c r="M7" s="361" t="s">
        <v>13</v>
      </c>
      <c r="N7" s="360" t="s">
        <v>38</v>
      </c>
      <c r="O7" s="359" t="s">
        <v>129</v>
      </c>
      <c r="P7" s="362" t="s">
        <v>12</v>
      </c>
      <c r="Q7" s="361" t="s">
        <v>13</v>
      </c>
      <c r="R7" s="360" t="s">
        <v>38</v>
      </c>
      <c r="S7" s="359" t="s">
        <v>129</v>
      </c>
      <c r="T7" s="362" t="s">
        <v>12</v>
      </c>
      <c r="U7" s="361" t="s">
        <v>13</v>
      </c>
      <c r="V7" s="360" t="s">
        <v>38</v>
      </c>
      <c r="W7" s="359" t="s">
        <v>129</v>
      </c>
    </row>
    <row r="8" spans="4:26" ht="24" customHeight="1" x14ac:dyDescent="0.3">
      <c r="D8" s="358" t="s">
        <v>32</v>
      </c>
      <c r="E8" s="356">
        <f>+[4]합계!$H$86/1000</f>
        <v>2860.7167115336138</v>
      </c>
      <c r="F8" s="355">
        <f>+[4]합계!$I$86/1000</f>
        <v>1350.2923179999914</v>
      </c>
      <c r="G8" s="354">
        <f t="shared" ref="G8:G28" si="0">+F8-E8</f>
        <v>-1510.4243935336224</v>
      </c>
      <c r="H8" s="356">
        <f>+[4]합계!$T$5/1000</f>
        <v>270</v>
      </c>
      <c r="I8" s="355">
        <f>+[4]합계!$U$5/1000</f>
        <v>218.18950000000001</v>
      </c>
      <c r="J8" s="354">
        <f t="shared" ref="J8:J28" si="1">+I8-H8</f>
        <v>-51.81049999999999</v>
      </c>
      <c r="K8" s="357">
        <f>+[4]합계!$M$86/1000</f>
        <v>-756.04374142033885</v>
      </c>
      <c r="L8" s="356">
        <f>+[4]합계!$Q$85</f>
        <v>101432.30731425683</v>
      </c>
      <c r="M8" s="355">
        <f>+[4]합계!$R$85</f>
        <v>102620.91713856411</v>
      </c>
      <c r="N8" s="354">
        <f t="shared" ref="N8:N28" si="2">+M8-L8</f>
        <v>1188.6098243072774</v>
      </c>
      <c r="O8" s="357">
        <f>+[4]합계!$K$86/1000</f>
        <v>258.2807546875863</v>
      </c>
      <c r="P8" s="356">
        <f>+[4]합계!$Q$50</f>
        <v>87030.947946845947</v>
      </c>
      <c r="Q8" s="355">
        <f>+[4]합계!$R$50</f>
        <v>91539.918175819679</v>
      </c>
      <c r="R8" s="354">
        <f t="shared" ref="R8:R28" si="3">+Q8-P8</f>
        <v>4508.9702289737324</v>
      </c>
      <c r="S8" s="357">
        <f>+[4]합계!$L$56/1000</f>
        <v>-875.95909993818964</v>
      </c>
      <c r="T8" s="356">
        <f>+([4]합계!$H$80+[4]합계!$H$85)/1000</f>
        <v>1027.6503176673234</v>
      </c>
      <c r="U8" s="355">
        <f>+([4]합계!$I$80+[4]합계!$I$85)/1000</f>
        <v>1164.35262453</v>
      </c>
      <c r="V8" s="354">
        <f t="shared" ref="V8:V28" si="4">+U8-T8</f>
        <v>136.70230686267655</v>
      </c>
      <c r="W8" s="353">
        <f>+([4]합계!$L$80+[4]합계!$L$85)/1000</f>
        <v>-136.70230686267664</v>
      </c>
      <c r="Y8" s="4">
        <f t="shared" ref="Y8:Y28" si="5">+G8-K8-O8-S8-W8</f>
        <v>-3.5527136788005009E-12</v>
      </c>
      <c r="Z8" s="4">
        <f t="shared" ref="Z8:Z28" si="6">+Y8*1000000</f>
        <v>-3.5527136788005009E-6</v>
      </c>
    </row>
    <row r="9" spans="4:26" ht="24" customHeight="1" x14ac:dyDescent="0.3">
      <c r="D9" s="352" t="s">
        <v>16</v>
      </c>
      <c r="E9" s="351">
        <f>+[4]수도권!$H$86/1000</f>
        <v>934.03166209350297</v>
      </c>
      <c r="F9" s="350">
        <f>+[4]수도권!$I$86/1000</f>
        <v>602.59638599999926</v>
      </c>
      <c r="G9" s="349">
        <f t="shared" si="0"/>
        <v>-331.43527609350372</v>
      </c>
      <c r="H9" s="351">
        <f>+[4]수도권!$T$5/1000</f>
        <v>105</v>
      </c>
      <c r="I9" s="350">
        <f>+[4]수도권!$U$5/1000</f>
        <v>92.18</v>
      </c>
      <c r="J9" s="349">
        <f t="shared" si="1"/>
        <v>-12.819999999999993</v>
      </c>
      <c r="K9" s="348">
        <f>+[4]수도권!$M$86/1000</f>
        <v>-162.72131757910037</v>
      </c>
      <c r="L9" s="351">
        <f>+[4]수도권!$Q$85</f>
        <v>98482.526745520168</v>
      </c>
      <c r="M9" s="350">
        <f>+[4]수도권!$R$85</f>
        <v>100715.67502492139</v>
      </c>
      <c r="N9" s="349">
        <f t="shared" si="2"/>
        <v>2233.1482794012263</v>
      </c>
      <c r="O9" s="348">
        <f>+[4]수도권!$K$86/1000</f>
        <v>203.85740698169971</v>
      </c>
      <c r="P9" s="351">
        <f>+[4]수도권!$Q$50</f>
        <v>86400.588469497365</v>
      </c>
      <c r="Q9" s="350">
        <f>+[4]수도권!$R$50</f>
        <v>90508.963816762131</v>
      </c>
      <c r="R9" s="349">
        <f t="shared" si="3"/>
        <v>4108.3753472647659</v>
      </c>
      <c r="S9" s="348">
        <f>+[4]수도권!$L$56/1000</f>
        <v>-375.16005002499338</v>
      </c>
      <c r="T9" s="351">
        <f>+([4]수도권!$H$80+[4]수도권!$H$85)/1000</f>
        <v>334.57185688888887</v>
      </c>
      <c r="U9" s="350">
        <f>+([4]수도권!$I$80+[4]수도권!$I$85)/1000</f>
        <v>331.98317235999997</v>
      </c>
      <c r="V9" s="349">
        <f t="shared" si="4"/>
        <v>-2.5886845288889049</v>
      </c>
      <c r="W9" s="348">
        <f>+([4]수도권!$L$80+[4]수도권!$L$85)/1000</f>
        <v>2.5886845288889107</v>
      </c>
      <c r="Y9" s="4">
        <f t="shared" si="5"/>
        <v>1.4153123117921496E-12</v>
      </c>
      <c r="Z9" s="4">
        <f t="shared" si="6"/>
        <v>1.4153123117921496E-6</v>
      </c>
    </row>
    <row r="10" spans="4:26" ht="24" customHeight="1" x14ac:dyDescent="0.3">
      <c r="D10" s="347" t="s">
        <v>17</v>
      </c>
      <c r="E10" s="346">
        <f>+[4]영남권!$H$86/1000</f>
        <v>1333.4595897593365</v>
      </c>
      <c r="F10" s="345">
        <f>+[4]영남권!$I$86/1000</f>
        <v>365.61656800000111</v>
      </c>
      <c r="G10" s="344">
        <f t="shared" si="0"/>
        <v>-967.84302175933544</v>
      </c>
      <c r="H10" s="346">
        <f>+[4]영남권!$T$5/1000</f>
        <v>117</v>
      </c>
      <c r="I10" s="345">
        <f>+[4]영남권!$U$5/1000</f>
        <v>83.367999999999995</v>
      </c>
      <c r="J10" s="344">
        <f t="shared" si="1"/>
        <v>-33.632000000000005</v>
      </c>
      <c r="K10" s="343">
        <f>+[4]영남권!$M$86/1000</f>
        <v>-523.21458136472756</v>
      </c>
      <c r="L10" s="346">
        <f>+[4]영남권!$Q$85</f>
        <v>102761.14160059592</v>
      </c>
      <c r="M10" s="345">
        <f>+[4]영남권!$R$85</f>
        <v>102825.49369062472</v>
      </c>
      <c r="N10" s="344">
        <f t="shared" si="2"/>
        <v>64.352090028798557</v>
      </c>
      <c r="O10" s="343">
        <f>+[4]영남권!$K$86/1000</f>
        <v>5.3649050415208777</v>
      </c>
      <c r="P10" s="346">
        <f>+[4]영남권!$Q$50</f>
        <v>87204.095294556202</v>
      </c>
      <c r="Q10" s="345">
        <f>+[4]영남권!$R$50</f>
        <v>92217.736045592785</v>
      </c>
      <c r="R10" s="344">
        <f t="shared" si="3"/>
        <v>5013.6407510365825</v>
      </c>
      <c r="S10" s="343">
        <f>+[4]영남권!$L$56/1000</f>
        <v>-314.06936768343684</v>
      </c>
      <c r="T10" s="346">
        <f>+([4]영남권!$H$80+[4]영남권!$H$85)/1000</f>
        <v>486.7148280473092</v>
      </c>
      <c r="U10" s="345">
        <f>+([4]영남권!$I$80+[4]영남권!$I$85)/1000</f>
        <v>622.6388058</v>
      </c>
      <c r="V10" s="344">
        <f t="shared" si="4"/>
        <v>135.9239777526908</v>
      </c>
      <c r="W10" s="343">
        <f>+([4]영남권!$L$80+[4]영남권!$L$85)/1000</f>
        <v>-135.92397775269077</v>
      </c>
      <c r="Y10" s="4">
        <f t="shared" si="5"/>
        <v>-1.1652900866465643E-12</v>
      </c>
      <c r="Z10" s="4">
        <f t="shared" si="6"/>
        <v>-1.1652900866465643E-6</v>
      </c>
    </row>
    <row r="11" spans="4:26" ht="24" customHeight="1" x14ac:dyDescent="0.3">
      <c r="D11" s="342" t="s">
        <v>128</v>
      </c>
      <c r="E11" s="341">
        <f>+[4]중부권!$H$86/1000</f>
        <v>593.22545968076633</v>
      </c>
      <c r="F11" s="340">
        <f>+[4]중부권!$I$86/1000</f>
        <v>382.07936400000074</v>
      </c>
      <c r="G11" s="339">
        <f t="shared" si="0"/>
        <v>-211.1460956807656</v>
      </c>
      <c r="H11" s="341">
        <f>+[4]중부권!$T$5/1000</f>
        <v>48</v>
      </c>
      <c r="I11" s="340">
        <f>+[4]중부권!$U$5/1000</f>
        <v>42.641500000000001</v>
      </c>
      <c r="J11" s="339">
        <f t="shared" si="1"/>
        <v>-5.3584999999999994</v>
      </c>
      <c r="K11" s="338">
        <f>+[4]중부권!$M$86/1000</f>
        <v>-89.262461493523261</v>
      </c>
      <c r="L11" s="341">
        <f>+[4]중부권!$Q$85</f>
        <v>104645.91873541666</v>
      </c>
      <c r="M11" s="340">
        <f>+[4]중부권!$R$85</f>
        <v>106299.69717294186</v>
      </c>
      <c r="N11" s="339">
        <f t="shared" si="2"/>
        <v>1653.778437525194</v>
      </c>
      <c r="O11" s="338">
        <f>+[4]중부권!$K$86/1000</f>
        <v>70.519593243730554</v>
      </c>
      <c r="P11" s="341">
        <f>+[4]중부권!$Q$50</f>
        <v>87987.812643502242</v>
      </c>
      <c r="Q11" s="340">
        <f>+[4]중부권!$R$50</f>
        <v>92419.931103216193</v>
      </c>
      <c r="R11" s="339">
        <f t="shared" si="3"/>
        <v>4432.1184597139509</v>
      </c>
      <c r="S11" s="338">
        <f>+[4]중부권!$L$56/1000</f>
        <v>-189.03621379209812</v>
      </c>
      <c r="T11" s="341">
        <f>+([4]중부권!$H$80+[4]중부권!$H$85)/1000</f>
        <v>206.36363273112516</v>
      </c>
      <c r="U11" s="340">
        <f>+([4]중부권!$I$80+[4]중부권!$I$85)/1000</f>
        <v>209.73064636999996</v>
      </c>
      <c r="V11" s="339">
        <f t="shared" si="4"/>
        <v>3.3670136388747949</v>
      </c>
      <c r="W11" s="338">
        <f>+([4]중부권!$L$80+[4]중부권!$L$85)/1000</f>
        <v>-3.3670136388747878</v>
      </c>
      <c r="Y11" s="4">
        <f t="shared" si="5"/>
        <v>2.1316282072803006E-14</v>
      </c>
      <c r="Z11" s="4">
        <f t="shared" si="6"/>
        <v>2.1316282072803006E-8</v>
      </c>
    </row>
    <row r="12" spans="4:26" ht="24" customHeight="1" x14ac:dyDescent="0.3">
      <c r="D12" s="337" t="s">
        <v>18</v>
      </c>
      <c r="E12" s="335">
        <f>+[4]안양!$H$86/1000</f>
        <v>434.05382901278898</v>
      </c>
      <c r="F12" s="334">
        <f>+[4]안양!$I$86/1000</f>
        <v>439.64523199999962</v>
      </c>
      <c r="G12" s="336">
        <f t="shared" si="0"/>
        <v>5.5914029872106426</v>
      </c>
      <c r="H12" s="335">
        <f>+[4]안양!$T$5/1000</f>
        <v>37</v>
      </c>
      <c r="I12" s="334">
        <f>+[4]안양!$U$5/1000</f>
        <v>34.368000000000002</v>
      </c>
      <c r="J12" s="333">
        <f t="shared" si="1"/>
        <v>-2.6319999999999979</v>
      </c>
      <c r="K12" s="332">
        <f>+[4]안양!$M$86/1000</f>
        <v>-40.136716868518675</v>
      </c>
      <c r="L12" s="335">
        <f>+[4]안양!$Q$85</f>
        <v>98200.591162162149</v>
      </c>
      <c r="M12" s="334">
        <f>+[4]안양!$R$85</f>
        <v>102248.21350749765</v>
      </c>
      <c r="N12" s="333">
        <f t="shared" si="2"/>
        <v>4047.6223453355051</v>
      </c>
      <c r="O12" s="332">
        <f>+[4]안양!$K$86/1000</f>
        <v>138.20201735913548</v>
      </c>
      <c r="P12" s="335">
        <f>+[4]안양!$Q$50</f>
        <v>83783.533435089776</v>
      </c>
      <c r="Q12" s="334">
        <f>+[4]안양!$R$50</f>
        <v>86399.479271577482</v>
      </c>
      <c r="R12" s="333">
        <f t="shared" si="3"/>
        <v>2615.9458364877064</v>
      </c>
      <c r="S12" s="332">
        <f>+[4]안양!$L$56/1000</f>
        <v>-89.341809482294707</v>
      </c>
      <c r="T12" s="335">
        <f>+([4]안양!$H$80+[4]안양!$H$85)/1000</f>
        <v>99.377306888888882</v>
      </c>
      <c r="U12" s="334">
        <f>+([4]안양!$I$80+[4]안양!$I$85)/1000</f>
        <v>102.50939491</v>
      </c>
      <c r="V12" s="333">
        <f t="shared" si="4"/>
        <v>3.1320880211111159</v>
      </c>
      <c r="W12" s="332">
        <f>+([4]안양!$L$80+[4]안양!$L$85)/1000</f>
        <v>-3.1320880211111191</v>
      </c>
      <c r="Y12" s="4">
        <f t="shared" si="5"/>
        <v>-3.3795188869589765E-13</v>
      </c>
      <c r="Z12" s="4">
        <f t="shared" si="6"/>
        <v>-3.3795188869589765E-7</v>
      </c>
    </row>
    <row r="13" spans="4:26" ht="24" customHeight="1" x14ac:dyDescent="0.3">
      <c r="D13" s="324" t="s">
        <v>19</v>
      </c>
      <c r="E13" s="321">
        <f>+[4]인천!$H$86/1000</f>
        <v>296.46875049125043</v>
      </c>
      <c r="F13" s="320">
        <f>+[4]인천!$I$86/1000</f>
        <v>49.957465000000347</v>
      </c>
      <c r="G13" s="322">
        <f t="shared" si="0"/>
        <v>-246.51128549125008</v>
      </c>
      <c r="H13" s="321">
        <f>+[4]인천!$T$5/1000</f>
        <v>35</v>
      </c>
      <c r="I13" s="320">
        <f>+[4]인천!$U$5/1000</f>
        <v>29.096</v>
      </c>
      <c r="J13" s="139">
        <f t="shared" si="1"/>
        <v>-5.9039999999999999</v>
      </c>
      <c r="K13" s="319">
        <f>+[4]인천!$M$86/1000</f>
        <v>-70.372003328398335</v>
      </c>
      <c r="L13" s="321">
        <f>+[4]인천!$Q$85</f>
        <v>99846.060890846158</v>
      </c>
      <c r="M13" s="320">
        <f>+[4]인천!$R$85</f>
        <v>99946.750870473537</v>
      </c>
      <c r="N13" s="139">
        <f t="shared" si="2"/>
        <v>100.68997962737922</v>
      </c>
      <c r="O13" s="319">
        <f>+[4]인천!$K$86/1000</f>
        <v>2.8918162148983311</v>
      </c>
      <c r="P13" s="321">
        <f>+[4]인천!$Q$50</f>
        <v>88443.59188950884</v>
      </c>
      <c r="Q13" s="320">
        <f>+[4]인천!$R$50</f>
        <v>94576.952387581798</v>
      </c>
      <c r="R13" s="139">
        <f t="shared" si="3"/>
        <v>6133.3604980729579</v>
      </c>
      <c r="S13" s="319">
        <f>+[4]인천!$L$56/1000</f>
        <v>-176.19593416330608</v>
      </c>
      <c r="T13" s="321">
        <f>+([4]인천!$H$80+[4]인천!$H$85)/1000</f>
        <v>102.61766455555556</v>
      </c>
      <c r="U13" s="320">
        <f>+([4]인천!$I$80+[4]인천!$I$85)/1000</f>
        <v>105.45282877</v>
      </c>
      <c r="V13" s="139">
        <f t="shared" si="4"/>
        <v>2.8351642144444327</v>
      </c>
      <c r="W13" s="319">
        <f>+([4]인천!$L$80+[4]인천!$L$85)/1000</f>
        <v>-2.8351642144444469</v>
      </c>
      <c r="Y13" s="4">
        <f t="shared" si="5"/>
        <v>4.4053649617126212E-13</v>
      </c>
      <c r="Z13" s="4">
        <f t="shared" si="6"/>
        <v>4.4053649617126212E-7</v>
      </c>
    </row>
    <row r="14" spans="4:26" ht="24" customHeight="1" x14ac:dyDescent="0.3">
      <c r="D14" s="324" t="s">
        <v>20</v>
      </c>
      <c r="E14" s="321">
        <f>+[4]파주!$H$86/1000</f>
        <v>101.7488971038308</v>
      </c>
      <c r="F14" s="320">
        <f>+[4]파주!$I$86/1000</f>
        <v>48.322041999999904</v>
      </c>
      <c r="G14" s="322">
        <f t="shared" si="0"/>
        <v>-53.426855103830896</v>
      </c>
      <c r="H14" s="321">
        <f>+[4]파주!$T$5/1000</f>
        <v>18</v>
      </c>
      <c r="I14" s="320">
        <f>+[4]파주!$U$5/1000</f>
        <v>13.394500000000001</v>
      </c>
      <c r="J14" s="139">
        <f t="shared" si="1"/>
        <v>-4.6054999999999993</v>
      </c>
      <c r="K14" s="319">
        <f>+[4]파주!$M$86/1000</f>
        <v>-45.533865157359394</v>
      </c>
      <c r="L14" s="321">
        <f>+[4]파주!$Q$85</f>
        <v>98575.7978</v>
      </c>
      <c r="M14" s="320">
        <f>+[4]파주!$R$85</f>
        <v>102535.02557019671</v>
      </c>
      <c r="N14" s="139">
        <f t="shared" si="2"/>
        <v>3959.2277701967105</v>
      </c>
      <c r="O14" s="319">
        <f>+[4]파주!$K$86/1000</f>
        <v>53.031876367899834</v>
      </c>
      <c r="P14" s="321">
        <f>+[4]파주!$Q$50</f>
        <v>88688.952689293365</v>
      </c>
      <c r="Q14" s="320">
        <f>+[4]파주!$R$50</f>
        <v>93857.092748105846</v>
      </c>
      <c r="R14" s="139">
        <f t="shared" si="3"/>
        <v>5168.1400588124816</v>
      </c>
      <c r="S14" s="319">
        <f>+[4]파주!$L$56/1000</f>
        <v>-69.28087405326005</v>
      </c>
      <c r="T14" s="321">
        <f>+([4]파주!$H$80+[4]파주!$H$85)/1000</f>
        <v>76.214314888888879</v>
      </c>
      <c r="U14" s="320">
        <f>+([4]파주!$I$80+[4]파주!$I$85)/1000</f>
        <v>67.858307150000002</v>
      </c>
      <c r="V14" s="139">
        <f t="shared" si="4"/>
        <v>-8.3560077388888772</v>
      </c>
      <c r="W14" s="319">
        <f>+([4]파주!$L$80+[4]파주!$L$85)/1000</f>
        <v>8.3560077388888914</v>
      </c>
      <c r="Y14" s="4">
        <f t="shared" si="5"/>
        <v>-1.7763568394002505E-13</v>
      </c>
      <c r="Z14" s="4">
        <f t="shared" si="6"/>
        <v>-1.7763568394002505E-7</v>
      </c>
    </row>
    <row r="15" spans="4:26" ht="24" customHeight="1" x14ac:dyDescent="0.3">
      <c r="D15" s="324" t="s">
        <v>106</v>
      </c>
      <c r="E15" s="321">
        <f>+[4]김포!$H$86/1000</f>
        <v>101.76018548563223</v>
      </c>
      <c r="F15" s="320">
        <f>+[4]김포!$I$86/1000</f>
        <v>64.671647000000021</v>
      </c>
      <c r="G15" s="322">
        <f t="shared" si="0"/>
        <v>-37.088538485632213</v>
      </c>
      <c r="H15" s="321">
        <f>+[4]김포!$T$5/1000</f>
        <v>15</v>
      </c>
      <c r="I15" s="320">
        <f>+[4]김포!$U$5/1000</f>
        <v>15.3215</v>
      </c>
      <c r="J15" s="139">
        <f t="shared" si="1"/>
        <v>0.32150000000000034</v>
      </c>
      <c r="K15" s="319">
        <f>+[4]김포!$M$86/1000</f>
        <v>0.98483323647825816</v>
      </c>
      <c r="L15" s="321">
        <f>+[4]김포!$Q$85</f>
        <v>95884.462913333322</v>
      </c>
      <c r="M15" s="320">
        <f>+[4]김포!$R$85</f>
        <v>97081.727318095611</v>
      </c>
      <c r="N15" s="139">
        <f t="shared" si="2"/>
        <v>1197.2644047622889</v>
      </c>
      <c r="O15" s="319">
        <f>+[4]김포!$K$86/1000</f>
        <v>17.99308810697006</v>
      </c>
      <c r="P15" s="321">
        <f>+[4]김포!$Q$50</f>
        <v>85342.94584392081</v>
      </c>
      <c r="Q15" s="331">
        <f>+[4]김포!$R$50</f>
        <v>89086.925508201079</v>
      </c>
      <c r="R15" s="139">
        <f t="shared" si="3"/>
        <v>3743.9796642802685</v>
      </c>
      <c r="S15" s="319">
        <f>+[4]김포!$L$56/1000</f>
        <v>-56.266388854636006</v>
      </c>
      <c r="T15" s="321">
        <f>+([4]김포!$H$80+[4]김포!$H$85)/1000</f>
        <v>56.362570555555564</v>
      </c>
      <c r="U15" s="320">
        <f>+([4]김포!$I$80+[4]김포!$I$85)/1000</f>
        <v>56.162641529999995</v>
      </c>
      <c r="V15" s="139">
        <f t="shared" si="4"/>
        <v>-0.19992902555556924</v>
      </c>
      <c r="W15" s="319">
        <f>+([4]김포!$L$80+[4]김포!$L$85)/1000</f>
        <v>0.19992902555556122</v>
      </c>
      <c r="Y15" s="4">
        <f t="shared" si="5"/>
        <v>-8.4349194295896268E-14</v>
      </c>
      <c r="Z15" s="4">
        <f t="shared" si="6"/>
        <v>-8.4349194295896268E-8</v>
      </c>
    </row>
    <row r="16" spans="4:26" ht="24" customHeight="1" x14ac:dyDescent="0.3">
      <c r="D16" s="330" t="s">
        <v>21</v>
      </c>
      <c r="E16" s="328">
        <f>+[4]부산!$H$86/1000</f>
        <v>211.20210961855889</v>
      </c>
      <c r="F16" s="327">
        <f>+[4]부산!$I$86/1000</f>
        <v>92.754418000000157</v>
      </c>
      <c r="G16" s="329">
        <f t="shared" si="0"/>
        <v>-118.44769161855874</v>
      </c>
      <c r="H16" s="328">
        <f>+[4]부산!$T$5/1000</f>
        <v>20</v>
      </c>
      <c r="I16" s="327">
        <f>+[4]부산!$U$5/1000</f>
        <v>13.162000000000001</v>
      </c>
      <c r="J16" s="326">
        <f t="shared" si="1"/>
        <v>-6.8379999999999992</v>
      </c>
      <c r="K16" s="325">
        <f>+[4]부산!$M$86/1000</f>
        <v>-108.36954027555196</v>
      </c>
      <c r="L16" s="328">
        <f>+[4]부산!$Q$85</f>
        <v>107265.60605000002</v>
      </c>
      <c r="M16" s="327">
        <f>+[4]부산!$R$85</f>
        <v>115681.59079167301</v>
      </c>
      <c r="N16" s="326">
        <f t="shared" si="2"/>
        <v>8415.9847416729899</v>
      </c>
      <c r="O16" s="325">
        <f>+[4]부산!$K$86/1000</f>
        <v>110.77119116989991</v>
      </c>
      <c r="P16" s="328">
        <f>+[4]부산!$Q$50</f>
        <v>91417.472052405385</v>
      </c>
      <c r="Q16" s="327">
        <f>+[4]부산!$R$50</f>
        <v>100549.88390822064</v>
      </c>
      <c r="R16" s="326">
        <f t="shared" si="3"/>
        <v>9132.411855815255</v>
      </c>
      <c r="S16" s="325">
        <f>+[4]부산!$L$56/1000</f>
        <v>-77.54236421624006</v>
      </c>
      <c r="T16" s="328">
        <f>+([4]부산!$H$80+[4]부산!$H$85)/1000</f>
        <v>105.76057033333333</v>
      </c>
      <c r="U16" s="327">
        <f>+([4]부산!$I$80+[4]부산!$I$85)/1000</f>
        <v>149.06754863</v>
      </c>
      <c r="V16" s="326">
        <f t="shared" si="4"/>
        <v>43.306978296666671</v>
      </c>
      <c r="W16" s="325">
        <f>+([4]부산!$L$80+[4]부산!$L$85)/1000</f>
        <v>-43.306978296666657</v>
      </c>
      <c r="Y16" s="4">
        <f t="shared" si="5"/>
        <v>0</v>
      </c>
      <c r="Z16" s="4">
        <f t="shared" si="6"/>
        <v>0</v>
      </c>
    </row>
    <row r="17" spans="4:26" ht="24" customHeight="1" x14ac:dyDescent="0.3">
      <c r="D17" s="324" t="s">
        <v>22</v>
      </c>
      <c r="E17" s="321">
        <f>+[4]서부산!$H$86/1000</f>
        <v>317.84869710813064</v>
      </c>
      <c r="F17" s="320">
        <f>+[4]서부산!$I$86/1000</f>
        <v>220.01483799999994</v>
      </c>
      <c r="G17" s="322">
        <f t="shared" si="0"/>
        <v>-97.833859108130696</v>
      </c>
      <c r="H17" s="321">
        <f>+[4]서부산!$T$5/1000</f>
        <v>20</v>
      </c>
      <c r="I17" s="320">
        <f>+[4]서부산!$U$5/1000</f>
        <v>19.707000000000001</v>
      </c>
      <c r="J17" s="139">
        <f t="shared" si="1"/>
        <v>-0.29299999999999926</v>
      </c>
      <c r="K17" s="319">
        <f>+[4]서부산!$M$86/1000</f>
        <v>-5.8480266184396719</v>
      </c>
      <c r="L17" s="321">
        <f>+[4]서부산!$Q$85</f>
        <v>104020.9987495</v>
      </c>
      <c r="M17" s="320">
        <f>+[4]서부산!$R$85</f>
        <v>103692.33165880144</v>
      </c>
      <c r="N17" s="139">
        <f t="shared" si="2"/>
        <v>-328.66709069855278</v>
      </c>
      <c r="O17" s="319">
        <f>+[4]서부산!$K$86/1000</f>
        <v>-6.4770423563963799</v>
      </c>
      <c r="P17" s="321">
        <f>+[4]서부산!$Q$50</f>
        <v>84061.863532982345</v>
      </c>
      <c r="Q17" s="320">
        <f>+[4]서부산!$R$50</f>
        <v>87838.374905058488</v>
      </c>
      <c r="R17" s="139">
        <f t="shared" si="3"/>
        <v>3776.5113720761437</v>
      </c>
      <c r="S17" s="319">
        <f>+[4]서부산!$L$56/1000</f>
        <v>-37.84973198551701</v>
      </c>
      <c r="T17" s="321">
        <f>+([4]서부산!$H$80+[4]서부산!$H$85)/1000</f>
        <v>81.334007222222226</v>
      </c>
      <c r="U17" s="320">
        <f>+([4]서부산!$I$80+[4]서부산!$I$85)/1000</f>
        <v>128.99306537000001</v>
      </c>
      <c r="V17" s="139">
        <f t="shared" si="4"/>
        <v>47.659058147777785</v>
      </c>
      <c r="W17" s="319">
        <f>+([4]서부산!$L$80+[4]서부산!$L$85)/1000</f>
        <v>-47.659058147777785</v>
      </c>
      <c r="Y17" s="4">
        <f t="shared" si="5"/>
        <v>1.5631940186722204E-13</v>
      </c>
      <c r="Z17" s="4">
        <f t="shared" si="6"/>
        <v>1.5631940186722204E-7</v>
      </c>
    </row>
    <row r="18" spans="4:26" ht="24" customHeight="1" x14ac:dyDescent="0.3">
      <c r="D18" s="324" t="s">
        <v>23</v>
      </c>
      <c r="E18" s="321">
        <f>+[4]김해!$H$86/1000</f>
        <v>84.549448450180179</v>
      </c>
      <c r="F18" s="320">
        <f>+[4]김해!$I$86/1000</f>
        <v>-21.796408000000039</v>
      </c>
      <c r="G18" s="322">
        <f t="shared" si="0"/>
        <v>-106.34585645018022</v>
      </c>
      <c r="H18" s="321">
        <f>+[4]김해!$T$5/1000</f>
        <v>10</v>
      </c>
      <c r="I18" s="320">
        <f>+[4]김해!$U$5/1000</f>
        <v>5.4729999999999999</v>
      </c>
      <c r="J18" s="139">
        <f t="shared" si="1"/>
        <v>-4.5270000000000001</v>
      </c>
      <c r="K18" s="319">
        <f>+[4]김해!$M$86/1000</f>
        <v>-58.279731132396556</v>
      </c>
      <c r="L18" s="321">
        <f>+[4]김해!$Q$85</f>
        <v>101293.38088</v>
      </c>
      <c r="M18" s="320">
        <f>+[4]김해!$R$85</f>
        <v>97145.660515256706</v>
      </c>
      <c r="N18" s="139">
        <f t="shared" si="2"/>
        <v>-4147.7203647432907</v>
      </c>
      <c r="O18" s="319">
        <f>+[4]김해!$K$86/1000</f>
        <v>-22.700473556240031</v>
      </c>
      <c r="P18" s="321">
        <f>+[4]김해!$Q$50</f>
        <v>88419.572368315334</v>
      </c>
      <c r="Q18" s="320">
        <f>+[4]김해!$R$50</f>
        <v>92829.213776722099</v>
      </c>
      <c r="R18" s="139">
        <f t="shared" si="3"/>
        <v>4409.6414084067655</v>
      </c>
      <c r="S18" s="319">
        <f>+[4]김해!$L$56/1000</f>
        <v>-21.700746558210255</v>
      </c>
      <c r="T18" s="321">
        <f>+([4]김해!$H$80+[4]김해!$H$85)/1000</f>
        <v>44.188636666666667</v>
      </c>
      <c r="U18" s="320">
        <f>+([4]김해!$I$80+[4]김해!$I$85)/1000</f>
        <v>47.853541870000001</v>
      </c>
      <c r="V18" s="139">
        <f t="shared" si="4"/>
        <v>3.6649052033333334</v>
      </c>
      <c r="W18" s="319">
        <f>+([4]김해!$L$80+[4]김해!$L$85)/1000</f>
        <v>-3.6649052033333338</v>
      </c>
      <c r="Y18" s="4">
        <f t="shared" si="5"/>
        <v>-4.5741188614556449E-14</v>
      </c>
      <c r="Z18" s="4">
        <f t="shared" si="6"/>
        <v>-4.5741188614556449E-8</v>
      </c>
    </row>
    <row r="19" spans="4:26" ht="24" customHeight="1" x14ac:dyDescent="0.3">
      <c r="D19" s="324" t="s">
        <v>24</v>
      </c>
      <c r="E19" s="321">
        <f>+[4]정관!$H$86/1000</f>
        <v>323.96238640773635</v>
      </c>
      <c r="F19" s="320">
        <f>+[4]정관!$I$86/1000</f>
        <v>92.285134999999954</v>
      </c>
      <c r="G19" s="322">
        <f t="shared" si="0"/>
        <v>-231.67725140773638</v>
      </c>
      <c r="H19" s="321">
        <f>+[4]정관!$T$5/1000</f>
        <v>22</v>
      </c>
      <c r="I19" s="320">
        <f>+[4]정관!$U$5/1000</f>
        <v>14.882999999999999</v>
      </c>
      <c r="J19" s="139">
        <f t="shared" si="1"/>
        <v>-7.1170000000000009</v>
      </c>
      <c r="K19" s="319">
        <f>+[4]정관!$M$86/1000</f>
        <v>-126.88336326140271</v>
      </c>
      <c r="L19" s="321">
        <f>+[4]정관!$Q$85</f>
        <v>106108.08428545456</v>
      </c>
      <c r="M19" s="320">
        <f>+[4]정관!$R$85</f>
        <v>104523.63636363637</v>
      </c>
      <c r="N19" s="139">
        <f t="shared" si="2"/>
        <v>-1584.447921818195</v>
      </c>
      <c r="O19" s="319">
        <f>+[4]정관!$K$86/1000</f>
        <v>-23.581338420420199</v>
      </c>
      <c r="P19" s="321">
        <f>+[4]정관!$Q$50</f>
        <v>88279.875312375647</v>
      </c>
      <c r="Q19" s="320">
        <f>+[4]정관!$R$50</f>
        <v>93452.964686136285</v>
      </c>
      <c r="R19" s="139">
        <f t="shared" si="3"/>
        <v>5173.0893737606384</v>
      </c>
      <c r="S19" s="319">
        <f>+[4]정관!$L$56/1000</f>
        <v>-63.847355615913443</v>
      </c>
      <c r="T19" s="321">
        <f>+([4]정관!$H$80+[4]정관!$H$85)/1000</f>
        <v>68.258211000000017</v>
      </c>
      <c r="U19" s="320">
        <f>+([4]정관!$I$80+[4]정관!$I$85)/1000</f>
        <v>85.623405109999993</v>
      </c>
      <c r="V19" s="139">
        <f t="shared" si="4"/>
        <v>17.365194109999976</v>
      </c>
      <c r="W19" s="319">
        <f>+([4]정관!$L$80+[4]정관!$L$85)/1000</f>
        <v>-17.365194109999994</v>
      </c>
      <c r="Y19" s="4">
        <f t="shared" si="5"/>
        <v>-3.907985046680551E-14</v>
      </c>
      <c r="Z19" s="4">
        <f t="shared" si="6"/>
        <v>-3.907985046680551E-8</v>
      </c>
    </row>
    <row r="20" spans="4:26" ht="24" customHeight="1" x14ac:dyDescent="0.3">
      <c r="D20" s="324" t="s">
        <v>25</v>
      </c>
      <c r="E20" s="321">
        <f>+[4]양산!$H$86/1000</f>
        <v>114.96988323190634</v>
      </c>
      <c r="F20" s="320">
        <f>+[4]양산!$I$86/1000</f>
        <v>-39.795292999999944</v>
      </c>
      <c r="G20" s="322">
        <f t="shared" si="0"/>
        <v>-154.76517623190628</v>
      </c>
      <c r="H20" s="321">
        <f>+[4]양산!$T$5/1000</f>
        <v>10</v>
      </c>
      <c r="I20" s="320">
        <f>+[4]양산!$U$5/1000</f>
        <v>3.8359999999999999</v>
      </c>
      <c r="J20" s="139">
        <f t="shared" si="1"/>
        <v>-6.1639999999999997</v>
      </c>
      <c r="K20" s="319">
        <f>+[4]양산!$M$86/1000</f>
        <v>-95.271957220636082</v>
      </c>
      <c r="L20" s="321">
        <f>+[4]양산!$Q$85</f>
        <v>101350.2203</v>
      </c>
      <c r="M20" s="320">
        <f>+[4]양산!$R$85</f>
        <v>99993.222106360787</v>
      </c>
      <c r="N20" s="139">
        <f t="shared" si="2"/>
        <v>-1356.9981936392142</v>
      </c>
      <c r="O20" s="319">
        <f>+[4]양산!$K$86/1000</f>
        <v>-5.2054450708000246</v>
      </c>
      <c r="P20" s="321">
        <f>+[4]양산!$Q$50</f>
        <v>85894.029965698253</v>
      </c>
      <c r="Q20" s="320">
        <f>+[4]양산!$R$50</f>
        <v>99811.717935349327</v>
      </c>
      <c r="R20" s="139">
        <f t="shared" si="3"/>
        <v>13917.687969651073</v>
      </c>
      <c r="S20" s="319">
        <f>+[4]양산!$L$56/1000</f>
        <v>-53.323294311581442</v>
      </c>
      <c r="T20" s="321">
        <f>+([4]양산!$H$80+[4]양산!$H$85)/1000</f>
        <v>39.592020111111118</v>
      </c>
      <c r="U20" s="320">
        <f>+([4]양산!$I$80+[4]양산!$I$85)/1000</f>
        <v>40.55649974</v>
      </c>
      <c r="V20" s="139">
        <f t="shared" si="4"/>
        <v>0.96447962888888128</v>
      </c>
      <c r="W20" s="319">
        <f>+([4]양산!$L$80+[4]양산!$L$85)/1000</f>
        <v>-0.96447962888888539</v>
      </c>
      <c r="Y20" s="4">
        <f t="shared" si="5"/>
        <v>1.5332179970073412E-13</v>
      </c>
      <c r="Z20" s="4">
        <f t="shared" si="6"/>
        <v>1.5332179970073412E-7</v>
      </c>
    </row>
    <row r="21" spans="4:26" ht="24" customHeight="1" x14ac:dyDescent="0.3">
      <c r="D21" s="324" t="s">
        <v>26</v>
      </c>
      <c r="E21" s="321">
        <f>+[4]창원!$H$86/1000</f>
        <v>126.87660979683848</v>
      </c>
      <c r="F21" s="320">
        <f>+[4]창원!$I$86/1000</f>
        <v>65.208746000000147</v>
      </c>
      <c r="G21" s="322">
        <f t="shared" si="0"/>
        <v>-61.667863796838333</v>
      </c>
      <c r="H21" s="321">
        <f>+[4]창원!$T$5/1000</f>
        <v>14.000000000000002</v>
      </c>
      <c r="I21" s="320">
        <f>+[4]창원!$U$5/1000</f>
        <v>11.287000000000001</v>
      </c>
      <c r="J21" s="139">
        <f t="shared" si="1"/>
        <v>-2.713000000000001</v>
      </c>
      <c r="K21" s="319">
        <f>+[4]창원!$M$86/1000</f>
        <v>-36.01684215715408</v>
      </c>
      <c r="L21" s="321">
        <f>+[4]창원!$Q$85</f>
        <v>98028.22533140867</v>
      </c>
      <c r="M21" s="320">
        <f>+[4]창원!$R$85</f>
        <v>97142.163550987869</v>
      </c>
      <c r="N21" s="139">
        <f t="shared" si="2"/>
        <v>-886.06178042080137</v>
      </c>
      <c r="O21" s="319">
        <f>+[4]창원!$K$86/1000</f>
        <v>-10.000979315609586</v>
      </c>
      <c r="P21" s="321">
        <f>+[4]창원!$Q$50</f>
        <v>84752.573964967829</v>
      </c>
      <c r="Q21" s="320">
        <f>+[4]창원!$R$50</f>
        <v>84421.326570390724</v>
      </c>
      <c r="R21" s="139">
        <f t="shared" si="3"/>
        <v>-331.2473945771053</v>
      </c>
      <c r="S21" s="319">
        <f>+[4]창원!$L$56/1000</f>
        <v>0.16007554259178894</v>
      </c>
      <c r="T21" s="321">
        <f>+([4]창원!$H$80+[4]창원!$H$85)/1000</f>
        <v>58.982509333333333</v>
      </c>
      <c r="U21" s="320">
        <f>+([4]창원!$I$80+[4]창원!$I$85)/1000</f>
        <v>74.792627199999998</v>
      </c>
      <c r="V21" s="139">
        <f t="shared" si="4"/>
        <v>15.810117866666666</v>
      </c>
      <c r="W21" s="319">
        <f>+([4]창원!$L$80+[4]창원!$L$85)/1000</f>
        <v>-15.810117866666673</v>
      </c>
      <c r="Y21" s="4">
        <f t="shared" si="5"/>
        <v>2.1671553440683056E-13</v>
      </c>
      <c r="Z21" s="4">
        <f t="shared" si="6"/>
        <v>2.1671553440683056E-7</v>
      </c>
    </row>
    <row r="22" spans="4:26" ht="24" customHeight="1" x14ac:dyDescent="0.3">
      <c r="D22" s="324" t="s">
        <v>127</v>
      </c>
      <c r="E22" s="321">
        <f>+[4]대구!$H$86/1000</f>
        <v>50.762106806190033</v>
      </c>
      <c r="F22" s="320">
        <f>+[4]대구!$I$86/1000</f>
        <v>-72.116300999999993</v>
      </c>
      <c r="G22" s="322">
        <f t="shared" si="0"/>
        <v>-122.87840780619003</v>
      </c>
      <c r="H22" s="321">
        <f>+[4]대구!$T$5/1000</f>
        <v>9</v>
      </c>
      <c r="I22" s="320">
        <f>+[4]대구!$U$5/1000</f>
        <v>4.7969999999999997</v>
      </c>
      <c r="J22" s="139">
        <f t="shared" si="1"/>
        <v>-4.2030000000000003</v>
      </c>
      <c r="K22" s="319">
        <f>+[4]대구!$M$86/1000</f>
        <v>-44.840884425100349</v>
      </c>
      <c r="L22" s="321">
        <f>+[4]대구!$Q$85</f>
        <v>91629.970373333315</v>
      </c>
      <c r="M22" s="320">
        <f>+[4]대구!$R$85</f>
        <v>77939.962476547851</v>
      </c>
      <c r="N22" s="139">
        <f t="shared" si="2"/>
        <v>-13690.007896785464</v>
      </c>
      <c r="O22" s="319">
        <f>+[4]대구!$K$86/1000</f>
        <v>-65.670967880879871</v>
      </c>
      <c r="P22" s="321">
        <f>+[4]대구!$Q$50</f>
        <v>80961.1898772352</v>
      </c>
      <c r="Q22" s="320">
        <f>+[4]대구!$R$50</f>
        <v>83546.64290181364</v>
      </c>
      <c r="R22" s="139">
        <f t="shared" si="3"/>
        <v>2585.4530245784408</v>
      </c>
      <c r="S22" s="319">
        <f>+[4]대구!$L$56/1000</f>
        <v>-12.402407068902717</v>
      </c>
      <c r="T22" s="321">
        <f>+([4]대구!$H$80+[4]대구!$H$85)/1000</f>
        <v>45.256917658693112</v>
      </c>
      <c r="U22" s="320">
        <f>+([4]대구!$I$80+[4]대구!$I$85)/1000</f>
        <v>45.221066090000001</v>
      </c>
      <c r="V22" s="139">
        <f t="shared" si="4"/>
        <v>-3.5851568693111346E-2</v>
      </c>
      <c r="W22" s="319">
        <f>+([4]대구!$L$80+[4]대구!$L$85)/1000</f>
        <v>3.5851568693113678E-2</v>
      </c>
      <c r="Y22" s="4">
        <f t="shared" si="5"/>
        <v>-1.9595436384634013E-13</v>
      </c>
      <c r="Z22" s="4">
        <f t="shared" si="6"/>
        <v>-1.9595436384634013E-7</v>
      </c>
    </row>
    <row r="23" spans="4:26" ht="24" customHeight="1" x14ac:dyDescent="0.3">
      <c r="D23" s="324" t="s">
        <v>126</v>
      </c>
      <c r="E23" s="321">
        <f>+[4]울산!$H$86/1000</f>
        <v>103.28834833979614</v>
      </c>
      <c r="F23" s="320">
        <f>+[4]울산!$I$86/1000</f>
        <v>29.061433000000022</v>
      </c>
      <c r="G23" s="322">
        <f t="shared" si="0"/>
        <v>-74.226915339796122</v>
      </c>
      <c r="H23" s="321">
        <f>+[4]울산!$T$5/1000</f>
        <v>12</v>
      </c>
      <c r="I23" s="320">
        <f>+[4]울산!$U$5/1000</f>
        <v>10.223000000000001</v>
      </c>
      <c r="J23" s="139">
        <f t="shared" si="1"/>
        <v>-1.7769999999999992</v>
      </c>
      <c r="K23" s="319">
        <f>+[4]울산!$M$86/1000</f>
        <v>-21.71350419314351</v>
      </c>
      <c r="L23" s="321">
        <f>+[4]울산!$Q$85</f>
        <v>103286.8931</v>
      </c>
      <c r="M23" s="320">
        <f>+[4]울산!$R$85</f>
        <v>104185.73804167075</v>
      </c>
      <c r="N23" s="139">
        <f t="shared" si="2"/>
        <v>898.84494167074445</v>
      </c>
      <c r="O23" s="319">
        <f>+[4]울산!$K$86/1000</f>
        <v>9.1888918387000214</v>
      </c>
      <c r="P23" s="321">
        <f>+[4]울산!$Q$50</f>
        <v>91067.701094854536</v>
      </c>
      <c r="Q23" s="320">
        <f>+[4]울산!$R$50</f>
        <v>97597.73389518552</v>
      </c>
      <c r="R23" s="139">
        <f t="shared" si="3"/>
        <v>6530.0328003309842</v>
      </c>
      <c r="S23" s="319">
        <f>+[4]울산!$L$56/1000</f>
        <v>-54.513206917302107</v>
      </c>
      <c r="T23" s="321">
        <f>+([4]울산!$H$80+[4]울산!$H$85)/1000</f>
        <v>43.341955721949397</v>
      </c>
      <c r="U23" s="320">
        <f>+([4]울산!$I$80+[4]울산!$I$85)/1000</f>
        <v>50.531051789999999</v>
      </c>
      <c r="V23" s="139">
        <f t="shared" si="4"/>
        <v>7.1890960680506026</v>
      </c>
      <c r="W23" s="319">
        <f>+([4]울산!$L$80+[4]울산!$L$85)/1000</f>
        <v>-7.1890960680506018</v>
      </c>
      <c r="Y23" s="4">
        <f t="shared" si="5"/>
        <v>7.0166095156309893E-14</v>
      </c>
      <c r="Z23" s="4">
        <f t="shared" si="6"/>
        <v>7.0166095156309893E-8</v>
      </c>
    </row>
    <row r="24" spans="4:26" ht="24" customHeight="1" x14ac:dyDescent="0.3">
      <c r="D24" s="330" t="s">
        <v>27</v>
      </c>
      <c r="E24" s="328">
        <f>+[4]아산!$H$86/1000</f>
        <v>213.00415777443558</v>
      </c>
      <c r="F24" s="327">
        <f>+[4]아산!$I$86/1000</f>
        <v>122.41642700000017</v>
      </c>
      <c r="G24" s="329">
        <f t="shared" si="0"/>
        <v>-90.587730774435414</v>
      </c>
      <c r="H24" s="328">
        <f>+[4]아산!$T$5/1000</f>
        <v>22</v>
      </c>
      <c r="I24" s="327">
        <f>+[4]아산!$U$5/1000</f>
        <v>18.291</v>
      </c>
      <c r="J24" s="326">
        <f t="shared" si="1"/>
        <v>-3.7089999999999996</v>
      </c>
      <c r="K24" s="325">
        <f>+[4]아산!$M$86/1000</f>
        <v>-50.295259211426426</v>
      </c>
      <c r="L24" s="328">
        <f>+[4]아산!$Q$85</f>
        <v>98820.310909090913</v>
      </c>
      <c r="M24" s="327">
        <f>+[4]아산!$R$85</f>
        <v>103047.33677765021</v>
      </c>
      <c r="N24" s="326">
        <f t="shared" si="2"/>
        <v>4227.0258685592999</v>
      </c>
      <c r="O24" s="325">
        <f>+[4]아산!$K$86/1000</f>
        <v>77.316530161818136</v>
      </c>
      <c r="P24" s="328">
        <f>+[4]아산!$Q$50</f>
        <v>85259.982192071097</v>
      </c>
      <c r="Q24" s="327">
        <f>+[4]아산!$R$50</f>
        <v>91470.98633357021</v>
      </c>
      <c r="R24" s="326">
        <f t="shared" si="3"/>
        <v>6211.0041414991138</v>
      </c>
      <c r="S24" s="325">
        <f>+[4]아산!$L$56/1000</f>
        <v>-113.64759449482722</v>
      </c>
      <c r="T24" s="328">
        <f>+([4]아산!$H$80+[4]아산!$H$85)/1000</f>
        <v>85.323074000000005</v>
      </c>
      <c r="U24" s="327">
        <f>+([4]아산!$I$80+[4]아산!$I$85)/1000</f>
        <v>89.284481230000011</v>
      </c>
      <c r="V24" s="326">
        <f t="shared" si="4"/>
        <v>3.9614072300000061</v>
      </c>
      <c r="W24" s="325">
        <f>+([4]아산!$L$80+[4]아산!$L$85)/1000</f>
        <v>-3.9614072300000016</v>
      </c>
      <c r="Y24" s="4">
        <f t="shared" si="5"/>
        <v>9.50350909079134E-14</v>
      </c>
      <c r="Z24" s="4">
        <f t="shared" si="6"/>
        <v>9.50350909079134E-8</v>
      </c>
    </row>
    <row r="25" spans="4:26" ht="24" customHeight="1" x14ac:dyDescent="0.3">
      <c r="D25" s="324" t="s">
        <v>125</v>
      </c>
      <c r="E25" s="321">
        <f>+[4]전주!$H$86/1000</f>
        <v>162.09149755555558</v>
      </c>
      <c r="F25" s="320">
        <f>+[4]전주!$I$86/1000</f>
        <v>21.521378999999989</v>
      </c>
      <c r="G25" s="322">
        <f t="shared" si="0"/>
        <v>-140.57011855555558</v>
      </c>
      <c r="H25" s="321">
        <f>+[4]전주!$T$5/1000</f>
        <v>12</v>
      </c>
      <c r="I25" s="320">
        <f>+[4]전주!$U$5/1000</f>
        <v>10.494</v>
      </c>
      <c r="J25" s="139">
        <f t="shared" si="1"/>
        <v>-1.5060000000000002</v>
      </c>
      <c r="K25" s="319">
        <f>+[4]전주!$M$86/1000</f>
        <v>-26.853767747499994</v>
      </c>
      <c r="L25" s="321">
        <f>+[4]전주!$Q$85</f>
        <v>102691.16666666666</v>
      </c>
      <c r="M25" s="320">
        <f>+[4]전주!$R$85</f>
        <v>96677.339050886221</v>
      </c>
      <c r="N25" s="139">
        <f t="shared" si="2"/>
        <v>-6013.8276157804357</v>
      </c>
      <c r="O25" s="319">
        <f>+[4]전주!$K$86/1000</f>
        <v>-63.109106999999895</v>
      </c>
      <c r="P25" s="321">
        <f>+[4]전주!$Q$50</f>
        <v>84859.979583333348</v>
      </c>
      <c r="Q25" s="320">
        <f>+[4]전주!$R$50</f>
        <v>89771.928149418716</v>
      </c>
      <c r="R25" s="139">
        <f t="shared" si="3"/>
        <v>4911.9485660853679</v>
      </c>
      <c r="S25" s="319">
        <f>+[4]전주!$L$56/1000</f>
        <v>-51.546000742499999</v>
      </c>
      <c r="T25" s="321">
        <f>+([4]전주!$H$80+[4]전주!$H$85)/1000</f>
        <v>51.882747444444441</v>
      </c>
      <c r="U25" s="320">
        <f>+([4]전주!$I$80+[4]전주!$I$85)/1000</f>
        <v>50.943990510000006</v>
      </c>
      <c r="V25" s="139">
        <f t="shared" si="4"/>
        <v>-0.93875693444443442</v>
      </c>
      <c r="W25" s="319">
        <f>+([4]전주!$L$80+[4]전주!$L$85)/1000</f>
        <v>0.93875693444444164</v>
      </c>
      <c r="Y25" s="4">
        <f t="shared" si="5"/>
        <v>-1.2800871473928055E-13</v>
      </c>
      <c r="Z25" s="4">
        <f t="shared" si="6"/>
        <v>-1.2800871473928055E-7</v>
      </c>
    </row>
    <row r="26" spans="4:26" ht="24" customHeight="1" x14ac:dyDescent="0.3">
      <c r="D26" s="323" t="s">
        <v>124</v>
      </c>
      <c r="E26" s="321">
        <f>+[4]군산!$H$86/1000</f>
        <v>106.8718337048804</v>
      </c>
      <c r="F26" s="320">
        <f>+[4]군산!$I$86/1000</f>
        <v>44.935985999999993</v>
      </c>
      <c r="G26" s="322">
        <f t="shared" si="0"/>
        <v>-61.935847704880409</v>
      </c>
      <c r="H26" s="321">
        <f>+[4]군산!$T$5/1000</f>
        <v>5</v>
      </c>
      <c r="I26" s="320">
        <f>+[4]군산!$U$5/1000</f>
        <v>4.0274999999999999</v>
      </c>
      <c r="J26" s="139">
        <f t="shared" si="1"/>
        <v>-0.97250000000000014</v>
      </c>
      <c r="K26" s="319">
        <f>+[4]군산!$M$86/1000</f>
        <v>-25.171924774265921</v>
      </c>
      <c r="L26" s="321">
        <f>+[4]군산!$Q$85</f>
        <v>112084.76</v>
      </c>
      <c r="M26" s="320">
        <f>+[4]군산!$R$85</f>
        <v>106453.29708255742</v>
      </c>
      <c r="N26" s="139">
        <f t="shared" si="2"/>
        <v>-5631.4629174425791</v>
      </c>
      <c r="O26" s="319">
        <f>+[4]군산!$K$86/1000</f>
        <v>-22.68071689999999</v>
      </c>
      <c r="P26" s="321">
        <f>+[4]군산!$Q$50</f>
        <v>86201.032725690573</v>
      </c>
      <c r="Q26" s="320">
        <f>+[4]군산!$R$50</f>
        <v>89502.552700186221</v>
      </c>
      <c r="R26" s="139">
        <f t="shared" si="3"/>
        <v>3301.5199744956481</v>
      </c>
      <c r="S26" s="319">
        <f>+[4]군산!$L$56/1000</f>
        <v>-13.296864187281226</v>
      </c>
      <c r="T26" s="321">
        <f>+([4]군산!$H$80+[4]군산!$H$85)/1000</f>
        <v>22.546802666666668</v>
      </c>
      <c r="U26" s="320">
        <f>+([4]군산!$I$80+[4]군산!$I$85)/1000</f>
        <v>23.333144509999997</v>
      </c>
      <c r="V26" s="139">
        <f t="shared" si="4"/>
        <v>0.78634184333332868</v>
      </c>
      <c r="W26" s="319">
        <f>+([4]군산!$L$80+[4]군산!$L$85)/1000</f>
        <v>-0.78634184333333501</v>
      </c>
      <c r="Y26" s="4">
        <f t="shared" si="5"/>
        <v>6.6724403779971908E-14</v>
      </c>
      <c r="Z26" s="4">
        <f t="shared" si="6"/>
        <v>6.6724403779971908E-8</v>
      </c>
    </row>
    <row r="27" spans="4:26" ht="24" customHeight="1" x14ac:dyDescent="0.3">
      <c r="D27" s="323" t="s">
        <v>123</v>
      </c>
      <c r="E27" s="321">
        <f>+[4]원주!$H$86/1000</f>
        <v>74.502640362819392</v>
      </c>
      <c r="F27" s="320">
        <f>+[4]원주!$I$86/1000</f>
        <v>133.32986699999998</v>
      </c>
      <c r="G27" s="322">
        <f t="shared" si="0"/>
        <v>58.827226637180587</v>
      </c>
      <c r="H27" s="321">
        <f>+[4]원주!$T$5/1000</f>
        <v>4</v>
      </c>
      <c r="I27" s="320">
        <f>+[4]원주!$U$5/1000</f>
        <v>4.766</v>
      </c>
      <c r="J27" s="139">
        <f t="shared" si="1"/>
        <v>0.76600000000000001</v>
      </c>
      <c r="K27" s="319">
        <f>+[4]원주!$M$86/1000</f>
        <v>17.717243029479913</v>
      </c>
      <c r="L27" s="321">
        <f>+[4]원주!$Q$85</f>
        <v>111634.86482500004</v>
      </c>
      <c r="M27" s="320">
        <f>+[4]원주!$R$85</f>
        <v>114695.55182543013</v>
      </c>
      <c r="N27" s="139">
        <f t="shared" si="2"/>
        <v>3060.6870004300872</v>
      </c>
      <c r="O27" s="319">
        <f>+[4]원주!$K$86/1000</f>
        <v>14.587234244049794</v>
      </c>
      <c r="P27" s="321">
        <f>+[4]원주!$Q$50</f>
        <v>88505.30473429519</v>
      </c>
      <c r="Q27" s="320">
        <f>+[4]원주!$R$50</f>
        <v>83395.122114981117</v>
      </c>
      <c r="R27" s="139">
        <f t="shared" si="3"/>
        <v>-5110.1826193140732</v>
      </c>
      <c r="S27" s="319">
        <f>+[4]원주!$L$56/1000</f>
        <v>24.355131743650855</v>
      </c>
      <c r="T27" s="321">
        <f>+([4]원주!$H$80+[4]원주!$H$85)/1000</f>
        <v>18.015599999999999</v>
      </c>
      <c r="U27" s="320">
        <f>+([4]원주!$I$80+[4]원주!$I$85)/1000</f>
        <v>15.847982379999998</v>
      </c>
      <c r="V27" s="139">
        <f t="shared" si="4"/>
        <v>-2.1676176200000015</v>
      </c>
      <c r="W27" s="319">
        <f>+([4]원주!$L$80+[4]원주!$L$85)/1000</f>
        <v>2.1676176200000001</v>
      </c>
      <c r="Y27" s="4">
        <f t="shared" si="5"/>
        <v>1.9095836023552692E-14</v>
      </c>
      <c r="Z27" s="4">
        <f t="shared" si="6"/>
        <v>1.9095836023552692E-8</v>
      </c>
    </row>
    <row r="28" spans="4:26" ht="24" customHeight="1" thickBot="1" x14ac:dyDescent="0.35">
      <c r="D28" s="318" t="s">
        <v>122</v>
      </c>
      <c r="E28" s="316">
        <f>+[4]제주!$H$86/1000</f>
        <v>36.755330283075793</v>
      </c>
      <c r="F28" s="315">
        <f>+[4]제주!$I$86/1000</f>
        <v>59.875705000000032</v>
      </c>
      <c r="G28" s="317">
        <f t="shared" si="0"/>
        <v>23.120374716924239</v>
      </c>
      <c r="H28" s="316">
        <f>+[4]제주!$T$5/1000</f>
        <v>5</v>
      </c>
      <c r="I28" s="315">
        <f>+[4]제주!$U$5/1000</f>
        <v>5.0629999999999997</v>
      </c>
      <c r="J28" s="314">
        <f t="shared" si="1"/>
        <v>6.2999999999999723E-2</v>
      </c>
      <c r="K28" s="313">
        <f>+[4]제주!$M$86/1000</f>
        <v>0.82341931017893333</v>
      </c>
      <c r="L28" s="316">
        <f>+[4]제주!$Q$85</f>
        <v>121940</v>
      </c>
      <c r="M28" s="315">
        <f>+[4]제주!$R$85</f>
        <v>129968.01303574958</v>
      </c>
      <c r="N28" s="314">
        <f t="shared" si="2"/>
        <v>8028.01303574958</v>
      </c>
      <c r="O28" s="313">
        <f>+[4]제주!$K$86/1000</f>
        <v>40.645830000000124</v>
      </c>
      <c r="P28" s="316">
        <f>+[4]제주!$Q$50</f>
        <v>108869.85221938202</v>
      </c>
      <c r="Q28" s="315">
        <f>+[4]제주!$R$50</f>
        <v>112153.12699980248</v>
      </c>
      <c r="R28" s="314">
        <f t="shared" si="3"/>
        <v>3283.2747804204555</v>
      </c>
      <c r="S28" s="313">
        <f>+[4]제주!$L$56/1000</f>
        <v>-16.623235473268878</v>
      </c>
      <c r="T28" s="316">
        <f>+([4]제주!$H$80+[4]제주!$H$85)/1000</f>
        <v>28.595408620014094</v>
      </c>
      <c r="U28" s="315">
        <f>+([4]제주!$I$80+[4]제주!$I$85)/1000</f>
        <v>30.321047739999997</v>
      </c>
      <c r="V28" s="314">
        <f t="shared" si="4"/>
        <v>1.7256391199859031</v>
      </c>
      <c r="W28" s="313">
        <f>+([4]제주!$L$80+[4]제주!$L$85)/1000</f>
        <v>-1.7256391199859051</v>
      </c>
      <c r="Y28" s="4">
        <f t="shared" si="5"/>
        <v>-3.7081449022480228E-14</v>
      </c>
      <c r="Z28" s="4">
        <f t="shared" si="6"/>
        <v>-3.7081449022480228E-8</v>
      </c>
    </row>
    <row r="29" spans="4:26" ht="24" customHeight="1" x14ac:dyDescent="0.3">
      <c r="Y29" s="450"/>
    </row>
    <row r="30" spans="4:26" ht="24" customHeight="1" x14ac:dyDescent="0.3">
      <c r="Y30" s="450"/>
    </row>
    <row r="31" spans="4:26" ht="24" customHeight="1" x14ac:dyDescent="0.3">
      <c r="Y31" s="450"/>
    </row>
    <row r="32" spans="4:26" ht="21.95" customHeight="1" x14ac:dyDescent="0.3">
      <c r="F32" s="312"/>
      <c r="Y32" s="450"/>
    </row>
    <row r="33" spans="25:25" ht="21.95" customHeight="1" x14ac:dyDescent="0.3"/>
    <row r="34" spans="25:25" ht="21.95" customHeight="1" x14ac:dyDescent="0.3">
      <c r="Y34" s="451"/>
    </row>
    <row r="35" spans="25:25" ht="21.95" customHeight="1" x14ac:dyDescent="0.3">
      <c r="Y35" s="4" t="s">
        <v>155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0"/>
    <pageSetUpPr fitToPage="1"/>
  </sheetPr>
  <dimension ref="D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G40" sqref="G40"/>
      <selection pane="topRight" activeCell="G40" sqref="G40"/>
      <selection pane="bottomLeft" activeCell="G40" sqref="G40"/>
      <selection pane="bottomRight" activeCell="G40" sqref="G40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209</v>
      </c>
      <c r="F4" s="368"/>
      <c r="I4" s="368"/>
    </row>
    <row r="5" spans="4:22" ht="21.95" customHeight="1" x14ac:dyDescent="0.3">
      <c r="V5" s="367" t="s">
        <v>141</v>
      </c>
    </row>
    <row r="6" spans="4:22" ht="24" customHeight="1" thickBot="1" x14ac:dyDescent="0.35">
      <c r="D6" s="693" t="s">
        <v>11</v>
      </c>
      <c r="E6" s="366" t="s">
        <v>53</v>
      </c>
      <c r="F6" s="365"/>
      <c r="G6" s="364"/>
      <c r="H6" s="366" t="s">
        <v>140</v>
      </c>
      <c r="I6" s="365"/>
      <c r="J6" s="364"/>
      <c r="K6" s="366" t="s">
        <v>139</v>
      </c>
      <c r="L6" s="365"/>
      <c r="M6" s="364"/>
      <c r="N6" s="366" t="s">
        <v>138</v>
      </c>
      <c r="O6" s="365"/>
      <c r="P6" s="364"/>
      <c r="Q6" s="366" t="s">
        <v>137</v>
      </c>
      <c r="R6" s="365"/>
      <c r="S6" s="364"/>
      <c r="T6" s="366" t="s">
        <v>54</v>
      </c>
      <c r="U6" s="365"/>
      <c r="V6" s="364"/>
    </row>
    <row r="7" spans="4:22" ht="24" customHeight="1" x14ac:dyDescent="0.3">
      <c r="D7" s="694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356">
        <f>+[4]합계!$Q$85</f>
        <v>101432.30731425683</v>
      </c>
      <c r="F8" s="355">
        <f>+[4]합계!$R$85</f>
        <v>102620.91713856411</v>
      </c>
      <c r="G8" s="386">
        <f t="shared" ref="G8:G28" si="0">+F8-E8</f>
        <v>1188.6098243072774</v>
      </c>
      <c r="H8" s="356">
        <f>+[4]합계!$Q$20</f>
        <v>59329.969014837348</v>
      </c>
      <c r="I8" s="355">
        <f>+[4]합계!$R$20</f>
        <v>61469.272976409164</v>
      </c>
      <c r="J8" s="386">
        <f t="shared" ref="J8:J28" si="1">+I8-H8</f>
        <v>2139.3039615718153</v>
      </c>
      <c r="K8" s="356">
        <f>+[4]합계!$Q$21</f>
        <v>19579.538180156749</v>
      </c>
      <c r="L8" s="355">
        <f>+[4]합계!$R$21</f>
        <v>20653.326006938612</v>
      </c>
      <c r="M8" s="386">
        <f t="shared" ref="M8:M28" si="2">+L8-K8</f>
        <v>1073.7878267818633</v>
      </c>
      <c r="N8" s="356">
        <f>+[4]합계!$Q$22</f>
        <v>237.01111111111112</v>
      </c>
      <c r="O8" s="355">
        <f>+[4]합계!$R$22</f>
        <v>294.1825007989296</v>
      </c>
      <c r="P8" s="386">
        <f t="shared" ref="P8:P28" si="3">+O8-N8</f>
        <v>57.171389687818476</v>
      </c>
      <c r="Q8" s="356">
        <f t="shared" ref="Q8:Q28" si="4">H8+K8+N8</f>
        <v>79146.518306105223</v>
      </c>
      <c r="R8" s="355">
        <f t="shared" ref="R8:R28" si="5">I8+L8+O8</f>
        <v>82416.781484146704</v>
      </c>
      <c r="S8" s="386">
        <f t="shared" ref="S8:S28" si="6">+R8-Q8</f>
        <v>3270.2631780414813</v>
      </c>
      <c r="T8" s="356">
        <f t="shared" ref="T8:T28" si="7">+E8-Q8</f>
        <v>22285.789008151609</v>
      </c>
      <c r="U8" s="355">
        <f t="shared" ref="U8:U28" si="8">+F8-R8</f>
        <v>20204.135654417405</v>
      </c>
      <c r="V8" s="386">
        <f t="shared" ref="V8:V28" si="9">+U8-T8</f>
        <v>-2081.6533537342038</v>
      </c>
    </row>
    <row r="9" spans="4:22" ht="24" customHeight="1" x14ac:dyDescent="0.3">
      <c r="D9" s="352" t="s">
        <v>16</v>
      </c>
      <c r="E9" s="351">
        <f>+[4]수도권!$Q$85</f>
        <v>98482.526745520168</v>
      </c>
      <c r="F9" s="350">
        <f>+[4]수도권!$R$85</f>
        <v>100715.67502492139</v>
      </c>
      <c r="G9" s="385">
        <f t="shared" si="0"/>
        <v>2233.1482794012263</v>
      </c>
      <c r="H9" s="351">
        <f>+[4]수도권!$Q$20</f>
        <v>60212.846034616239</v>
      </c>
      <c r="I9" s="350">
        <f>+[4]수도권!$R$20</f>
        <v>62243.483030893738</v>
      </c>
      <c r="J9" s="385">
        <f t="shared" si="1"/>
        <v>2030.6369962774988</v>
      </c>
      <c r="K9" s="351">
        <f>+[4]수도권!$Q$21</f>
        <v>19303.352635674779</v>
      </c>
      <c r="L9" s="350">
        <f>+[4]수도권!$R$21</f>
        <v>20878.432687569129</v>
      </c>
      <c r="M9" s="385">
        <f t="shared" si="2"/>
        <v>1575.0800518943506</v>
      </c>
      <c r="N9" s="351">
        <f>+[4]수도권!$Q$22</f>
        <v>245.26666666666665</v>
      </c>
      <c r="O9" s="350">
        <f>+[4]수도권!$R$22</f>
        <v>300.03703744264232</v>
      </c>
      <c r="P9" s="385">
        <f t="shared" si="3"/>
        <v>54.770370775975664</v>
      </c>
      <c r="Q9" s="351">
        <f t="shared" si="4"/>
        <v>79761.465336957684</v>
      </c>
      <c r="R9" s="350">
        <f t="shared" si="5"/>
        <v>83421.952755905513</v>
      </c>
      <c r="S9" s="385">
        <f t="shared" si="6"/>
        <v>3660.4874189478287</v>
      </c>
      <c r="T9" s="351">
        <f t="shared" si="7"/>
        <v>18721.061408562484</v>
      </c>
      <c r="U9" s="350">
        <f t="shared" si="8"/>
        <v>17293.722269015881</v>
      </c>
      <c r="V9" s="385">
        <f t="shared" si="9"/>
        <v>-1427.3391395466024</v>
      </c>
    </row>
    <row r="10" spans="4:22" ht="24" customHeight="1" x14ac:dyDescent="0.3">
      <c r="D10" s="347" t="s">
        <v>17</v>
      </c>
      <c r="E10" s="346">
        <f>+[4]영남권!$Q$85</f>
        <v>102761.14160059592</v>
      </c>
      <c r="F10" s="345">
        <f>+[4]영남권!$R$85</f>
        <v>102825.49369062472</v>
      </c>
      <c r="G10" s="384">
        <f t="shared" si="0"/>
        <v>64.352090028798557</v>
      </c>
      <c r="H10" s="346">
        <f>+[4]영남권!$Q$20</f>
        <v>58612.087916372373</v>
      </c>
      <c r="I10" s="345">
        <f>+[4]영남권!$R$20</f>
        <v>60295.70917842006</v>
      </c>
      <c r="J10" s="384">
        <f t="shared" si="1"/>
        <v>1683.6212620476872</v>
      </c>
      <c r="K10" s="346">
        <f>+[4]영남권!$Q$21</f>
        <v>20162.795336161042</v>
      </c>
      <c r="L10" s="345">
        <f>+[4]영남권!$R$21</f>
        <v>20932.748341754268</v>
      </c>
      <c r="M10" s="384">
        <f t="shared" si="2"/>
        <v>769.95300559322641</v>
      </c>
      <c r="N10" s="346">
        <f>+[4]영남권!$Q$22</f>
        <v>234.18803418803418</v>
      </c>
      <c r="O10" s="345">
        <f>+[4]영남권!$R$22</f>
        <v>290.0241373530327</v>
      </c>
      <c r="P10" s="384">
        <f t="shared" si="3"/>
        <v>55.836103164998519</v>
      </c>
      <c r="Q10" s="346">
        <f t="shared" si="4"/>
        <v>79009.071286721446</v>
      </c>
      <c r="R10" s="345">
        <f t="shared" si="5"/>
        <v>81518.481657527358</v>
      </c>
      <c r="S10" s="384">
        <f t="shared" si="6"/>
        <v>2509.410370805912</v>
      </c>
      <c r="T10" s="346">
        <f t="shared" si="7"/>
        <v>23752.070313874472</v>
      </c>
      <c r="U10" s="345">
        <f t="shared" si="8"/>
        <v>21307.012033097359</v>
      </c>
      <c r="V10" s="384">
        <f t="shared" si="9"/>
        <v>-2445.0582807771134</v>
      </c>
    </row>
    <row r="11" spans="4:22" ht="24" customHeight="1" x14ac:dyDescent="0.3">
      <c r="D11" s="342" t="s">
        <v>128</v>
      </c>
      <c r="E11" s="341">
        <f>+[4]중부권!$Q$85</f>
        <v>104645.91873541666</v>
      </c>
      <c r="F11" s="340">
        <f>+[4]중부권!$R$85</f>
        <v>106299.69717294186</v>
      </c>
      <c r="G11" s="383">
        <f t="shared" si="0"/>
        <v>1653.778437525194</v>
      </c>
      <c r="H11" s="341">
        <f>+[4]중부권!$Q$20</f>
        <v>59148.510711579431</v>
      </c>
      <c r="I11" s="340">
        <f>+[4]중부권!$R$20</f>
        <v>62110.002579525601</v>
      </c>
      <c r="J11" s="383">
        <f t="shared" si="1"/>
        <v>2961.4918679461698</v>
      </c>
      <c r="K11" s="341">
        <f>+[4]중부권!$Q$21</f>
        <v>18762.004740950593</v>
      </c>
      <c r="L11" s="340">
        <f>+[4]중부권!$R$21</f>
        <v>19624.023098479258</v>
      </c>
      <c r="M11" s="383">
        <f t="shared" si="2"/>
        <v>862.01835752866464</v>
      </c>
      <c r="N11" s="341">
        <f>+[4]중부권!$Q$22</f>
        <v>225.83333333333334</v>
      </c>
      <c r="O11" s="340">
        <f>+[4]중부권!$R$22</f>
        <v>289.79073012299648</v>
      </c>
      <c r="P11" s="383">
        <f t="shared" si="3"/>
        <v>63.957396789663136</v>
      </c>
      <c r="Q11" s="341">
        <f t="shared" si="4"/>
        <v>78136.34878586336</v>
      </c>
      <c r="R11" s="340">
        <f t="shared" si="5"/>
        <v>82023.816408127866</v>
      </c>
      <c r="S11" s="383">
        <f t="shared" si="6"/>
        <v>3887.4676222645066</v>
      </c>
      <c r="T11" s="341">
        <f t="shared" si="7"/>
        <v>26509.569949553304</v>
      </c>
      <c r="U11" s="340">
        <f t="shared" si="8"/>
        <v>24275.880764813992</v>
      </c>
      <c r="V11" s="383">
        <f t="shared" si="9"/>
        <v>-2233.6891847393126</v>
      </c>
    </row>
    <row r="12" spans="4:22" ht="24" customHeight="1" x14ac:dyDescent="0.3">
      <c r="D12" s="382" t="s">
        <v>18</v>
      </c>
      <c r="E12" s="381">
        <f>+[4]안양!$Q$85</f>
        <v>98200.591162162149</v>
      </c>
      <c r="F12" s="380">
        <f>+[4]안양!$R$85</f>
        <v>102248.21350749765</v>
      </c>
      <c r="G12" s="379">
        <f t="shared" si="0"/>
        <v>4047.6223453355051</v>
      </c>
      <c r="H12" s="381">
        <f>+[4]안양!$Q$20</f>
        <v>59325.610970648064</v>
      </c>
      <c r="I12" s="380">
        <f>+[4]안양!$R$20</f>
        <v>60465.052289495259</v>
      </c>
      <c r="J12" s="379">
        <f t="shared" si="1"/>
        <v>1139.4413188471954</v>
      </c>
      <c r="K12" s="381">
        <f>+[4]안양!$Q$21</f>
        <v>18430.464011739012</v>
      </c>
      <c r="L12" s="380">
        <f>+[4]안양!$R$21</f>
        <v>19895.094419721278</v>
      </c>
      <c r="M12" s="379">
        <f t="shared" si="2"/>
        <v>1464.6304079822658</v>
      </c>
      <c r="N12" s="381">
        <f>+[4]안양!$Q$22</f>
        <v>221.62162162162164</v>
      </c>
      <c r="O12" s="380">
        <f>+[4]안양!$R$22</f>
        <v>324.72912519030336</v>
      </c>
      <c r="P12" s="379">
        <f t="shared" si="3"/>
        <v>103.10750356868172</v>
      </c>
      <c r="Q12" s="381">
        <f t="shared" si="4"/>
        <v>77977.696604008699</v>
      </c>
      <c r="R12" s="380">
        <f t="shared" si="5"/>
        <v>80684.875834406848</v>
      </c>
      <c r="S12" s="379">
        <f t="shared" si="6"/>
        <v>2707.1792303981492</v>
      </c>
      <c r="T12" s="381">
        <f t="shared" si="7"/>
        <v>20222.89455815345</v>
      </c>
      <c r="U12" s="380">
        <f t="shared" si="8"/>
        <v>21563.337673090806</v>
      </c>
      <c r="V12" s="379">
        <f t="shared" si="9"/>
        <v>1340.4431149373559</v>
      </c>
    </row>
    <row r="13" spans="4:22" ht="24" customHeight="1" x14ac:dyDescent="0.3">
      <c r="D13" s="323" t="s">
        <v>19</v>
      </c>
      <c r="E13" s="374">
        <f>+[4]인천!$Q$85</f>
        <v>99846.060890846158</v>
      </c>
      <c r="F13" s="373">
        <f>+[4]인천!$R$85</f>
        <v>99946.750870473537</v>
      </c>
      <c r="G13" s="372">
        <f t="shared" si="0"/>
        <v>100.68997962737922</v>
      </c>
      <c r="H13" s="374">
        <f>+[4]인천!$Q$20</f>
        <v>62207.680372901108</v>
      </c>
      <c r="I13" s="373">
        <f>+[4]인천!$R$20</f>
        <v>66438.601733259085</v>
      </c>
      <c r="J13" s="372">
        <f t="shared" si="1"/>
        <v>4230.9213603579774</v>
      </c>
      <c r="K13" s="374">
        <f>+[4]인천!$Q$21</f>
        <v>19633.609373750591</v>
      </c>
      <c r="L13" s="373">
        <f>+[4]인천!$R$21</f>
        <v>20626.337881108171</v>
      </c>
      <c r="M13" s="372">
        <f t="shared" si="2"/>
        <v>992.72850735758038</v>
      </c>
      <c r="N13" s="374">
        <f>+[4]인천!$Q$22</f>
        <v>330</v>
      </c>
      <c r="O13" s="373">
        <f>+[4]인천!$R$22</f>
        <v>398.19083252123067</v>
      </c>
      <c r="P13" s="372">
        <f t="shared" si="3"/>
        <v>68.190832521230675</v>
      </c>
      <c r="Q13" s="374">
        <f t="shared" si="4"/>
        <v>82171.289746651702</v>
      </c>
      <c r="R13" s="373">
        <f t="shared" si="5"/>
        <v>87463.130446888492</v>
      </c>
      <c r="S13" s="372">
        <f t="shared" si="6"/>
        <v>5291.8407002367894</v>
      </c>
      <c r="T13" s="374">
        <f t="shared" si="7"/>
        <v>17674.771144194456</v>
      </c>
      <c r="U13" s="373">
        <f t="shared" si="8"/>
        <v>12483.620423585046</v>
      </c>
      <c r="V13" s="372">
        <f t="shared" si="9"/>
        <v>-5191.1507206094102</v>
      </c>
    </row>
    <row r="14" spans="4:22" ht="24" customHeight="1" x14ac:dyDescent="0.3">
      <c r="D14" s="323" t="s">
        <v>20</v>
      </c>
      <c r="E14" s="374">
        <f>+[4]파주!$Q$85</f>
        <v>98575.7978</v>
      </c>
      <c r="F14" s="373">
        <f>+[4]파주!$R$85</f>
        <v>102535.02557019671</v>
      </c>
      <c r="G14" s="372">
        <f t="shared" si="0"/>
        <v>3959.2277701967105</v>
      </c>
      <c r="H14" s="374">
        <f>+[4]파주!$Q$20</f>
        <v>59799.494374671449</v>
      </c>
      <c r="I14" s="373">
        <f>+[4]파주!$R$20</f>
        <v>59808.156981301086</v>
      </c>
      <c r="J14" s="372">
        <f t="shared" si="1"/>
        <v>8.6626066296375939</v>
      </c>
      <c r="K14" s="374">
        <f>+[4]파주!$Q$21</f>
        <v>21057.293323881171</v>
      </c>
      <c r="L14" s="373">
        <f>+[4]파주!$R$21</f>
        <v>24217.987534057404</v>
      </c>
      <c r="M14" s="372">
        <f t="shared" si="2"/>
        <v>3160.6942101762324</v>
      </c>
      <c r="N14" s="374">
        <f>+[4]파주!$Q$22</f>
        <v>283.5</v>
      </c>
      <c r="O14" s="373">
        <f>+[4]파주!$R$22</f>
        <v>265.86854775501064</v>
      </c>
      <c r="P14" s="372">
        <f t="shared" si="3"/>
        <v>-17.631452244989362</v>
      </c>
      <c r="Q14" s="374">
        <f t="shared" si="4"/>
        <v>81140.287698552624</v>
      </c>
      <c r="R14" s="373">
        <f t="shared" si="5"/>
        <v>84292.013063113511</v>
      </c>
      <c r="S14" s="372">
        <f t="shared" si="6"/>
        <v>3151.7253645608871</v>
      </c>
      <c r="T14" s="374">
        <f t="shared" si="7"/>
        <v>17435.510101447377</v>
      </c>
      <c r="U14" s="373">
        <f t="shared" si="8"/>
        <v>18243.0125070832</v>
      </c>
      <c r="V14" s="372">
        <f t="shared" si="9"/>
        <v>807.50240563582338</v>
      </c>
    </row>
    <row r="15" spans="4:22" ht="24" customHeight="1" x14ac:dyDescent="0.3">
      <c r="D15" s="323" t="s">
        <v>106</v>
      </c>
      <c r="E15" s="374">
        <f>+[4]김포!$Q$85</f>
        <v>95884.462913333322</v>
      </c>
      <c r="F15" s="373">
        <f>+[4]김포!$R$85</f>
        <v>97081.727318095611</v>
      </c>
      <c r="G15" s="372">
        <f t="shared" si="0"/>
        <v>1197.2644047622889</v>
      </c>
      <c r="H15" s="374">
        <f>+[4]김포!$Q$20</f>
        <v>58242.767728340128</v>
      </c>
      <c r="I15" s="373">
        <f>+[4]김포!$R$20</f>
        <v>60435.902452007846</v>
      </c>
      <c r="J15" s="372">
        <f t="shared" si="1"/>
        <v>2193.1347236677175</v>
      </c>
      <c r="K15" s="374">
        <f>+[4]김포!$Q$21</f>
        <v>18581.150026691786</v>
      </c>
      <c r="L15" s="373">
        <f>+[4]김포!$R$21</f>
        <v>20618.376351598628</v>
      </c>
      <c r="M15" s="372">
        <f t="shared" si="2"/>
        <v>2037.2263249068419</v>
      </c>
      <c r="N15" s="374">
        <f>+[4]김포!$Q$22</f>
        <v>60</v>
      </c>
      <c r="O15" s="373">
        <f>+[4]김포!$R$22</f>
        <v>86.722360847722669</v>
      </c>
      <c r="P15" s="372">
        <f t="shared" si="3"/>
        <v>26.722360847722669</v>
      </c>
      <c r="Q15" s="374">
        <f t="shared" si="4"/>
        <v>76883.917755031915</v>
      </c>
      <c r="R15" s="373">
        <f t="shared" si="5"/>
        <v>81141.001164454196</v>
      </c>
      <c r="S15" s="372">
        <f t="shared" si="6"/>
        <v>4257.083409422281</v>
      </c>
      <c r="T15" s="374">
        <f t="shared" si="7"/>
        <v>19000.545158301407</v>
      </c>
      <c r="U15" s="373">
        <f t="shared" si="8"/>
        <v>15940.726153641415</v>
      </c>
      <c r="V15" s="372">
        <f t="shared" si="9"/>
        <v>-3059.8190046599921</v>
      </c>
    </row>
    <row r="16" spans="4:22" ht="24" customHeight="1" x14ac:dyDescent="0.3">
      <c r="D16" s="378" t="s">
        <v>21</v>
      </c>
      <c r="E16" s="377">
        <f>+[4]부산!$Q$85</f>
        <v>107265.60605000002</v>
      </c>
      <c r="F16" s="376">
        <f>+[4]부산!$R$85</f>
        <v>115681.59079167301</v>
      </c>
      <c r="G16" s="375">
        <f t="shared" si="0"/>
        <v>8415.9847416729899</v>
      </c>
      <c r="H16" s="377">
        <f>+[4]부산!$Q$20</f>
        <v>61194.750462127609</v>
      </c>
      <c r="I16" s="376">
        <f>+[4]부산!$R$20</f>
        <v>64742.175277313479</v>
      </c>
      <c r="J16" s="375">
        <f t="shared" si="1"/>
        <v>3547.4248151858701</v>
      </c>
      <c r="K16" s="377">
        <f>+[4]부산!$Q$21</f>
        <v>21946.999652777777</v>
      </c>
      <c r="L16" s="376">
        <f>+[4]부산!$R$21</f>
        <v>23220.145418629389</v>
      </c>
      <c r="M16" s="375">
        <f t="shared" si="2"/>
        <v>1273.1457658516119</v>
      </c>
      <c r="N16" s="377">
        <f>+[4]부산!$Q$22</f>
        <v>200</v>
      </c>
      <c r="O16" s="376">
        <f>+[4]부산!$R$22</f>
        <v>365.52727549004709</v>
      </c>
      <c r="P16" s="375">
        <f t="shared" si="3"/>
        <v>165.52727549004709</v>
      </c>
      <c r="Q16" s="377">
        <f t="shared" si="4"/>
        <v>83341.750114905386</v>
      </c>
      <c r="R16" s="376">
        <f t="shared" si="5"/>
        <v>88327.847971432915</v>
      </c>
      <c r="S16" s="375">
        <f t="shared" si="6"/>
        <v>4986.0978565275291</v>
      </c>
      <c r="T16" s="377">
        <f t="shared" si="7"/>
        <v>23923.855935094631</v>
      </c>
      <c r="U16" s="376">
        <f t="shared" si="8"/>
        <v>27353.742820240092</v>
      </c>
      <c r="V16" s="375">
        <f t="shared" si="9"/>
        <v>3429.8868851454608</v>
      </c>
    </row>
    <row r="17" spans="4:22" ht="24" customHeight="1" x14ac:dyDescent="0.3">
      <c r="D17" s="323" t="s">
        <v>22</v>
      </c>
      <c r="E17" s="374">
        <f>+[4]서부산!$Q$85</f>
        <v>104020.9987495</v>
      </c>
      <c r="F17" s="373">
        <f>+[4]서부산!$R$85</f>
        <v>103692.33165880144</v>
      </c>
      <c r="G17" s="372">
        <f t="shared" si="0"/>
        <v>-328.66709069855278</v>
      </c>
      <c r="H17" s="374">
        <f>+[4]서부산!$Q$20</f>
        <v>59787.138124930483</v>
      </c>
      <c r="I17" s="373">
        <f>+[4]서부산!$R$20</f>
        <v>62029.136411970227</v>
      </c>
      <c r="J17" s="372">
        <f t="shared" si="1"/>
        <v>2241.9982870397434</v>
      </c>
      <c r="K17" s="374">
        <f>+[4]서부산!$Q$21</f>
        <v>17283.069408051862</v>
      </c>
      <c r="L17" s="373">
        <f>+[4]서부산!$R$21</f>
        <v>18643.113474099955</v>
      </c>
      <c r="M17" s="372">
        <f t="shared" si="2"/>
        <v>1360.0440660480926</v>
      </c>
      <c r="N17" s="374">
        <f>+[4]서부산!$Q$22</f>
        <v>180</v>
      </c>
      <c r="O17" s="373">
        <f>+[4]서부산!$R$22</f>
        <v>228.12020861815787</v>
      </c>
      <c r="P17" s="372">
        <f t="shared" si="3"/>
        <v>48.120208618157875</v>
      </c>
      <c r="Q17" s="374">
        <f t="shared" si="4"/>
        <v>77250.207532982342</v>
      </c>
      <c r="R17" s="373">
        <f t="shared" si="5"/>
        <v>80900.370094688333</v>
      </c>
      <c r="S17" s="372">
        <f t="shared" si="6"/>
        <v>3650.1625617059908</v>
      </c>
      <c r="T17" s="374">
        <f t="shared" si="7"/>
        <v>26770.791216517653</v>
      </c>
      <c r="U17" s="373">
        <f t="shared" si="8"/>
        <v>22791.961564113109</v>
      </c>
      <c r="V17" s="372">
        <f t="shared" si="9"/>
        <v>-3978.8296524045436</v>
      </c>
    </row>
    <row r="18" spans="4:22" ht="24" customHeight="1" x14ac:dyDescent="0.3">
      <c r="D18" s="323" t="s">
        <v>23</v>
      </c>
      <c r="E18" s="374">
        <f>+[4]김해!$Q$85</f>
        <v>101293.38088</v>
      </c>
      <c r="F18" s="373">
        <f>+[4]김해!$R$85</f>
        <v>97145.660515256706</v>
      </c>
      <c r="G18" s="372">
        <f t="shared" si="0"/>
        <v>-4147.7203647432907</v>
      </c>
      <c r="H18" s="374">
        <f>+[4]김해!$Q$20</f>
        <v>56810.252378460253</v>
      </c>
      <c r="I18" s="373">
        <f>+[4]김해!$R$20</f>
        <v>54589.386077105795</v>
      </c>
      <c r="J18" s="372">
        <f t="shared" si="1"/>
        <v>-2220.8663013544574</v>
      </c>
      <c r="K18" s="374">
        <f>+[4]김해!$Q$21</f>
        <v>21562.160289855077</v>
      </c>
      <c r="L18" s="373">
        <f>+[4]김해!$R$21</f>
        <v>22080.649369632742</v>
      </c>
      <c r="M18" s="372">
        <f t="shared" si="2"/>
        <v>518.4890797776643</v>
      </c>
      <c r="N18" s="374">
        <f>+[4]김해!$Q$22</f>
        <v>490</v>
      </c>
      <c r="O18" s="373">
        <f>+[4]김해!$R$22</f>
        <v>749.81673670747307</v>
      </c>
      <c r="P18" s="372">
        <f t="shared" si="3"/>
        <v>259.81673670747307</v>
      </c>
      <c r="Q18" s="374">
        <f t="shared" si="4"/>
        <v>78862.41266831533</v>
      </c>
      <c r="R18" s="373">
        <f t="shared" si="5"/>
        <v>77419.852183446012</v>
      </c>
      <c r="S18" s="372">
        <f t="shared" si="6"/>
        <v>-1442.5604848693183</v>
      </c>
      <c r="T18" s="374">
        <f t="shared" si="7"/>
        <v>22430.968211684667</v>
      </c>
      <c r="U18" s="373">
        <f t="shared" si="8"/>
        <v>19725.808331810695</v>
      </c>
      <c r="V18" s="372">
        <f t="shared" si="9"/>
        <v>-2705.1598798739724</v>
      </c>
    </row>
    <row r="19" spans="4:22" ht="24" customHeight="1" x14ac:dyDescent="0.3">
      <c r="D19" s="323" t="s">
        <v>24</v>
      </c>
      <c r="E19" s="374">
        <f>+[4]정관!$Q$85</f>
        <v>106108.08428545456</v>
      </c>
      <c r="F19" s="373">
        <f>+[4]정관!$R$85</f>
        <v>104523.63636363637</v>
      </c>
      <c r="G19" s="372">
        <f t="shared" si="0"/>
        <v>-1584.447921818195</v>
      </c>
      <c r="H19" s="374">
        <f>+[4]정관!$Q$20</f>
        <v>60273.805306548136</v>
      </c>
      <c r="I19" s="373">
        <f>+[4]정관!$R$20</f>
        <v>63164.770728432355</v>
      </c>
      <c r="J19" s="372">
        <f t="shared" si="1"/>
        <v>2890.9654218842188</v>
      </c>
      <c r="K19" s="374">
        <f>+[4]정관!$Q$21</f>
        <v>20815.650233100238</v>
      </c>
      <c r="L19" s="373">
        <f>+[4]정관!$R$21</f>
        <v>21086.214165827456</v>
      </c>
      <c r="M19" s="372">
        <f t="shared" si="2"/>
        <v>270.56393272721834</v>
      </c>
      <c r="N19" s="374">
        <f>+[4]정관!$Q$22</f>
        <v>286.36363636363637</v>
      </c>
      <c r="O19" s="373">
        <f>+[4]정관!$R$22</f>
        <v>351.55065458207451</v>
      </c>
      <c r="P19" s="372">
        <f t="shared" si="3"/>
        <v>65.187018218438141</v>
      </c>
      <c r="Q19" s="374">
        <f t="shared" si="4"/>
        <v>81375.81917601201</v>
      </c>
      <c r="R19" s="373">
        <f t="shared" si="5"/>
        <v>84602.535548841872</v>
      </c>
      <c r="S19" s="372">
        <f t="shared" si="6"/>
        <v>3226.7163728298619</v>
      </c>
      <c r="T19" s="374">
        <f t="shared" si="7"/>
        <v>24732.265109442553</v>
      </c>
      <c r="U19" s="373">
        <f t="shared" si="8"/>
        <v>19921.100814794496</v>
      </c>
      <c r="V19" s="372">
        <f t="shared" si="9"/>
        <v>-4811.164294648057</v>
      </c>
    </row>
    <row r="20" spans="4:22" ht="24" customHeight="1" x14ac:dyDescent="0.3">
      <c r="D20" s="323" t="s">
        <v>25</v>
      </c>
      <c r="E20" s="374">
        <f>+[4]양산!$Q$85</f>
        <v>101350.2203</v>
      </c>
      <c r="F20" s="373">
        <f>+[4]양산!$R$85</f>
        <v>99993.222106360787</v>
      </c>
      <c r="G20" s="372">
        <f t="shared" si="0"/>
        <v>-1356.9981936392142</v>
      </c>
      <c r="H20" s="374">
        <f>+[4]양산!$Q$20</f>
        <v>54663.784625139044</v>
      </c>
      <c r="I20" s="373">
        <f>+[4]양산!$R$20</f>
        <v>53272.323774765384</v>
      </c>
      <c r="J20" s="372">
        <f t="shared" si="1"/>
        <v>-1391.4608503736599</v>
      </c>
      <c r="K20" s="374">
        <f>+[4]양산!$Q$21</f>
        <v>21148.520440559205</v>
      </c>
      <c r="L20" s="373">
        <f>+[4]양산!$R$21</f>
        <v>23005.199426485924</v>
      </c>
      <c r="M20" s="372">
        <f t="shared" si="2"/>
        <v>1856.6789859267192</v>
      </c>
      <c r="N20" s="374">
        <f>+[4]양산!$Q$22</f>
        <v>80</v>
      </c>
      <c r="O20" s="373">
        <f>+[4]양산!$R$22</f>
        <v>0</v>
      </c>
      <c r="P20" s="372">
        <f t="shared" si="3"/>
        <v>-80</v>
      </c>
      <c r="Q20" s="374">
        <f t="shared" si="4"/>
        <v>75892.305065698252</v>
      </c>
      <c r="R20" s="373">
        <f t="shared" si="5"/>
        <v>76277.523201251315</v>
      </c>
      <c r="S20" s="372">
        <f t="shared" si="6"/>
        <v>385.21813555306289</v>
      </c>
      <c r="T20" s="374">
        <f t="shared" si="7"/>
        <v>25457.915234301749</v>
      </c>
      <c r="U20" s="373">
        <f t="shared" si="8"/>
        <v>23715.698905109472</v>
      </c>
      <c r="V20" s="372">
        <f t="shared" si="9"/>
        <v>-1742.216329192277</v>
      </c>
    </row>
    <row r="21" spans="4:22" ht="24" customHeight="1" x14ac:dyDescent="0.3">
      <c r="D21" s="323" t="s">
        <v>26</v>
      </c>
      <c r="E21" s="374">
        <f>+[4]창원!$Q$85</f>
        <v>98028.22533140867</v>
      </c>
      <c r="F21" s="373">
        <f>+[4]창원!$R$85</f>
        <v>97142.163550987869</v>
      </c>
      <c r="G21" s="372">
        <f t="shared" si="0"/>
        <v>-886.06178042080137</v>
      </c>
      <c r="H21" s="374">
        <f>+[4]창원!$Q$20</f>
        <v>57134.110892526085</v>
      </c>
      <c r="I21" s="373">
        <f>+[4]창원!$R$20</f>
        <v>55470.073270133784</v>
      </c>
      <c r="J21" s="372">
        <f t="shared" si="1"/>
        <v>-1664.0376223923013</v>
      </c>
      <c r="K21" s="374">
        <f>+[4]창원!$Q$21</f>
        <v>19313.080572441741</v>
      </c>
      <c r="L21" s="373">
        <f>+[4]창원!$R$21</f>
        <v>19427.129175157261</v>
      </c>
      <c r="M21" s="372">
        <f t="shared" si="2"/>
        <v>114.04860271552025</v>
      </c>
      <c r="N21" s="374">
        <f>+[4]창원!$Q$22</f>
        <v>107.14285714285712</v>
      </c>
      <c r="O21" s="373">
        <f>+[4]창원!$R$22</f>
        <v>85.894480375653401</v>
      </c>
      <c r="P21" s="372">
        <f t="shared" si="3"/>
        <v>-21.248376767203723</v>
      </c>
      <c r="Q21" s="374">
        <f t="shared" si="4"/>
        <v>76554.334322110677</v>
      </c>
      <c r="R21" s="373">
        <f t="shared" si="5"/>
        <v>74983.096925666701</v>
      </c>
      <c r="S21" s="372">
        <f t="shared" si="6"/>
        <v>-1571.2373964439757</v>
      </c>
      <c r="T21" s="374">
        <f t="shared" si="7"/>
        <v>21473.891009297993</v>
      </c>
      <c r="U21" s="373">
        <f t="shared" si="8"/>
        <v>22159.066625321168</v>
      </c>
      <c r="V21" s="372">
        <f t="shared" si="9"/>
        <v>685.17561602317437</v>
      </c>
    </row>
    <row r="22" spans="4:22" ht="24" customHeight="1" x14ac:dyDescent="0.3">
      <c r="D22" s="323" t="s">
        <v>127</v>
      </c>
      <c r="E22" s="374">
        <f>+[4]대구!$Q$85</f>
        <v>91629.970373333315</v>
      </c>
      <c r="F22" s="373">
        <f>+[4]대구!$R$85</f>
        <v>77939.962476547851</v>
      </c>
      <c r="G22" s="372">
        <f t="shared" si="0"/>
        <v>-13690.007896785464</v>
      </c>
      <c r="H22" s="374">
        <f>+[4]대구!$Q$20</f>
        <v>51870.460635342592</v>
      </c>
      <c r="I22" s="373">
        <f>+[4]대구!$R$20</f>
        <v>49433.808838857629</v>
      </c>
      <c r="J22" s="372">
        <f t="shared" si="1"/>
        <v>-2436.6517964849627</v>
      </c>
      <c r="K22" s="374">
        <f>+[4]대구!$Q$21</f>
        <v>17918.556353003722</v>
      </c>
      <c r="L22" s="373">
        <f>+[4]대구!$R$21</f>
        <v>16732.925786950174</v>
      </c>
      <c r="M22" s="372">
        <f t="shared" si="2"/>
        <v>-1185.6305660535472</v>
      </c>
      <c r="N22" s="374">
        <f>+[4]대구!$Q$22</f>
        <v>388.88888888888891</v>
      </c>
      <c r="O22" s="373">
        <f>+[4]대구!$R$22</f>
        <v>230.11653116531164</v>
      </c>
      <c r="P22" s="372">
        <f t="shared" si="3"/>
        <v>-158.77235772357727</v>
      </c>
      <c r="Q22" s="374">
        <f t="shared" si="4"/>
        <v>70177.9058772352</v>
      </c>
      <c r="R22" s="373">
        <f t="shared" si="5"/>
        <v>66396.85115697312</v>
      </c>
      <c r="S22" s="372">
        <f t="shared" si="6"/>
        <v>-3781.0547202620801</v>
      </c>
      <c r="T22" s="374">
        <f t="shared" si="7"/>
        <v>21452.064496098115</v>
      </c>
      <c r="U22" s="373">
        <f t="shared" si="8"/>
        <v>11543.111319574731</v>
      </c>
      <c r="V22" s="372">
        <f t="shared" si="9"/>
        <v>-9908.9531765233842</v>
      </c>
    </row>
    <row r="23" spans="4:22" ht="24" customHeight="1" x14ac:dyDescent="0.3">
      <c r="D23" s="323" t="s">
        <v>126</v>
      </c>
      <c r="E23" s="374">
        <f>+[4]울산!$Q$85</f>
        <v>103286.8931</v>
      </c>
      <c r="F23" s="373">
        <f>+[4]울산!$R$85</f>
        <v>104185.73804167075</v>
      </c>
      <c r="G23" s="372">
        <f t="shared" si="0"/>
        <v>898.84494167074445</v>
      </c>
      <c r="H23" s="374">
        <f>+[4]울산!$Q$20</f>
        <v>60875.060790075389</v>
      </c>
      <c r="I23" s="373">
        <f>+[4]울산!$R$20</f>
        <v>63129.322290031974</v>
      </c>
      <c r="J23" s="372">
        <f t="shared" si="1"/>
        <v>2254.2614999565849</v>
      </c>
      <c r="K23" s="374">
        <f>+[4]울산!$Q$21</f>
        <v>21478.702124223601</v>
      </c>
      <c r="L23" s="373">
        <f>+[4]울산!$R$21</f>
        <v>24394.289838225319</v>
      </c>
      <c r="M23" s="372">
        <f t="shared" si="2"/>
        <v>2915.5877140017183</v>
      </c>
      <c r="N23" s="374">
        <f>+[4]울산!$Q$22</f>
        <v>233.33333333333334</v>
      </c>
      <c r="O23" s="373">
        <f>+[4]울산!$R$22</f>
        <v>338.44095708611837</v>
      </c>
      <c r="P23" s="372">
        <f t="shared" si="3"/>
        <v>105.10762375278503</v>
      </c>
      <c r="Q23" s="374">
        <f t="shared" si="4"/>
        <v>82587.096247632318</v>
      </c>
      <c r="R23" s="373">
        <f t="shared" si="5"/>
        <v>87862.053085343403</v>
      </c>
      <c r="S23" s="372">
        <f t="shared" si="6"/>
        <v>5274.9568377110845</v>
      </c>
      <c r="T23" s="374">
        <f t="shared" si="7"/>
        <v>20699.796852367683</v>
      </c>
      <c r="U23" s="373">
        <f t="shared" si="8"/>
        <v>16323.684956327343</v>
      </c>
      <c r="V23" s="372">
        <f t="shared" si="9"/>
        <v>-4376.1118960403401</v>
      </c>
    </row>
    <row r="24" spans="4:22" ht="24" customHeight="1" x14ac:dyDescent="0.3">
      <c r="D24" s="378" t="s">
        <v>27</v>
      </c>
      <c r="E24" s="377">
        <f>+[4]아산!$Q$85</f>
        <v>98820.310909090913</v>
      </c>
      <c r="F24" s="376">
        <f>+[4]아산!$R$85</f>
        <v>103047.33677765021</v>
      </c>
      <c r="G24" s="375">
        <f t="shared" si="0"/>
        <v>4227.0258685592999</v>
      </c>
      <c r="H24" s="377">
        <f>+[4]아산!$Q$20</f>
        <v>55931.627552907725</v>
      </c>
      <c r="I24" s="376">
        <f>+[4]아산!$R$20</f>
        <v>60104.974635106322</v>
      </c>
      <c r="J24" s="375">
        <f t="shared" si="1"/>
        <v>4173.3470821985975</v>
      </c>
      <c r="K24" s="377">
        <f>+[4]아산!$Q$21</f>
        <v>21915.89118083004</v>
      </c>
      <c r="L24" s="376">
        <f>+[4]아산!$R$21</f>
        <v>22513.532553435736</v>
      </c>
      <c r="M24" s="375">
        <f t="shared" si="2"/>
        <v>597.64137260569623</v>
      </c>
      <c r="N24" s="377">
        <f>+[4]아산!$Q$22</f>
        <v>136.36363636363635</v>
      </c>
      <c r="O24" s="376">
        <f>+[4]아산!$R$22</f>
        <v>246.76794402230362</v>
      </c>
      <c r="P24" s="375">
        <f t="shared" si="3"/>
        <v>110.40430765866728</v>
      </c>
      <c r="Q24" s="377">
        <f t="shared" si="4"/>
        <v>77983.88237010139</v>
      </c>
      <c r="R24" s="376">
        <f t="shared" si="5"/>
        <v>82865.275132564362</v>
      </c>
      <c r="S24" s="375">
        <f t="shared" si="6"/>
        <v>4881.3927624629723</v>
      </c>
      <c r="T24" s="377">
        <f t="shared" si="7"/>
        <v>20836.428538989523</v>
      </c>
      <c r="U24" s="376">
        <f t="shared" si="8"/>
        <v>20182.061645085851</v>
      </c>
      <c r="V24" s="375">
        <f t="shared" si="9"/>
        <v>-654.36689390367246</v>
      </c>
    </row>
    <row r="25" spans="4:22" ht="24" customHeight="1" x14ac:dyDescent="0.3">
      <c r="D25" s="323" t="s">
        <v>125</v>
      </c>
      <c r="E25" s="374">
        <f>+[4]전주!$Q$85</f>
        <v>102691.16666666666</v>
      </c>
      <c r="F25" s="373">
        <f>+[4]전주!$R$85</f>
        <v>96677.339050886221</v>
      </c>
      <c r="G25" s="372">
        <f t="shared" si="0"/>
        <v>-6013.8276157804357</v>
      </c>
      <c r="H25" s="374">
        <f>+[4]전주!$Q$20</f>
        <v>59552.960166666671</v>
      </c>
      <c r="I25" s="373">
        <f>+[4]전주!$R$20</f>
        <v>60146.07537640557</v>
      </c>
      <c r="J25" s="372">
        <f t="shared" si="1"/>
        <v>593.11520973889856</v>
      </c>
      <c r="K25" s="374">
        <f>+[4]전주!$Q$21</f>
        <v>16540.161250000001</v>
      </c>
      <c r="L25" s="373">
        <f>+[4]전주!$R$21</f>
        <v>20039.75433581094</v>
      </c>
      <c r="M25" s="372">
        <f t="shared" si="2"/>
        <v>3499.5930858109386</v>
      </c>
      <c r="N25" s="374">
        <f>+[4]전주!$Q$22</f>
        <v>291.66666666666669</v>
      </c>
      <c r="O25" s="373">
        <f>+[4]전주!$R$22</f>
        <v>340.94854202401376</v>
      </c>
      <c r="P25" s="372">
        <f t="shared" si="3"/>
        <v>49.281875357347076</v>
      </c>
      <c r="Q25" s="374">
        <f t="shared" si="4"/>
        <v>76384.788083333347</v>
      </c>
      <c r="R25" s="373">
        <f t="shared" si="5"/>
        <v>80526.778254240518</v>
      </c>
      <c r="S25" s="372">
        <f t="shared" si="6"/>
        <v>4141.990170907171</v>
      </c>
      <c r="T25" s="374">
        <f t="shared" si="7"/>
        <v>26306.37858333331</v>
      </c>
      <c r="U25" s="373">
        <f t="shared" si="8"/>
        <v>16150.560796645703</v>
      </c>
      <c r="V25" s="372">
        <f t="shared" si="9"/>
        <v>-10155.817786687607</v>
      </c>
    </row>
    <row r="26" spans="4:22" ht="24" customHeight="1" x14ac:dyDescent="0.3">
      <c r="D26" s="323" t="s">
        <v>124</v>
      </c>
      <c r="E26" s="374">
        <f>+[4]군산!$Q$85</f>
        <v>112084.76</v>
      </c>
      <c r="F26" s="373">
        <f>+[4]군산!$R$85</f>
        <v>106453.29708255742</v>
      </c>
      <c r="G26" s="372">
        <f t="shared" si="0"/>
        <v>-5631.4629174425791</v>
      </c>
      <c r="H26" s="374">
        <f>+[4]군산!$Q$20</f>
        <v>58572.097480163138</v>
      </c>
      <c r="I26" s="373">
        <f>+[4]군산!$R$20</f>
        <v>60014.817628801989</v>
      </c>
      <c r="J26" s="372">
        <f t="shared" si="1"/>
        <v>1442.7201486388512</v>
      </c>
      <c r="K26" s="374">
        <f>+[4]군산!$Q$21</f>
        <v>14284.299645527439</v>
      </c>
      <c r="L26" s="373">
        <f>+[4]군산!$R$21</f>
        <v>14823.844320297952</v>
      </c>
      <c r="M26" s="372">
        <f t="shared" si="2"/>
        <v>539.54467477051367</v>
      </c>
      <c r="N26" s="374">
        <f>+[4]군산!$Q$22</f>
        <v>68</v>
      </c>
      <c r="O26" s="373">
        <f>+[4]군산!$R$22</f>
        <v>68.735940409683423</v>
      </c>
      <c r="P26" s="372">
        <f t="shared" si="3"/>
        <v>0.73594040968342256</v>
      </c>
      <c r="Q26" s="374">
        <f t="shared" si="4"/>
        <v>72924.397125690579</v>
      </c>
      <c r="R26" s="373">
        <f t="shared" si="5"/>
        <v>74907.397889509622</v>
      </c>
      <c r="S26" s="372">
        <f t="shared" si="6"/>
        <v>1983.0007638190436</v>
      </c>
      <c r="T26" s="374">
        <f t="shared" si="7"/>
        <v>39160.362874309416</v>
      </c>
      <c r="U26" s="373">
        <f t="shared" si="8"/>
        <v>31545.899193047793</v>
      </c>
      <c r="V26" s="372">
        <f t="shared" si="9"/>
        <v>-7614.4636812616227</v>
      </c>
    </row>
    <row r="27" spans="4:22" ht="24" customHeight="1" x14ac:dyDescent="0.3">
      <c r="D27" s="323" t="s">
        <v>123</v>
      </c>
      <c r="E27" s="374">
        <f>+[4]원주!$Q$85</f>
        <v>111634.86482500004</v>
      </c>
      <c r="F27" s="373">
        <f>+[4]원주!$R$85</f>
        <v>114695.55182543013</v>
      </c>
      <c r="G27" s="372">
        <f t="shared" si="0"/>
        <v>3060.6870004300872</v>
      </c>
      <c r="H27" s="374">
        <f>+[4]원주!$Q$20</f>
        <v>55511.628763440858</v>
      </c>
      <c r="I27" s="373">
        <f>+[4]원주!$R$20</f>
        <v>56462.537977339489</v>
      </c>
      <c r="J27" s="372">
        <f t="shared" si="1"/>
        <v>950.9092138986307</v>
      </c>
      <c r="K27" s="374">
        <f>+[4]원주!$Q$21</f>
        <v>14791.004200021</v>
      </c>
      <c r="L27" s="373">
        <f>+[4]원주!$R$21</f>
        <v>13729.638690725975</v>
      </c>
      <c r="M27" s="372">
        <f t="shared" si="2"/>
        <v>-1061.3655092950248</v>
      </c>
      <c r="N27" s="374">
        <f>+[4]원주!$Q$22</f>
        <v>375</v>
      </c>
      <c r="O27" s="373">
        <f>+[4]원주!$R$22</f>
        <v>330.81766680654636</v>
      </c>
      <c r="P27" s="372">
        <f t="shared" si="3"/>
        <v>-44.182333193453644</v>
      </c>
      <c r="Q27" s="374">
        <f t="shared" si="4"/>
        <v>70677.63296346186</v>
      </c>
      <c r="R27" s="373">
        <f t="shared" si="5"/>
        <v>70522.994334872012</v>
      </c>
      <c r="S27" s="372">
        <f t="shared" si="6"/>
        <v>-154.63862858984794</v>
      </c>
      <c r="T27" s="374">
        <f t="shared" si="7"/>
        <v>40957.231861538181</v>
      </c>
      <c r="U27" s="373">
        <f t="shared" si="8"/>
        <v>44172.557490558116</v>
      </c>
      <c r="V27" s="372">
        <f t="shared" si="9"/>
        <v>3215.3256290199351</v>
      </c>
    </row>
    <row r="28" spans="4:22" ht="24" customHeight="1" x14ac:dyDescent="0.3">
      <c r="D28" s="318" t="s">
        <v>122</v>
      </c>
      <c r="E28" s="371">
        <f>+[4]제주!$Q$85</f>
        <v>121940</v>
      </c>
      <c r="F28" s="370">
        <f>+[4]제주!$R$85</f>
        <v>129968.01303574958</v>
      </c>
      <c r="G28" s="369">
        <f t="shared" si="0"/>
        <v>8028.01303574958</v>
      </c>
      <c r="H28" s="371">
        <f>+[4]제주!$Q$20</f>
        <v>75818.036707452717</v>
      </c>
      <c r="I28" s="370">
        <f>+[4]제주!$R$20</f>
        <v>80407.771084337335</v>
      </c>
      <c r="J28" s="369">
        <f t="shared" si="1"/>
        <v>4589.7343768846185</v>
      </c>
      <c r="K28" s="371">
        <f>+[4]제주!$Q$21</f>
        <v>17871.834311929309</v>
      </c>
      <c r="L28" s="370">
        <f>+[4]제주!$R$21</f>
        <v>17689.374876555401</v>
      </c>
      <c r="M28" s="369">
        <f t="shared" si="2"/>
        <v>-182.45943537390849</v>
      </c>
      <c r="N28" s="371">
        <f>+[4]제주!$Q$22</f>
        <v>500</v>
      </c>
      <c r="O28" s="370">
        <f>+[4]제주!$R$22</f>
        <v>476.42504444005527</v>
      </c>
      <c r="P28" s="369">
        <f t="shared" si="3"/>
        <v>-23.574955559944726</v>
      </c>
      <c r="Q28" s="371">
        <f t="shared" si="4"/>
        <v>94189.87101938203</v>
      </c>
      <c r="R28" s="370">
        <f t="shared" si="5"/>
        <v>98573.571005332793</v>
      </c>
      <c r="S28" s="369">
        <f t="shared" si="6"/>
        <v>4383.6999859507632</v>
      </c>
      <c r="T28" s="371">
        <f t="shared" si="7"/>
        <v>27750.12898061797</v>
      </c>
      <c r="U28" s="370">
        <f t="shared" si="8"/>
        <v>31394.442030416787</v>
      </c>
      <c r="V28" s="369">
        <f t="shared" si="9"/>
        <v>3644.3130497988168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0"/>
    <pageSetUpPr fitToPage="1"/>
  </sheetPr>
  <dimension ref="D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G40" sqref="G40"/>
      <selection pane="topRight" activeCell="G40" sqref="G40"/>
      <selection pane="bottomLeft" activeCell="G40" sqref="G40"/>
      <selection pane="bottomRight" activeCell="G40" sqref="G40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208</v>
      </c>
      <c r="F4" s="368"/>
      <c r="I4" s="368"/>
    </row>
    <row r="5" spans="4:22" ht="21.95" customHeight="1" x14ac:dyDescent="0.3"/>
    <row r="6" spans="4:22" ht="24" customHeight="1" thickBot="1" x14ac:dyDescent="0.35">
      <c r="D6" s="693" t="s">
        <v>11</v>
      </c>
      <c r="E6" s="366" t="s">
        <v>147</v>
      </c>
      <c r="F6" s="365"/>
      <c r="G6" s="364"/>
      <c r="H6" s="366" t="s">
        <v>146</v>
      </c>
      <c r="I6" s="365"/>
      <c r="J6" s="364"/>
      <c r="K6" s="366" t="s">
        <v>145</v>
      </c>
      <c r="L6" s="365"/>
      <c r="M6" s="364"/>
      <c r="N6" s="366" t="s">
        <v>144</v>
      </c>
      <c r="O6" s="365"/>
      <c r="P6" s="364"/>
      <c r="Q6" s="366" t="s">
        <v>143</v>
      </c>
      <c r="R6" s="365"/>
      <c r="S6" s="364"/>
      <c r="T6" s="366" t="s">
        <v>142</v>
      </c>
      <c r="U6" s="365"/>
      <c r="V6" s="364"/>
    </row>
    <row r="7" spans="4:22" ht="24" customHeight="1" x14ac:dyDescent="0.3">
      <c r="D7" s="694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411">
        <f>+[4]합계!$G$9</f>
        <v>97368.408906012904</v>
      </c>
      <c r="F8" s="410">
        <f>+[4]합계!$H$9</f>
        <v>100466.87662285753</v>
      </c>
      <c r="G8" s="409">
        <f t="shared" ref="G8:G28" si="0">+F8-E8</f>
        <v>3098.4677168446215</v>
      </c>
      <c r="H8" s="411">
        <f>+[4]합계!$G$10</f>
        <v>91989.192996743615</v>
      </c>
      <c r="I8" s="410">
        <f>+[4]합계!$H$10</f>
        <v>94387.61534855279</v>
      </c>
      <c r="J8" s="409">
        <f t="shared" ref="J8:J28" si="1">+I8-H8</f>
        <v>2398.4223518091749</v>
      </c>
      <c r="K8" s="411">
        <f>+[4]합계!$G$12</f>
        <v>59683.802455258599</v>
      </c>
      <c r="L8" s="410">
        <f>+[4]합계!$H$12</f>
        <v>57713.51044245177</v>
      </c>
      <c r="M8" s="409">
        <f t="shared" ref="M8:M28" si="2">+L8-K8</f>
        <v>-1970.292012806829</v>
      </c>
      <c r="N8" s="411">
        <f>+[4]합계!$G$13</f>
        <v>35833.048030699603</v>
      </c>
      <c r="O8" s="410">
        <f>+[4]합계!$H$13</f>
        <v>37804.812049813314</v>
      </c>
      <c r="P8" s="409">
        <f t="shared" ref="P8:P28" si="3">+O8-N8</f>
        <v>1971.7640191137107</v>
      </c>
      <c r="Q8" s="411">
        <f>+[4]합계!$G$16</f>
        <v>12934.414883920901</v>
      </c>
      <c r="R8" s="410">
        <f>+[4]합계!$H$16</f>
        <v>13026.524911773859</v>
      </c>
      <c r="S8" s="409">
        <f t="shared" ref="S8:S28" si="4">+R8-Q8</f>
        <v>92.110027852957501</v>
      </c>
      <c r="T8" s="411">
        <f>+[4]합계!$G$17</f>
        <v>15620.276508762676</v>
      </c>
      <c r="U8" s="410">
        <f>+[4]합계!$H$17</f>
        <v>15553.061710880474</v>
      </c>
      <c r="V8" s="409">
        <f t="shared" ref="V8:V28" si="5">+U8-T8</f>
        <v>-67.21479788220131</v>
      </c>
    </row>
    <row r="9" spans="4:22" ht="24" customHeight="1" x14ac:dyDescent="0.3">
      <c r="D9" s="352" t="s">
        <v>16</v>
      </c>
      <c r="E9" s="408">
        <f>+[4]수도권!$G$9</f>
        <v>96999.999999999985</v>
      </c>
      <c r="F9" s="407">
        <f>+[4]수도권!$H$9</f>
        <v>99847.642004431065</v>
      </c>
      <c r="G9" s="406">
        <f t="shared" si="0"/>
        <v>2847.6420044310798</v>
      </c>
      <c r="H9" s="408">
        <f>+[4]수도권!$G$10</f>
        <v>95408.629441624376</v>
      </c>
      <c r="I9" s="407">
        <f>+[4]수도권!$H$10</f>
        <v>97245.807614049481</v>
      </c>
      <c r="J9" s="406">
        <f t="shared" si="1"/>
        <v>1837.178172425105</v>
      </c>
      <c r="K9" s="408">
        <f>+[4]수도권!$G$12</f>
        <v>59999.999999999993</v>
      </c>
      <c r="L9" s="407">
        <f>+[4]수도권!$H$12</f>
        <v>57075.22254225245</v>
      </c>
      <c r="M9" s="406">
        <f t="shared" si="2"/>
        <v>-2924.7774577475429</v>
      </c>
      <c r="N9" s="408">
        <f>+[4]수도권!$G$13</f>
        <v>39797.967005398343</v>
      </c>
      <c r="O9" s="407">
        <f>+[4]수도권!$H$13</f>
        <v>41305.666216712634</v>
      </c>
      <c r="P9" s="406">
        <f t="shared" si="3"/>
        <v>1507.6992113142915</v>
      </c>
      <c r="Q9" s="408">
        <f>+[4]수도권!$G$16</f>
        <v>14912.113691818991</v>
      </c>
      <c r="R9" s="407">
        <f>+[4]수도권!$H$16</f>
        <v>15006.07888034938</v>
      </c>
      <c r="S9" s="406">
        <f t="shared" si="4"/>
        <v>93.965188530388332</v>
      </c>
      <c r="T9" s="408">
        <f>+[4]수도권!$G$17</f>
        <v>13714.936956130119</v>
      </c>
      <c r="U9" s="407">
        <f>+[4]수도권!$H$17</f>
        <v>13966.237444912773</v>
      </c>
      <c r="V9" s="406">
        <f t="shared" si="5"/>
        <v>251.3004887826537</v>
      </c>
    </row>
    <row r="10" spans="4:22" ht="24" customHeight="1" x14ac:dyDescent="0.3">
      <c r="D10" s="347" t="s">
        <v>17</v>
      </c>
      <c r="E10" s="405">
        <f>+[4]영남권!$G$9</f>
        <v>96999.999999999985</v>
      </c>
      <c r="F10" s="404">
        <f>+[4]영남권!$H$9</f>
        <v>100024.57041981928</v>
      </c>
      <c r="G10" s="403">
        <f t="shared" si="0"/>
        <v>3024.570419819298</v>
      </c>
      <c r="H10" s="405">
        <f>+[4]영남권!$G$10</f>
        <v>90278.214091712245</v>
      </c>
      <c r="I10" s="404">
        <f>+[4]영남권!$H$10</f>
        <v>93795.712655611656</v>
      </c>
      <c r="J10" s="403">
        <f t="shared" si="1"/>
        <v>3517.4985638994112</v>
      </c>
      <c r="K10" s="405">
        <f>+[4]영남권!$G$12</f>
        <v>59131.999639248425</v>
      </c>
      <c r="L10" s="404">
        <f>+[4]영남권!$H$12</f>
        <v>58398.132158946697</v>
      </c>
      <c r="M10" s="403">
        <f t="shared" si="2"/>
        <v>-733.86748030172748</v>
      </c>
      <c r="N10" s="405">
        <f>+[4]영남권!$G$13</f>
        <v>32368.269814940653</v>
      </c>
      <c r="O10" s="404">
        <f>+[4]영남권!$H$13</f>
        <v>33944.163539954352</v>
      </c>
      <c r="P10" s="403">
        <f t="shared" si="3"/>
        <v>1575.8937250136987</v>
      </c>
      <c r="Q10" s="405">
        <f>+[4]영남권!$G$16</f>
        <v>11037.030150471721</v>
      </c>
      <c r="R10" s="404">
        <f>+[4]영남권!$H$16</f>
        <v>10724.73470767509</v>
      </c>
      <c r="S10" s="403">
        <f t="shared" si="4"/>
        <v>-312.2954427966306</v>
      </c>
      <c r="T10" s="405">
        <f>+[4]영남권!$G$17</f>
        <v>17785.124172262498</v>
      </c>
      <c r="U10" s="404">
        <f>+[4]영남권!$H$17</f>
        <v>17745.092991971622</v>
      </c>
      <c r="V10" s="403">
        <f t="shared" si="5"/>
        <v>-40.031180290876364</v>
      </c>
    </row>
    <row r="11" spans="4:22" ht="24" customHeight="1" x14ac:dyDescent="0.3">
      <c r="D11" s="342" t="s">
        <v>128</v>
      </c>
      <c r="E11" s="402">
        <f>+[4]중부권!$G$9</f>
        <v>98904.192657775071</v>
      </c>
      <c r="F11" s="401">
        <f>+[4]중부권!$H$9</f>
        <v>102444.50215958258</v>
      </c>
      <c r="G11" s="400">
        <f t="shared" si="0"/>
        <v>3540.309501807511</v>
      </c>
      <c r="H11" s="402">
        <f>+[4]중부권!$G$10</f>
        <v>104797.05760041148</v>
      </c>
      <c r="I11" s="401">
        <f>+[4]중부권!$H$10</f>
        <v>92590.793172503021</v>
      </c>
      <c r="J11" s="400">
        <f t="shared" si="1"/>
        <v>-12206.264427908463</v>
      </c>
      <c r="K11" s="402">
        <f>+[4]중부권!$G$12</f>
        <v>60140.363313148773</v>
      </c>
      <c r="L11" s="401">
        <f>+[4]중부권!$H$12</f>
        <v>57615.027107245434</v>
      </c>
      <c r="M11" s="400">
        <f t="shared" si="2"/>
        <v>-2525.3362059033389</v>
      </c>
      <c r="N11" s="402">
        <f>+[4]중부권!$G$13</f>
        <v>37163.649657017493</v>
      </c>
      <c r="O11" s="401">
        <f>+[4]중부권!$H$13</f>
        <v>39442.319515105046</v>
      </c>
      <c r="P11" s="400">
        <f t="shared" si="3"/>
        <v>2278.6698580875527</v>
      </c>
      <c r="Q11" s="402">
        <f>+[4]중부권!$G$16</f>
        <v>13013.989004444258</v>
      </c>
      <c r="R11" s="401">
        <f>+[4]중부권!$H$16</f>
        <v>12918.206261778143</v>
      </c>
      <c r="S11" s="400">
        <f t="shared" si="4"/>
        <v>-95.782742666115155</v>
      </c>
      <c r="T11" s="402">
        <f>+[4]중부권!$G$17</f>
        <v>14462.193161032697</v>
      </c>
      <c r="U11" s="401">
        <f>+[4]중부권!$H$17</f>
        <v>14572.122654955359</v>
      </c>
      <c r="V11" s="400">
        <f t="shared" si="5"/>
        <v>109.929493922662</v>
      </c>
    </row>
    <row r="12" spans="4:22" ht="24" customHeight="1" x14ac:dyDescent="0.3">
      <c r="D12" s="382" t="s">
        <v>18</v>
      </c>
      <c r="E12" s="399">
        <f>+[4]안양!$G$9</f>
        <v>97000</v>
      </c>
      <c r="F12" s="398">
        <f>+[4]안양!$H$9</f>
        <v>99733.667924630019</v>
      </c>
      <c r="G12" s="397">
        <f t="shared" si="0"/>
        <v>2733.6679246300191</v>
      </c>
      <c r="H12" s="399">
        <f>+[4]안양!$G$10</f>
        <v>0</v>
      </c>
      <c r="I12" s="398">
        <f>+[4]안양!$H$10</f>
        <v>100500.0236754764</v>
      </c>
      <c r="J12" s="397">
        <f t="shared" si="1"/>
        <v>100500.0236754764</v>
      </c>
      <c r="K12" s="399">
        <f>+[4]안양!$G$12</f>
        <v>60000</v>
      </c>
      <c r="L12" s="398">
        <f>+[4]안양!$H$12</f>
        <v>57084.815337581167</v>
      </c>
      <c r="M12" s="397">
        <f t="shared" si="2"/>
        <v>-2915.1846624188329</v>
      </c>
      <c r="N12" s="399">
        <f>+[4]안양!$G$13</f>
        <v>38500</v>
      </c>
      <c r="O12" s="398">
        <f>+[4]안양!$H$13</f>
        <v>40590.349088308678</v>
      </c>
      <c r="P12" s="397">
        <f t="shared" si="3"/>
        <v>2090.3490883086779</v>
      </c>
      <c r="Q12" s="399">
        <f>+[4]안양!$G$16</f>
        <v>14133.333333333332</v>
      </c>
      <c r="R12" s="398">
        <f>+[4]안양!$H$16</f>
        <v>14019.966539496569</v>
      </c>
      <c r="S12" s="397">
        <f t="shared" si="4"/>
        <v>-113.36679383676346</v>
      </c>
      <c r="T12" s="399">
        <f>+[4]안양!$G$17</f>
        <v>13548.387096774195</v>
      </c>
      <c r="U12" s="398">
        <f>+[4]안양!$H$17</f>
        <v>13580.757877484686</v>
      </c>
      <c r="V12" s="397">
        <f t="shared" si="5"/>
        <v>32.37078071049109</v>
      </c>
    </row>
    <row r="13" spans="4:22" ht="24" customHeight="1" x14ac:dyDescent="0.3">
      <c r="D13" s="323" t="s">
        <v>19</v>
      </c>
      <c r="E13" s="392">
        <f>+[4]인천!$G$9</f>
        <v>97000</v>
      </c>
      <c r="F13" s="391">
        <f>+[4]인천!$H$9</f>
        <v>99854.838803406717</v>
      </c>
      <c r="G13" s="390">
        <f t="shared" si="0"/>
        <v>2854.8388034067175</v>
      </c>
      <c r="H13" s="392">
        <f>+[4]인천!$G$10</f>
        <v>97000</v>
      </c>
      <c r="I13" s="391">
        <f>+[4]인천!$H$10</f>
        <v>99410.616267937978</v>
      </c>
      <c r="J13" s="390">
        <f t="shared" si="1"/>
        <v>2410.6162679379777</v>
      </c>
      <c r="K13" s="392">
        <f>+[4]인천!$G$12</f>
        <v>60000</v>
      </c>
      <c r="L13" s="391">
        <f>+[4]인천!$H$12</f>
        <v>57159.838483174186</v>
      </c>
      <c r="M13" s="390">
        <f t="shared" si="2"/>
        <v>-2840.161516825814</v>
      </c>
      <c r="N13" s="392">
        <f>+[4]인천!$G$13</f>
        <v>39000</v>
      </c>
      <c r="O13" s="391">
        <f>+[4]인천!$H$13</f>
        <v>40516.387403076609</v>
      </c>
      <c r="P13" s="390">
        <f t="shared" si="3"/>
        <v>1516.3874030766092</v>
      </c>
      <c r="Q13" s="392">
        <f>+[4]인천!$G$16</f>
        <v>15333.333333333334</v>
      </c>
      <c r="R13" s="391">
        <f>+[4]인천!$H$16</f>
        <v>15706.539918550145</v>
      </c>
      <c r="S13" s="390">
        <f t="shared" si="4"/>
        <v>373.20658521681071</v>
      </c>
      <c r="T13" s="392">
        <f>+[4]인천!$G$17</f>
        <v>13952.457269132081</v>
      </c>
      <c r="U13" s="391">
        <f>+[4]인천!$H$17</f>
        <v>14634.710954625278</v>
      </c>
      <c r="V13" s="390">
        <f t="shared" si="5"/>
        <v>682.25368549319683</v>
      </c>
    </row>
    <row r="14" spans="4:22" ht="24" customHeight="1" x14ac:dyDescent="0.3">
      <c r="D14" s="323" t="s">
        <v>20</v>
      </c>
      <c r="E14" s="392">
        <f>+[4]파주!$G$9</f>
        <v>97000.000000000015</v>
      </c>
      <c r="F14" s="391">
        <f>+[4]파주!$H$9</f>
        <v>99999.999999999971</v>
      </c>
      <c r="G14" s="390">
        <f t="shared" si="0"/>
        <v>2999.9999999999563</v>
      </c>
      <c r="H14" s="392">
        <f>+[4]파주!$G$10</f>
        <v>0</v>
      </c>
      <c r="I14" s="391">
        <f>+[4]파주!$H$10</f>
        <v>0</v>
      </c>
      <c r="J14" s="390">
        <f t="shared" si="1"/>
        <v>0</v>
      </c>
      <c r="K14" s="392">
        <f>+[4]파주!$G$12</f>
        <v>59999.999999999985</v>
      </c>
      <c r="L14" s="391">
        <f>+[4]파주!$H$12</f>
        <v>57098.345346924245</v>
      </c>
      <c r="M14" s="390">
        <f t="shared" si="2"/>
        <v>-2901.6546530757405</v>
      </c>
      <c r="N14" s="392">
        <f>+[4]파주!$G$13</f>
        <v>42000</v>
      </c>
      <c r="O14" s="391">
        <f>+[4]파주!$H$13</f>
        <v>43010.385559855684</v>
      </c>
      <c r="P14" s="390">
        <f t="shared" si="3"/>
        <v>1010.3855598556838</v>
      </c>
      <c r="Q14" s="392">
        <f>+[4]파주!$G$16</f>
        <v>15666.666666666666</v>
      </c>
      <c r="R14" s="391">
        <f>+[4]파주!$H$16</f>
        <v>15750.803025214031</v>
      </c>
      <c r="S14" s="390">
        <f t="shared" si="4"/>
        <v>84.13635854736458</v>
      </c>
      <c r="T14" s="392">
        <f>+[4]파주!$G$17</f>
        <v>13225.806451612902</v>
      </c>
      <c r="U14" s="391">
        <f>+[4]파주!$H$17</f>
        <v>13412.47111031755</v>
      </c>
      <c r="V14" s="390">
        <f t="shared" si="5"/>
        <v>186.6646587046489</v>
      </c>
    </row>
    <row r="15" spans="4:22" ht="24" customHeight="1" x14ac:dyDescent="0.3">
      <c r="D15" s="323" t="s">
        <v>106</v>
      </c>
      <c r="E15" s="392">
        <f>+[4]김포!$G$9</f>
        <v>97000</v>
      </c>
      <c r="F15" s="391">
        <f>+[4]김포!$H$9</f>
        <v>99999.999999999913</v>
      </c>
      <c r="G15" s="390">
        <f t="shared" si="0"/>
        <v>2999.9999999999127</v>
      </c>
      <c r="H15" s="392">
        <f>+[4]김포!$G$10</f>
        <v>91500</v>
      </c>
      <c r="I15" s="391">
        <f>+[4]김포!$H$10</f>
        <v>95217.770013012647</v>
      </c>
      <c r="J15" s="390">
        <f t="shared" si="1"/>
        <v>3717.7700130126468</v>
      </c>
      <c r="K15" s="392">
        <f>+[4]김포!$G$12</f>
        <v>60000</v>
      </c>
      <c r="L15" s="391">
        <f>+[4]김포!$H$12</f>
        <v>56900.155717268579</v>
      </c>
      <c r="M15" s="390">
        <f t="shared" si="2"/>
        <v>-3099.8442827314211</v>
      </c>
      <c r="N15" s="392">
        <f>+[4]김포!$G$13</f>
        <v>41500</v>
      </c>
      <c r="O15" s="391">
        <f>+[4]김포!$H$13</f>
        <v>42846.266884284618</v>
      </c>
      <c r="P15" s="390">
        <f t="shared" si="3"/>
        <v>1346.2668842846178</v>
      </c>
      <c r="Q15" s="392">
        <f>+[4]김포!$G$16</f>
        <v>14911.784402239484</v>
      </c>
      <c r="R15" s="391">
        <f>+[4]김포!$H$16</f>
        <v>15144.825848873828</v>
      </c>
      <c r="S15" s="390">
        <f t="shared" si="4"/>
        <v>233.04144663434454</v>
      </c>
      <c r="T15" s="392">
        <f>+[4]김포!$G$17</f>
        <v>14169.205533658454</v>
      </c>
      <c r="U15" s="391">
        <f>+[4]김포!$H$17</f>
        <v>14060.316539538104</v>
      </c>
      <c r="V15" s="390">
        <f t="shared" si="5"/>
        <v>-108.88899412035062</v>
      </c>
    </row>
    <row r="16" spans="4:22" ht="24" customHeight="1" x14ac:dyDescent="0.3">
      <c r="D16" s="378" t="s">
        <v>21</v>
      </c>
      <c r="E16" s="395">
        <f>+[4]부산!$G$9</f>
        <v>97000</v>
      </c>
      <c r="F16" s="394">
        <f>+[4]부산!$H$9</f>
        <v>100000</v>
      </c>
      <c r="G16" s="393">
        <f t="shared" si="0"/>
        <v>3000</v>
      </c>
      <c r="H16" s="395">
        <f>+[4]부산!$G$10</f>
        <v>89600.000000000029</v>
      </c>
      <c r="I16" s="394">
        <f>+[4]부산!$H$10</f>
        <v>93069.497253582536</v>
      </c>
      <c r="J16" s="393">
        <f t="shared" si="1"/>
        <v>3469.4972535825073</v>
      </c>
      <c r="K16" s="395">
        <f>+[4]부산!$G$12</f>
        <v>0</v>
      </c>
      <c r="L16" s="394">
        <f>+[4]부산!$H$12</f>
        <v>57700.021031156226</v>
      </c>
      <c r="M16" s="393">
        <f t="shared" si="2"/>
        <v>57700.021031156226</v>
      </c>
      <c r="N16" s="395">
        <f>+[4]부산!$G$13</f>
        <v>34500</v>
      </c>
      <c r="O16" s="394">
        <f>+[4]부산!$H$13</f>
        <v>34988.708114657558</v>
      </c>
      <c r="P16" s="393">
        <f t="shared" si="3"/>
        <v>488.70811465755833</v>
      </c>
      <c r="Q16" s="395">
        <f>+[4]부산!$G$16</f>
        <v>11714.415686274509</v>
      </c>
      <c r="R16" s="394">
        <f>+[4]부산!$H$16</f>
        <v>9999.0663688036075</v>
      </c>
      <c r="S16" s="393">
        <f t="shared" si="4"/>
        <v>-1715.349317470902</v>
      </c>
      <c r="T16" s="395">
        <f>+[4]부산!$G$17</f>
        <v>18149.720279720277</v>
      </c>
      <c r="U16" s="394">
        <f>+[4]부산!$H$17</f>
        <v>18150.170192387384</v>
      </c>
      <c r="V16" s="393">
        <f t="shared" si="5"/>
        <v>0.44991266710712807</v>
      </c>
    </row>
    <row r="17" spans="4:25" ht="24" customHeight="1" x14ac:dyDescent="0.3">
      <c r="D17" s="323" t="s">
        <v>22</v>
      </c>
      <c r="E17" s="392">
        <f>+[4]서부산!$G$9</f>
        <v>97000.000000000015</v>
      </c>
      <c r="F17" s="391">
        <f>+[4]서부산!$H$9</f>
        <v>100061.78906209102</v>
      </c>
      <c r="G17" s="390">
        <f t="shared" si="0"/>
        <v>3061.7890620910039</v>
      </c>
      <c r="H17" s="392">
        <f>+[4]서부산!$G$10</f>
        <v>89100</v>
      </c>
      <c r="I17" s="391">
        <f>+[4]서부산!$H$10</f>
        <v>93481.120825850245</v>
      </c>
      <c r="J17" s="390">
        <f t="shared" si="1"/>
        <v>4381.1208258502447</v>
      </c>
      <c r="K17" s="392">
        <f>+[4]서부산!$G$12</f>
        <v>61000</v>
      </c>
      <c r="L17" s="391">
        <f>+[4]서부산!$H$12</f>
        <v>60064.956093462395</v>
      </c>
      <c r="M17" s="390">
        <f t="shared" si="2"/>
        <v>-935.04390653760493</v>
      </c>
      <c r="N17" s="392">
        <f>+[4]서부산!$G$13</f>
        <v>32500</v>
      </c>
      <c r="O17" s="391">
        <f>+[4]서부산!$H$13</f>
        <v>33797.440911131489</v>
      </c>
      <c r="P17" s="390">
        <f t="shared" si="3"/>
        <v>1297.440911131489</v>
      </c>
      <c r="Q17" s="392">
        <f>+[4]서부산!$G$16</f>
        <v>10666.666666666666</v>
      </c>
      <c r="R17" s="391">
        <f>+[4]서부산!$H$16</f>
        <v>10667.068472535739</v>
      </c>
      <c r="S17" s="390">
        <f t="shared" si="4"/>
        <v>0.40180586907263205</v>
      </c>
      <c r="T17" s="392">
        <f>+[4]서부산!$G$17</f>
        <v>17845.689028998037</v>
      </c>
      <c r="U17" s="391">
        <f>+[4]서부산!$H$17</f>
        <v>16855.72358429397</v>
      </c>
      <c r="V17" s="390">
        <f t="shared" si="5"/>
        <v>-989.96544470406661</v>
      </c>
    </row>
    <row r="18" spans="4:25" ht="24" customHeight="1" x14ac:dyDescent="0.3">
      <c r="D18" s="323" t="s">
        <v>23</v>
      </c>
      <c r="E18" s="392">
        <f>+[4]김해!$G$9</f>
        <v>97000</v>
      </c>
      <c r="F18" s="391">
        <f>+[4]김해!$H$9</f>
        <v>99999.999999999985</v>
      </c>
      <c r="G18" s="390">
        <f t="shared" si="0"/>
        <v>2999.9999999999854</v>
      </c>
      <c r="H18" s="392">
        <f>+[4]김해!$G$10</f>
        <v>89100.000000000015</v>
      </c>
      <c r="I18" s="391">
        <f>+[4]김해!$H$10</f>
        <v>93690.464950716472</v>
      </c>
      <c r="J18" s="390">
        <f t="shared" si="1"/>
        <v>4590.4649507164577</v>
      </c>
      <c r="K18" s="392">
        <f>+[4]김해!$G$12</f>
        <v>0</v>
      </c>
      <c r="L18" s="391">
        <f>+[4]김해!$H$12</f>
        <v>0</v>
      </c>
      <c r="M18" s="390">
        <f t="shared" si="2"/>
        <v>0</v>
      </c>
      <c r="N18" s="392">
        <f>+[4]김해!$G$13</f>
        <v>32500</v>
      </c>
      <c r="O18" s="391">
        <f>+[4]김해!$H$13</f>
        <v>33422.350604643529</v>
      </c>
      <c r="P18" s="390">
        <f t="shared" si="3"/>
        <v>922.35060464352864</v>
      </c>
      <c r="Q18" s="392">
        <f>+[4]김해!$G$16</f>
        <v>9000</v>
      </c>
      <c r="R18" s="391">
        <f>+[4]김해!$H$16</f>
        <v>9017.5431773236614</v>
      </c>
      <c r="S18" s="390">
        <f t="shared" si="4"/>
        <v>17.543177323661439</v>
      </c>
      <c r="T18" s="392">
        <f>+[4]김해!$G$17</f>
        <v>16710.977594439159</v>
      </c>
      <c r="U18" s="391">
        <f>+[4]김해!$H$17</f>
        <v>16656.741671662243</v>
      </c>
      <c r="V18" s="390">
        <f t="shared" si="5"/>
        <v>-54.235922776915686</v>
      </c>
    </row>
    <row r="19" spans="4:25" ht="24" customHeight="1" x14ac:dyDescent="0.3">
      <c r="D19" s="323" t="s">
        <v>24</v>
      </c>
      <c r="E19" s="392">
        <f>+[4]정관!$G$9</f>
        <v>97000</v>
      </c>
      <c r="F19" s="391">
        <f>+[4]정관!$H$9</f>
        <v>100045.56738220557</v>
      </c>
      <c r="G19" s="390">
        <f t="shared" si="0"/>
        <v>3045.5673822055687</v>
      </c>
      <c r="H19" s="392">
        <f>+[4]정관!$G$10</f>
        <v>89100</v>
      </c>
      <c r="I19" s="391">
        <f>+[4]정관!$H$10</f>
        <v>92099.994097816219</v>
      </c>
      <c r="J19" s="390">
        <f t="shared" si="1"/>
        <v>2999.9940978162194</v>
      </c>
      <c r="K19" s="392">
        <f>+[4]정관!$G$12</f>
        <v>59000</v>
      </c>
      <c r="L19" s="391">
        <f>+[4]정관!$H$12</f>
        <v>57719.104922504353</v>
      </c>
      <c r="M19" s="390">
        <f t="shared" si="2"/>
        <v>-1280.8950774956465</v>
      </c>
      <c r="N19" s="392">
        <f>+[4]정관!$G$13</f>
        <v>32500.000000000015</v>
      </c>
      <c r="O19" s="391">
        <f>+[4]정관!$H$13</f>
        <v>34407.366811995387</v>
      </c>
      <c r="P19" s="390">
        <f t="shared" si="3"/>
        <v>1907.3668119953727</v>
      </c>
      <c r="Q19" s="392">
        <f>+[4]정관!$G$16</f>
        <v>11335.55153836004</v>
      </c>
      <c r="R19" s="391">
        <f>+[4]정관!$H$16</f>
        <v>11254.616714384818</v>
      </c>
      <c r="S19" s="390">
        <f t="shared" si="4"/>
        <v>-80.934823975221661</v>
      </c>
      <c r="T19" s="392">
        <f>+[4]정관!$G$17</f>
        <v>18860.223886297572</v>
      </c>
      <c r="U19" s="391">
        <f>+[4]정관!$H$17</f>
        <v>19294.873066876407</v>
      </c>
      <c r="V19" s="390">
        <f t="shared" si="5"/>
        <v>434.64918057883551</v>
      </c>
    </row>
    <row r="20" spans="4:25" ht="24" customHeight="1" x14ac:dyDescent="0.3">
      <c r="D20" s="323" t="s">
        <v>25</v>
      </c>
      <c r="E20" s="392">
        <f>+[4]양산!$G$9</f>
        <v>96999.999999999985</v>
      </c>
      <c r="F20" s="391">
        <f>+[4]양산!$H$9</f>
        <v>100000.00000000004</v>
      </c>
      <c r="G20" s="390">
        <f t="shared" si="0"/>
        <v>3000.0000000000582</v>
      </c>
      <c r="H20" s="392">
        <f>+[4]양산!$G$10</f>
        <v>0</v>
      </c>
      <c r="I20" s="391">
        <f>+[4]양산!$H$10</f>
        <v>0</v>
      </c>
      <c r="J20" s="390">
        <f t="shared" si="1"/>
        <v>0</v>
      </c>
      <c r="K20" s="392">
        <f>+[4]양산!$G$12</f>
        <v>59000</v>
      </c>
      <c r="L20" s="391">
        <f>+[4]양산!$H$12</f>
        <v>57828.2668135606</v>
      </c>
      <c r="M20" s="390">
        <f t="shared" si="2"/>
        <v>-1171.7331864394</v>
      </c>
      <c r="N20" s="392">
        <f>+[4]양산!$G$13</f>
        <v>32000</v>
      </c>
      <c r="O20" s="391">
        <f>+[4]양산!$H$13</f>
        <v>34436.913071290001</v>
      </c>
      <c r="P20" s="390">
        <f t="shared" si="3"/>
        <v>2436.9130712900005</v>
      </c>
      <c r="Q20" s="392">
        <f>+[4]양산!$G$16</f>
        <v>9400</v>
      </c>
      <c r="R20" s="391">
        <f>+[4]양산!$H$16</f>
        <v>9138.0113964459651</v>
      </c>
      <c r="S20" s="390">
        <f t="shared" si="4"/>
        <v>-261.98860355403485</v>
      </c>
      <c r="T20" s="392">
        <f>+[4]양산!$G$17</f>
        <v>17575.958949041244</v>
      </c>
      <c r="U20" s="391">
        <f>+[4]양산!$H$17</f>
        <v>16768.395005701452</v>
      </c>
      <c r="V20" s="390">
        <f t="shared" si="5"/>
        <v>-807.56394333979188</v>
      </c>
    </row>
    <row r="21" spans="4:25" ht="24" customHeight="1" x14ac:dyDescent="0.3">
      <c r="D21" s="323" t="s">
        <v>26</v>
      </c>
      <c r="E21" s="392">
        <f>+[4]창원!$G$9</f>
        <v>96999.999999999985</v>
      </c>
      <c r="F21" s="391">
        <f>+[4]창원!$H$9</f>
        <v>99999.999999999985</v>
      </c>
      <c r="G21" s="390">
        <f t="shared" si="0"/>
        <v>3000</v>
      </c>
      <c r="H21" s="392">
        <f>+[4]창원!$G$10</f>
        <v>100500</v>
      </c>
      <c r="I21" s="391">
        <f>+[4]창원!$H$10</f>
        <v>100500.00001065823</v>
      </c>
      <c r="J21" s="390">
        <f t="shared" si="1"/>
        <v>1.0658230166882277E-5</v>
      </c>
      <c r="K21" s="392">
        <f>+[4]창원!$G$12</f>
        <v>61000.000000000015</v>
      </c>
      <c r="L21" s="391">
        <f>+[4]창원!$H$12</f>
        <v>60000.90277100668</v>
      </c>
      <c r="M21" s="390">
        <f t="shared" si="2"/>
        <v>-999.09722899333428</v>
      </c>
      <c r="N21" s="392">
        <f>+[4]창원!$G$13</f>
        <v>29500</v>
      </c>
      <c r="O21" s="391">
        <f>+[4]창원!$H$13</f>
        <v>31498.348525881331</v>
      </c>
      <c r="P21" s="390">
        <f t="shared" si="3"/>
        <v>1998.3485258813307</v>
      </c>
      <c r="Q21" s="392">
        <f>+[4]창원!$G$16</f>
        <v>11466.666666666666</v>
      </c>
      <c r="R21" s="391">
        <f>+[4]창원!$H$16</f>
        <v>11286.457899511981</v>
      </c>
      <c r="S21" s="390">
        <f t="shared" si="4"/>
        <v>-180.20876715468512</v>
      </c>
      <c r="T21" s="392">
        <f>+[4]창원!$G$17</f>
        <v>17046.560838577385</v>
      </c>
      <c r="U21" s="391">
        <f>+[4]창원!$H$17</f>
        <v>15652.933255964295</v>
      </c>
      <c r="V21" s="390">
        <f t="shared" si="5"/>
        <v>-1393.6275826130895</v>
      </c>
      <c r="Y21" s="396"/>
    </row>
    <row r="22" spans="4:25" ht="24" customHeight="1" x14ac:dyDescent="0.3">
      <c r="D22" s="323" t="s">
        <v>127</v>
      </c>
      <c r="E22" s="392">
        <f>+[4]대구!$G$9</f>
        <v>96999.999999999985</v>
      </c>
      <c r="F22" s="391">
        <f>+[4]대구!$H$9</f>
        <v>100000.00098382011</v>
      </c>
      <c r="G22" s="390">
        <f t="shared" si="0"/>
        <v>3000.0009838201222</v>
      </c>
      <c r="H22" s="392">
        <f>+[4]대구!$G$10</f>
        <v>0</v>
      </c>
      <c r="I22" s="391">
        <f>+[4]대구!$H$10</f>
        <v>0</v>
      </c>
      <c r="J22" s="390">
        <f t="shared" si="1"/>
        <v>0</v>
      </c>
      <c r="K22" s="392">
        <f>+[4]대구!$G$12</f>
        <v>57199.999999999993</v>
      </c>
      <c r="L22" s="391">
        <f>+[4]대구!$H$12</f>
        <v>57555.180023710869</v>
      </c>
      <c r="M22" s="390">
        <f t="shared" si="2"/>
        <v>355.18002371087641</v>
      </c>
      <c r="N22" s="392">
        <f>+[4]대구!$G$13</f>
        <v>30999.999999999993</v>
      </c>
      <c r="O22" s="391">
        <f>+[4]대구!$H$13</f>
        <v>32392.95408899332</v>
      </c>
      <c r="P22" s="390">
        <f t="shared" si="3"/>
        <v>1392.9540889933269</v>
      </c>
      <c r="Q22" s="392">
        <f>+[4]대구!$G$16</f>
        <v>10933.333333333334</v>
      </c>
      <c r="R22" s="391">
        <f>+[4]대구!$H$16</f>
        <v>10668.412112969159</v>
      </c>
      <c r="S22" s="390">
        <f t="shared" si="4"/>
        <v>-264.92122036417459</v>
      </c>
      <c r="T22" s="392">
        <f>+[4]대구!$G$17</f>
        <v>14319.243604004449</v>
      </c>
      <c r="U22" s="391">
        <f>+[4]대구!$H$17</f>
        <v>14145.202526187635</v>
      </c>
      <c r="V22" s="390">
        <f t="shared" si="5"/>
        <v>-174.04107781681341</v>
      </c>
    </row>
    <row r="23" spans="4:25" ht="24" customHeight="1" x14ac:dyDescent="0.3">
      <c r="D23" s="323" t="s">
        <v>126</v>
      </c>
      <c r="E23" s="392">
        <f>+[4]울산!$G$9</f>
        <v>97000</v>
      </c>
      <c r="F23" s="391">
        <f>+[4]울산!$H$9</f>
        <v>100000.00036880741</v>
      </c>
      <c r="G23" s="390">
        <f t="shared" si="0"/>
        <v>3000.0003688074066</v>
      </c>
      <c r="H23" s="392">
        <f>+[4]울산!$G$10</f>
        <v>0</v>
      </c>
      <c r="I23" s="391">
        <f>+[4]울산!$H$10</f>
        <v>0</v>
      </c>
      <c r="J23" s="390">
        <f t="shared" si="1"/>
        <v>0</v>
      </c>
      <c r="K23" s="392">
        <f>+[4]울산!$G$12</f>
        <v>57199.999999999993</v>
      </c>
      <c r="L23" s="391">
        <f>+[4]울산!$H$12</f>
        <v>56847.602766100208</v>
      </c>
      <c r="M23" s="390">
        <f t="shared" si="2"/>
        <v>-352.39723389978462</v>
      </c>
      <c r="N23" s="392">
        <f>+[4]울산!$G$13</f>
        <v>33500</v>
      </c>
      <c r="O23" s="391">
        <f>+[4]울산!$H$13</f>
        <v>35497.398610503325</v>
      </c>
      <c r="P23" s="390">
        <f t="shared" si="3"/>
        <v>1997.3986105033255</v>
      </c>
      <c r="Q23" s="392">
        <f>+[4]울산!$G$16</f>
        <v>12533.333333333336</v>
      </c>
      <c r="R23" s="391">
        <f>+[4]울산!$H$16</f>
        <v>12262.297713353631</v>
      </c>
      <c r="S23" s="390">
        <f t="shared" si="4"/>
        <v>-271.03561997970428</v>
      </c>
      <c r="T23" s="392">
        <f>+[4]울산!$G$17</f>
        <v>19928.716760722607</v>
      </c>
      <c r="U23" s="391">
        <f>+[4]울산!$H$17</f>
        <v>21524.048169666989</v>
      </c>
      <c r="V23" s="390">
        <f t="shared" si="5"/>
        <v>1595.3314089443811</v>
      </c>
    </row>
    <row r="24" spans="4:25" ht="24" customHeight="1" x14ac:dyDescent="0.3">
      <c r="D24" s="378" t="s">
        <v>27</v>
      </c>
      <c r="E24" s="395">
        <f>+[4]아산!$G$9</f>
        <v>97000.000000000015</v>
      </c>
      <c r="F24" s="394">
        <f>+[4]아산!$H$9</f>
        <v>99729.917532536536</v>
      </c>
      <c r="G24" s="393">
        <f t="shared" si="0"/>
        <v>2729.9175325365213</v>
      </c>
      <c r="H24" s="395">
        <f>+[4]아산!$G$10</f>
        <v>83600</v>
      </c>
      <c r="I24" s="394">
        <f>+[4]아산!$H$10</f>
        <v>86600.005177864572</v>
      </c>
      <c r="J24" s="393">
        <f t="shared" si="1"/>
        <v>3000.005177864572</v>
      </c>
      <c r="K24" s="395">
        <f>+[4]아산!$G$12</f>
        <v>59999.999999999993</v>
      </c>
      <c r="L24" s="394">
        <f>+[4]아산!$H$12</f>
        <v>57081.328875176092</v>
      </c>
      <c r="M24" s="393">
        <f t="shared" si="2"/>
        <v>-2918.6711248239008</v>
      </c>
      <c r="N24" s="395">
        <f>+[4]아산!$G$13</f>
        <v>37499.999999999993</v>
      </c>
      <c r="O24" s="394">
        <f>+[4]아산!$H$13</f>
        <v>39122.281177660552</v>
      </c>
      <c r="P24" s="393">
        <f t="shared" si="3"/>
        <v>1622.2811776605595</v>
      </c>
      <c r="Q24" s="395">
        <f>+[4]아산!$G$16</f>
        <v>10853.333333333334</v>
      </c>
      <c r="R24" s="394">
        <f>+[4]아산!$H$16</f>
        <v>10866.034163525996</v>
      </c>
      <c r="S24" s="393">
        <f t="shared" si="4"/>
        <v>12.70083019266167</v>
      </c>
      <c r="T24" s="395">
        <f>+[4]아산!$G$17</f>
        <v>12554.838709677419</v>
      </c>
      <c r="U24" s="394">
        <f>+[4]아산!$H$17</f>
        <v>12451.806578121474</v>
      </c>
      <c r="V24" s="393">
        <f t="shared" si="5"/>
        <v>-103.03213155594494</v>
      </c>
    </row>
    <row r="25" spans="4:25" ht="24" customHeight="1" x14ac:dyDescent="0.3">
      <c r="D25" s="323" t="s">
        <v>125</v>
      </c>
      <c r="E25" s="392">
        <f>+[4]전주!$G$9</f>
        <v>97000.000000000015</v>
      </c>
      <c r="F25" s="391">
        <f>+[4]전주!$H$9</f>
        <v>100000.00000000001</v>
      </c>
      <c r="G25" s="390">
        <f t="shared" si="0"/>
        <v>3000</v>
      </c>
      <c r="H25" s="392">
        <f>+[4]전주!$G$10</f>
        <v>94500.000000000015</v>
      </c>
      <c r="I25" s="391">
        <f>+[4]전주!$H$10</f>
        <v>97499.93517326031</v>
      </c>
      <c r="J25" s="390">
        <f t="shared" si="1"/>
        <v>2999.9351732602954</v>
      </c>
      <c r="K25" s="392">
        <f>+[4]전주!$G$12</f>
        <v>60000.000000000007</v>
      </c>
      <c r="L25" s="391">
        <f>+[4]전주!$H$12</f>
        <v>57629.270895735179</v>
      </c>
      <c r="M25" s="390">
        <f t="shared" si="2"/>
        <v>-2370.7291042648285</v>
      </c>
      <c r="N25" s="392">
        <f>+[4]전주!$G$13</f>
        <v>32500.000000000007</v>
      </c>
      <c r="O25" s="391">
        <f>+[4]전주!$H$13</f>
        <v>34427.53379163464</v>
      </c>
      <c r="P25" s="390">
        <f t="shared" si="3"/>
        <v>1927.5337916346325</v>
      </c>
      <c r="Q25" s="392">
        <f>+[4]전주!$G$16</f>
        <v>14733.333333333334</v>
      </c>
      <c r="R25" s="391">
        <f>+[4]전주!$H$16</f>
        <v>13676.142788796826</v>
      </c>
      <c r="S25" s="390">
        <f t="shared" si="4"/>
        <v>-1057.1905445365082</v>
      </c>
      <c r="T25" s="392">
        <f>+[4]전주!$G$17</f>
        <v>16000</v>
      </c>
      <c r="U25" s="391">
        <f>+[4]전주!$H$17</f>
        <v>15893.580960568846</v>
      </c>
      <c r="V25" s="390">
        <f t="shared" si="5"/>
        <v>-106.41903943115358</v>
      </c>
    </row>
    <row r="26" spans="4:25" ht="24" customHeight="1" x14ac:dyDescent="0.3">
      <c r="D26" s="323" t="s">
        <v>124</v>
      </c>
      <c r="E26" s="392">
        <f>+[4]군산!$G$9</f>
        <v>97000.000000000015</v>
      </c>
      <c r="F26" s="391">
        <f>+[4]군산!$H$9</f>
        <v>99999.999999999985</v>
      </c>
      <c r="G26" s="390">
        <f t="shared" si="0"/>
        <v>2999.9999999999709</v>
      </c>
      <c r="H26" s="392">
        <f>+[4]군산!$G$10</f>
        <v>0</v>
      </c>
      <c r="I26" s="391">
        <f>+[4]군산!$H$10</f>
        <v>93100.058202150933</v>
      </c>
      <c r="J26" s="390">
        <f t="shared" si="1"/>
        <v>93100.058202150933</v>
      </c>
      <c r="K26" s="392">
        <f>+[4]군산!$G$12</f>
        <v>61000</v>
      </c>
      <c r="L26" s="391">
        <f>+[4]군산!$H$12</f>
        <v>58965.85300031057</v>
      </c>
      <c r="M26" s="390">
        <f t="shared" si="2"/>
        <v>-2034.1469996894302</v>
      </c>
      <c r="N26" s="392">
        <f>+[4]군산!$G$13</f>
        <v>32500.000000000015</v>
      </c>
      <c r="O26" s="391">
        <f>+[4]군산!$H$13</f>
        <v>32593.733164394023</v>
      </c>
      <c r="P26" s="390">
        <f t="shared" si="3"/>
        <v>93.733164394008782</v>
      </c>
      <c r="Q26" s="392">
        <f>+[4]군산!$G$16</f>
        <v>15133.333333333332</v>
      </c>
      <c r="R26" s="391">
        <f>+[4]군산!$H$16</f>
        <v>15151.267588943656</v>
      </c>
      <c r="S26" s="390">
        <f t="shared" si="4"/>
        <v>17.934255610323817</v>
      </c>
      <c r="T26" s="392">
        <f>+[4]군산!$G$17</f>
        <v>15328.767905659912</v>
      </c>
      <c r="U26" s="391">
        <f>+[4]군산!$H$17</f>
        <v>16084.879171532744</v>
      </c>
      <c r="V26" s="390">
        <f t="shared" si="5"/>
        <v>756.11126587283252</v>
      </c>
    </row>
    <row r="27" spans="4:25" ht="24" customHeight="1" x14ac:dyDescent="0.3">
      <c r="D27" s="323" t="s">
        <v>123</v>
      </c>
      <c r="E27" s="392">
        <f>+[4]원주!$G$9</f>
        <v>97000</v>
      </c>
      <c r="F27" s="391">
        <f>+[4]원주!$H$9</f>
        <v>100000.00000000001</v>
      </c>
      <c r="G27" s="390">
        <f t="shared" si="0"/>
        <v>3000.0000000000146</v>
      </c>
      <c r="H27" s="392">
        <f>+[4]원주!$G$10</f>
        <v>0</v>
      </c>
      <c r="I27" s="391">
        <f>+[4]원주!$H$10</f>
        <v>0</v>
      </c>
      <c r="J27" s="390">
        <f t="shared" si="1"/>
        <v>0</v>
      </c>
      <c r="K27" s="392">
        <f>+[4]원주!$G$12</f>
        <v>60000</v>
      </c>
      <c r="L27" s="391">
        <f>+[4]원주!$H$12</f>
        <v>57368.563722269973</v>
      </c>
      <c r="M27" s="390">
        <f t="shared" si="2"/>
        <v>-2631.4362777300266</v>
      </c>
      <c r="N27" s="392">
        <f>+[4]원주!$G$13</f>
        <v>45000</v>
      </c>
      <c r="O27" s="391">
        <f>+[4]원주!$H$13</f>
        <v>48771.244808464624</v>
      </c>
      <c r="P27" s="390">
        <f t="shared" si="3"/>
        <v>3771.2448084646239</v>
      </c>
      <c r="Q27" s="392">
        <f>+[4]원주!$G$16</f>
        <v>12466.666666666666</v>
      </c>
      <c r="R27" s="391">
        <f>+[4]원주!$H$16</f>
        <v>12290.846384517883</v>
      </c>
      <c r="S27" s="390">
        <f t="shared" si="4"/>
        <v>-175.82028214878301</v>
      </c>
      <c r="T27" s="392">
        <f>+[4]원주!$G$17</f>
        <v>12387.096774193547</v>
      </c>
      <c r="U27" s="391">
        <f>+[4]원주!$H$17</f>
        <v>12159.179679342216</v>
      </c>
      <c r="V27" s="390">
        <f t="shared" si="5"/>
        <v>-227.91709485133106</v>
      </c>
    </row>
    <row r="28" spans="4:25" ht="24" customHeight="1" x14ac:dyDescent="0.3">
      <c r="D28" s="318" t="s">
        <v>122</v>
      </c>
      <c r="E28" s="389">
        <f>+[4]제주!$G$9</f>
        <v>113999.99999999999</v>
      </c>
      <c r="F28" s="388">
        <f>+[4]제주!$H$9</f>
        <v>117000.00153886732</v>
      </c>
      <c r="G28" s="387">
        <f t="shared" si="0"/>
        <v>3000.0015388673346</v>
      </c>
      <c r="H28" s="389">
        <f>+[4]제주!$G$10</f>
        <v>113999.99999999997</v>
      </c>
      <c r="I28" s="388">
        <f>+[4]제주!$H$10</f>
        <v>0</v>
      </c>
      <c r="J28" s="387">
        <f t="shared" si="1"/>
        <v>-113999.99999999997</v>
      </c>
      <c r="K28" s="389">
        <f>+[4]제주!$G$12</f>
        <v>0</v>
      </c>
      <c r="L28" s="388">
        <f>+[4]제주!$H$12</f>
        <v>0</v>
      </c>
      <c r="M28" s="387">
        <f t="shared" si="2"/>
        <v>0</v>
      </c>
      <c r="N28" s="389">
        <f>+[4]제주!$G$13</f>
        <v>0</v>
      </c>
      <c r="O28" s="388">
        <f>+[4]제주!$H$13</f>
        <v>0</v>
      </c>
      <c r="P28" s="387">
        <f t="shared" si="3"/>
        <v>0</v>
      </c>
      <c r="Q28" s="389">
        <f>+[4]제주!$G$16</f>
        <v>17999.999999999996</v>
      </c>
      <c r="R28" s="388">
        <f>+[4]제주!$H$16</f>
        <v>18074.203773783931</v>
      </c>
      <c r="S28" s="387">
        <f t="shared" si="4"/>
        <v>74.203773783934594</v>
      </c>
      <c r="T28" s="389">
        <f>+[4]제주!$G$17</f>
        <v>19002.02826858365</v>
      </c>
      <c r="U28" s="388">
        <f>+[4]제주!$H$17</f>
        <v>20016.352566071429</v>
      </c>
      <c r="V28" s="387">
        <f t="shared" si="5"/>
        <v>1014.3242974877794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0"/>
    <pageSetUpPr fitToPage="1"/>
  </sheetPr>
  <dimension ref="D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G40" sqref="G40"/>
      <selection pane="topRight" activeCell="G40" sqref="G40"/>
      <selection pane="bottomLeft" activeCell="G40" sqref="G40"/>
      <selection pane="bottomRight" activeCell="G40" sqref="G40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207</v>
      </c>
      <c r="F4" s="368"/>
      <c r="I4" s="368"/>
    </row>
    <row r="5" spans="4:22" ht="21.95" customHeight="1" x14ac:dyDescent="0.3">
      <c r="V5" s="367" t="s">
        <v>154</v>
      </c>
    </row>
    <row r="6" spans="4:22" ht="24" customHeight="1" thickBot="1" x14ac:dyDescent="0.35">
      <c r="D6" s="693" t="s">
        <v>11</v>
      </c>
      <c r="E6" s="366" t="s">
        <v>153</v>
      </c>
      <c r="F6" s="365"/>
      <c r="G6" s="364"/>
      <c r="H6" s="366" t="s">
        <v>152</v>
      </c>
      <c r="I6" s="365"/>
      <c r="J6" s="364"/>
      <c r="K6" s="366" t="s">
        <v>151</v>
      </c>
      <c r="L6" s="365"/>
      <c r="M6" s="364"/>
      <c r="N6" s="366" t="s">
        <v>150</v>
      </c>
      <c r="O6" s="365"/>
      <c r="P6" s="364"/>
      <c r="Q6" s="366" t="s">
        <v>149</v>
      </c>
      <c r="R6" s="365"/>
      <c r="S6" s="364"/>
      <c r="T6" s="366" t="s">
        <v>148</v>
      </c>
      <c r="U6" s="365"/>
      <c r="V6" s="364"/>
    </row>
    <row r="7" spans="4:22" ht="24" customHeight="1" x14ac:dyDescent="0.3">
      <c r="D7" s="694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356">
        <f>+[4]합계!$E$9</f>
        <v>250.71778982299398</v>
      </c>
      <c r="F8" s="355">
        <f>+[4]합계!$F$9</f>
        <v>259.07914901932827</v>
      </c>
      <c r="G8" s="386">
        <f t="shared" ref="G8:G28" si="0">+F8-E8</f>
        <v>8.3613591963342913</v>
      </c>
      <c r="H8" s="356">
        <f>+[4]합계!$E$15</f>
        <v>369.47075899707357</v>
      </c>
      <c r="I8" s="355">
        <f>+[4]합계!$F$15</f>
        <v>377.28845260565981</v>
      </c>
      <c r="J8" s="386">
        <f t="shared" ref="J8:J28" si="1">+I8-H8</f>
        <v>7.8176936085862394</v>
      </c>
      <c r="K8" s="448">
        <f>+([4]합계!$E$10*0.4+[4]합계!$E$11+[4]합계!$E$12+[4]합계!$E$13+[4]합계!$E$14)/[4]합계!$E$15</f>
        <v>0.26663865466240927</v>
      </c>
      <c r="L8" s="447">
        <f>+([4]합계!$F$10*0.4+[4]합계!$F$11+[4]합계!$F$12+[4]합계!$F$13+[4]합계!$F$14)/[4]합계!$F$15</f>
        <v>0.25078594010371419</v>
      </c>
      <c r="M8" s="446">
        <f t="shared" ref="M8:M28" si="2">+L8-K8</f>
        <v>-1.585271455869508E-2</v>
      </c>
      <c r="N8" s="356">
        <f>+[4]합계!$E$16</f>
        <v>826.228787722839</v>
      </c>
      <c r="O8" s="355">
        <f>+[4]합계!$F$16</f>
        <v>814.19604459751201</v>
      </c>
      <c r="P8" s="386">
        <f t="shared" ref="P8:P28" si="3">+O8-N8</f>
        <v>-12.032743125326988</v>
      </c>
      <c r="Q8" s="356">
        <f>+[4]합계!$E$17</f>
        <v>894.54782578779111</v>
      </c>
      <c r="R8" s="355">
        <f>+[4]합계!$F$17</f>
        <v>900.04145414374295</v>
      </c>
      <c r="S8" s="386">
        <f t="shared" ref="S8:S28" si="4">+R8-Q8</f>
        <v>5.4936283559518415</v>
      </c>
      <c r="T8" s="356">
        <f>+[4]합계!$E$19</f>
        <v>3.208993311747768</v>
      </c>
      <c r="U8" s="355">
        <f>+[4]합계!$F$19</f>
        <v>3.1936612124876711</v>
      </c>
      <c r="V8" s="386">
        <f t="shared" ref="V8:V28" si="5">+U8-T8</f>
        <v>-1.5332099260096932E-2</v>
      </c>
    </row>
    <row r="9" spans="4:22" ht="24" customHeight="1" x14ac:dyDescent="0.3">
      <c r="D9" s="352" t="s">
        <v>16</v>
      </c>
      <c r="E9" s="351">
        <f>+[4]수도권!$E$9</f>
        <v>274.88565333333338</v>
      </c>
      <c r="F9" s="350">
        <f>+[4]수도권!$F$9</f>
        <v>281.93057111254706</v>
      </c>
      <c r="G9" s="385">
        <f t="shared" si="0"/>
        <v>7.0449177792136766</v>
      </c>
      <c r="H9" s="351">
        <f>+[4]수도권!$E$15</f>
        <v>375.64165333333335</v>
      </c>
      <c r="I9" s="350">
        <f>+[4]수도권!$F$15</f>
        <v>378.83107553141406</v>
      </c>
      <c r="J9" s="385">
        <f t="shared" si="1"/>
        <v>3.189422198080706</v>
      </c>
      <c r="K9" s="445">
        <f>+([4]수도권!$E$10*0.4+[4]수도권!$E$11+[4]수도권!$E$12+[4]수도권!$E$13+[4]수도권!$E$14)/[4]수도권!$E$15</f>
        <v>0.24424949922384992</v>
      </c>
      <c r="L9" s="444">
        <f>+([4]수도권!$F$10*0.4+[4]수도권!$F$11+[4]수도권!$F$12+[4]수도권!$F$13+[4]수도권!$F$14)/[4]수도권!$F$15</f>
        <v>0.22381260649437687</v>
      </c>
      <c r="M9" s="443">
        <f t="shared" si="2"/>
        <v>-2.043689272947305E-2</v>
      </c>
      <c r="N9" s="351">
        <f>+[4]수도권!$E$16</f>
        <v>850.33885714285714</v>
      </c>
      <c r="O9" s="350">
        <f>+[4]수도권!$F$16</f>
        <v>853.6438007841158</v>
      </c>
      <c r="P9" s="385">
        <f t="shared" si="3"/>
        <v>3.3049436412586601</v>
      </c>
      <c r="Q9" s="351">
        <f>+[4]수도권!$E$17</f>
        <v>881.17706666666675</v>
      </c>
      <c r="R9" s="350">
        <f>+[4]수도권!$F$17</f>
        <v>868.29417919682817</v>
      </c>
      <c r="S9" s="385">
        <f t="shared" si="4"/>
        <v>-12.882887469838579</v>
      </c>
      <c r="T9" s="351">
        <f>+[4]수도권!$E$19</f>
        <v>3.2583065904761903</v>
      </c>
      <c r="U9" s="350">
        <f>+[4]수도권!$F$19</f>
        <v>3.2153369180730009</v>
      </c>
      <c r="V9" s="385">
        <f t="shared" si="5"/>
        <v>-4.2969672403189385E-2</v>
      </c>
    </row>
    <row r="10" spans="4:22" ht="24" customHeight="1" x14ac:dyDescent="0.3">
      <c r="D10" s="347" t="s">
        <v>17</v>
      </c>
      <c r="E10" s="346">
        <f>+[4]영남권!$E$9</f>
        <v>219.9480391946451</v>
      </c>
      <c r="F10" s="345">
        <f>+[4]영남권!$F$9</f>
        <v>220.53624542036826</v>
      </c>
      <c r="G10" s="384">
        <f t="shared" si="0"/>
        <v>0.58820622572315528</v>
      </c>
      <c r="H10" s="346">
        <f>+[4]영남권!$E$15</f>
        <v>363.68557645004518</v>
      </c>
      <c r="I10" s="345">
        <f>+[4]영남권!$F$15</f>
        <v>376.88906144488874</v>
      </c>
      <c r="J10" s="384">
        <f t="shared" si="1"/>
        <v>13.203484994843564</v>
      </c>
      <c r="K10" s="442">
        <f>+([4]영남권!$E$10*0.4+[4]영남권!$E$11+[4]영남권!$E$12+[4]영남권!$E$13+[4]영남권!$E$14)/[4]영남권!$E$15</f>
        <v>0.29631310348943413</v>
      </c>
      <c r="L10" s="441">
        <f>+([4]영남권!$F$10*0.4+[4]영남권!$F$11+[4]영남권!$F$12+[4]영남권!$F$13+[4]영남권!$F$14)/[4]영남권!$F$15</f>
        <v>0.30755623298409368</v>
      </c>
      <c r="M10" s="440">
        <f t="shared" si="2"/>
        <v>1.1243129494659554E-2</v>
      </c>
      <c r="N10" s="346">
        <f>+[4]영남권!$E$16</f>
        <v>809.43930500142335</v>
      </c>
      <c r="O10" s="345">
        <f>+[4]영남권!$F$16</f>
        <v>783.64991384305927</v>
      </c>
      <c r="P10" s="384">
        <f t="shared" si="3"/>
        <v>-25.789391158364083</v>
      </c>
      <c r="Q10" s="346">
        <f>+[4]영남권!$E$17</f>
        <v>897.28292275815045</v>
      </c>
      <c r="R10" s="345">
        <f>+[4]영남권!$F$17</f>
        <v>905.79474868896841</v>
      </c>
      <c r="S10" s="384">
        <f t="shared" si="4"/>
        <v>8.5118259308179631</v>
      </c>
      <c r="T10" s="346">
        <f>+[4]영남권!$E$19</f>
        <v>3.2643077108709186</v>
      </c>
      <c r="U10" s="345">
        <f>+[4]영남권!$F$19</f>
        <v>3.208071765522857</v>
      </c>
      <c r="V10" s="384">
        <f t="shared" si="5"/>
        <v>-5.6235945348061644E-2</v>
      </c>
    </row>
    <row r="11" spans="4:22" ht="24" customHeight="1" x14ac:dyDescent="0.3">
      <c r="D11" s="342" t="s">
        <v>128</v>
      </c>
      <c r="E11" s="341">
        <f>+[4]중부권!$E$9</f>
        <v>272.85185555072673</v>
      </c>
      <c r="F11" s="340">
        <f>+[4]중부권!$F$9</f>
        <v>285.63767467492107</v>
      </c>
      <c r="G11" s="383">
        <f t="shared" si="0"/>
        <v>12.785819124194347</v>
      </c>
      <c r="H11" s="341">
        <f>+[4]중부권!$E$15</f>
        <v>370.07331009488712</v>
      </c>
      <c r="I11" s="340">
        <f>+[4]중부권!$F$15</f>
        <v>374.76746866462639</v>
      </c>
      <c r="J11" s="383">
        <f t="shared" si="1"/>
        <v>4.6941585697392725</v>
      </c>
      <c r="K11" s="439">
        <f>+([4]중부권!$E$10*0.4+[4]중부권!$E$11+[4]중부권!$E$12+[4]중부권!$E$13+[4]중부권!$E$14)/[4]중부권!$E$15</f>
        <v>0.24526888298103827</v>
      </c>
      <c r="L11" s="438">
        <f>+([4]중부권!$F$10*0.4+[4]중부권!$F$11+[4]중부권!$F$12+[4]중부권!$F$13+[4]중부권!$F$14)/[4]중부권!$F$15</f>
        <v>0.19735016824921978</v>
      </c>
      <c r="M11" s="437">
        <f t="shared" si="2"/>
        <v>-4.7918714731818496E-2</v>
      </c>
      <c r="N11" s="341">
        <f>+[4]중부권!$E$16</f>
        <v>814.41237500000011</v>
      </c>
      <c r="O11" s="340">
        <f>+[4]중부권!$F$16</f>
        <v>789.55409382438131</v>
      </c>
      <c r="P11" s="383">
        <f t="shared" si="3"/>
        <v>-24.858281175618799</v>
      </c>
      <c r="Q11" s="341">
        <f>+[4]중부권!$E$17</f>
        <v>917.12956250000002</v>
      </c>
      <c r="R11" s="340">
        <f>+[4]중부권!$F$17</f>
        <v>956.75378428130921</v>
      </c>
      <c r="S11" s="383">
        <f t="shared" si="4"/>
        <v>39.624221781309188</v>
      </c>
      <c r="T11" s="341">
        <f>+[4]중부권!$E$19</f>
        <v>2.9662916666666668</v>
      </c>
      <c r="U11" s="340">
        <f>+[4]중부권!$F$19</f>
        <v>3.1190221252945931</v>
      </c>
      <c r="V11" s="383">
        <f t="shared" si="5"/>
        <v>0.15273045862792634</v>
      </c>
    </row>
    <row r="12" spans="4:22" ht="24" customHeight="1" x14ac:dyDescent="0.3">
      <c r="D12" s="382" t="s">
        <v>18</v>
      </c>
      <c r="E12" s="335">
        <f>+[4]안양!$E$9</f>
        <v>293.06756756756755</v>
      </c>
      <c r="F12" s="334">
        <f>+[4]안양!$F$9</f>
        <v>294.14791076238464</v>
      </c>
      <c r="G12" s="336">
        <f t="shared" si="0"/>
        <v>1.0803431948170896</v>
      </c>
      <c r="H12" s="335">
        <f>+[4]안양!$E$15</f>
        <v>370.48648648648646</v>
      </c>
      <c r="I12" s="334">
        <f>+[4]안양!$F$15</f>
        <v>379.18193787328755</v>
      </c>
      <c r="J12" s="336">
        <f t="shared" si="1"/>
        <v>8.6954513868010963</v>
      </c>
      <c r="K12" s="436">
        <f>+([4]안양!$E$10*0.4+[4]안양!$E$11+[4]안양!$E$12+[4]안양!$E$13+[4]안양!$E$14)/[4]안양!$E$15</f>
        <v>0.2089655675517946</v>
      </c>
      <c r="L12" s="435">
        <f>+([4]안양!$F$10*0.4+[4]안양!$F$11+[4]안양!$F$12+[4]안양!$F$13+[4]안양!$F$14)/[4]안양!$F$15</f>
        <v>0.22037236249254394</v>
      </c>
      <c r="M12" s="434">
        <f t="shared" si="2"/>
        <v>1.1406794940749337E-2</v>
      </c>
      <c r="N12" s="335">
        <f>+[4]안양!$E$16</f>
        <v>842.94594594594594</v>
      </c>
      <c r="O12" s="334">
        <f>+[4]안양!$F$16</f>
        <v>831.41058671975622</v>
      </c>
      <c r="P12" s="336">
        <f t="shared" si="3"/>
        <v>-11.535359226189712</v>
      </c>
      <c r="Q12" s="335">
        <f>+[4]안양!$E$17</f>
        <v>878.09459459459458</v>
      </c>
      <c r="R12" s="334">
        <f>+[4]안양!$F$17</f>
        <v>867.66456845063783</v>
      </c>
      <c r="S12" s="336">
        <f t="shared" si="4"/>
        <v>-10.430026143956752</v>
      </c>
      <c r="T12" s="433">
        <f>+[4]안양!$E$19</f>
        <v>3.35</v>
      </c>
      <c r="U12" s="432">
        <f>+[4]안양!$F$19</f>
        <v>3.2507758519732963</v>
      </c>
      <c r="V12" s="431">
        <f t="shared" si="5"/>
        <v>-9.9224148026703762E-2</v>
      </c>
    </row>
    <row r="13" spans="4:22" ht="24" customHeight="1" x14ac:dyDescent="0.3">
      <c r="D13" s="323" t="s">
        <v>19</v>
      </c>
      <c r="E13" s="321">
        <f>+[4]인천!$E$9</f>
        <v>272.14285714285705</v>
      </c>
      <c r="F13" s="320">
        <f>+[4]인천!$F$9</f>
        <v>298.86005499095069</v>
      </c>
      <c r="G13" s="322">
        <f t="shared" si="0"/>
        <v>26.717197848093633</v>
      </c>
      <c r="H13" s="321">
        <f>+[4]인천!$E$15</f>
        <v>391.25714285714275</v>
      </c>
      <c r="I13" s="320">
        <f>+[4]인천!$F$15</f>
        <v>393.64629472365294</v>
      </c>
      <c r="J13" s="322">
        <f t="shared" si="1"/>
        <v>2.3891518665101898</v>
      </c>
      <c r="K13" s="424">
        <f>+([4]인천!$E$10*0.4+[4]인천!$E$11+[4]인천!$E$12+[4]인천!$E$13+[4]인천!$E$14)/[4]인천!$E$15</f>
        <v>0.25536731415218356</v>
      </c>
      <c r="L13" s="423">
        <f>+([4]인천!$F$10*0.4+[4]인천!$F$11+[4]인천!$F$12+[4]인천!$F$13+[4]인천!$F$14)/[4]인천!$F$15</f>
        <v>0.19909048374365337</v>
      </c>
      <c r="M13" s="422">
        <f t="shared" si="2"/>
        <v>-5.6276830408530182E-2</v>
      </c>
      <c r="N13" s="321">
        <f>+[4]인천!$E$16</f>
        <v>880</v>
      </c>
      <c r="O13" s="320">
        <f>+[4]인천!$F$16</f>
        <v>878.17977798273637</v>
      </c>
      <c r="P13" s="322">
        <f t="shared" si="3"/>
        <v>-1.8202220172636316</v>
      </c>
      <c r="Q13" s="321">
        <f>+[4]인천!$E$17</f>
        <v>849.91428571428571</v>
      </c>
      <c r="R13" s="320">
        <f>+[4]인천!$F$17</f>
        <v>859.87802398023075</v>
      </c>
      <c r="S13" s="322">
        <f t="shared" si="4"/>
        <v>9.9637382659450395</v>
      </c>
      <c r="T13" s="421">
        <f>+[4]인천!$E$19</f>
        <v>3.2874285714285714</v>
      </c>
      <c r="U13" s="420">
        <f>+[4]인천!$F$19</f>
        <v>3.3738622441876642</v>
      </c>
      <c r="V13" s="419">
        <f t="shared" si="5"/>
        <v>8.6433672759092861E-2</v>
      </c>
    </row>
    <row r="14" spans="4:22" ht="24" customHeight="1" x14ac:dyDescent="0.3">
      <c r="D14" s="323" t="s">
        <v>20</v>
      </c>
      <c r="E14" s="321">
        <f>+[4]파주!$E$9</f>
        <v>286.49964444444441</v>
      </c>
      <c r="F14" s="320">
        <f>+[4]파주!$F$9</f>
        <v>289.02787967006316</v>
      </c>
      <c r="G14" s="322">
        <f t="shared" si="0"/>
        <v>2.5282352256187437</v>
      </c>
      <c r="H14" s="321">
        <f>+[4]파주!$E$15</f>
        <v>370.65964444444438</v>
      </c>
      <c r="I14" s="320">
        <f>+[4]파주!$F$15</f>
        <v>369.24474004404146</v>
      </c>
      <c r="J14" s="322">
        <f t="shared" si="1"/>
        <v>-1.4149044004029179</v>
      </c>
      <c r="K14" s="424">
        <f>+([4]파주!$E$10*0.4+[4]파주!$E$11+[4]파주!$E$12+[4]파주!$E$13+[4]파주!$E$14)/[4]파주!$E$15</f>
        <v>0.22705466122739498</v>
      </c>
      <c r="L14" s="423">
        <f>+([4]파주!$F$10*0.4+[4]파주!$F$11+[4]파주!$F$12+[4]파주!$F$13+[4]파주!$F$14)/[4]파주!$F$15</f>
        <v>0.21724577678319931</v>
      </c>
      <c r="M14" s="422">
        <f t="shared" si="2"/>
        <v>-9.8088844441956702E-3</v>
      </c>
      <c r="N14" s="321">
        <f>+[4]파주!$E$16</f>
        <v>833.44888888888886</v>
      </c>
      <c r="O14" s="320">
        <f>+[4]파주!$F$16</f>
        <v>856.75624230209428</v>
      </c>
      <c r="P14" s="322">
        <f t="shared" si="3"/>
        <v>23.307353413205419</v>
      </c>
      <c r="Q14" s="321">
        <f>+[4]파주!$E$17</f>
        <v>907.64400000000001</v>
      </c>
      <c r="R14" s="320">
        <f>+[4]파주!$F$17</f>
        <v>857.02795506288908</v>
      </c>
      <c r="S14" s="322">
        <f t="shared" si="4"/>
        <v>-50.616044937110928</v>
      </c>
      <c r="T14" s="421">
        <f>+[4]파주!$E$19</f>
        <v>2.9690106666666662</v>
      </c>
      <c r="U14" s="420">
        <f>+[4]파주!$F$19</f>
        <v>2.8843093345276785</v>
      </c>
      <c r="V14" s="419">
        <f t="shared" si="5"/>
        <v>-8.4701332138987784E-2</v>
      </c>
    </row>
    <row r="15" spans="4:22" ht="24" customHeight="1" x14ac:dyDescent="0.3">
      <c r="D15" s="323" t="s">
        <v>106</v>
      </c>
      <c r="E15" s="321">
        <f>+[4]김포!$E$9</f>
        <v>222.5</v>
      </c>
      <c r="F15" s="320">
        <f>+[4]김포!$F$9</f>
        <v>215.47067970855394</v>
      </c>
      <c r="G15" s="322">
        <f t="shared" si="0"/>
        <v>-7.0293202914460551</v>
      </c>
      <c r="H15" s="321">
        <f>+[4]김포!$E$15</f>
        <v>357.9</v>
      </c>
      <c r="I15" s="320">
        <f>+[4]김포!$F$15</f>
        <v>358.25473134378035</v>
      </c>
      <c r="J15" s="322">
        <f t="shared" si="1"/>
        <v>0.3547313437803723</v>
      </c>
      <c r="K15" s="424">
        <f>+([4]김포!$E$10*0.4+[4]김포!$E$11+[4]김포!$E$12+[4]김포!$E$13+[4]김포!$E$14)/[4]김포!$E$15</f>
        <v>0.32735400949986032</v>
      </c>
      <c r="L15" s="423">
        <f>+([4]김포!$F$10*0.4+[4]김포!$F$11+[4]김포!$F$12+[4]김포!$F$13+[4]김포!$F$14)/[4]김포!$F$15</f>
        <v>0.29005524472041344</v>
      </c>
      <c r="M15" s="422">
        <f t="shared" si="2"/>
        <v>-3.729876477944688E-2</v>
      </c>
      <c r="N15" s="321">
        <f>+[4]김포!$E$16</f>
        <v>819.63333333333333</v>
      </c>
      <c r="O15" s="320">
        <f>+[4]김포!$F$16</f>
        <v>854.49113351299184</v>
      </c>
      <c r="P15" s="322">
        <f t="shared" si="3"/>
        <v>34.857800179658511</v>
      </c>
      <c r="Q15" s="321">
        <f>+[4]김포!$E$17</f>
        <v>929.9666666666667</v>
      </c>
      <c r="R15" s="320">
        <f>+[4]김포!$F$17</f>
        <v>895.85820274811203</v>
      </c>
      <c r="S15" s="322">
        <f t="shared" si="4"/>
        <v>-34.108463918554662</v>
      </c>
      <c r="T15" s="421">
        <f>+[4]김포!$E$19</f>
        <v>3.3113333333333332</v>
      </c>
      <c r="U15" s="420">
        <f>+[4]김포!$F$19</f>
        <v>3.1267990817446862</v>
      </c>
      <c r="V15" s="419">
        <f t="shared" si="5"/>
        <v>-0.184534251588647</v>
      </c>
    </row>
    <row r="16" spans="4:22" ht="24" customHeight="1" x14ac:dyDescent="0.3">
      <c r="D16" s="378" t="s">
        <v>21</v>
      </c>
      <c r="E16" s="328">
        <f>+[4]부산!$E$9</f>
        <v>186.50643471824398</v>
      </c>
      <c r="F16" s="327">
        <f>+[4]부산!$F$9</f>
        <v>212.84736438231272</v>
      </c>
      <c r="G16" s="329">
        <f t="shared" si="0"/>
        <v>26.340929664068739</v>
      </c>
      <c r="H16" s="328">
        <f>+[4]부산!$E$15</f>
        <v>365.66950000000031</v>
      </c>
      <c r="I16" s="327">
        <f>+[4]부산!$F$15</f>
        <v>408.26118826926</v>
      </c>
      <c r="J16" s="329">
        <f t="shared" si="1"/>
        <v>42.591688269259691</v>
      </c>
      <c r="K16" s="430">
        <f>+([4]부산!$E$10*0.4+[4]부산!$E$11+[4]부산!$E$12+[4]부산!$E$13+[4]부산!$E$14)/[4]부산!$E$15</f>
        <v>0.24397838807873645</v>
      </c>
      <c r="L16" s="429">
        <f>+([4]부산!$F$10*0.4+[4]부산!$F$11+[4]부산!$F$12+[4]부산!$F$13+[4]부산!$F$14)/[4]부산!$F$15</f>
        <v>0.26698004368730344</v>
      </c>
      <c r="M16" s="428">
        <f t="shared" si="2"/>
        <v>2.3001655608566984E-2</v>
      </c>
      <c r="N16" s="328">
        <f>+[4]부산!$E$16</f>
        <v>850.40000000000009</v>
      </c>
      <c r="O16" s="327">
        <f>+[4]부산!$F$16</f>
        <v>890.266600820544</v>
      </c>
      <c r="P16" s="329">
        <f t="shared" si="3"/>
        <v>39.866600820543908</v>
      </c>
      <c r="Q16" s="328">
        <f>+[4]부산!$E$17</f>
        <v>870.19999999999993</v>
      </c>
      <c r="R16" s="327">
        <f>+[4]부산!$F$17</f>
        <v>824.97340829661175</v>
      </c>
      <c r="S16" s="329">
        <f t="shared" si="4"/>
        <v>-45.226591703388181</v>
      </c>
      <c r="T16" s="427">
        <f>+[4]부산!$E$19</f>
        <v>3.2520490144999994</v>
      </c>
      <c r="U16" s="426">
        <f>+[4]부산!$F$19</f>
        <v>3.5575717975991488</v>
      </c>
      <c r="V16" s="425">
        <f t="shared" si="5"/>
        <v>0.30552278309914938</v>
      </c>
    </row>
    <row r="17" spans="4:22" ht="24" customHeight="1" x14ac:dyDescent="0.3">
      <c r="D17" s="323" t="s">
        <v>22</v>
      </c>
      <c r="E17" s="321">
        <f>+[4]서부산!$E$9</f>
        <v>246.66046239999991</v>
      </c>
      <c r="F17" s="320">
        <f>+[4]서부산!$F$9</f>
        <v>248.13398450554456</v>
      </c>
      <c r="G17" s="322">
        <f t="shared" si="0"/>
        <v>1.4735221055446459</v>
      </c>
      <c r="H17" s="321">
        <f>+[4]서부산!$E$15</f>
        <v>368.19533399999989</v>
      </c>
      <c r="I17" s="320">
        <f>+[4]서부산!$F$15</f>
        <v>383.6855764848853</v>
      </c>
      <c r="J17" s="322">
        <f t="shared" si="1"/>
        <v>15.490242484885414</v>
      </c>
      <c r="K17" s="424">
        <f>+([4]서부산!$E$10*0.4+[4]서부산!$E$11+[4]서부산!$E$12+[4]서부산!$E$13+[4]서부산!$E$14)/[4]서부산!$E$15</f>
        <v>0.24813576476229884</v>
      </c>
      <c r="L17" s="423">
        <f>+([4]서부산!$F$10*0.4+[4]서부산!$F$11+[4]서부산!$F$12+[4]서부산!$F$13+[4]서부산!$F$14)/[4]서부산!$F$15</f>
        <v>0.2488431289046136</v>
      </c>
      <c r="M17" s="422">
        <f t="shared" si="2"/>
        <v>7.0736414231475919E-4</v>
      </c>
      <c r="N17" s="321">
        <f>+[4]서부산!$E$16</f>
        <v>824.47499999999991</v>
      </c>
      <c r="O17" s="320">
        <f>+[4]서부산!$F$16</f>
        <v>807.5345587118336</v>
      </c>
      <c r="P17" s="322">
        <f t="shared" si="3"/>
        <v>-16.940441288166312</v>
      </c>
      <c r="Q17" s="321">
        <f>+[4]서부산!$E$17</f>
        <v>907.28499999999997</v>
      </c>
      <c r="R17" s="320">
        <f>+[4]서부산!$F$17</f>
        <v>930.87042381892752</v>
      </c>
      <c r="S17" s="322">
        <f t="shared" si="4"/>
        <v>23.585423818927552</v>
      </c>
      <c r="T17" s="421">
        <f>+[4]서부산!$E$19</f>
        <v>3.3405</v>
      </c>
      <c r="U17" s="420">
        <f>+[4]서부산!$F$19</f>
        <v>3.212424932907997</v>
      </c>
      <c r="V17" s="419">
        <f t="shared" si="5"/>
        <v>-0.128075067092003</v>
      </c>
    </row>
    <row r="18" spans="4:22" ht="24" customHeight="1" x14ac:dyDescent="0.3">
      <c r="D18" s="323" t="s">
        <v>23</v>
      </c>
      <c r="E18" s="321">
        <f>+[4]김해!$E$9</f>
        <v>157.24571428571426</v>
      </c>
      <c r="F18" s="320">
        <f>+[4]김해!$F$9</f>
        <v>85.110548145441271</v>
      </c>
      <c r="G18" s="322">
        <f t="shared" si="0"/>
        <v>-72.135166140272986</v>
      </c>
      <c r="H18" s="321">
        <f>+[4]김해!$E$15</f>
        <v>360</v>
      </c>
      <c r="I18" s="320">
        <f>+[4]김해!$F$15</f>
        <v>346.80378220354476</v>
      </c>
      <c r="J18" s="322">
        <f t="shared" si="1"/>
        <v>-13.196217796455244</v>
      </c>
      <c r="K18" s="424">
        <f>+([4]김해!$E$10*0.4+[4]김해!$E$11+[4]김해!$E$12+[4]김해!$E$13+[4]김해!$E$14)/[4]김해!$E$15</f>
        <v>0.2845111111111111</v>
      </c>
      <c r="L18" s="423">
        <f>+([4]김해!$F$10*0.4+[4]김해!$F$11+[4]김해!$F$12+[4]김해!$F$13+[4]김해!$F$14)/[4]김해!$F$15</f>
        <v>0.36797431647340845</v>
      </c>
      <c r="M18" s="422">
        <f t="shared" si="2"/>
        <v>8.3463205362297344E-2</v>
      </c>
      <c r="N18" s="321">
        <f>+[4]김해!$E$16</f>
        <v>796</v>
      </c>
      <c r="O18" s="320">
        <f>+[4]김해!$F$16</f>
        <v>831.53663438699095</v>
      </c>
      <c r="P18" s="322">
        <f t="shared" si="3"/>
        <v>35.536634386990954</v>
      </c>
      <c r="Q18" s="321">
        <f>+[4]김해!$E$17</f>
        <v>914</v>
      </c>
      <c r="R18" s="320">
        <f>+[4]김해!$F$17</f>
        <v>853.42590900785672</v>
      </c>
      <c r="S18" s="322">
        <f t="shared" si="4"/>
        <v>-60.574090992143283</v>
      </c>
      <c r="T18" s="421">
        <f>+[4]김해!$E$19</f>
        <v>3.4062000000000001</v>
      </c>
      <c r="U18" s="420">
        <f>+[4]김해!$F$19</f>
        <v>2.3637401790608439</v>
      </c>
      <c r="V18" s="419">
        <f t="shared" si="5"/>
        <v>-1.0424598209391562</v>
      </c>
    </row>
    <row r="19" spans="4:22" ht="24" customHeight="1" x14ac:dyDescent="0.3">
      <c r="D19" s="323" t="s">
        <v>24</v>
      </c>
      <c r="E19" s="321">
        <f>+[4]정관!$E$9</f>
        <v>220.75597729779338</v>
      </c>
      <c r="F19" s="320">
        <f>+[4]정관!$F$9</f>
        <v>220.68546827794555</v>
      </c>
      <c r="G19" s="322">
        <f t="shared" si="0"/>
        <v>-7.0509019847833088E-2</v>
      </c>
      <c r="H19" s="321">
        <f>+[4]정관!$E$15</f>
        <v>372.04526202978519</v>
      </c>
      <c r="I19" s="320">
        <f>+[4]정관!$F$15</f>
        <v>377.79115676401472</v>
      </c>
      <c r="J19" s="322">
        <f t="shared" si="1"/>
        <v>5.7458947342295232</v>
      </c>
      <c r="K19" s="424">
        <f>+([4]정관!$E$10*0.4+[4]정관!$E$11+[4]정관!$E$12+[4]정관!$E$13+[4]정관!$E$14)/[4]정관!$E$15</f>
        <v>0.35202780554697566</v>
      </c>
      <c r="L19" s="423">
        <f>+([4]정관!$F$10*0.4+[4]정관!$F$11+[4]정관!$F$12+[4]정관!$F$13+[4]정관!$F$14)/[4]정관!$F$15</f>
        <v>0.33884071224859852</v>
      </c>
      <c r="M19" s="422">
        <f t="shared" si="2"/>
        <v>-1.3187093298377139E-2</v>
      </c>
      <c r="N19" s="321">
        <f>+[4]정관!$E$16</f>
        <v>824.21823294279602</v>
      </c>
      <c r="O19" s="320">
        <f>+[4]정관!$F$16</f>
        <v>742.74756629741535</v>
      </c>
      <c r="P19" s="322">
        <f t="shared" si="3"/>
        <v>-81.470666645380675</v>
      </c>
      <c r="Q19" s="321">
        <f>+[4]정관!$E$17</f>
        <v>903.21084840790047</v>
      </c>
      <c r="R19" s="320">
        <f>+[4]정관!$F$17</f>
        <v>952.07311178247744</v>
      </c>
      <c r="S19" s="322">
        <f t="shared" si="4"/>
        <v>48.862263374576969</v>
      </c>
      <c r="T19" s="421">
        <f>+[4]정관!$E$19</f>
        <v>3.348407358268068</v>
      </c>
      <c r="U19" s="420">
        <f>+[4]정관!$F$19</f>
        <v>3.633340046995635</v>
      </c>
      <c r="V19" s="419">
        <f t="shared" si="5"/>
        <v>0.28493268872756694</v>
      </c>
    </row>
    <row r="20" spans="4:22" ht="24" customHeight="1" x14ac:dyDescent="0.3">
      <c r="D20" s="323" t="s">
        <v>25</v>
      </c>
      <c r="E20" s="321">
        <f>+[4]양산!$E$9</f>
        <v>237.72</v>
      </c>
      <c r="F20" s="320">
        <f>+[4]양산!$F$9</f>
        <v>221.01017466110522</v>
      </c>
      <c r="G20" s="322">
        <f t="shared" si="0"/>
        <v>-16.709825338894774</v>
      </c>
      <c r="H20" s="321">
        <f>+[4]양산!$E$15</f>
        <v>359.71000000000004</v>
      </c>
      <c r="I20" s="320">
        <f>+[4]양산!$F$15</f>
        <v>359.5263633993743</v>
      </c>
      <c r="J20" s="322">
        <f t="shared" si="1"/>
        <v>-0.18363660062573217</v>
      </c>
      <c r="K20" s="424">
        <f>+([4]양산!$E$10*0.4+[4]양산!$E$11+[4]양산!$E$12+[4]양산!$E$13+[4]양산!$E$14)/[4]양산!$E$15</f>
        <v>0.33913430263267641</v>
      </c>
      <c r="L20" s="423">
        <f>+([4]양산!$F$10*0.4+[4]양산!$F$11+[4]양산!$F$12+[4]양산!$F$13+[4]양산!$F$14)/[4]양산!$F$15</f>
        <v>0.38527407956562149</v>
      </c>
      <c r="M20" s="422">
        <f t="shared" si="2"/>
        <v>4.6139776932945076E-2</v>
      </c>
      <c r="N20" s="321">
        <f>+[4]양산!$E$16</f>
        <v>783.83</v>
      </c>
      <c r="O20" s="320">
        <f>+[4]양산!$F$16</f>
        <v>717.80239833159533</v>
      </c>
      <c r="P20" s="322">
        <f t="shared" si="3"/>
        <v>-66.027601668404714</v>
      </c>
      <c r="Q20" s="321">
        <f>+[4]양산!$E$17</f>
        <v>894.86</v>
      </c>
      <c r="R20" s="320">
        <f>+[4]양산!$F$17</f>
        <v>907.60427528675712</v>
      </c>
      <c r="S20" s="322">
        <f t="shared" si="4"/>
        <v>12.744275286757102</v>
      </c>
      <c r="T20" s="421">
        <f>+[4]양산!$E$19</f>
        <v>3.0811000000000002</v>
      </c>
      <c r="U20" s="420">
        <f>+[4]양산!$F$19</f>
        <v>3.0458237747653798</v>
      </c>
      <c r="V20" s="419">
        <f t="shared" si="5"/>
        <v>-3.5276225234620373E-2</v>
      </c>
    </row>
    <row r="21" spans="4:22" ht="24" customHeight="1" x14ac:dyDescent="0.3">
      <c r="D21" s="323" t="s">
        <v>26</v>
      </c>
      <c r="E21" s="321">
        <f>+[4]창원!$E$9</f>
        <v>213.77142857142854</v>
      </c>
      <c r="F21" s="320">
        <f>+[4]창원!$F$9</f>
        <v>211.67095153716667</v>
      </c>
      <c r="G21" s="322">
        <f t="shared" si="0"/>
        <v>-2.1004770342618713</v>
      </c>
      <c r="H21" s="321">
        <f>+[4]창원!$E$15</f>
        <v>353.17714285714283</v>
      </c>
      <c r="I21" s="320">
        <f>+[4]창원!$F$15</f>
        <v>353.4104881722335</v>
      </c>
      <c r="J21" s="322">
        <f t="shared" si="1"/>
        <v>0.23334531509067347</v>
      </c>
      <c r="K21" s="424">
        <f>+([4]창원!$E$10*0.4+[4]창원!$E$11+[4]창원!$E$12+[4]창원!$E$13+[4]창원!$E$14)/[4]창원!$E$15</f>
        <v>0.32270167944859723</v>
      </c>
      <c r="L21" s="423">
        <f>+([4]창원!$F$10*0.4+[4]창원!$F$11+[4]창원!$F$12+[4]창원!$F$13+[4]창원!$F$14)/[4]창원!$F$15</f>
        <v>0.33049872259681495</v>
      </c>
      <c r="M21" s="422">
        <f t="shared" si="2"/>
        <v>7.7970431482177194E-3</v>
      </c>
      <c r="N21" s="321">
        <f>+[4]창원!$E$16</f>
        <v>828.54285714285709</v>
      </c>
      <c r="O21" s="320">
        <f>+[4]창원!$F$16</f>
        <v>825.80394294320922</v>
      </c>
      <c r="P21" s="322">
        <f t="shared" si="3"/>
        <v>-2.7389141996478656</v>
      </c>
      <c r="Q21" s="321">
        <f>+[4]창원!$E$17</f>
        <v>869.9</v>
      </c>
      <c r="R21" s="320">
        <f>+[4]창원!$F$17</f>
        <v>869.53442012935272</v>
      </c>
      <c r="S21" s="322">
        <f t="shared" si="4"/>
        <v>-0.36557987064725239</v>
      </c>
      <c r="T21" s="421">
        <f>+[4]창원!$E$19</f>
        <v>3.0811428571428574</v>
      </c>
      <c r="U21" s="420">
        <f>+[4]창원!$F$19</f>
        <v>3.099251351111902</v>
      </c>
      <c r="V21" s="419">
        <f t="shared" si="5"/>
        <v>1.810849396904457E-2</v>
      </c>
    </row>
    <row r="22" spans="4:22" ht="24" customHeight="1" x14ac:dyDescent="0.3">
      <c r="D22" s="323" t="s">
        <v>127</v>
      </c>
      <c r="E22" s="321">
        <f>+[4]대구!$E$9</f>
        <v>233.316</v>
      </c>
      <c r="F22" s="320">
        <f>+[4]대구!$F$9</f>
        <v>211.89202209714401</v>
      </c>
      <c r="G22" s="322">
        <f t="shared" si="0"/>
        <v>-21.423977902855995</v>
      </c>
      <c r="H22" s="321">
        <f>+[4]대구!$E$15</f>
        <v>343.26</v>
      </c>
      <c r="I22" s="320">
        <f>+[4]대구!$F$15</f>
        <v>330.81658536585365</v>
      </c>
      <c r="J22" s="322">
        <f t="shared" si="1"/>
        <v>-12.443414634146336</v>
      </c>
      <c r="K22" s="424">
        <f>+([4]대구!$E$10*0.4+[4]대구!$E$11+[4]대구!$E$12+[4]대구!$E$13+[4]대구!$E$14)/[4]대구!$E$15</f>
        <v>0.32029365495542744</v>
      </c>
      <c r="L22" s="423">
        <f>+([4]대구!$F$10*0.4+[4]대구!$F$11+[4]대구!$F$12+[4]대구!$F$13+[4]대구!$F$14)/[4]대구!$F$15</f>
        <v>0.35948791121578655</v>
      </c>
      <c r="M22" s="422">
        <f t="shared" si="2"/>
        <v>3.9194256260359106E-2</v>
      </c>
      <c r="N22" s="321">
        <f>+[4]대구!$E$16</f>
        <v>709.76084004722372</v>
      </c>
      <c r="O22" s="320">
        <f>+[4]대구!$F$16</f>
        <v>662.13570981863688</v>
      </c>
      <c r="P22" s="322">
        <f t="shared" si="3"/>
        <v>-47.625130228586841</v>
      </c>
      <c r="Q22" s="321">
        <f>+[4]대구!$E$17</f>
        <v>980.14592196997535</v>
      </c>
      <c r="R22" s="320">
        <f>+[4]대구!$F$17</f>
        <v>986.29143214509088</v>
      </c>
      <c r="S22" s="322">
        <f t="shared" si="4"/>
        <v>6.1455101751155325</v>
      </c>
      <c r="T22" s="421">
        <f>+[4]대구!$E$19</f>
        <v>3.0893399999999995</v>
      </c>
      <c r="U22" s="420">
        <f>+[4]대구!$F$19</f>
        <v>2.7121430060454452</v>
      </c>
      <c r="V22" s="419">
        <f t="shared" si="5"/>
        <v>-0.3771969939545543</v>
      </c>
    </row>
    <row r="23" spans="4:22" ht="24" customHeight="1" x14ac:dyDescent="0.3">
      <c r="D23" s="323" t="s">
        <v>126</v>
      </c>
      <c r="E23" s="321">
        <f>+[4]울산!$E$9</f>
        <v>264.30416666666667</v>
      </c>
      <c r="F23" s="320">
        <f>+[4]울산!$F$9</f>
        <v>262.66027801995557</v>
      </c>
      <c r="G23" s="322">
        <f t="shared" si="0"/>
        <v>-1.6438886467111047</v>
      </c>
      <c r="H23" s="321">
        <f>+[4]울산!$E$15</f>
        <v>371.5</v>
      </c>
      <c r="I23" s="320">
        <f>+[4]울산!$F$15</f>
        <v>392.06791920953225</v>
      </c>
      <c r="J23" s="322">
        <f t="shared" si="1"/>
        <v>20.567919209532249</v>
      </c>
      <c r="K23" s="424">
        <f>+([4]울산!$E$10*0.4+[4]울산!$E$11+[4]울산!$E$12+[4]울산!$E$13+[4]울산!$E$14)/[4]울산!$E$15</f>
        <v>0.28854867653656341</v>
      </c>
      <c r="L23" s="423">
        <f>+([4]울산!$F$10*0.4+[4]울산!$F$11+[4]울산!$F$12+[4]울산!$F$13+[4]울산!$F$14)/[4]울산!$F$15</f>
        <v>0.33006434561257109</v>
      </c>
      <c r="M23" s="422">
        <f t="shared" si="2"/>
        <v>4.1515669076007677E-2</v>
      </c>
      <c r="N23" s="321">
        <f>+[4]울산!$E$16</f>
        <v>774.0291666666667</v>
      </c>
      <c r="O23" s="320">
        <f>+[4]울산!$F$16</f>
        <v>670.49210500823381</v>
      </c>
      <c r="P23" s="322">
        <f t="shared" si="3"/>
        <v>-103.53706165843289</v>
      </c>
      <c r="Q23" s="321">
        <f>+[4]울산!$E$17</f>
        <v>872.77083333333337</v>
      </c>
      <c r="R23" s="320">
        <f>+[4]울산!$F$17</f>
        <v>923.42875133197754</v>
      </c>
      <c r="S23" s="322">
        <f t="shared" si="4"/>
        <v>50.657917998644166</v>
      </c>
      <c r="T23" s="421">
        <f>+[4]울산!$E$19</f>
        <v>3.3829166666666666</v>
      </c>
      <c r="U23" s="420">
        <f>+[4]울산!$F$19</f>
        <v>2.9978785236849759</v>
      </c>
      <c r="V23" s="419">
        <f t="shared" si="5"/>
        <v>-0.3850381429816907</v>
      </c>
    </row>
    <row r="24" spans="4:22" ht="24" customHeight="1" x14ac:dyDescent="0.3">
      <c r="D24" s="378" t="s">
        <v>27</v>
      </c>
      <c r="E24" s="328">
        <f>+[4]아산!$E$9</f>
        <v>282.09995756522193</v>
      </c>
      <c r="F24" s="327">
        <f>+[4]아산!$F$9</f>
        <v>301.13213086973144</v>
      </c>
      <c r="G24" s="329">
        <f t="shared" si="0"/>
        <v>19.032173304509513</v>
      </c>
      <c r="H24" s="328">
        <f>+[4]아산!$E$15</f>
        <v>383.6190402070265</v>
      </c>
      <c r="I24" s="327">
        <f>+[4]아산!$F$15</f>
        <v>395.28416552779737</v>
      </c>
      <c r="J24" s="329">
        <f t="shared" si="1"/>
        <v>11.665125320770869</v>
      </c>
      <c r="K24" s="430">
        <f>+([4]아산!$E$10*0.4+[4]아산!$E$11+[4]아산!$E$12+[4]아산!$E$13+[4]아산!$E$14)/[4]아산!$E$15</f>
        <v>0.25965514137584611</v>
      </c>
      <c r="L24" s="429">
        <f>+([4]아산!$F$10*0.4+[4]아산!$F$11+[4]아산!$F$12+[4]아산!$F$13+[4]아산!$F$14)/[4]아산!$F$15</f>
        <v>0.19966340250708775</v>
      </c>
      <c r="M24" s="428">
        <f t="shared" si="2"/>
        <v>-5.999173886875836E-2</v>
      </c>
      <c r="N24" s="328">
        <f>+[4]아산!$E$16</f>
        <v>858.00063636363632</v>
      </c>
      <c r="O24" s="327">
        <f>+[4]아산!$F$16</f>
        <v>811.18050620455926</v>
      </c>
      <c r="P24" s="329">
        <f t="shared" si="3"/>
        <v>-46.820130159077053</v>
      </c>
      <c r="Q24" s="328">
        <f>+[4]아산!$E$17</f>
        <v>885.96540909090913</v>
      </c>
      <c r="R24" s="327">
        <f>+[4]아산!$F$17</f>
        <v>961.93434647132824</v>
      </c>
      <c r="S24" s="329">
        <f t="shared" si="4"/>
        <v>75.968937380419106</v>
      </c>
      <c r="T24" s="427">
        <f>+[4]아산!$E$19</f>
        <v>3.0482727272727272</v>
      </c>
      <c r="U24" s="426">
        <f>+[4]아산!$F$19</f>
        <v>3.577138796260865</v>
      </c>
      <c r="V24" s="425">
        <f t="shared" si="5"/>
        <v>0.52886606898813771</v>
      </c>
    </row>
    <row r="25" spans="4:22" ht="24" customHeight="1" x14ac:dyDescent="0.3">
      <c r="D25" s="323" t="s">
        <v>125</v>
      </c>
      <c r="E25" s="321">
        <f>+[4]전주!$E$9</f>
        <v>249.45749999999998</v>
      </c>
      <c r="F25" s="320">
        <f>+[4]전주!$F$9</f>
        <v>229.92539165237278</v>
      </c>
      <c r="G25" s="322">
        <f t="shared" si="0"/>
        <v>-19.532108347627201</v>
      </c>
      <c r="H25" s="321">
        <f>+[4]전주!$E$15</f>
        <v>359.625</v>
      </c>
      <c r="I25" s="320">
        <f>+[4]전주!$F$15</f>
        <v>359.44532590051449</v>
      </c>
      <c r="J25" s="322">
        <f t="shared" si="1"/>
        <v>-0.17967409948550994</v>
      </c>
      <c r="K25" s="424">
        <f>+([4]전주!$E$10*0.4+[4]전주!$E$11+[4]전주!$E$12+[4]전주!$E$13+[4]전주!$E$14)/[4]전주!$E$15</f>
        <v>0.28764407368786932</v>
      </c>
      <c r="L25" s="423">
        <f>+([4]전주!$F$10*0.4+[4]전주!$F$11+[4]전주!$F$12+[4]전주!$F$13+[4]전주!$F$14)/[4]전주!$F$15</f>
        <v>0.27107909377715933</v>
      </c>
      <c r="M25" s="422">
        <f t="shared" si="2"/>
        <v>-1.6564979910709987E-2</v>
      </c>
      <c r="N25" s="321">
        <f>+[4]전주!$E$16</f>
        <v>728.66499999999996</v>
      </c>
      <c r="O25" s="320">
        <f>+[4]전주!$F$16</f>
        <v>718.04697922622449</v>
      </c>
      <c r="P25" s="322">
        <f t="shared" si="3"/>
        <v>-10.61802077377547</v>
      </c>
      <c r="Q25" s="321">
        <f>+[4]전주!$E$17</f>
        <v>995.58166666666659</v>
      </c>
      <c r="R25" s="320">
        <f>+[4]전주!$F$17</f>
        <v>1003.1041547550983</v>
      </c>
      <c r="S25" s="322">
        <f t="shared" si="4"/>
        <v>7.5224880884317145</v>
      </c>
      <c r="T25" s="421">
        <f>+[4]전주!$E$19</f>
        <v>2.8283333333333331</v>
      </c>
      <c r="U25" s="420">
        <f>+[4]전주!$F$19</f>
        <v>2.4503192300362113</v>
      </c>
      <c r="V25" s="419">
        <f t="shared" si="5"/>
        <v>-0.37801410329712182</v>
      </c>
    </row>
    <row r="26" spans="4:22" ht="24" customHeight="1" x14ac:dyDescent="0.3">
      <c r="D26" s="323" t="s">
        <v>124</v>
      </c>
      <c r="E26" s="321">
        <f>+[4]군산!$E$9</f>
        <v>270.23999999999995</v>
      </c>
      <c r="F26" s="320">
        <f>+[4]군산!$F$9</f>
        <v>272.7622669149597</v>
      </c>
      <c r="G26" s="322">
        <f t="shared" si="0"/>
        <v>2.5222669149597436</v>
      </c>
      <c r="H26" s="321">
        <f>+[4]군산!$E$15</f>
        <v>355.31999999999994</v>
      </c>
      <c r="I26" s="320">
        <f>+[4]군산!$F$15</f>
        <v>353.4450751086282</v>
      </c>
      <c r="J26" s="322">
        <f t="shared" si="1"/>
        <v>-1.8749248913717338</v>
      </c>
      <c r="K26" s="424">
        <f>+([4]군산!$E$10*0.4+[4]군산!$E$11+[4]군산!$E$12+[4]군산!$E$13+[4]군산!$E$14)/[4]군산!$E$15</f>
        <v>0.23944613306315438</v>
      </c>
      <c r="L26" s="423">
        <f>+([4]군산!$F$10*0.4+[4]군산!$F$11+[4]군산!$F$12+[4]군산!$F$13+[4]군산!$F$14)/[4]군산!$F$15</f>
        <v>0.20604987408360029</v>
      </c>
      <c r="M26" s="422">
        <f t="shared" si="2"/>
        <v>-3.3396258979554089E-2</v>
      </c>
      <c r="N26" s="321">
        <f>+[4]군산!$E$16</f>
        <v>856</v>
      </c>
      <c r="O26" s="320">
        <f>+[4]군산!$F$16</f>
        <v>859.07262569832426</v>
      </c>
      <c r="P26" s="322">
        <f t="shared" si="3"/>
        <v>3.0726256983242592</v>
      </c>
      <c r="Q26" s="321">
        <f>+[4]군산!$E$17</f>
        <v>818</v>
      </c>
      <c r="R26" s="320">
        <f>+[4]군산!$F$17</f>
        <v>801.52203600248299</v>
      </c>
      <c r="S26" s="322">
        <f t="shared" si="4"/>
        <v>-16.477963997517008</v>
      </c>
      <c r="T26" s="421">
        <f>+[4]군산!$E$19</f>
        <v>2.76</v>
      </c>
      <c r="U26" s="420">
        <f>+[4]군산!$F$19</f>
        <v>2.6074860335195535</v>
      </c>
      <c r="V26" s="419">
        <f t="shared" si="5"/>
        <v>-0.15251396648044624</v>
      </c>
    </row>
    <row r="27" spans="4:22" ht="24" customHeight="1" x14ac:dyDescent="0.3">
      <c r="D27" s="323" t="s">
        <v>123</v>
      </c>
      <c r="E27" s="321">
        <f>+[4]원주!$E$9</f>
        <v>269.75</v>
      </c>
      <c r="F27" s="320">
        <f>+[4]원주!$F$9</f>
        <v>277.29291019723036</v>
      </c>
      <c r="G27" s="322">
        <f t="shared" si="0"/>
        <v>7.5429101972303556</v>
      </c>
      <c r="H27" s="321">
        <f>+[4]원주!$E$15</f>
        <v>363.25</v>
      </c>
      <c r="I27" s="320">
        <f>+[4]원주!$F$15</f>
        <v>360.03546160302142</v>
      </c>
      <c r="J27" s="322">
        <f t="shared" si="1"/>
        <v>-3.2145383969785826</v>
      </c>
      <c r="K27" s="424">
        <f>+([4]원주!$E$10*0.4+[4]원주!$E$11+[4]원주!$E$12+[4]원주!$E$13+[4]원주!$E$14)/[4]원주!$E$15</f>
        <v>0.25739848589125947</v>
      </c>
      <c r="L27" s="423">
        <f>+([4]원주!$F$10*0.4+[4]원주!$F$11+[4]원주!$F$12+[4]원주!$F$13+[4]원주!$F$14)/[4]원주!$F$15</f>
        <v>0.22981778249672463</v>
      </c>
      <c r="M27" s="422">
        <f t="shared" si="2"/>
        <v>-2.7580703394534833E-2</v>
      </c>
      <c r="N27" s="321">
        <f>+[4]원주!$E$16</f>
        <v>866.5</v>
      </c>
      <c r="O27" s="320">
        <f>+[4]원주!$F$16</f>
        <v>848.37914393621497</v>
      </c>
      <c r="P27" s="322">
        <f t="shared" si="3"/>
        <v>-18.120856063785027</v>
      </c>
      <c r="Q27" s="321">
        <f>+[4]원주!$E$17</f>
        <v>880.625</v>
      </c>
      <c r="R27" s="320">
        <f>+[4]원주!$F$17</f>
        <v>879.10721779269829</v>
      </c>
      <c r="S27" s="322">
        <f t="shared" si="4"/>
        <v>-1.5177822073017069</v>
      </c>
      <c r="T27" s="421">
        <f>+[4]원주!$E$19</f>
        <v>2.9824999999999999</v>
      </c>
      <c r="U27" s="420">
        <f>+[4]원주!$F$19</f>
        <v>2.9240872849349557</v>
      </c>
      <c r="V27" s="419">
        <f t="shared" si="5"/>
        <v>-5.8412715065044196E-2</v>
      </c>
    </row>
    <row r="28" spans="4:22" ht="24" customHeight="1" x14ac:dyDescent="0.3">
      <c r="D28" s="318" t="s">
        <v>122</v>
      </c>
      <c r="E28" s="316">
        <f>+[4]제주!$E$9</f>
        <v>293.39999999999998</v>
      </c>
      <c r="F28" s="415">
        <f>+[4]제주!$F$9</f>
        <v>363.22634999012422</v>
      </c>
      <c r="G28" s="317">
        <f t="shared" si="0"/>
        <v>69.826349990124243</v>
      </c>
      <c r="H28" s="316">
        <f>+[4]제주!$E$15</f>
        <v>355.76</v>
      </c>
      <c r="I28" s="415">
        <f>+[4]제주!$F$15</f>
        <v>363.22634999012422</v>
      </c>
      <c r="J28" s="317">
        <f t="shared" si="1"/>
        <v>7.466349990124229</v>
      </c>
      <c r="K28" s="418">
        <f>+([4]제주!$E$10*0.4+[4]제주!$E$11+[4]제주!$E$12+[4]제주!$E$13+[4]제주!$E$14)/[4]제주!$E$15</f>
        <v>7.0114684056667431E-2</v>
      </c>
      <c r="L28" s="417">
        <f>+([4]제주!$F$10*0.4+[4]제주!$F$11+[4]제주!$F$12+[4]제주!$F$13+[4]제주!$F$14)/[4]제주!$F$15</f>
        <v>0</v>
      </c>
      <c r="M28" s="416">
        <f t="shared" si="2"/>
        <v>-7.0114684056667431E-2</v>
      </c>
      <c r="N28" s="316">
        <f>+[4]제주!$E$16</f>
        <v>745.16000000000008</v>
      </c>
      <c r="O28" s="415">
        <f>+[4]제주!$F$16</f>
        <v>748.95318980841421</v>
      </c>
      <c r="P28" s="317">
        <f t="shared" si="3"/>
        <v>3.7931898084141267</v>
      </c>
      <c r="Q28" s="316">
        <f>+[4]제주!$E$17</f>
        <v>994.3</v>
      </c>
      <c r="R28" s="415">
        <f>+[4]제주!$F$17</f>
        <v>1038.5413786292711</v>
      </c>
      <c r="S28" s="317">
        <f t="shared" si="4"/>
        <v>44.241378629271139</v>
      </c>
      <c r="T28" s="414">
        <f>+[4]제주!$E$19</f>
        <v>3.13</v>
      </c>
      <c r="U28" s="413">
        <f>+[4]제주!$F$19</f>
        <v>3.440237013628284</v>
      </c>
      <c r="V28" s="412">
        <f t="shared" si="5"/>
        <v>0.31023701362828415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0"/>
    <pageSetUpPr fitToPage="1"/>
  </sheetPr>
  <dimension ref="D3:Q56"/>
  <sheetViews>
    <sheetView showGridLines="0" topLeftCell="A4" zoomScale="70" zoomScaleNormal="70" workbookViewId="0">
      <pane ySplit="6" topLeftCell="A10" activePane="bottomLeft" state="frozenSplit"/>
      <selection activeCell="G40" sqref="G40"/>
      <selection pane="bottomLeft" activeCell="L12" sqref="L12"/>
    </sheetView>
  </sheetViews>
  <sheetFormatPr defaultRowHeight="16.5" x14ac:dyDescent="0.3"/>
  <cols>
    <col min="1" max="3" width="5.625" style="4" customWidth="1"/>
    <col min="4" max="5" width="13" style="4" customWidth="1"/>
    <col min="6" max="15" width="15.75" style="4" customWidth="1"/>
    <col min="16" max="17" width="3.25" style="465" customWidth="1"/>
    <col min="18" max="16384" width="9" style="4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68" t="s">
        <v>212</v>
      </c>
      <c r="F6" s="368"/>
      <c r="G6" s="368"/>
      <c r="H6" s="368"/>
      <c r="I6" s="368"/>
      <c r="J6" s="368"/>
      <c r="K6" s="368"/>
      <c r="L6" s="368"/>
      <c r="M6" s="368"/>
    </row>
    <row r="7" spans="4:17" ht="21.95" customHeight="1" x14ac:dyDescent="0.3">
      <c r="D7" s="466"/>
      <c r="O7" s="367" t="s">
        <v>157</v>
      </c>
    </row>
    <row r="8" spans="4:17" ht="25.5" customHeight="1" x14ac:dyDescent="0.3">
      <c r="D8" s="695" t="s">
        <v>11</v>
      </c>
      <c r="E8" s="696"/>
      <c r="F8" s="557" t="s">
        <v>210</v>
      </c>
      <c r="G8" s="112"/>
      <c r="H8" s="112"/>
      <c r="I8" s="112"/>
      <c r="J8" s="112"/>
      <c r="K8" s="585" t="s">
        <v>211</v>
      </c>
      <c r="L8" s="112"/>
      <c r="M8" s="112"/>
      <c r="N8" s="112"/>
      <c r="O8" s="113"/>
      <c r="P8" s="467"/>
      <c r="Q8" s="467"/>
    </row>
    <row r="9" spans="4:17" ht="25.5" customHeight="1" x14ac:dyDescent="0.3">
      <c r="D9" s="697"/>
      <c r="E9" s="698"/>
      <c r="F9" s="558" t="s">
        <v>36</v>
      </c>
      <c r="G9" s="468" t="s">
        <v>37</v>
      </c>
      <c r="H9" s="469" t="s">
        <v>56</v>
      </c>
      <c r="I9" s="468" t="s">
        <v>39</v>
      </c>
      <c r="J9" s="469" t="s">
        <v>57</v>
      </c>
      <c r="K9" s="468" t="s">
        <v>36</v>
      </c>
      <c r="L9" s="469" t="s">
        <v>37</v>
      </c>
      <c r="M9" s="468" t="s">
        <v>56</v>
      </c>
      <c r="N9" s="468" t="s">
        <v>39</v>
      </c>
      <c r="O9" s="470" t="s">
        <v>57</v>
      </c>
      <c r="P9" s="467"/>
      <c r="Q9" s="467"/>
    </row>
    <row r="10" spans="4:17" ht="25.5" customHeight="1" x14ac:dyDescent="0.3">
      <c r="D10" s="471" t="s">
        <v>88</v>
      </c>
      <c r="E10" s="472" t="s">
        <v>68</v>
      </c>
      <c r="F10" s="559">
        <f>+IFERROR(HLOOKUP($F$8,[12]손익!$G$5:$AF$55,[12]손익!$D29,),)</f>
        <v>8100</v>
      </c>
      <c r="G10" s="473">
        <f>+'[13]5월'!$G$8</f>
        <v>3740.2310000000002</v>
      </c>
      <c r="H10" s="474">
        <f>+G10-F10</f>
        <v>-4359.7690000000002</v>
      </c>
      <c r="I10" s="473">
        <f>+'[14]5월'!$G$8</f>
        <v>10256.286000000002</v>
      </c>
      <c r="J10" s="474">
        <f>+G10-I10</f>
        <v>-6516.0550000000021</v>
      </c>
      <c r="K10" s="473">
        <f>+IFERROR(HLOOKUP($K$8,[12]손익!$G$5:$AF$55,[12]손익!$D29,),)</f>
        <v>41000</v>
      </c>
      <c r="L10" s="474">
        <f>+'[13]5월'!$Q$8</f>
        <v>21045.184999999998</v>
      </c>
      <c r="M10" s="473">
        <f>+L10-K10</f>
        <v>-19954.815000000002</v>
      </c>
      <c r="N10" s="473">
        <f>+'[14]5월'!$Q$8</f>
        <v>55602.745999999999</v>
      </c>
      <c r="O10" s="560">
        <f>+L10-N10</f>
        <v>-34557.561000000002</v>
      </c>
      <c r="P10" s="475"/>
      <c r="Q10" s="475"/>
    </row>
    <row r="11" spans="4:17" ht="25.5" customHeight="1" x14ac:dyDescent="0.3">
      <c r="D11" s="476" t="s">
        <v>53</v>
      </c>
      <c r="E11" s="477" t="s">
        <v>158</v>
      </c>
      <c r="F11" s="561">
        <f>+IFERROR(HLOOKUP($F$8,[12]손익!$G$5:$AF$55,[12]손익!$D30,),)</f>
        <v>784722.22222222213</v>
      </c>
      <c r="G11" s="478">
        <f>+G12/G10*1000</f>
        <v>873685.86485701008</v>
      </c>
      <c r="H11" s="479">
        <f t="shared" ref="H11:H35" si="0">+G11-F11</f>
        <v>88963.642634787946</v>
      </c>
      <c r="I11" s="478">
        <f>+I12/I10*1000</f>
        <v>798001.52569848381</v>
      </c>
      <c r="J11" s="479">
        <f t="shared" ref="J11:J35" si="1">+G11-I11</f>
        <v>75684.339158526273</v>
      </c>
      <c r="K11" s="478">
        <f>+IFERROR(HLOOKUP($K$8,[12]손익!$G$5:$AF$55,[12]손익!$D30,),)</f>
        <v>756973.17073170736</v>
      </c>
      <c r="L11" s="479">
        <f>+L12/L10*1000</f>
        <v>818753.00948886876</v>
      </c>
      <c r="M11" s="478">
        <f t="shared" ref="M11:M35" si="2">+L11-K11</f>
        <v>61779.8387571614</v>
      </c>
      <c r="N11" s="478">
        <f>+N12/N10*1000</f>
        <v>765049.28853693663</v>
      </c>
      <c r="O11" s="562">
        <f t="shared" ref="O11:O35" si="3">+L11-N11</f>
        <v>53703.720951932133</v>
      </c>
      <c r="P11" s="475"/>
      <c r="Q11" s="475"/>
    </row>
    <row r="12" spans="4:17" ht="25.5" customHeight="1" x14ac:dyDescent="0.3">
      <c r="D12" s="480" t="s">
        <v>159</v>
      </c>
      <c r="E12" s="481" t="s">
        <v>158</v>
      </c>
      <c r="F12" s="563">
        <f>+IFERROR(HLOOKUP($F$8,[12]손익!$G$5:$AF$55,[12]손익!$D31,),)</f>
        <v>6356250</v>
      </c>
      <c r="G12" s="482">
        <f>+'[13]5월'!$G$9</f>
        <v>3267786.9559999998</v>
      </c>
      <c r="H12" s="483">
        <f t="shared" si="0"/>
        <v>-3088463.0440000002</v>
      </c>
      <c r="I12" s="482">
        <f>+'[14]5월'!$G$9</f>
        <v>8184531.8760000002</v>
      </c>
      <c r="J12" s="483">
        <f t="shared" si="1"/>
        <v>-4916744.92</v>
      </c>
      <c r="K12" s="482">
        <f>+IFERROR(HLOOKUP($K$8,[12]손익!$G$5:$AF$55,[12]손익!$D31,),)</f>
        <v>31035900</v>
      </c>
      <c r="L12" s="483">
        <f>+'[13]5월'!$Q$9</f>
        <v>17230808.553999998</v>
      </c>
      <c r="M12" s="482">
        <f t="shared" si="2"/>
        <v>-13805091.446000002</v>
      </c>
      <c r="N12" s="482">
        <f>+'[14]5월'!$Q$9</f>
        <v>42538841.267999999</v>
      </c>
      <c r="O12" s="564">
        <f t="shared" si="3"/>
        <v>-25308032.714000002</v>
      </c>
      <c r="P12" s="475"/>
      <c r="Q12" s="475"/>
    </row>
    <row r="13" spans="4:17" ht="25.5" customHeight="1" x14ac:dyDescent="0.3">
      <c r="D13" s="480"/>
      <c r="E13" s="484" t="s">
        <v>160</v>
      </c>
      <c r="F13" s="565">
        <f>+IFERROR(HLOOKUP($F$8,[12]손익!$G$5:$AF$55,[12]손익!$D32,),)</f>
        <v>1825846.0099999998</v>
      </c>
      <c r="G13" s="485">
        <f>+'[13]5월'!$J$9</f>
        <v>1246460.9470000002</v>
      </c>
      <c r="H13" s="486">
        <f t="shared" si="0"/>
        <v>-579385.06299999962</v>
      </c>
      <c r="I13" s="485">
        <f>+'[14]5월'!$J$9</f>
        <v>1840573.7359999996</v>
      </c>
      <c r="J13" s="486">
        <f t="shared" si="1"/>
        <v>-594112.78899999941</v>
      </c>
      <c r="K13" s="485">
        <f>+IFERROR(HLOOKUP($K$8,[12]손익!$G$5:$AF$55,[12]손익!$D32,),)</f>
        <v>9003557.4370000046</v>
      </c>
      <c r="L13" s="486">
        <f>+'[13]5월'!$T$9</f>
        <v>5290521.2379999999</v>
      </c>
      <c r="M13" s="485">
        <f t="shared" si="2"/>
        <v>-3713036.1990000047</v>
      </c>
      <c r="N13" s="485">
        <f>+'[14]5월'!$T$9</f>
        <v>5926112.0530000003</v>
      </c>
      <c r="O13" s="566">
        <f t="shared" si="3"/>
        <v>-635590.81500000041</v>
      </c>
      <c r="P13" s="475"/>
      <c r="Q13" s="475"/>
    </row>
    <row r="14" spans="4:17" ht="25.5" customHeight="1" x14ac:dyDescent="0.3">
      <c r="D14" s="480"/>
      <c r="E14" s="487" t="s">
        <v>161</v>
      </c>
      <c r="F14" s="156">
        <f>SUM(F12:F13)</f>
        <v>8182096.0099999998</v>
      </c>
      <c r="G14" s="488">
        <f>SUM(G12:G13)</f>
        <v>4514247.9029999999</v>
      </c>
      <c r="H14" s="157">
        <f t="shared" si="0"/>
        <v>-3667848.1069999998</v>
      </c>
      <c r="I14" s="488">
        <f>SUM(I12:I13)</f>
        <v>10025105.612</v>
      </c>
      <c r="J14" s="157">
        <f t="shared" si="1"/>
        <v>-5510857.7089999998</v>
      </c>
      <c r="K14" s="488">
        <f>SUM(K12:K13)</f>
        <v>40039457.437000006</v>
      </c>
      <c r="L14" s="157">
        <f>SUM(L12:L13)</f>
        <v>22521329.791999996</v>
      </c>
      <c r="M14" s="488">
        <f t="shared" si="2"/>
        <v>-17518127.645000011</v>
      </c>
      <c r="N14" s="488">
        <f>SUM(N12:N13)</f>
        <v>48464953.321000002</v>
      </c>
      <c r="O14" s="158">
        <f t="shared" si="3"/>
        <v>-25943623.529000007</v>
      </c>
      <c r="P14" s="475"/>
      <c r="Q14" s="475"/>
    </row>
    <row r="15" spans="4:17" ht="25.5" customHeight="1" x14ac:dyDescent="0.3">
      <c r="D15" s="471" t="s">
        <v>5</v>
      </c>
      <c r="E15" s="472" t="s">
        <v>158</v>
      </c>
      <c r="F15" s="559">
        <f>+IFERROR(HLOOKUP($F$8,[12]손익!$G$5:$AF$55,[12]손익!$D34,),)</f>
        <v>6207750</v>
      </c>
      <c r="G15" s="473">
        <f>+'[13]5월'!$G$11</f>
        <v>3303714.594</v>
      </c>
      <c r="H15" s="474">
        <f t="shared" si="0"/>
        <v>-2904035.406</v>
      </c>
      <c r="I15" s="473">
        <f>+'[14]5월'!$G$11</f>
        <v>8048622.2910000002</v>
      </c>
      <c r="J15" s="474">
        <f t="shared" si="1"/>
        <v>-4744907.6970000006</v>
      </c>
      <c r="K15" s="473">
        <f>+IFERROR(HLOOKUP($K$8,[12]손익!$G$5:$AF$55,[12]손익!$D34,),)</f>
        <v>30462450</v>
      </c>
      <c r="L15" s="474">
        <f>+'[13]5월'!$Q$11</f>
        <v>16958795.039000001</v>
      </c>
      <c r="M15" s="473">
        <f t="shared" si="2"/>
        <v>-13503654.960999999</v>
      </c>
      <c r="N15" s="473">
        <f>+'[14]5월'!$Q$11</f>
        <v>42028869.851999998</v>
      </c>
      <c r="O15" s="560">
        <f t="shared" si="3"/>
        <v>-25070074.812999997</v>
      </c>
      <c r="P15" s="475"/>
      <c r="Q15" s="475"/>
    </row>
    <row r="16" spans="4:17" ht="25.5" customHeight="1" x14ac:dyDescent="0.3">
      <c r="D16" s="480"/>
      <c r="E16" s="484" t="s">
        <v>160</v>
      </c>
      <c r="F16" s="565">
        <f>+IFERROR(HLOOKUP($F$8,[12]손익!$G$5:$AF$55,[12]손익!$D35,),)</f>
        <v>1752474.5199999986</v>
      </c>
      <c r="G16" s="485">
        <f>+'[13]5월'!$J$11</f>
        <v>1219235.69</v>
      </c>
      <c r="H16" s="486">
        <f t="shared" si="0"/>
        <v>-533238.82999999868</v>
      </c>
      <c r="I16" s="485">
        <f>+'[14]5월'!$J$11</f>
        <v>1792788.5919999992</v>
      </c>
      <c r="J16" s="486">
        <f t="shared" si="1"/>
        <v>-573552.9019999993</v>
      </c>
      <c r="K16" s="485">
        <f>+IFERROR(HLOOKUP($K$8,[12]손익!$G$5:$AF$55,[12]손익!$D35,),)</f>
        <v>8649452.6109999996</v>
      </c>
      <c r="L16" s="486">
        <f>+'[13]5월'!$T$11</f>
        <v>5126053.4700000007</v>
      </c>
      <c r="M16" s="485">
        <f t="shared" si="2"/>
        <v>-3523399.1409999989</v>
      </c>
      <c r="N16" s="485">
        <f>+'[14]5월'!$T$11</f>
        <v>5752228.7820000006</v>
      </c>
      <c r="O16" s="566">
        <f t="shared" si="3"/>
        <v>-626175.31199999992</v>
      </c>
      <c r="P16" s="475"/>
      <c r="Q16" s="475"/>
    </row>
    <row r="17" spans="4:17" ht="25.5" customHeight="1" x14ac:dyDescent="0.3">
      <c r="D17" s="476"/>
      <c r="E17" s="489" t="s">
        <v>162</v>
      </c>
      <c r="F17" s="567">
        <f>SUM(F15:F16)</f>
        <v>7960224.5199999986</v>
      </c>
      <c r="G17" s="490">
        <f>SUM(G15:G16)</f>
        <v>4522950.284</v>
      </c>
      <c r="H17" s="491">
        <f t="shared" si="0"/>
        <v>-3437274.2359999986</v>
      </c>
      <c r="I17" s="490">
        <f>SUM(I15:I16)</f>
        <v>9841410.8829999994</v>
      </c>
      <c r="J17" s="491">
        <f t="shared" si="1"/>
        <v>-5318460.5989999995</v>
      </c>
      <c r="K17" s="490">
        <f>SUM(K15:K16)</f>
        <v>39111902.611000001</v>
      </c>
      <c r="L17" s="491">
        <f>SUM(L15:L16)</f>
        <v>22084848.509000003</v>
      </c>
      <c r="M17" s="490">
        <f t="shared" si="2"/>
        <v>-17027054.101999998</v>
      </c>
      <c r="N17" s="490">
        <f>SUM(N15:N16)</f>
        <v>47781098.633999996</v>
      </c>
      <c r="O17" s="568">
        <f t="shared" si="3"/>
        <v>-25696250.124999993</v>
      </c>
      <c r="P17" s="475"/>
      <c r="Q17" s="475"/>
    </row>
    <row r="18" spans="4:17" ht="25.5" customHeight="1" x14ac:dyDescent="0.3">
      <c r="D18" s="480" t="s">
        <v>15</v>
      </c>
      <c r="E18" s="481" t="s">
        <v>158</v>
      </c>
      <c r="F18" s="563">
        <f>+F12-F15</f>
        <v>148500</v>
      </c>
      <c r="G18" s="482">
        <f>+G12-G15</f>
        <v>-35927.638000000268</v>
      </c>
      <c r="H18" s="483">
        <f t="shared" si="0"/>
        <v>-184427.63800000027</v>
      </c>
      <c r="I18" s="482">
        <f>+I12-I15</f>
        <v>135909.58499999996</v>
      </c>
      <c r="J18" s="483">
        <f t="shared" si="1"/>
        <v>-171837.22300000023</v>
      </c>
      <c r="K18" s="482">
        <f>+K12-K15</f>
        <v>573450</v>
      </c>
      <c r="L18" s="483">
        <f>+L12-L15</f>
        <v>272013.51499999687</v>
      </c>
      <c r="M18" s="482">
        <f t="shared" si="2"/>
        <v>-301436.48500000313</v>
      </c>
      <c r="N18" s="482">
        <f>+N12-N15</f>
        <v>509971.41600000113</v>
      </c>
      <c r="O18" s="564">
        <f t="shared" si="3"/>
        <v>-237957.90100000426</v>
      </c>
      <c r="P18" s="475"/>
      <c r="Q18" s="475"/>
    </row>
    <row r="19" spans="4:17" ht="25.5" customHeight="1" x14ac:dyDescent="0.3">
      <c r="D19" s="480"/>
      <c r="E19" s="492" t="s">
        <v>9</v>
      </c>
      <c r="F19" s="569">
        <f>+F18/F12</f>
        <v>2.3362831858407079E-2</v>
      </c>
      <c r="G19" s="493">
        <f>+G18/G12</f>
        <v>-1.0994486018751424E-2</v>
      </c>
      <c r="H19" s="494">
        <f t="shared" si="0"/>
        <v>-3.4357317877158504E-2</v>
      </c>
      <c r="I19" s="493">
        <f>+I18/I12</f>
        <v>1.6605663837480539E-2</v>
      </c>
      <c r="J19" s="494">
        <f t="shared" si="1"/>
        <v>-2.7600149856231965E-2</v>
      </c>
      <c r="K19" s="493">
        <f>IFERROR(K18/K12,)</f>
        <v>1.8476989550810514E-2</v>
      </c>
      <c r="L19" s="494">
        <f>+L18/L12</f>
        <v>1.578646261128884E-2</v>
      </c>
      <c r="M19" s="493">
        <f t="shared" si="2"/>
        <v>-2.6905269395216744E-3</v>
      </c>
      <c r="N19" s="493">
        <f>+N18/N12</f>
        <v>1.19883711168134E-2</v>
      </c>
      <c r="O19" s="570">
        <f t="shared" si="3"/>
        <v>3.7980914944754397E-3</v>
      </c>
      <c r="P19" s="475"/>
      <c r="Q19" s="475"/>
    </row>
    <row r="20" spans="4:17" ht="25.5" customHeight="1" x14ac:dyDescent="0.3">
      <c r="D20" s="480"/>
      <c r="E20" s="495" t="s">
        <v>160</v>
      </c>
      <c r="F20" s="156">
        <f>+F13-F16</f>
        <v>73371.490000001155</v>
      </c>
      <c r="G20" s="488">
        <f>+G13-G16</f>
        <v>27225.257000000216</v>
      </c>
      <c r="H20" s="157">
        <f t="shared" si="0"/>
        <v>-46146.233000000939</v>
      </c>
      <c r="I20" s="488">
        <f>+I13-I16</f>
        <v>47785.14400000032</v>
      </c>
      <c r="J20" s="157">
        <f t="shared" si="1"/>
        <v>-20559.887000000104</v>
      </c>
      <c r="K20" s="488">
        <f>+K13-K16</f>
        <v>354104.82600000501</v>
      </c>
      <c r="L20" s="157">
        <f>+L13-L16</f>
        <v>164467.76799999923</v>
      </c>
      <c r="M20" s="488">
        <f t="shared" si="2"/>
        <v>-189637.05800000578</v>
      </c>
      <c r="N20" s="488">
        <f>+N13-N16</f>
        <v>173883.27099999972</v>
      </c>
      <c r="O20" s="158">
        <f t="shared" si="3"/>
        <v>-9415.5030000004917</v>
      </c>
      <c r="P20" s="475"/>
      <c r="Q20" s="475"/>
    </row>
    <row r="21" spans="4:17" ht="25.5" customHeight="1" x14ac:dyDescent="0.3">
      <c r="D21" s="480"/>
      <c r="E21" s="496" t="s">
        <v>9</v>
      </c>
      <c r="F21" s="571">
        <f>+F20/F13</f>
        <v>4.0184927753026206E-2</v>
      </c>
      <c r="G21" s="497">
        <f>+G20/G13</f>
        <v>2.1842045725962253E-2</v>
      </c>
      <c r="H21" s="498">
        <f t="shared" si="0"/>
        <v>-1.8342882027063953E-2</v>
      </c>
      <c r="I21" s="497">
        <f>+I20/I13</f>
        <v>2.5962091637713302E-2</v>
      </c>
      <c r="J21" s="498">
        <f t="shared" si="1"/>
        <v>-4.1200459117510489E-3</v>
      </c>
      <c r="K21" s="497">
        <f>IFERROR(K20/K13,)</f>
        <v>3.9329434890348534E-2</v>
      </c>
      <c r="L21" s="498">
        <f>+L20/L13</f>
        <v>3.1087252200914278E-2</v>
      </c>
      <c r="M21" s="497">
        <f t="shared" si="2"/>
        <v>-8.2421826894342569E-3</v>
      </c>
      <c r="N21" s="497">
        <f>+N20/N13</f>
        <v>2.9341880383779457E-2</v>
      </c>
      <c r="O21" s="572">
        <f t="shared" si="3"/>
        <v>1.7453718171348206E-3</v>
      </c>
      <c r="P21" s="475"/>
      <c r="Q21" s="475"/>
    </row>
    <row r="22" spans="4:17" ht="25.5" customHeight="1" x14ac:dyDescent="0.3">
      <c r="D22" s="480"/>
      <c r="E22" s="487" t="s">
        <v>161</v>
      </c>
      <c r="F22" s="156">
        <f>SUM(F18,F20)</f>
        <v>221871.49000000115</v>
      </c>
      <c r="G22" s="488">
        <f>SUM(G18,G20)</f>
        <v>-8702.3810000000522</v>
      </c>
      <c r="H22" s="157">
        <f t="shared" si="0"/>
        <v>-230573.87100000121</v>
      </c>
      <c r="I22" s="488">
        <f>SUM(I18,I20)</f>
        <v>183694.72900000028</v>
      </c>
      <c r="J22" s="157">
        <f t="shared" si="1"/>
        <v>-192397.11000000034</v>
      </c>
      <c r="K22" s="488">
        <f>SUM(K18,K20)</f>
        <v>927554.82600000501</v>
      </c>
      <c r="L22" s="157">
        <f>SUM(L18,L20)</f>
        <v>436481.2829999961</v>
      </c>
      <c r="M22" s="488">
        <f t="shared" si="2"/>
        <v>-491073.54300000891</v>
      </c>
      <c r="N22" s="488">
        <f>SUM(N18,N20)</f>
        <v>683854.68700000085</v>
      </c>
      <c r="O22" s="158">
        <f t="shared" si="3"/>
        <v>-247373.40400000475</v>
      </c>
      <c r="P22" s="475"/>
      <c r="Q22" s="475"/>
    </row>
    <row r="23" spans="4:17" ht="25.5" customHeight="1" x14ac:dyDescent="0.3">
      <c r="D23" s="480"/>
      <c r="E23" s="499" t="s">
        <v>9</v>
      </c>
      <c r="F23" s="569">
        <f>+F22/F14</f>
        <v>2.7116705759604152E-2</v>
      </c>
      <c r="G23" s="493">
        <f>+G22/G14</f>
        <v>-1.9277587733311625E-3</v>
      </c>
      <c r="H23" s="494">
        <f t="shared" si="0"/>
        <v>-2.9044464532935313E-2</v>
      </c>
      <c r="I23" s="493">
        <f>+I22/I14</f>
        <v>1.8323470705397721E-2</v>
      </c>
      <c r="J23" s="494">
        <f t="shared" si="1"/>
        <v>-2.0251229478728882E-2</v>
      </c>
      <c r="K23" s="493">
        <f>IFERROR(K22/K14,)</f>
        <v>2.3166018856760586E-2</v>
      </c>
      <c r="L23" s="494">
        <f>+L22/L14</f>
        <v>1.9380795318535878E-2</v>
      </c>
      <c r="M23" s="493">
        <f t="shared" si="2"/>
        <v>-3.7852235382247086E-3</v>
      </c>
      <c r="N23" s="493">
        <f>+N22/N14</f>
        <v>1.4110292905279343E-2</v>
      </c>
      <c r="O23" s="570">
        <f t="shared" si="3"/>
        <v>5.2705024132565347E-3</v>
      </c>
      <c r="P23" s="475"/>
      <c r="Q23" s="475"/>
    </row>
    <row r="24" spans="4:17" ht="25.5" customHeight="1" x14ac:dyDescent="0.3">
      <c r="D24" s="471" t="s">
        <v>163</v>
      </c>
      <c r="E24" s="472" t="s">
        <v>164</v>
      </c>
      <c r="F24" s="559">
        <f>+IFERROR(HLOOKUP($F$8,[12]손익!$G$5:$AF$55,[12]손익!$D15,),)</f>
        <v>95152.545000000013</v>
      </c>
      <c r="G24" s="473">
        <f>+'[13]5월'!$M$19</f>
        <v>91947.356</v>
      </c>
      <c r="H24" s="474">
        <f t="shared" si="0"/>
        <v>-3205.189000000013</v>
      </c>
      <c r="I24" s="473">
        <f>+'[14]5월'!$M$19</f>
        <v>94794.214999999997</v>
      </c>
      <c r="J24" s="474">
        <f t="shared" si="1"/>
        <v>-2846.8589999999967</v>
      </c>
      <c r="K24" s="473">
        <f>+IFERROR(HLOOKUP($K$8,[12]손익!$G$5:$AF$55,[12]손익!$D15,),)</f>
        <v>472684.90700000001</v>
      </c>
      <c r="L24" s="474">
        <f>+'[13]5월'!$W$19</f>
        <v>486238.51400000002</v>
      </c>
      <c r="M24" s="473">
        <f t="shared" si="2"/>
        <v>13553.607000000018</v>
      </c>
      <c r="N24" s="473">
        <f>+'[14]5월'!$W$19</f>
        <v>473504.10700000002</v>
      </c>
      <c r="O24" s="560">
        <f t="shared" si="3"/>
        <v>12734.407000000007</v>
      </c>
      <c r="P24" s="475"/>
      <c r="Q24" s="475"/>
    </row>
    <row r="25" spans="4:17" ht="25.5" customHeight="1" x14ac:dyDescent="0.3">
      <c r="D25" s="480"/>
      <c r="E25" s="484" t="s">
        <v>165</v>
      </c>
      <c r="F25" s="565">
        <f>+IFERROR(HLOOKUP($F$8,[12]손익!$G$5:$AF$55,[12]손익!$D16,),)</f>
        <v>36998.78</v>
      </c>
      <c r="G25" s="485">
        <f>+'[13]5월'!$M$37</f>
        <v>63563.249000000003</v>
      </c>
      <c r="H25" s="486">
        <f t="shared" si="0"/>
        <v>26564.469000000005</v>
      </c>
      <c r="I25" s="485">
        <f>+'[14]5월'!$M$37</f>
        <v>37081.118999999999</v>
      </c>
      <c r="J25" s="486">
        <f t="shared" si="1"/>
        <v>26482.130000000005</v>
      </c>
      <c r="K25" s="485">
        <f>+IFERROR(HLOOKUP($K$8,[12]손익!$G$5:$AF$55,[12]손익!$D16,),)</f>
        <v>264266.42</v>
      </c>
      <c r="L25" s="486">
        <f>+'[13]5월'!$W$37</f>
        <v>82731.642999999982</v>
      </c>
      <c r="M25" s="485">
        <f t="shared" si="2"/>
        <v>-181534.777</v>
      </c>
      <c r="N25" s="485">
        <f>+'[14]5월'!$W$37</f>
        <v>242074.05400000006</v>
      </c>
      <c r="O25" s="566">
        <f t="shared" si="3"/>
        <v>-159342.41100000008</v>
      </c>
      <c r="P25" s="475"/>
      <c r="Q25" s="475"/>
    </row>
    <row r="26" spans="4:17" ht="25.5" customHeight="1" x14ac:dyDescent="0.3">
      <c r="D26" s="476"/>
      <c r="E26" s="489" t="s">
        <v>161</v>
      </c>
      <c r="F26" s="567">
        <f>SUM(F24:F25)</f>
        <v>132151.32500000001</v>
      </c>
      <c r="G26" s="490">
        <f>SUM(G24:G25)</f>
        <v>155510.60500000001</v>
      </c>
      <c r="H26" s="491">
        <f t="shared" si="0"/>
        <v>23359.279999999999</v>
      </c>
      <c r="I26" s="490">
        <f>SUM(I24:I25)</f>
        <v>131875.334</v>
      </c>
      <c r="J26" s="491">
        <f t="shared" si="1"/>
        <v>23635.271000000008</v>
      </c>
      <c r="K26" s="490">
        <f>SUM(K24:K25)</f>
        <v>736951.32700000005</v>
      </c>
      <c r="L26" s="491">
        <f>SUM(L24:L25)</f>
        <v>568970.15700000001</v>
      </c>
      <c r="M26" s="490">
        <f t="shared" si="2"/>
        <v>-167981.17000000004</v>
      </c>
      <c r="N26" s="490">
        <f>SUM(N24:N25)</f>
        <v>715578.16100000008</v>
      </c>
      <c r="O26" s="568">
        <f t="shared" si="3"/>
        <v>-146608.00400000007</v>
      </c>
      <c r="P26" s="475"/>
      <c r="Q26" s="475"/>
    </row>
    <row r="27" spans="4:17" ht="25.5" customHeight="1" x14ac:dyDescent="0.3">
      <c r="D27" s="549" t="s">
        <v>174</v>
      </c>
      <c r="E27" s="554"/>
      <c r="F27" s="573">
        <f>+F22-F26</f>
        <v>89720.165000001143</v>
      </c>
      <c r="G27" s="577">
        <f>+G22-G26</f>
        <v>-164212.98600000006</v>
      </c>
      <c r="H27" s="581">
        <f t="shared" si="0"/>
        <v>-253933.15100000121</v>
      </c>
      <c r="I27" s="577">
        <f>+I22-I26</f>
        <v>51819.395000000281</v>
      </c>
      <c r="J27" s="581">
        <f t="shared" si="1"/>
        <v>-216032.38100000034</v>
      </c>
      <c r="K27" s="577">
        <f>+K22-K26</f>
        <v>190603.49900000496</v>
      </c>
      <c r="L27" s="581">
        <f>+L22-L26</f>
        <v>-132488.87400000391</v>
      </c>
      <c r="M27" s="577">
        <f t="shared" si="2"/>
        <v>-323092.37300000887</v>
      </c>
      <c r="N27" s="577">
        <f>+N22-N26</f>
        <v>-31723.473999999231</v>
      </c>
      <c r="O27" s="586">
        <f t="shared" si="3"/>
        <v>-100765.40000000468</v>
      </c>
      <c r="P27" s="475"/>
      <c r="Q27" s="475"/>
    </row>
    <row r="28" spans="4:17" ht="25.5" customHeight="1" x14ac:dyDescent="0.3">
      <c r="D28" s="551"/>
      <c r="E28" s="555" t="s">
        <v>10</v>
      </c>
      <c r="F28" s="574">
        <f>+F27/F14</f>
        <v>1.0965425593924452E-2</v>
      </c>
      <c r="G28" s="578">
        <f>+G27/G14</f>
        <v>-3.6376599054489291E-2</v>
      </c>
      <c r="H28" s="582">
        <f t="shared" si="0"/>
        <v>-4.7342024648413743E-2</v>
      </c>
      <c r="I28" s="578">
        <f>+I27/I14</f>
        <v>5.1689625032950012E-3</v>
      </c>
      <c r="J28" s="582">
        <f t="shared" si="1"/>
        <v>-4.1545561557784293E-2</v>
      </c>
      <c r="K28" s="578">
        <f>IFERROR(K27/K14,)</f>
        <v>4.7603916536558865E-3</v>
      </c>
      <c r="L28" s="582">
        <f>+L27/L14</f>
        <v>-5.882817543352457E-3</v>
      </c>
      <c r="M28" s="578">
        <f t="shared" si="2"/>
        <v>-1.0643209197008344E-2</v>
      </c>
      <c r="N28" s="578">
        <f>+N27/N14</f>
        <v>-6.5456524408233276E-4</v>
      </c>
      <c r="O28" s="587">
        <f t="shared" si="3"/>
        <v>-5.2282522992701244E-3</v>
      </c>
      <c r="P28" s="475"/>
      <c r="Q28" s="475"/>
    </row>
    <row r="29" spans="4:17" ht="25.5" customHeight="1" x14ac:dyDescent="0.3">
      <c r="D29" s="549" t="s">
        <v>175</v>
      </c>
      <c r="E29" s="554"/>
      <c r="F29" s="573">
        <f>+IFERROR(HLOOKUP($F$8,[12]손익!$G$5:$AF$55,[12]손익!$D19,),)</f>
        <v>5186.2629999999999</v>
      </c>
      <c r="G29" s="577">
        <f>+'[13]5월'!$M$40</f>
        <v>4725.183</v>
      </c>
      <c r="H29" s="581">
        <f t="shared" si="0"/>
        <v>-461.07999999999993</v>
      </c>
      <c r="I29" s="577">
        <f>+'[14]5월'!$M$40</f>
        <v>5556.6629999999996</v>
      </c>
      <c r="J29" s="581">
        <f t="shared" si="1"/>
        <v>-831.47999999999956</v>
      </c>
      <c r="K29" s="577">
        <f>+IFERROR(HLOOKUP($K$8,[12]손익!$G$5:$AF$55,[12]손익!$D19,),)</f>
        <v>25931.314999999999</v>
      </c>
      <c r="L29" s="581">
        <f>+'[13]5월'!$W$40</f>
        <v>23639.237000000001</v>
      </c>
      <c r="M29" s="577">
        <f t="shared" si="2"/>
        <v>-2292.0779999999977</v>
      </c>
      <c r="N29" s="577">
        <f>+'[14]5월'!$W$40</f>
        <v>28596.726000000002</v>
      </c>
      <c r="O29" s="586">
        <f t="shared" si="3"/>
        <v>-4957.4890000000014</v>
      </c>
      <c r="P29" s="475"/>
      <c r="Q29" s="475"/>
    </row>
    <row r="30" spans="4:17" ht="25.5" customHeight="1" x14ac:dyDescent="0.3">
      <c r="D30" s="551"/>
      <c r="E30" s="556" t="s">
        <v>176</v>
      </c>
      <c r="F30" s="575">
        <f>+F29</f>
        <v>5186.2629999999999</v>
      </c>
      <c r="G30" s="579">
        <f>+G29</f>
        <v>4725.183</v>
      </c>
      <c r="H30" s="583">
        <f t="shared" si="0"/>
        <v>-461.07999999999993</v>
      </c>
      <c r="I30" s="579">
        <f>+I29</f>
        <v>5556.6629999999996</v>
      </c>
      <c r="J30" s="583">
        <f t="shared" si="1"/>
        <v>-831.47999999999956</v>
      </c>
      <c r="K30" s="579">
        <f>+K29</f>
        <v>25931.314999999999</v>
      </c>
      <c r="L30" s="583">
        <f>+L29</f>
        <v>23639.237000000001</v>
      </c>
      <c r="M30" s="579">
        <f t="shared" si="2"/>
        <v>-2292.0779999999977</v>
      </c>
      <c r="N30" s="579">
        <f>+N29</f>
        <v>28596.726000000002</v>
      </c>
      <c r="O30" s="588">
        <f t="shared" si="3"/>
        <v>-4957.4890000000014</v>
      </c>
      <c r="P30" s="475"/>
      <c r="Q30" s="475"/>
    </row>
    <row r="31" spans="4:17" ht="25.5" customHeight="1" x14ac:dyDescent="0.3">
      <c r="D31" s="549" t="s">
        <v>177</v>
      </c>
      <c r="E31" s="554"/>
      <c r="F31" s="573">
        <f>+F27-F29</f>
        <v>84533.902000001137</v>
      </c>
      <c r="G31" s="577">
        <f>+G27-G29</f>
        <v>-168938.16900000005</v>
      </c>
      <c r="H31" s="581">
        <f t="shared" si="0"/>
        <v>-253472.07100000119</v>
      </c>
      <c r="I31" s="577">
        <f>+I27-I29</f>
        <v>46262.73200000028</v>
      </c>
      <c r="J31" s="581">
        <f t="shared" si="1"/>
        <v>-215200.90100000033</v>
      </c>
      <c r="K31" s="577">
        <f>+K27-K29</f>
        <v>164672.18400000496</v>
      </c>
      <c r="L31" s="581">
        <f>+L27-L29</f>
        <v>-156128.1110000039</v>
      </c>
      <c r="M31" s="577">
        <f t="shared" si="2"/>
        <v>-320800.29500000889</v>
      </c>
      <c r="N31" s="577">
        <f>+N27-N29</f>
        <v>-60320.199999999233</v>
      </c>
      <c r="O31" s="586">
        <f t="shared" si="3"/>
        <v>-95807.911000004678</v>
      </c>
      <c r="P31" s="475"/>
      <c r="Q31" s="475"/>
    </row>
    <row r="32" spans="4:17" ht="25.5" customHeight="1" x14ac:dyDescent="0.3">
      <c r="D32" s="553"/>
      <c r="E32" s="555" t="s">
        <v>10</v>
      </c>
      <c r="F32" s="576">
        <f>+F31/F14</f>
        <v>1.0331570528711156E-2</v>
      </c>
      <c r="G32" s="580">
        <f>+G31/G14</f>
        <v>-3.7423325574949061E-2</v>
      </c>
      <c r="H32" s="584">
        <f t="shared" si="0"/>
        <v>-4.7754896103660217E-2</v>
      </c>
      <c r="I32" s="580">
        <f>+I31/I14</f>
        <v>4.6146877439998263E-3</v>
      </c>
      <c r="J32" s="584">
        <f t="shared" si="1"/>
        <v>-4.2038013318948887E-2</v>
      </c>
      <c r="K32" s="580">
        <f>IFERROR(K31/K14,)</f>
        <v>4.1127476379795615E-3</v>
      </c>
      <c r="L32" s="584">
        <f>+L31/L14</f>
        <v>-6.9324552520634714E-3</v>
      </c>
      <c r="M32" s="580">
        <f t="shared" si="2"/>
        <v>-1.1045202890043033E-2</v>
      </c>
      <c r="N32" s="580">
        <f>+N31/N14</f>
        <v>-1.2446148374574482E-3</v>
      </c>
      <c r="O32" s="589">
        <f t="shared" si="3"/>
        <v>-5.6878404146060227E-3</v>
      </c>
      <c r="P32" s="475"/>
      <c r="Q32" s="475"/>
    </row>
    <row r="33" spans="4:17" ht="25.5" customHeight="1" x14ac:dyDescent="0.3">
      <c r="D33" s="549" t="s">
        <v>29</v>
      </c>
      <c r="E33" s="550"/>
      <c r="F33" s="573">
        <f>+IFERROR(HLOOKUP($F$8,[12]손익!$G$5:$AF$55,[12]손익!$D23,),)</f>
        <v>40928.836279637973</v>
      </c>
      <c r="G33" s="577">
        <f>+'[13]5월'!$M$43</f>
        <v>38933.425999999999</v>
      </c>
      <c r="H33" s="581">
        <f t="shared" si="0"/>
        <v>-1995.4102796379739</v>
      </c>
      <c r="I33" s="577"/>
      <c r="J33" s="581">
        <f t="shared" si="1"/>
        <v>38933.425999999999</v>
      </c>
      <c r="K33" s="577">
        <f>+IFERROR(HLOOKUP($K$8,[12]손익!$G$5:$AF$55,[12]손익!$D23,),)</f>
        <v>204468.85664291057</v>
      </c>
      <c r="L33" s="581">
        <f>+'[13]5월'!$W$43</f>
        <v>225057.76</v>
      </c>
      <c r="M33" s="577">
        <f t="shared" si="2"/>
        <v>20588.903357089439</v>
      </c>
      <c r="N33" s="577"/>
      <c r="O33" s="586">
        <f t="shared" si="3"/>
        <v>225057.76</v>
      </c>
      <c r="P33" s="475"/>
      <c r="Q33" s="475"/>
    </row>
    <row r="34" spans="4:17" ht="25.5" customHeight="1" x14ac:dyDescent="0.3">
      <c r="D34" s="549" t="s">
        <v>178</v>
      </c>
      <c r="E34" s="550"/>
      <c r="F34" s="573">
        <f>+F31-F33</f>
        <v>43605.065720363164</v>
      </c>
      <c r="G34" s="577">
        <f>+G31-G33</f>
        <v>-207871.59500000006</v>
      </c>
      <c r="H34" s="581">
        <f t="shared" si="0"/>
        <v>-251476.66072036323</v>
      </c>
      <c r="I34" s="577">
        <f>+I31-I33</f>
        <v>46262.73200000028</v>
      </c>
      <c r="J34" s="581">
        <f t="shared" si="1"/>
        <v>-254134.32700000034</v>
      </c>
      <c r="K34" s="577">
        <f>+K31-K33</f>
        <v>-39796.672642905614</v>
      </c>
      <c r="L34" s="581">
        <f>+L31-L33</f>
        <v>-381185.87100000388</v>
      </c>
      <c r="M34" s="577">
        <f t="shared" si="2"/>
        <v>-341389.19835709827</v>
      </c>
      <c r="N34" s="577">
        <f>+N31-N33</f>
        <v>-60320.199999999233</v>
      </c>
      <c r="O34" s="586">
        <f t="shared" si="3"/>
        <v>-320865.67100000463</v>
      </c>
      <c r="P34" s="475"/>
      <c r="Q34" s="475"/>
    </row>
    <row r="35" spans="4:17" ht="25.5" customHeight="1" x14ac:dyDescent="0.3">
      <c r="D35" s="553"/>
      <c r="E35" s="552" t="s">
        <v>10</v>
      </c>
      <c r="F35" s="576">
        <f>+F34/F14</f>
        <v>5.329327065713956E-3</v>
      </c>
      <c r="G35" s="580">
        <f>+G34/G14</f>
        <v>-4.6047890914864553E-2</v>
      </c>
      <c r="H35" s="584">
        <f t="shared" si="0"/>
        <v>-5.137721798057851E-2</v>
      </c>
      <c r="I35" s="580">
        <f>+I34/I14</f>
        <v>4.6146877439998263E-3</v>
      </c>
      <c r="J35" s="584">
        <f t="shared" si="1"/>
        <v>-5.0662578658864379E-2</v>
      </c>
      <c r="K35" s="580">
        <f>IFERROR(K34/K14,)</f>
        <v>-9.9393636153845494E-4</v>
      </c>
      <c r="L35" s="584">
        <f>+L34/L14</f>
        <v>-1.6925549002679601E-2</v>
      </c>
      <c r="M35" s="580">
        <f t="shared" si="2"/>
        <v>-1.5931612641141145E-2</v>
      </c>
      <c r="N35" s="580">
        <f>+N34/N14</f>
        <v>-1.2446148374574482E-3</v>
      </c>
      <c r="O35" s="589">
        <f t="shared" si="3"/>
        <v>-1.5680934165222152E-2</v>
      </c>
      <c r="P35" s="475"/>
      <c r="Q35" s="475"/>
    </row>
    <row r="36" spans="4:17" ht="21.95" customHeight="1" x14ac:dyDescent="0.3">
      <c r="P36" s="475"/>
      <c r="Q36" s="475"/>
    </row>
    <row r="37" spans="4:17" ht="21.95" customHeight="1" x14ac:dyDescent="0.3">
      <c r="P37" s="475"/>
      <c r="Q37" s="475"/>
    </row>
    <row r="38" spans="4:17" ht="21.95" customHeight="1" x14ac:dyDescent="0.3">
      <c r="P38" s="475"/>
      <c r="Q38" s="475"/>
    </row>
    <row r="39" spans="4:17" ht="21.95" customHeight="1" x14ac:dyDescent="0.3">
      <c r="F39" s="500"/>
      <c r="G39" s="500"/>
      <c r="I39" s="500"/>
      <c r="K39" s="500"/>
      <c r="L39" s="500"/>
      <c r="N39" s="81"/>
      <c r="P39" s="475"/>
      <c r="Q39" s="475"/>
    </row>
    <row r="40" spans="4:17" ht="21.95" customHeight="1" x14ac:dyDescent="0.3"/>
    <row r="41" spans="4:17" ht="21.95" customHeight="1" x14ac:dyDescent="0.3"/>
    <row r="42" spans="4:17" ht="21.95" customHeight="1" x14ac:dyDescent="0.3"/>
    <row r="43" spans="4:17" ht="21.95" customHeight="1" x14ac:dyDescent="0.3"/>
    <row r="44" spans="4:17" ht="21.95" customHeight="1" x14ac:dyDescent="0.3"/>
    <row r="45" spans="4:17" ht="21.95" customHeight="1" x14ac:dyDescent="0.3"/>
    <row r="46" spans="4:17" ht="21.95" customHeight="1" x14ac:dyDescent="0.3"/>
    <row r="47" spans="4:17" ht="21.95" customHeight="1" x14ac:dyDescent="0.3"/>
    <row r="48" spans="4:17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</sheetData>
  <mergeCells count="1">
    <mergeCell ref="D8:E9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표지</vt:lpstr>
      <vt:lpstr>손익총괄</vt:lpstr>
      <vt:lpstr>레미콘 영업이익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2026-06-12T04:51:20Z</cp:lastPrinted>
  <dcterms:created xsi:type="dcterms:W3CDTF">2018-12-20T00:38:36Z</dcterms:created>
  <dcterms:modified xsi:type="dcterms:W3CDTF">2026-06-12T05:54:16Z</dcterms:modified>
</cp:coreProperties>
</file>