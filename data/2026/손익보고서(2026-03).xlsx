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원가손익\202604\00_보고서\"/>
    </mc:Choice>
  </mc:AlternateContent>
  <xr:revisionPtr revIDLastSave="0" documentId="13_ncr:1_{3EDA87BD-2856-4BCD-86E0-1CA55AE0B2C0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레미콘 영업이익" sheetId="37" r:id="rId3"/>
    <sheet name="사업장별(당월)" sheetId="2" r:id="rId4"/>
    <sheet name="사업장별(누계)" sheetId="38" r:id="rId5"/>
    <sheet name="영업이익" sheetId="25" r:id="rId6"/>
    <sheet name="공헌이익" sheetId="26" r:id="rId7"/>
    <sheet name="재료비단가" sheetId="27" r:id="rId8"/>
    <sheet name="원단위" sheetId="28" r:id="rId9"/>
    <sheet name="건자재" sheetId="3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9" hidden="1">{"Header",#N/A,TRUE,"Summary";"ProjectInfo",#N/A,TRUE,"Total Value"}</definedName>
    <definedName name="edsd" localSheetId="6" hidden="1">{"Header",#N/A,TRUE,"Summary";"ProjectInfo",#N/A,TRUE,"Total Value"}</definedName>
    <definedName name="edsd" localSheetId="5" hidden="1">{"Header",#N/A,TRUE,"Summary";"ProjectInfo",#N/A,TRUE,"Total Value"}</definedName>
    <definedName name="edsd" localSheetId="8" hidden="1">{"Header",#N/A,TRUE,"Summary";"ProjectInfo",#N/A,TRUE,"Total Value"}</definedName>
    <definedName name="edsd" localSheetId="7" hidden="1">{"Header",#N/A,TRUE,"Summary";"ProjectInfo",#N/A,TRUE,"Total Value"}</definedName>
    <definedName name="edsd" hidden="1">{"Header",#N/A,TRUE,"Summary";"ProjectInfo",#N/A,TRUE,"Total Value"}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9" hidden="1">{"Header",#N/A,TRUE,"Summary";"ProjectInfo",#N/A,TRUE,"Total Value"}</definedName>
    <definedName name="jijk" localSheetId="6" hidden="1">{"Header",#N/A,TRUE,"Summary";"ProjectInfo",#N/A,TRUE,"Total Value"}</definedName>
    <definedName name="jijk" localSheetId="5" hidden="1">{"Header",#N/A,TRUE,"Summary";"ProjectInfo",#N/A,TRUE,"Total Value"}</definedName>
    <definedName name="jijk" localSheetId="8" hidden="1">{"Header",#N/A,TRUE,"Summary";"ProjectInfo",#N/A,TRUE,"Total Value"}</definedName>
    <definedName name="jijk" localSheetId="7" hidden="1">{"Header",#N/A,TRUE,"Summary";"ProjectInfo",#N/A,TRUE,"Total Value"}</definedName>
    <definedName name="jijk" hidden="1">{"Header",#N/A,TRUE,"Summary";"ProjectInfo",#N/A,TRUE,"Total Value"}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9">건자재!$D$6:$O$35</definedName>
    <definedName name="_xlnm.Print_Area" localSheetId="6">공헌이익!$D$4:$V$29</definedName>
    <definedName name="_xlnm.Print_Area" localSheetId="2">'레미콘 영업이익'!$H$3:$AC$28</definedName>
    <definedName name="_xlnm.Print_Area" localSheetId="4">'사업장별(누계)'!$H$3:$AG$44</definedName>
    <definedName name="_xlnm.Print_Area" localSheetId="3">'사업장별(당월)'!$H$3:$AG$44</definedName>
    <definedName name="_xlnm.Print_Area" localSheetId="1">손익총괄!$C$3:$X$37</definedName>
    <definedName name="_xlnm.Print_Area" localSheetId="5">영업이익!$D$4:$W$29</definedName>
    <definedName name="_xlnm.Print_Area" localSheetId="8">원단위!$D$4:$V$29</definedName>
    <definedName name="_xlnm.Print_Area" localSheetId="7">재료비단가!$D$4:$V$29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9" hidden="1">{"Header",#N/A,TRUE,"Summary";"ProjectInfo",#N/A,TRUE,"Total Value"}</definedName>
    <definedName name="w" localSheetId="6" hidden="1">{"Header",#N/A,TRUE,"Summary";"ProjectInfo",#N/A,TRUE,"Total Value"}</definedName>
    <definedName name="w" localSheetId="5" hidden="1">{"Header",#N/A,TRUE,"Summary";"ProjectInfo",#N/A,TRUE,"Total Value"}</definedName>
    <definedName name="w" localSheetId="8" hidden="1">{"Header",#N/A,TRUE,"Summary";"ProjectInfo",#N/A,TRUE,"Total Value"}</definedName>
    <definedName name="w" localSheetId="7" hidden="1">{"Header",#N/A,TRUE,"Summary";"ProjectInfo",#N/A,TRUE,"Total Value"}</definedName>
    <definedName name="w" hidden="1">{"Header",#N/A,TRUE,"Summary";"ProjectInfo",#N/A,TRUE,"Total Value"}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9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9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9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7" hidden="1">{"Header",#N/A,TRUE,"Summary";"ProjectInfo",#N/A,TRUE,"Total Value"}</definedName>
    <definedName name="ㅈㅇ" hidden="1">{"Header",#N/A,TRUE,"Summary";"ProjectInfo",#N/A,TRUE,"Total Value"}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J33" i="2" l="1"/>
  <c r="AA32" i="2"/>
  <c r="AA30" i="2"/>
  <c r="AC30" i="2"/>
  <c r="AC32" i="2"/>
  <c r="T35" i="38" l="1"/>
  <c r="T39" i="38" l="1"/>
  <c r="AC35" i="2" l="1"/>
  <c r="AC34" i="2" l="1"/>
  <c r="AC33" i="2"/>
  <c r="AA35" i="2" l="1"/>
  <c r="AA34" i="2"/>
  <c r="AA33" i="2"/>
  <c r="Z35" i="2" l="1"/>
  <c r="Z34" i="2"/>
  <c r="Z33" i="2"/>
  <c r="Z36" i="2" l="1"/>
  <c r="Z32" i="2"/>
  <c r="Z31" i="2"/>
  <c r="Z30" i="2"/>
  <c r="T35" i="2" l="1"/>
  <c r="T39" i="2" s="1"/>
  <c r="M39" i="1" l="1"/>
  <c r="J39" i="1"/>
  <c r="H39" i="1"/>
  <c r="E39" i="1"/>
  <c r="V37" i="1"/>
  <c r="T37" i="1"/>
  <c r="S37" i="1"/>
  <c r="V36" i="1"/>
  <c r="T36" i="1"/>
  <c r="S36" i="1"/>
  <c r="M36" i="1"/>
  <c r="J36" i="1"/>
  <c r="H36" i="1"/>
  <c r="M34" i="1"/>
  <c r="J34" i="1"/>
  <c r="H34" i="1"/>
  <c r="M33" i="1"/>
  <c r="M11" i="1" s="1"/>
  <c r="J33" i="1"/>
  <c r="H33" i="1"/>
  <c r="H11" i="1" s="1"/>
  <c r="M32" i="1"/>
  <c r="J32" i="1"/>
  <c r="H32" i="1"/>
  <c r="J23" i="1"/>
  <c r="E23" i="1"/>
  <c r="M22" i="1"/>
  <c r="J22" i="1"/>
  <c r="H22" i="1"/>
  <c r="E22" i="1"/>
  <c r="M21" i="1"/>
  <c r="J21" i="1"/>
  <c r="H21" i="1"/>
  <c r="E21" i="1"/>
  <c r="J15" i="1"/>
  <c r="E15" i="1"/>
  <c r="M14" i="1"/>
  <c r="J14" i="1"/>
  <c r="H14" i="1"/>
  <c r="H15" i="1" s="1"/>
  <c r="E14" i="1"/>
  <c r="M13" i="1"/>
  <c r="M15" i="1" s="1"/>
  <c r="J13" i="1"/>
  <c r="H13" i="1"/>
  <c r="E13" i="1"/>
  <c r="M10" i="1"/>
  <c r="J10" i="1"/>
  <c r="H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T24" i="1"/>
  <c r="S24" i="1"/>
  <c r="T23" i="1"/>
  <c r="S23" i="1"/>
  <c r="V20" i="1"/>
  <c r="V19" i="1"/>
  <c r="V18" i="1"/>
  <c r="V17" i="1"/>
  <c r="V16" i="1"/>
  <c r="T16" i="1"/>
  <c r="V15" i="1"/>
  <c r="T15" i="1"/>
  <c r="V14" i="1"/>
  <c r="T14" i="1"/>
  <c r="V13" i="1"/>
  <c r="T13" i="1"/>
  <c r="V11" i="1"/>
  <c r="T11" i="1"/>
  <c r="V10" i="1"/>
  <c r="T10" i="1"/>
  <c r="V9" i="1"/>
  <c r="T9" i="1"/>
  <c r="L33" i="34"/>
  <c r="G33" i="34"/>
  <c r="N29" i="34"/>
  <c r="L29" i="34"/>
  <c r="I29" i="34"/>
  <c r="G29" i="34"/>
  <c r="N25" i="34"/>
  <c r="L25" i="34"/>
  <c r="I25" i="34"/>
  <c r="G25" i="34"/>
  <c r="N24" i="34"/>
  <c r="L24" i="34"/>
  <c r="I24" i="34"/>
  <c r="G24" i="34"/>
  <c r="N16" i="34"/>
  <c r="L16" i="34"/>
  <c r="I16" i="34"/>
  <c r="G16" i="34"/>
  <c r="N15" i="34"/>
  <c r="L15" i="34"/>
  <c r="I15" i="34"/>
  <c r="G15" i="34"/>
  <c r="N13" i="34"/>
  <c r="L13" i="34"/>
  <c r="I13" i="34"/>
  <c r="G13" i="34"/>
  <c r="N12" i="34"/>
  <c r="L12" i="34"/>
  <c r="I12" i="34"/>
  <c r="G12" i="34"/>
  <c r="N10" i="34"/>
  <c r="L10" i="34"/>
  <c r="I10" i="34"/>
  <c r="G10" i="34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U28" i="25"/>
  <c r="M28" i="25"/>
  <c r="I28" i="25"/>
  <c r="F28" i="25"/>
  <c r="U27" i="25"/>
  <c r="M27" i="25"/>
  <c r="I27" i="25"/>
  <c r="F27" i="25"/>
  <c r="U26" i="25"/>
  <c r="M26" i="25"/>
  <c r="I26" i="25"/>
  <c r="F26" i="25"/>
  <c r="U25" i="25"/>
  <c r="M25" i="25"/>
  <c r="I25" i="25"/>
  <c r="F25" i="25"/>
  <c r="U24" i="25"/>
  <c r="M24" i="25"/>
  <c r="I24" i="25"/>
  <c r="F24" i="25"/>
  <c r="U23" i="25"/>
  <c r="M23" i="25"/>
  <c r="I23" i="25"/>
  <c r="F23" i="25"/>
  <c r="U22" i="25"/>
  <c r="M22" i="25"/>
  <c r="I22" i="25"/>
  <c r="F22" i="25"/>
  <c r="U21" i="25"/>
  <c r="M21" i="25"/>
  <c r="I21" i="25"/>
  <c r="F21" i="25"/>
  <c r="U20" i="25"/>
  <c r="M20" i="25"/>
  <c r="I20" i="25"/>
  <c r="F20" i="25"/>
  <c r="U19" i="25"/>
  <c r="M19" i="25"/>
  <c r="I19" i="25"/>
  <c r="F19" i="25"/>
  <c r="U18" i="25"/>
  <c r="M18" i="25"/>
  <c r="I18" i="25"/>
  <c r="F18" i="25"/>
  <c r="U17" i="25"/>
  <c r="M17" i="25"/>
  <c r="I17" i="25"/>
  <c r="F17" i="25"/>
  <c r="U16" i="25"/>
  <c r="M16" i="25"/>
  <c r="I16" i="25"/>
  <c r="F16" i="25"/>
  <c r="U15" i="25"/>
  <c r="M15" i="25"/>
  <c r="I15" i="25"/>
  <c r="F15" i="25"/>
  <c r="U14" i="25"/>
  <c r="M14" i="25"/>
  <c r="I14" i="25"/>
  <c r="F14" i="25"/>
  <c r="U13" i="25"/>
  <c r="M13" i="25"/>
  <c r="I13" i="25"/>
  <c r="F13" i="25"/>
  <c r="U12" i="25"/>
  <c r="M12" i="25"/>
  <c r="I12" i="25"/>
  <c r="F12" i="25"/>
  <c r="U11" i="25"/>
  <c r="M11" i="25"/>
  <c r="I11" i="25"/>
  <c r="F11" i="25"/>
  <c r="U10" i="25"/>
  <c r="M10" i="25"/>
  <c r="I10" i="25"/>
  <c r="F10" i="25"/>
  <c r="U9" i="25"/>
  <c r="M9" i="25"/>
  <c r="I9" i="25"/>
  <c r="F9" i="25"/>
  <c r="U8" i="25"/>
  <c r="M8" i="25"/>
  <c r="I8" i="25"/>
  <c r="F8" i="25"/>
  <c r="AD27" i="38"/>
  <c r="AA27" i="38"/>
  <c r="AD26" i="38"/>
  <c r="AA26" i="38"/>
  <c r="AD25" i="38"/>
  <c r="AA25" i="38"/>
  <c r="AD24" i="38"/>
  <c r="AA24" i="38"/>
  <c r="AD23" i="38"/>
  <c r="AA23" i="38"/>
  <c r="AD22" i="38"/>
  <c r="AA22" i="38"/>
  <c r="AD21" i="38"/>
  <c r="AA21" i="38"/>
  <c r="AD20" i="38"/>
  <c r="AA20" i="38"/>
  <c r="AD19" i="38"/>
  <c r="AA19" i="38"/>
  <c r="AD18" i="38"/>
  <c r="AA18" i="38"/>
  <c r="AD17" i="38"/>
  <c r="AA17" i="38"/>
  <c r="AD16" i="38"/>
  <c r="AA16" i="38"/>
  <c r="AD15" i="38"/>
  <c r="AA15" i="38"/>
  <c r="AD14" i="38"/>
  <c r="AA14" i="38"/>
  <c r="AD13" i="38"/>
  <c r="AA13" i="38"/>
  <c r="AD12" i="38"/>
  <c r="AA12" i="38"/>
  <c r="AD11" i="38"/>
  <c r="AA11" i="38"/>
  <c r="AD10" i="38"/>
  <c r="AA10" i="38"/>
  <c r="AD9" i="38"/>
  <c r="AA9" i="38"/>
  <c r="AD8" i="38"/>
  <c r="AA8" i="38"/>
  <c r="AD7" i="38"/>
  <c r="AA7" i="38"/>
  <c r="W48" i="38"/>
  <c r="T48" i="38"/>
  <c r="R48" i="38"/>
  <c r="O48" i="38"/>
  <c r="M48" i="38"/>
  <c r="J48" i="38"/>
  <c r="W43" i="38"/>
  <c r="T43" i="38"/>
  <c r="R43" i="38"/>
  <c r="O43" i="38"/>
  <c r="M43" i="38"/>
  <c r="J43" i="38"/>
  <c r="W39" i="38"/>
  <c r="R39" i="38"/>
  <c r="O39" i="38"/>
  <c r="W37" i="38"/>
  <c r="T37" i="38"/>
  <c r="R37" i="38"/>
  <c r="W36" i="38"/>
  <c r="W35" i="38"/>
  <c r="W34" i="38"/>
  <c r="T34" i="38"/>
  <c r="W33" i="38"/>
  <c r="T33" i="38"/>
  <c r="R33" i="38"/>
  <c r="O33" i="38"/>
  <c r="W32" i="38"/>
  <c r="T32" i="38"/>
  <c r="R32" i="38"/>
  <c r="O32" i="38"/>
  <c r="W30" i="38"/>
  <c r="T30" i="38"/>
  <c r="R30" i="38"/>
  <c r="O30" i="38"/>
  <c r="M30" i="38"/>
  <c r="J30" i="38"/>
  <c r="W29" i="38"/>
  <c r="T29" i="38"/>
  <c r="R29" i="38"/>
  <c r="O29" i="38"/>
  <c r="M29" i="38"/>
  <c r="J29" i="38"/>
  <c r="W28" i="38"/>
  <c r="T28" i="38"/>
  <c r="R28" i="38"/>
  <c r="O28" i="38"/>
  <c r="M28" i="38"/>
  <c r="J28" i="38"/>
  <c r="W23" i="38"/>
  <c r="T23" i="38"/>
  <c r="R23" i="38"/>
  <c r="O23" i="38"/>
  <c r="M23" i="38"/>
  <c r="J23" i="38"/>
  <c r="W22" i="38"/>
  <c r="T22" i="38"/>
  <c r="R22" i="38"/>
  <c r="O22" i="38"/>
  <c r="M22" i="38"/>
  <c r="J22" i="38"/>
  <c r="W21" i="38"/>
  <c r="T21" i="38"/>
  <c r="R21" i="38"/>
  <c r="O21" i="38"/>
  <c r="M21" i="38"/>
  <c r="J21" i="38"/>
  <c r="W20" i="38"/>
  <c r="T20" i="38"/>
  <c r="R20" i="38"/>
  <c r="O20" i="38"/>
  <c r="M20" i="38"/>
  <c r="J20" i="38"/>
  <c r="W19" i="38"/>
  <c r="T19" i="38"/>
  <c r="R19" i="38"/>
  <c r="O19" i="38"/>
  <c r="M19" i="38"/>
  <c r="J19" i="38"/>
  <c r="W18" i="38"/>
  <c r="T18" i="38"/>
  <c r="R18" i="38"/>
  <c r="O18" i="38"/>
  <c r="M18" i="38"/>
  <c r="J18" i="38"/>
  <c r="W17" i="38"/>
  <c r="T17" i="38"/>
  <c r="R17" i="38"/>
  <c r="O17" i="38"/>
  <c r="M17" i="38"/>
  <c r="J17" i="38"/>
  <c r="W16" i="38"/>
  <c r="T16" i="38"/>
  <c r="R16" i="38"/>
  <c r="O16" i="38"/>
  <c r="M16" i="38"/>
  <c r="J16" i="38"/>
  <c r="W15" i="38"/>
  <c r="T15" i="38"/>
  <c r="R15" i="38"/>
  <c r="O15" i="38"/>
  <c r="M15" i="38"/>
  <c r="J15" i="38"/>
  <c r="W14" i="38"/>
  <c r="T14" i="38"/>
  <c r="R14" i="38"/>
  <c r="O14" i="38"/>
  <c r="M14" i="38"/>
  <c r="J14" i="38"/>
  <c r="W13" i="38"/>
  <c r="T13" i="38"/>
  <c r="R13" i="38"/>
  <c r="O13" i="38"/>
  <c r="M13" i="38"/>
  <c r="J13" i="38"/>
  <c r="W12" i="38"/>
  <c r="T12" i="38"/>
  <c r="R12" i="38"/>
  <c r="O12" i="38"/>
  <c r="M12" i="38"/>
  <c r="J12" i="38"/>
  <c r="W11" i="38"/>
  <c r="T11" i="38"/>
  <c r="R11" i="38"/>
  <c r="O11" i="38"/>
  <c r="M11" i="38"/>
  <c r="J11" i="38"/>
  <c r="W10" i="38"/>
  <c r="T10" i="38"/>
  <c r="R10" i="38"/>
  <c r="O10" i="38"/>
  <c r="M10" i="38"/>
  <c r="J10" i="38"/>
  <c r="W9" i="38"/>
  <c r="T9" i="38"/>
  <c r="R9" i="38"/>
  <c r="O9" i="38"/>
  <c r="M9" i="38"/>
  <c r="J9" i="38"/>
  <c r="W8" i="38"/>
  <c r="T8" i="38"/>
  <c r="R8" i="38"/>
  <c r="O8" i="38"/>
  <c r="M8" i="38"/>
  <c r="J8" i="38"/>
  <c r="W7" i="38"/>
  <c r="T7" i="38"/>
  <c r="R7" i="38"/>
  <c r="O7" i="38"/>
  <c r="M7" i="38"/>
  <c r="J7" i="38"/>
  <c r="AO27" i="2"/>
  <c r="AD27" i="2"/>
  <c r="AA27" i="2"/>
  <c r="Z27" i="2"/>
  <c r="AO26" i="2"/>
  <c r="AD26" i="2"/>
  <c r="AA26" i="2"/>
  <c r="Z26" i="2"/>
  <c r="AO25" i="2"/>
  <c r="AD25" i="2"/>
  <c r="AA25" i="2"/>
  <c r="Z25" i="2"/>
  <c r="AO24" i="2"/>
  <c r="AD24" i="2"/>
  <c r="AA24" i="2"/>
  <c r="Z24" i="2"/>
  <c r="AO23" i="2"/>
  <c r="AD23" i="2"/>
  <c r="AA23" i="2"/>
  <c r="Z23" i="2"/>
  <c r="AO22" i="2"/>
  <c r="AD22" i="2"/>
  <c r="AA22" i="2"/>
  <c r="Z22" i="2"/>
  <c r="AO21" i="2"/>
  <c r="AD21" i="2"/>
  <c r="AA21" i="2"/>
  <c r="Z21" i="2"/>
  <c r="AO20" i="2"/>
  <c r="AD20" i="2"/>
  <c r="AA20" i="2"/>
  <c r="Z20" i="2"/>
  <c r="AO19" i="2"/>
  <c r="AD19" i="2"/>
  <c r="AA19" i="2"/>
  <c r="Z19" i="2"/>
  <c r="AO18" i="2"/>
  <c r="AD18" i="2"/>
  <c r="AA18" i="2"/>
  <c r="Z18" i="2"/>
  <c r="AO17" i="2"/>
  <c r="AD17" i="2"/>
  <c r="AA17" i="2"/>
  <c r="Z17" i="2"/>
  <c r="AO16" i="2"/>
  <c r="AD16" i="2"/>
  <c r="AA16" i="2"/>
  <c r="Z16" i="2"/>
  <c r="AO15" i="2"/>
  <c r="AD15" i="2"/>
  <c r="AA15" i="2"/>
  <c r="Z15" i="2"/>
  <c r="AO14" i="2"/>
  <c r="AD14" i="2"/>
  <c r="AA14" i="2"/>
  <c r="Z14" i="2"/>
  <c r="AO13" i="2"/>
  <c r="AD13" i="2"/>
  <c r="AA13" i="2"/>
  <c r="Z13" i="2"/>
  <c r="AO12" i="2"/>
  <c r="AD12" i="2"/>
  <c r="AA12" i="2"/>
  <c r="Z12" i="2"/>
  <c r="AO11" i="2"/>
  <c r="AD11" i="2"/>
  <c r="AA11" i="2"/>
  <c r="Z11" i="2"/>
  <c r="AO10" i="2"/>
  <c r="AD10" i="2"/>
  <c r="AA10" i="2"/>
  <c r="Z10" i="2"/>
  <c r="AO9" i="2"/>
  <c r="AD9" i="2"/>
  <c r="AA9" i="2"/>
  <c r="Z9" i="2"/>
  <c r="AO8" i="2"/>
  <c r="AD8" i="2"/>
  <c r="AA8" i="2"/>
  <c r="Z8" i="2"/>
  <c r="AO7" i="2"/>
  <c r="AD7" i="2"/>
  <c r="AA7" i="2"/>
  <c r="Z7" i="2"/>
  <c r="W48" i="2"/>
  <c r="T48" i="2"/>
  <c r="R48" i="2"/>
  <c r="O48" i="2"/>
  <c r="M48" i="2"/>
  <c r="J48" i="2"/>
  <c r="W43" i="2"/>
  <c r="T43" i="2"/>
  <c r="R43" i="2"/>
  <c r="O43" i="2"/>
  <c r="M43" i="2"/>
  <c r="J43" i="2"/>
  <c r="W39" i="2"/>
  <c r="R39" i="2"/>
  <c r="O39" i="2"/>
  <c r="W37" i="2"/>
  <c r="T37" i="2"/>
  <c r="R37" i="2"/>
  <c r="W36" i="2"/>
  <c r="W35" i="2"/>
  <c r="W34" i="2"/>
  <c r="T34" i="2"/>
  <c r="W33" i="2"/>
  <c r="T33" i="2"/>
  <c r="R33" i="2"/>
  <c r="O33" i="2"/>
  <c r="W32" i="2"/>
  <c r="T32" i="2"/>
  <c r="R32" i="2"/>
  <c r="O32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H23" i="1" l="1"/>
  <c r="J11" i="1"/>
  <c r="M23" i="1"/>
  <c r="AB24" i="37"/>
  <c r="W24" i="37"/>
  <c r="R24" i="37"/>
  <c r="P24" i="37"/>
  <c r="M24" i="37"/>
  <c r="K24" i="37"/>
  <c r="AB23" i="37"/>
  <c r="W23" i="37"/>
  <c r="R23" i="37"/>
  <c r="P23" i="37"/>
  <c r="M23" i="37"/>
  <c r="K23" i="37"/>
  <c r="AB22" i="37"/>
  <c r="W22" i="37"/>
  <c r="R22" i="37"/>
  <c r="P22" i="37"/>
  <c r="M22" i="37"/>
  <c r="K22" i="37"/>
  <c r="AB21" i="37"/>
  <c r="W21" i="37"/>
  <c r="R21" i="37"/>
  <c r="P21" i="37"/>
  <c r="M21" i="37"/>
  <c r="K21" i="37"/>
  <c r="AB20" i="37"/>
  <c r="W20" i="37"/>
  <c r="R20" i="37"/>
  <c r="P20" i="37"/>
  <c r="M20" i="37"/>
  <c r="K20" i="37"/>
  <c r="AB19" i="37"/>
  <c r="W19" i="37"/>
  <c r="R19" i="37"/>
  <c r="P19" i="37"/>
  <c r="M19" i="37"/>
  <c r="K19" i="37"/>
  <c r="AB18" i="37"/>
  <c r="W18" i="37"/>
  <c r="R18" i="37"/>
  <c r="P18" i="37"/>
  <c r="M18" i="37"/>
  <c r="K18" i="37"/>
  <c r="AB17" i="37"/>
  <c r="W17" i="37"/>
  <c r="R17" i="37"/>
  <c r="P17" i="37"/>
  <c r="M17" i="37"/>
  <c r="K17" i="37"/>
  <c r="AB16" i="37"/>
  <c r="W16" i="37"/>
  <c r="R16" i="37"/>
  <c r="P16" i="37"/>
  <c r="M16" i="37"/>
  <c r="K16" i="37"/>
  <c r="AB15" i="37"/>
  <c r="W15" i="37"/>
  <c r="R15" i="37"/>
  <c r="P15" i="37"/>
  <c r="M15" i="37"/>
  <c r="K15" i="37"/>
  <c r="AB14" i="37"/>
  <c r="W14" i="37"/>
  <c r="R14" i="37"/>
  <c r="P14" i="37"/>
  <c r="M14" i="37"/>
  <c r="K14" i="37"/>
  <c r="AB13" i="37"/>
  <c r="W13" i="37"/>
  <c r="R13" i="37"/>
  <c r="P13" i="37"/>
  <c r="M13" i="37"/>
  <c r="K13" i="37"/>
  <c r="AB12" i="37"/>
  <c r="W12" i="37"/>
  <c r="R12" i="37"/>
  <c r="P12" i="37"/>
  <c r="M12" i="37"/>
  <c r="K12" i="37"/>
  <c r="AB11" i="37"/>
  <c r="W11" i="37"/>
  <c r="R11" i="37"/>
  <c r="P11" i="37"/>
  <c r="M11" i="37"/>
  <c r="K11" i="37"/>
  <c r="AB10" i="37"/>
  <c r="W10" i="37"/>
  <c r="R10" i="37"/>
  <c r="P10" i="37"/>
  <c r="M10" i="37"/>
  <c r="K10" i="37"/>
  <c r="AB9" i="37"/>
  <c r="W9" i="37"/>
  <c r="R9" i="37"/>
  <c r="P9" i="37"/>
  <c r="M9" i="37"/>
  <c r="K9" i="37"/>
  <c r="AB8" i="37"/>
  <c r="W8" i="37"/>
  <c r="R8" i="37"/>
  <c r="P8" i="37"/>
  <c r="M8" i="37"/>
  <c r="K8" i="37"/>
  <c r="AF34" i="38" l="1"/>
  <c r="AJ34" i="38"/>
  <c r="AJ31" i="38" l="1"/>
  <c r="AJ30" i="38"/>
  <c r="AD33" i="2" l="1"/>
  <c r="AD34" i="2"/>
  <c r="AI26" i="2" l="1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D35" i="2"/>
  <c r="AJ31" i="2" s="1"/>
  <c r="V24" i="1" l="1"/>
  <c r="V23" i="1"/>
  <c r="AG27" i="38"/>
  <c r="AG26" i="38"/>
  <c r="AG25" i="38"/>
  <c r="AG22" i="38"/>
  <c r="AG21" i="38"/>
  <c r="AG20" i="38"/>
  <c r="AG17" i="38"/>
  <c r="AG15" i="38"/>
  <c r="AG12" i="38"/>
  <c r="AG11" i="38"/>
  <c r="AG9" i="38"/>
  <c r="AG7" i="38"/>
  <c r="T64" i="38"/>
  <c r="S37" i="38"/>
  <c r="O40" i="38"/>
  <c r="J26" i="38"/>
  <c r="J24" i="38"/>
  <c r="S64" i="38"/>
  <c r="T63" i="38"/>
  <c r="S63" i="38"/>
  <c r="T62" i="38"/>
  <c r="S62" i="38"/>
  <c r="T61" i="38"/>
  <c r="S61" i="38"/>
  <c r="K40" i="38"/>
  <c r="J40" i="38"/>
  <c r="G40" i="38"/>
  <c r="N39" i="38"/>
  <c r="L39" i="38"/>
  <c r="G39" i="38"/>
  <c r="G38" i="38"/>
  <c r="Q37" i="38"/>
  <c r="M37" i="38"/>
  <c r="M40" i="38" s="1"/>
  <c r="G37" i="38"/>
  <c r="S36" i="38"/>
  <c r="Q36" i="38"/>
  <c r="N36" i="38"/>
  <c r="G36" i="38"/>
  <c r="S35" i="38"/>
  <c r="Q35" i="38"/>
  <c r="N35" i="38"/>
  <c r="G35" i="38"/>
  <c r="S34" i="38"/>
  <c r="Q34" i="38"/>
  <c r="N34" i="38"/>
  <c r="L34" i="38"/>
  <c r="G34" i="38"/>
  <c r="N33" i="38"/>
  <c r="L33" i="38"/>
  <c r="G33" i="38"/>
  <c r="N32" i="38"/>
  <c r="L32" i="38"/>
  <c r="G31" i="38"/>
  <c r="G30" i="38"/>
  <c r="G29" i="38"/>
  <c r="G26" i="38"/>
  <c r="G25" i="38"/>
  <c r="G24" i="38"/>
  <c r="G23" i="38"/>
  <c r="G22" i="38"/>
  <c r="G21" i="38"/>
  <c r="G20" i="38"/>
  <c r="AG19" i="38"/>
  <c r="G19" i="38"/>
  <c r="G18" i="38"/>
  <c r="G17" i="38"/>
  <c r="AG16" i="38"/>
  <c r="G16" i="38"/>
  <c r="G15" i="38"/>
  <c r="G14" i="38"/>
  <c r="G13" i="38"/>
  <c r="G12" i="38"/>
  <c r="G11" i="38"/>
  <c r="G10" i="38"/>
  <c r="G9" i="38"/>
  <c r="G8" i="38"/>
  <c r="G7" i="38"/>
  <c r="W24" i="38" l="1"/>
  <c r="R31" i="38"/>
  <c r="AG10" i="38"/>
  <c r="AG23" i="38"/>
  <c r="O31" i="38"/>
  <c r="W31" i="38"/>
  <c r="T54" i="38"/>
  <c r="M24" i="38"/>
  <c r="M31" i="38"/>
  <c r="AG8" i="38"/>
  <c r="AG18" i="38"/>
  <c r="J25" i="38"/>
  <c r="J27" i="38" s="1"/>
  <c r="J49" i="38" s="1"/>
  <c r="AG13" i="38"/>
  <c r="W40" i="38"/>
  <c r="AG24" i="38"/>
  <c r="T24" i="38"/>
  <c r="J31" i="38"/>
  <c r="O26" i="38"/>
  <c r="T68" i="38"/>
  <c r="R25" i="38"/>
  <c r="T25" i="38"/>
  <c r="M25" i="38"/>
  <c r="AG14" i="38"/>
  <c r="T26" i="38"/>
  <c r="W25" i="38"/>
  <c r="R26" i="38"/>
  <c r="T31" i="38"/>
  <c r="T53" i="38" s="1"/>
  <c r="O24" i="38"/>
  <c r="O25" i="38"/>
  <c r="W26" i="38"/>
  <c r="R24" i="38"/>
  <c r="T60" i="38"/>
  <c r="T65" i="38" s="1"/>
  <c r="R40" i="38"/>
  <c r="T40" i="38"/>
  <c r="N40" i="38"/>
  <c r="M26" i="38"/>
  <c r="N37" i="38"/>
  <c r="L40" i="38"/>
  <c r="M27" i="38" l="1"/>
  <c r="M49" i="38" s="1"/>
  <c r="T27" i="38"/>
  <c r="R27" i="38"/>
  <c r="R41" i="38" s="1"/>
  <c r="R44" i="38" s="1"/>
  <c r="R49" i="38" s="1"/>
  <c r="O27" i="38"/>
  <c r="O41" i="38" s="1"/>
  <c r="O51" i="38" s="1"/>
  <c r="O52" i="38" s="1"/>
  <c r="W27" i="38"/>
  <c r="W41" i="38" s="1"/>
  <c r="W44" i="38" s="1"/>
  <c r="W49" i="38" s="1"/>
  <c r="T41" i="38"/>
  <c r="T52" i="38"/>
  <c r="F10" i="34"/>
  <c r="O44" i="38" l="1"/>
  <c r="O49" i="38" s="1"/>
  <c r="T55" i="38"/>
  <c r="T56" i="38" s="1"/>
  <c r="T44" i="38"/>
  <c r="T49" i="38" s="1"/>
  <c r="T70" i="38"/>
  <c r="T71" i="38" s="1"/>
  <c r="E36" i="1"/>
  <c r="E34" i="1"/>
  <c r="E33" i="1"/>
  <c r="E11" i="1" s="1"/>
  <c r="E32" i="1"/>
  <c r="T57" i="38" l="1"/>
  <c r="M17" i="1" l="1"/>
  <c r="M25" i="1" s="1"/>
  <c r="M18" i="1"/>
  <c r="M27" i="1" s="1"/>
  <c r="M35" i="1"/>
  <c r="M37" i="1"/>
  <c r="M26" i="1"/>
  <c r="M24" i="1"/>
  <c r="M16" i="1"/>
  <c r="M19" i="1" l="1"/>
  <c r="M12" i="1"/>
  <c r="M28" i="1" l="1"/>
  <c r="M20" i="1"/>
  <c r="M29" i="1" l="1"/>
  <c r="M30" i="1" s="1"/>
  <c r="J18" i="1"/>
  <c r="J24" i="1" l="1"/>
  <c r="E35" i="1"/>
  <c r="E37" i="1"/>
  <c r="J27" i="1"/>
  <c r="J16" i="1"/>
  <c r="J35" i="1"/>
  <c r="J37" i="1"/>
  <c r="J19" i="1"/>
  <c r="J28" i="1" s="1"/>
  <c r="J17" i="1"/>
  <c r="J12" i="1" l="1"/>
  <c r="J25" i="1"/>
  <c r="J20" i="1"/>
  <c r="J29" i="1" l="1"/>
  <c r="J26" i="1"/>
  <c r="J30" i="1" l="1"/>
  <c r="K33" i="34" l="1"/>
  <c r="M33" i="34" s="1"/>
  <c r="K29" i="34"/>
  <c r="M29" i="34" s="1"/>
  <c r="K25" i="34"/>
  <c r="K24" i="34"/>
  <c r="K16" i="34"/>
  <c r="K15" i="34"/>
  <c r="K13" i="34"/>
  <c r="K12" i="34"/>
  <c r="K11" i="34"/>
  <c r="K10" i="34"/>
  <c r="N30" i="34"/>
  <c r="L30" i="34"/>
  <c r="I30" i="34"/>
  <c r="G30" i="34"/>
  <c r="F29" i="34"/>
  <c r="F30" i="34" s="1"/>
  <c r="F33" i="34"/>
  <c r="H33" i="34" s="1"/>
  <c r="O33" i="34"/>
  <c r="O29" i="34"/>
  <c r="J33" i="34"/>
  <c r="J29" i="34"/>
  <c r="F25" i="34"/>
  <c r="F24" i="34"/>
  <c r="F16" i="34"/>
  <c r="F15" i="34"/>
  <c r="F13" i="34"/>
  <c r="F12" i="34"/>
  <c r="F11" i="34"/>
  <c r="K30" i="34" l="1"/>
  <c r="K20" i="34"/>
  <c r="K21" i="34" s="1"/>
  <c r="K14" i="34"/>
  <c r="K26" i="34"/>
  <c r="K18" i="34"/>
  <c r="K19" i="34" s="1"/>
  <c r="J30" i="34"/>
  <c r="M30" i="34"/>
  <c r="O30" i="34"/>
  <c r="H30" i="34"/>
  <c r="K17" i="34"/>
  <c r="H29" i="34"/>
  <c r="K22" i="34" l="1"/>
  <c r="K23" i="34" s="1"/>
  <c r="K27" i="34" l="1"/>
  <c r="K28" i="34" s="1"/>
  <c r="K31" i="34" l="1"/>
  <c r="K32" i="34" s="1"/>
  <c r="K34" i="34"/>
  <c r="K35" i="34" s="1"/>
  <c r="J40" i="1" l="1"/>
  <c r="M27" i="37" l="1"/>
  <c r="R25" i="37" l="1"/>
  <c r="R26" i="37"/>
  <c r="R27" i="37"/>
  <c r="M25" i="37"/>
  <c r="M26" i="37"/>
  <c r="R28" i="37" l="1"/>
  <c r="M28" i="37"/>
  <c r="I11" i="34" l="1"/>
  <c r="I17" i="34"/>
  <c r="I18" i="34"/>
  <c r="I19" i="34" s="1"/>
  <c r="F17" i="34"/>
  <c r="I14" i="34"/>
  <c r="I26" i="34"/>
  <c r="F14" i="34"/>
  <c r="F18" i="34"/>
  <c r="F19" i="34" s="1"/>
  <c r="F26" i="34"/>
  <c r="F20" i="34"/>
  <c r="F21" i="34" s="1"/>
  <c r="I20" i="34"/>
  <c r="I21" i="34" s="1"/>
  <c r="I22" i="34" l="1"/>
  <c r="I27" i="34" s="1"/>
  <c r="F22" i="34"/>
  <c r="F27" i="34" s="1"/>
  <c r="F28" i="34" l="1"/>
  <c r="F31" i="34"/>
  <c r="F34" i="34" s="1"/>
  <c r="F35" i="34" s="1"/>
  <c r="I28" i="34"/>
  <c r="I31" i="34"/>
  <c r="I23" i="34"/>
  <c r="F23" i="34"/>
  <c r="I32" i="34" l="1"/>
  <c r="I34" i="34"/>
  <c r="I35" i="34" s="1"/>
  <c r="F32" i="34"/>
  <c r="M40" i="1" l="1"/>
  <c r="G39" i="2"/>
  <c r="S64" i="2" l="1"/>
  <c r="S63" i="2"/>
  <c r="T62" i="2"/>
  <c r="S62" i="2"/>
  <c r="S61" i="2"/>
  <c r="K40" i="2"/>
  <c r="J40" i="2"/>
  <c r="N39" i="2"/>
  <c r="L39" i="2"/>
  <c r="G40" i="2"/>
  <c r="Q37" i="2"/>
  <c r="M37" i="2"/>
  <c r="M40" i="2" s="1"/>
  <c r="G38" i="2"/>
  <c r="S36" i="2"/>
  <c r="Q36" i="2"/>
  <c r="N36" i="2"/>
  <c r="G37" i="2"/>
  <c r="S35" i="2"/>
  <c r="Q35" i="2"/>
  <c r="N35" i="2"/>
  <c r="G36" i="2"/>
  <c r="V30" i="1"/>
  <c r="S34" i="2"/>
  <c r="Q34" i="2"/>
  <c r="N34" i="2"/>
  <c r="L34" i="2"/>
  <c r="G35" i="2"/>
  <c r="V29" i="1"/>
  <c r="N33" i="2"/>
  <c r="L33" i="2"/>
  <c r="G34" i="2"/>
  <c r="N32" i="2"/>
  <c r="L32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28" i="1"/>
  <c r="H17" i="1"/>
  <c r="H25" i="1" s="1"/>
  <c r="H26" i="1" s="1"/>
  <c r="V12" i="1"/>
  <c r="N37" i="2" l="1"/>
  <c r="N40" i="2"/>
  <c r="L40" i="2"/>
  <c r="H24" i="1"/>
  <c r="W26" i="2"/>
  <c r="H16" i="1"/>
  <c r="T61" i="2"/>
  <c r="R24" i="2"/>
  <c r="W24" i="2"/>
  <c r="H12" i="1"/>
  <c r="R25" i="2"/>
  <c r="R31" i="2"/>
  <c r="H18" i="1"/>
  <c r="H27" i="1" s="1"/>
  <c r="R26" i="2"/>
  <c r="W25" i="2"/>
  <c r="R40" i="2"/>
  <c r="W40" i="2"/>
  <c r="W31" i="2"/>
  <c r="S37" i="2"/>
  <c r="H37" i="1" l="1"/>
  <c r="H35" i="1"/>
  <c r="V32" i="1"/>
  <c r="V31" i="1" s="1"/>
  <c r="H19" i="1"/>
  <c r="W27" i="2"/>
  <c r="W41" i="2" s="1"/>
  <c r="R27" i="2"/>
  <c r="R41" i="2" s="1"/>
  <c r="R44" i="2" l="1"/>
  <c r="R49" i="2" s="1"/>
  <c r="W44" i="2"/>
  <c r="W49" i="2" s="1"/>
  <c r="H28" i="1"/>
  <c r="H29" i="1" s="1"/>
  <c r="H40" i="1" s="1"/>
  <c r="H20" i="1"/>
  <c r="H30" i="1" l="1"/>
  <c r="M26" i="2" l="1"/>
  <c r="M24" i="2"/>
  <c r="M31" i="2"/>
  <c r="M25" i="2"/>
  <c r="M27" i="2" l="1"/>
  <c r="M49" i="2" l="1"/>
  <c r="V25" i="1" l="1"/>
  <c r="W23" i="1" l="1"/>
  <c r="W24" i="1"/>
  <c r="T25" i="1" l="1"/>
  <c r="W25" i="1" s="1"/>
  <c r="U24" i="1" l="1"/>
  <c r="S25" i="1" l="1"/>
  <c r="U25" i="1" s="1"/>
  <c r="U23" i="1"/>
  <c r="O40" i="2" l="1"/>
  <c r="O24" i="2" l="1"/>
  <c r="J24" i="2"/>
  <c r="S29" i="1" l="1"/>
  <c r="S28" i="1" l="1"/>
  <c r="T54" i="2"/>
  <c r="T60" i="2"/>
  <c r="T63" i="2" l="1"/>
  <c r="O25" i="2" l="1"/>
  <c r="J25" i="2"/>
  <c r="J31" i="2" l="1"/>
  <c r="O31" i="2" l="1"/>
  <c r="E18" i="1" l="1"/>
  <c r="E27" i="1" l="1"/>
  <c r="T31" i="2" l="1"/>
  <c r="T53" i="2" l="1"/>
  <c r="J26" i="2" l="1"/>
  <c r="O26" i="2"/>
  <c r="J27" i="2" l="1"/>
  <c r="O27" i="2"/>
  <c r="O41" i="2" s="1"/>
  <c r="AJ27" i="2" l="1"/>
  <c r="AJ22" i="2"/>
  <c r="AJ23" i="2"/>
  <c r="AJ19" i="2"/>
  <c r="AJ11" i="2"/>
  <c r="AJ12" i="2"/>
  <c r="AJ20" i="2"/>
  <c r="AJ21" i="2"/>
  <c r="AJ14" i="2"/>
  <c r="AJ17" i="2"/>
  <c r="AJ8" i="2"/>
  <c r="AJ13" i="2"/>
  <c r="AJ10" i="2"/>
  <c r="AJ7" i="2"/>
  <c r="AJ18" i="2"/>
  <c r="AJ9" i="2"/>
  <c r="AJ15" i="2"/>
  <c r="AJ16" i="2"/>
  <c r="AJ24" i="2"/>
  <c r="AJ25" i="2"/>
  <c r="AJ26" i="2"/>
  <c r="J49" i="2"/>
  <c r="E12" i="1"/>
  <c r="O44" i="2" l="1"/>
  <c r="O49" i="2" s="1"/>
  <c r="O51" i="2"/>
  <c r="O52" i="2" l="1"/>
  <c r="T24" i="2" l="1"/>
  <c r="T25" i="2" l="1"/>
  <c r="E17" i="1" l="1"/>
  <c r="T26" i="2" l="1"/>
  <c r="E25" i="1"/>
  <c r="E19" i="1"/>
  <c r="E20" i="1" s="1"/>
  <c r="E16" i="1"/>
  <c r="T27" i="2" l="1"/>
  <c r="E26" i="1"/>
  <c r="S30" i="1" l="1"/>
  <c r="T52" i="2"/>
  <c r="E24" i="1" l="1"/>
  <c r="E28" i="1"/>
  <c r="E29" i="1" s="1"/>
  <c r="E40" i="1" s="1"/>
  <c r="T55" i="2"/>
  <c r="T56" i="2" l="1"/>
  <c r="T57" i="2"/>
  <c r="T64" i="2"/>
  <c r="T68" i="2"/>
  <c r="T40" i="2"/>
  <c r="T41" i="2" s="1"/>
  <c r="S32" i="1" l="1"/>
  <c r="T44" i="2"/>
  <c r="T49" i="2" s="1"/>
  <c r="T65" i="2"/>
  <c r="E30" i="1"/>
  <c r="S31" i="1" l="1"/>
  <c r="T70" i="2"/>
  <c r="T71" i="2" s="1"/>
  <c r="AB27" i="37" l="1"/>
  <c r="W27" i="37"/>
  <c r="W25" i="37"/>
  <c r="AB26" i="37" l="1"/>
  <c r="W26" i="37"/>
  <c r="W28" i="37" s="1"/>
  <c r="AB25" i="37" l="1"/>
  <c r="AB28" i="37" s="1"/>
  <c r="N11" i="34" l="1"/>
  <c r="N14" i="34"/>
  <c r="N20" i="34"/>
  <c r="N21" i="34" s="1"/>
  <c r="N26" i="34"/>
  <c r="N17" i="34"/>
  <c r="N18" i="34"/>
  <c r="N19" i="34" s="1"/>
  <c r="N22" i="34" l="1"/>
  <c r="N27" i="34" s="1"/>
  <c r="N28" i="34" l="1"/>
  <c r="N31" i="34"/>
  <c r="N23" i="34"/>
  <c r="N32" i="34" l="1"/>
  <c r="N34" i="34"/>
  <c r="N35" i="34" s="1"/>
  <c r="J12" i="34"/>
  <c r="H12" i="34"/>
  <c r="G11" i="34"/>
  <c r="G18" i="34"/>
  <c r="J15" i="34"/>
  <c r="H15" i="34"/>
  <c r="H24" i="34"/>
  <c r="J24" i="34"/>
  <c r="W36" i="1"/>
  <c r="O15" i="34" l="1"/>
  <c r="M15" i="34"/>
  <c r="L11" i="34"/>
  <c r="J10" i="34"/>
  <c r="H10" i="34"/>
  <c r="M12" i="34"/>
  <c r="O12" i="34"/>
  <c r="L18" i="34"/>
  <c r="J18" i="34"/>
  <c r="G19" i="34"/>
  <c r="H18" i="34"/>
  <c r="J11" i="34"/>
  <c r="H11" i="34"/>
  <c r="O24" i="34"/>
  <c r="M24" i="34"/>
  <c r="J19" i="34" l="1"/>
  <c r="H19" i="34"/>
  <c r="M11" i="34"/>
  <c r="O11" i="34"/>
  <c r="O18" i="34"/>
  <c r="L19" i="34"/>
  <c r="M18" i="34"/>
  <c r="O10" i="34"/>
  <c r="M10" i="34"/>
  <c r="H25" i="34"/>
  <c r="J25" i="34"/>
  <c r="G26" i="34"/>
  <c r="M19" i="34" l="1"/>
  <c r="O19" i="34"/>
  <c r="H26" i="34"/>
  <c r="J26" i="34"/>
  <c r="M25" i="34"/>
  <c r="O25" i="34"/>
  <c r="L26" i="34"/>
  <c r="O26" i="34" l="1"/>
  <c r="M26" i="34"/>
  <c r="G17" i="34" l="1"/>
  <c r="J16" i="34"/>
  <c r="H16" i="34"/>
  <c r="U36" i="1"/>
  <c r="H17" i="34" l="1"/>
  <c r="J17" i="34"/>
  <c r="G20" i="34"/>
  <c r="G14" i="34"/>
  <c r="H13" i="34"/>
  <c r="J13" i="34"/>
  <c r="L17" i="34"/>
  <c r="M16" i="34"/>
  <c r="O16" i="34"/>
  <c r="L14" i="34" l="1"/>
  <c r="M13" i="34"/>
  <c r="L20" i="34"/>
  <c r="O13" i="34"/>
  <c r="M17" i="34"/>
  <c r="O17" i="34"/>
  <c r="J14" i="34"/>
  <c r="H14" i="34"/>
  <c r="G21" i="34"/>
  <c r="J20" i="34"/>
  <c r="H20" i="34"/>
  <c r="G22" i="34"/>
  <c r="G27" i="34" s="1"/>
  <c r="G28" i="34" l="1"/>
  <c r="H27" i="34"/>
  <c r="G31" i="34"/>
  <c r="J27" i="34"/>
  <c r="W37" i="1"/>
  <c r="U37" i="1"/>
  <c r="G23" i="34"/>
  <c r="H22" i="34"/>
  <c r="J22" i="34"/>
  <c r="M20" i="34"/>
  <c r="L22" i="34"/>
  <c r="L27" i="34" s="1"/>
  <c r="L21" i="34"/>
  <c r="O20" i="34"/>
  <c r="J21" i="34"/>
  <c r="H21" i="34"/>
  <c r="O14" i="34"/>
  <c r="M14" i="34"/>
  <c r="G32" i="34" l="1"/>
  <c r="G34" i="34"/>
  <c r="H31" i="34"/>
  <c r="J31" i="34"/>
  <c r="L28" i="34"/>
  <c r="O27" i="34"/>
  <c r="L31" i="34"/>
  <c r="M27" i="34"/>
  <c r="J28" i="34"/>
  <c r="H28" i="34"/>
  <c r="M21" i="34"/>
  <c r="O21" i="34"/>
  <c r="L23" i="34"/>
  <c r="O22" i="34"/>
  <c r="M22" i="34"/>
  <c r="J23" i="34"/>
  <c r="H23" i="34"/>
  <c r="G35" i="34" l="1"/>
  <c r="J34" i="34"/>
  <c r="H34" i="34"/>
  <c r="L32" i="34"/>
  <c r="O31" i="34"/>
  <c r="L34" i="34"/>
  <c r="M31" i="34"/>
  <c r="O28" i="34"/>
  <c r="M28" i="34"/>
  <c r="J32" i="34"/>
  <c r="H32" i="34"/>
  <c r="M23" i="34"/>
  <c r="O23" i="34"/>
  <c r="O32" i="34" l="1"/>
  <c r="M32" i="34"/>
  <c r="L35" i="34"/>
  <c r="O34" i="34"/>
  <c r="M34" i="34"/>
  <c r="J35" i="34"/>
  <c r="H35" i="34"/>
  <c r="O35" i="34" l="1"/>
  <c r="M35" i="34"/>
  <c r="W15" i="1" l="1"/>
  <c r="W14" i="1"/>
  <c r="W16" i="1"/>
  <c r="W13" i="1"/>
  <c r="T12" i="1" l="1"/>
  <c r="W9" i="1"/>
  <c r="W11" i="1"/>
  <c r="W10" i="1"/>
  <c r="W12" i="1" l="1"/>
  <c r="N12" i="37" l="1"/>
  <c r="K26" i="37" l="1"/>
  <c r="N9" i="37"/>
  <c r="N8" i="37"/>
  <c r="K25" i="37"/>
  <c r="N18" i="37"/>
  <c r="N13" i="37"/>
  <c r="N16" i="37"/>
  <c r="N17" i="37"/>
  <c r="N21" i="37"/>
  <c r="N15" i="37"/>
  <c r="N14" i="37"/>
  <c r="N23" i="37"/>
  <c r="N24" i="37"/>
  <c r="N10" i="37"/>
  <c r="N11" i="37"/>
  <c r="N19" i="37"/>
  <c r="N22" i="37"/>
  <c r="K27" i="37"/>
  <c r="N20" i="37"/>
  <c r="N26" i="37" l="1"/>
  <c r="N27" i="37"/>
  <c r="K28" i="37"/>
  <c r="N25" i="37"/>
  <c r="N28" i="37" l="1"/>
  <c r="S22" i="37" l="1"/>
  <c r="S16" i="37"/>
  <c r="S21" i="37"/>
  <c r="S9" i="37"/>
  <c r="S20" i="37"/>
  <c r="P27" i="37"/>
  <c r="S17" i="37"/>
  <c r="S12" i="37"/>
  <c r="P26" i="37"/>
  <c r="S23" i="37"/>
  <c r="S13" i="37"/>
  <c r="S18" i="37"/>
  <c r="S24" i="37"/>
  <c r="S15" i="37"/>
  <c r="S11" i="37"/>
  <c r="S8" i="37"/>
  <c r="S19" i="37"/>
  <c r="S14" i="37"/>
  <c r="S26" i="37" l="1"/>
  <c r="S27" i="37"/>
  <c r="AB34" i="2" l="1"/>
  <c r="AB33" i="2" l="1"/>
  <c r="AB35" i="2" l="1"/>
  <c r="AM40" i="2" s="1"/>
  <c r="AM41" i="2" s="1"/>
  <c r="AM42" i="2" s="1"/>
  <c r="AF31" i="2" l="1"/>
  <c r="S10" i="37" l="1"/>
  <c r="P25" i="37"/>
  <c r="P28" i="37" l="1"/>
  <c r="S25" i="37"/>
  <c r="S28" i="37" l="1"/>
  <c r="K43" i="2" l="1"/>
  <c r="F32" i="1"/>
  <c r="I32" i="1" l="1"/>
  <c r="G32" i="1"/>
  <c r="N43" i="2"/>
  <c r="G48" i="2"/>
  <c r="L43" i="2"/>
  <c r="F48" i="2"/>
  <c r="U38" i="2" l="1"/>
  <c r="V38" i="2"/>
  <c r="X38" i="2"/>
  <c r="K43" i="38" l="1"/>
  <c r="K32" i="1"/>
  <c r="K8" i="2" l="1"/>
  <c r="K17" i="2"/>
  <c r="L17" i="2" s="1"/>
  <c r="K30" i="2"/>
  <c r="N30" i="2" s="1"/>
  <c r="K19" i="2"/>
  <c r="N19" i="2" s="1"/>
  <c r="K15" i="2"/>
  <c r="N15" i="2" s="1"/>
  <c r="K12" i="2"/>
  <c r="N12" i="2" s="1"/>
  <c r="K14" i="2"/>
  <c r="K13" i="2"/>
  <c r="N13" i="2" s="1"/>
  <c r="K9" i="2"/>
  <c r="L9" i="2" s="1"/>
  <c r="K20" i="2"/>
  <c r="L20" i="2" s="1"/>
  <c r="K18" i="2"/>
  <c r="K16" i="2"/>
  <c r="L16" i="2" s="1"/>
  <c r="K23" i="2"/>
  <c r="L23" i="2" s="1"/>
  <c r="K29" i="2"/>
  <c r="L29" i="2" s="1"/>
  <c r="K10" i="2"/>
  <c r="N10" i="2" s="1"/>
  <c r="K21" i="2"/>
  <c r="L21" i="2" s="1"/>
  <c r="L14" i="2"/>
  <c r="N14" i="2"/>
  <c r="N17" i="2"/>
  <c r="N32" i="1"/>
  <c r="L32" i="1"/>
  <c r="N18" i="2"/>
  <c r="L18" i="2"/>
  <c r="N8" i="2"/>
  <c r="L8" i="2"/>
  <c r="N43" i="38"/>
  <c r="L43" i="38"/>
  <c r="G48" i="38"/>
  <c r="F48" i="38"/>
  <c r="N16" i="2" l="1"/>
  <c r="N21" i="2"/>
  <c r="L19" i="2"/>
  <c r="L30" i="2"/>
  <c r="N29" i="2"/>
  <c r="L10" i="2"/>
  <c r="L12" i="2"/>
  <c r="N9" i="2"/>
  <c r="L15" i="2"/>
  <c r="P16" i="2"/>
  <c r="S16" i="2" s="1"/>
  <c r="P17" i="2"/>
  <c r="N20" i="2"/>
  <c r="P22" i="2"/>
  <c r="Q22" i="2" s="1"/>
  <c r="P15" i="2"/>
  <c r="S15" i="2" s="1"/>
  <c r="K7" i="2"/>
  <c r="N23" i="2"/>
  <c r="K22" i="2"/>
  <c r="N22" i="2" s="1"/>
  <c r="P20" i="2"/>
  <c r="Q20" i="2" s="1"/>
  <c r="P8" i="2"/>
  <c r="K28" i="2"/>
  <c r="N28" i="2" s="1"/>
  <c r="P11" i="2"/>
  <c r="P18" i="2"/>
  <c r="P14" i="2"/>
  <c r="Q14" i="2" s="1"/>
  <c r="P7" i="2"/>
  <c r="Q7" i="2" s="1"/>
  <c r="P10" i="2"/>
  <c r="Q10" i="2" s="1"/>
  <c r="P28" i="2"/>
  <c r="S28" i="2" s="1"/>
  <c r="P13" i="2"/>
  <c r="Q13" i="2" s="1"/>
  <c r="P19" i="2"/>
  <c r="L13" i="2"/>
  <c r="P23" i="2"/>
  <c r="S23" i="2" s="1"/>
  <c r="P9" i="2"/>
  <c r="Q9" i="2" s="1"/>
  <c r="P21" i="2"/>
  <c r="Q21" i="2" s="1"/>
  <c r="K11" i="2"/>
  <c r="K25" i="2" s="1"/>
  <c r="P12" i="2"/>
  <c r="Q12" i="2" s="1"/>
  <c r="P29" i="2"/>
  <c r="S29" i="2" s="1"/>
  <c r="P30" i="2"/>
  <c r="S14" i="2"/>
  <c r="Q23" i="2"/>
  <c r="Q30" i="2"/>
  <c r="S30" i="2"/>
  <c r="S7" i="2"/>
  <c r="Q18" i="2"/>
  <c r="S18" i="2"/>
  <c r="F33" i="1"/>
  <c r="P43" i="2"/>
  <c r="S17" i="2"/>
  <c r="Q17" i="2"/>
  <c r="N7" i="2"/>
  <c r="K24" i="2"/>
  <c r="L7" i="2"/>
  <c r="F34" i="1"/>
  <c r="F7" i="1"/>
  <c r="F8" i="1"/>
  <c r="F14" i="1"/>
  <c r="F13" i="1"/>
  <c r="F10" i="1"/>
  <c r="F9" i="1"/>
  <c r="K31" i="2" l="1"/>
  <c r="L22" i="2"/>
  <c r="Q16" i="2"/>
  <c r="S20" i="2"/>
  <c r="S10" i="2"/>
  <c r="Q29" i="2"/>
  <c r="L28" i="2"/>
  <c r="P24" i="2"/>
  <c r="S8" i="2"/>
  <c r="Q8" i="2"/>
  <c r="P26" i="2"/>
  <c r="S12" i="2"/>
  <c r="P25" i="2"/>
  <c r="Q25" i="2" s="1"/>
  <c r="N11" i="2"/>
  <c r="K26" i="2"/>
  <c r="K27" i="2" s="1"/>
  <c r="AK24" i="2" s="1"/>
  <c r="L11" i="2"/>
  <c r="S22" i="2"/>
  <c r="Q11" i="2"/>
  <c r="S11" i="2"/>
  <c r="S21" i="2"/>
  <c r="Q19" i="2"/>
  <c r="P32" i="2"/>
  <c r="Q32" i="2" s="1"/>
  <c r="S9" i="2"/>
  <c r="P33" i="2"/>
  <c r="Q33" i="2" s="1"/>
  <c r="Q28" i="2"/>
  <c r="S19" i="2"/>
  <c r="P31" i="2"/>
  <c r="Q31" i="2" s="1"/>
  <c r="Q15" i="2"/>
  <c r="S13" i="2"/>
  <c r="G10" i="1"/>
  <c r="I10" i="1"/>
  <c r="F18" i="1"/>
  <c r="F17" i="1"/>
  <c r="G13" i="1"/>
  <c r="I13" i="1"/>
  <c r="Q26" i="2"/>
  <c r="S26" i="2"/>
  <c r="Q24" i="2"/>
  <c r="S24" i="2"/>
  <c r="P27" i="2"/>
  <c r="G9" i="1"/>
  <c r="I9" i="1"/>
  <c r="G14" i="1"/>
  <c r="I14" i="1"/>
  <c r="F15" i="1"/>
  <c r="F16" i="1" s="1"/>
  <c r="S43" i="2"/>
  <c r="Q43" i="2"/>
  <c r="F11" i="1"/>
  <c r="G34" i="1"/>
  <c r="F35" i="1"/>
  <c r="G35" i="1" s="1"/>
  <c r="I34" i="1"/>
  <c r="I33" i="1"/>
  <c r="G33" i="1"/>
  <c r="N26" i="2"/>
  <c r="F26" i="2"/>
  <c r="I7" i="1"/>
  <c r="G7" i="1"/>
  <c r="G8" i="1"/>
  <c r="I8" i="1"/>
  <c r="F25" i="2"/>
  <c r="N25" i="2"/>
  <c r="L25" i="2"/>
  <c r="N24" i="2"/>
  <c r="F24" i="2"/>
  <c r="L24" i="2"/>
  <c r="N31" i="2"/>
  <c r="G49" i="2"/>
  <c r="L31" i="2"/>
  <c r="F49" i="2"/>
  <c r="L26" i="2" l="1"/>
  <c r="S25" i="2"/>
  <c r="S33" i="2"/>
  <c r="S32" i="2"/>
  <c r="U18" i="2"/>
  <c r="U8" i="2"/>
  <c r="X8" i="2" s="1"/>
  <c r="U36" i="2"/>
  <c r="X36" i="2" s="1"/>
  <c r="S31" i="2"/>
  <c r="U22" i="2"/>
  <c r="X22" i="2" s="1"/>
  <c r="U13" i="2"/>
  <c r="X13" i="2" s="1"/>
  <c r="U10" i="2"/>
  <c r="X10" i="2" s="1"/>
  <c r="U20" i="2"/>
  <c r="V20" i="2" s="1"/>
  <c r="U17" i="2"/>
  <c r="X17" i="2" s="1"/>
  <c r="U15" i="2"/>
  <c r="V15" i="2" s="1"/>
  <c r="U7" i="2"/>
  <c r="V7" i="2" s="1"/>
  <c r="U21" i="2"/>
  <c r="V21" i="2" s="1"/>
  <c r="U23" i="2"/>
  <c r="V23" i="2" s="1"/>
  <c r="U30" i="2"/>
  <c r="X30" i="2" s="1"/>
  <c r="U19" i="2"/>
  <c r="X19" i="2" s="1"/>
  <c r="U16" i="2"/>
  <c r="X16" i="2" s="1"/>
  <c r="K48" i="2"/>
  <c r="K49" i="2" s="1"/>
  <c r="U9" i="2"/>
  <c r="V9" i="2" s="1"/>
  <c r="U14" i="2"/>
  <c r="X14" i="2" s="1"/>
  <c r="U35" i="2"/>
  <c r="U61" i="2" s="1"/>
  <c r="V61" i="2" s="1"/>
  <c r="U11" i="2"/>
  <c r="V11" i="2" s="1"/>
  <c r="U12" i="2"/>
  <c r="V12" i="2" s="1"/>
  <c r="Q27" i="2"/>
  <c r="S27" i="2"/>
  <c r="I35" i="1"/>
  <c r="F12" i="1"/>
  <c r="F19" i="1"/>
  <c r="F20" i="1" s="1"/>
  <c r="I11" i="1"/>
  <c r="G11" i="1"/>
  <c r="I16" i="1"/>
  <c r="G16" i="1"/>
  <c r="F36" i="1"/>
  <c r="U43" i="2"/>
  <c r="I17" i="1"/>
  <c r="G17" i="1"/>
  <c r="G18" i="1"/>
  <c r="I18" i="1"/>
  <c r="U62" i="2"/>
  <c r="V62" i="2" s="1"/>
  <c r="V18" i="2"/>
  <c r="X18" i="2"/>
  <c r="I15" i="1"/>
  <c r="G15" i="1"/>
  <c r="AL24" i="2"/>
  <c r="AP24" i="2"/>
  <c r="AQ24" i="2" s="1"/>
  <c r="AK25" i="2"/>
  <c r="N27" i="2"/>
  <c r="F23" i="2"/>
  <c r="AK27" i="2"/>
  <c r="L27" i="2"/>
  <c r="G27" i="2"/>
  <c r="F27" i="2"/>
  <c r="AK10" i="2"/>
  <c r="AK8" i="2"/>
  <c r="AK16" i="2"/>
  <c r="AK18" i="2"/>
  <c r="AK13" i="2"/>
  <c r="AK9" i="2"/>
  <c r="AK21" i="2"/>
  <c r="AK23" i="2"/>
  <c r="AK14" i="2"/>
  <c r="AK12" i="2"/>
  <c r="AK20" i="2"/>
  <c r="AK17" i="2"/>
  <c r="AK19" i="2"/>
  <c r="AK15" i="2"/>
  <c r="AK7" i="2"/>
  <c r="AK11" i="2"/>
  <c r="AK22" i="2"/>
  <c r="AK26" i="2"/>
  <c r="X21" i="2" l="1"/>
  <c r="V17" i="2"/>
  <c r="X7" i="2"/>
  <c r="X20" i="2"/>
  <c r="X11" i="2"/>
  <c r="X15" i="2"/>
  <c r="V8" i="2"/>
  <c r="V10" i="2"/>
  <c r="V19" i="2"/>
  <c r="V30" i="2"/>
  <c r="U24" i="2"/>
  <c r="V24" i="2" s="1"/>
  <c r="U25" i="2"/>
  <c r="V25" i="2" s="1"/>
  <c r="V36" i="2"/>
  <c r="U33" i="2"/>
  <c r="T29" i="1" s="1"/>
  <c r="X35" i="2"/>
  <c r="V35" i="2"/>
  <c r="V14" i="2"/>
  <c r="U26" i="2"/>
  <c r="U27" i="2" s="1"/>
  <c r="V13" i="2"/>
  <c r="V22" i="2"/>
  <c r="X9" i="2"/>
  <c r="V16" i="2"/>
  <c r="X23" i="2"/>
  <c r="X12" i="2"/>
  <c r="U32" i="2"/>
  <c r="G19" i="1"/>
  <c r="I19" i="1"/>
  <c r="V43" i="2"/>
  <c r="X43" i="2"/>
  <c r="G12" i="1"/>
  <c r="I12" i="1"/>
  <c r="P39" i="2"/>
  <c r="P48" i="2"/>
  <c r="I36" i="1"/>
  <c r="F37" i="1"/>
  <c r="G36" i="1"/>
  <c r="G20" i="1"/>
  <c r="I20" i="1"/>
  <c r="AP16" i="2"/>
  <c r="AQ16" i="2" s="1"/>
  <c r="AL16" i="2"/>
  <c r="AP14" i="2"/>
  <c r="AQ14" i="2" s="1"/>
  <c r="AL14" i="2"/>
  <c r="AP18" i="2"/>
  <c r="AQ18" i="2" s="1"/>
  <c r="AL18" i="2"/>
  <c r="AL8" i="2"/>
  <c r="AP8" i="2"/>
  <c r="AQ8" i="2" s="1"/>
  <c r="AL10" i="2"/>
  <c r="AP10" i="2"/>
  <c r="AQ10" i="2" s="1"/>
  <c r="AP20" i="2"/>
  <c r="AQ20" i="2" s="1"/>
  <c r="AL20" i="2"/>
  <c r="AL12" i="2"/>
  <c r="AP12" i="2"/>
  <c r="AQ12" i="2" s="1"/>
  <c r="AP26" i="2"/>
  <c r="AQ26" i="2" s="1"/>
  <c r="AL26" i="2"/>
  <c r="AP22" i="2"/>
  <c r="AQ22" i="2" s="1"/>
  <c r="AL22" i="2"/>
  <c r="AP7" i="2"/>
  <c r="AQ7" i="2" s="1"/>
  <c r="AL7" i="2"/>
  <c r="AP15" i="2"/>
  <c r="AQ15" i="2" s="1"/>
  <c r="AL15" i="2"/>
  <c r="AL19" i="2"/>
  <c r="AP19" i="2"/>
  <c r="AQ19" i="2" s="1"/>
  <c r="AL23" i="2"/>
  <c r="AP23" i="2"/>
  <c r="AQ23" i="2" s="1"/>
  <c r="AP21" i="2"/>
  <c r="AQ21" i="2" s="1"/>
  <c r="AL21" i="2"/>
  <c r="AL9" i="2"/>
  <c r="AP9" i="2"/>
  <c r="AQ9" i="2" s="1"/>
  <c r="AL13" i="2"/>
  <c r="AP13" i="2"/>
  <c r="AQ13" i="2" s="1"/>
  <c r="AL27" i="2"/>
  <c r="AP27" i="2"/>
  <c r="AP11" i="2"/>
  <c r="AQ11" i="2" s="1"/>
  <c r="AL11" i="2"/>
  <c r="AP25" i="2"/>
  <c r="AQ25" i="2" s="1"/>
  <c r="AL25" i="2"/>
  <c r="AL17" i="2"/>
  <c r="AP17" i="2"/>
  <c r="AQ17" i="2" s="1"/>
  <c r="U38" i="38"/>
  <c r="X24" i="2" l="1"/>
  <c r="U60" i="2"/>
  <c r="V60" i="2" s="1"/>
  <c r="V26" i="2"/>
  <c r="X26" i="2"/>
  <c r="X25" i="2"/>
  <c r="V33" i="2"/>
  <c r="X33" i="2"/>
  <c r="U54" i="2"/>
  <c r="T28" i="1"/>
  <c r="V32" i="2"/>
  <c r="X32" i="2"/>
  <c r="V27" i="2"/>
  <c r="X27" i="2"/>
  <c r="V54" i="2"/>
  <c r="W29" i="1"/>
  <c r="U29" i="1"/>
  <c r="G37" i="1"/>
  <c r="I37" i="1"/>
  <c r="U28" i="1"/>
  <c r="W28" i="1"/>
  <c r="V38" i="38"/>
  <c r="X38" i="38"/>
  <c r="Q39" i="2"/>
  <c r="S39" i="2"/>
  <c r="P40" i="2"/>
  <c r="AQ27" i="2"/>
  <c r="AJ34" i="2" s="1"/>
  <c r="S40" i="2" l="1"/>
  <c r="Q40" i="2"/>
  <c r="P41" i="2"/>
  <c r="P44" i="2" l="1"/>
  <c r="G42" i="2"/>
  <c r="S41" i="2"/>
  <c r="Q41" i="2"/>
  <c r="P51" i="2"/>
  <c r="P52" i="2" l="1"/>
  <c r="Q51" i="2"/>
  <c r="S44" i="2"/>
  <c r="Q44" i="2"/>
  <c r="P49" i="2"/>
  <c r="Q52" i="2" l="1"/>
  <c r="Q53" i="2"/>
  <c r="K17" i="38" l="1"/>
  <c r="K19" i="38"/>
  <c r="K15" i="38"/>
  <c r="K23" i="38"/>
  <c r="K20" i="38"/>
  <c r="K21" i="38"/>
  <c r="K16" i="38"/>
  <c r="K13" i="38"/>
  <c r="K22" i="38"/>
  <c r="K14" i="38"/>
  <c r="K9" i="38"/>
  <c r="K8" i="38"/>
  <c r="K18" i="38"/>
  <c r="K30" i="38"/>
  <c r="K12" i="38"/>
  <c r="K29" i="38"/>
  <c r="K11" i="38"/>
  <c r="K28" i="38"/>
  <c r="K10" i="38"/>
  <c r="K7" i="38"/>
  <c r="L7" i="38" l="1"/>
  <c r="N7" i="38"/>
  <c r="K24" i="38"/>
  <c r="N23" i="38"/>
  <c r="L23" i="38"/>
  <c r="L29" i="38"/>
  <c r="N29" i="38"/>
  <c r="N17" i="38"/>
  <c r="L17" i="38"/>
  <c r="L18" i="38"/>
  <c r="N18" i="38"/>
  <c r="N10" i="38"/>
  <c r="L10" i="38"/>
  <c r="L8" i="38"/>
  <c r="N8" i="38"/>
  <c r="L13" i="38"/>
  <c r="N13" i="38"/>
  <c r="K25" i="38"/>
  <c r="N11" i="38"/>
  <c r="L11" i="38"/>
  <c r="L16" i="38"/>
  <c r="N16" i="38"/>
  <c r="L20" i="38"/>
  <c r="N20" i="38"/>
  <c r="L15" i="38"/>
  <c r="N15" i="38"/>
  <c r="L12" i="38"/>
  <c r="N12" i="38"/>
  <c r="L14" i="38"/>
  <c r="N14" i="38"/>
  <c r="L21" i="38"/>
  <c r="N21" i="38"/>
  <c r="L28" i="38"/>
  <c r="K31" i="38"/>
  <c r="N28" i="38"/>
  <c r="N19" i="38"/>
  <c r="K26" i="38"/>
  <c r="L19" i="38"/>
  <c r="N30" i="38"/>
  <c r="L30" i="38"/>
  <c r="L9" i="38"/>
  <c r="N9" i="38"/>
  <c r="L22" i="38"/>
  <c r="N22" i="38"/>
  <c r="K8" i="1"/>
  <c r="K7" i="1"/>
  <c r="P19" i="38"/>
  <c r="P30" i="38"/>
  <c r="S30" i="38" l="1"/>
  <c r="Q30" i="38"/>
  <c r="Q19" i="38"/>
  <c r="S19" i="38"/>
  <c r="L26" i="38"/>
  <c r="F26" i="38"/>
  <c r="N26" i="38"/>
  <c r="L31" i="38"/>
  <c r="N31" i="38"/>
  <c r="F49" i="38"/>
  <c r="G49" i="38"/>
  <c r="N7" i="1"/>
  <c r="L7" i="1"/>
  <c r="L24" i="38"/>
  <c r="K27" i="38"/>
  <c r="F24" i="38"/>
  <c r="N24" i="38"/>
  <c r="N8" i="1"/>
  <c r="L8" i="1"/>
  <c r="L25" i="38"/>
  <c r="F25" i="38"/>
  <c r="N25" i="38"/>
  <c r="P23" i="38"/>
  <c r="P21" i="38"/>
  <c r="K48" i="38"/>
  <c r="P18" i="38"/>
  <c r="P20" i="38"/>
  <c r="P22" i="38"/>
  <c r="S21" i="38" l="1"/>
  <c r="Q21" i="38"/>
  <c r="S20" i="38"/>
  <c r="Q20" i="38"/>
  <c r="S18" i="38"/>
  <c r="Q18" i="38"/>
  <c r="S23" i="38"/>
  <c r="Q23" i="38"/>
  <c r="P26" i="38"/>
  <c r="S22" i="38"/>
  <c r="Q22" i="38"/>
  <c r="K49" i="38"/>
  <c r="G27" i="38"/>
  <c r="F23" i="38"/>
  <c r="L27" i="38"/>
  <c r="N27" i="38"/>
  <c r="F27" i="38"/>
  <c r="U19" i="38"/>
  <c r="U18" i="38"/>
  <c r="U35" i="38"/>
  <c r="U36" i="38"/>
  <c r="U23" i="38"/>
  <c r="U61" i="38" l="1"/>
  <c r="V61" i="38" s="1"/>
  <c r="X35" i="38"/>
  <c r="V35" i="38"/>
  <c r="S26" i="38"/>
  <c r="Q26" i="38"/>
  <c r="V18" i="38"/>
  <c r="X18" i="38"/>
  <c r="U62" i="38"/>
  <c r="V62" i="38" s="1"/>
  <c r="X36" i="38"/>
  <c r="V36" i="38"/>
  <c r="X23" i="38"/>
  <c r="V23" i="38"/>
  <c r="X19" i="38"/>
  <c r="V19" i="38"/>
  <c r="U20" i="38"/>
  <c r="U22" i="38"/>
  <c r="U21" i="38"/>
  <c r="U26" i="38" l="1"/>
  <c r="X26" i="38" s="1"/>
  <c r="X22" i="38"/>
  <c r="V22" i="38"/>
  <c r="V21" i="38"/>
  <c r="X21" i="38"/>
  <c r="V20" i="38"/>
  <c r="X20" i="38"/>
  <c r="V26" i="38" l="1"/>
  <c r="P10" i="38"/>
  <c r="Q10" i="38" l="1"/>
  <c r="S10" i="38"/>
  <c r="P17" i="38" l="1"/>
  <c r="P9" i="38"/>
  <c r="P15" i="38"/>
  <c r="P7" i="38"/>
  <c r="P28" i="38"/>
  <c r="P29" i="38"/>
  <c r="P14" i="38"/>
  <c r="P12" i="38"/>
  <c r="P16" i="38"/>
  <c r="P11" i="38"/>
  <c r="P8" i="38"/>
  <c r="P13" i="38"/>
  <c r="Q12" i="38" l="1"/>
  <c r="S12" i="38"/>
  <c r="S28" i="38"/>
  <c r="Q28" i="38"/>
  <c r="P31" i="38"/>
  <c r="S17" i="38"/>
  <c r="Q17" i="38"/>
  <c r="Q14" i="38"/>
  <c r="S14" i="38"/>
  <c r="Q9" i="38"/>
  <c r="S9" i="38"/>
  <c r="S29" i="38"/>
  <c r="Q29" i="38"/>
  <c r="S8" i="38"/>
  <c r="Q8" i="38"/>
  <c r="Q13" i="38"/>
  <c r="S13" i="38"/>
  <c r="Q16" i="38"/>
  <c r="S16" i="38"/>
  <c r="P43" i="38"/>
  <c r="K33" i="1"/>
  <c r="S15" i="38"/>
  <c r="Q15" i="38"/>
  <c r="P24" i="38"/>
  <c r="Q7" i="38"/>
  <c r="S7" i="38"/>
  <c r="S11" i="38"/>
  <c r="Q11" i="38"/>
  <c r="P25" i="38"/>
  <c r="K10" i="1"/>
  <c r="K9" i="1"/>
  <c r="L9" i="1" l="1"/>
  <c r="N9" i="1"/>
  <c r="Q43" i="38"/>
  <c r="S43" i="38"/>
  <c r="S31" i="38"/>
  <c r="Q31" i="38"/>
  <c r="P27" i="38"/>
  <c r="S24" i="38"/>
  <c r="Q24" i="38"/>
  <c r="S25" i="38"/>
  <c r="Q25" i="38"/>
  <c r="N10" i="1"/>
  <c r="L10" i="1"/>
  <c r="N33" i="1"/>
  <c r="L33" i="1"/>
  <c r="P32" i="38"/>
  <c r="S32" i="38" l="1"/>
  <c r="Q32" i="38"/>
  <c r="Q27" i="38"/>
  <c r="S27" i="38"/>
  <c r="P33" i="38" l="1"/>
  <c r="K11" i="1"/>
  <c r="P48" i="38" l="1"/>
  <c r="P39" i="38"/>
  <c r="L11" i="1"/>
  <c r="N11" i="1"/>
  <c r="K12" i="1"/>
  <c r="Q33" i="38"/>
  <c r="S33" i="38"/>
  <c r="P40" i="38"/>
  <c r="Q40" i="38" l="1"/>
  <c r="S40" i="38"/>
  <c r="P41" i="38"/>
  <c r="S39" i="38"/>
  <c r="Q39" i="38"/>
  <c r="N12" i="1"/>
  <c r="L12" i="1"/>
  <c r="P44" i="38" l="1"/>
  <c r="G42" i="38"/>
  <c r="Q41" i="38"/>
  <c r="S41" i="38"/>
  <c r="P51" i="38"/>
  <c r="K34" i="1"/>
  <c r="K35" i="1" l="1"/>
  <c r="N34" i="1"/>
  <c r="L34" i="1"/>
  <c r="P52" i="38"/>
  <c r="Q51" i="38"/>
  <c r="S44" i="38"/>
  <c r="Q44" i="38"/>
  <c r="P49" i="38"/>
  <c r="Q53" i="38" l="1"/>
  <c r="Q52" i="38"/>
  <c r="L35" i="1"/>
  <c r="N35" i="1"/>
  <c r="K13" i="1" l="1"/>
  <c r="K14" i="1"/>
  <c r="N14" i="1" l="1"/>
  <c r="L14" i="1"/>
  <c r="K18" i="1"/>
  <c r="L13" i="1"/>
  <c r="N13" i="1"/>
  <c r="K17" i="1"/>
  <c r="K15" i="1"/>
  <c r="N15" i="1" l="1"/>
  <c r="L15" i="1"/>
  <c r="K19" i="1"/>
  <c r="K16" i="1"/>
  <c r="L17" i="1"/>
  <c r="N17" i="1"/>
  <c r="K20" i="1"/>
  <c r="N18" i="1"/>
  <c r="L18" i="1"/>
  <c r="L16" i="1" l="1"/>
  <c r="N16" i="1"/>
  <c r="N19" i="1"/>
  <c r="L19" i="1"/>
  <c r="N20" i="1"/>
  <c r="L20" i="1"/>
  <c r="U33" i="38" l="1"/>
  <c r="V33" i="38" l="1"/>
  <c r="X33" i="38"/>
  <c r="U10" i="38" l="1"/>
  <c r="V10" i="38" l="1"/>
  <c r="X10" i="38"/>
  <c r="U7" i="38"/>
  <c r="X7" i="38" l="1"/>
  <c r="V7" i="38"/>
  <c r="U8" i="38" l="1"/>
  <c r="V8" i="38" l="1"/>
  <c r="X8" i="38"/>
  <c r="U9" i="38" l="1"/>
  <c r="V9" i="38" l="1"/>
  <c r="X9" i="38"/>
  <c r="U24" i="38"/>
  <c r="X24" i="38" l="1"/>
  <c r="V24" i="38"/>
  <c r="U17" i="38" l="1"/>
  <c r="V17" i="38" l="1"/>
  <c r="X17" i="38"/>
  <c r="U16" i="38" l="1"/>
  <c r="V16" i="38" l="1"/>
  <c r="X16" i="38"/>
  <c r="U11" i="38" l="1"/>
  <c r="X11" i="38" l="1"/>
  <c r="V11" i="38"/>
  <c r="U15" i="38" l="1"/>
  <c r="U12" i="38"/>
  <c r="U14" i="38"/>
  <c r="V14" i="38" l="1"/>
  <c r="X14" i="38"/>
  <c r="X12" i="38"/>
  <c r="V12" i="38"/>
  <c r="X15" i="38"/>
  <c r="V15" i="38"/>
  <c r="U13" i="38" l="1"/>
  <c r="V13" i="38" l="1"/>
  <c r="X13" i="38"/>
  <c r="U25" i="38"/>
  <c r="X25" i="38" l="1"/>
  <c r="V25" i="38"/>
  <c r="U27" i="38"/>
  <c r="V27" i="38" l="1"/>
  <c r="X27" i="38"/>
  <c r="U32" i="38" l="1"/>
  <c r="V32" i="38" l="1"/>
  <c r="U54" i="38"/>
  <c r="U60" i="38"/>
  <c r="X32" i="38"/>
  <c r="V60" i="38" l="1"/>
  <c r="V54" i="38"/>
  <c r="U30" i="38" l="1"/>
  <c r="V30" i="38" l="1"/>
  <c r="X30" i="38"/>
  <c r="U43" i="38" l="1"/>
  <c r="K36" i="1"/>
  <c r="K37" i="1" l="1"/>
  <c r="N36" i="1"/>
  <c r="L36" i="1"/>
  <c r="V43" i="38"/>
  <c r="X43" i="38"/>
  <c r="L37" i="1" l="1"/>
  <c r="N37" i="1"/>
  <c r="U29" i="38" l="1"/>
  <c r="F22" i="1"/>
  <c r="U29" i="2" l="1"/>
  <c r="U28" i="2"/>
  <c r="I22" i="1"/>
  <c r="G22" i="1"/>
  <c r="F27" i="1"/>
  <c r="V29" i="38"/>
  <c r="X29" i="38"/>
  <c r="U34" i="2"/>
  <c r="F21" i="1"/>
  <c r="X29" i="2"/>
  <c r="V29" i="2"/>
  <c r="U31" i="2"/>
  <c r="V28" i="2"/>
  <c r="X28" i="2"/>
  <c r="K22" i="1"/>
  <c r="U28" i="38"/>
  <c r="U37" i="2" l="1"/>
  <c r="X31" i="2"/>
  <c r="V31" i="2"/>
  <c r="U53" i="2"/>
  <c r="V53" i="2" s="1"/>
  <c r="I21" i="1"/>
  <c r="G21" i="1"/>
  <c r="F25" i="1"/>
  <c r="X34" i="2"/>
  <c r="T30" i="1"/>
  <c r="V34" i="2"/>
  <c r="U52" i="2"/>
  <c r="N22" i="1"/>
  <c r="L22" i="1"/>
  <c r="K27" i="1"/>
  <c r="U34" i="38"/>
  <c r="K21" i="1"/>
  <c r="V28" i="38"/>
  <c r="X28" i="38"/>
  <c r="U31" i="38"/>
  <c r="X37" i="2"/>
  <c r="U63" i="2"/>
  <c r="V37" i="2"/>
  <c r="I27" i="1"/>
  <c r="G27" i="1"/>
  <c r="U37" i="38"/>
  <c r="F23" i="1"/>
  <c r="G23" i="1" l="1"/>
  <c r="I23" i="1"/>
  <c r="F28" i="1"/>
  <c r="F29" i="1" s="1"/>
  <c r="W52" i="2"/>
  <c r="V52" i="2"/>
  <c r="U30" i="1"/>
  <c r="W30" i="1"/>
  <c r="N27" i="1"/>
  <c r="L27" i="1"/>
  <c r="G25" i="1"/>
  <c r="I25" i="1"/>
  <c r="F26" i="1"/>
  <c r="N21" i="1"/>
  <c r="L21" i="1"/>
  <c r="K25" i="1"/>
  <c r="F24" i="1"/>
  <c r="V63" i="2"/>
  <c r="U63" i="38"/>
  <c r="V37" i="38"/>
  <c r="X37" i="38"/>
  <c r="V34" i="38"/>
  <c r="X34" i="38"/>
  <c r="U52" i="38"/>
  <c r="U53" i="38"/>
  <c r="V53" i="38" s="1"/>
  <c r="X31" i="38"/>
  <c r="V31" i="38"/>
  <c r="G26" i="1" l="1"/>
  <c r="I26" i="1"/>
  <c r="G24" i="1"/>
  <c r="I24" i="1"/>
  <c r="F30" i="1"/>
  <c r="I29" i="1"/>
  <c r="G29" i="1"/>
  <c r="L25" i="1"/>
  <c r="K26" i="1"/>
  <c r="N25" i="1"/>
  <c r="F39" i="1"/>
  <c r="F40" i="1" s="1"/>
  <c r="U48" i="2"/>
  <c r="U39" i="2"/>
  <c r="I28" i="1"/>
  <c r="G28" i="1"/>
  <c r="K23" i="1"/>
  <c r="V63" i="38"/>
  <c r="V52" i="38"/>
  <c r="W52" i="38"/>
  <c r="U55" i="2" l="1"/>
  <c r="K39" i="1"/>
  <c r="U48" i="38"/>
  <c r="U39" i="38"/>
  <c r="N26" i="1"/>
  <c r="L26" i="1"/>
  <c r="N23" i="1"/>
  <c r="L23" i="1"/>
  <c r="K28" i="1"/>
  <c r="K24" i="1"/>
  <c r="G30" i="1"/>
  <c r="I30" i="1"/>
  <c r="U64" i="2"/>
  <c r="V39" i="2"/>
  <c r="X39" i="2"/>
  <c r="U40" i="2"/>
  <c r="U68" i="2"/>
  <c r="V68" i="2" s="1"/>
  <c r="L24" i="1" l="1"/>
  <c r="N24" i="1"/>
  <c r="V64" i="2"/>
  <c r="V65" i="2" s="1"/>
  <c r="U65" i="2"/>
  <c r="U64" i="38"/>
  <c r="X39" i="38"/>
  <c r="V39" i="38"/>
  <c r="U68" i="38"/>
  <c r="V68" i="38" s="1"/>
  <c r="U40" i="38"/>
  <c r="X40" i="2"/>
  <c r="T32" i="1"/>
  <c r="V40" i="2"/>
  <c r="U41" i="2"/>
  <c r="N28" i="1"/>
  <c r="L28" i="1"/>
  <c r="K29" i="1"/>
  <c r="U55" i="38"/>
  <c r="V55" i="2"/>
  <c r="V56" i="2" s="1"/>
  <c r="U56" i="2"/>
  <c r="U57" i="2"/>
  <c r="V57" i="2" s="1"/>
  <c r="V55" i="38" l="1"/>
  <c r="V56" i="38" s="1"/>
  <c r="U56" i="38"/>
  <c r="U57" i="38"/>
  <c r="V57" i="38" s="1"/>
  <c r="U44" i="2"/>
  <c r="X41" i="2"/>
  <c r="V41" i="2"/>
  <c r="U70" i="2"/>
  <c r="U71" i="2" s="1"/>
  <c r="V71" i="2" s="1"/>
  <c r="K30" i="1"/>
  <c r="N29" i="1"/>
  <c r="K40" i="1"/>
  <c r="L29" i="1"/>
  <c r="V64" i="38"/>
  <c r="V65" i="38" s="1"/>
  <c r="U65" i="38"/>
  <c r="T31" i="1"/>
  <c r="U32" i="1"/>
  <c r="W32" i="1"/>
  <c r="V40" i="38"/>
  <c r="X40" i="38"/>
  <c r="U41" i="38"/>
  <c r="W31" i="1" l="1"/>
  <c r="U31" i="1"/>
  <c r="L30" i="1"/>
  <c r="N30" i="1"/>
  <c r="X41" i="38"/>
  <c r="U70" i="38"/>
  <c r="U71" i="38" s="1"/>
  <c r="V71" i="38" s="1"/>
  <c r="V41" i="38"/>
  <c r="U44" i="38"/>
  <c r="X44" i="2"/>
  <c r="V44" i="2"/>
  <c r="U49" i="2"/>
  <c r="V44" i="38" l="1"/>
  <c r="X44" i="38"/>
  <c r="U49" i="38"/>
  <c r="T28" i="25" l="1"/>
  <c r="V28" i="25" s="1"/>
  <c r="Q28" i="27"/>
  <c r="N28" i="27"/>
  <c r="K28" i="27"/>
  <c r="H28" i="27"/>
  <c r="E28" i="27"/>
  <c r="Q25" i="27"/>
  <c r="H25" i="27"/>
  <c r="T26" i="25"/>
  <c r="V26" i="25" s="1"/>
  <c r="T26" i="27"/>
  <c r="K26" i="27"/>
  <c r="H26" i="27"/>
  <c r="N27" i="27"/>
  <c r="H27" i="27"/>
  <c r="Q24" i="27"/>
  <c r="N24" i="27"/>
  <c r="K24" i="27"/>
  <c r="E24" i="27"/>
  <c r="N24" i="28"/>
  <c r="N23" i="27"/>
  <c r="H23" i="27"/>
  <c r="H22" i="27"/>
  <c r="N21" i="27"/>
  <c r="H21" i="27"/>
  <c r="N21" i="26"/>
  <c r="T20" i="25"/>
  <c r="V20" i="25" s="1"/>
  <c r="T19" i="27"/>
  <c r="N19" i="27"/>
  <c r="T17" i="25"/>
  <c r="V17" i="25" s="1"/>
  <c r="H15" i="27"/>
  <c r="Q14" i="27"/>
  <c r="N14" i="27"/>
  <c r="K14" i="27"/>
  <c r="H14" i="27"/>
  <c r="E14" i="27"/>
  <c r="E13" i="27"/>
  <c r="T12" i="27"/>
  <c r="H12" i="27"/>
  <c r="T21" i="27" l="1"/>
  <c r="N22" i="27"/>
  <c r="T14" i="25"/>
  <c r="V14" i="25" s="1"/>
  <c r="K17" i="27"/>
  <c r="K20" i="27"/>
  <c r="T13" i="25"/>
  <c r="V13" i="25" s="1"/>
  <c r="K15" i="27"/>
  <c r="E12" i="27"/>
  <c r="Q13" i="27"/>
  <c r="T14" i="27"/>
  <c r="K19" i="27"/>
  <c r="T23" i="27"/>
  <c r="Q12" i="27"/>
  <c r="T27" i="25"/>
  <c r="V27" i="25" s="1"/>
  <c r="T22" i="27"/>
  <c r="E25" i="27"/>
  <c r="H10" i="27"/>
  <c r="E21" i="27"/>
  <c r="E11" i="27"/>
  <c r="Q11" i="27"/>
  <c r="N12" i="27"/>
  <c r="E18" i="27"/>
  <c r="E17" i="27"/>
  <c r="H18" i="27"/>
  <c r="K22" i="27"/>
  <c r="Q18" i="27"/>
  <c r="T19" i="25"/>
  <c r="V19" i="25" s="1"/>
  <c r="Q21" i="27"/>
  <c r="T27" i="27"/>
  <c r="T15" i="25"/>
  <c r="V15" i="25" s="1"/>
  <c r="Q19" i="27"/>
  <c r="T17" i="27"/>
  <c r="K27" i="27"/>
  <c r="T18" i="28"/>
  <c r="E18" i="28"/>
  <c r="Q18" i="28"/>
  <c r="N18" i="28"/>
  <c r="Q19" i="28"/>
  <c r="N19" i="28"/>
  <c r="T19" i="28"/>
  <c r="T10" i="25"/>
  <c r="V10" i="25" s="1"/>
  <c r="H16" i="27"/>
  <c r="T28" i="27"/>
  <c r="K25" i="27"/>
  <c r="T25" i="27"/>
  <c r="E23" i="27"/>
  <c r="H20" i="27"/>
  <c r="Q16" i="27"/>
  <c r="H17" i="27"/>
  <c r="T16" i="25"/>
  <c r="V16" i="25" s="1"/>
  <c r="Q20" i="27"/>
  <c r="E13" i="28"/>
  <c r="K16" i="27"/>
  <c r="T22" i="25"/>
  <c r="V22" i="25" s="1"/>
  <c r="T18" i="25"/>
  <c r="V18" i="25" s="1"/>
  <c r="K13" i="26"/>
  <c r="T12" i="25"/>
  <c r="V12" i="25" s="1"/>
  <c r="T25" i="25"/>
  <c r="V25" i="25" s="1"/>
  <c r="T18" i="27"/>
  <c r="T24" i="25"/>
  <c r="V24" i="25" s="1"/>
  <c r="H13" i="27"/>
  <c r="N20" i="27"/>
  <c r="K21" i="27"/>
  <c r="K23" i="27"/>
  <c r="H24" i="27"/>
  <c r="Q27" i="27"/>
  <c r="N26" i="27"/>
  <c r="K9" i="27"/>
  <c r="E16" i="27"/>
  <c r="N18" i="27"/>
  <c r="E15" i="27"/>
  <c r="K12" i="27"/>
  <c r="N17" i="27"/>
  <c r="E20" i="27"/>
  <c r="N13" i="27"/>
  <c r="T24" i="27"/>
  <c r="Q15" i="27"/>
  <c r="H22" i="25"/>
  <c r="J22" i="25" s="1"/>
  <c r="Q13" i="28"/>
  <c r="T13" i="28"/>
  <c r="N13" i="26"/>
  <c r="K13" i="27"/>
  <c r="N13" i="28"/>
  <c r="H19" i="27"/>
  <c r="T13" i="27"/>
  <c r="H16" i="25"/>
  <c r="J16" i="25" s="1"/>
  <c r="N15" i="27"/>
  <c r="Q17" i="27"/>
  <c r="Q21" i="28"/>
  <c r="E21" i="28"/>
  <c r="N21" i="28"/>
  <c r="K18" i="27"/>
  <c r="T21" i="28"/>
  <c r="T15" i="27"/>
  <c r="N18" i="26"/>
  <c r="K18" i="26"/>
  <c r="N16" i="27"/>
  <c r="N19" i="26"/>
  <c r="K19" i="26"/>
  <c r="E19" i="28"/>
  <c r="T16" i="27"/>
  <c r="K21" i="26"/>
  <c r="H23" i="25"/>
  <c r="J23" i="25" s="1"/>
  <c r="Q22" i="27"/>
  <c r="E19" i="27"/>
  <c r="T21" i="25"/>
  <c r="V21" i="25" s="1"/>
  <c r="N25" i="27"/>
  <c r="E27" i="27"/>
  <c r="H25" i="25"/>
  <c r="J25" i="25" s="1"/>
  <c r="T20" i="27"/>
  <c r="E22" i="27"/>
  <c r="N27" i="28"/>
  <c r="E27" i="28"/>
  <c r="T27" i="28"/>
  <c r="N27" i="26"/>
  <c r="Q27" i="28"/>
  <c r="K27" i="26"/>
  <c r="Q23" i="27"/>
  <c r="E24" i="28"/>
  <c r="Q24" i="28"/>
  <c r="T24" i="28"/>
  <c r="N24" i="26"/>
  <c r="E26" i="27"/>
  <c r="K24" i="26"/>
  <c r="T23" i="25"/>
  <c r="V23" i="25" s="1"/>
  <c r="Q26" i="27"/>
  <c r="W15" i="25"/>
  <c r="E22" i="26" l="1"/>
  <c r="G22" i="26" s="1"/>
  <c r="Y17" i="2"/>
  <c r="L22" i="25"/>
  <c r="N22" i="25" s="1"/>
  <c r="Y11" i="2"/>
  <c r="E16" i="26"/>
  <c r="G16" i="26" s="1"/>
  <c r="L16" i="25"/>
  <c r="N16" i="25" s="1"/>
  <c r="K27" i="28"/>
  <c r="E25" i="26"/>
  <c r="G25" i="26" s="1"/>
  <c r="Y20" i="2"/>
  <c r="L25" i="25"/>
  <c r="N25" i="25" s="1"/>
  <c r="Y18" i="2"/>
  <c r="L23" i="25"/>
  <c r="N23" i="25" s="1"/>
  <c r="E23" i="26"/>
  <c r="G23" i="26" s="1"/>
  <c r="T11" i="28"/>
  <c r="H27" i="25"/>
  <c r="J27" i="25" s="1"/>
  <c r="H13" i="25"/>
  <c r="J13" i="25" s="1"/>
  <c r="H18" i="25"/>
  <c r="J18" i="25" s="1"/>
  <c r="T11" i="25"/>
  <c r="V11" i="25" s="1"/>
  <c r="H8" i="27"/>
  <c r="E23" i="28"/>
  <c r="E8" i="28"/>
  <c r="Q11" i="28"/>
  <c r="Q8" i="28"/>
  <c r="K11" i="27"/>
  <c r="Q23" i="28"/>
  <c r="N23" i="26"/>
  <c r="N23" i="28"/>
  <c r="T23" i="28"/>
  <c r="K23" i="26"/>
  <c r="E10" i="28"/>
  <c r="N10" i="28"/>
  <c r="S15" i="25"/>
  <c r="S25" i="25"/>
  <c r="T8" i="28"/>
  <c r="S27" i="25"/>
  <c r="S26" i="25"/>
  <c r="T10" i="28"/>
  <c r="S23" i="25"/>
  <c r="K10" i="27"/>
  <c r="K8" i="26"/>
  <c r="O20" i="26"/>
  <c r="W12" i="25"/>
  <c r="H11" i="27"/>
  <c r="O21" i="26"/>
  <c r="P21" i="26" s="1"/>
  <c r="L26" i="26"/>
  <c r="O26" i="26"/>
  <c r="E11" i="28"/>
  <c r="N11" i="26"/>
  <c r="W18" i="25"/>
  <c r="N10" i="27"/>
  <c r="N11" i="28"/>
  <c r="Q8" i="27"/>
  <c r="K8" i="27"/>
  <c r="T8" i="25"/>
  <c r="V8" i="25" s="1"/>
  <c r="K10" i="26"/>
  <c r="Q10" i="28"/>
  <c r="W25" i="25"/>
  <c r="N10" i="26"/>
  <c r="O15" i="26"/>
  <c r="S28" i="25"/>
  <c r="K11" i="26"/>
  <c r="N9" i="27"/>
  <c r="T10" i="27"/>
  <c r="W27" i="25"/>
  <c r="H19" i="25"/>
  <c r="J19" i="25" s="1"/>
  <c r="W23" i="25"/>
  <c r="S18" i="25"/>
  <c r="H13" i="28"/>
  <c r="W13" i="25"/>
  <c r="N11" i="27"/>
  <c r="S19" i="25"/>
  <c r="T9" i="25"/>
  <c r="V9" i="25" s="1"/>
  <c r="Q9" i="27"/>
  <c r="S22" i="25"/>
  <c r="S16" i="25"/>
  <c r="W19" i="25"/>
  <c r="H9" i="27"/>
  <c r="Q10" i="27"/>
  <c r="S13" i="25"/>
  <c r="W28" i="25"/>
  <c r="T25" i="28"/>
  <c r="N25" i="28"/>
  <c r="N25" i="26"/>
  <c r="Q25" i="28"/>
  <c r="E25" i="28"/>
  <c r="W16" i="25"/>
  <c r="W17" i="25"/>
  <c r="K25" i="26"/>
  <c r="M25" i="26" s="1"/>
  <c r="W20" i="25"/>
  <c r="N8" i="28"/>
  <c r="S14" i="25"/>
  <c r="N8" i="27"/>
  <c r="O19" i="26"/>
  <c r="P19" i="26" s="1"/>
  <c r="L15" i="26"/>
  <c r="L20" i="26"/>
  <c r="L19" i="26"/>
  <c r="M19" i="26" s="1"/>
  <c r="K16" i="26"/>
  <c r="N16" i="28"/>
  <c r="N16" i="26"/>
  <c r="Q16" i="28"/>
  <c r="T16" i="28"/>
  <c r="E16" i="28"/>
  <c r="H24" i="25"/>
  <c r="J24" i="25" s="1"/>
  <c r="S24" i="25"/>
  <c r="S21" i="25"/>
  <c r="H21" i="25"/>
  <c r="J21" i="25" s="1"/>
  <c r="W14" i="25"/>
  <c r="H24" i="28"/>
  <c r="N8" i="26"/>
  <c r="N20" i="28"/>
  <c r="N20" i="26"/>
  <c r="P20" i="26" s="1"/>
  <c r="Q20" i="28"/>
  <c r="K20" i="26"/>
  <c r="T20" i="28"/>
  <c r="E20" i="28"/>
  <c r="N9" i="26"/>
  <c r="Q9" i="28"/>
  <c r="K9" i="26"/>
  <c r="E9" i="28"/>
  <c r="T9" i="28"/>
  <c r="N9" i="28"/>
  <c r="H15" i="25"/>
  <c r="J15" i="25" s="1"/>
  <c r="H27" i="28"/>
  <c r="H21" i="28"/>
  <c r="H20" i="25"/>
  <c r="J20" i="25" s="1"/>
  <c r="S20" i="25"/>
  <c r="K12" i="26"/>
  <c r="M12" i="26" s="1"/>
  <c r="T12" i="28"/>
  <c r="N12" i="26"/>
  <c r="P12" i="26" s="1"/>
  <c r="Q12" i="28"/>
  <c r="N12" i="28"/>
  <c r="E12" i="28"/>
  <c r="N15" i="26"/>
  <c r="N15" i="28"/>
  <c r="T15" i="28"/>
  <c r="E15" i="28"/>
  <c r="K15" i="26"/>
  <c r="Q15" i="28"/>
  <c r="H28" i="25"/>
  <c r="J28" i="25" s="1"/>
  <c r="K18" i="28"/>
  <c r="H17" i="25"/>
  <c r="J17" i="25" s="1"/>
  <c r="S17" i="25"/>
  <c r="T9" i="27"/>
  <c r="W24" i="25"/>
  <c r="E28" i="28"/>
  <c r="Q28" i="28"/>
  <c r="N28" i="28"/>
  <c r="N28" i="26"/>
  <c r="K28" i="26"/>
  <c r="T28" i="28"/>
  <c r="H14" i="25"/>
  <c r="J14" i="25" s="1"/>
  <c r="Q17" i="28"/>
  <c r="T17" i="28"/>
  <c r="K17" i="26"/>
  <c r="N17" i="28"/>
  <c r="N17" i="26"/>
  <c r="E17" i="28"/>
  <c r="W21" i="25"/>
  <c r="N26" i="26"/>
  <c r="K26" i="26"/>
  <c r="E26" i="28"/>
  <c r="Q26" i="28"/>
  <c r="N26" i="28"/>
  <c r="T26" i="28"/>
  <c r="N14" i="28"/>
  <c r="T14" i="28"/>
  <c r="N14" i="26"/>
  <c r="Q14" i="28"/>
  <c r="K14" i="26"/>
  <c r="M14" i="26" s="1"/>
  <c r="E14" i="28"/>
  <c r="N22" i="26"/>
  <c r="K22" i="26"/>
  <c r="E22" i="28"/>
  <c r="Q22" i="28"/>
  <c r="N22" i="28"/>
  <c r="T22" i="28"/>
  <c r="H26" i="25"/>
  <c r="J26" i="25" s="1"/>
  <c r="E10" i="27"/>
  <c r="E9" i="27"/>
  <c r="H12" i="25"/>
  <c r="J12" i="25" s="1"/>
  <c r="S12" i="25"/>
  <c r="H19" i="28"/>
  <c r="E8" i="27"/>
  <c r="T11" i="27"/>
  <c r="T8" i="27"/>
  <c r="O16" i="25"/>
  <c r="W22" i="25"/>
  <c r="L21" i="26"/>
  <c r="M21" i="26" s="1"/>
  <c r="L23" i="26"/>
  <c r="L27" i="26"/>
  <c r="M27" i="26" s="1"/>
  <c r="O23" i="26"/>
  <c r="L22" i="26"/>
  <c r="O22" i="26"/>
  <c r="O27" i="26"/>
  <c r="P27" i="26" s="1"/>
  <c r="O28" i="26"/>
  <c r="L28" i="26"/>
  <c r="O16" i="26"/>
  <c r="L16" i="26"/>
  <c r="O13" i="26"/>
  <c r="P13" i="26" s="1"/>
  <c r="L13" i="26"/>
  <c r="M13" i="26" s="1"/>
  <c r="L14" i="26"/>
  <c r="O14" i="26"/>
  <c r="O12" i="26"/>
  <c r="L12" i="26"/>
  <c r="O25" i="26"/>
  <c r="L25" i="26"/>
  <c r="O24" i="26"/>
  <c r="P24" i="26" s="1"/>
  <c r="L24" i="26"/>
  <c r="M24" i="26" s="1"/>
  <c r="W26" i="25"/>
  <c r="O23" i="25"/>
  <c r="O18" i="26"/>
  <c r="P18" i="26" s="1"/>
  <c r="L18" i="26"/>
  <c r="M18" i="26" s="1"/>
  <c r="O25" i="25"/>
  <c r="O17" i="26"/>
  <c r="L17" i="26"/>
  <c r="O22" i="25"/>
  <c r="M22" i="26" l="1"/>
  <c r="P15" i="26"/>
  <c r="M17" i="26"/>
  <c r="M20" i="26"/>
  <c r="P28" i="26"/>
  <c r="P23" i="26"/>
  <c r="P26" i="26"/>
  <c r="M15" i="26"/>
  <c r="M16" i="26"/>
  <c r="M26" i="26"/>
  <c r="M28" i="26"/>
  <c r="P16" i="26"/>
  <c r="M23" i="26"/>
  <c r="P22" i="26"/>
  <c r="P17" i="26"/>
  <c r="P25" i="26"/>
  <c r="P14" i="26"/>
  <c r="Y23" i="2"/>
  <c r="L28" i="25"/>
  <c r="N28" i="25" s="1"/>
  <c r="E28" i="26"/>
  <c r="G28" i="26" s="1"/>
  <c r="K19" i="28"/>
  <c r="Y21" i="2"/>
  <c r="L26" i="25"/>
  <c r="N26" i="25" s="1"/>
  <c r="E26" i="26"/>
  <c r="G26" i="26" s="1"/>
  <c r="K11" i="28"/>
  <c r="K17" i="28"/>
  <c r="L17" i="25"/>
  <c r="N17" i="25" s="1"/>
  <c r="E17" i="26"/>
  <c r="G17" i="26" s="1"/>
  <c r="Y12" i="2"/>
  <c r="E18" i="26"/>
  <c r="Y13" i="2"/>
  <c r="L18" i="25"/>
  <c r="N18" i="25" s="1"/>
  <c r="AM18" i="2"/>
  <c r="K15" i="28"/>
  <c r="Y16" i="2"/>
  <c r="L21" i="25"/>
  <c r="N21" i="25" s="1"/>
  <c r="E21" i="26"/>
  <c r="E20" i="26"/>
  <c r="G20" i="26" s="1"/>
  <c r="L20" i="25"/>
  <c r="N20" i="25" s="1"/>
  <c r="Y15" i="2"/>
  <c r="Y7" i="2"/>
  <c r="E12" i="26"/>
  <c r="G12" i="26" s="1"/>
  <c r="L12" i="25"/>
  <c r="N12" i="25" s="1"/>
  <c r="K24" i="28"/>
  <c r="L19" i="25"/>
  <c r="N19" i="25" s="1"/>
  <c r="E19" i="26"/>
  <c r="Y14" i="2"/>
  <c r="K14" i="28"/>
  <c r="AM11" i="2"/>
  <c r="K20" i="28"/>
  <c r="K12" i="28"/>
  <c r="K16" i="28"/>
  <c r="AM17" i="2"/>
  <c r="L27" i="25"/>
  <c r="N27" i="25" s="1"/>
  <c r="E27" i="26"/>
  <c r="Y22" i="2"/>
  <c r="K21" i="28"/>
  <c r="E15" i="26"/>
  <c r="G15" i="26" s="1"/>
  <c r="Y10" i="2"/>
  <c r="L15" i="25"/>
  <c r="N15" i="25" s="1"/>
  <c r="AM20" i="2"/>
  <c r="H18" i="28"/>
  <c r="L24" i="25"/>
  <c r="N24" i="25" s="1"/>
  <c r="E24" i="26"/>
  <c r="G24" i="26" s="1"/>
  <c r="Y19" i="2"/>
  <c r="K13" i="28"/>
  <c r="K16" i="25"/>
  <c r="S8" i="25"/>
  <c r="H8" i="25"/>
  <c r="J8" i="25" s="1"/>
  <c r="K22" i="25"/>
  <c r="W10" i="25"/>
  <c r="H24" i="26"/>
  <c r="O15" i="25"/>
  <c r="O27" i="25"/>
  <c r="H23" i="28"/>
  <c r="O20" i="25"/>
  <c r="O24" i="25"/>
  <c r="H10" i="28"/>
  <c r="H19" i="26"/>
  <c r="W9" i="25"/>
  <c r="K25" i="25"/>
  <c r="O26" i="25"/>
  <c r="H18" i="26"/>
  <c r="O12" i="25"/>
  <c r="W11" i="25"/>
  <c r="H11" i="28"/>
  <c r="W8" i="25"/>
  <c r="O21" i="25"/>
  <c r="H12" i="28"/>
  <c r="H13" i="26"/>
  <c r="H25" i="28"/>
  <c r="O18" i="25"/>
  <c r="O28" i="25"/>
  <c r="K23" i="25"/>
  <c r="H21" i="26"/>
  <c r="H27" i="26"/>
  <c r="O13" i="25"/>
  <c r="H9" i="28"/>
  <c r="O11" i="26"/>
  <c r="P11" i="26" s="1"/>
  <c r="L11" i="26"/>
  <c r="M11" i="26" s="1"/>
  <c r="H16" i="28"/>
  <c r="H17" i="28"/>
  <c r="S10" i="25"/>
  <c r="S14" i="1"/>
  <c r="U14" i="1" s="1"/>
  <c r="S9" i="25"/>
  <c r="H22" i="28"/>
  <c r="O14" i="25"/>
  <c r="H20" i="28"/>
  <c r="H26" i="28"/>
  <c r="H28" i="28"/>
  <c r="K8" i="28"/>
  <c r="S11" i="25"/>
  <c r="S15" i="1"/>
  <c r="U15" i="1" s="1"/>
  <c r="S13" i="1"/>
  <c r="U13" i="1" s="1"/>
  <c r="O17" i="25"/>
  <c r="H14" i="28"/>
  <c r="H15" i="28"/>
  <c r="S16" i="1"/>
  <c r="U16" i="1" s="1"/>
  <c r="O10" i="26"/>
  <c r="P10" i="26" s="1"/>
  <c r="L10" i="26"/>
  <c r="M10" i="26" s="1"/>
  <c r="O9" i="26"/>
  <c r="P9" i="26" s="1"/>
  <c r="L9" i="26"/>
  <c r="M9" i="26" s="1"/>
  <c r="O8" i="26"/>
  <c r="P8" i="26" s="1"/>
  <c r="L8" i="26"/>
  <c r="M8" i="26" s="1"/>
  <c r="E13" i="26" l="1"/>
  <c r="Y8" i="2"/>
  <c r="L13" i="25"/>
  <c r="N13" i="25" s="1"/>
  <c r="K25" i="28"/>
  <c r="K9" i="28"/>
  <c r="AM15" i="2"/>
  <c r="L14" i="25"/>
  <c r="N14" i="25" s="1"/>
  <c r="Y9" i="2"/>
  <c r="E14" i="26"/>
  <c r="E17" i="25"/>
  <c r="G17" i="25" s="1"/>
  <c r="J13" i="37"/>
  <c r="L13" i="37" s="1"/>
  <c r="H10" i="25"/>
  <c r="J10" i="25" s="1"/>
  <c r="S10" i="1"/>
  <c r="U10" i="1" s="1"/>
  <c r="AM14" i="2"/>
  <c r="K23" i="28"/>
  <c r="AM19" i="2"/>
  <c r="G21" i="26"/>
  <c r="E23" i="25"/>
  <c r="G23" i="25" s="1"/>
  <c r="Y23" i="25" s="1"/>
  <c r="Z23" i="25" s="1"/>
  <c r="J19" i="37"/>
  <c r="L19" i="37" s="1"/>
  <c r="AM16" i="2"/>
  <c r="G19" i="26"/>
  <c r="Q24" i="26"/>
  <c r="K26" i="28"/>
  <c r="E22" i="25"/>
  <c r="G22" i="25" s="1"/>
  <c r="Y22" i="25" s="1"/>
  <c r="Z22" i="25" s="1"/>
  <c r="J18" i="37"/>
  <c r="L18" i="37" s="1"/>
  <c r="E15" i="25"/>
  <c r="G15" i="25" s="1"/>
  <c r="J11" i="37"/>
  <c r="L11" i="37" s="1"/>
  <c r="AM22" i="2"/>
  <c r="K22" i="28"/>
  <c r="G27" i="26"/>
  <c r="AM13" i="2"/>
  <c r="Q19" i="26"/>
  <c r="T19" i="26" s="1"/>
  <c r="AM10" i="2"/>
  <c r="G18" i="26"/>
  <c r="AM23" i="2"/>
  <c r="Q18" i="26"/>
  <c r="T18" i="26" s="1"/>
  <c r="E18" i="25"/>
  <c r="G18" i="25" s="1"/>
  <c r="J14" i="37"/>
  <c r="L14" i="37" s="1"/>
  <c r="H8" i="28"/>
  <c r="AM21" i="2"/>
  <c r="E19" i="25"/>
  <c r="G19" i="25" s="1"/>
  <c r="J15" i="37"/>
  <c r="L15" i="37" s="1"/>
  <c r="Q21" i="26"/>
  <c r="T21" i="26" s="1"/>
  <c r="K10" i="28"/>
  <c r="S11" i="1"/>
  <c r="U11" i="1" s="1"/>
  <c r="H11" i="25"/>
  <c r="J11" i="25" s="1"/>
  <c r="Q27" i="26"/>
  <c r="Q13" i="26"/>
  <c r="S9" i="1"/>
  <c r="H9" i="25"/>
  <c r="J9" i="25" s="1"/>
  <c r="AM7" i="2"/>
  <c r="AM12" i="2"/>
  <c r="K28" i="28"/>
  <c r="P24" i="25"/>
  <c r="P27" i="25"/>
  <c r="H23" i="26"/>
  <c r="H11" i="26"/>
  <c r="P21" i="25"/>
  <c r="H10" i="26"/>
  <c r="H8" i="26"/>
  <c r="K14" i="25"/>
  <c r="K27" i="25"/>
  <c r="K18" i="25"/>
  <c r="P13" i="25"/>
  <c r="H20" i="26"/>
  <c r="P18" i="25"/>
  <c r="K19" i="25"/>
  <c r="H15" i="26"/>
  <c r="H25" i="26"/>
  <c r="K15" i="25"/>
  <c r="K13" i="25"/>
  <c r="H26" i="26"/>
  <c r="K21" i="25"/>
  <c r="K12" i="25"/>
  <c r="K17" i="25"/>
  <c r="H22" i="26"/>
  <c r="H14" i="26"/>
  <c r="K28" i="25"/>
  <c r="K20" i="25"/>
  <c r="H17" i="26"/>
  <c r="H16" i="26"/>
  <c r="H12" i="26"/>
  <c r="K24" i="25"/>
  <c r="H9" i="26"/>
  <c r="O18" i="37"/>
  <c r="Q18" i="37" s="1"/>
  <c r="O13" i="37"/>
  <c r="Q13" i="37" s="1"/>
  <c r="K26" i="25"/>
  <c r="O14" i="37"/>
  <c r="Q14" i="37" s="1"/>
  <c r="O11" i="37"/>
  <c r="Q11" i="37" s="1"/>
  <c r="H28" i="26"/>
  <c r="O15" i="37"/>
  <c r="Q15" i="37" s="1"/>
  <c r="O19" i="37"/>
  <c r="Q19" i="37" s="1"/>
  <c r="Y17" i="25" l="1"/>
  <c r="Z17" i="25" s="1"/>
  <c r="Q26" i="26"/>
  <c r="G14" i="26"/>
  <c r="Q11" i="26"/>
  <c r="E28" i="25"/>
  <c r="G28" i="25" s="1"/>
  <c r="Y28" i="25" s="1"/>
  <c r="Z28" i="25" s="1"/>
  <c r="J24" i="37"/>
  <c r="L24" i="37" s="1"/>
  <c r="Y26" i="2"/>
  <c r="L11" i="25"/>
  <c r="N11" i="25" s="1"/>
  <c r="E11" i="26"/>
  <c r="Q8" i="26"/>
  <c r="AM9" i="2"/>
  <c r="S12" i="1"/>
  <c r="U12" i="1" s="1"/>
  <c r="U9" i="1"/>
  <c r="AB16" i="2"/>
  <c r="AE16" i="2" s="1"/>
  <c r="Q20" i="26"/>
  <c r="E14" i="25"/>
  <c r="G14" i="25" s="1"/>
  <c r="Y14" i="25" s="1"/>
  <c r="Z14" i="25" s="1"/>
  <c r="J10" i="37"/>
  <c r="L10" i="37" s="1"/>
  <c r="T27" i="26"/>
  <c r="T24" i="26"/>
  <c r="E16" i="25"/>
  <c r="G16" i="25" s="1"/>
  <c r="Y16" i="25" s="1"/>
  <c r="Z16" i="25" s="1"/>
  <c r="J12" i="37"/>
  <c r="Q16" i="26"/>
  <c r="AB19" i="2"/>
  <c r="AE19" i="2" s="1"/>
  <c r="E8" i="26"/>
  <c r="Y27" i="2"/>
  <c r="L8" i="25"/>
  <c r="N8" i="25" s="1"/>
  <c r="E21" i="25"/>
  <c r="G21" i="25" s="1"/>
  <c r="Y21" i="25" s="1"/>
  <c r="Z21" i="25" s="1"/>
  <c r="J17" i="37"/>
  <c r="L17" i="37" s="1"/>
  <c r="Q23" i="26"/>
  <c r="E25" i="25"/>
  <c r="G25" i="25" s="1"/>
  <c r="Y25" i="25" s="1"/>
  <c r="Z25" i="25" s="1"/>
  <c r="J21" i="37"/>
  <c r="L21" i="37" s="1"/>
  <c r="AB13" i="2"/>
  <c r="AE13" i="2" s="1"/>
  <c r="Y18" i="25"/>
  <c r="Z18" i="25" s="1"/>
  <c r="Y24" i="2"/>
  <c r="E9" i="26"/>
  <c r="L9" i="25"/>
  <c r="N9" i="25" s="1"/>
  <c r="Q14" i="26"/>
  <c r="AB22" i="2"/>
  <c r="AE22" i="2" s="1"/>
  <c r="E12" i="25"/>
  <c r="G12" i="25" s="1"/>
  <c r="Y12" i="25" s="1"/>
  <c r="Z12" i="25" s="1"/>
  <c r="J8" i="37"/>
  <c r="Q17" i="26"/>
  <c r="O19" i="25"/>
  <c r="Y19" i="25" s="1"/>
  <c r="Z19" i="25" s="1"/>
  <c r="Y15" i="25"/>
  <c r="Z15" i="25" s="1"/>
  <c r="AM8" i="2"/>
  <c r="E26" i="25"/>
  <c r="G26" i="25" s="1"/>
  <c r="Y26" i="25" s="1"/>
  <c r="Z26" i="25" s="1"/>
  <c r="J22" i="37"/>
  <c r="L22" i="37" s="1"/>
  <c r="Q10" i="26"/>
  <c r="Q9" i="26"/>
  <c r="Q22" i="26"/>
  <c r="E27" i="25"/>
  <c r="G27" i="25" s="1"/>
  <c r="Y27" i="25" s="1"/>
  <c r="Z27" i="25" s="1"/>
  <c r="J23" i="37"/>
  <c r="L23" i="37" s="1"/>
  <c r="E24" i="25"/>
  <c r="G24" i="25" s="1"/>
  <c r="Y24" i="25" s="1"/>
  <c r="Z24" i="25" s="1"/>
  <c r="J20" i="37"/>
  <c r="AB8" i="2"/>
  <c r="AE8" i="2" s="1"/>
  <c r="T13" i="26"/>
  <c r="G13" i="26"/>
  <c r="E10" i="26"/>
  <c r="L10" i="25"/>
  <c r="N10" i="25" s="1"/>
  <c r="Y25" i="2"/>
  <c r="Q25" i="26"/>
  <c r="AB14" i="2"/>
  <c r="AE14" i="2" s="1"/>
  <c r="Q15" i="26"/>
  <c r="Q28" i="26"/>
  <c r="Q12" i="26"/>
  <c r="E13" i="25"/>
  <c r="G13" i="25" s="1"/>
  <c r="Y13" i="25" s="1"/>
  <c r="Z13" i="25" s="1"/>
  <c r="J9" i="37"/>
  <c r="L9" i="37" s="1"/>
  <c r="O10" i="25"/>
  <c r="O11" i="25"/>
  <c r="O9" i="25"/>
  <c r="O8" i="25"/>
  <c r="P14" i="25"/>
  <c r="P25" i="25"/>
  <c r="O17" i="37"/>
  <c r="Q17" i="37" s="1"/>
  <c r="O8" i="37"/>
  <c r="O10" i="37"/>
  <c r="Q10" i="37" s="1"/>
  <c r="O9" i="37"/>
  <c r="Q9" i="37" s="1"/>
  <c r="O21" i="37"/>
  <c r="Q21" i="37" s="1"/>
  <c r="O20" i="37"/>
  <c r="O12" i="37"/>
  <c r="O24" i="37"/>
  <c r="Q24" i="37" s="1"/>
  <c r="P11" i="25"/>
  <c r="E8" i="25"/>
  <c r="G8" i="25" s="1"/>
  <c r="P23" i="25"/>
  <c r="P10" i="25"/>
  <c r="P20" i="25"/>
  <c r="P19" i="25"/>
  <c r="K8" i="25"/>
  <c r="P15" i="25"/>
  <c r="E9" i="25"/>
  <c r="G9" i="25" s="1"/>
  <c r="O22" i="37"/>
  <c r="Q22" i="37" s="1"/>
  <c r="K11" i="25"/>
  <c r="K10" i="25"/>
  <c r="E11" i="25"/>
  <c r="G11" i="25" s="1"/>
  <c r="E10" i="25"/>
  <c r="G10" i="25" s="1"/>
  <c r="P28" i="25"/>
  <c r="P12" i="25"/>
  <c r="P16" i="25"/>
  <c r="P17" i="25"/>
  <c r="O23" i="37"/>
  <c r="Q23" i="37" s="1"/>
  <c r="K9" i="25"/>
  <c r="P9" i="25"/>
  <c r="Y8" i="25" l="1"/>
  <c r="Z8" i="25" s="1"/>
  <c r="Y10" i="25"/>
  <c r="Z10" i="25" s="1"/>
  <c r="AM27" i="2"/>
  <c r="AF34" i="2" s="1"/>
  <c r="Y9" i="25"/>
  <c r="Z9" i="25" s="1"/>
  <c r="J27" i="37"/>
  <c r="L27" i="37" s="1"/>
  <c r="L20" i="37"/>
  <c r="T8" i="26"/>
  <c r="G8" i="26"/>
  <c r="AB25" i="2"/>
  <c r="AB26" i="2"/>
  <c r="AE26" i="2" s="1"/>
  <c r="AB24" i="2"/>
  <c r="AE24" i="2" s="1"/>
  <c r="AB15" i="2"/>
  <c r="AE15" i="2" s="1"/>
  <c r="AE25" i="2"/>
  <c r="AM25" i="2"/>
  <c r="T9" i="26"/>
  <c r="G9" i="26"/>
  <c r="AM26" i="2"/>
  <c r="T25" i="26"/>
  <c r="Y11" i="25"/>
  <c r="Z11" i="25" s="1"/>
  <c r="AB21" i="2"/>
  <c r="AE21" i="2" s="1"/>
  <c r="E20" i="25"/>
  <c r="G20" i="25" s="1"/>
  <c r="Y20" i="25" s="1"/>
  <c r="Z20" i="25" s="1"/>
  <c r="J16" i="37"/>
  <c r="L16" i="37" s="1"/>
  <c r="T10" i="26"/>
  <c r="G10" i="26"/>
  <c r="T23" i="26"/>
  <c r="T20" i="26"/>
  <c r="T15" i="26"/>
  <c r="AB27" i="2"/>
  <c r="AE27" i="2" s="1"/>
  <c r="Q12" i="37"/>
  <c r="AB17" i="2"/>
  <c r="AE17" i="2" s="1"/>
  <c r="T12" i="26"/>
  <c r="T22" i="26"/>
  <c r="T11" i="26"/>
  <c r="G11" i="26"/>
  <c r="O25" i="37"/>
  <c r="Q8" i="37"/>
  <c r="AM24" i="2"/>
  <c r="AB12" i="2"/>
  <c r="AE12" i="2" s="1"/>
  <c r="AB10" i="2"/>
  <c r="AE10" i="2" s="1"/>
  <c r="AB7" i="2"/>
  <c r="AE7" i="2" s="1"/>
  <c r="T14" i="26"/>
  <c r="AB11" i="2"/>
  <c r="AE11" i="2" s="1"/>
  <c r="AB18" i="2"/>
  <c r="AE18" i="2" s="1"/>
  <c r="AB23" i="2"/>
  <c r="AE23" i="2" s="1"/>
  <c r="T17" i="26"/>
  <c r="O27" i="37"/>
  <c r="Q27" i="37" s="1"/>
  <c r="Q20" i="37"/>
  <c r="AB9" i="2"/>
  <c r="AE9" i="2" s="1"/>
  <c r="T28" i="26"/>
  <c r="T16" i="26"/>
  <c r="J26" i="37"/>
  <c r="L26" i="37" s="1"/>
  <c r="L12" i="37"/>
  <c r="AB20" i="2"/>
  <c r="AE20" i="2" s="1"/>
  <c r="J25" i="37"/>
  <c r="L8" i="37"/>
  <c r="T26" i="26"/>
  <c r="S19" i="1"/>
  <c r="S18" i="1"/>
  <c r="P8" i="25"/>
  <c r="P22" i="25"/>
  <c r="S17" i="1"/>
  <c r="O16" i="37"/>
  <c r="Q16" i="37" s="1"/>
  <c r="S20" i="1"/>
  <c r="P26" i="25"/>
  <c r="J28" i="37" l="1"/>
  <c r="L28" i="37" s="1"/>
  <c r="L25" i="37"/>
  <c r="Q25" i="37"/>
  <c r="O26" i="37"/>
  <c r="Q26" i="37" s="1"/>
  <c r="O28" i="37" l="1"/>
  <c r="Q28" i="37" s="1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L23" i="28" l="1"/>
  <c r="M23" i="28" s="1"/>
  <c r="L24" i="28"/>
  <c r="M24" i="28" s="1"/>
  <c r="L13" i="28"/>
  <c r="M13" i="28" s="1"/>
  <c r="L14" i="28"/>
  <c r="M14" i="28" s="1"/>
  <c r="L16" i="28"/>
  <c r="M16" i="28" s="1"/>
  <c r="L15" i="28"/>
  <c r="M15" i="28" s="1"/>
  <c r="L19" i="28"/>
  <c r="M19" i="28" s="1"/>
  <c r="O10" i="27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F8" i="27"/>
  <c r="G8" i="27" s="1"/>
  <c r="F8" i="28"/>
  <c r="G8" i="28" s="1"/>
  <c r="L10" i="27"/>
  <c r="M10" i="27" s="1"/>
  <c r="L8" i="27"/>
  <c r="M8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O8" i="27"/>
  <c r="P8" i="27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8" i="27"/>
  <c r="J8" i="27" s="1"/>
  <c r="I24" i="28"/>
  <c r="J24" i="28" s="1"/>
  <c r="I18" i="28"/>
  <c r="J18" i="28" s="1"/>
  <c r="O10" i="28"/>
  <c r="P10" i="28" s="1"/>
  <c r="L25" i="28" l="1"/>
  <c r="M25" i="28" s="1"/>
  <c r="L26" i="28"/>
  <c r="M26" i="28" s="1"/>
  <c r="L18" i="28"/>
  <c r="M18" i="28" s="1"/>
  <c r="L22" i="28"/>
  <c r="M22" i="28" s="1"/>
  <c r="L12" i="28"/>
  <c r="M12" i="28" s="1"/>
  <c r="L21" i="28"/>
  <c r="M21" i="28" s="1"/>
  <c r="L17" i="28"/>
  <c r="M17" i="28" s="1"/>
  <c r="L27" i="28"/>
  <c r="M27" i="28" s="1"/>
  <c r="L28" i="28"/>
  <c r="M28" i="28" s="1"/>
  <c r="L20" i="28"/>
  <c r="M20" i="28" s="1"/>
  <c r="I27" i="26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R23" i="26" l="1"/>
  <c r="J23" i="26"/>
  <c r="R28" i="26"/>
  <c r="J28" i="26"/>
  <c r="L11" i="28"/>
  <c r="M11" i="28" s="1"/>
  <c r="I8" i="28"/>
  <c r="J8" i="28" s="1"/>
  <c r="AJ40" i="2"/>
  <c r="L9" i="28"/>
  <c r="M9" i="28" s="1"/>
  <c r="R25" i="26"/>
  <c r="J25" i="26"/>
  <c r="L10" i="28"/>
  <c r="M10" i="28" s="1"/>
  <c r="R15" i="26"/>
  <c r="J15" i="26"/>
  <c r="R14" i="26"/>
  <c r="J14" i="26"/>
  <c r="R12" i="26"/>
  <c r="J12" i="26"/>
  <c r="R22" i="26"/>
  <c r="J22" i="26"/>
  <c r="R26" i="26"/>
  <c r="J26" i="26"/>
  <c r="R13" i="26"/>
  <c r="J13" i="26"/>
  <c r="R27" i="26"/>
  <c r="J27" i="26"/>
  <c r="L8" i="28"/>
  <c r="M8" i="28" s="1"/>
  <c r="R24" i="26"/>
  <c r="J24" i="26"/>
  <c r="I9" i="26"/>
  <c r="I11" i="26"/>
  <c r="U12" i="26" l="1"/>
  <c r="V12" i="26" s="1"/>
  <c r="S12" i="26"/>
  <c r="U14" i="26"/>
  <c r="V14" i="26" s="1"/>
  <c r="S14" i="26"/>
  <c r="U15" i="26"/>
  <c r="V15" i="26" s="1"/>
  <c r="S15" i="26"/>
  <c r="U27" i="26"/>
  <c r="V27" i="26" s="1"/>
  <c r="S27" i="26"/>
  <c r="U22" i="26"/>
  <c r="V22" i="26" s="1"/>
  <c r="S22" i="26"/>
  <c r="R9" i="26"/>
  <c r="J9" i="26"/>
  <c r="U24" i="26"/>
  <c r="V24" i="26" s="1"/>
  <c r="S24" i="26"/>
  <c r="U13" i="26"/>
  <c r="V13" i="26" s="1"/>
  <c r="S13" i="26"/>
  <c r="R11" i="26"/>
  <c r="J11" i="26"/>
  <c r="U25" i="26"/>
  <c r="V25" i="26" s="1"/>
  <c r="S25" i="26"/>
  <c r="U26" i="26"/>
  <c r="V26" i="26" s="1"/>
  <c r="S26" i="26"/>
  <c r="U28" i="26"/>
  <c r="V28" i="26" s="1"/>
  <c r="S28" i="26"/>
  <c r="U23" i="26"/>
  <c r="V23" i="26" s="1"/>
  <c r="S23" i="26"/>
  <c r="Z38" i="2"/>
  <c r="AC23" i="2" l="1"/>
  <c r="AF23" i="2" s="1"/>
  <c r="U11" i="26"/>
  <c r="V11" i="26" s="1"/>
  <c r="S11" i="26"/>
  <c r="AC8" i="2"/>
  <c r="AF8" i="2" s="1"/>
  <c r="AC20" i="2"/>
  <c r="AF20" i="2" s="1"/>
  <c r="AC17" i="2"/>
  <c r="AF17" i="2" s="1"/>
  <c r="AC19" i="2"/>
  <c r="AF19" i="2" s="1"/>
  <c r="AC21" i="2"/>
  <c r="AF21" i="2" s="1"/>
  <c r="AC18" i="2"/>
  <c r="AF18" i="2" s="1"/>
  <c r="U9" i="26"/>
  <c r="V9" i="26" s="1"/>
  <c r="S9" i="26"/>
  <c r="AC22" i="2"/>
  <c r="AF22" i="2" s="1"/>
  <c r="AC7" i="2"/>
  <c r="AF7" i="2" s="1"/>
  <c r="AC10" i="2"/>
  <c r="AF10" i="2" s="1"/>
  <c r="AC9" i="2"/>
  <c r="AF9" i="2" s="1"/>
  <c r="AJ39" i="2"/>
  <c r="AJ41" i="2" s="1"/>
  <c r="AJ39" i="38"/>
  <c r="AJ41" i="38" s="1"/>
  <c r="AC26" i="2" l="1"/>
  <c r="AF26" i="2" s="1"/>
  <c r="AC24" i="2"/>
  <c r="AF24" i="2" s="1"/>
  <c r="T19" i="1"/>
  <c r="T17" i="1"/>
  <c r="W17" i="1" l="1"/>
  <c r="U17" i="1"/>
  <c r="W19" i="1"/>
  <c r="U19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/>
  <c r="S8" i="27" s="1"/>
  <c r="U20" i="27" l="1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R21" i="26"/>
  <c r="J21" i="26"/>
  <c r="I19" i="26"/>
  <c r="I18" i="26"/>
  <c r="R18" i="26" l="1"/>
  <c r="J18" i="26"/>
  <c r="R19" i="26"/>
  <c r="J19" i="26"/>
  <c r="U21" i="26"/>
  <c r="V21" i="26" s="1"/>
  <c r="S21" i="26"/>
  <c r="U20" i="26"/>
  <c r="V20" i="26" s="1"/>
  <c r="S20" i="26"/>
  <c r="I17" i="26"/>
  <c r="AC15" i="2" l="1"/>
  <c r="AF15" i="2" s="1"/>
  <c r="R17" i="26"/>
  <c r="J17" i="26"/>
  <c r="AC16" i="2"/>
  <c r="AF16" i="2" s="1"/>
  <c r="U19" i="26"/>
  <c r="V19" i="26" s="1"/>
  <c r="S19" i="26"/>
  <c r="U18" i="26"/>
  <c r="V18" i="26" s="1"/>
  <c r="S18" i="26"/>
  <c r="AC13" i="2" l="1"/>
  <c r="AF13" i="2" s="1"/>
  <c r="AC14" i="2"/>
  <c r="AF14" i="2" s="1"/>
  <c r="U17" i="26"/>
  <c r="V17" i="26" s="1"/>
  <c r="S17" i="26"/>
  <c r="AC12" i="2" l="1"/>
  <c r="AF12" i="2" s="1"/>
  <c r="U16" i="27"/>
  <c r="V16" i="27" s="1"/>
  <c r="U8" i="27" l="1"/>
  <c r="V8" i="27" s="1"/>
  <c r="U10" i="27"/>
  <c r="V10" i="27" s="1"/>
  <c r="I16" i="26" l="1"/>
  <c r="R16" i="26" l="1"/>
  <c r="J16" i="26"/>
  <c r="I10" i="26"/>
  <c r="I8" i="26"/>
  <c r="R8" i="26" l="1"/>
  <c r="J8" i="26"/>
  <c r="R10" i="26"/>
  <c r="J10" i="26"/>
  <c r="U16" i="26"/>
  <c r="V16" i="26" s="1"/>
  <c r="S16" i="26"/>
  <c r="AC11" i="2" l="1"/>
  <c r="AF11" i="2" s="1"/>
  <c r="U10" i="26"/>
  <c r="V10" i="26" s="1"/>
  <c r="S10" i="26"/>
  <c r="U8" i="26"/>
  <c r="V8" i="26" s="1"/>
  <c r="S8" i="26"/>
  <c r="AC25" i="2" l="1"/>
  <c r="AF25" i="2" s="1"/>
  <c r="AC27" i="2"/>
  <c r="AF27" i="2" s="1"/>
  <c r="T20" i="1"/>
  <c r="T18" i="1"/>
  <c r="W18" i="1" l="1"/>
  <c r="U18" i="1"/>
  <c r="W20" i="1"/>
  <c r="U20" i="1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AA36" i="2" l="1"/>
  <c r="AB36" i="2" l="1"/>
  <c r="AF30" i="2" s="1"/>
  <c r="AF33" i="2" l="1"/>
  <c r="AC31" i="2" l="1"/>
  <c r="AC36" i="2" l="1"/>
  <c r="AD36" i="2" s="1"/>
  <c r="AJ30" i="2" s="1"/>
  <c r="AA31" i="2" l="1"/>
  <c r="AD31" i="2" l="1"/>
  <c r="AB31" i="2"/>
  <c r="AB30" i="2"/>
  <c r="AD30" i="2"/>
  <c r="AB32" i="2" l="1"/>
  <c r="AF32" i="2" s="1"/>
  <c r="AF35" i="2" s="1"/>
  <c r="AD32" i="2"/>
  <c r="AJ32" i="2" s="1"/>
  <c r="AJ35" i="2" s="1"/>
  <c r="Z7" i="38" l="1"/>
  <c r="Y11" i="38" l="1"/>
  <c r="Y17" i="38"/>
  <c r="Y18" i="38"/>
  <c r="Y20" i="38"/>
  <c r="Z8" i="38"/>
  <c r="Z9" i="38"/>
  <c r="Z11" i="38"/>
  <c r="Y10" i="38" l="1"/>
  <c r="Y22" i="38"/>
  <c r="Y21" i="38"/>
  <c r="Y14" i="38"/>
  <c r="Y13" i="38"/>
  <c r="Y15" i="38"/>
  <c r="Y19" i="38"/>
  <c r="Y16" i="38"/>
  <c r="Y23" i="38"/>
  <c r="Y12" i="38"/>
  <c r="Z16" i="38"/>
  <c r="Z22" i="38"/>
  <c r="Z12" i="38"/>
  <c r="Z18" i="38"/>
  <c r="Z21" i="38"/>
  <c r="Z10" i="38"/>
  <c r="Z20" i="38"/>
  <c r="Z14" i="38"/>
  <c r="Z15" i="38"/>
  <c r="Z19" i="38"/>
  <c r="Z13" i="38"/>
  <c r="Z17" i="38"/>
  <c r="Z23" i="38"/>
  <c r="Z27" i="38" l="1"/>
  <c r="Y7" i="38"/>
  <c r="Z26" i="38"/>
  <c r="Z24" i="38"/>
  <c r="Y8" i="38"/>
  <c r="Y9" i="38"/>
  <c r="Z25" i="38"/>
  <c r="AB13" i="38" l="1"/>
  <c r="AE13" i="38" s="1"/>
  <c r="AB14" i="38"/>
  <c r="AE14" i="38" s="1"/>
  <c r="AB16" i="38"/>
  <c r="AE16" i="38" s="1"/>
  <c r="AB8" i="38"/>
  <c r="AE8" i="38" s="1"/>
  <c r="AB19" i="38"/>
  <c r="AE19" i="38" s="1"/>
  <c r="AB22" i="38"/>
  <c r="AE22" i="38" s="1"/>
  <c r="Y25" i="38"/>
  <c r="Y24" i="38"/>
  <c r="Y26" i="38"/>
  <c r="Y27" i="38" l="1"/>
  <c r="AB26" i="38"/>
  <c r="AE26" i="38" s="1"/>
  <c r="AB25" i="38"/>
  <c r="AE25" i="38" s="1"/>
  <c r="AB18" i="38"/>
  <c r="AE18" i="38" s="1"/>
  <c r="AB10" i="38"/>
  <c r="AE10" i="38" s="1"/>
  <c r="AB15" i="38"/>
  <c r="AE15" i="38" s="1"/>
  <c r="AB21" i="38"/>
  <c r="AE21" i="38" s="1"/>
  <c r="AB17" i="38"/>
  <c r="AE17" i="38" s="1"/>
  <c r="AB9" i="38"/>
  <c r="AE9" i="38" s="1"/>
  <c r="AB20" i="38"/>
  <c r="AE20" i="38" s="1"/>
  <c r="AB23" i="38"/>
  <c r="AE23" i="38" s="1"/>
  <c r="AB11" i="38"/>
  <c r="AE11" i="38" s="1"/>
  <c r="AB12" i="38"/>
  <c r="AE12" i="38" s="1"/>
  <c r="AB24" i="38"/>
  <c r="AE24" i="38" s="1"/>
  <c r="AB7" i="38" l="1"/>
  <c r="AE7" i="38" s="1"/>
  <c r="AB27" i="38"/>
  <c r="AE27" i="38" s="1"/>
  <c r="T11" i="37" l="1"/>
  <c r="T19" i="37"/>
  <c r="T17" i="37"/>
  <c r="T22" i="37"/>
  <c r="T12" i="37"/>
  <c r="T20" i="37"/>
  <c r="T8" i="37" l="1"/>
  <c r="T14" i="37"/>
  <c r="T24" i="37"/>
  <c r="T13" i="37"/>
  <c r="U19" i="37"/>
  <c r="U14" i="37"/>
  <c r="U12" i="37"/>
  <c r="Y24" i="37"/>
  <c r="T16" i="37"/>
  <c r="Y11" i="37"/>
  <c r="U13" i="37"/>
  <c r="Y20" i="37"/>
  <c r="T18" i="37"/>
  <c r="Y22" i="37"/>
  <c r="U16" i="37"/>
  <c r="T21" i="37"/>
  <c r="U18" i="37"/>
  <c r="U24" i="37"/>
  <c r="U15" i="37"/>
  <c r="Y12" i="37"/>
  <c r="Y19" i="37"/>
  <c r="U20" i="37"/>
  <c r="U21" i="37"/>
  <c r="U10" i="37"/>
  <c r="U23" i="37"/>
  <c r="Y17" i="37"/>
  <c r="T9" i="37"/>
  <c r="U17" i="37"/>
  <c r="Y14" i="37"/>
  <c r="T10" i="37"/>
  <c r="U9" i="37"/>
  <c r="T15" i="37"/>
  <c r="T26" i="37" l="1"/>
  <c r="X9" i="37"/>
  <c r="V9" i="37"/>
  <c r="X24" i="37"/>
  <c r="V24" i="37"/>
  <c r="X10" i="37"/>
  <c r="V10" i="37"/>
  <c r="X20" i="37"/>
  <c r="V20" i="37"/>
  <c r="V18" i="37"/>
  <c r="X18" i="37"/>
  <c r="V16" i="37"/>
  <c r="X16" i="37"/>
  <c r="X23" i="37"/>
  <c r="X21" i="37"/>
  <c r="V21" i="37"/>
  <c r="T25" i="37"/>
  <c r="Y8" i="37"/>
  <c r="V15" i="37"/>
  <c r="X15" i="37"/>
  <c r="X17" i="37"/>
  <c r="V17" i="37"/>
  <c r="X14" i="37"/>
  <c r="V14" i="37"/>
  <c r="X19" i="37"/>
  <c r="V19" i="37"/>
  <c r="V13" i="37"/>
  <c r="X13" i="37"/>
  <c r="X12" i="37"/>
  <c r="V12" i="37"/>
  <c r="U26" i="37"/>
  <c r="Y23" i="37"/>
  <c r="T23" i="37"/>
  <c r="T27" i="37" s="1"/>
  <c r="Z16" i="37"/>
  <c r="Z9" i="37"/>
  <c r="Z24" i="37"/>
  <c r="Z17" i="37"/>
  <c r="Z19" i="37"/>
  <c r="U8" i="37"/>
  <c r="Z23" i="37"/>
  <c r="Z13" i="37"/>
  <c r="Y9" i="37"/>
  <c r="Z18" i="37"/>
  <c r="Z21" i="37"/>
  <c r="U11" i="37"/>
  <c r="Z12" i="37"/>
  <c r="Y16" i="37"/>
  <c r="Y10" i="37"/>
  <c r="Z14" i="37"/>
  <c r="Z15" i="37"/>
  <c r="Y13" i="37"/>
  <c r="Y18" i="37"/>
  <c r="Z10" i="37"/>
  <c r="U22" i="37"/>
  <c r="U27" i="37" s="1"/>
  <c r="Y15" i="37"/>
  <c r="Z20" i="37"/>
  <c r="V23" i="37" l="1"/>
  <c r="Y26" i="37"/>
  <c r="V27" i="37"/>
  <c r="X27" i="37"/>
  <c r="AA14" i="37"/>
  <c r="AC14" i="37"/>
  <c r="AC20" i="37"/>
  <c r="AA20" i="37"/>
  <c r="AA9" i="37"/>
  <c r="AC9" i="37"/>
  <c r="AA16" i="37"/>
  <c r="AC16" i="37"/>
  <c r="X11" i="37"/>
  <c r="V11" i="37"/>
  <c r="AC21" i="37"/>
  <c r="AA21" i="37"/>
  <c r="AC23" i="37"/>
  <c r="AA23" i="37"/>
  <c r="AC18" i="37"/>
  <c r="AA18" i="37"/>
  <c r="Y21" i="37"/>
  <c r="Y27" i="37" s="1"/>
  <c r="AA19" i="37"/>
  <c r="AC19" i="37"/>
  <c r="AC10" i="37"/>
  <c r="AA10" i="37"/>
  <c r="Y25" i="37"/>
  <c r="Y28" i="37" s="1"/>
  <c r="AC17" i="37"/>
  <c r="AA17" i="37"/>
  <c r="T28" i="37"/>
  <c r="V8" i="37"/>
  <c r="U25" i="37"/>
  <c r="X8" i="37"/>
  <c r="V22" i="37"/>
  <c r="X22" i="37"/>
  <c r="V26" i="37"/>
  <c r="X26" i="37"/>
  <c r="AA24" i="37"/>
  <c r="AC24" i="37"/>
  <c r="AA13" i="37"/>
  <c r="AC13" i="37"/>
  <c r="AA12" i="37"/>
  <c r="AC12" i="37"/>
  <c r="Z26" i="37"/>
  <c r="AA15" i="37"/>
  <c r="AC15" i="37"/>
  <c r="Z11" i="37"/>
  <c r="Z8" i="37"/>
  <c r="Z22" i="37" l="1"/>
  <c r="AA8" i="37"/>
  <c r="AC8" i="37"/>
  <c r="Z25" i="37"/>
  <c r="U28" i="37"/>
  <c r="V25" i="37"/>
  <c r="X25" i="37"/>
  <c r="AC26" i="37"/>
  <c r="AA26" i="37"/>
  <c r="AC11" i="37"/>
  <c r="AA11" i="37"/>
  <c r="AA22" i="37" l="1"/>
  <c r="AC22" i="37"/>
  <c r="Z27" i="37"/>
  <c r="V28" i="37"/>
  <c r="X28" i="37"/>
  <c r="AA25" i="37"/>
  <c r="AC25" i="37"/>
  <c r="Z28" i="37"/>
  <c r="AC28" i="37" l="1"/>
  <c r="AA28" i="37"/>
  <c r="AA27" i="37"/>
  <c r="AC27" i="37"/>
  <c r="AC16" i="38" l="1"/>
  <c r="AF16" i="38" s="1"/>
  <c r="AC7" i="38"/>
  <c r="AF7" i="38" s="1"/>
  <c r="AC17" i="38"/>
  <c r="AF17" i="38" s="1"/>
  <c r="AC18" i="38"/>
  <c r="AF18" i="38" s="1"/>
  <c r="AC15" i="38"/>
  <c r="AF15" i="38" s="1"/>
  <c r="AC9" i="38"/>
  <c r="AF9" i="38" s="1"/>
  <c r="AC21" i="38"/>
  <c r="AF21" i="38" s="1"/>
  <c r="AC14" i="38"/>
  <c r="AF14" i="38" s="1"/>
  <c r="AC22" i="38"/>
  <c r="AF22" i="38" s="1"/>
  <c r="AC13" i="38"/>
  <c r="AF13" i="38" s="1"/>
  <c r="AC23" i="38"/>
  <c r="AF23" i="38" s="1"/>
  <c r="AC19" i="38"/>
  <c r="AF19" i="38" s="1"/>
  <c r="AC12" i="38"/>
  <c r="AF12" i="38" s="1"/>
  <c r="AC10" i="38"/>
  <c r="AF10" i="38" s="1"/>
  <c r="AC8" i="38"/>
  <c r="AF8" i="38" s="1"/>
  <c r="AC20" i="38"/>
  <c r="AF20" i="38" s="1"/>
  <c r="AC11" i="38"/>
  <c r="AF11" i="38" s="1"/>
  <c r="AC27" i="38" l="1"/>
  <c r="AF27" i="38" s="1"/>
  <c r="AI27" i="38" s="1"/>
  <c r="AC26" i="38"/>
  <c r="AF26" i="38" s="1"/>
  <c r="AC25" i="38"/>
  <c r="AF25" i="38" s="1"/>
  <c r="AC24" i="38"/>
  <c r="AF24" i="38" s="1"/>
</calcChain>
</file>

<file path=xl/sharedStrings.xml><?xml version="1.0" encoding="utf-8"?>
<sst xmlns="http://schemas.openxmlformats.org/spreadsheetml/2006/main" count="711" uniqueCount="223">
  <si>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</si>
  <si>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</si>
  <si>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</si>
  <si>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</si>
  <si>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</si>
  <si>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</si>
  <si>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</si>
  <si>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</si>
  <si>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</si>
  <si>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</si>
  <si>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</si>
  <si>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</si>
  <si>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</si>
  <si>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</si>
  <si>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</si>
  <si>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</si>
  <si>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</si>
  <si>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</si>
  <si>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</si>
  <si>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</si>
  <si>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</si>
  <si>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</si>
  <si>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</si>
  <si>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</si>
  <si>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</si>
  <si>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</si>
  <si>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</si>
  <si>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</si>
  <si>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</si>
  <si>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</si>
  <si>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</si>
  <si>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</si>
  <si>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</si>
  <si>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</si>
  <si>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</si>
  <si>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</si>
  <si>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</si>
  <si>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</si>
  <si>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</si>
  <si>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</si>
  <si>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</si>
  <si>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</si>
  <si>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</si>
  <si>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</si>
  <si>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</si>
  <si>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</si>
  <si>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</si>
  <si>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</si>
  <si>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</si>
  <si>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</si>
  <si>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</si>
  <si>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</si>
  <si>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</si>
  <si>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</si>
  <si>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</si>
  <si>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</si>
  <si>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</si>
  <si>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</si>
  <si>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</si>
  <si>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</si>
  <si>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</si>
  <si>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</si>
  <si>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</si>
  <si>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</si>
  <si>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</si>
  <si>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</si>
  <si>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</si>
  <si>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</si>
  <si>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</si>
  <si>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</si>
  <si>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</si>
  <si>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</si>
  <si>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</si>
  <si>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</si>
  <si>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</si>
  <si>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</si>
  <si>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</si>
  <si>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</si>
  <si>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</si>
  <si>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</si>
  <si>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</si>
  <si>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</si>
  <si>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</si>
  <si>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</si>
  <si>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</si>
  <si>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</si>
  <si>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</si>
  <si>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</si>
  <si>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</si>
  <si>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</si>
  <si>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</si>
  <si>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</si>
  <si>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</si>
  <si>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</si>
  <si>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</si>
  <si>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</si>
  <si>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</si>
  <si>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</si>
  <si>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</si>
  <si>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</si>
  <si>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</si>
  <si>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</si>
  <si>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</si>
  <si>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</si>
  <si>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</si>
  <si>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</si>
  <si>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</si>
  <si>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</si>
  <si>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</si>
  <si>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</si>
  <si>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</si>
  <si>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</si>
  <si>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</si>
  <si>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</si>
  <si>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</si>
  <si>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</si>
  <si>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</si>
  <si>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</si>
  <si>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</si>
  <si>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</si>
  <si>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</si>
  <si>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</si>
  <si>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</si>
  <si>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</si>
  <si>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</si>
  <si>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</si>
  <si>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</si>
  <si>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</si>
  <si>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</si>
  <si>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</si>
  <si>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</si>
  <si>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</si>
  <si>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</si>
  <si>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</si>
  <si>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</si>
  <si>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</si>
  <si>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</si>
  <si>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</si>
  <si>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</si>
  <si>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</si>
  <si>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</si>
  <si>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</si>
  <si>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</si>
  <si>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</si>
  <si>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</si>
  <si>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</si>
  <si>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</si>
  <si>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</si>
  <si>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</si>
  <si>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</si>
  <si>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</si>
  <si>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</si>
  <si>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</si>
  <si>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</si>
  <si>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</si>
  <si>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 xml:space="preserve">   · 집합대손 2.2억 // 개별대손 3억(삼정이앤시) → 안양 2.9억, 양산 0.1억</t>
    <phoneticPr fontId="1" type="noConversion"/>
  </si>
  <si>
    <t>퇴직위로금</t>
    <phoneticPr fontId="1" type="noConversion"/>
  </si>
  <si>
    <t>[단위 : 톤, 천원]</t>
    <phoneticPr fontId="1" type="noConversion"/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</si>
  <si>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</si>
  <si>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</si>
  <si>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</si>
  <si>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</si>
  <si>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</si>
  <si>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</si>
  <si>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</si>
  <si>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</si>
  <si>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영업이익(공통비 배부후)</t>
    <phoneticPr fontId="1" type="noConversion"/>
  </si>
  <si>
    <t>레미콘사업본부</t>
    <phoneticPr fontId="1" type="noConversion"/>
  </si>
  <si>
    <t>2024년 1월 마감 손익</t>
  </si>
  <si>
    <t>물량</t>
    <phoneticPr fontId="1" type="noConversion"/>
  </si>
  <si>
    <t>매출</t>
    <phoneticPr fontId="1" type="noConversion"/>
  </si>
  <si>
    <t>매출이익</t>
    <phoneticPr fontId="1" type="noConversion"/>
  </si>
  <si>
    <t>영업이익</t>
    <phoneticPr fontId="1" type="noConversion"/>
  </si>
  <si>
    <t xml:space="preserve"> * 건자재</t>
    <phoneticPr fontId="1" type="noConversion"/>
  </si>
  <si>
    <t>EBITDA</t>
    <phoneticPr fontId="1" type="noConversion"/>
  </si>
  <si>
    <t>감가상각비</t>
    <phoneticPr fontId="1" type="noConversion"/>
  </si>
  <si>
    <t>판관</t>
    <phoneticPr fontId="1" type="noConversion"/>
  </si>
  <si>
    <t>영업이익 I</t>
    <phoneticPr fontId="1" type="noConversion"/>
  </si>
  <si>
    <t>영업이익 II</t>
    <phoneticPr fontId="1" type="noConversion"/>
  </si>
  <si>
    <t>건자재영업</t>
  </si>
  <si>
    <t>(%)</t>
    <phoneticPr fontId="1" type="noConversion"/>
  </si>
  <si>
    <t>전월</t>
    <phoneticPr fontId="1" type="noConversion"/>
  </si>
  <si>
    <t>1군</t>
    <phoneticPr fontId="1" type="noConversion"/>
  </si>
  <si>
    <t xml:space="preserve"> - 1군비율 : </t>
    <phoneticPr fontId="1" type="noConversion"/>
  </si>
  <si>
    <t>중소</t>
    <phoneticPr fontId="1" type="noConversion"/>
  </si>
  <si>
    <t xml:space="preserve"> - 강도</t>
    <phoneticPr fontId="1" type="noConversion"/>
  </si>
  <si>
    <t>강도</t>
    <phoneticPr fontId="1" type="noConversion"/>
  </si>
  <si>
    <t xml:space="preserve"> - mix차이</t>
    <phoneticPr fontId="1" type="noConversion"/>
  </si>
  <si>
    <t>1군비율</t>
    <phoneticPr fontId="1" type="noConversion"/>
  </si>
  <si>
    <t xml:space="preserve"> - 합계</t>
    <phoneticPr fontId="1" type="noConversion"/>
  </si>
  <si>
    <t>원/㎥</t>
    <phoneticPr fontId="1" type="noConversion"/>
  </si>
  <si>
    <t>판매비중</t>
    <phoneticPr fontId="1" type="noConversion"/>
  </si>
  <si>
    <t>공장명</t>
    <phoneticPr fontId="1" type="noConversion"/>
  </si>
  <si>
    <t>추정</t>
    <phoneticPr fontId="1" type="noConversion"/>
  </si>
  <si>
    <t xml:space="preserve"> □ 판매단가</t>
    <phoneticPr fontId="1" type="noConversion"/>
  </si>
  <si>
    <t xml:space="preserve"> - 1군소급</t>
    <phoneticPr fontId="1" type="noConversion"/>
  </si>
  <si>
    <t xml:space="preserve">원/㎥ </t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</si>
  <si>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계획대비 차이</t>
    </r>
    <phoneticPr fontId="1" type="noConversion"/>
  </si>
  <si>
    <r>
      <t xml:space="preserve"> </t>
    </r>
    <r>
      <rPr>
        <sz val="9"/>
        <color theme="1"/>
        <rFont val="맑은 고딕"/>
        <family val="3"/>
        <charset val="129"/>
        <scheme val="minor"/>
      </rPr>
      <t>○</t>
    </r>
    <r>
      <rPr>
        <sz val="11"/>
        <color theme="1"/>
        <rFont val="맑은 고딕"/>
        <family val="3"/>
        <charset val="129"/>
        <scheme val="minor"/>
      </rPr>
      <t xml:space="preserve"> 전월대비 차이</t>
    </r>
    <phoneticPr fontId="1" type="noConversion"/>
  </si>
  <si>
    <t>원/㎥↑</t>
    <phoneticPr fontId="1" type="noConversion"/>
  </si>
  <si>
    <t xml:space="preserve"> - 치환율</t>
    <phoneticPr fontId="1" type="noConversion"/>
  </si>
  <si>
    <t xml:space="preserve"> - 원단위</t>
    <phoneticPr fontId="1" type="noConversion"/>
  </si>
  <si>
    <t xml:space="preserve"> - 강도</t>
    <phoneticPr fontId="1" type="noConversion"/>
  </si>
  <si>
    <t xml:space="preserve"> □ 결합재</t>
    <phoneticPr fontId="1" type="noConversion"/>
  </si>
  <si>
    <t>2026년 3월 마감 손익</t>
    <phoneticPr fontId="1" type="noConversion"/>
  </si>
  <si>
    <t>□ 레미콘 영업이익(3월)</t>
  </si>
  <si>
    <t>3월</t>
  </si>
  <si>
    <t>3월누계</t>
  </si>
  <si>
    <t>2024년 3월 마감 손익</t>
  </si>
  <si>
    <t>□ 사업장별 손익실적(2026-03)</t>
    <phoneticPr fontId="1" type="noConversion"/>
  </si>
  <si>
    <t>2024년 3월누계 마감 손익</t>
  </si>
  <si>
    <t>□ 사업장별 손익실적(2026-03누계)</t>
  </si>
  <si>
    <t>□ 레미콘 영업이익 차이분석(2026-03)</t>
  </si>
  <si>
    <t>□ 레미콘 원재료 원단위(2026-03)</t>
  </si>
  <si>
    <t>□ 레미콘 원재료단가(2026-03)</t>
  </si>
  <si>
    <t>□ 레미콘 단위당 공헌이익(2026-03)</t>
  </si>
  <si>
    <t>□ 건자재 손익실적(2026-03)</t>
  </si>
  <si>
    <t>□ 건재사업본부 손익실적(2026-03)</t>
  </si>
  <si>
    <t>3월 주요지표</t>
  </si>
  <si>
    <t xml:space="preserve"> ※ 1군소급 : 105백만원(3월)  / 누계 : 259백만원</t>
    <phoneticPr fontId="1" type="noConversion"/>
  </si>
  <si>
    <t xml:space="preserve">  - 단가 차이 : 1,047원/㎥(OPC 단가 3,000원/톤)</t>
    <phoneticPr fontId="1" type="noConversion"/>
  </si>
  <si>
    <t xml:space="preserve">  - 원단위 차이 : 1,357원/㎥(치환율 459원↓, 원단위 302원↑, 강도 1,515원↑)</t>
    <phoneticPr fontId="1" type="noConversion"/>
  </si>
  <si>
    <t xml:space="preserve"> - 단가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</si>
</sst>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#,##0.000_);[Red]\(#,##0.000\)"/>
    <numFmt numFmtId="181" formatCode="#,##0.0"/>
    <numFmt numFmtId="182" formatCode="0.0"/>
    <numFmt numFmtId="183" formatCode="#,##0.000000_ "/>
    <numFmt numFmtId="184" formatCode="0_);[Red]\(0\)"/>
    <numFmt numFmtId="185" formatCode="#,##0.00_);[Red]\(#,##0.00\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0" fillId="0" borderId="0"/>
    <xf numFmtId="9" fontId="3" fillId="0" borderId="0" applyFont="0" applyFill="0" applyBorder="0" applyAlignment="0" applyProtection="0">
      <alignment vertical="center"/>
    </xf>
  </cellStyleXfs>
  <cellXfs count="69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2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2" fillId="0" borderId="4" xfId="0" applyFont="1" applyBorder="1">
      <alignment vertical="center"/>
    </xf>
    <xf numFmtId="0" fontId="12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2" fillId="0" borderId="13" xfId="0" applyNumberFormat="1" applyFont="1" applyBorder="1">
      <alignment vertical="center"/>
    </xf>
    <xf numFmtId="177" fontId="12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2" fillId="0" borderId="16" xfId="0" applyNumberFormat="1" applyFont="1" applyBorder="1">
      <alignment vertical="center"/>
    </xf>
    <xf numFmtId="177" fontId="12" fillId="0" borderId="17" xfId="0" applyNumberFormat="1" applyFont="1" applyBorder="1">
      <alignment vertical="center"/>
    </xf>
    <xf numFmtId="0" fontId="13" fillId="6" borderId="2" xfId="0" applyFont="1" applyFill="1" applyBorder="1" applyAlignment="1">
      <alignment horizontal="centerContinuous" vertical="center"/>
    </xf>
    <xf numFmtId="0" fontId="13" fillId="6" borderId="3" xfId="0" applyFont="1" applyFill="1" applyBorder="1" applyAlignment="1">
      <alignment horizontal="centerContinuous" vertical="center"/>
    </xf>
    <xf numFmtId="0" fontId="14" fillId="0" borderId="0" xfId="0" applyFont="1">
      <alignment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5" fillId="9" borderId="34" xfId="0" applyFont="1" applyFill="1" applyBorder="1" applyAlignment="1">
      <alignment horizontal="centerContinuous" vertical="center"/>
    </xf>
    <xf numFmtId="0" fontId="15" fillId="9" borderId="35" xfId="0" applyFont="1" applyFill="1" applyBorder="1" applyAlignment="1">
      <alignment horizontal="centerContinuous" vertical="center"/>
    </xf>
    <xf numFmtId="0" fontId="15" fillId="9" borderId="36" xfId="0" applyFont="1" applyFill="1" applyBorder="1" applyAlignment="1">
      <alignment horizontal="centerContinuous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4" xfId="0" applyNumberFormat="1" applyFont="1" applyBorder="1">
      <alignment vertical="center"/>
    </xf>
    <xf numFmtId="176" fontId="7" fillId="8" borderId="28" xfId="0" applyNumberFormat="1" applyFont="1" applyFill="1" applyBorder="1" applyAlignment="1">
      <alignment horizontal="center" vertical="center"/>
    </xf>
    <xf numFmtId="176" fontId="7" fillId="8" borderId="12" xfId="0" applyNumberFormat="1" applyFont="1" applyFill="1" applyBorder="1" applyAlignment="1">
      <alignment horizontal="center" vertical="center"/>
    </xf>
    <xf numFmtId="176" fontId="7" fillId="8" borderId="6" xfId="0" applyNumberFormat="1" applyFont="1" applyFill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8" borderId="27" xfId="0" applyNumberFormat="1" applyFont="1" applyFill="1" applyBorder="1" applyAlignment="1">
      <alignment horizontal="center" vertical="center"/>
    </xf>
    <xf numFmtId="176" fontId="7" fillId="8" borderId="31" xfId="0" applyNumberFormat="1" applyFont="1" applyFill="1" applyBorder="1" applyAlignment="1">
      <alignment horizontal="center" vertical="center"/>
    </xf>
    <xf numFmtId="176" fontId="7" fillId="8" borderId="33" xfId="0" applyNumberFormat="1" applyFont="1" applyFill="1" applyBorder="1" applyAlignment="1">
      <alignment horizontal="center" vertical="center"/>
    </xf>
    <xf numFmtId="176" fontId="7" fillId="8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2" fillId="0" borderId="22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176" fontId="12" fillId="8" borderId="1" xfId="0" applyNumberFormat="1" applyFont="1" applyFill="1" applyBorder="1">
      <alignment vertical="center"/>
    </xf>
    <xf numFmtId="176" fontId="12" fillId="8" borderId="4" xfId="0" applyNumberFormat="1" applyFont="1" applyFill="1" applyBorder="1">
      <alignment vertical="center"/>
    </xf>
    <xf numFmtId="176" fontId="12" fillId="8" borderId="22" xfId="0" applyNumberFormat="1" applyFont="1" applyFill="1" applyBorder="1">
      <alignment vertical="center"/>
    </xf>
    <xf numFmtId="176" fontId="12" fillId="8" borderId="6" xfId="0" applyNumberFormat="1" applyFont="1" applyFill="1" applyBorder="1">
      <alignment vertical="center"/>
    </xf>
    <xf numFmtId="177" fontId="12" fillId="0" borderId="4" xfId="0" applyNumberFormat="1" applyFont="1" applyBorder="1">
      <alignment vertical="center"/>
    </xf>
    <xf numFmtId="177" fontId="12" fillId="0" borderId="6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7" fontId="12" fillId="0" borderId="47" xfId="0" applyNumberFormat="1" applyFont="1" applyBorder="1">
      <alignment vertical="center"/>
    </xf>
    <xf numFmtId="177" fontId="12" fillId="0" borderId="75" xfId="0" applyNumberFormat="1" applyFont="1" applyBorder="1">
      <alignment vertical="center"/>
    </xf>
    <xf numFmtId="177" fontId="12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0" borderId="48" xfId="0" applyFont="1" applyFill="1" applyBorder="1" applyAlignment="1">
      <alignment horizontal="centerContinuous" vertical="center"/>
    </xf>
    <xf numFmtId="0" fontId="7" fillId="10" borderId="67" xfId="0" applyFont="1" applyFill="1" applyBorder="1" applyAlignment="1">
      <alignment horizontal="centerContinuous" vertical="center"/>
    </xf>
    <xf numFmtId="0" fontId="7" fillId="10" borderId="1" xfId="0" applyFont="1" applyFill="1" applyBorder="1" applyAlignment="1">
      <alignment horizontal="centerContinuous" vertical="center"/>
    </xf>
    <xf numFmtId="0" fontId="7" fillId="10" borderId="29" xfId="0" applyFont="1" applyFill="1" applyBorder="1" applyAlignment="1">
      <alignment horizontal="centerContinuous" vertical="center"/>
    </xf>
    <xf numFmtId="0" fontId="7" fillId="10" borderId="39" xfId="0" applyFont="1" applyFill="1" applyBorder="1" applyAlignment="1">
      <alignment horizontal="centerContinuous" vertical="center"/>
    </xf>
    <xf numFmtId="0" fontId="7" fillId="10" borderId="30" xfId="0" applyFont="1" applyFill="1" applyBorder="1" applyAlignment="1">
      <alignment horizontal="centerContinuous" vertical="center"/>
    </xf>
    <xf numFmtId="0" fontId="2" fillId="10" borderId="48" xfId="0" applyFont="1" applyFill="1" applyBorder="1" applyAlignment="1">
      <alignment horizontal="centerContinuous" vertical="center"/>
    </xf>
    <xf numFmtId="0" fontId="2" fillId="10" borderId="67" xfId="0" applyFont="1" applyFill="1" applyBorder="1" applyAlignment="1">
      <alignment horizontal="centerContinuous" vertical="center"/>
    </xf>
    <xf numFmtId="178" fontId="2" fillId="10" borderId="1" xfId="0" applyNumberFormat="1" applyFont="1" applyFill="1" applyBorder="1" applyAlignment="1">
      <alignment horizontal="centerContinuous" vertical="center"/>
    </xf>
    <xf numFmtId="178" fontId="2" fillId="10" borderId="29" xfId="0" applyNumberFormat="1" applyFont="1" applyFill="1" applyBorder="1" applyAlignment="1">
      <alignment horizontal="centerContinuous" vertical="center"/>
    </xf>
    <xf numFmtId="178" fontId="2" fillId="10" borderId="2" xfId="0" applyNumberFormat="1" applyFont="1" applyFill="1" applyBorder="1" applyAlignment="1">
      <alignment horizontal="centerContinuous" vertical="center"/>
    </xf>
    <xf numFmtId="178" fontId="2" fillId="10" borderId="3" xfId="0" applyNumberFormat="1" applyFont="1" applyFill="1" applyBorder="1" applyAlignment="1">
      <alignment horizontal="centerContinuous"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0" fontId="0" fillId="8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8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8" borderId="1" xfId="1" applyNumberFormat="1" applyFont="1" applyFill="1" applyBorder="1" applyAlignment="1">
      <alignment vertical="center"/>
    </xf>
    <xf numFmtId="178" fontId="6" fillId="8" borderId="2" xfId="1" applyNumberFormat="1" applyFont="1" applyFill="1" applyBorder="1" applyAlignment="1">
      <alignment vertical="center"/>
    </xf>
    <xf numFmtId="178" fontId="6" fillId="8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2" fillId="0" borderId="39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30" xfId="0" applyNumberFormat="1" applyFont="1" applyBorder="1">
      <alignment vertical="center"/>
    </xf>
    <xf numFmtId="178" fontId="12" fillId="0" borderId="46" xfId="0" applyNumberFormat="1" applyFont="1" applyBorder="1">
      <alignment vertical="center"/>
    </xf>
    <xf numFmtId="178" fontId="12" fillId="0" borderId="13" xfId="0" applyNumberFormat="1" applyFont="1" applyBorder="1">
      <alignment vertical="center"/>
    </xf>
    <xf numFmtId="178" fontId="12" fillId="0" borderId="14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25" xfId="0" applyNumberFormat="1" applyFont="1" applyBorder="1">
      <alignment vertical="center"/>
    </xf>
    <xf numFmtId="178" fontId="12" fillId="0" borderId="26" xfId="0" applyNumberFormat="1" applyFont="1" applyBorder="1">
      <alignment vertical="center"/>
    </xf>
    <xf numFmtId="178" fontId="12" fillId="0" borderId="47" xfId="0" applyNumberFormat="1" applyFont="1" applyBorder="1">
      <alignment vertical="center"/>
    </xf>
    <xf numFmtId="178" fontId="12" fillId="0" borderId="16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8" borderId="39" xfId="0" applyNumberFormat="1" applyFont="1" applyFill="1" applyBorder="1">
      <alignment vertical="center"/>
    </xf>
    <xf numFmtId="178" fontId="12" fillId="8" borderId="29" xfId="0" applyNumberFormat="1" applyFont="1" applyFill="1" applyBorder="1">
      <alignment vertical="center"/>
    </xf>
    <xf numFmtId="178" fontId="12" fillId="8" borderId="30" xfId="0" applyNumberFormat="1" applyFont="1" applyFill="1" applyBorder="1">
      <alignment vertical="center"/>
    </xf>
    <xf numFmtId="178" fontId="12" fillId="8" borderId="46" xfId="0" applyNumberFormat="1" applyFont="1" applyFill="1" applyBorder="1">
      <alignment vertical="center"/>
    </xf>
    <xf numFmtId="178" fontId="12" fillId="8" borderId="13" xfId="0" applyNumberFormat="1" applyFont="1" applyFill="1" applyBorder="1">
      <alignment vertical="center"/>
    </xf>
    <xf numFmtId="178" fontId="12" fillId="8" borderId="14" xfId="0" applyNumberFormat="1" applyFont="1" applyFill="1" applyBorder="1">
      <alignment vertical="center"/>
    </xf>
    <xf numFmtId="178" fontId="12" fillId="8" borderId="49" xfId="0" applyNumberFormat="1" applyFont="1" applyFill="1" applyBorder="1">
      <alignment vertical="center"/>
    </xf>
    <xf numFmtId="178" fontId="12" fillId="8" borderId="25" xfId="0" applyNumberFormat="1" applyFont="1" applyFill="1" applyBorder="1">
      <alignment vertical="center"/>
    </xf>
    <xf numFmtId="178" fontId="12" fillId="8" borderId="26" xfId="0" applyNumberFormat="1" applyFont="1" applyFill="1" applyBorder="1">
      <alignment vertical="center"/>
    </xf>
    <xf numFmtId="178" fontId="12" fillId="8" borderId="47" xfId="0" applyNumberFormat="1" applyFont="1" applyFill="1" applyBorder="1">
      <alignment vertical="center"/>
    </xf>
    <xf numFmtId="178" fontId="12" fillId="8" borderId="16" xfId="0" applyNumberFormat="1" applyFont="1" applyFill="1" applyBorder="1">
      <alignment vertical="center"/>
    </xf>
    <xf numFmtId="178" fontId="12" fillId="8" borderId="17" xfId="0" applyNumberFormat="1" applyFont="1" applyFill="1" applyBorder="1">
      <alignment vertical="center"/>
    </xf>
    <xf numFmtId="178" fontId="12" fillId="0" borderId="1" xfId="0" applyNumberFormat="1" applyFont="1" applyBorder="1">
      <alignment vertical="center"/>
    </xf>
    <xf numFmtId="178" fontId="12" fillId="0" borderId="74" xfId="0" applyNumberFormat="1" applyFont="1" applyBorder="1">
      <alignment vertical="center"/>
    </xf>
    <xf numFmtId="178" fontId="12" fillId="0" borderId="4" xfId="0" applyNumberFormat="1" applyFont="1" applyBorder="1">
      <alignment vertical="center"/>
    </xf>
    <xf numFmtId="178" fontId="12" fillId="0" borderId="75" xfId="0" applyNumberFormat="1" applyFont="1" applyBorder="1">
      <alignment vertical="center"/>
    </xf>
    <xf numFmtId="178" fontId="12" fillId="0" borderId="18" xfId="0" applyNumberFormat="1" applyFont="1" applyBorder="1">
      <alignment vertical="center"/>
    </xf>
    <xf numFmtId="178" fontId="12" fillId="0" borderId="79" xfId="0" applyNumberFormat="1" applyFont="1" applyBorder="1">
      <alignment vertical="center"/>
    </xf>
    <xf numFmtId="178" fontId="12" fillId="0" borderId="53" xfId="0" applyNumberFormat="1" applyFont="1" applyBorder="1">
      <alignment vertical="center"/>
    </xf>
    <xf numFmtId="178" fontId="12" fillId="0" borderId="20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22" xfId="0" applyNumberFormat="1" applyFont="1" applyBorder="1">
      <alignment vertical="center"/>
    </xf>
    <xf numFmtId="178" fontId="12" fillId="0" borderId="76" xfId="0" applyNumberFormat="1" applyFont="1" applyBorder="1">
      <alignment vertical="center"/>
    </xf>
    <xf numFmtId="178" fontId="11" fillId="7" borderId="79" xfId="0" applyNumberFormat="1" applyFont="1" applyFill="1" applyBorder="1">
      <alignment vertical="center"/>
    </xf>
    <xf numFmtId="178" fontId="11" fillId="5" borderId="75" xfId="0" applyNumberFormat="1" applyFont="1" applyFill="1" applyBorder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6" fillId="11" borderId="17" xfId="0" applyNumberFormat="1" applyFont="1" applyFill="1" applyBorder="1" applyAlignment="1">
      <alignment horizontal="right" vertical="center"/>
    </xf>
    <xf numFmtId="178" fontId="16" fillId="11" borderId="0" xfId="0" applyNumberFormat="1" applyFont="1" applyFill="1" applyBorder="1" applyAlignment="1">
      <alignment horizontal="right" vertical="center"/>
    </xf>
    <xf numFmtId="178" fontId="16" fillId="11" borderId="83" xfId="0" applyNumberFormat="1" applyFont="1" applyFill="1" applyBorder="1" applyAlignment="1">
      <alignment horizontal="right" vertical="center"/>
    </xf>
    <xf numFmtId="178" fontId="16" fillId="11" borderId="4" xfId="0" applyNumberFormat="1" applyFont="1" applyFill="1" applyBorder="1" applyAlignment="1">
      <alignment horizontal="right" vertical="center"/>
    </xf>
    <xf numFmtId="178" fontId="16" fillId="11" borderId="69" xfId="0" applyNumberFormat="1" applyFont="1" applyFill="1" applyBorder="1" applyAlignment="1">
      <alignment horizontal="center" vertical="center"/>
    </xf>
    <xf numFmtId="178" fontId="16" fillId="11" borderId="44" xfId="0" applyNumberFormat="1" applyFont="1" applyFill="1" applyBorder="1" applyAlignment="1">
      <alignment horizontal="right" vertical="center"/>
    </xf>
    <xf numFmtId="178" fontId="16" fillId="11" borderId="81" xfId="0" applyNumberFormat="1" applyFont="1" applyFill="1" applyBorder="1" applyAlignment="1">
      <alignment horizontal="right" vertical="center"/>
    </xf>
    <xf numFmtId="178" fontId="16" fillId="11" borderId="88" xfId="0" applyNumberFormat="1" applyFont="1" applyFill="1" applyBorder="1" applyAlignment="1">
      <alignment horizontal="right" vertical="center"/>
    </xf>
    <xf numFmtId="178" fontId="16" fillId="11" borderId="80" xfId="0" applyNumberFormat="1" applyFont="1" applyFill="1" applyBorder="1" applyAlignment="1">
      <alignment horizontal="right" vertical="center"/>
    </xf>
    <xf numFmtId="178" fontId="16" fillId="11" borderId="89" xfId="0" applyNumberFormat="1" applyFont="1" applyFill="1" applyBorder="1" applyAlignment="1">
      <alignment horizontal="center" vertical="center"/>
    </xf>
    <xf numFmtId="178" fontId="16" fillId="11" borderId="30" xfId="0" applyNumberFormat="1" applyFont="1" applyFill="1" applyBorder="1" applyAlignment="1">
      <alignment horizontal="right" vertical="center"/>
    </xf>
    <xf numFmtId="178" fontId="16" fillId="11" borderId="2" xfId="0" applyNumberFormat="1" applyFont="1" applyFill="1" applyBorder="1" applyAlignment="1">
      <alignment horizontal="right" vertical="center"/>
    </xf>
    <xf numFmtId="178" fontId="16" fillId="11" borderId="87" xfId="0" applyNumberFormat="1" applyFont="1" applyFill="1" applyBorder="1" applyAlignment="1">
      <alignment horizontal="right" vertical="center"/>
    </xf>
    <xf numFmtId="178" fontId="16" fillId="11" borderId="1" xfId="0" applyNumberFormat="1" applyFont="1" applyFill="1" applyBorder="1" applyAlignment="1">
      <alignment horizontal="right" vertical="center"/>
    </xf>
    <xf numFmtId="178" fontId="16" fillId="11" borderId="68" xfId="0" applyNumberFormat="1" applyFont="1" applyFill="1" applyBorder="1" applyAlignment="1">
      <alignment horizontal="center" vertical="center"/>
    </xf>
    <xf numFmtId="178" fontId="17" fillId="12" borderId="90" xfId="0" applyNumberFormat="1" applyFont="1" applyFill="1" applyBorder="1" applyAlignment="1">
      <alignment horizontal="right" vertical="center"/>
    </xf>
    <xf numFmtId="178" fontId="17" fillId="12" borderId="67" xfId="0" applyNumberFormat="1" applyFont="1" applyFill="1" applyBorder="1" applyAlignment="1">
      <alignment horizontal="right" vertical="center"/>
    </xf>
    <xf numFmtId="178" fontId="17" fillId="12" borderId="91" xfId="0" applyNumberFormat="1" applyFont="1" applyFill="1" applyBorder="1" applyAlignment="1">
      <alignment horizontal="right" vertical="center"/>
    </xf>
    <xf numFmtId="178" fontId="17" fillId="12" borderId="48" xfId="0" applyNumberFormat="1" applyFont="1" applyFill="1" applyBorder="1" applyAlignment="1">
      <alignment horizontal="right" vertical="center"/>
    </xf>
    <xf numFmtId="178" fontId="17" fillId="12" borderId="92" xfId="0" applyNumberFormat="1" applyFont="1" applyFill="1" applyBorder="1" applyAlignment="1">
      <alignment horizontal="right" vertical="center"/>
    </xf>
    <xf numFmtId="178" fontId="17" fillId="12" borderId="65" xfId="0" applyNumberFormat="1" applyFont="1" applyFill="1" applyBorder="1" applyAlignment="1">
      <alignment horizontal="center" vertical="center"/>
    </xf>
    <xf numFmtId="178" fontId="15" fillId="13" borderId="11" xfId="0" applyNumberFormat="1" applyFont="1" applyFill="1" applyBorder="1" applyAlignment="1">
      <alignment horizontal="centerContinuous" vertical="center"/>
    </xf>
    <xf numFmtId="178" fontId="15" fillId="13" borderId="64" xfId="0" applyNumberFormat="1" applyFont="1" applyFill="1" applyBorder="1" applyAlignment="1">
      <alignment horizontal="centerContinuous" vertical="center"/>
    </xf>
    <xf numFmtId="178" fontId="15" fillId="13" borderId="93" xfId="0" applyNumberFormat="1" applyFont="1" applyFill="1" applyBorder="1" applyAlignment="1">
      <alignment horizontal="centerContinuous" vertical="center"/>
    </xf>
    <xf numFmtId="178" fontId="15" fillId="13" borderId="71" xfId="0" applyNumberFormat="1" applyFont="1" applyFill="1" applyBorder="1" applyAlignment="1">
      <alignment horizontal="centerContinuous" vertical="center"/>
    </xf>
    <xf numFmtId="178" fontId="15" fillId="13" borderId="50" xfId="0" applyNumberFormat="1" applyFont="1" applyFill="1" applyBorder="1" applyAlignment="1">
      <alignment horizontal="centerContinuous" vertical="center"/>
    </xf>
    <xf numFmtId="178" fontId="15" fillId="13" borderId="3" xfId="0" applyNumberFormat="1" applyFont="1" applyFill="1" applyBorder="1" applyAlignment="1">
      <alignment horizontal="centerContinuous" vertical="center"/>
    </xf>
    <xf numFmtId="178" fontId="15" fillId="13" borderId="2" xfId="0" applyNumberFormat="1" applyFont="1" applyFill="1" applyBorder="1" applyAlignment="1">
      <alignment horizontal="centerContinuous" vertical="center"/>
    </xf>
    <xf numFmtId="178" fontId="15" fillId="13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6" fillId="11" borderId="5" xfId="0" applyNumberFormat="1" applyFont="1" applyFill="1" applyBorder="1" applyAlignment="1">
      <alignment horizontal="right" vertical="center"/>
    </xf>
    <xf numFmtId="178" fontId="16" fillId="11" borderId="52" xfId="0" applyNumberFormat="1" applyFont="1" applyFill="1" applyBorder="1" applyAlignment="1">
      <alignment horizontal="right" vertical="center"/>
    </xf>
    <xf numFmtId="178" fontId="16" fillId="11" borderId="3" xfId="0" applyNumberFormat="1" applyFont="1" applyFill="1" applyBorder="1" applyAlignment="1">
      <alignment horizontal="right" vertical="center"/>
    </xf>
    <xf numFmtId="178" fontId="17" fillId="12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6" fillId="11" borderId="5" xfId="1" applyNumberFormat="1" applyFont="1" applyFill="1" applyBorder="1" applyAlignment="1">
      <alignment horizontal="right" vertical="center"/>
    </xf>
    <xf numFmtId="178" fontId="16" fillId="11" borderId="83" xfId="1" applyNumberFormat="1" applyFont="1" applyFill="1" applyBorder="1" applyAlignment="1">
      <alignment horizontal="right" vertical="center"/>
    </xf>
    <xf numFmtId="178" fontId="16" fillId="11" borderId="4" xfId="1" applyNumberFormat="1" applyFont="1" applyFill="1" applyBorder="1" applyAlignment="1">
      <alignment horizontal="right" vertical="center"/>
    </xf>
    <xf numFmtId="178" fontId="16" fillId="11" borderId="52" xfId="1" applyNumberFormat="1" applyFont="1" applyFill="1" applyBorder="1" applyAlignment="1">
      <alignment horizontal="right" vertical="center"/>
    </xf>
    <xf numFmtId="178" fontId="16" fillId="11" borderId="88" xfId="1" applyNumberFormat="1" applyFont="1" applyFill="1" applyBorder="1" applyAlignment="1">
      <alignment horizontal="right" vertical="center"/>
    </xf>
    <xf numFmtId="178" fontId="16" fillId="11" borderId="80" xfId="1" applyNumberFormat="1" applyFont="1" applyFill="1" applyBorder="1" applyAlignment="1">
      <alignment horizontal="right" vertical="center"/>
    </xf>
    <xf numFmtId="178" fontId="16" fillId="11" borderId="3" xfId="1" applyNumberFormat="1" applyFont="1" applyFill="1" applyBorder="1" applyAlignment="1">
      <alignment horizontal="right" vertical="center"/>
    </xf>
    <xf numFmtId="178" fontId="16" fillId="11" borderId="87" xfId="1" applyNumberFormat="1" applyFont="1" applyFill="1" applyBorder="1" applyAlignment="1">
      <alignment horizontal="right" vertical="center"/>
    </xf>
    <xf numFmtId="178" fontId="16" fillId="11" borderId="1" xfId="1" applyNumberFormat="1" applyFont="1" applyFill="1" applyBorder="1" applyAlignment="1">
      <alignment horizontal="right" vertical="center"/>
    </xf>
    <xf numFmtId="178" fontId="17" fillId="12" borderId="55" xfId="1" applyNumberFormat="1" applyFont="1" applyFill="1" applyBorder="1" applyAlignment="1">
      <alignment horizontal="right" vertical="center"/>
    </xf>
    <xf numFmtId="178" fontId="17" fillId="12" borderId="91" xfId="1" applyNumberFormat="1" applyFont="1" applyFill="1" applyBorder="1" applyAlignment="1">
      <alignment horizontal="right" vertical="center"/>
    </xf>
    <xf numFmtId="178" fontId="17" fillId="12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6" fillId="11" borderId="5" xfId="0" applyNumberFormat="1" applyFont="1" applyFill="1" applyBorder="1" applyAlignment="1">
      <alignment horizontal="right" vertical="center"/>
    </xf>
    <xf numFmtId="9" fontId="16" fillId="11" borderId="83" xfId="0" applyNumberFormat="1" applyFont="1" applyFill="1" applyBorder="1" applyAlignment="1">
      <alignment horizontal="right" vertical="center"/>
    </xf>
    <xf numFmtId="9" fontId="16" fillId="11" borderId="4" xfId="0" applyNumberFormat="1" applyFont="1" applyFill="1" applyBorder="1" applyAlignment="1">
      <alignment horizontal="right" vertical="center"/>
    </xf>
    <xf numFmtId="9" fontId="16" fillId="11" borderId="52" xfId="0" applyNumberFormat="1" applyFont="1" applyFill="1" applyBorder="1" applyAlignment="1">
      <alignment horizontal="right" vertical="center"/>
    </xf>
    <xf numFmtId="9" fontId="16" fillId="11" borderId="88" xfId="0" applyNumberFormat="1" applyFont="1" applyFill="1" applyBorder="1" applyAlignment="1">
      <alignment horizontal="right" vertical="center"/>
    </xf>
    <xf numFmtId="9" fontId="16" fillId="11" borderId="80" xfId="0" applyNumberFormat="1" applyFont="1" applyFill="1" applyBorder="1" applyAlignment="1">
      <alignment horizontal="right" vertical="center"/>
    </xf>
    <xf numFmtId="9" fontId="16" fillId="11" borderId="3" xfId="0" applyNumberFormat="1" applyFont="1" applyFill="1" applyBorder="1" applyAlignment="1">
      <alignment horizontal="right" vertical="center"/>
    </xf>
    <xf numFmtId="9" fontId="16" fillId="11" borderId="87" xfId="0" applyNumberFormat="1" applyFont="1" applyFill="1" applyBorder="1" applyAlignment="1">
      <alignment horizontal="right" vertical="center"/>
    </xf>
    <xf numFmtId="9" fontId="16" fillId="11" borderId="1" xfId="0" applyNumberFormat="1" applyFont="1" applyFill="1" applyBorder="1" applyAlignment="1">
      <alignment horizontal="right" vertical="center"/>
    </xf>
    <xf numFmtId="9" fontId="17" fillId="12" borderId="55" xfId="0" applyNumberFormat="1" applyFont="1" applyFill="1" applyBorder="1" applyAlignment="1">
      <alignment horizontal="right" vertical="center"/>
    </xf>
    <xf numFmtId="9" fontId="17" fillId="12" borderId="91" xfId="0" applyNumberFormat="1" applyFont="1" applyFill="1" applyBorder="1" applyAlignment="1">
      <alignment horizontal="right" vertical="center"/>
    </xf>
    <xf numFmtId="9" fontId="17" fillId="12" borderId="48" xfId="0" applyNumberFormat="1" applyFont="1" applyFill="1" applyBorder="1" applyAlignment="1">
      <alignment horizontal="right" vertical="center"/>
    </xf>
    <xf numFmtId="178" fontId="2" fillId="8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19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1" fontId="0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3" fontId="0" fillId="0" borderId="0" xfId="0" applyNumberFormat="1">
      <alignment vertical="center"/>
    </xf>
    <xf numFmtId="184" fontId="6" fillId="0" borderId="0" xfId="1" applyNumberFormat="1" applyFont="1">
      <alignment vertical="center"/>
    </xf>
    <xf numFmtId="184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8" borderId="4" xfId="1" quotePrefix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5" fillId="0" borderId="0" xfId="0" applyNumberFormat="1" applyFont="1" applyFill="1" applyBorder="1" applyAlignment="1">
      <alignment vertical="center"/>
    </xf>
    <xf numFmtId="0" fontId="13" fillId="6" borderId="65" xfId="0" applyFont="1" applyFill="1" applyBorder="1" applyAlignment="1">
      <alignment horizontal="centerContinuous" vertical="center"/>
    </xf>
    <xf numFmtId="0" fontId="13" fillId="6" borderId="67" xfId="0" applyFont="1" applyFill="1" applyBorder="1" applyAlignment="1">
      <alignment horizontal="centerContinuous" vertical="center"/>
    </xf>
    <xf numFmtId="0" fontId="13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95" xfId="0" applyNumberFormat="1" applyFont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96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85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96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85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5" fillId="9" borderId="48" xfId="0" applyFont="1" applyFill="1" applyBorder="1" applyAlignment="1">
      <alignment horizontal="centerContinuous" vertical="center"/>
    </xf>
    <xf numFmtId="0" fontId="15" fillId="9" borderId="67" xfId="0" applyFont="1" applyFill="1" applyBorder="1" applyAlignment="1">
      <alignment horizontal="centerContinuous" vertical="center"/>
    </xf>
    <xf numFmtId="0" fontId="15" fillId="9" borderId="55" xfId="0" applyFont="1" applyFill="1" applyBorder="1" applyAlignment="1">
      <alignment horizontal="centerContinuous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178" fontId="2" fillId="10" borderId="1" xfId="0" applyNumberFormat="1" applyFont="1" applyFill="1" applyBorder="1" applyAlignment="1">
      <alignment horizontal="center" vertical="center"/>
    </xf>
    <xf numFmtId="178" fontId="2" fillId="10" borderId="29" xfId="0" applyNumberFormat="1" applyFont="1" applyFill="1" applyBorder="1" applyAlignment="1">
      <alignment horizontal="center" vertical="center"/>
    </xf>
    <xf numFmtId="178" fontId="2" fillId="10" borderId="2" xfId="0" applyNumberFormat="1" applyFont="1" applyFill="1" applyBorder="1" applyAlignment="1">
      <alignment horizontal="center" vertical="center"/>
    </xf>
    <xf numFmtId="178" fontId="2" fillId="10" borderId="3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3" fillId="14" borderId="1" xfId="0" applyFont="1" applyFill="1" applyBorder="1" applyAlignment="1">
      <alignment horizontal="centerContinuous" vertical="center"/>
    </xf>
    <xf numFmtId="0" fontId="13" fillId="14" borderId="2" xfId="0" applyFont="1" applyFill="1" applyBorder="1" applyAlignment="1">
      <alignment horizontal="centerContinuous" vertical="center"/>
    </xf>
    <xf numFmtId="0" fontId="13" fillId="14" borderId="3" xfId="0" applyFont="1" applyFill="1" applyBorder="1" applyAlignment="1">
      <alignment horizontal="centerContinuous" vertical="center"/>
    </xf>
    <xf numFmtId="0" fontId="13" fillId="14" borderId="71" xfId="0" applyFont="1" applyFill="1" applyBorder="1" applyAlignment="1">
      <alignment horizontal="centerContinuous" vertical="center"/>
    </xf>
    <xf numFmtId="0" fontId="13" fillId="14" borderId="78" xfId="0" applyFont="1" applyFill="1" applyBorder="1" applyAlignment="1">
      <alignment horizontal="centerContinuous" vertical="center"/>
    </xf>
    <xf numFmtId="0" fontId="13" fillId="14" borderId="45" xfId="0" applyFont="1" applyFill="1" applyBorder="1" applyAlignment="1">
      <alignment horizontal="centerContinuous" vertical="center"/>
    </xf>
    <xf numFmtId="0" fontId="13" fillId="14" borderId="10" xfId="0" applyFont="1" applyFill="1" applyBorder="1" applyAlignment="1">
      <alignment horizontal="centerContinuous" vertical="center"/>
    </xf>
    <xf numFmtId="0" fontId="13" fillId="14" borderId="11" xfId="0" applyFont="1" applyFill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55" xfId="0" applyFont="1" applyBorder="1" applyAlignment="1">
      <alignment horizontal="centerContinuous" vertical="center"/>
    </xf>
    <xf numFmtId="178" fontId="12" fillId="0" borderId="48" xfId="0" applyNumberFormat="1" applyFont="1" applyBorder="1">
      <alignment vertical="center"/>
    </xf>
    <xf numFmtId="178" fontId="12" fillId="0" borderId="40" xfId="0" applyNumberFormat="1" applyFont="1" applyBorder="1">
      <alignment vertical="center"/>
    </xf>
    <xf numFmtId="178" fontId="12" fillId="0" borderId="38" xfId="0" applyNumberFormat="1" applyFont="1" applyBorder="1">
      <alignment vertical="center"/>
    </xf>
    <xf numFmtId="178" fontId="12" fillId="0" borderId="90" xfId="0" applyNumberFormat="1" applyFont="1" applyBorder="1">
      <alignment vertical="center"/>
    </xf>
    <xf numFmtId="178" fontId="12" fillId="0" borderId="78" xfId="0" applyNumberFormat="1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73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Continuous" vertical="center"/>
    </xf>
    <xf numFmtId="0" fontId="2" fillId="3" borderId="55" xfId="0" applyFont="1" applyFill="1" applyBorder="1" applyAlignment="1">
      <alignment horizontal="centerContinuous" vertical="center"/>
    </xf>
    <xf numFmtId="0" fontId="0" fillId="8" borderId="1" xfId="0" applyFill="1" applyBorder="1" applyAlignment="1">
      <alignment horizontal="centerContinuous" vertical="center"/>
    </xf>
    <xf numFmtId="0" fontId="0" fillId="8" borderId="3" xfId="0" applyFill="1" applyBorder="1" applyAlignment="1">
      <alignment horizontal="centerContinuous" vertical="center"/>
    </xf>
    <xf numFmtId="0" fontId="0" fillId="8" borderId="4" xfId="0" applyFill="1" applyBorder="1">
      <alignment vertical="center"/>
    </xf>
    <xf numFmtId="0" fontId="0" fillId="8" borderId="11" xfId="0" applyFill="1" applyBorder="1" applyAlignment="1">
      <alignment horizontal="right" vertical="center"/>
    </xf>
    <xf numFmtId="0" fontId="0" fillId="8" borderId="6" xfId="0" applyFill="1" applyBorder="1">
      <alignment vertical="center"/>
    </xf>
    <xf numFmtId="0" fontId="0" fillId="8" borderId="2" xfId="0" applyFill="1" applyBorder="1" applyAlignment="1">
      <alignment horizontal="centerContinuous" vertical="center"/>
    </xf>
    <xf numFmtId="0" fontId="0" fillId="8" borderId="97" xfId="0" applyFill="1" applyBorder="1" applyAlignment="1">
      <alignment horizontal="right" vertical="center"/>
    </xf>
    <xf numFmtId="0" fontId="0" fillId="8" borderId="97" xfId="0" applyFill="1" applyBorder="1" applyAlignment="1">
      <alignment horizontal="distributed" vertical="center"/>
    </xf>
    <xf numFmtId="0" fontId="13" fillId="6" borderId="1" xfId="0" applyFont="1" applyFill="1" applyBorder="1" applyAlignment="1">
      <alignment horizontal="centerContinuous" vertical="center"/>
    </xf>
    <xf numFmtId="0" fontId="13" fillId="6" borderId="48" xfId="0" applyFont="1" applyFill="1" applyBorder="1" applyAlignment="1">
      <alignment horizontal="centerContinuous" vertical="center"/>
    </xf>
    <xf numFmtId="178" fontId="6" fillId="0" borderId="1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6" fillId="0" borderId="22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7" fontId="6" fillId="0" borderId="4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22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177" fontId="0" fillId="0" borderId="71" xfId="5" applyNumberFormat="1" applyFont="1" applyBorder="1" applyAlignment="1">
      <alignment horizontal="right" vertical="center"/>
    </xf>
    <xf numFmtId="176" fontId="0" fillId="0" borderId="71" xfId="0" applyNumberFormat="1" applyBorder="1" applyAlignment="1">
      <alignment horizontal="right" vertical="center"/>
    </xf>
    <xf numFmtId="177" fontId="0" fillId="0" borderId="71" xfId="0" applyNumberFormat="1" applyBorder="1" applyAlignment="1">
      <alignment horizontal="right" vertical="center"/>
    </xf>
    <xf numFmtId="176" fontId="0" fillId="0" borderId="68" xfId="0" applyNumberFormat="1" applyBorder="1" applyAlignment="1">
      <alignment horizontal="right" vertical="center"/>
    </xf>
    <xf numFmtId="177" fontId="0" fillId="0" borderId="73" xfId="5" applyNumberFormat="1" applyFont="1" applyBorder="1" applyAlignment="1">
      <alignment horizontal="right" vertical="center"/>
    </xf>
    <xf numFmtId="176" fontId="0" fillId="0" borderId="73" xfId="0" applyNumberFormat="1" applyBorder="1" applyAlignment="1">
      <alignment horizontal="right" vertical="center"/>
    </xf>
    <xf numFmtId="177" fontId="0" fillId="0" borderId="73" xfId="0" applyNumberFormat="1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64" xfId="5" applyNumberFormat="1" applyFont="1" applyBorder="1" applyAlignment="1">
      <alignment horizontal="right" vertical="center"/>
    </xf>
    <xf numFmtId="176" fontId="0" fillId="0" borderId="64" xfId="0" applyNumberFormat="1" applyBorder="1" applyAlignment="1">
      <alignment horizontal="right" vertical="center"/>
    </xf>
    <xf numFmtId="177" fontId="0" fillId="0" borderId="64" xfId="0" applyNumberFormat="1" applyBorder="1" applyAlignment="1">
      <alignment horizontal="right" vertical="center"/>
    </xf>
    <xf numFmtId="0" fontId="13" fillId="6" borderId="68" xfId="0" applyFont="1" applyFill="1" applyBorder="1" applyAlignment="1">
      <alignment horizontal="centerContinuous" vertical="center"/>
    </xf>
    <xf numFmtId="176" fontId="0" fillId="0" borderId="3" xfId="0" applyNumberFormat="1" applyBorder="1" applyAlignment="1">
      <alignment horizontal="right" vertical="center"/>
    </xf>
    <xf numFmtId="177" fontId="0" fillId="0" borderId="50" xfId="5" applyNumberFormat="1" applyFont="1" applyBorder="1" applyAlignment="1">
      <alignment horizontal="right" vertical="center"/>
    </xf>
    <xf numFmtId="176" fontId="0" fillId="0" borderId="50" xfId="0" applyNumberFormat="1" applyBorder="1" applyAlignment="1">
      <alignment horizontal="right" vertical="center"/>
    </xf>
    <xf numFmtId="177" fontId="0" fillId="0" borderId="50" xfId="0" applyNumberFormat="1" applyBorder="1" applyAlignment="1">
      <alignment horizontal="right" vertical="center"/>
    </xf>
    <xf numFmtId="0" fontId="6" fillId="0" borderId="34" xfId="0" applyFont="1" applyBorder="1" applyAlignment="1">
      <alignment horizontal="centerContinuous" vertical="center"/>
    </xf>
    <xf numFmtId="0" fontId="6" fillId="0" borderId="36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7" fillId="0" borderId="6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9" fontId="12" fillId="0" borderId="6" xfId="0" applyNumberFormat="1" applyFont="1" applyBorder="1">
      <alignment vertical="center"/>
    </xf>
    <xf numFmtId="9" fontId="12" fillId="0" borderId="98" xfId="0" applyNumberFormat="1" applyFont="1" applyBorder="1">
      <alignment vertical="center"/>
    </xf>
    <xf numFmtId="9" fontId="12" fillId="0" borderId="47" xfId="0" applyNumberFormat="1" applyFont="1" applyBorder="1">
      <alignment vertical="center"/>
    </xf>
    <xf numFmtId="9" fontId="12" fillId="0" borderId="16" xfId="0" applyNumberFormat="1" applyFont="1" applyBorder="1">
      <alignment vertical="center"/>
    </xf>
    <xf numFmtId="9" fontId="12" fillId="0" borderId="17" xfId="0" applyNumberFormat="1" applyFont="1" applyBorder="1">
      <alignment vertical="center"/>
    </xf>
    <xf numFmtId="3" fontId="0" fillId="8" borderId="0" xfId="0" applyNumberFormat="1" applyFill="1">
      <alignment vertical="center"/>
    </xf>
    <xf numFmtId="9" fontId="12" fillId="0" borderId="77" xfId="0" applyNumberFormat="1" applyFont="1" applyBorder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8" borderId="0" xfId="1" applyNumberFormat="1" applyFont="1" applyFill="1" applyBorder="1" applyAlignment="1">
      <alignment vertical="center"/>
    </xf>
    <xf numFmtId="178" fontId="6" fillId="8" borderId="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horizontal="center" vertical="center"/>
    </xf>
    <xf numFmtId="178" fontId="6" fillId="16" borderId="48" xfId="1" applyNumberFormat="1" applyFont="1" applyFill="1" applyBorder="1" applyAlignment="1">
      <alignment horizontal="center" vertical="center"/>
    </xf>
    <xf numFmtId="178" fontId="6" fillId="16" borderId="78" xfId="1" applyNumberFormat="1" applyFont="1" applyFill="1" applyBorder="1" applyAlignment="1">
      <alignment horizontal="center" vertical="center"/>
    </xf>
    <xf numFmtId="178" fontId="6" fillId="16" borderId="55" xfId="1" applyNumberFormat="1" applyFont="1" applyFill="1" applyBorder="1" applyAlignment="1">
      <alignment horizontal="center" vertical="center"/>
    </xf>
    <xf numFmtId="179" fontId="6" fillId="8" borderId="68" xfId="1" applyNumberFormat="1" applyFont="1" applyFill="1" applyBorder="1" applyAlignment="1">
      <alignment horizontal="center" vertical="center"/>
    </xf>
    <xf numFmtId="178" fontId="6" fillId="0" borderId="1" xfId="1" applyNumberFormat="1" applyFont="1" applyFill="1" applyBorder="1" applyAlignment="1">
      <alignment vertical="center"/>
    </xf>
    <xf numFmtId="178" fontId="6" fillId="0" borderId="74" xfId="1" applyNumberFormat="1" applyFont="1" applyFill="1" applyBorder="1" applyAlignment="1">
      <alignment vertical="center"/>
    </xf>
    <xf numFmtId="178" fontId="6" fillId="0" borderId="68" xfId="1" applyNumberFormat="1" applyFont="1" applyFill="1" applyBorder="1" applyAlignment="1">
      <alignment vertical="center"/>
    </xf>
    <xf numFmtId="178" fontId="6" fillId="8" borderId="70" xfId="1" applyNumberFormat="1" applyFont="1" applyFill="1" applyBorder="1" applyAlignment="1">
      <alignment horizontal="center"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98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6" fillId="0" borderId="70" xfId="1" applyNumberFormat="1" applyFont="1" applyFill="1" applyBorder="1" applyAlignment="1">
      <alignment vertical="center"/>
    </xf>
    <xf numFmtId="178" fontId="6" fillId="16" borderId="48" xfId="1" applyNumberFormat="1" applyFont="1" applyFill="1" applyBorder="1" applyAlignment="1">
      <alignment vertical="center"/>
    </xf>
    <xf numFmtId="178" fontId="6" fillId="16" borderId="99" xfId="1" applyNumberFormat="1" applyFont="1" applyFill="1" applyBorder="1" applyAlignment="1">
      <alignment vertical="center"/>
    </xf>
    <xf numFmtId="178" fontId="6" fillId="16" borderId="55" xfId="1" applyNumberFormat="1" applyFont="1" applyFill="1" applyBorder="1" applyAlignment="1">
      <alignment vertical="center"/>
    </xf>
    <xf numFmtId="178" fontId="6" fillId="16" borderId="65" xfId="1" applyNumberFormat="1" applyFont="1" applyFill="1" applyBorder="1" applyAlignment="1">
      <alignment vertical="center"/>
    </xf>
    <xf numFmtId="179" fontId="6" fillId="0" borderId="1" xfId="1" applyNumberFormat="1" applyFont="1" applyFill="1" applyBorder="1" applyAlignment="1">
      <alignment vertical="center"/>
    </xf>
    <xf numFmtId="179" fontId="6" fillId="0" borderId="74" xfId="1" applyNumberFormat="1" applyFont="1" applyFill="1" applyBorder="1" applyAlignment="1">
      <alignment vertical="center"/>
    </xf>
    <xf numFmtId="179" fontId="6" fillId="0" borderId="3" xfId="1" applyNumberFormat="1" applyFont="1" applyFill="1" applyBorder="1" applyAlignment="1">
      <alignment vertical="center"/>
    </xf>
    <xf numFmtId="179" fontId="6" fillId="0" borderId="68" xfId="1" applyNumberFormat="1" applyFont="1" applyFill="1" applyBorder="1" applyAlignment="1">
      <alignment vertical="center"/>
    </xf>
    <xf numFmtId="9" fontId="6" fillId="0" borderId="6" xfId="1" applyNumberFormat="1" applyFont="1" applyFill="1" applyBorder="1" applyAlignment="1">
      <alignment vertical="center"/>
    </xf>
    <xf numFmtId="9" fontId="6" fillId="0" borderId="77" xfId="1" applyNumberFormat="1" applyFont="1" applyFill="1" applyBorder="1" applyAlignment="1">
      <alignment vertical="center"/>
    </xf>
    <xf numFmtId="9" fontId="6" fillId="0" borderId="8" xfId="1" applyNumberFormat="1" applyFont="1" applyFill="1" applyBorder="1" applyAlignment="1">
      <alignment vertical="center"/>
    </xf>
    <xf numFmtId="9" fontId="6" fillId="0" borderId="70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Continuous" vertical="center"/>
    </xf>
    <xf numFmtId="14" fontId="6" fillId="0" borderId="0" xfId="1" applyNumberFormat="1" applyFont="1" applyAlignment="1">
      <alignment horizontal="center" vertical="center"/>
    </xf>
    <xf numFmtId="9" fontId="6" fillId="0" borderId="0" xfId="1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3" fontId="2" fillId="4" borderId="0" xfId="0" applyNumberFormat="1" applyFont="1" applyFill="1">
      <alignment vertical="center"/>
    </xf>
    <xf numFmtId="178" fontId="2" fillId="4" borderId="9" xfId="1" applyNumberFormat="1" applyFont="1" applyFill="1" applyBorder="1" applyAlignment="1">
      <alignment vertical="center"/>
    </xf>
    <xf numFmtId="178" fontId="2" fillId="4" borderId="10" xfId="1" applyNumberFormat="1" applyFont="1" applyFill="1" applyBorder="1" applyAlignment="1">
      <alignment vertical="center"/>
    </xf>
    <xf numFmtId="178" fontId="2" fillId="4" borderId="50" xfId="1" applyNumberFormat="1" applyFont="1" applyFill="1" applyBorder="1" applyAlignment="1">
      <alignment vertical="center"/>
    </xf>
    <xf numFmtId="178" fontId="2" fillId="4" borderId="45" xfId="1" applyNumberFormat="1" applyFont="1" applyFill="1" applyBorder="1" applyAlignment="1">
      <alignment vertical="center"/>
    </xf>
    <xf numFmtId="178" fontId="2" fillId="4" borderId="11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9" fontId="6" fillId="0" borderId="98" xfId="1" applyNumberFormat="1" applyFont="1" applyFill="1" applyBorder="1" applyAlignment="1">
      <alignment vertical="center"/>
    </xf>
    <xf numFmtId="179" fontId="6" fillId="0" borderId="8" xfId="1" applyNumberFormat="1" applyFont="1" applyFill="1" applyBorder="1" applyAlignment="1">
      <alignment vertical="center"/>
    </xf>
    <xf numFmtId="179" fontId="6" fillId="0" borderId="70" xfId="1" applyNumberFormat="1" applyFont="1" applyFill="1" applyBorder="1" applyAlignment="1">
      <alignment vertical="center"/>
    </xf>
    <xf numFmtId="178" fontId="6" fillId="8" borderId="68" xfId="1" applyNumberFormat="1" applyFont="1" applyFill="1" applyBorder="1" applyAlignment="1">
      <alignment horizontal="right" vertical="center"/>
    </xf>
    <xf numFmtId="178" fontId="6" fillId="8" borderId="70" xfId="1" applyNumberFormat="1" applyFont="1" applyFill="1" applyBorder="1" applyAlignment="1">
      <alignment horizontal="right" vertical="center"/>
    </xf>
    <xf numFmtId="179" fontId="6" fillId="16" borderId="48" xfId="1" applyNumberFormat="1" applyFont="1" applyFill="1" applyBorder="1" applyAlignment="1">
      <alignment vertical="center"/>
    </xf>
    <xf numFmtId="179" fontId="6" fillId="16" borderId="99" xfId="1" applyNumberFormat="1" applyFont="1" applyFill="1" applyBorder="1" applyAlignment="1">
      <alignment vertical="center"/>
    </xf>
    <xf numFmtId="179" fontId="6" fillId="16" borderId="55" xfId="1" applyNumberFormat="1" applyFont="1" applyFill="1" applyBorder="1" applyAlignment="1">
      <alignment vertical="center"/>
    </xf>
    <xf numFmtId="179" fontId="6" fillId="16" borderId="65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43" fontId="0" fillId="0" borderId="0" xfId="0" applyNumberFormat="1" applyFont="1">
      <alignment vertical="center"/>
    </xf>
    <xf numFmtId="178" fontId="2" fillId="4" borderId="0" xfId="1" applyNumberFormat="1" applyFont="1" applyFill="1" applyBorder="1" applyAlignment="1">
      <alignment vertical="center"/>
    </xf>
    <xf numFmtId="178" fontId="19" fillId="0" borderId="0" xfId="1" applyNumberFormat="1" applyFont="1" applyFill="1" applyBorder="1" applyAlignment="1">
      <alignment vertical="center"/>
    </xf>
    <xf numFmtId="178" fontId="19" fillId="0" borderId="5" xfId="1" applyNumberFormat="1" applyFont="1" applyFill="1" applyBorder="1" applyAlignment="1">
      <alignment vertical="center"/>
    </xf>
    <xf numFmtId="0" fontId="15" fillId="9" borderId="0" xfId="0" applyFont="1" applyFill="1" applyBorder="1" applyAlignment="1">
      <alignment horizontal="center"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4" xfId="1" applyNumberFormat="1" applyFont="1" applyBorder="1">
      <alignment vertical="center"/>
    </xf>
    <xf numFmtId="178" fontId="2" fillId="0" borderId="4" xfId="0" applyNumberFormat="1" applyFont="1" applyBorder="1">
      <alignment vertical="center"/>
    </xf>
    <xf numFmtId="43" fontId="0" fillId="0" borderId="0" xfId="0" applyNumberFormat="1" applyFont="1" applyBorder="1">
      <alignment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0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1" fillId="15" borderId="6" xfId="0" applyFont="1" applyFill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178" fontId="15" fillId="13" borderId="68" xfId="0" applyNumberFormat="1" applyFont="1" applyFill="1" applyBorder="1" applyAlignment="1">
      <alignment horizontal="center" vertical="center"/>
    </xf>
    <xf numFmtId="178" fontId="15" fillId="13" borderId="70" xfId="0" applyNumberFormat="1" applyFont="1" applyFill="1" applyBorder="1" applyAlignment="1">
      <alignment horizontal="center" vertical="center"/>
    </xf>
    <xf numFmtId="178" fontId="15" fillId="13" borderId="1" xfId="0" applyNumberFormat="1" applyFont="1" applyFill="1" applyBorder="1" applyAlignment="1">
      <alignment horizontal="center" vertical="center"/>
    </xf>
    <xf numFmtId="178" fontId="15" fillId="13" borderId="2" xfId="0" applyNumberFormat="1" applyFont="1" applyFill="1" applyBorder="1" applyAlignment="1">
      <alignment horizontal="center" vertical="center"/>
    </xf>
    <xf numFmtId="178" fontId="15" fillId="13" borderId="6" xfId="0" applyNumberFormat="1" applyFont="1" applyFill="1" applyBorder="1" applyAlignment="1">
      <alignment horizontal="center" vertical="center"/>
    </xf>
    <xf numFmtId="178" fontId="15" fillId="13" borderId="7" xfId="0" applyNumberFormat="1" applyFont="1" applyFill="1" applyBorder="1" applyAlignment="1">
      <alignment horizontal="center" vertical="center"/>
    </xf>
  </cellXfs>
  <cellStyles count="6">
    <cellStyle name="백분율" xfId="5" builtinId="5"/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FFFFCC"/>
      <color rgb="FF0000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1_&#51665;&#44228;/&#50896;&#44032;&#49552;&#51061;/2026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0_&#48372;&#44256;&#49436;/2025&#45380;_&#54637;&#47785;&#48324;&#49552;&#51061;&#49892;&#5120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1_&#47112;&#48120;&#53080;/&#47112;&#48120;&#53080;&#50896;&#44032;&#49552;&#51061;(2026-03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1_&#47112;&#48120;&#53080;/&#47112;&#48120;&#53080;&#50896;&#44032;&#49552;&#51061;(2026-03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3_&#44264;&#51116;/&#48512;&#49328;&#47784;&#47000;&#51109;&#50896;&#44032;&#49552;&#51061;(2026-03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3_&#44264;&#51116;/&#48512;&#49328;&#53356;&#46972;&#49380;&#50896;&#44032;&#49552;&#51061;(2026-0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3_&#44264;&#51116;/&#49436;&#48512;&#49328;&#53356;&#46972;&#49380;&#50896;&#44032;&#49552;&#51061;(2026-0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47784;&#47000;&#51109;&#50896;&#44032;&#49552;&#51061;(2025-0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8512;&#49328;&#53356;&#46972;&#49380;&#50896;&#44032;&#49552;&#51061;(2025-0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512/03_&#44264;&#51116;/&#49436;&#48512;&#49328;&#53356;&#46972;&#49380;&#50896;&#44032;&#49552;&#51061;(2025-0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4148;&#51088;&#51116;/2026&#45380;_&#50696;&#49328;&#50836;&#44396;&#50504;_&#44148;&#51088;&#5111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2_&#44148;&#51088;&#51116;/&#44148;&#51088;&#51116;&#50689;&#50629;&#49552;&#51061;(2026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2_&#44148;&#51088;&#51116;/&#44148;&#51088;&#51116;&#50689;&#50629;&#49552;&#51061;(2025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1_&#47112;&#48120;&#53080;/&#47112;&#48120;&#53080;&#50896;&#44032;&#49552;&#51061;(2026-03&#45572;&#44228;)&#44228;&#54925;&#45824;&#48708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1_&#47112;&#48120;&#53080;/&#47112;&#48120;&#53080;&#50896;&#44032;&#49552;&#51061;(2026-03&#45572;&#44228;)&#51204;&#45380;&#45824;&#48708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1_&#47112;&#48120;&#53080;/&#47112;&#48120;&#53080;&#50896;&#44032;&#49552;&#51061;(2026-03)&#51204;&#50900;&#45824;&#4870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688;&#49888;&#9316;/2026&#45380;_&#50696;&#49328;&#50836;&#44396;&#50504;_&#54633;&#44228;_&#49688;&#4988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12_&#51452;&#50836;&#51648;&#54364;&#44288;&#47532;/&#49688;&#51452;&#50689;&#50629;&#54016;/&#49688;&#51061;&#49457;&#51665;&#44228;_&#54032;&#47588;&#45800;&#44032;(202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&#45380;&#50696;&#49328;/&#49324;&#50629;&#44228;&#54925;&#9313;/02_&#50696;&#49328;&#50836;&#44396;&#50504;/&#47112;&#48120;&#53080;/&#49324;&#50629;&#44228;&#54925;2/2026&#45380;%20&#49324;&#50629;&#44228;&#54925;(&#54633;&#44228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12_&#51452;&#50836;&#51648;&#54364;&#44288;&#47532;/&#50672;&#44396;&#44060;&#48156;&#54016;/&#54217;&#44512;&#44053;&#46020;(2026-0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96;&#44032;&#49552;&#51061;/202603/08_&#49688;&#49888;/&#49688;&#51452;&#50689;&#50629;&#54016;/&#54032;&#47588;&#45800;&#44032;%20&#47560;&#51060;&#45320;&#49828;&#44228;&#49328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3-12월"/>
      <sheetName val="9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>
        <row r="7">
          <cell r="Z7">
            <v>189000</v>
          </cell>
        </row>
      </sheetData>
      <sheetData sheetId="3">
        <row r="7">
          <cell r="Z7">
            <v>176999.8</v>
          </cell>
        </row>
      </sheetData>
      <sheetData sheetId="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39000</v>
          </cell>
          <cell r="G7">
            <v>35000</v>
          </cell>
          <cell r="H7">
            <v>15000</v>
          </cell>
          <cell r="I7">
            <v>13000</v>
          </cell>
          <cell r="J7">
            <v>20000</v>
          </cell>
          <cell r="K7">
            <v>20000</v>
          </cell>
          <cell r="L7">
            <v>9000</v>
          </cell>
          <cell r="M7">
            <v>21000</v>
          </cell>
          <cell r="N7">
            <v>9000</v>
          </cell>
          <cell r="O7">
            <v>12000</v>
          </cell>
          <cell r="P7">
            <v>7500</v>
          </cell>
          <cell r="Q7">
            <v>11500</v>
          </cell>
          <cell r="R7">
            <v>22000</v>
          </cell>
          <cell r="S7">
            <v>10000</v>
          </cell>
          <cell r="T7">
            <v>4500</v>
          </cell>
          <cell r="U7">
            <v>4000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258500</v>
          </cell>
          <cell r="AA7">
            <v>8500</v>
          </cell>
          <cell r="AB7">
            <v>46074.720000000001</v>
          </cell>
          <cell r="AC7">
            <v>1</v>
          </cell>
          <cell r="AD7">
            <v>21283.083916083917</v>
          </cell>
          <cell r="AE7">
            <v>67358.803916083911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35960278.099133141</v>
          </cell>
          <cell r="F8">
            <v>3831719.08</v>
          </cell>
          <cell r="G8">
            <v>3614547.2905161558</v>
          </cell>
          <cell r="H8">
            <v>1474773.4613999999</v>
          </cell>
          <cell r="I8">
            <v>1297852.1203999999</v>
          </cell>
          <cell r="J8">
            <v>2226019.1053999998</v>
          </cell>
          <cell r="K8">
            <v>2081719.5934399995</v>
          </cell>
          <cell r="L8">
            <v>911640.42791999993</v>
          </cell>
          <cell r="M8">
            <v>2226058.3317200001</v>
          </cell>
          <cell r="N8">
            <v>907456.53900000011</v>
          </cell>
          <cell r="O8">
            <v>1163069.8925117524</v>
          </cell>
          <cell r="P8">
            <v>682330.95839999989</v>
          </cell>
          <cell r="Q8">
            <v>1200060.2115</v>
          </cell>
          <cell r="R8">
            <v>2123737.6399999997</v>
          </cell>
          <cell r="S8">
            <v>1019903.1399999999</v>
          </cell>
          <cell r="T8">
            <v>490641.28200000001</v>
          </cell>
          <cell r="U8">
            <v>443808.48148000007</v>
          </cell>
          <cell r="V8">
            <v>736261.62000000011</v>
          </cell>
          <cell r="W8">
            <v>0</v>
          </cell>
          <cell r="X8">
            <v>0</v>
          </cell>
          <cell r="Y8">
            <v>0</v>
          </cell>
          <cell r="Z8">
            <v>26431599.175687913</v>
          </cell>
          <cell r="AA8">
            <v>8197613.5220000008</v>
          </cell>
          <cell r="AB8">
            <v>600527.68000000005</v>
          </cell>
          <cell r="AC8">
            <v>0</v>
          </cell>
          <cell r="AD8">
            <v>607004.38811188808</v>
          </cell>
          <cell r="AE8">
            <v>1207532.0681118881</v>
          </cell>
          <cell r="AF8">
            <v>12500</v>
          </cell>
          <cell r="AG8">
            <v>0</v>
          </cell>
          <cell r="AH8">
            <v>29166.666666666668</v>
          </cell>
          <cell r="AI8">
            <v>75396.666666666672</v>
          </cell>
          <cell r="AJ8">
            <v>4700</v>
          </cell>
          <cell r="AK8">
            <v>0</v>
          </cell>
          <cell r="AL8">
            <v>121763.33333333334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1770</v>
          </cell>
          <cell r="AV8">
            <v>1770</v>
          </cell>
        </row>
        <row r="9">
          <cell r="D9" t="str">
            <v xml:space="preserve"> - 단  위  당</v>
          </cell>
          <cell r="F9">
            <v>98249.207179487188</v>
          </cell>
          <cell r="G9">
            <v>103272.77972903302</v>
          </cell>
          <cell r="H9">
            <v>98318.230759999991</v>
          </cell>
          <cell r="I9">
            <v>99834.778492307698</v>
          </cell>
          <cell r="J9">
            <v>111300.95526999999</v>
          </cell>
          <cell r="K9">
            <v>104085.97967199997</v>
          </cell>
          <cell r="L9">
            <v>101293.38087999998</v>
          </cell>
          <cell r="M9">
            <v>106002.7777009524</v>
          </cell>
          <cell r="N9">
            <v>100828.50433333335</v>
          </cell>
          <cell r="O9">
            <v>96922.491042646026</v>
          </cell>
          <cell r="P9">
            <v>90977.461119999993</v>
          </cell>
          <cell r="Q9">
            <v>104353.06186956521</v>
          </cell>
          <cell r="R9">
            <v>96533.529090909069</v>
          </cell>
          <cell r="S9">
            <v>101990.31399999998</v>
          </cell>
          <cell r="T9">
            <v>109031.39600000001</v>
          </cell>
          <cell r="U9">
            <v>110952.12037000002</v>
          </cell>
          <cell r="V9">
            <v>122710.27000000002</v>
          </cell>
          <cell r="W9">
            <v>0</v>
          </cell>
          <cell r="X9">
            <v>0</v>
          </cell>
          <cell r="Y9">
            <v>0</v>
          </cell>
          <cell r="Z9">
            <v>102249.90009937297</v>
          </cell>
          <cell r="AA9">
            <v>964425.12023529422</v>
          </cell>
          <cell r="AB9">
            <v>13033.778175971554</v>
          </cell>
          <cell r="AC9">
            <v>0</v>
          </cell>
          <cell r="AD9">
            <v>28520.509081541826</v>
          </cell>
          <cell r="AE9">
            <v>17926.863274119896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32063775.320560113</v>
          </cell>
          <cell r="F10">
            <v>3333188.6156972139</v>
          </cell>
          <cell r="G10">
            <v>3279371.5713608405</v>
          </cell>
          <cell r="H10">
            <v>1372933.7837158327</v>
          </cell>
          <cell r="I10">
            <v>1195203.4152926304</v>
          </cell>
          <cell r="J10">
            <v>1865760.2677166497</v>
          </cell>
          <cell r="K10">
            <v>1708871.667783967</v>
          </cell>
          <cell r="L10">
            <v>802826.38616669818</v>
          </cell>
          <cell r="M10">
            <v>1915517.4911539785</v>
          </cell>
          <cell r="N10">
            <v>806878.58234211861</v>
          </cell>
          <cell r="O10">
            <v>1051648.72912816</v>
          </cell>
          <cell r="P10">
            <v>659621.79841130064</v>
          </cell>
          <cell r="Q10">
            <v>1075622.2983754966</v>
          </cell>
          <cell r="R10">
            <v>1957996.1606262319</v>
          </cell>
          <cell r="S10">
            <v>895206.33807323256</v>
          </cell>
          <cell r="T10">
            <v>392845.37058062427</v>
          </cell>
          <cell r="U10">
            <v>368797.11872212699</v>
          </cell>
          <cell r="V10">
            <v>643429.34070272162</v>
          </cell>
          <cell r="W10">
            <v>0</v>
          </cell>
          <cell r="X10">
            <v>0</v>
          </cell>
          <cell r="Y10">
            <v>0</v>
          </cell>
          <cell r="Z10">
            <v>23325718.935849819</v>
          </cell>
          <cell r="AA10">
            <v>8020259.3359999992</v>
          </cell>
          <cell r="AB10">
            <v>423116.06299999997</v>
          </cell>
          <cell r="AC10">
            <v>95883.239833333297</v>
          </cell>
          <cell r="AD10">
            <v>522667.41587696347</v>
          </cell>
          <cell r="AE10">
            <v>1041666.7187102968</v>
          </cell>
          <cell r="AF10">
            <v>120</v>
          </cell>
          <cell r="AG10">
            <v>0</v>
          </cell>
          <cell r="AH10">
            <v>539</v>
          </cell>
          <cell r="AI10">
            <v>239</v>
          </cell>
          <cell r="AJ10">
            <v>173</v>
          </cell>
          <cell r="AK10">
            <v>0</v>
          </cell>
          <cell r="AL10">
            <v>1071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35059.33</v>
          </cell>
          <cell r="AT10">
            <v>-360000</v>
          </cell>
          <cell r="AU10">
            <v>0</v>
          </cell>
          <cell r="AV10">
            <v>-324940.67</v>
          </cell>
        </row>
        <row r="11">
          <cell r="D11" t="str">
            <v xml:space="preserve"> - 단  위  당</v>
          </cell>
          <cell r="F11">
            <v>85466.374761467028</v>
          </cell>
          <cell r="G11">
            <v>93696.330610309727</v>
          </cell>
          <cell r="H11">
            <v>91528.918914388851</v>
          </cell>
          <cell r="I11">
            <v>91938.724253279259</v>
          </cell>
          <cell r="J11">
            <v>93288.013385832484</v>
          </cell>
          <cell r="K11">
            <v>85443.583389198349</v>
          </cell>
          <cell r="L11">
            <v>89202.931796299788</v>
          </cell>
          <cell r="M11">
            <v>91215.118626379932</v>
          </cell>
          <cell r="N11">
            <v>89653.175815790964</v>
          </cell>
          <cell r="O11">
            <v>87637.394094013333</v>
          </cell>
          <cell r="P11">
            <v>87949.57312150675</v>
          </cell>
          <cell r="Q11">
            <v>93532.373771782324</v>
          </cell>
          <cell r="R11">
            <v>88999.825483010543</v>
          </cell>
          <cell r="S11">
            <v>89520.633807323247</v>
          </cell>
          <cell r="T11">
            <v>87298.971240138722</v>
          </cell>
          <cell r="U11">
            <v>92199.279680531748</v>
          </cell>
          <cell r="V11">
            <v>107238.2234504536</v>
          </cell>
          <cell r="W11">
            <v>0</v>
          </cell>
          <cell r="X11">
            <v>0</v>
          </cell>
          <cell r="Y11">
            <v>0</v>
          </cell>
          <cell r="Z11">
            <v>90234.88950038614</v>
          </cell>
          <cell r="AA11">
            <v>943559.92188235279</v>
          </cell>
          <cell r="AB11">
            <v>9183.2584766657274</v>
          </cell>
          <cell r="AC11">
            <v>95883239.833333299</v>
          </cell>
          <cell r="AD11">
            <v>24557.879766755821</v>
          </cell>
          <cell r="AE11">
            <v>15464.447973393542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3896502.7785730287</v>
          </cell>
          <cell r="F12">
            <v>498530.46430278616</v>
          </cell>
          <cell r="G12">
            <v>335175.71915531531</v>
          </cell>
          <cell r="H12">
            <v>101839.67768416717</v>
          </cell>
          <cell r="I12">
            <v>102648.70510736946</v>
          </cell>
          <cell r="J12">
            <v>360258.83768335008</v>
          </cell>
          <cell r="K12">
            <v>372847.92565603252</v>
          </cell>
          <cell r="L12">
            <v>108814.04175330175</v>
          </cell>
          <cell r="M12">
            <v>310540.84056602162</v>
          </cell>
          <cell r="N12">
            <v>100577.9566578815</v>
          </cell>
          <cell r="O12">
            <v>111421.16338359239</v>
          </cell>
          <cell r="P12">
            <v>22709.159988699248</v>
          </cell>
          <cell r="Q12">
            <v>124437.91312450333</v>
          </cell>
          <cell r="R12">
            <v>165741.47937376774</v>
          </cell>
          <cell r="S12">
            <v>124696.80192676734</v>
          </cell>
          <cell r="T12">
            <v>97795.911419375741</v>
          </cell>
          <cell r="U12">
            <v>75011.362757873081</v>
          </cell>
          <cell r="V12">
            <v>92832.279297278496</v>
          </cell>
          <cell r="W12">
            <v>0</v>
          </cell>
          <cell r="X12">
            <v>0</v>
          </cell>
          <cell r="Y12">
            <v>0</v>
          </cell>
          <cell r="Z12">
            <v>3105880.2398380935</v>
          </cell>
          <cell r="AA12">
            <v>177354.18600000162</v>
          </cell>
          <cell r="AB12">
            <v>177411.61700000009</v>
          </cell>
          <cell r="AC12">
            <v>-95883.239833333297</v>
          </cell>
          <cell r="AD12">
            <v>84336.972234924615</v>
          </cell>
          <cell r="AE12">
            <v>165865.34940159135</v>
          </cell>
          <cell r="AF12">
            <v>12380</v>
          </cell>
          <cell r="AG12">
            <v>0</v>
          </cell>
          <cell r="AH12">
            <v>28627.666666666668</v>
          </cell>
          <cell r="AI12">
            <v>75157.666666666672</v>
          </cell>
          <cell r="AJ12">
            <v>4527</v>
          </cell>
          <cell r="AK12">
            <v>0</v>
          </cell>
          <cell r="AL12">
            <v>120692.33333333334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-35059.33</v>
          </cell>
          <cell r="AT12">
            <v>360000</v>
          </cell>
          <cell r="AU12">
            <v>1770</v>
          </cell>
          <cell r="AV12">
            <v>326710.67</v>
          </cell>
        </row>
        <row r="13">
          <cell r="D13" t="str">
            <v>판 관 비</v>
          </cell>
          <cell r="E13">
            <v>865926.40899999987</v>
          </cell>
          <cell r="F13">
            <v>67591.172999999995</v>
          </cell>
          <cell r="G13">
            <v>65371.406999999999</v>
          </cell>
          <cell r="H13">
            <v>58545.19</v>
          </cell>
          <cell r="I13">
            <v>44490.405000000006</v>
          </cell>
          <cell r="J13">
            <v>60158.222000000009</v>
          </cell>
          <cell r="K13">
            <v>56310.92</v>
          </cell>
          <cell r="L13">
            <v>30204.596999999998</v>
          </cell>
          <cell r="M13">
            <v>51762.998999999996</v>
          </cell>
          <cell r="N13">
            <v>31232.670000000006</v>
          </cell>
          <cell r="O13">
            <v>27035.347000000002</v>
          </cell>
          <cell r="P13">
            <v>37668.044999999998</v>
          </cell>
          <cell r="Q13">
            <v>27220.12</v>
          </cell>
          <cell r="R13">
            <v>51834.143000000004</v>
          </cell>
          <cell r="S13">
            <v>38441.101999999999</v>
          </cell>
          <cell r="T13">
            <v>12076.483</v>
          </cell>
          <cell r="U13">
            <v>11884.141</v>
          </cell>
          <cell r="V13">
            <v>15587.02</v>
          </cell>
          <cell r="W13">
            <v>0</v>
          </cell>
          <cell r="X13">
            <v>0</v>
          </cell>
          <cell r="Y13">
            <v>0</v>
          </cell>
          <cell r="Z13">
            <v>687413.98399999994</v>
          </cell>
          <cell r="AA13">
            <v>142380.815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551.5</v>
          </cell>
          <cell r="AN13">
            <v>427.5</v>
          </cell>
          <cell r="AO13">
            <v>1842</v>
          </cell>
          <cell r="AP13">
            <v>191.5</v>
          </cell>
          <cell r="AQ13">
            <v>150</v>
          </cell>
          <cell r="AR13">
            <v>8799</v>
          </cell>
          <cell r="AS13">
            <v>24170.109999999997</v>
          </cell>
          <cell r="AT13">
            <v>0</v>
          </cell>
          <cell r="AU13">
            <v>0</v>
          </cell>
          <cell r="AV13">
            <v>36131.61</v>
          </cell>
        </row>
        <row r="14">
          <cell r="D14" t="str">
            <v xml:space="preserve"> - 노   무   비</v>
          </cell>
          <cell r="E14">
            <v>601964.44899999991</v>
          </cell>
          <cell r="F14">
            <v>51443.192999999999</v>
          </cell>
          <cell r="G14">
            <v>49252.087</v>
          </cell>
          <cell r="H14">
            <v>37909.72</v>
          </cell>
          <cell r="I14">
            <v>29390.445000000003</v>
          </cell>
          <cell r="J14">
            <v>43675.892000000007</v>
          </cell>
          <cell r="K14">
            <v>39846.93</v>
          </cell>
          <cell r="L14">
            <v>23026.986999999997</v>
          </cell>
          <cell r="M14">
            <v>36689.909</v>
          </cell>
          <cell r="N14">
            <v>20379.520000000004</v>
          </cell>
          <cell r="O14">
            <v>20430.287</v>
          </cell>
          <cell r="P14">
            <v>22203.435000000001</v>
          </cell>
          <cell r="Q14">
            <v>20665.23</v>
          </cell>
          <cell r="R14">
            <v>36565.953000000001</v>
          </cell>
          <cell r="S14">
            <v>23351.241999999998</v>
          </cell>
          <cell r="T14">
            <v>8707.6229999999996</v>
          </cell>
          <cell r="U14">
            <v>7855.1709999999994</v>
          </cell>
          <cell r="V14">
            <v>11248.17</v>
          </cell>
          <cell r="W14">
            <v>0</v>
          </cell>
          <cell r="X14">
            <v>0</v>
          </cell>
          <cell r="Y14">
            <v>0</v>
          </cell>
          <cell r="Z14">
            <v>482641.79399999994</v>
          </cell>
          <cell r="AA14">
            <v>95152.545000000013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24170.109999999997</v>
          </cell>
          <cell r="AT14">
            <v>0</v>
          </cell>
          <cell r="AU14">
            <v>0</v>
          </cell>
          <cell r="AV14">
            <v>24170.109999999997</v>
          </cell>
        </row>
        <row r="15">
          <cell r="D15" t="str">
            <v xml:space="preserve"> - 경        비</v>
          </cell>
          <cell r="E15">
            <v>263961.95999999996</v>
          </cell>
          <cell r="F15">
            <v>16147.98</v>
          </cell>
          <cell r="G15">
            <v>16119.32</v>
          </cell>
          <cell r="H15">
            <v>20635.47</v>
          </cell>
          <cell r="I15">
            <v>15099.960000000001</v>
          </cell>
          <cell r="J15">
            <v>16482.330000000002</v>
          </cell>
          <cell r="K15">
            <v>16463.989999999998</v>
          </cell>
          <cell r="L15">
            <v>7177.61</v>
          </cell>
          <cell r="M15">
            <v>15073.09</v>
          </cell>
          <cell r="N15">
            <v>10853.15</v>
          </cell>
          <cell r="O15">
            <v>6605.0599999999995</v>
          </cell>
          <cell r="P15">
            <v>15464.609999999999</v>
          </cell>
          <cell r="Q15">
            <v>6554.89</v>
          </cell>
          <cell r="R15">
            <v>15268.19</v>
          </cell>
          <cell r="S15">
            <v>15089.859999999999</v>
          </cell>
          <cell r="T15">
            <v>3368.86</v>
          </cell>
          <cell r="U15">
            <v>4028.9700000000003</v>
          </cell>
          <cell r="V15">
            <v>4338.8500000000004</v>
          </cell>
          <cell r="W15">
            <v>0</v>
          </cell>
          <cell r="X15">
            <v>0</v>
          </cell>
          <cell r="Y15">
            <v>0</v>
          </cell>
          <cell r="Z15">
            <v>204772.19</v>
          </cell>
          <cell r="AA15">
            <v>47228.27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551.5</v>
          </cell>
          <cell r="AN15">
            <v>427.5</v>
          </cell>
          <cell r="AO15">
            <v>1842</v>
          </cell>
          <cell r="AP15">
            <v>191.5</v>
          </cell>
          <cell r="AQ15">
            <v>150</v>
          </cell>
          <cell r="AR15">
            <v>8799</v>
          </cell>
          <cell r="AS15">
            <v>0</v>
          </cell>
          <cell r="AT15">
            <v>0</v>
          </cell>
          <cell r="AU15">
            <v>0</v>
          </cell>
          <cell r="AV15">
            <v>11961.5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3030576.3695730288</v>
          </cell>
          <cell r="F17">
            <v>430939.29130278615</v>
          </cell>
          <cell r="G17">
            <v>269804.3121553153</v>
          </cell>
          <cell r="H17">
            <v>43294.487684167165</v>
          </cell>
          <cell r="I17">
            <v>58158.300107369454</v>
          </cell>
          <cell r="J17">
            <v>300100.61568335007</v>
          </cell>
          <cell r="K17">
            <v>316537.00565603253</v>
          </cell>
          <cell r="L17">
            <v>78609.444753301752</v>
          </cell>
          <cell r="M17">
            <v>258777.84156602161</v>
          </cell>
          <cell r="N17">
            <v>69345.286657881486</v>
          </cell>
          <cell r="O17">
            <v>84385.816383592377</v>
          </cell>
          <cell r="P17">
            <v>-14958.88501130075</v>
          </cell>
          <cell r="Q17">
            <v>97217.79312450334</v>
          </cell>
          <cell r="R17">
            <v>113907.33637376773</v>
          </cell>
          <cell r="S17">
            <v>86255.699926767338</v>
          </cell>
          <cell r="T17">
            <v>85719.428419375734</v>
          </cell>
          <cell r="U17">
            <v>63127.221757873078</v>
          </cell>
          <cell r="V17">
            <v>77245.259297278491</v>
          </cell>
          <cell r="W17">
            <v>0</v>
          </cell>
          <cell r="X17">
            <v>0</v>
          </cell>
          <cell r="Y17">
            <v>0</v>
          </cell>
          <cell r="Z17">
            <v>2418466.2558380933</v>
          </cell>
          <cell r="AA17">
            <v>34973.371000001614</v>
          </cell>
          <cell r="AB17">
            <v>177411.61700000009</v>
          </cell>
          <cell r="AC17">
            <v>-95883.239833333297</v>
          </cell>
          <cell r="AD17">
            <v>84336.972234924615</v>
          </cell>
          <cell r="AE17">
            <v>165865.34940159135</v>
          </cell>
          <cell r="AF17">
            <v>12380</v>
          </cell>
          <cell r="AG17">
            <v>0</v>
          </cell>
          <cell r="AH17">
            <v>28627.666666666668</v>
          </cell>
          <cell r="AI17">
            <v>75157.666666666672</v>
          </cell>
          <cell r="AJ17">
            <v>4527</v>
          </cell>
          <cell r="AK17">
            <v>0</v>
          </cell>
          <cell r="AL17">
            <v>120692.33333333334</v>
          </cell>
          <cell r="AM17">
            <v>-551.5</v>
          </cell>
          <cell r="AN17">
            <v>-427.5</v>
          </cell>
          <cell r="AO17">
            <v>-1842</v>
          </cell>
          <cell r="AP17">
            <v>-191.5</v>
          </cell>
          <cell r="AQ17">
            <v>-150</v>
          </cell>
          <cell r="AR17">
            <v>-8799</v>
          </cell>
          <cell r="AS17">
            <v>-59229.440000000002</v>
          </cell>
          <cell r="AT17">
            <v>360000</v>
          </cell>
          <cell r="AU17">
            <v>1770</v>
          </cell>
          <cell r="AV17">
            <v>290579.06</v>
          </cell>
        </row>
        <row r="18">
          <cell r="D18" t="str">
            <v>감가상각비</v>
          </cell>
          <cell r="E18">
            <v>536291.92551732343</v>
          </cell>
          <cell r="F18">
            <v>30995.856111111108</v>
          </cell>
          <cell r="G18">
            <v>36153.201999999997</v>
          </cell>
          <cell r="H18">
            <v>22875.510333333339</v>
          </cell>
          <cell r="I18">
            <v>18678.445555555558</v>
          </cell>
          <cell r="J18">
            <v>48073.718333333338</v>
          </cell>
          <cell r="K18">
            <v>13532.15722222222</v>
          </cell>
          <cell r="L18">
            <v>12545.526222222223</v>
          </cell>
          <cell r="M18">
            <v>18133.321777777779</v>
          </cell>
          <cell r="N18">
            <v>11797.535444444442</v>
          </cell>
          <cell r="O18">
            <v>31473.551222222224</v>
          </cell>
          <cell r="P18">
            <v>15595.277436470891</v>
          </cell>
          <cell r="Q18">
            <v>15130.779721949397</v>
          </cell>
          <cell r="R18">
            <v>25315.574666666667</v>
          </cell>
          <cell r="S18">
            <v>21862.992111111111</v>
          </cell>
          <cell r="T18">
            <v>10370.319666666666</v>
          </cell>
          <cell r="U18">
            <v>6031.4589999999989</v>
          </cell>
          <cell r="V18">
            <v>12720.902620014094</v>
          </cell>
          <cell r="W18">
            <v>0</v>
          </cell>
          <cell r="X18">
            <v>0</v>
          </cell>
          <cell r="Y18">
            <v>0</v>
          </cell>
          <cell r="Z18">
            <v>351286.12944510113</v>
          </cell>
          <cell r="AA18">
            <v>5186.2629999999999</v>
          </cell>
          <cell r="AB18">
            <v>72109.442738888902</v>
          </cell>
          <cell r="AC18">
            <v>57965.727999999996</v>
          </cell>
          <cell r="AD18">
            <v>35798.777333333339</v>
          </cell>
          <cell r="AE18">
            <v>165873.94807222224</v>
          </cell>
          <cell r="AF18">
            <v>2945.4649999999997</v>
          </cell>
          <cell r="AG18">
            <v>0</v>
          </cell>
          <cell r="AH18">
            <v>5614.2779999999993</v>
          </cell>
          <cell r="AI18">
            <v>1827.6759999999999</v>
          </cell>
          <cell r="AJ18">
            <v>1312.8920000000001</v>
          </cell>
          <cell r="AK18">
            <v>0</v>
          </cell>
          <cell r="AL18">
            <v>11700.310999999998</v>
          </cell>
          <cell r="AM18">
            <v>3275.9680000000003</v>
          </cell>
          <cell r="AN18">
            <v>350.85900000000004</v>
          </cell>
          <cell r="AO18">
            <v>5364.7719999999999</v>
          </cell>
          <cell r="AP18">
            <v>0</v>
          </cell>
          <cell r="AQ18">
            <v>241.20500000000001</v>
          </cell>
          <cell r="AR18">
            <v>-14097.802</v>
          </cell>
          <cell r="AS18">
            <v>0</v>
          </cell>
          <cell r="AT18">
            <v>0</v>
          </cell>
          <cell r="AU18">
            <v>7110.2719999999981</v>
          </cell>
          <cell r="AV18">
            <v>2245.2739999999985</v>
          </cell>
        </row>
        <row r="19">
          <cell r="D19" t="str">
            <v xml:space="preserve"> - 제        조</v>
          </cell>
          <cell r="E19">
            <v>507936.56051732338</v>
          </cell>
          <cell r="F19">
            <v>28700.98711111111</v>
          </cell>
          <cell r="G19">
            <v>34228.733</v>
          </cell>
          <cell r="H19">
            <v>21130.180333333337</v>
          </cell>
          <cell r="I19">
            <v>17486.457555555557</v>
          </cell>
          <cell r="J19">
            <v>46207.985333333338</v>
          </cell>
          <cell r="K19">
            <v>11978.088222222221</v>
          </cell>
          <cell r="L19">
            <v>11351.927222222223</v>
          </cell>
          <cell r="M19">
            <v>16199.616777777777</v>
          </cell>
          <cell r="N19">
            <v>11417.899444444442</v>
          </cell>
          <cell r="O19">
            <v>30635.518222222225</v>
          </cell>
          <cell r="P19">
            <v>14782.008436470891</v>
          </cell>
          <cell r="Q19">
            <v>13945.457721949397</v>
          </cell>
          <cell r="R19">
            <v>23751.575666666668</v>
          </cell>
          <cell r="S19">
            <v>21049.72311111111</v>
          </cell>
          <cell r="T19">
            <v>9927.4506666666657</v>
          </cell>
          <cell r="U19">
            <v>5661.0589999999993</v>
          </cell>
          <cell r="V19">
            <v>11907.633620014094</v>
          </cell>
          <cell r="W19">
            <v>0</v>
          </cell>
          <cell r="X19">
            <v>0</v>
          </cell>
          <cell r="Y19">
            <v>0</v>
          </cell>
          <cell r="Z19">
            <v>330362.30144510115</v>
          </cell>
          <cell r="AA19">
            <v>0</v>
          </cell>
          <cell r="AB19">
            <v>72109.442738888902</v>
          </cell>
          <cell r="AC19">
            <v>57965.727999999996</v>
          </cell>
          <cell r="AD19">
            <v>35798.777333333339</v>
          </cell>
          <cell r="AE19">
            <v>165873.94807222224</v>
          </cell>
          <cell r="AF19">
            <v>2945.4649999999997</v>
          </cell>
          <cell r="AG19">
            <v>0</v>
          </cell>
          <cell r="AH19">
            <v>5614.2779999999993</v>
          </cell>
          <cell r="AI19">
            <v>1827.6759999999999</v>
          </cell>
          <cell r="AJ19">
            <v>1312.8920000000001</v>
          </cell>
          <cell r="AK19">
            <v>0</v>
          </cell>
          <cell r="AL19">
            <v>11700.310999999998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28355.364999999994</v>
          </cell>
          <cell r="F20">
            <v>2294.8690000000001</v>
          </cell>
          <cell r="G20">
            <v>1924.4690000000001</v>
          </cell>
          <cell r="H20">
            <v>1745.3300000000002</v>
          </cell>
          <cell r="I20">
            <v>1191.9880000000001</v>
          </cell>
          <cell r="J20">
            <v>1865.7329999999999</v>
          </cell>
          <cell r="K20">
            <v>1554.069</v>
          </cell>
          <cell r="L20">
            <v>1193.5990000000002</v>
          </cell>
          <cell r="M20">
            <v>1933.7050000000002</v>
          </cell>
          <cell r="N20">
            <v>379.63599999999997</v>
          </cell>
          <cell r="O20">
            <v>838.03300000000002</v>
          </cell>
          <cell r="P20">
            <v>813.26900000000001</v>
          </cell>
          <cell r="Q20">
            <v>1185.3220000000001</v>
          </cell>
          <cell r="R20">
            <v>1563.999</v>
          </cell>
          <cell r="S20">
            <v>813.26900000000001</v>
          </cell>
          <cell r="T20">
            <v>442.86900000000003</v>
          </cell>
          <cell r="U20">
            <v>370.4</v>
          </cell>
          <cell r="V20">
            <v>813.26900000000001</v>
          </cell>
          <cell r="W20">
            <v>0</v>
          </cell>
          <cell r="X20">
            <v>0</v>
          </cell>
          <cell r="Y20">
            <v>0</v>
          </cell>
          <cell r="Z20">
            <v>20923.827999999998</v>
          </cell>
          <cell r="AA20">
            <v>5186.2629999999999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3275.9680000000003</v>
          </cell>
          <cell r="AN20">
            <v>350.85900000000004</v>
          </cell>
          <cell r="AO20">
            <v>5364.7719999999999</v>
          </cell>
          <cell r="AP20">
            <v>0</v>
          </cell>
          <cell r="AQ20">
            <v>241.20500000000001</v>
          </cell>
          <cell r="AR20">
            <v>-14097.802</v>
          </cell>
          <cell r="AS20">
            <v>0</v>
          </cell>
          <cell r="AT20">
            <v>0</v>
          </cell>
          <cell r="AU20">
            <v>7110.2719999999981</v>
          </cell>
          <cell r="AV20">
            <v>2245.2739999999985</v>
          </cell>
        </row>
        <row r="21">
          <cell r="D21" t="str">
            <v>영업이익 I</v>
          </cell>
          <cell r="E21">
            <v>2494284.4440557053</v>
          </cell>
          <cell r="F21">
            <v>399943.43519167503</v>
          </cell>
          <cell r="G21">
            <v>233651.11015531531</v>
          </cell>
          <cell r="H21">
            <v>20418.977350833826</v>
          </cell>
          <cell r="I21">
            <v>39479.8545518139</v>
          </cell>
          <cell r="J21">
            <v>252026.89735001675</v>
          </cell>
          <cell r="K21">
            <v>303004.84843381029</v>
          </cell>
          <cell r="L21">
            <v>66063.918531079529</v>
          </cell>
          <cell r="M21">
            <v>240644.51978824384</v>
          </cell>
          <cell r="N21">
            <v>57547.751213437048</v>
          </cell>
          <cell r="O21">
            <v>52912.265161370153</v>
          </cell>
          <cell r="P21">
            <v>-30554.16244777164</v>
          </cell>
          <cell r="Q21">
            <v>82087.013402553945</v>
          </cell>
          <cell r="R21">
            <v>88591.761707101061</v>
          </cell>
          <cell r="S21">
            <v>64392.707815656227</v>
          </cell>
          <cell r="T21">
            <v>75349.108752709071</v>
          </cell>
          <cell r="U21">
            <v>57095.762757873075</v>
          </cell>
          <cell r="V21">
            <v>64524.356677264397</v>
          </cell>
          <cell r="W21">
            <v>0</v>
          </cell>
          <cell r="X21">
            <v>0</v>
          </cell>
          <cell r="Y21">
            <v>0</v>
          </cell>
          <cell r="Z21">
            <v>2067180.1263929922</v>
          </cell>
          <cell r="AA21">
            <v>29787.108000001615</v>
          </cell>
          <cell r="AB21">
            <v>105302.17426111118</v>
          </cell>
          <cell r="AC21">
            <v>-153848.9678333333</v>
          </cell>
          <cell r="AD21">
            <v>48538.194901591276</v>
          </cell>
          <cell r="AE21">
            <v>-8.5986706308904104</v>
          </cell>
          <cell r="AF21">
            <v>9434.5349999999999</v>
          </cell>
          <cell r="AG21">
            <v>0</v>
          </cell>
          <cell r="AH21">
            <v>23013.388666666669</v>
          </cell>
          <cell r="AI21">
            <v>73329.990666666665</v>
          </cell>
          <cell r="AJ21">
            <v>3214.1080000000002</v>
          </cell>
          <cell r="AK21">
            <v>0</v>
          </cell>
          <cell r="AL21">
            <v>108992.02233333334</v>
          </cell>
          <cell r="AM21">
            <v>-3827.4680000000003</v>
          </cell>
          <cell r="AN21">
            <v>-778.35900000000004</v>
          </cell>
          <cell r="AO21">
            <v>-7206.7719999999999</v>
          </cell>
          <cell r="AP21">
            <v>-191.5</v>
          </cell>
          <cell r="AQ21">
            <v>-391.20500000000004</v>
          </cell>
          <cell r="AR21">
            <v>5298.8019999999997</v>
          </cell>
          <cell r="AS21">
            <v>-59229.440000000002</v>
          </cell>
          <cell r="AT21">
            <v>360000</v>
          </cell>
          <cell r="AU21">
            <v>-5340.2719999999981</v>
          </cell>
          <cell r="AV21">
            <v>288333.78600000002</v>
          </cell>
        </row>
        <row r="22">
          <cell r="D22" t="str">
            <v>공    통    비</v>
          </cell>
          <cell r="E22">
            <v>1371441.8354662675</v>
          </cell>
          <cell r="F22">
            <v>181097.40162700502</v>
          </cell>
          <cell r="G22">
            <v>170833.27579703653</v>
          </cell>
          <cell r="H22">
            <v>69701.780394611851</v>
          </cell>
          <cell r="I22">
            <v>61339.999565035665</v>
          </cell>
          <cell r="J22">
            <v>113074.479506737</v>
          </cell>
          <cell r="K22">
            <v>105744.53693419955</v>
          </cell>
          <cell r="L22">
            <v>46308.347773964706</v>
          </cell>
          <cell r="M22">
            <v>113076.47207531211</v>
          </cell>
          <cell r="N22">
            <v>46095.819920634363</v>
          </cell>
          <cell r="O22">
            <v>59080.141049414262</v>
          </cell>
          <cell r="P22">
            <v>34660.177796878765</v>
          </cell>
          <cell r="Q22">
            <v>60959.128096846936</v>
          </cell>
          <cell r="R22">
            <v>100373.58175575538</v>
          </cell>
          <cell r="S22">
            <v>48203.37939941659</v>
          </cell>
          <cell r="T22">
            <v>23189.033289241714</v>
          </cell>
          <cell r="U22">
            <v>20975.588538201187</v>
          </cell>
          <cell r="V22">
            <v>34797.714424223755</v>
          </cell>
          <cell r="W22">
            <v>0</v>
          </cell>
          <cell r="X22">
            <v>0</v>
          </cell>
          <cell r="Y22">
            <v>0</v>
          </cell>
          <cell r="Z22">
            <v>1289510.8579445153</v>
          </cell>
          <cell r="AA22">
            <v>32500.88350237425</v>
          </cell>
          <cell r="AB22">
            <v>24582.485606409849</v>
          </cell>
          <cell r="AC22">
            <v>0</v>
          </cell>
          <cell r="AD22">
            <v>24847.608412967911</v>
          </cell>
          <cell r="AE22">
            <v>49430.094019377764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210039.64666666661</v>
          </cell>
          <cell r="F23">
            <v>17443.562818679904</v>
          </cell>
          <cell r="G23">
            <v>16454.907420615971</v>
          </cell>
          <cell r="H23">
            <v>6713.7759789146394</v>
          </cell>
          <cell r="I23">
            <v>5908.3571939606572</v>
          </cell>
          <cell r="J23">
            <v>18000.554656436219</v>
          </cell>
          <cell r="K23">
            <v>16833.68630133901</v>
          </cell>
          <cell r="L23">
            <v>7371.91936492481</v>
          </cell>
          <cell r="M23">
            <v>18000.871857450093</v>
          </cell>
          <cell r="N23">
            <v>7338.086626922599</v>
          </cell>
          <cell r="O23">
            <v>9405.0869188973847</v>
          </cell>
          <cell r="P23">
            <v>5517.6236720801444</v>
          </cell>
          <cell r="Q23">
            <v>9704.2066600944454</v>
          </cell>
          <cell r="R23">
            <v>9668.1281065455878</v>
          </cell>
          <cell r="S23">
            <v>4643.0190001191013</v>
          </cell>
          <cell r="T23">
            <v>2233.6011187972167</v>
          </cell>
          <cell r="U23">
            <v>2020.3989291822818</v>
          </cell>
          <cell r="V23">
            <v>3351.7660223288171</v>
          </cell>
          <cell r="W23">
            <v>0</v>
          </cell>
          <cell r="X23">
            <v>0</v>
          </cell>
          <cell r="Y23">
            <v>0</v>
          </cell>
          <cell r="Z23">
            <v>160609.55264728886</v>
          </cell>
          <cell r="AA23">
            <v>0</v>
          </cell>
          <cell r="AB23">
            <v>24582.485606409849</v>
          </cell>
          <cell r="AC23">
            <v>0</v>
          </cell>
          <cell r="AD23">
            <v>24847.608412967911</v>
          </cell>
          <cell r="AE23">
            <v>49430.094019377764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478619.64699999994</v>
          </cell>
          <cell r="F24">
            <v>69384.225346442166</v>
          </cell>
          <cell r="G24">
            <v>65451.709401030741</v>
          </cell>
          <cell r="H24">
            <v>26704.988555875581</v>
          </cell>
          <cell r="I24">
            <v>23501.322019721596</v>
          </cell>
          <cell r="J24">
            <v>40308.438069149677</v>
          </cell>
          <cell r="K24">
            <v>37695.482983931302</v>
          </cell>
          <cell r="L24">
            <v>16507.855499085344</v>
          </cell>
          <cell r="M24">
            <v>40309.148373785691</v>
          </cell>
          <cell r="N24">
            <v>16432.094232252144</v>
          </cell>
          <cell r="O24">
            <v>21060.704563889296</v>
          </cell>
          <cell r="P24">
            <v>12355.552166021378</v>
          </cell>
          <cell r="Q24">
            <v>21730.52001088113</v>
          </cell>
          <cell r="R24">
            <v>38456.339808314246</v>
          </cell>
          <cell r="S24">
            <v>18468.26132601139</v>
          </cell>
          <cell r="T24">
            <v>8884.4627081991821</v>
          </cell>
          <cell r="U24">
            <v>8036.4210023639389</v>
          </cell>
          <cell r="V24">
            <v>13332.120933045169</v>
          </cell>
          <cell r="W24">
            <v>0</v>
          </cell>
          <cell r="X24">
            <v>0</v>
          </cell>
          <cell r="Y24">
            <v>0</v>
          </cell>
          <cell r="Z24">
            <v>478619.64699999994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682782.54179960082</v>
          </cell>
          <cell r="F25">
            <v>94269.613461882953</v>
          </cell>
          <cell r="G25">
            <v>88926.658975389801</v>
          </cell>
          <cell r="H25">
            <v>36283.015859821629</v>
          </cell>
          <cell r="I25">
            <v>31930.32035135341</v>
          </cell>
          <cell r="J25">
            <v>54765.486781151107</v>
          </cell>
          <cell r="K25">
            <v>51215.367648929241</v>
          </cell>
          <cell r="L25">
            <v>22428.57290995455</v>
          </cell>
          <cell r="M25">
            <v>54766.451844076328</v>
          </cell>
          <cell r="N25">
            <v>22325.63906145962</v>
          </cell>
          <cell r="O25">
            <v>28614.349566627585</v>
          </cell>
          <cell r="P25">
            <v>16787.00195877724</v>
          </cell>
          <cell r="Q25">
            <v>29524.401425871361</v>
          </cell>
          <cell r="R25">
            <v>52249.113840895538</v>
          </cell>
          <cell r="S25">
            <v>25092.099073286103</v>
          </cell>
          <cell r="T25">
            <v>12070.969462245315</v>
          </cell>
          <cell r="U25">
            <v>10918.768606654967</v>
          </cell>
          <cell r="V25">
            <v>18113.82746884977</v>
          </cell>
          <cell r="W25">
            <v>0</v>
          </cell>
          <cell r="X25">
            <v>0</v>
          </cell>
          <cell r="Y25">
            <v>0</v>
          </cell>
          <cell r="Z25">
            <v>650281.65829722653</v>
          </cell>
          <cell r="AA25">
            <v>32500.88350237425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1122842.6085894378</v>
          </cell>
          <cell r="F26">
            <v>218846.03356467001</v>
          </cell>
          <cell r="G26">
            <v>62817.834358278778</v>
          </cell>
          <cell r="H26">
            <v>-49282.803043778025</v>
          </cell>
          <cell r="I26">
            <v>-21860.145013221765</v>
          </cell>
          <cell r="J26">
            <v>138952.41784327975</v>
          </cell>
          <cell r="K26">
            <v>197260.31149961072</v>
          </cell>
          <cell r="L26">
            <v>19755.570757114823</v>
          </cell>
          <cell r="M26">
            <v>127568.04771293173</v>
          </cell>
          <cell r="N26">
            <v>11451.931292802685</v>
          </cell>
          <cell r="O26">
            <v>-6167.8758880441092</v>
          </cell>
          <cell r="P26">
            <v>-65214.340244650404</v>
          </cell>
          <cell r="Q26">
            <v>21127.885305707008</v>
          </cell>
          <cell r="R26">
            <v>-11781.820048654321</v>
          </cell>
          <cell r="S26">
            <v>16189.328416239638</v>
          </cell>
          <cell r="T26">
            <v>52160.075463467358</v>
          </cell>
          <cell r="U26">
            <v>36120.174219671884</v>
          </cell>
          <cell r="V26">
            <v>29726.642253040642</v>
          </cell>
          <cell r="W26">
            <v>0</v>
          </cell>
          <cell r="X26">
            <v>0</v>
          </cell>
          <cell r="Y26">
            <v>0</v>
          </cell>
          <cell r="Z26">
            <v>777669.26844847691</v>
          </cell>
          <cell r="AA26">
            <v>-2713.7755023726349</v>
          </cell>
          <cell r="AB26">
            <v>80719.688654701342</v>
          </cell>
          <cell r="AC26">
            <v>-153848.9678333333</v>
          </cell>
          <cell r="AD26">
            <v>23690.586488623365</v>
          </cell>
          <cell r="AE26">
            <v>-49438.692690008655</v>
          </cell>
          <cell r="AF26">
            <v>9434.5349999999999</v>
          </cell>
          <cell r="AG26">
            <v>0</v>
          </cell>
          <cell r="AH26">
            <v>23013.388666666669</v>
          </cell>
          <cell r="AI26">
            <v>73329.990666666665</v>
          </cell>
          <cell r="AJ26">
            <v>3214.1080000000002</v>
          </cell>
          <cell r="AK26">
            <v>0</v>
          </cell>
          <cell r="AL26">
            <v>108992.02233333334</v>
          </cell>
          <cell r="AM26">
            <v>-3827.4680000000003</v>
          </cell>
          <cell r="AN26">
            <v>-778.35900000000004</v>
          </cell>
          <cell r="AO26">
            <v>-7206.7719999999999</v>
          </cell>
          <cell r="AP26">
            <v>-191.5</v>
          </cell>
          <cell r="AQ26">
            <v>-391.20500000000004</v>
          </cell>
          <cell r="AR26">
            <v>5298.8019999999997</v>
          </cell>
          <cell r="AS26">
            <v>-59229.440000000002</v>
          </cell>
          <cell r="AT26">
            <v>360000</v>
          </cell>
          <cell r="AU26">
            <v>-5340.2719999999981</v>
          </cell>
          <cell r="AV26">
            <v>288333.78600000002</v>
          </cell>
        </row>
        <row r="27">
          <cell r="E27">
            <v>1122842.6085894187</v>
          </cell>
          <cell r="F27">
            <v>218846.03356467001</v>
          </cell>
          <cell r="G27">
            <v>62817.834358278778</v>
          </cell>
          <cell r="H27">
            <v>-49282.803043778025</v>
          </cell>
          <cell r="I27">
            <v>-21860.145013221765</v>
          </cell>
          <cell r="J27">
            <v>138952.41784327975</v>
          </cell>
          <cell r="K27">
            <v>197260.31149961072</v>
          </cell>
          <cell r="L27">
            <v>19755.570757114809</v>
          </cell>
          <cell r="M27">
            <v>127568.04771293176</v>
          </cell>
          <cell r="N27">
            <v>11451.931292802692</v>
          </cell>
          <cell r="O27">
            <v>-6167.8758880441092</v>
          </cell>
          <cell r="P27">
            <v>-65214.340244650404</v>
          </cell>
          <cell r="Q27">
            <v>21127.885305707008</v>
          </cell>
          <cell r="R27">
            <v>-11781.820048654306</v>
          </cell>
          <cell r="S27">
            <v>16189.328416239638</v>
          </cell>
          <cell r="T27">
            <v>52160.075463467372</v>
          </cell>
          <cell r="U27">
            <v>36120.174219671899</v>
          </cell>
          <cell r="V27">
            <v>29726.642253040642</v>
          </cell>
          <cell r="W27">
            <v>0</v>
          </cell>
          <cell r="X27">
            <v>0</v>
          </cell>
          <cell r="Y27">
            <v>0</v>
          </cell>
          <cell r="Z27">
            <v>777669.26844846644</v>
          </cell>
          <cell r="AA27">
            <v>-2713.7755023726422</v>
          </cell>
          <cell r="AB27">
            <v>80719.688654701342</v>
          </cell>
          <cell r="AC27">
            <v>-153848.9678333333</v>
          </cell>
          <cell r="AD27">
            <v>23690.586488623365</v>
          </cell>
          <cell r="AE27">
            <v>-49438.692690008596</v>
          </cell>
          <cell r="AF27">
            <v>9434.5349999999999</v>
          </cell>
          <cell r="AG27">
            <v>0</v>
          </cell>
          <cell r="AH27">
            <v>23013.388666666669</v>
          </cell>
          <cell r="AI27">
            <v>73329.990666666665</v>
          </cell>
          <cell r="AJ27">
            <v>3214.1080000000002</v>
          </cell>
          <cell r="AK27">
            <v>0</v>
          </cell>
          <cell r="AL27">
            <v>108992.02233333333</v>
          </cell>
          <cell r="AM27">
            <v>-3827.4680000000003</v>
          </cell>
          <cell r="AN27">
            <v>-778.35900000000004</v>
          </cell>
          <cell r="AO27">
            <v>-7206.7719999999999</v>
          </cell>
          <cell r="AP27">
            <v>-191.5</v>
          </cell>
          <cell r="AQ27">
            <v>-391.20500000000004</v>
          </cell>
          <cell r="AR27">
            <v>5298.8019999999997</v>
          </cell>
          <cell r="AS27">
            <v>-59229.440000000002</v>
          </cell>
          <cell r="AT27">
            <v>360000</v>
          </cell>
          <cell r="AU27">
            <v>-5340.2719999999981</v>
          </cell>
          <cell r="AV27">
            <v>288333.78599999996</v>
          </cell>
        </row>
        <row r="28">
          <cell r="E28">
            <v>1.909211277961731E-8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-1.4551915228366852E-11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1.0477378964424133E-8</v>
          </cell>
          <cell r="AA28">
            <v>7.2759576141834259E-12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334358.80391608388</v>
          </cell>
          <cell r="F30">
            <v>39000</v>
          </cell>
          <cell r="G30">
            <v>35000</v>
          </cell>
          <cell r="H30">
            <v>15000</v>
          </cell>
          <cell r="I30">
            <v>13000</v>
          </cell>
          <cell r="J30">
            <v>20000</v>
          </cell>
          <cell r="K30">
            <v>20000</v>
          </cell>
          <cell r="L30">
            <v>9000</v>
          </cell>
          <cell r="M30">
            <v>21000</v>
          </cell>
          <cell r="N30">
            <v>9000</v>
          </cell>
          <cell r="O30">
            <v>12000</v>
          </cell>
          <cell r="P30">
            <v>7500</v>
          </cell>
          <cell r="Q30">
            <v>11500</v>
          </cell>
          <cell r="R30">
            <v>22000</v>
          </cell>
          <cell r="S30">
            <v>10000</v>
          </cell>
          <cell r="T30">
            <v>4500</v>
          </cell>
          <cell r="U30">
            <v>4000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258500</v>
          </cell>
          <cell r="AA30">
            <v>8500</v>
          </cell>
          <cell r="AB30">
            <v>46074.720000000001</v>
          </cell>
          <cell r="AC30">
            <v>1</v>
          </cell>
          <cell r="AD30">
            <v>21283.083916083917</v>
          </cell>
          <cell r="AE30">
            <v>67358.803916083911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35960278.099133141</v>
          </cell>
          <cell r="F31">
            <v>3831719.08</v>
          </cell>
          <cell r="G31">
            <v>3614547.2905161558</v>
          </cell>
          <cell r="H31">
            <v>1474773.4613999999</v>
          </cell>
          <cell r="I31">
            <v>1297852.1203999999</v>
          </cell>
          <cell r="J31">
            <v>2226019.1053999998</v>
          </cell>
          <cell r="K31">
            <v>2081719.5934399995</v>
          </cell>
          <cell r="L31">
            <v>911640.42791999993</v>
          </cell>
          <cell r="M31">
            <v>2226058.3317200001</v>
          </cell>
          <cell r="N31">
            <v>907456.53900000011</v>
          </cell>
          <cell r="O31">
            <v>1163069.8925117524</v>
          </cell>
          <cell r="P31">
            <v>682330.95839999989</v>
          </cell>
          <cell r="Q31">
            <v>1200060.2115</v>
          </cell>
          <cell r="R31">
            <v>2123737.6399999997</v>
          </cell>
          <cell r="S31">
            <v>1019903.1399999999</v>
          </cell>
          <cell r="T31">
            <v>490641.28200000001</v>
          </cell>
          <cell r="U31">
            <v>443808.48148000007</v>
          </cell>
          <cell r="V31">
            <v>736261.62000000011</v>
          </cell>
          <cell r="W31">
            <v>0</v>
          </cell>
          <cell r="X31">
            <v>0</v>
          </cell>
          <cell r="Y31">
            <v>0</v>
          </cell>
          <cell r="Z31">
            <v>26431599.175687913</v>
          </cell>
          <cell r="AA31">
            <v>8197613.5220000008</v>
          </cell>
          <cell r="AB31">
            <v>600527.68000000005</v>
          </cell>
          <cell r="AC31">
            <v>0</v>
          </cell>
          <cell r="AD31">
            <v>607004.38811188808</v>
          </cell>
          <cell r="AE31">
            <v>1207532.0681118881</v>
          </cell>
          <cell r="AF31">
            <v>12500</v>
          </cell>
          <cell r="AG31">
            <v>0</v>
          </cell>
          <cell r="AH31">
            <v>29166.666666666668</v>
          </cell>
          <cell r="AI31">
            <v>75396.666666666672</v>
          </cell>
          <cell r="AJ31">
            <v>4700</v>
          </cell>
          <cell r="AK31">
            <v>0</v>
          </cell>
          <cell r="AL31">
            <v>121763.33333333334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1770</v>
          </cell>
          <cell r="AV31">
            <v>1770</v>
          </cell>
        </row>
        <row r="32">
          <cell r="D32" t="str">
            <v>매출원가</v>
          </cell>
          <cell r="E32">
            <v>32571711.881077439</v>
          </cell>
          <cell r="F32">
            <v>3361889.6028083251</v>
          </cell>
          <cell r="G32">
            <v>3313600.3043608405</v>
          </cell>
          <cell r="H32">
            <v>1394063.9640491661</v>
          </cell>
          <cell r="I32">
            <v>1212689.8728481859</v>
          </cell>
          <cell r="J32">
            <v>1911968.2530499829</v>
          </cell>
          <cell r="K32">
            <v>1720849.7560061892</v>
          </cell>
          <cell r="L32">
            <v>814178.31338892039</v>
          </cell>
          <cell r="M32">
            <v>1931717.1079317562</v>
          </cell>
          <cell r="N32">
            <v>818296.48178656306</v>
          </cell>
          <cell r="O32">
            <v>1082284.2473503824</v>
          </cell>
          <cell r="P32">
            <v>674403.80684777151</v>
          </cell>
          <cell r="Q32">
            <v>1089567.756097446</v>
          </cell>
          <cell r="R32">
            <v>1981747.7362928987</v>
          </cell>
          <cell r="S32">
            <v>916256.06118434365</v>
          </cell>
          <cell r="T32">
            <v>402772.82124729094</v>
          </cell>
          <cell r="U32">
            <v>374458.177722127</v>
          </cell>
          <cell r="V32">
            <v>655336.97432273568</v>
          </cell>
          <cell r="W32">
            <v>0</v>
          </cell>
          <cell r="X32">
            <v>0</v>
          </cell>
          <cell r="Y32">
            <v>0</v>
          </cell>
          <cell r="Z32">
            <v>23656081.23729492</v>
          </cell>
          <cell r="AA32">
            <v>8020259.3359999992</v>
          </cell>
          <cell r="AB32">
            <v>495225.50573888887</v>
          </cell>
          <cell r="AC32">
            <v>153848.9678333333</v>
          </cell>
          <cell r="AD32">
            <v>558466.1932102968</v>
          </cell>
          <cell r="AE32">
            <v>1207540.6667825191</v>
          </cell>
          <cell r="AF32">
            <v>3065.4649999999997</v>
          </cell>
          <cell r="AG32">
            <v>0</v>
          </cell>
          <cell r="AH32">
            <v>6153.2779999999993</v>
          </cell>
          <cell r="AI32">
            <v>2066.6759999999999</v>
          </cell>
          <cell r="AJ32">
            <v>1485.8920000000001</v>
          </cell>
          <cell r="AK32">
            <v>0</v>
          </cell>
          <cell r="AL32">
            <v>12771.310999999998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35059.33</v>
          </cell>
          <cell r="AT32">
            <v>-360000</v>
          </cell>
          <cell r="AU32">
            <v>0</v>
          </cell>
          <cell r="AV32">
            <v>-324940.67</v>
          </cell>
        </row>
        <row r="33">
          <cell r="D33" t="str">
            <v>매출이익</v>
          </cell>
          <cell r="E33">
            <v>3388566.2180556972</v>
          </cell>
          <cell r="F33">
            <v>469829.47719167499</v>
          </cell>
          <cell r="G33">
            <v>300946.9861553153</v>
          </cell>
          <cell r="H33">
            <v>80709.497350833844</v>
          </cell>
          <cell r="I33">
            <v>85162.247551813954</v>
          </cell>
          <cell r="J33">
            <v>314050.85235001682</v>
          </cell>
          <cell r="K33">
            <v>360869.83743381035</v>
          </cell>
          <cell r="L33">
            <v>97462.11453107954</v>
          </cell>
          <cell r="M33">
            <v>294341.22378824395</v>
          </cell>
          <cell r="N33">
            <v>89160.057213437045</v>
          </cell>
          <cell r="O33">
            <v>80785.645161370048</v>
          </cell>
          <cell r="P33">
            <v>7927.1515522283735</v>
          </cell>
          <cell r="Q33">
            <v>110492.45540255401</v>
          </cell>
          <cell r="R33">
            <v>141989.90370710101</v>
          </cell>
          <cell r="S33">
            <v>103647.07881565625</v>
          </cell>
          <cell r="T33">
            <v>87868.46075270907</v>
          </cell>
          <cell r="U33">
            <v>69350.303757873073</v>
          </cell>
          <cell r="V33">
            <v>80924.645677264431</v>
          </cell>
          <cell r="W33">
            <v>0</v>
          </cell>
          <cell r="X33">
            <v>0</v>
          </cell>
          <cell r="Y33">
            <v>0</v>
          </cell>
          <cell r="Z33">
            <v>2775517.9383929931</v>
          </cell>
          <cell r="AA33">
            <v>177354.18600000162</v>
          </cell>
          <cell r="AB33">
            <v>105302.17426111118</v>
          </cell>
          <cell r="AC33">
            <v>-153848.9678333333</v>
          </cell>
          <cell r="AD33">
            <v>48538.194901591283</v>
          </cell>
          <cell r="AE33">
            <v>-8.5986706309486181</v>
          </cell>
          <cell r="AF33">
            <v>9434.5349999999999</v>
          </cell>
          <cell r="AG33">
            <v>0</v>
          </cell>
          <cell r="AH33">
            <v>23013.388666666669</v>
          </cell>
          <cell r="AI33">
            <v>73329.990666666665</v>
          </cell>
          <cell r="AJ33">
            <v>3214.1080000000002</v>
          </cell>
          <cell r="AK33">
            <v>0</v>
          </cell>
          <cell r="AL33">
            <v>108992.02233333334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-35059.33</v>
          </cell>
          <cell r="AT33">
            <v>360000</v>
          </cell>
          <cell r="AU33">
            <v>1770</v>
          </cell>
          <cell r="AV33">
            <v>326710.67</v>
          </cell>
        </row>
        <row r="34">
          <cell r="D34" t="str">
            <v>판관비</v>
          </cell>
          <cell r="E34">
            <v>2265723.6094662673</v>
          </cell>
          <cell r="F34">
            <v>250983.44362700504</v>
          </cell>
          <cell r="G34">
            <v>238129.15179703655</v>
          </cell>
          <cell r="H34">
            <v>129992.30039461186</v>
          </cell>
          <cell r="I34">
            <v>107022.39256503567</v>
          </cell>
          <cell r="J34">
            <v>175098.43450673702</v>
          </cell>
          <cell r="K34">
            <v>163609.52593419954</v>
          </cell>
          <cell r="L34">
            <v>77706.543773964702</v>
          </cell>
          <cell r="M34">
            <v>166773.17607531211</v>
          </cell>
          <cell r="N34">
            <v>77708.125920634368</v>
          </cell>
          <cell r="O34">
            <v>86953.521049414267</v>
          </cell>
          <cell r="P34">
            <v>73141.491796878763</v>
          </cell>
          <cell r="Q34">
            <v>89364.570096846932</v>
          </cell>
          <cell r="R34">
            <v>153771.7237557554</v>
          </cell>
          <cell r="S34">
            <v>87457.750399416589</v>
          </cell>
          <cell r="T34">
            <v>35708.385289241713</v>
          </cell>
          <cell r="U34">
            <v>33230.129538201189</v>
          </cell>
          <cell r="V34">
            <v>51198.00342422376</v>
          </cell>
          <cell r="W34">
            <v>0</v>
          </cell>
          <cell r="X34">
            <v>0</v>
          </cell>
          <cell r="Y34">
            <v>0</v>
          </cell>
          <cell r="Z34">
            <v>1997848.6699445152</v>
          </cell>
          <cell r="AA34">
            <v>180067.96150237427</v>
          </cell>
          <cell r="AB34">
            <v>24582.485606409849</v>
          </cell>
          <cell r="AC34">
            <v>0</v>
          </cell>
          <cell r="AD34">
            <v>24847.608412967911</v>
          </cell>
          <cell r="AE34">
            <v>49430.094019377764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3827.4680000000003</v>
          </cell>
          <cell r="AN34">
            <v>778.35900000000004</v>
          </cell>
          <cell r="AO34">
            <v>7206.7719999999999</v>
          </cell>
          <cell r="AP34">
            <v>191.5</v>
          </cell>
          <cell r="AQ34">
            <v>391.20500000000004</v>
          </cell>
          <cell r="AR34">
            <v>-5298.8019999999997</v>
          </cell>
          <cell r="AS34">
            <v>24170.109999999997</v>
          </cell>
          <cell r="AT34">
            <v>0</v>
          </cell>
          <cell r="AU34">
            <v>7110.2719999999981</v>
          </cell>
          <cell r="AV34">
            <v>38376.883999999998</v>
          </cell>
        </row>
        <row r="35">
          <cell r="D35" t="str">
            <v>영업이익</v>
          </cell>
          <cell r="E35">
            <v>1122842.6085894299</v>
          </cell>
          <cell r="F35">
            <v>218846.03356466995</v>
          </cell>
          <cell r="G35">
            <v>62817.834358278749</v>
          </cell>
          <cell r="H35">
            <v>-49282.803043778011</v>
          </cell>
          <cell r="I35">
            <v>-21860.145013221714</v>
          </cell>
          <cell r="J35">
            <v>138952.41784327981</v>
          </cell>
          <cell r="K35">
            <v>197260.31149961081</v>
          </cell>
          <cell r="L35">
            <v>19755.570757114838</v>
          </cell>
          <cell r="M35">
            <v>127568.04771293185</v>
          </cell>
          <cell r="N35">
            <v>11451.931292802677</v>
          </cell>
          <cell r="O35">
            <v>-6167.8758880442183</v>
          </cell>
          <cell r="P35">
            <v>-65214.34024465039</v>
          </cell>
          <cell r="Q35">
            <v>21127.885305707081</v>
          </cell>
          <cell r="R35">
            <v>-11781.820048654394</v>
          </cell>
          <cell r="S35">
            <v>16189.328416239659</v>
          </cell>
          <cell r="T35">
            <v>52160.075463467358</v>
          </cell>
          <cell r="U35">
            <v>36120.174219671884</v>
          </cell>
          <cell r="V35">
            <v>29726.642253040671</v>
          </cell>
          <cell r="W35">
            <v>0</v>
          </cell>
          <cell r="X35">
            <v>0</v>
          </cell>
          <cell r="Y35">
            <v>0</v>
          </cell>
          <cell r="Z35">
            <v>777669.26844847784</v>
          </cell>
          <cell r="AA35">
            <v>-2713.7755023726495</v>
          </cell>
          <cell r="AB35">
            <v>80719.688654701342</v>
          </cell>
          <cell r="AC35">
            <v>-153848.9678333333</v>
          </cell>
          <cell r="AD35">
            <v>23690.586488623372</v>
          </cell>
          <cell r="AE35">
            <v>-49438.692690008713</v>
          </cell>
          <cell r="AF35">
            <v>9434.5349999999999</v>
          </cell>
          <cell r="AG35">
            <v>0</v>
          </cell>
          <cell r="AH35">
            <v>23013.388666666669</v>
          </cell>
          <cell r="AI35">
            <v>73329.990666666665</v>
          </cell>
          <cell r="AJ35">
            <v>3214.1080000000002</v>
          </cell>
          <cell r="AK35">
            <v>0</v>
          </cell>
          <cell r="AL35">
            <v>108992.02233333334</v>
          </cell>
          <cell r="AM35">
            <v>-3827.4680000000003</v>
          </cell>
          <cell r="AN35">
            <v>-778.35900000000004</v>
          </cell>
          <cell r="AO35">
            <v>-7206.7719999999999</v>
          </cell>
          <cell r="AP35">
            <v>-191.5</v>
          </cell>
          <cell r="AQ35">
            <v>-391.20500000000004</v>
          </cell>
          <cell r="AR35">
            <v>5298.8019999999997</v>
          </cell>
          <cell r="AS35">
            <v>-59229.440000000002</v>
          </cell>
          <cell r="AT35">
            <v>360000</v>
          </cell>
          <cell r="AU35">
            <v>-5340.2719999999981</v>
          </cell>
          <cell r="AV35">
            <v>288333.78599999996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속초</v>
          </cell>
          <cell r="AP6" t="str">
            <v>양양</v>
          </cell>
          <cell r="AQ6" t="str">
            <v>경포</v>
          </cell>
          <cell r="AR6" t="str">
            <v>한스타워</v>
          </cell>
          <cell r="AS6" t="str">
            <v>임금인상</v>
          </cell>
          <cell r="AT6" t="str">
            <v>시멘트소급</v>
          </cell>
          <cell r="AU6" t="str">
            <v>기타</v>
          </cell>
          <cell r="AV6" t="str">
            <v>기타 계</v>
          </cell>
        </row>
        <row r="7">
          <cell r="D7" t="str">
            <v>물     량</v>
          </cell>
          <cell r="F7">
            <v>96000</v>
          </cell>
          <cell r="G7">
            <v>82000</v>
          </cell>
          <cell r="H7">
            <v>34000</v>
          </cell>
          <cell r="I7">
            <v>29000</v>
          </cell>
          <cell r="J7">
            <v>54000</v>
          </cell>
          <cell r="K7">
            <v>54000</v>
          </cell>
          <cell r="L7">
            <v>23000</v>
          </cell>
          <cell r="M7">
            <v>58000</v>
          </cell>
          <cell r="N7">
            <v>21000</v>
          </cell>
          <cell r="O7">
            <v>28999.999999999993</v>
          </cell>
          <cell r="P7">
            <v>20500</v>
          </cell>
          <cell r="Q7">
            <v>24500</v>
          </cell>
          <cell r="R7">
            <v>42000</v>
          </cell>
          <cell r="S7">
            <v>21000</v>
          </cell>
          <cell r="T7">
            <v>9500</v>
          </cell>
          <cell r="U7">
            <v>9999.7999999999993</v>
          </cell>
          <cell r="V7">
            <v>17000</v>
          </cell>
          <cell r="W7">
            <v>0</v>
          </cell>
          <cell r="X7">
            <v>0</v>
          </cell>
          <cell r="Y7">
            <v>0</v>
          </cell>
          <cell r="Z7">
            <v>624499.80000000005</v>
          </cell>
          <cell r="AA7">
            <v>23500</v>
          </cell>
          <cell r="AB7">
            <v>124975.10666666666</v>
          </cell>
          <cell r="AC7">
            <v>18219.239999999998</v>
          </cell>
          <cell r="AD7">
            <v>59218.284475524481</v>
          </cell>
          <cell r="AE7">
            <v>202412.63114219112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D8" t="str">
            <v>매 출 액</v>
          </cell>
          <cell r="E8">
            <v>89924036.016367868</v>
          </cell>
          <cell r="F8">
            <v>9437370.3859999999</v>
          </cell>
          <cell r="G8">
            <v>8315901.0085902279</v>
          </cell>
          <cell r="H8">
            <v>3265304.483</v>
          </cell>
          <cell r="I8">
            <v>2907338.9756</v>
          </cell>
          <cell r="J8">
            <v>5890603.9831999997</v>
          </cell>
          <cell r="K8">
            <v>5483531.2153699994</v>
          </cell>
          <cell r="L8">
            <v>2257152.0435600001</v>
          </cell>
          <cell r="M8">
            <v>5922261.4294499997</v>
          </cell>
          <cell r="N8">
            <v>2058526.291</v>
          </cell>
          <cell r="O8">
            <v>2834856.2112135184</v>
          </cell>
          <cell r="P8">
            <v>1861284.6747569998</v>
          </cell>
          <cell r="Q8">
            <v>2562852.5467999997</v>
          </cell>
          <cell r="R8">
            <v>4098103.9599999995</v>
          </cell>
          <cell r="S8">
            <v>2140657.0499999998</v>
          </cell>
          <cell r="T8">
            <v>1069559.0699999998</v>
          </cell>
          <cell r="U8">
            <v>1132508.6322840001</v>
          </cell>
          <cell r="V8">
            <v>2064966.4400000002</v>
          </cell>
          <cell r="W8">
            <v>0</v>
          </cell>
          <cell r="X8">
            <v>0</v>
          </cell>
          <cell r="Y8">
            <v>0</v>
          </cell>
          <cell r="Z8">
            <v>63302778.400824741</v>
          </cell>
          <cell r="AA8">
            <v>22587069.302000001</v>
          </cell>
          <cell r="AB8">
            <v>1613434.2633333334</v>
          </cell>
          <cell r="AC8">
            <v>367708.36</v>
          </cell>
          <cell r="AD8">
            <v>1687145.6902097901</v>
          </cell>
          <cell r="AE8">
            <v>3668288.3135431237</v>
          </cell>
          <cell r="AF8">
            <v>37500</v>
          </cell>
          <cell r="AG8">
            <v>0</v>
          </cell>
          <cell r="AH8">
            <v>87500</v>
          </cell>
          <cell r="AI8">
            <v>226190</v>
          </cell>
          <cell r="AJ8">
            <v>9400</v>
          </cell>
          <cell r="AK8">
            <v>0</v>
          </cell>
          <cell r="AL8">
            <v>360590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5310</v>
          </cell>
          <cell r="AV8">
            <v>5310</v>
          </cell>
        </row>
        <row r="9">
          <cell r="D9" t="str">
            <v xml:space="preserve"> - 단  위  당</v>
          </cell>
          <cell r="F9">
            <v>98305.941520833323</v>
          </cell>
          <cell r="G9">
            <v>101413.42693402717</v>
          </cell>
          <cell r="H9">
            <v>96038.367147058816</v>
          </cell>
          <cell r="I9">
            <v>100253.06812413792</v>
          </cell>
          <cell r="J9">
            <v>109085.25894814814</v>
          </cell>
          <cell r="K9">
            <v>101546.87435870369</v>
          </cell>
          <cell r="L9">
            <v>98137.045372173918</v>
          </cell>
          <cell r="M9">
            <v>102107.95568017241</v>
          </cell>
          <cell r="N9">
            <v>98025.061476190473</v>
          </cell>
          <cell r="O9">
            <v>97753.662455638594</v>
          </cell>
          <cell r="P9">
            <v>90794.374378390232</v>
          </cell>
          <cell r="Q9">
            <v>104606.22639999999</v>
          </cell>
          <cell r="R9">
            <v>97573.903809523792</v>
          </cell>
          <cell r="S9">
            <v>101936.04999999999</v>
          </cell>
          <cell r="T9">
            <v>112585.16526315788</v>
          </cell>
          <cell r="U9">
            <v>113253.12829096583</v>
          </cell>
          <cell r="V9">
            <v>121468.61411764707</v>
          </cell>
          <cell r="W9">
            <v>0</v>
          </cell>
          <cell r="X9">
            <v>0</v>
          </cell>
          <cell r="Y9">
            <v>0</v>
          </cell>
          <cell r="Z9">
            <v>101365.57033456974</v>
          </cell>
          <cell r="AA9">
            <v>961151.88519148948</v>
          </cell>
          <cell r="AB9">
            <v>12910.045099114674</v>
          </cell>
          <cell r="AC9">
            <v>20182.420342451169</v>
          </cell>
          <cell r="AD9">
            <v>28490.283113606656</v>
          </cell>
          <cell r="AE9">
            <v>18122.823130371835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D10" t="str">
            <v>매출원가</v>
          </cell>
          <cell r="E10">
            <v>83126143.709504008</v>
          </cell>
          <cell r="F10">
            <v>8451305.7041366082</v>
          </cell>
          <cell r="G10">
            <v>7836974.2838001987</v>
          </cell>
          <cell r="H10">
            <v>3218951.3470574282</v>
          </cell>
          <cell r="I10">
            <v>2786544.1732518007</v>
          </cell>
          <cell r="J10">
            <v>5154625.4500471009</v>
          </cell>
          <cell r="K10">
            <v>4686192.7576000392</v>
          </cell>
          <cell r="L10">
            <v>2127218.5057856264</v>
          </cell>
          <cell r="M10">
            <v>5336283.2210957743</v>
          </cell>
          <cell r="N10">
            <v>1947348.9676960981</v>
          </cell>
          <cell r="O10">
            <v>2645322.6964315213</v>
          </cell>
          <cell r="P10">
            <v>1820152.0671616949</v>
          </cell>
          <cell r="Q10">
            <v>2475447.3567858008</v>
          </cell>
          <cell r="R10">
            <v>3886892.8320239866</v>
          </cell>
          <cell r="S10">
            <v>1980627.1988371215</v>
          </cell>
          <cell r="T10">
            <v>907466.40007799608</v>
          </cell>
          <cell r="U10">
            <v>968586.8679200022</v>
          </cell>
          <cell r="V10">
            <v>1835547.4454472128</v>
          </cell>
          <cell r="W10">
            <v>0</v>
          </cell>
          <cell r="X10">
            <v>0</v>
          </cell>
          <cell r="Y10">
            <v>0</v>
          </cell>
          <cell r="Z10">
            <v>58065487.275156021</v>
          </cell>
          <cell r="AA10">
            <v>22104322.995999999</v>
          </cell>
          <cell r="AB10">
            <v>1214674.7123333332</v>
          </cell>
          <cell r="AC10">
            <v>588441.64950000006</v>
          </cell>
          <cell r="AD10">
            <v>1474944.7465146587</v>
          </cell>
          <cell r="AE10">
            <v>3278061.1083479919</v>
          </cell>
          <cell r="AF10">
            <v>360</v>
          </cell>
          <cell r="AG10">
            <v>0</v>
          </cell>
          <cell r="AH10">
            <v>1617</v>
          </cell>
          <cell r="AI10">
            <v>717</v>
          </cell>
          <cell r="AJ10">
            <v>519</v>
          </cell>
          <cell r="AK10">
            <v>0</v>
          </cell>
          <cell r="AL10">
            <v>3213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35059.33</v>
          </cell>
          <cell r="AT10">
            <v>-360000</v>
          </cell>
          <cell r="AU10">
            <v>0</v>
          </cell>
          <cell r="AV10">
            <v>-324940.67</v>
          </cell>
        </row>
        <row r="11">
          <cell r="D11" t="str">
            <v xml:space="preserve"> - 단  위  당</v>
          </cell>
          <cell r="F11">
            <v>88034.434418089673</v>
          </cell>
          <cell r="G11">
            <v>95572.857119514621</v>
          </cell>
          <cell r="H11">
            <v>94675.039619336123</v>
          </cell>
          <cell r="I11">
            <v>96087.730112131059</v>
          </cell>
          <cell r="J11">
            <v>95456.026852724099</v>
          </cell>
          <cell r="K11">
            <v>86781.347362963686</v>
          </cell>
          <cell r="L11">
            <v>92487.761121114192</v>
          </cell>
          <cell r="M11">
            <v>92004.883122340936</v>
          </cell>
          <cell r="N11">
            <v>92730.903223623725</v>
          </cell>
          <cell r="O11">
            <v>91218.024014880066</v>
          </cell>
          <cell r="P11">
            <v>88787.90571520463</v>
          </cell>
          <cell r="Q11">
            <v>101038.66762391022</v>
          </cell>
          <cell r="R11">
            <v>92545.067429142538</v>
          </cell>
          <cell r="S11">
            <v>94315.580897005784</v>
          </cell>
          <cell r="T11">
            <v>95522.778955578528</v>
          </cell>
          <cell r="U11">
            <v>96860.624004480313</v>
          </cell>
          <cell r="V11">
            <v>107973.37914395369</v>
          </cell>
          <cell r="W11">
            <v>0</v>
          </cell>
          <cell r="X11">
            <v>0</v>
          </cell>
          <cell r="Y11">
            <v>0</v>
          </cell>
          <cell r="Z11">
            <v>92979.192747789537</v>
          </cell>
          <cell r="AA11">
            <v>940609.48919148941</v>
          </cell>
          <cell r="AB11">
            <v>9719.3332714899061</v>
          </cell>
          <cell r="AC11">
            <v>32297.815358928263</v>
          </cell>
          <cell r="AD11">
            <v>24906.914470382344</v>
          </cell>
          <cell r="AE11">
            <v>16194.943417563771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D12" t="str">
            <v>매출이익</v>
          </cell>
          <cell r="E12">
            <v>6797892.3068638593</v>
          </cell>
          <cell r="F12">
            <v>986064.68186339177</v>
          </cell>
          <cell r="G12">
            <v>478926.72479002923</v>
          </cell>
          <cell r="H12">
            <v>46353.135942571796</v>
          </cell>
          <cell r="I12">
            <v>120794.8023481993</v>
          </cell>
          <cell r="J12">
            <v>735978.53315289877</v>
          </cell>
          <cell r="K12">
            <v>797338.45776996017</v>
          </cell>
          <cell r="L12">
            <v>129933.53777437378</v>
          </cell>
          <cell r="M12">
            <v>585978.20835422538</v>
          </cell>
          <cell r="N12">
            <v>111177.32330390182</v>
          </cell>
          <cell r="O12">
            <v>189533.51478199707</v>
          </cell>
          <cell r="P12">
            <v>41132.607595304959</v>
          </cell>
          <cell r="Q12">
            <v>87405.190014198888</v>
          </cell>
          <cell r="R12">
            <v>211211.12797601288</v>
          </cell>
          <cell r="S12">
            <v>160029.85116287833</v>
          </cell>
          <cell r="T12">
            <v>162092.66992200376</v>
          </cell>
          <cell r="U12">
            <v>163921.76436399785</v>
          </cell>
          <cell r="V12">
            <v>229418.99455278739</v>
          </cell>
          <cell r="W12">
            <v>0</v>
          </cell>
          <cell r="X12">
            <v>0</v>
          </cell>
          <cell r="Y12">
            <v>0</v>
          </cell>
          <cell r="Z12">
            <v>5237291.1256687194</v>
          </cell>
          <cell r="AA12">
            <v>482746.30600000173</v>
          </cell>
          <cell r="AB12">
            <v>398759.55100000021</v>
          </cell>
          <cell r="AC12">
            <v>-220733.28950000007</v>
          </cell>
          <cell r="AD12">
            <v>212200.94369513146</v>
          </cell>
          <cell r="AE12">
            <v>390227.20519513171</v>
          </cell>
          <cell r="AF12">
            <v>37140</v>
          </cell>
          <cell r="AG12">
            <v>0</v>
          </cell>
          <cell r="AH12">
            <v>85883</v>
          </cell>
          <cell r="AI12">
            <v>225473</v>
          </cell>
          <cell r="AJ12">
            <v>8881</v>
          </cell>
          <cell r="AK12">
            <v>0</v>
          </cell>
          <cell r="AL12">
            <v>357377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-35059.33</v>
          </cell>
          <cell r="AT12">
            <v>360000</v>
          </cell>
          <cell r="AU12">
            <v>5310</v>
          </cell>
          <cell r="AV12">
            <v>330250.67</v>
          </cell>
        </row>
        <row r="13">
          <cell r="D13" t="str">
            <v>판 관 비</v>
          </cell>
          <cell r="E13">
            <v>2532155.7489999998</v>
          </cell>
          <cell r="F13">
            <v>207616.359</v>
          </cell>
          <cell r="G13">
            <v>202273.01500000001</v>
          </cell>
          <cell r="H13">
            <v>161334.71800000002</v>
          </cell>
          <cell r="I13">
            <v>121908.76500000001</v>
          </cell>
          <cell r="J13">
            <v>179494.698</v>
          </cell>
          <cell r="K13">
            <v>166489.56800000003</v>
          </cell>
          <cell r="L13">
            <v>95964.410999999993</v>
          </cell>
          <cell r="M13">
            <v>152901.61300000001</v>
          </cell>
          <cell r="N13">
            <v>88159.890000000014</v>
          </cell>
          <cell r="O13">
            <v>83827.53899999999</v>
          </cell>
          <cell r="P13">
            <v>98940.565000000002</v>
          </cell>
          <cell r="Q13">
            <v>86458.278000000006</v>
          </cell>
          <cell r="R13">
            <v>153064.75700000001</v>
          </cell>
          <cell r="S13">
            <v>102064.35399999999</v>
          </cell>
          <cell r="T13">
            <v>38082.239000000001</v>
          </cell>
          <cell r="U13">
            <v>37096.092999999993</v>
          </cell>
          <cell r="V13">
            <v>49086.600000000006</v>
          </cell>
          <cell r="W13">
            <v>0</v>
          </cell>
          <cell r="X13">
            <v>0</v>
          </cell>
          <cell r="Y13">
            <v>0</v>
          </cell>
          <cell r="Z13">
            <v>2024763.4619999998</v>
          </cell>
          <cell r="AA13">
            <v>442337.67699999997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1654.5</v>
          </cell>
          <cell r="AN13">
            <v>1282.5</v>
          </cell>
          <cell r="AO13">
            <v>5526</v>
          </cell>
          <cell r="AP13">
            <v>574.5</v>
          </cell>
          <cell r="AQ13">
            <v>450</v>
          </cell>
          <cell r="AR13">
            <v>31397</v>
          </cell>
          <cell r="AS13">
            <v>24170.109999999997</v>
          </cell>
          <cell r="AT13">
            <v>0</v>
          </cell>
          <cell r="AU13">
            <v>0</v>
          </cell>
          <cell r="AV13">
            <v>65054.61</v>
          </cell>
        </row>
        <row r="14">
          <cell r="D14" t="str">
            <v xml:space="preserve"> - 노   무   비</v>
          </cell>
          <cell r="E14">
            <v>1730019.8390000002</v>
          </cell>
          <cell r="F14">
            <v>150754.69899999999</v>
          </cell>
          <cell r="G14">
            <v>146058.33500000002</v>
          </cell>
          <cell r="H14">
            <v>111625.44800000002</v>
          </cell>
          <cell r="I14">
            <v>85658.065000000002</v>
          </cell>
          <cell r="J14">
            <v>128125.16800000001</v>
          </cell>
          <cell r="K14">
            <v>117656.54800000001</v>
          </cell>
          <cell r="L14">
            <v>68677.870999999999</v>
          </cell>
          <cell r="M14">
            <v>107358.45299999999</v>
          </cell>
          <cell r="N14">
            <v>59680.200000000012</v>
          </cell>
          <cell r="O14">
            <v>60538.088999999993</v>
          </cell>
          <cell r="P14">
            <v>66218.494999999995</v>
          </cell>
          <cell r="Q14">
            <v>61176.338000000003</v>
          </cell>
          <cell r="R14">
            <v>107603.62700000001</v>
          </cell>
          <cell r="S14">
            <v>69298.813999999998</v>
          </cell>
          <cell r="T14">
            <v>26122.868999999999</v>
          </cell>
          <cell r="U14">
            <v>23172.382999999998</v>
          </cell>
          <cell r="V14">
            <v>33744.51</v>
          </cell>
          <cell r="W14">
            <v>0</v>
          </cell>
          <cell r="X14">
            <v>0</v>
          </cell>
          <cell r="Y14">
            <v>0</v>
          </cell>
          <cell r="Z14">
            <v>1423469.912</v>
          </cell>
          <cell r="AA14">
            <v>282379.81699999998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24170.109999999997</v>
          </cell>
          <cell r="AT14">
            <v>0</v>
          </cell>
          <cell r="AU14">
            <v>0</v>
          </cell>
          <cell r="AV14">
            <v>24170.109999999997</v>
          </cell>
        </row>
        <row r="15">
          <cell r="D15" t="str">
            <v xml:space="preserve"> - 경        비</v>
          </cell>
          <cell r="E15">
            <v>802135.90999999992</v>
          </cell>
          <cell r="F15">
            <v>56861.66</v>
          </cell>
          <cell r="G15">
            <v>56214.68</v>
          </cell>
          <cell r="H15">
            <v>49709.270000000004</v>
          </cell>
          <cell r="I15">
            <v>36250.700000000004</v>
          </cell>
          <cell r="J15">
            <v>51369.53</v>
          </cell>
          <cell r="K15">
            <v>48833.020000000004</v>
          </cell>
          <cell r="L15">
            <v>27286.54</v>
          </cell>
          <cell r="M15">
            <v>45543.16</v>
          </cell>
          <cell r="N15">
            <v>28479.690000000002</v>
          </cell>
          <cell r="O15">
            <v>23289.449999999997</v>
          </cell>
          <cell r="P15">
            <v>32722.07</v>
          </cell>
          <cell r="Q15">
            <v>25281.940000000002</v>
          </cell>
          <cell r="R15">
            <v>45461.130000000005</v>
          </cell>
          <cell r="S15">
            <v>32765.54</v>
          </cell>
          <cell r="T15">
            <v>11959.37</v>
          </cell>
          <cell r="U15">
            <v>13923.71</v>
          </cell>
          <cell r="V15">
            <v>15342.09</v>
          </cell>
          <cell r="W15">
            <v>0</v>
          </cell>
          <cell r="X15">
            <v>0</v>
          </cell>
          <cell r="Y15">
            <v>0</v>
          </cell>
          <cell r="Z15">
            <v>601293.54999999993</v>
          </cell>
          <cell r="AA15">
            <v>159957.85999999999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1654.5</v>
          </cell>
          <cell r="AN15">
            <v>1282.5</v>
          </cell>
          <cell r="AO15">
            <v>5526</v>
          </cell>
          <cell r="AP15">
            <v>574.5</v>
          </cell>
          <cell r="AQ15">
            <v>450</v>
          </cell>
          <cell r="AR15">
            <v>31397</v>
          </cell>
          <cell r="AS15">
            <v>0</v>
          </cell>
          <cell r="AT15">
            <v>0</v>
          </cell>
          <cell r="AU15">
            <v>0</v>
          </cell>
          <cell r="AV15">
            <v>40884.5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D17" t="str">
            <v>EBITDA</v>
          </cell>
          <cell r="E17">
            <v>4265736.5578638595</v>
          </cell>
          <cell r="F17">
            <v>778448.32286339183</v>
          </cell>
          <cell r="G17">
            <v>276653.70979002921</v>
          </cell>
          <cell r="H17">
            <v>-114981.58205742823</v>
          </cell>
          <cell r="I17">
            <v>-1113.9626518007135</v>
          </cell>
          <cell r="J17">
            <v>556483.8351528988</v>
          </cell>
          <cell r="K17">
            <v>630848.88976996019</v>
          </cell>
          <cell r="L17">
            <v>33969.126774373784</v>
          </cell>
          <cell r="M17">
            <v>433076.59535422537</v>
          </cell>
          <cell r="N17">
            <v>23017.433303901809</v>
          </cell>
          <cell r="O17">
            <v>105705.97578199708</v>
          </cell>
          <cell r="P17">
            <v>-57807.957404695044</v>
          </cell>
          <cell r="Q17">
            <v>946.91201419888239</v>
          </cell>
          <cell r="R17">
            <v>58146.37097601287</v>
          </cell>
          <cell r="S17">
            <v>57965.497162878339</v>
          </cell>
          <cell r="T17">
            <v>124010.43092200375</v>
          </cell>
          <cell r="U17">
            <v>126825.67136399786</v>
          </cell>
          <cell r="V17">
            <v>180332.39455278739</v>
          </cell>
          <cell r="W17">
            <v>0</v>
          </cell>
          <cell r="X17">
            <v>0</v>
          </cell>
          <cell r="Y17">
            <v>0</v>
          </cell>
          <cell r="Z17">
            <v>3212527.6636687196</v>
          </cell>
          <cell r="AA17">
            <v>40408.629000001762</v>
          </cell>
          <cell r="AB17">
            <v>398759.55100000021</v>
          </cell>
          <cell r="AC17">
            <v>-220733.28950000007</v>
          </cell>
          <cell r="AD17">
            <v>212200.94369513146</v>
          </cell>
          <cell r="AE17">
            <v>390227.20519513171</v>
          </cell>
          <cell r="AF17">
            <v>37140</v>
          </cell>
          <cell r="AG17">
            <v>0</v>
          </cell>
          <cell r="AH17">
            <v>85883</v>
          </cell>
          <cell r="AI17">
            <v>225473</v>
          </cell>
          <cell r="AJ17">
            <v>8881</v>
          </cell>
          <cell r="AK17">
            <v>0</v>
          </cell>
          <cell r="AL17">
            <v>357377</v>
          </cell>
          <cell r="AM17">
            <v>-1654.5</v>
          </cell>
          <cell r="AN17">
            <v>-1282.5</v>
          </cell>
          <cell r="AO17">
            <v>-5526</v>
          </cell>
          <cell r="AP17">
            <v>-574.5</v>
          </cell>
          <cell r="AQ17">
            <v>-450</v>
          </cell>
          <cell r="AR17">
            <v>-31397</v>
          </cell>
          <cell r="AS17">
            <v>-59229.440000000002</v>
          </cell>
          <cell r="AT17">
            <v>360000</v>
          </cell>
          <cell r="AU17">
            <v>5310</v>
          </cell>
          <cell r="AV17">
            <v>265196.06</v>
          </cell>
        </row>
        <row r="18">
          <cell r="D18" t="str">
            <v>감가상각비</v>
          </cell>
          <cell r="E18">
            <v>1764036.6143297479</v>
          </cell>
          <cell r="F18">
            <v>92751.45722222222</v>
          </cell>
          <cell r="G18">
            <v>108320.71711111112</v>
          </cell>
          <cell r="H18">
            <v>73132.962333333344</v>
          </cell>
          <cell r="I18">
            <v>55840.892222222225</v>
          </cell>
          <cell r="J18">
            <v>143283.655</v>
          </cell>
          <cell r="K18">
            <v>70810.284999999989</v>
          </cell>
          <cell r="L18">
            <v>39456.661111111112</v>
          </cell>
          <cell r="M18">
            <v>56353.659111111112</v>
          </cell>
          <cell r="N18">
            <v>36615.789000000004</v>
          </cell>
          <cell r="O18">
            <v>94073.431444444446</v>
          </cell>
          <cell r="P18">
            <v>47336.098309412671</v>
          </cell>
          <cell r="Q18">
            <v>46566.117832514858</v>
          </cell>
          <cell r="R18">
            <v>98335.85</v>
          </cell>
          <cell r="S18">
            <v>65332.031888888894</v>
          </cell>
          <cell r="T18">
            <v>31065.125666666663</v>
          </cell>
          <cell r="U18">
            <v>18094.376999999997</v>
          </cell>
          <cell r="V18">
            <v>38309.902082264511</v>
          </cell>
          <cell r="W18">
            <v>0</v>
          </cell>
          <cell r="X18">
            <v>0</v>
          </cell>
          <cell r="Y18">
            <v>0</v>
          </cell>
          <cell r="Z18">
            <v>1115679.0123353035</v>
          </cell>
          <cell r="AA18">
            <v>15558.789000000001</v>
          </cell>
          <cell r="AB18">
            <v>209106.10599444446</v>
          </cell>
          <cell r="AC18">
            <v>173897.18399999998</v>
          </cell>
          <cell r="AD18">
            <v>109570.894</v>
          </cell>
          <cell r="AE18">
            <v>492574.18399444444</v>
          </cell>
          <cell r="AF18">
            <v>9258.8729999999996</v>
          </cell>
          <cell r="AG18">
            <v>0</v>
          </cell>
          <cell r="AH18">
            <v>22058.807999999997</v>
          </cell>
          <cell r="AI18">
            <v>12875.88</v>
          </cell>
          <cell r="AJ18">
            <v>3938.6760000000004</v>
          </cell>
          <cell r="AK18">
            <v>0</v>
          </cell>
          <cell r="AL18">
            <v>48132.236999999994</v>
          </cell>
          <cell r="AM18">
            <v>9827.9040000000005</v>
          </cell>
          <cell r="AN18">
            <v>1052.5770000000002</v>
          </cell>
          <cell r="AO18">
            <v>16827.87</v>
          </cell>
          <cell r="AP18">
            <v>0</v>
          </cell>
          <cell r="AQ18">
            <v>723.61500000000001</v>
          </cell>
          <cell r="AR18">
            <v>22417.968000000004</v>
          </cell>
          <cell r="AS18">
            <v>0</v>
          </cell>
          <cell r="AT18">
            <v>0</v>
          </cell>
          <cell r="AU18">
            <v>41242.457999999991</v>
          </cell>
          <cell r="AV18">
            <v>92092.391999999993</v>
          </cell>
        </row>
        <row r="19">
          <cell r="D19" t="str">
            <v xml:space="preserve"> - 제        조</v>
          </cell>
          <cell r="E19">
            <v>1592676.3773297479</v>
          </cell>
          <cell r="F19">
            <v>85866.850222222216</v>
          </cell>
          <cell r="G19">
            <v>102547.31011111112</v>
          </cell>
          <cell r="H19">
            <v>66959.400333333338</v>
          </cell>
          <cell r="I19">
            <v>52264.928222222225</v>
          </cell>
          <cell r="J19">
            <v>137686.45600000001</v>
          </cell>
          <cell r="K19">
            <v>66148.077999999994</v>
          </cell>
          <cell r="L19">
            <v>35875.864111111114</v>
          </cell>
          <cell r="M19">
            <v>50552.544111111114</v>
          </cell>
          <cell r="N19">
            <v>35476.881000000001</v>
          </cell>
          <cell r="O19">
            <v>91559.332444444444</v>
          </cell>
          <cell r="P19">
            <v>44896.291309412671</v>
          </cell>
          <cell r="Q19">
            <v>43010.151832514857</v>
          </cell>
          <cell r="R19">
            <v>93643.853000000003</v>
          </cell>
          <cell r="S19">
            <v>62892.224888888893</v>
          </cell>
          <cell r="T19">
            <v>29736.518666666663</v>
          </cell>
          <cell r="U19">
            <v>16983.176999999996</v>
          </cell>
          <cell r="V19">
            <v>35870.09508226451</v>
          </cell>
          <cell r="W19">
            <v>0</v>
          </cell>
          <cell r="X19">
            <v>0</v>
          </cell>
          <cell r="Y19">
            <v>0</v>
          </cell>
          <cell r="Z19">
            <v>1051969.9563353034</v>
          </cell>
          <cell r="AA19">
            <v>0</v>
          </cell>
          <cell r="AB19">
            <v>209106.10599444446</v>
          </cell>
          <cell r="AC19">
            <v>173897.18399999998</v>
          </cell>
          <cell r="AD19">
            <v>109570.894</v>
          </cell>
          <cell r="AE19">
            <v>492574.18399444444</v>
          </cell>
          <cell r="AF19">
            <v>9258.8729999999996</v>
          </cell>
          <cell r="AG19">
            <v>0</v>
          </cell>
          <cell r="AH19">
            <v>22058.807999999997</v>
          </cell>
          <cell r="AI19">
            <v>12875.88</v>
          </cell>
          <cell r="AJ19">
            <v>3938.6760000000004</v>
          </cell>
          <cell r="AK19">
            <v>0</v>
          </cell>
          <cell r="AL19">
            <v>48132.236999999994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D20" t="str">
            <v xml:space="preserve"> - 판        매</v>
          </cell>
          <cell r="E20">
            <v>171360.23700000002</v>
          </cell>
          <cell r="F20">
            <v>6884.607</v>
          </cell>
          <cell r="G20">
            <v>5773.4070000000002</v>
          </cell>
          <cell r="H20">
            <v>6173.5619999999999</v>
          </cell>
          <cell r="I20">
            <v>3575.9639999999999</v>
          </cell>
          <cell r="J20">
            <v>5597.1989999999996</v>
          </cell>
          <cell r="K20">
            <v>4662.2070000000003</v>
          </cell>
          <cell r="L20">
            <v>3580.7970000000005</v>
          </cell>
          <cell r="M20">
            <v>5801.1150000000007</v>
          </cell>
          <cell r="N20">
            <v>1138.9079999999999</v>
          </cell>
          <cell r="O20">
            <v>2514.0990000000002</v>
          </cell>
          <cell r="P20">
            <v>2439.8069999999998</v>
          </cell>
          <cell r="Q20">
            <v>3555.9660000000003</v>
          </cell>
          <cell r="R20">
            <v>4691.9970000000003</v>
          </cell>
          <cell r="S20">
            <v>2439.8069999999998</v>
          </cell>
          <cell r="T20">
            <v>1328.607</v>
          </cell>
          <cell r="U20">
            <v>1111.1999999999998</v>
          </cell>
          <cell r="V20">
            <v>2439.8069999999998</v>
          </cell>
          <cell r="W20">
            <v>0</v>
          </cell>
          <cell r="X20">
            <v>0</v>
          </cell>
          <cell r="Y20">
            <v>0</v>
          </cell>
          <cell r="Z20">
            <v>63709.056000000011</v>
          </cell>
          <cell r="AA20">
            <v>15558.789000000001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9827.9040000000005</v>
          </cell>
          <cell r="AN20">
            <v>1052.5770000000002</v>
          </cell>
          <cell r="AO20">
            <v>16827.87</v>
          </cell>
          <cell r="AP20">
            <v>0</v>
          </cell>
          <cell r="AQ20">
            <v>723.61500000000001</v>
          </cell>
          <cell r="AR20">
            <v>22417.968000000004</v>
          </cell>
          <cell r="AS20">
            <v>0</v>
          </cell>
          <cell r="AT20">
            <v>0</v>
          </cell>
          <cell r="AU20">
            <v>41242.457999999991</v>
          </cell>
          <cell r="AV20">
            <v>92092.391999999993</v>
          </cell>
        </row>
        <row r="21">
          <cell r="D21" t="str">
            <v>영업이익 I</v>
          </cell>
          <cell r="E21">
            <v>2501699.9435341116</v>
          </cell>
          <cell r="F21">
            <v>685696.8656411696</v>
          </cell>
          <cell r="G21">
            <v>168332.99267891809</v>
          </cell>
          <cell r="H21">
            <v>-188114.54439076158</v>
          </cell>
          <cell r="I21">
            <v>-56954.854874022938</v>
          </cell>
          <cell r="J21">
            <v>413200.18015289877</v>
          </cell>
          <cell r="K21">
            <v>560038.60476996016</v>
          </cell>
          <cell r="L21">
            <v>-5487.534336737328</v>
          </cell>
          <cell r="M21">
            <v>376722.93624311424</v>
          </cell>
          <cell r="N21">
            <v>-13598.355696098195</v>
          </cell>
          <cell r="O21">
            <v>11632.544337552637</v>
          </cell>
          <cell r="P21">
            <v>-105144.05571410772</v>
          </cell>
          <cell r="Q21">
            <v>-45619.205818315975</v>
          </cell>
          <cell r="R21">
            <v>-40189.479023987136</v>
          </cell>
          <cell r="S21">
            <v>-7366.5347260105555</v>
          </cell>
          <cell r="T21">
            <v>92945.305255337094</v>
          </cell>
          <cell r="U21">
            <v>108731.29436399786</v>
          </cell>
          <cell r="V21">
            <v>142022.49247052288</v>
          </cell>
          <cell r="W21">
            <v>0</v>
          </cell>
          <cell r="X21">
            <v>0</v>
          </cell>
          <cell r="Y21">
            <v>0</v>
          </cell>
          <cell r="Z21">
            <v>2096848.6513334161</v>
          </cell>
          <cell r="AA21">
            <v>24849.840000001761</v>
          </cell>
          <cell r="AB21">
            <v>189653.44500555575</v>
          </cell>
          <cell r="AC21">
            <v>-394630.47350000008</v>
          </cell>
          <cell r="AD21">
            <v>102630.04969513146</v>
          </cell>
          <cell r="AE21">
            <v>-102346.97879931272</v>
          </cell>
          <cell r="AF21">
            <v>27881.127</v>
          </cell>
          <cell r="AG21">
            <v>0</v>
          </cell>
          <cell r="AH21">
            <v>63824.192000000003</v>
          </cell>
          <cell r="AI21">
            <v>212597.12</v>
          </cell>
          <cell r="AJ21">
            <v>4942.3239999999996</v>
          </cell>
          <cell r="AK21">
            <v>0</v>
          </cell>
          <cell r="AL21">
            <v>309244.76300000004</v>
          </cell>
          <cell r="AM21">
            <v>-11482.404</v>
          </cell>
          <cell r="AN21">
            <v>-2335.0770000000002</v>
          </cell>
          <cell r="AO21">
            <v>-22353.87</v>
          </cell>
          <cell r="AP21">
            <v>-574.5</v>
          </cell>
          <cell r="AQ21">
            <v>-1173.615</v>
          </cell>
          <cell r="AR21">
            <v>-53814.968000000008</v>
          </cell>
          <cell r="AS21">
            <v>-59229.440000000002</v>
          </cell>
          <cell r="AT21">
            <v>360000</v>
          </cell>
          <cell r="AU21">
            <v>-35932.457999999991</v>
          </cell>
          <cell r="AV21">
            <v>173103.66800000001</v>
          </cell>
        </row>
        <row r="22">
          <cell r="D22" t="str">
            <v>공    통    비</v>
          </cell>
          <cell r="E22">
            <v>4620611.8419344947</v>
          </cell>
          <cell r="F22">
            <v>635545.55415583332</v>
          </cell>
          <cell r="G22">
            <v>553979.45786382258</v>
          </cell>
          <cell r="H22">
            <v>215463.55277687323</v>
          </cell>
          <cell r="I22">
            <v>191380.12283395612</v>
          </cell>
          <cell r="J22">
            <v>427219.47176259506</v>
          </cell>
          <cell r="K22">
            <v>397345.71173911216</v>
          </cell>
          <cell r="L22">
            <v>160550.88634474471</v>
          </cell>
          <cell r="M22">
            <v>428675.8222905639</v>
          </cell>
          <cell r="N22">
            <v>144025.82379477535</v>
          </cell>
          <cell r="O22">
            <v>201383.11744054436</v>
          </cell>
          <cell r="P22">
            <v>135048.5961712735</v>
          </cell>
          <cell r="Q22">
            <v>179092.03890303249</v>
          </cell>
          <cell r="R22">
            <v>259915.07554780363</v>
          </cell>
          <cell r="S22">
            <v>137696.02271736306</v>
          </cell>
          <cell r="T22">
            <v>69969.312989468934</v>
          </cell>
          <cell r="U22">
            <v>76626.29588076935</v>
          </cell>
          <cell r="V22">
            <v>143509.9747444388</v>
          </cell>
          <cell r="W22">
            <v>0</v>
          </cell>
          <cell r="X22">
            <v>0</v>
          </cell>
          <cell r="Y22">
            <v>0</v>
          </cell>
          <cell r="Z22">
            <v>4357426.8379569696</v>
          </cell>
          <cell r="AA22">
            <v>110277.35122899601</v>
          </cell>
          <cell r="AB22">
            <v>68717.092227531946</v>
          </cell>
          <cell r="AC22">
            <v>13090.85269919669</v>
          </cell>
          <cell r="AD22">
            <v>71099.707821799428</v>
          </cell>
          <cell r="AE22">
            <v>152907.65274852805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D23" t="str">
            <v xml:space="preserve"> - 영업공통비</v>
          </cell>
          <cell r="E23">
            <v>677640.08</v>
          </cell>
          <cell r="F23">
            <v>61401.363765233327</v>
          </cell>
          <cell r="G23">
            <v>53369.784417350085</v>
          </cell>
          <cell r="H23">
            <v>20769.094094263393</v>
          </cell>
          <cell r="I23">
            <v>18518.872594124194</v>
          </cell>
          <cell r="J23">
            <v>62470.16044068645</v>
          </cell>
          <cell r="K23">
            <v>58114.308048211991</v>
          </cell>
          <cell r="L23">
            <v>23684.71835699202</v>
          </cell>
          <cell r="M23">
            <v>62837.121507448872</v>
          </cell>
          <cell r="N23">
            <v>21296.169414677246</v>
          </cell>
          <cell r="O23">
            <v>29678.447957127104</v>
          </cell>
          <cell r="P23">
            <v>19815.000948682413</v>
          </cell>
          <cell r="Q23">
            <v>26259.390441308653</v>
          </cell>
          <cell r="R23">
            <v>25138.010632075049</v>
          </cell>
          <cell r="S23">
            <v>13398.776672538217</v>
          </cell>
          <cell r="T23">
            <v>6769.6338101872152</v>
          </cell>
          <cell r="U23">
            <v>7416.5999373982577</v>
          </cell>
          <cell r="V23">
            <v>13794.974213167388</v>
          </cell>
          <cell r="W23">
            <v>0</v>
          </cell>
          <cell r="X23">
            <v>0</v>
          </cell>
          <cell r="Y23">
            <v>0</v>
          </cell>
          <cell r="Z23">
            <v>524732.42725147191</v>
          </cell>
          <cell r="AA23">
            <v>0</v>
          </cell>
          <cell r="AB23">
            <v>68717.092227531946</v>
          </cell>
          <cell r="AC23">
            <v>13090.85269919669</v>
          </cell>
          <cell r="AD23">
            <v>71099.707821799428</v>
          </cell>
          <cell r="AE23">
            <v>152907.65274852805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</row>
        <row r="24">
          <cell r="D24" t="str">
            <v xml:space="preserve"> - 부문공통비</v>
          </cell>
          <cell r="E24">
            <v>1577106.2637999994</v>
          </cell>
          <cell r="F24">
            <v>236245.05049040992</v>
          </cell>
          <cell r="G24">
            <v>205890.74500828315</v>
          </cell>
          <cell r="H24">
            <v>80152.02885110378</v>
          </cell>
          <cell r="I24">
            <v>71301.443252738114</v>
          </cell>
          <cell r="J24">
            <v>149725.70595478447</v>
          </cell>
          <cell r="K24">
            <v>139262.44586527237</v>
          </cell>
          <cell r="L24">
            <v>56407.469734638158</v>
          </cell>
          <cell r="M24">
            <v>150357.0347804937</v>
          </cell>
          <cell r="N24">
            <v>50614.870334141015</v>
          </cell>
          <cell r="O24">
            <v>70724.863966965349</v>
          </cell>
          <cell r="P24">
            <v>47387.874974711645</v>
          </cell>
          <cell r="Q24">
            <v>62747.225901291997</v>
          </cell>
          <cell r="R24">
            <v>97098.086641989503</v>
          </cell>
          <cell r="S24">
            <v>51491.86246933887</v>
          </cell>
          <cell r="T24">
            <v>26079.220346390299</v>
          </cell>
          <cell r="U24">
            <v>28491.714227295379</v>
          </cell>
          <cell r="V24">
            <v>53128.621000152139</v>
          </cell>
          <cell r="W24">
            <v>0</v>
          </cell>
          <cell r="X24">
            <v>0</v>
          </cell>
          <cell r="Y24">
            <v>0</v>
          </cell>
          <cell r="Z24">
            <v>1577106.2637999994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</row>
        <row r="25">
          <cell r="D25" t="str">
            <v xml:space="preserve"> - 본사공통비</v>
          </cell>
          <cell r="E25">
            <v>2365865.4981344948</v>
          </cell>
          <cell r="F25">
            <v>337899.13990019006</v>
          </cell>
          <cell r="G25">
            <v>294718.92843818932</v>
          </cell>
          <cell r="H25">
            <v>114542.42983150604</v>
          </cell>
          <cell r="I25">
            <v>101559.80698709382</v>
          </cell>
          <cell r="J25">
            <v>215023.60536712414</v>
          </cell>
          <cell r="K25">
            <v>199968.95782562782</v>
          </cell>
          <cell r="L25">
            <v>80458.698253114533</v>
          </cell>
          <cell r="M25">
            <v>215481.66600262132</v>
          </cell>
          <cell r="N25">
            <v>72114.784045957087</v>
          </cell>
          <cell r="O25">
            <v>100979.80551645192</v>
          </cell>
          <cell r="P25">
            <v>67845.720247879464</v>
          </cell>
          <cell r="Q25">
            <v>90085.422560431834</v>
          </cell>
          <cell r="R25">
            <v>137678.97827373908</v>
          </cell>
          <cell r="S25">
            <v>72805.383575485961</v>
          </cell>
          <cell r="T25">
            <v>37120.458832891418</v>
          </cell>
          <cell r="U25">
            <v>40717.981716075708</v>
          </cell>
          <cell r="V25">
            <v>76586.379531119281</v>
          </cell>
          <cell r="W25">
            <v>0</v>
          </cell>
          <cell r="X25">
            <v>0</v>
          </cell>
          <cell r="Y25">
            <v>0</v>
          </cell>
          <cell r="Z25">
            <v>2255588.1469054986</v>
          </cell>
          <cell r="AA25">
            <v>110277.35122899601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</row>
        <row r="26">
          <cell r="D26" t="str">
            <v>영업이익 II</v>
          </cell>
          <cell r="E26">
            <v>-2118911.8984003831</v>
          </cell>
          <cell r="F26">
            <v>50151.311485336279</v>
          </cell>
          <cell r="G26">
            <v>-385646.46518490452</v>
          </cell>
          <cell r="H26">
            <v>-403578.09716763481</v>
          </cell>
          <cell r="I26">
            <v>-248334.97770797907</v>
          </cell>
          <cell r="J26">
            <v>-14019.291609696287</v>
          </cell>
          <cell r="K26">
            <v>162692.893030848</v>
          </cell>
          <cell r="L26">
            <v>-166038.42068148204</v>
          </cell>
          <cell r="M26">
            <v>-51952.886047449661</v>
          </cell>
          <cell r="N26">
            <v>-157624.17949087353</v>
          </cell>
          <cell r="O26">
            <v>-189750.57310299174</v>
          </cell>
          <cell r="P26">
            <v>-240192.6518853812</v>
          </cell>
          <cell r="Q26">
            <v>-224711.24472134846</v>
          </cell>
          <cell r="R26">
            <v>-300104.55457179074</v>
          </cell>
          <cell r="S26">
            <v>-145062.5574433736</v>
          </cell>
          <cell r="T26">
            <v>22975.992265868161</v>
          </cell>
          <cell r="U26">
            <v>32104.998483228512</v>
          </cell>
          <cell r="V26">
            <v>-1487.4822739159281</v>
          </cell>
          <cell r="W26">
            <v>0</v>
          </cell>
          <cell r="X26">
            <v>0</v>
          </cell>
          <cell r="Y26">
            <v>0</v>
          </cell>
          <cell r="Z26">
            <v>-2260578.1866235537</v>
          </cell>
          <cell r="AA26">
            <v>-85427.511228994248</v>
          </cell>
          <cell r="AB26">
            <v>120936.35277802381</v>
          </cell>
          <cell r="AC26">
            <v>-407721.32619919674</v>
          </cell>
          <cell r="AD26">
            <v>31530.341873332029</v>
          </cell>
          <cell r="AE26">
            <v>-255254.63154784078</v>
          </cell>
          <cell r="AF26">
            <v>27881.127</v>
          </cell>
          <cell r="AG26">
            <v>0</v>
          </cell>
          <cell r="AH26">
            <v>63824.192000000003</v>
          </cell>
          <cell r="AI26">
            <v>212597.12</v>
          </cell>
          <cell r="AJ26">
            <v>4942.3239999999996</v>
          </cell>
          <cell r="AK26">
            <v>0</v>
          </cell>
          <cell r="AL26">
            <v>309244.76300000004</v>
          </cell>
          <cell r="AM26">
            <v>-11482.404</v>
          </cell>
          <cell r="AN26">
            <v>-2335.0770000000002</v>
          </cell>
          <cell r="AO26">
            <v>-22353.87</v>
          </cell>
          <cell r="AP26">
            <v>-574.5</v>
          </cell>
          <cell r="AQ26">
            <v>-1173.615</v>
          </cell>
          <cell r="AR26">
            <v>-53814.968000000008</v>
          </cell>
          <cell r="AS26">
            <v>-59229.440000000002</v>
          </cell>
          <cell r="AT26">
            <v>360000</v>
          </cell>
          <cell r="AU26">
            <v>-35932.457999999991</v>
          </cell>
          <cell r="AV26">
            <v>173103.66800000001</v>
          </cell>
        </row>
        <row r="27">
          <cell r="E27" t="e">
            <v>#REF!</v>
          </cell>
          <cell r="F27">
            <v>50151.311485336744</v>
          </cell>
          <cell r="G27">
            <v>-385646.46518490399</v>
          </cell>
          <cell r="H27">
            <v>-403578.09716763499</v>
          </cell>
          <cell r="I27">
            <v>-248334.97770797892</v>
          </cell>
          <cell r="J27">
            <v>-14019.291609696491</v>
          </cell>
          <cell r="K27">
            <v>162692.89303084862</v>
          </cell>
          <cell r="L27">
            <v>-166038.42068148218</v>
          </cell>
          <cell r="M27">
            <v>-51952.886047448643</v>
          </cell>
          <cell r="N27">
            <v>-157624.1794908733</v>
          </cell>
          <cell r="O27">
            <v>-189750.57310299197</v>
          </cell>
          <cell r="P27">
            <v>-240192.65188538135</v>
          </cell>
          <cell r="Q27">
            <v>-224711.24472134811</v>
          </cell>
          <cell r="R27">
            <v>-300104.55457179074</v>
          </cell>
          <cell r="S27">
            <v>-145062.55744337363</v>
          </cell>
          <cell r="T27">
            <v>22975.992265868284</v>
          </cell>
          <cell r="U27">
            <v>32104.998483228512</v>
          </cell>
          <cell r="V27">
            <v>-1487.482273915819</v>
          </cell>
          <cell r="W27">
            <v>0</v>
          </cell>
          <cell r="X27">
            <v>0</v>
          </cell>
          <cell r="Y27">
            <v>0</v>
          </cell>
          <cell r="Z27">
            <v>-2260578.1866235384</v>
          </cell>
          <cell r="AA27">
            <v>-85427.511228993331</v>
          </cell>
          <cell r="AB27">
            <v>120936.35277802371</v>
          </cell>
          <cell r="AC27">
            <v>-407721.3261991968</v>
          </cell>
          <cell r="AD27">
            <v>31530.3418733322</v>
          </cell>
          <cell r="AE27">
            <v>-255254.63154784092</v>
          </cell>
          <cell r="AF27">
            <v>27881.127</v>
          </cell>
          <cell r="AG27">
            <v>0</v>
          </cell>
          <cell r="AH27">
            <v>63824.19200000001</v>
          </cell>
          <cell r="AI27">
            <v>212597.12</v>
          </cell>
          <cell r="AJ27">
            <v>4942.3240000000005</v>
          </cell>
          <cell r="AK27">
            <v>0</v>
          </cell>
          <cell r="AL27">
            <v>309244.76300000004</v>
          </cell>
          <cell r="AM27">
            <v>-11482.404</v>
          </cell>
          <cell r="AN27">
            <v>-2335.0770000000002</v>
          </cell>
          <cell r="AO27">
            <v>-22353.87</v>
          </cell>
          <cell r="AP27">
            <v>-574.5</v>
          </cell>
          <cell r="AQ27">
            <v>-1173.6150000000002</v>
          </cell>
          <cell r="AR27">
            <v>-53814.968000000008</v>
          </cell>
          <cell r="AS27">
            <v>-59229.440000000002</v>
          </cell>
          <cell r="AT27">
            <v>360000</v>
          </cell>
          <cell r="AU27">
            <v>-35932.457999999991</v>
          </cell>
          <cell r="AV27">
            <v>173103.66800000001</v>
          </cell>
        </row>
        <row r="28">
          <cell r="E28" t="e">
            <v>#REF!</v>
          </cell>
          <cell r="F28">
            <v>-4.6566128730773926E-10</v>
          </cell>
          <cell r="G28">
            <v>-5.2386894822120667E-10</v>
          </cell>
          <cell r="H28">
            <v>0</v>
          </cell>
          <cell r="I28">
            <v>0</v>
          </cell>
          <cell r="J28">
            <v>2.0372681319713593E-10</v>
          </cell>
          <cell r="K28">
            <v>-6.1118043959140778E-10</v>
          </cell>
          <cell r="L28">
            <v>0</v>
          </cell>
          <cell r="M28">
            <v>-1.0186340659856796E-9</v>
          </cell>
          <cell r="N28">
            <v>-2.3283064365386963E-10</v>
          </cell>
          <cell r="O28">
            <v>2.3283064365386963E-10</v>
          </cell>
          <cell r="P28">
            <v>0</v>
          </cell>
          <cell r="Q28">
            <v>-3.4924596548080444E-10</v>
          </cell>
          <cell r="R28">
            <v>0</v>
          </cell>
          <cell r="S28">
            <v>0</v>
          </cell>
          <cell r="T28">
            <v>-1.2369127944111824E-10</v>
          </cell>
          <cell r="U28">
            <v>0</v>
          </cell>
          <cell r="V28">
            <v>-1.0913936421275139E-10</v>
          </cell>
          <cell r="W28">
            <v>0</v>
          </cell>
          <cell r="X28">
            <v>0</v>
          </cell>
          <cell r="Y28">
            <v>0</v>
          </cell>
          <cell r="Z28">
            <v>-1.5366822481155396E-8</v>
          </cell>
          <cell r="AA28">
            <v>-9.1677065938711166E-10</v>
          </cell>
          <cell r="AB28">
            <v>0</v>
          </cell>
          <cell r="AC28">
            <v>0</v>
          </cell>
          <cell r="AD28">
            <v>-1.7098500393331051E-10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30">
          <cell r="E30">
            <v>850412.43114219117</v>
          </cell>
          <cell r="F30">
            <v>96000</v>
          </cell>
          <cell r="G30">
            <v>82000</v>
          </cell>
          <cell r="H30">
            <v>34000</v>
          </cell>
          <cell r="I30">
            <v>29000</v>
          </cell>
          <cell r="J30">
            <v>54000</v>
          </cell>
          <cell r="K30">
            <v>54000</v>
          </cell>
          <cell r="L30">
            <v>23000</v>
          </cell>
          <cell r="M30">
            <v>58000</v>
          </cell>
          <cell r="N30">
            <v>21000</v>
          </cell>
          <cell r="O30">
            <v>28999.999999999993</v>
          </cell>
          <cell r="P30">
            <v>20500</v>
          </cell>
          <cell r="Q30">
            <v>24500</v>
          </cell>
          <cell r="R30">
            <v>42000</v>
          </cell>
          <cell r="S30">
            <v>21000</v>
          </cell>
          <cell r="T30">
            <v>9500</v>
          </cell>
          <cell r="U30">
            <v>9999.7999999999993</v>
          </cell>
          <cell r="V30">
            <v>17000</v>
          </cell>
          <cell r="W30">
            <v>0</v>
          </cell>
          <cell r="X30">
            <v>0</v>
          </cell>
          <cell r="Y30">
            <v>0</v>
          </cell>
          <cell r="Z30">
            <v>624499.80000000005</v>
          </cell>
          <cell r="AA30">
            <v>23500</v>
          </cell>
          <cell r="AB30">
            <v>124975.10666666666</v>
          </cell>
          <cell r="AC30">
            <v>18219.239999999998</v>
          </cell>
          <cell r="AD30">
            <v>59218.284475524481</v>
          </cell>
          <cell r="AE30">
            <v>202412.63114219112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1">
          <cell r="D31" t="str">
            <v>매출</v>
          </cell>
          <cell r="E31">
            <v>89924036.016367868</v>
          </cell>
          <cell r="F31">
            <v>9437370.3859999999</v>
          </cell>
          <cell r="G31">
            <v>8315901.0085902279</v>
          </cell>
          <cell r="H31">
            <v>3265304.483</v>
          </cell>
          <cell r="I31">
            <v>2907338.9756</v>
          </cell>
          <cell r="J31">
            <v>5890603.9831999997</v>
          </cell>
          <cell r="K31">
            <v>5483531.2153699994</v>
          </cell>
          <cell r="L31">
            <v>2257152.0435600001</v>
          </cell>
          <cell r="M31">
            <v>5922261.4294499997</v>
          </cell>
          <cell r="N31">
            <v>2058526.291</v>
          </cell>
          <cell r="O31">
            <v>2834856.2112135184</v>
          </cell>
          <cell r="P31">
            <v>1861284.6747569998</v>
          </cell>
          <cell r="Q31">
            <v>2562852.5467999997</v>
          </cell>
          <cell r="R31">
            <v>4098103.9599999995</v>
          </cell>
          <cell r="S31">
            <v>2140657.0499999998</v>
          </cell>
          <cell r="T31">
            <v>1069559.0699999998</v>
          </cell>
          <cell r="U31">
            <v>1132508.6322840001</v>
          </cell>
          <cell r="V31">
            <v>2064966.4400000002</v>
          </cell>
          <cell r="W31">
            <v>0</v>
          </cell>
          <cell r="X31">
            <v>0</v>
          </cell>
          <cell r="Y31">
            <v>0</v>
          </cell>
          <cell r="Z31">
            <v>63302778.400824741</v>
          </cell>
          <cell r="AA31">
            <v>22587069.302000001</v>
          </cell>
          <cell r="AB31">
            <v>1613434.2633333334</v>
          </cell>
          <cell r="AC31">
            <v>367708.36</v>
          </cell>
          <cell r="AD31">
            <v>1687145.6902097901</v>
          </cell>
          <cell r="AE31">
            <v>3668288.3135431237</v>
          </cell>
          <cell r="AF31">
            <v>37500</v>
          </cell>
          <cell r="AG31">
            <v>0</v>
          </cell>
          <cell r="AH31">
            <v>87500</v>
          </cell>
          <cell r="AI31">
            <v>226190</v>
          </cell>
          <cell r="AJ31">
            <v>9400</v>
          </cell>
          <cell r="AK31">
            <v>0</v>
          </cell>
          <cell r="AL31">
            <v>360590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5310</v>
          </cell>
          <cell r="AV31">
            <v>5310</v>
          </cell>
        </row>
        <row r="32">
          <cell r="D32" t="str">
            <v>매출원가</v>
          </cell>
          <cell r="E32">
            <v>84718820.08683376</v>
          </cell>
          <cell r="F32">
            <v>8537172.5543588307</v>
          </cell>
          <cell r="G32">
            <v>7939521.5939113097</v>
          </cell>
          <cell r="H32">
            <v>3285910.7473907615</v>
          </cell>
          <cell r="I32">
            <v>2838809.101474023</v>
          </cell>
          <cell r="J32">
            <v>5292311.9060471011</v>
          </cell>
          <cell r="K32">
            <v>4752340.835600039</v>
          </cell>
          <cell r="L32">
            <v>2163094.3698967374</v>
          </cell>
          <cell r="M32">
            <v>5386835.7652068855</v>
          </cell>
          <cell r="N32">
            <v>1982825.8486960982</v>
          </cell>
          <cell r="O32">
            <v>2736882.0288759656</v>
          </cell>
          <cell r="P32">
            <v>1865048.3584711074</v>
          </cell>
          <cell r="Q32">
            <v>2518457.5086183157</v>
          </cell>
          <cell r="R32">
            <v>3980536.6850239867</v>
          </cell>
          <cell r="S32">
            <v>2043519.4237260104</v>
          </cell>
          <cell r="T32">
            <v>937202.91874466278</v>
          </cell>
          <cell r="U32">
            <v>985570.04492000223</v>
          </cell>
          <cell r="V32">
            <v>1871417.5405294774</v>
          </cell>
          <cell r="W32">
            <v>0</v>
          </cell>
          <cell r="X32">
            <v>0</v>
          </cell>
          <cell r="Y32">
            <v>0</v>
          </cell>
          <cell r="Z32">
            <v>59117457.231491327</v>
          </cell>
          <cell r="AA32">
            <v>22104322.995999999</v>
          </cell>
          <cell r="AB32">
            <v>1423780.8183277776</v>
          </cell>
          <cell r="AC32">
            <v>762338.83350000007</v>
          </cell>
          <cell r="AD32">
            <v>1584515.6405146588</v>
          </cell>
          <cell r="AE32">
            <v>3770635.2923424365</v>
          </cell>
          <cell r="AF32">
            <v>9618.8729999999996</v>
          </cell>
          <cell r="AG32">
            <v>0</v>
          </cell>
          <cell r="AH32">
            <v>23675.807999999997</v>
          </cell>
          <cell r="AI32">
            <v>13592.88</v>
          </cell>
          <cell r="AJ32">
            <v>4457.6760000000004</v>
          </cell>
          <cell r="AK32">
            <v>0</v>
          </cell>
          <cell r="AL32">
            <v>51345.236999999994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35059.33</v>
          </cell>
          <cell r="AT32">
            <v>-360000</v>
          </cell>
          <cell r="AU32">
            <v>0</v>
          </cell>
          <cell r="AV32">
            <v>-324940.67</v>
          </cell>
        </row>
        <row r="33">
          <cell r="D33" t="str">
            <v>매출이익</v>
          </cell>
          <cell r="E33">
            <v>5205215.9295341019</v>
          </cell>
          <cell r="F33">
            <v>900197.83164116926</v>
          </cell>
          <cell r="G33">
            <v>376379.4146789182</v>
          </cell>
          <cell r="H33">
            <v>-20606.264390761498</v>
          </cell>
          <cell r="I33">
            <v>68529.874125977047</v>
          </cell>
          <cell r="J33">
            <v>598292.07715289854</v>
          </cell>
          <cell r="K33">
            <v>731190.37976996042</v>
          </cell>
          <cell r="L33">
            <v>94057.673663262744</v>
          </cell>
          <cell r="M33">
            <v>535425.66424311418</v>
          </cell>
          <cell r="N33">
            <v>75700.442303901771</v>
          </cell>
          <cell r="O33">
            <v>97974.182337552775</v>
          </cell>
          <cell r="P33">
            <v>-3763.6837141076103</v>
          </cell>
          <cell r="Q33">
            <v>44395.03818168398</v>
          </cell>
          <cell r="R33">
            <v>117567.27497601276</v>
          </cell>
          <cell r="S33">
            <v>97137.626273989445</v>
          </cell>
          <cell r="T33">
            <v>132356.15125533706</v>
          </cell>
          <cell r="U33">
            <v>146938.58736399782</v>
          </cell>
          <cell r="V33">
            <v>193548.89947052277</v>
          </cell>
          <cell r="W33">
            <v>0</v>
          </cell>
          <cell r="X33">
            <v>0</v>
          </cell>
          <cell r="Y33">
            <v>0</v>
          </cell>
          <cell r="Z33">
            <v>4185321.1693334132</v>
          </cell>
          <cell r="AA33">
            <v>482746.30600000173</v>
          </cell>
          <cell r="AB33">
            <v>189653.44500555587</v>
          </cell>
          <cell r="AC33">
            <v>-394630.47350000008</v>
          </cell>
          <cell r="AD33">
            <v>102630.04969513137</v>
          </cell>
          <cell r="AE33">
            <v>-102346.97879931284</v>
          </cell>
          <cell r="AF33">
            <v>27881.127</v>
          </cell>
          <cell r="AG33">
            <v>0</v>
          </cell>
          <cell r="AH33">
            <v>63824.192000000003</v>
          </cell>
          <cell r="AI33">
            <v>212597.12</v>
          </cell>
          <cell r="AJ33">
            <v>4942.3239999999996</v>
          </cell>
          <cell r="AK33">
            <v>0</v>
          </cell>
          <cell r="AL33">
            <v>309244.76300000004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-35059.33</v>
          </cell>
          <cell r="AT33">
            <v>360000</v>
          </cell>
          <cell r="AU33">
            <v>5310</v>
          </cell>
          <cell r="AV33">
            <v>330250.67</v>
          </cell>
        </row>
        <row r="34">
          <cell r="D34" t="str">
            <v>판관비</v>
          </cell>
          <cell r="E34">
            <v>7324127.8279344942</v>
          </cell>
          <cell r="F34">
            <v>850046.52015583322</v>
          </cell>
          <cell r="G34">
            <v>762025.8798638226</v>
          </cell>
          <cell r="H34">
            <v>382971.8327768732</v>
          </cell>
          <cell r="I34">
            <v>316864.85183395614</v>
          </cell>
          <cell r="J34">
            <v>612311.36876259511</v>
          </cell>
          <cell r="K34">
            <v>568497.48673911218</v>
          </cell>
          <cell r="L34">
            <v>260096.09434474469</v>
          </cell>
          <cell r="M34">
            <v>587378.55029056384</v>
          </cell>
          <cell r="N34">
            <v>233324.62179477536</v>
          </cell>
          <cell r="O34">
            <v>287724.75544054434</v>
          </cell>
          <cell r="P34">
            <v>236428.9681712735</v>
          </cell>
          <cell r="Q34">
            <v>269106.28290303249</v>
          </cell>
          <cell r="R34">
            <v>417671.82954780362</v>
          </cell>
          <cell r="S34">
            <v>242200.18371736305</v>
          </cell>
          <cell r="T34">
            <v>109380.15898946894</v>
          </cell>
          <cell r="U34">
            <v>114833.58888076934</v>
          </cell>
          <cell r="V34">
            <v>195036.38174443881</v>
          </cell>
          <cell r="W34">
            <v>0</v>
          </cell>
          <cell r="X34">
            <v>0</v>
          </cell>
          <cell r="Y34">
            <v>0</v>
          </cell>
          <cell r="Z34">
            <v>6445899.3559569698</v>
          </cell>
          <cell r="AA34">
            <v>568173.81722899596</v>
          </cell>
          <cell r="AB34">
            <v>68717.092227531946</v>
          </cell>
          <cell r="AC34">
            <v>13090.85269919669</v>
          </cell>
          <cell r="AD34">
            <v>71099.707821799428</v>
          </cell>
          <cell r="AE34">
            <v>152907.65274852805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11482.404</v>
          </cell>
          <cell r="AN34">
            <v>2335.0770000000002</v>
          </cell>
          <cell r="AO34">
            <v>22353.87</v>
          </cell>
          <cell r="AP34">
            <v>574.5</v>
          </cell>
          <cell r="AQ34">
            <v>1173.615</v>
          </cell>
          <cell r="AR34">
            <v>53814.968000000008</v>
          </cell>
          <cell r="AS34">
            <v>24170.109999999997</v>
          </cell>
          <cell r="AT34">
            <v>0</v>
          </cell>
          <cell r="AU34">
            <v>41242.457999999991</v>
          </cell>
          <cell r="AV34">
            <v>157147.00199999998</v>
          </cell>
        </row>
        <row r="35">
          <cell r="D35" t="str">
            <v>영업이익</v>
          </cell>
          <cell r="E35">
            <v>-2118911.8984003919</v>
          </cell>
          <cell r="F35">
            <v>50151.311485336046</v>
          </cell>
          <cell r="G35">
            <v>-385646.4651849044</v>
          </cell>
          <cell r="H35">
            <v>-403578.0971676347</v>
          </cell>
          <cell r="I35">
            <v>-248334.97770797909</v>
          </cell>
          <cell r="J35">
            <v>-14019.291609696578</v>
          </cell>
          <cell r="K35">
            <v>162692.89303084824</v>
          </cell>
          <cell r="L35">
            <v>-166038.42068148195</v>
          </cell>
          <cell r="M35">
            <v>-51952.886047449661</v>
          </cell>
          <cell r="N35">
            <v>-157624.17949087359</v>
          </cell>
          <cell r="O35">
            <v>-189750.57310299156</v>
          </cell>
          <cell r="P35">
            <v>-240192.65188538111</v>
          </cell>
          <cell r="Q35">
            <v>-224711.24472134851</v>
          </cell>
          <cell r="R35">
            <v>-300104.55457179085</v>
          </cell>
          <cell r="S35">
            <v>-145062.5574433736</v>
          </cell>
          <cell r="T35">
            <v>22975.992265868117</v>
          </cell>
          <cell r="U35">
            <v>32104.998483228483</v>
          </cell>
          <cell r="V35">
            <v>-1487.4822739160445</v>
          </cell>
          <cell r="W35">
            <v>0</v>
          </cell>
          <cell r="X35">
            <v>0</v>
          </cell>
          <cell r="Y35">
            <v>0</v>
          </cell>
          <cell r="Z35">
            <v>-2260578.1866235565</v>
          </cell>
          <cell r="AA35">
            <v>-85427.511228994234</v>
          </cell>
          <cell r="AB35">
            <v>120936.35277802392</v>
          </cell>
          <cell r="AC35">
            <v>-407721.32619919674</v>
          </cell>
          <cell r="AD35">
            <v>31530.341873331941</v>
          </cell>
          <cell r="AE35">
            <v>-255254.63154784089</v>
          </cell>
          <cell r="AF35">
            <v>27881.127</v>
          </cell>
          <cell r="AG35">
            <v>0</v>
          </cell>
          <cell r="AH35">
            <v>63824.192000000003</v>
          </cell>
          <cell r="AI35">
            <v>212597.12</v>
          </cell>
          <cell r="AJ35">
            <v>4942.3239999999996</v>
          </cell>
          <cell r="AK35">
            <v>0</v>
          </cell>
          <cell r="AL35">
            <v>309244.76300000004</v>
          </cell>
          <cell r="AM35">
            <v>-11482.404</v>
          </cell>
          <cell r="AN35">
            <v>-2335.0770000000002</v>
          </cell>
          <cell r="AO35">
            <v>-22353.87</v>
          </cell>
          <cell r="AP35">
            <v>-574.5</v>
          </cell>
          <cell r="AQ35">
            <v>-1173.615</v>
          </cell>
          <cell r="AR35">
            <v>-53814.968000000008</v>
          </cell>
          <cell r="AS35">
            <v>-59229.440000000002</v>
          </cell>
          <cell r="AT35">
            <v>360000</v>
          </cell>
          <cell r="AU35">
            <v>-35932.457999999991</v>
          </cell>
          <cell r="AV35">
            <v>173103.66800000001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3월"/>
      <sheetName val="2월누계"/>
      <sheetName val="3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42206</v>
          </cell>
          <cell r="H7">
            <v>31686.5</v>
          </cell>
          <cell r="I7">
            <v>11210</v>
          </cell>
          <cell r="J7">
            <v>14148.5</v>
          </cell>
          <cell r="K7">
            <v>21737</v>
          </cell>
          <cell r="L7">
            <v>20056</v>
          </cell>
          <cell r="M7">
            <v>7251.5</v>
          </cell>
          <cell r="N7">
            <v>12903</v>
          </cell>
          <cell r="O7">
            <v>4772</v>
          </cell>
          <cell r="P7">
            <v>8648</v>
          </cell>
          <cell r="Q7">
            <v>3166.5</v>
          </cell>
          <cell r="R7">
            <v>11961</v>
          </cell>
          <cell r="S7">
            <v>22192</v>
          </cell>
          <cell r="T7">
            <v>3644.5</v>
          </cell>
          <cell r="U7">
            <v>5036</v>
          </cell>
          <cell r="V7">
            <v>13624</v>
          </cell>
          <cell r="W7">
            <v>4034.5</v>
          </cell>
          <cell r="Z7">
            <v>238277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238277</v>
          </cell>
          <cell r="AJ7">
            <v>18967</v>
          </cell>
          <cell r="AK7">
            <v>34432</v>
          </cell>
          <cell r="AL7">
            <v>17664</v>
          </cell>
          <cell r="AN7">
            <v>71063</v>
          </cell>
          <cell r="AO7">
            <v>3925.4639999999999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30109660.944000002</v>
          </cell>
          <cell r="G8">
            <v>4199507.7240000004</v>
          </cell>
          <cell r="H8">
            <v>3164435.9819999998</v>
          </cell>
          <cell r="I8">
            <v>1096993.3999999999</v>
          </cell>
          <cell r="J8">
            <v>1343054.7239999999</v>
          </cell>
          <cell r="K8">
            <v>2591193.2999999998</v>
          </cell>
          <cell r="L8">
            <v>2055199.6</v>
          </cell>
          <cell r="M8">
            <v>725065.85</v>
          </cell>
          <cell r="N8">
            <v>1392488.2</v>
          </cell>
          <cell r="O8">
            <v>504335.8</v>
          </cell>
          <cell r="P8">
            <v>851405</v>
          </cell>
          <cell r="Q8">
            <v>269200.48</v>
          </cell>
          <cell r="R8">
            <v>1252021.8</v>
          </cell>
          <cell r="S8">
            <v>2151558.5720000002</v>
          </cell>
          <cell r="T8">
            <v>467473.2</v>
          </cell>
          <cell r="U8">
            <v>542763.93000000005</v>
          </cell>
          <cell r="V8">
            <v>1366004.1</v>
          </cell>
          <cell r="W8">
            <v>512596.94699999999</v>
          </cell>
          <cell r="Z8">
            <v>24485298.609000001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24528638.609000001</v>
          </cell>
          <cell r="AJ8">
            <v>535077</v>
          </cell>
          <cell r="AK8">
            <v>479112</v>
          </cell>
          <cell r="AL8">
            <v>351235.2</v>
          </cell>
          <cell r="AN8">
            <v>1365424.2</v>
          </cell>
          <cell r="AO8">
            <v>4017791.8960000002</v>
          </cell>
          <cell r="AP8">
            <v>0</v>
          </cell>
          <cell r="AS8">
            <v>4017791.8960000002</v>
          </cell>
          <cell r="AT8">
            <v>4700</v>
          </cell>
          <cell r="AU8">
            <v>5890</v>
          </cell>
          <cell r="AV8">
            <v>185574.93900000001</v>
          </cell>
          <cell r="BA8">
            <v>196164.93900000001</v>
          </cell>
          <cell r="BB8">
            <v>0</v>
          </cell>
          <cell r="BC8">
            <v>1641.3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1641.3</v>
          </cell>
        </row>
        <row r="9">
          <cell r="G9">
            <v>99500.254087096633</v>
          </cell>
          <cell r="H9">
            <v>99867.00904170546</v>
          </cell>
          <cell r="I9">
            <v>97858.465655664579</v>
          </cell>
          <cell r="J9">
            <v>94925.590981376125</v>
          </cell>
          <cell r="K9">
            <v>119206.57404425633</v>
          </cell>
          <cell r="L9">
            <v>102473.05544475469</v>
          </cell>
          <cell r="M9">
            <v>99988.395504378408</v>
          </cell>
          <cell r="N9">
            <v>107919.72409517167</v>
          </cell>
          <cell r="O9">
            <v>105686.46269907795</v>
          </cell>
          <cell r="P9">
            <v>98451.086956521729</v>
          </cell>
          <cell r="Q9">
            <v>85015.152376440848</v>
          </cell>
          <cell r="R9">
            <v>104675.3448708302</v>
          </cell>
          <cell r="S9">
            <v>96951.990447007949</v>
          </cell>
          <cell r="T9">
            <v>128268.13005899299</v>
          </cell>
          <cell r="U9">
            <v>107776.79308975379</v>
          </cell>
          <cell r="V9">
            <v>100264.54051673519</v>
          </cell>
          <cell r="W9">
            <v>127053.40116495227</v>
          </cell>
          <cell r="Z9">
            <v>102759.80732089124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102941.69646671732</v>
          </cell>
          <cell r="AJ9">
            <v>28210.945326092689</v>
          </cell>
          <cell r="AK9">
            <v>13914.730483271376</v>
          </cell>
          <cell r="AL9">
            <v>19884.239130434784</v>
          </cell>
          <cell r="AO9">
            <v>1023520.2503449275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26958883.826160002</v>
          </cell>
          <cell r="G10">
            <v>3715410.45982</v>
          </cell>
          <cell r="H10">
            <v>3026144.2566599995</v>
          </cell>
          <cell r="I10">
            <v>1114541.82351</v>
          </cell>
          <cell r="J10">
            <v>1267257.69038</v>
          </cell>
          <cell r="K10">
            <v>2096759.2540499999</v>
          </cell>
          <cell r="L10">
            <v>1731884.0786900001</v>
          </cell>
          <cell r="M10">
            <v>660634.30159000005</v>
          </cell>
          <cell r="N10">
            <v>1242795.5158899999</v>
          </cell>
          <cell r="O10">
            <v>451848.92933999997</v>
          </cell>
          <cell r="P10">
            <v>747852.4884400001</v>
          </cell>
          <cell r="Q10">
            <v>322749.86820999999</v>
          </cell>
          <cell r="R10">
            <v>1112701.7668499998</v>
          </cell>
          <cell r="S10">
            <v>2000403.1473399999</v>
          </cell>
          <cell r="T10">
            <v>358264.60698000004</v>
          </cell>
          <cell r="U10">
            <v>431706.88081</v>
          </cell>
          <cell r="V10">
            <v>1167813.6992000001</v>
          </cell>
          <cell r="W10">
            <v>461797.99347000004</v>
          </cell>
          <cell r="Z10">
            <v>21910566.761229996</v>
          </cell>
          <cell r="AA10">
            <v>0</v>
          </cell>
          <cell r="AB10">
            <v>0</v>
          </cell>
          <cell r="AC10">
            <v>119.852</v>
          </cell>
          <cell r="AD10">
            <v>521.28099999999995</v>
          </cell>
          <cell r="AH10">
            <v>641.13299999999992</v>
          </cell>
          <cell r="AI10">
            <v>21911207.894229997</v>
          </cell>
          <cell r="AJ10">
            <v>459439.35579</v>
          </cell>
          <cell r="AK10">
            <v>376662.15867000003</v>
          </cell>
          <cell r="AL10">
            <v>396687.50147000002</v>
          </cell>
          <cell r="AN10">
            <v>1232789.01593</v>
          </cell>
          <cell r="AO10">
            <v>3954518.2600000002</v>
          </cell>
          <cell r="AP10">
            <v>0</v>
          </cell>
          <cell r="AS10">
            <v>3954518.2600000002</v>
          </cell>
          <cell r="AT10">
            <v>173.26300000000001</v>
          </cell>
          <cell r="AU10">
            <v>239.21199999999999</v>
          </cell>
          <cell r="AV10">
            <v>0</v>
          </cell>
          <cell r="BA10">
            <v>412.47500000000002</v>
          </cell>
          <cell r="BB10">
            <v>0</v>
          </cell>
          <cell r="BC10">
            <v>0</v>
          </cell>
          <cell r="BD10">
            <v>-172562.79</v>
          </cell>
          <cell r="BE10">
            <v>0</v>
          </cell>
          <cell r="BF10">
            <v>0</v>
          </cell>
          <cell r="BG10">
            <v>0</v>
          </cell>
          <cell r="BH10">
            <v>32518.971000000001</v>
          </cell>
          <cell r="BJ10">
            <v>-140043.81900000002</v>
          </cell>
        </row>
        <row r="11">
          <cell r="G11">
            <v>88030.385722883002</v>
          </cell>
          <cell r="H11">
            <v>95502.635401827269</v>
          </cell>
          <cell r="I11">
            <v>99423.891481712752</v>
          </cell>
          <cell r="J11">
            <v>89568.342253949188</v>
          </cell>
          <cell r="K11">
            <v>96460.378803422733</v>
          </cell>
          <cell r="L11">
            <v>86352.417166433996</v>
          </cell>
          <cell r="M11">
            <v>91103.123710956352</v>
          </cell>
          <cell r="N11">
            <v>96318.338052390915</v>
          </cell>
          <cell r="O11">
            <v>94687.537581726734</v>
          </cell>
          <cell r="P11">
            <v>86476.929745605928</v>
          </cell>
          <cell r="Q11">
            <v>101926.3755597663</v>
          </cell>
          <cell r="R11">
            <v>93027.486568848748</v>
          </cell>
          <cell r="S11">
            <v>90140.733027217007</v>
          </cell>
          <cell r="T11">
            <v>98302.814372341905</v>
          </cell>
          <cell r="U11">
            <v>85724.162194201752</v>
          </cell>
          <cell r="V11">
            <v>85717.388373458612</v>
          </cell>
          <cell r="W11">
            <v>114462.26136324205</v>
          </cell>
          <cell r="Z11">
            <v>91954.182574188846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91956.873278705025</v>
          </cell>
          <cell r="AJ11">
            <v>24223.090409131652</v>
          </cell>
          <cell r="AK11">
            <v>10939.305258770912</v>
          </cell>
          <cell r="AL11">
            <v>22457.399313292572</v>
          </cell>
          <cell r="AO11">
            <v>1007401.4842576572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3150777.1178399995</v>
          </cell>
          <cell r="G12">
            <v>484097.26418000041</v>
          </cell>
          <cell r="H12">
            <v>138291.72534000035</v>
          </cell>
          <cell r="I12">
            <v>-17548.42351000011</v>
          </cell>
          <cell r="J12">
            <v>75797.033619999886</v>
          </cell>
          <cell r="K12">
            <v>494434.04594999994</v>
          </cell>
          <cell r="L12">
            <v>323315.52130999998</v>
          </cell>
          <cell r="M12">
            <v>64431.54840999993</v>
          </cell>
          <cell r="N12">
            <v>149692.68411000003</v>
          </cell>
          <cell r="O12">
            <v>52486.870660000015</v>
          </cell>
          <cell r="P12">
            <v>103552.5115599999</v>
          </cell>
          <cell r="Q12">
            <v>-53549.388210000005</v>
          </cell>
          <cell r="R12">
            <v>139320.03315000026</v>
          </cell>
          <cell r="S12">
            <v>151155.42466000025</v>
          </cell>
          <cell r="T12">
            <v>109208.59301999997</v>
          </cell>
          <cell r="U12">
            <v>111057.04919000005</v>
          </cell>
          <cell r="V12">
            <v>198190.40079999994</v>
          </cell>
          <cell r="W12">
            <v>50798.953529999941</v>
          </cell>
          <cell r="Z12">
            <v>2574731.8477700008</v>
          </cell>
          <cell r="AA12">
            <v>0</v>
          </cell>
          <cell r="AB12">
            <v>0</v>
          </cell>
          <cell r="AC12">
            <v>12380.147999999999</v>
          </cell>
          <cell r="AD12">
            <v>30318.719000000001</v>
          </cell>
          <cell r="AH12">
            <v>42698.866999999998</v>
          </cell>
          <cell r="AI12">
            <v>2617430.7147700042</v>
          </cell>
          <cell r="AJ12">
            <v>75637.644209999999</v>
          </cell>
          <cell r="AK12">
            <v>102449.84132999997</v>
          </cell>
          <cell r="AL12">
            <v>-45452.301470000006</v>
          </cell>
          <cell r="AN12">
            <v>132635.18406999996</v>
          </cell>
          <cell r="AO12">
            <v>63273.63599999994</v>
          </cell>
          <cell r="AP12">
            <v>0</v>
          </cell>
          <cell r="AS12">
            <v>63273.63599999994</v>
          </cell>
          <cell r="AT12">
            <v>4526.7370000000001</v>
          </cell>
          <cell r="AU12">
            <v>5650.7880000000005</v>
          </cell>
          <cell r="AV12">
            <v>185574.93900000001</v>
          </cell>
          <cell r="BA12">
            <v>195752.46400000001</v>
          </cell>
          <cell r="BB12">
            <v>0</v>
          </cell>
          <cell r="BC12">
            <v>1641.3</v>
          </cell>
          <cell r="BD12">
            <v>172562.79</v>
          </cell>
          <cell r="BE12">
            <v>0</v>
          </cell>
          <cell r="BF12">
            <v>0</v>
          </cell>
          <cell r="BG12">
            <v>0</v>
          </cell>
          <cell r="BH12">
            <v>-32518.971000000001</v>
          </cell>
          <cell r="BJ12">
            <v>141685.11900000001</v>
          </cell>
        </row>
        <row r="13">
          <cell r="F13">
            <v>817857.72200000007</v>
          </cell>
          <cell r="G13">
            <v>66056.031000000003</v>
          </cell>
          <cell r="H13">
            <v>64296.243000000002</v>
          </cell>
          <cell r="I13">
            <v>44546.868000000002</v>
          </cell>
          <cell r="J13">
            <v>40283.278999999995</v>
          </cell>
          <cell r="K13">
            <v>51123.089000000007</v>
          </cell>
          <cell r="L13">
            <v>50885.981</v>
          </cell>
          <cell r="M13">
            <v>35717.188999999998</v>
          </cell>
          <cell r="N13">
            <v>51917.420999999995</v>
          </cell>
          <cell r="O13">
            <v>28644.707999999999</v>
          </cell>
          <cell r="P13">
            <v>41251.373</v>
          </cell>
          <cell r="Q13">
            <v>36239.696000000004</v>
          </cell>
          <cell r="R13">
            <v>28125.335999999996</v>
          </cell>
          <cell r="S13">
            <v>56748.923000000003</v>
          </cell>
          <cell r="T13">
            <v>9446.9320000000007</v>
          </cell>
          <cell r="U13">
            <v>11852.588</v>
          </cell>
          <cell r="V13">
            <v>37885.317999999999</v>
          </cell>
          <cell r="W13">
            <v>15984.615999999998</v>
          </cell>
          <cell r="Z13">
            <v>671005.59100000001</v>
          </cell>
          <cell r="AA13">
            <v>1729.1750000000002</v>
          </cell>
          <cell r="AB13">
            <v>179.87900000000002</v>
          </cell>
          <cell r="AC13">
            <v>0</v>
          </cell>
          <cell r="AD13">
            <v>0</v>
          </cell>
          <cell r="AH13">
            <v>1909.0540000000001</v>
          </cell>
          <cell r="AI13">
            <v>672914.64500000002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133346.83100000001</v>
          </cell>
          <cell r="AP13">
            <v>0</v>
          </cell>
          <cell r="AS13">
            <v>133346.83100000001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11596.246000000001</v>
          </cell>
          <cell r="BG13">
            <v>0</v>
          </cell>
          <cell r="BH13">
            <v>0</v>
          </cell>
          <cell r="BJ13">
            <v>11596.246000000001</v>
          </cell>
        </row>
        <row r="14">
          <cell r="F14">
            <v>541161.25600000005</v>
          </cell>
          <cell r="G14">
            <v>48035.939000000006</v>
          </cell>
          <cell r="H14">
            <v>44934.029000000002</v>
          </cell>
          <cell r="I14">
            <v>31223.14</v>
          </cell>
          <cell r="J14">
            <v>26582.920999999998</v>
          </cell>
          <cell r="K14">
            <v>34188.223000000005</v>
          </cell>
          <cell r="L14">
            <v>36292.711000000003</v>
          </cell>
          <cell r="M14">
            <v>22252.458999999999</v>
          </cell>
          <cell r="N14">
            <v>33919.888999999996</v>
          </cell>
          <cell r="O14">
            <v>20133.522000000001</v>
          </cell>
          <cell r="P14">
            <v>27830.444</v>
          </cell>
          <cell r="Q14">
            <v>20569.974000000002</v>
          </cell>
          <cell r="R14">
            <v>20361.792999999998</v>
          </cell>
          <cell r="S14">
            <v>34790.829000000005</v>
          </cell>
          <cell r="T14">
            <v>6863.5550000000003</v>
          </cell>
          <cell r="U14">
            <v>8097.45</v>
          </cell>
          <cell r="V14">
            <v>22723.551999999996</v>
          </cell>
          <cell r="W14">
            <v>11239.295999999998</v>
          </cell>
          <cell r="Z14">
            <v>450039.72600000002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450039.72600000002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91121.53</v>
          </cell>
          <cell r="AP14">
            <v>0</v>
          </cell>
          <cell r="AS14">
            <v>91121.53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276696.46600000001</v>
          </cell>
          <cell r="G15">
            <v>18020.092000000001</v>
          </cell>
          <cell r="H15">
            <v>19362.213999999996</v>
          </cell>
          <cell r="I15">
            <v>13323.727999999999</v>
          </cell>
          <cell r="J15">
            <v>13700.358</v>
          </cell>
          <cell r="K15">
            <v>16934.866000000002</v>
          </cell>
          <cell r="L15">
            <v>14593.27</v>
          </cell>
          <cell r="M15">
            <v>13464.730000000003</v>
          </cell>
          <cell r="N15">
            <v>17997.531999999999</v>
          </cell>
          <cell r="O15">
            <v>8511.1859999999997</v>
          </cell>
          <cell r="P15">
            <v>13420.929000000002</v>
          </cell>
          <cell r="Q15">
            <v>15669.722000000002</v>
          </cell>
          <cell r="R15">
            <v>7763.5429999999997</v>
          </cell>
          <cell r="S15">
            <v>21958.093999999997</v>
          </cell>
          <cell r="T15">
            <v>2583.377</v>
          </cell>
          <cell r="U15">
            <v>3755.1379999999999</v>
          </cell>
          <cell r="V15">
            <v>15161.766</v>
          </cell>
          <cell r="W15">
            <v>4745.32</v>
          </cell>
          <cell r="Z15">
            <v>220965.86500000005</v>
          </cell>
          <cell r="AA15">
            <v>1729.1750000000002</v>
          </cell>
          <cell r="AB15">
            <v>179.87900000000002</v>
          </cell>
          <cell r="AC15">
            <v>0</v>
          </cell>
          <cell r="AD15">
            <v>0</v>
          </cell>
          <cell r="AH15">
            <v>1909.0540000000001</v>
          </cell>
          <cell r="AI15">
            <v>222874.91900000005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42225.300999999992</v>
          </cell>
          <cell r="AP15">
            <v>0</v>
          </cell>
          <cell r="AS15">
            <v>42225.300999999992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11596.246000000001</v>
          </cell>
          <cell r="BG15">
            <v>0</v>
          </cell>
          <cell r="BH15">
            <v>0</v>
          </cell>
          <cell r="BJ15">
            <v>11596.246000000001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2332919.3958399994</v>
          </cell>
          <cell r="G17">
            <v>418041.23318000039</v>
          </cell>
          <cell r="H17">
            <v>73995.482340000352</v>
          </cell>
          <cell r="I17">
            <v>-62095.291510000112</v>
          </cell>
          <cell r="J17">
            <v>35513.754619999891</v>
          </cell>
          <cell r="K17">
            <v>443310.95694999991</v>
          </cell>
          <cell r="L17">
            <v>272429.54030999995</v>
          </cell>
          <cell r="M17">
            <v>28714.359409999932</v>
          </cell>
          <cell r="N17">
            <v>97775.263110000029</v>
          </cell>
          <cell r="O17">
            <v>23842.162660000016</v>
          </cell>
          <cell r="P17">
            <v>62301.138559999898</v>
          </cell>
          <cell r="Q17">
            <v>-89789.084210000001</v>
          </cell>
          <cell r="R17">
            <v>111194.69715000027</v>
          </cell>
          <cell r="S17">
            <v>94406.501660000242</v>
          </cell>
          <cell r="T17">
            <v>99761.66101999997</v>
          </cell>
          <cell r="U17">
            <v>99204.461190000045</v>
          </cell>
          <cell r="V17">
            <v>160305.08279999995</v>
          </cell>
          <cell r="W17">
            <v>34814.337529999946</v>
          </cell>
          <cell r="Z17">
            <v>1903726.2567700008</v>
          </cell>
          <cell r="AA17">
            <v>-1729.1750000000002</v>
          </cell>
          <cell r="AB17">
            <v>-179.87900000000002</v>
          </cell>
          <cell r="AC17">
            <v>12380.147999999999</v>
          </cell>
          <cell r="AD17">
            <v>30318.719000000001</v>
          </cell>
          <cell r="AH17">
            <v>40789.812999999995</v>
          </cell>
          <cell r="AI17">
            <v>1944516.0697700041</v>
          </cell>
          <cell r="AJ17">
            <v>75637.644209999999</v>
          </cell>
          <cell r="AK17">
            <v>102449.84132999997</v>
          </cell>
          <cell r="AL17">
            <v>-45452.301470000006</v>
          </cell>
          <cell r="AN17">
            <v>132635.18406999996</v>
          </cell>
          <cell r="AO17">
            <v>-70073.195000000065</v>
          </cell>
          <cell r="AP17">
            <v>0</v>
          </cell>
          <cell r="AS17">
            <v>-70073.195000000065</v>
          </cell>
          <cell r="AT17">
            <v>4526.7370000000001</v>
          </cell>
          <cell r="AU17">
            <v>5650.7880000000005</v>
          </cell>
          <cell r="AV17">
            <v>185574.93900000001</v>
          </cell>
          <cell r="BA17">
            <v>195752.46400000001</v>
          </cell>
          <cell r="BB17">
            <v>0</v>
          </cell>
          <cell r="BC17">
            <v>1641.3</v>
          </cell>
          <cell r="BD17">
            <v>172562.79</v>
          </cell>
          <cell r="BE17">
            <v>0</v>
          </cell>
          <cell r="BF17">
            <v>-11596.246000000001</v>
          </cell>
          <cell r="BG17">
            <v>0</v>
          </cell>
          <cell r="BH17">
            <v>-32518.971000000001</v>
          </cell>
          <cell r="BJ17">
            <v>130088.87300000001</v>
          </cell>
        </row>
        <row r="18">
          <cell r="F18">
            <v>686792.83783999993</v>
          </cell>
          <cell r="G18">
            <v>31178.476179999998</v>
          </cell>
          <cell r="H18">
            <v>39514.577340000003</v>
          </cell>
          <cell r="I18">
            <v>18426.743489999997</v>
          </cell>
          <cell r="J18">
            <v>17924.39762</v>
          </cell>
          <cell r="K18">
            <v>119961.13895000001</v>
          </cell>
          <cell r="L18">
            <v>62753.111310000008</v>
          </cell>
          <cell r="M18">
            <v>15500.23841</v>
          </cell>
          <cell r="N18">
            <v>28033.651109999999</v>
          </cell>
          <cell r="O18">
            <v>12867.18166</v>
          </cell>
          <cell r="P18">
            <v>35337.978560000003</v>
          </cell>
          <cell r="Q18">
            <v>15659.156789999999</v>
          </cell>
          <cell r="R18">
            <v>16023.97515</v>
          </cell>
          <cell r="S18">
            <v>25198.859659999998</v>
          </cell>
          <cell r="T18">
            <v>6157.2250199999989</v>
          </cell>
          <cell r="U18">
            <v>10525.86419</v>
          </cell>
          <cell r="V18">
            <v>21726.907800000001</v>
          </cell>
          <cell r="W18">
            <v>12480.98353</v>
          </cell>
          <cell r="Z18">
            <v>489270.46677000006</v>
          </cell>
          <cell r="AA18">
            <v>5364.7719999999999</v>
          </cell>
          <cell r="AB18">
            <v>0</v>
          </cell>
          <cell r="AC18">
            <v>3007.2640000000001</v>
          </cell>
          <cell r="AD18">
            <v>5614.2839999999997</v>
          </cell>
          <cell r="AH18">
            <v>13986.32</v>
          </cell>
          <cell r="AI18">
            <v>503256.78677000001</v>
          </cell>
          <cell r="AJ18">
            <v>33463.437210000004</v>
          </cell>
          <cell r="AK18">
            <v>74109.457330000005</v>
          </cell>
          <cell r="AL18">
            <v>70920.015530000004</v>
          </cell>
          <cell r="AN18">
            <v>178492.91007000001</v>
          </cell>
          <cell r="AO18">
            <v>4725.183</v>
          </cell>
          <cell r="AP18">
            <v>0</v>
          </cell>
          <cell r="AS18">
            <v>4725.183</v>
          </cell>
          <cell r="AT18">
            <v>1312.8920000000001</v>
          </cell>
          <cell r="AU18">
            <v>1827.6760000000002</v>
          </cell>
          <cell r="AV18">
            <v>0</v>
          </cell>
          <cell r="BA18">
            <v>3140.5680000000002</v>
          </cell>
          <cell r="BB18">
            <v>0</v>
          </cell>
          <cell r="BC18">
            <v>7886.8680000000004</v>
          </cell>
          <cell r="BD18">
            <v>0</v>
          </cell>
          <cell r="BE18">
            <v>0</v>
          </cell>
          <cell r="BF18">
            <v>-10709.477999999999</v>
          </cell>
          <cell r="BG18">
            <v>0</v>
          </cell>
          <cell r="BH18">
            <v>0</v>
          </cell>
          <cell r="BJ18">
            <v>-2822.6099999999988</v>
          </cell>
        </row>
        <row r="19">
          <cell r="F19">
            <v>658425.31083999993</v>
          </cell>
          <cell r="G19">
            <v>28883.607179999999</v>
          </cell>
          <cell r="H19">
            <v>37590.108340000006</v>
          </cell>
          <cell r="I19">
            <v>17051.813489999997</v>
          </cell>
          <cell r="J19">
            <v>16732.409619999999</v>
          </cell>
          <cell r="K19">
            <v>118079.69795</v>
          </cell>
          <cell r="L19">
            <v>61199.042310000004</v>
          </cell>
          <cell r="M19">
            <v>14677.039409999999</v>
          </cell>
          <cell r="N19">
            <v>26470.346109999999</v>
          </cell>
          <cell r="O19">
            <v>11658.568660000001</v>
          </cell>
          <cell r="P19">
            <v>34129.545560000006</v>
          </cell>
          <cell r="Q19">
            <v>14845.887789999999</v>
          </cell>
          <cell r="R19">
            <v>14766.184150000001</v>
          </cell>
          <cell r="S19">
            <v>23634.860659999998</v>
          </cell>
          <cell r="T19">
            <v>5786.8250199999993</v>
          </cell>
          <cell r="U19">
            <v>10082.99519</v>
          </cell>
          <cell r="V19">
            <v>20913.638800000001</v>
          </cell>
          <cell r="W19">
            <v>11667.714529999999</v>
          </cell>
          <cell r="Z19">
            <v>468170.28476999997</v>
          </cell>
          <cell r="AA19">
            <v>0</v>
          </cell>
          <cell r="AB19">
            <v>0</v>
          </cell>
          <cell r="AC19">
            <v>3007.2640000000001</v>
          </cell>
          <cell r="AD19">
            <v>5614.2839999999997</v>
          </cell>
          <cell r="AH19">
            <v>8621.5479999999989</v>
          </cell>
          <cell r="AI19">
            <v>476791.83276999998</v>
          </cell>
          <cell r="AJ19">
            <v>33463.437210000004</v>
          </cell>
          <cell r="AK19">
            <v>74109.457330000005</v>
          </cell>
          <cell r="AL19">
            <v>70920.015530000004</v>
          </cell>
          <cell r="AN19">
            <v>178492.91007000001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1827.6760000000002</v>
          </cell>
          <cell r="AV19">
            <v>0</v>
          </cell>
          <cell r="BA19">
            <v>3140.5680000000002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28367.527000000002</v>
          </cell>
          <cell r="G20">
            <v>2294.8690000000001</v>
          </cell>
          <cell r="H20">
            <v>1924.4690000000001</v>
          </cell>
          <cell r="I20">
            <v>1374.93</v>
          </cell>
          <cell r="J20">
            <v>1191.9880000000001</v>
          </cell>
          <cell r="K20">
            <v>1881.441</v>
          </cell>
          <cell r="L20">
            <v>1554.069</v>
          </cell>
          <cell r="M20">
            <v>823.19899999999996</v>
          </cell>
          <cell r="N20">
            <v>1563.3050000000001</v>
          </cell>
          <cell r="O20">
            <v>1208.6130000000001</v>
          </cell>
          <cell r="P20">
            <v>1208.433</v>
          </cell>
          <cell r="Q20">
            <v>813.26900000000001</v>
          </cell>
          <cell r="R20">
            <v>1257.7909999999999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21100.182000000001</v>
          </cell>
          <cell r="AA20">
            <v>5364.7719999999999</v>
          </cell>
          <cell r="AB20">
            <v>0</v>
          </cell>
          <cell r="AC20">
            <v>0</v>
          </cell>
          <cell r="AD20">
            <v>0</v>
          </cell>
          <cell r="AH20">
            <v>5364.7719999999999</v>
          </cell>
          <cell r="AI20">
            <v>26464.954000000002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4725.183</v>
          </cell>
          <cell r="AP20">
            <v>0</v>
          </cell>
          <cell r="AS20">
            <v>4725.183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7886.8680000000004</v>
          </cell>
          <cell r="BD20">
            <v>0</v>
          </cell>
          <cell r="BE20">
            <v>0</v>
          </cell>
          <cell r="BF20">
            <v>-10709.477999999999</v>
          </cell>
          <cell r="BG20">
            <v>0</v>
          </cell>
          <cell r="BH20">
            <v>0</v>
          </cell>
          <cell r="BJ20">
            <v>-2822.6099999999988</v>
          </cell>
        </row>
        <row r="21">
          <cell r="F21">
            <v>1646126.5579999995</v>
          </cell>
          <cell r="G21">
            <v>386862.75700000039</v>
          </cell>
          <cell r="H21">
            <v>34480.905000000348</v>
          </cell>
          <cell r="I21">
            <v>-80522.035000000105</v>
          </cell>
          <cell r="J21">
            <v>17589.356999999891</v>
          </cell>
          <cell r="K21">
            <v>323349.81799999991</v>
          </cell>
          <cell r="L21">
            <v>209676.42899999995</v>
          </cell>
          <cell r="M21">
            <v>13214.120999999932</v>
          </cell>
          <cell r="N21">
            <v>69741.612000000023</v>
          </cell>
          <cell r="O21">
            <v>10974.981000000016</v>
          </cell>
          <cell r="P21">
            <v>26963.159999999894</v>
          </cell>
          <cell r="Q21">
            <v>-105448.24099999999</v>
          </cell>
          <cell r="R21">
            <v>95170.722000000271</v>
          </cell>
          <cell r="S21">
            <v>69207.64200000024</v>
          </cell>
          <cell r="T21">
            <v>93604.435999999972</v>
          </cell>
          <cell r="U21">
            <v>88678.597000000038</v>
          </cell>
          <cell r="V21">
            <v>138578.17499999993</v>
          </cell>
          <cell r="W21">
            <v>22333.353999999948</v>
          </cell>
          <cell r="Z21">
            <v>1414455.7900000007</v>
          </cell>
          <cell r="AA21">
            <v>-7093.9470000000001</v>
          </cell>
          <cell r="AB21">
            <v>-179.87900000000002</v>
          </cell>
          <cell r="AC21">
            <v>9372.8839999999982</v>
          </cell>
          <cell r="AD21">
            <v>24704.435000000001</v>
          </cell>
          <cell r="AH21">
            <v>26803.492999999995</v>
          </cell>
          <cell r="AI21">
            <v>1441259.283000004</v>
          </cell>
          <cell r="AJ21">
            <v>42174.206999999995</v>
          </cell>
          <cell r="AK21">
            <v>28340.383999999962</v>
          </cell>
          <cell r="AL21">
            <v>-116372.31700000001</v>
          </cell>
          <cell r="AN21">
            <v>-45857.726000000053</v>
          </cell>
          <cell r="AO21">
            <v>-74798.37800000007</v>
          </cell>
          <cell r="AP21">
            <v>0</v>
          </cell>
          <cell r="AS21">
            <v>-74798.37800000007</v>
          </cell>
          <cell r="AT21">
            <v>3213.8450000000003</v>
          </cell>
          <cell r="AU21">
            <v>3823.1120000000001</v>
          </cell>
          <cell r="AV21">
            <v>185574.93900000001</v>
          </cell>
          <cell r="BA21">
            <v>192611.89600000001</v>
          </cell>
          <cell r="BB21">
            <v>0</v>
          </cell>
          <cell r="BC21">
            <v>-6245.5680000000002</v>
          </cell>
          <cell r="BD21">
            <v>172562.79</v>
          </cell>
          <cell r="BE21">
            <v>0</v>
          </cell>
          <cell r="BF21">
            <v>-886.76800000000185</v>
          </cell>
          <cell r="BG21">
            <v>0</v>
          </cell>
          <cell r="BH21">
            <v>-32518.971000000001</v>
          </cell>
          <cell r="BJ21">
            <v>132911.48300000001</v>
          </cell>
        </row>
        <row r="22">
          <cell r="F22">
            <v>1082892.60399559</v>
          </cell>
          <cell r="G22">
            <v>215879.45151007673</v>
          </cell>
          <cell r="H22">
            <v>162670.66261810047</v>
          </cell>
          <cell r="I22">
            <v>56391.927117735235</v>
          </cell>
          <cell r="J22">
            <v>69040.929609000392</v>
          </cell>
          <cell r="K22">
            <v>142844.63252775368</v>
          </cell>
          <cell r="L22">
            <v>113296.92448386093</v>
          </cell>
          <cell r="M22">
            <v>39970.682581524656</v>
          </cell>
          <cell r="N22">
            <v>76763.653729821381</v>
          </cell>
          <cell r="O22">
            <v>27802.503974362189</v>
          </cell>
          <cell r="P22">
            <v>46935.376977584849</v>
          </cell>
          <cell r="Q22">
            <v>14840.206495553575</v>
          </cell>
          <cell r="R22">
            <v>69020.166862015554</v>
          </cell>
          <cell r="S22">
            <v>110602.79321804717</v>
          </cell>
          <cell r="T22">
            <v>24030.878056234862</v>
          </cell>
          <cell r="U22">
            <v>27901.265388374766</v>
          </cell>
          <cell r="V22">
            <v>70220.66281321978</v>
          </cell>
          <cell r="W22">
            <v>26350.504639314684</v>
          </cell>
          <cell r="Z22">
            <v>1294563.2226025809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1294563.2226025809</v>
          </cell>
          <cell r="AJ22">
            <v>19174.068589164326</v>
          </cell>
          <cell r="AK22">
            <v>17168.606293844994</v>
          </cell>
          <cell r="AL22">
            <v>12586.24051</v>
          </cell>
          <cell r="AN22">
            <v>48928.915393009316</v>
          </cell>
          <cell r="AO22">
            <v>-76159.27900000001</v>
          </cell>
          <cell r="AP22">
            <v>0</v>
          </cell>
          <cell r="AS22">
            <v>-76159.27900000001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-184440.255</v>
          </cell>
          <cell r="BF22">
            <v>0</v>
          </cell>
          <cell r="BG22">
            <v>0</v>
          </cell>
          <cell r="BH22">
            <v>0</v>
          </cell>
          <cell r="BJ22">
            <v>-184440.255</v>
          </cell>
        </row>
        <row r="23">
          <cell r="F23">
            <v>194424.48099559019</v>
          </cell>
          <cell r="G23">
            <v>12043.282501841206</v>
          </cell>
          <cell r="H23">
            <v>9074.9199655995908</v>
          </cell>
          <cell r="I23">
            <v>3145.9404975856378</v>
          </cell>
          <cell r="J23">
            <v>3851.5913101257511</v>
          </cell>
          <cell r="K23">
            <v>17073.00638850683</v>
          </cell>
          <cell r="L23">
            <v>13541.419661920507</v>
          </cell>
          <cell r="M23">
            <v>4777.3563975864463</v>
          </cell>
          <cell r="N23">
            <v>9174.9079215820657</v>
          </cell>
          <cell r="O23">
            <v>3322.9972983307348</v>
          </cell>
          <cell r="P23">
            <v>5609.7871988966072</v>
          </cell>
          <cell r="Q23">
            <v>1773.7239112300515</v>
          </cell>
          <cell r="R23">
            <v>8249.3946669088018</v>
          </cell>
          <cell r="S23">
            <v>6170.2059871849051</v>
          </cell>
          <cell r="T23">
            <v>1340.6123240266993</v>
          </cell>
          <cell r="U23">
            <v>1556.5299007411866</v>
          </cell>
          <cell r="V23">
            <v>3917.4051713146337</v>
          </cell>
          <cell r="W23">
            <v>1470.0174991992285</v>
          </cell>
          <cell r="Z23">
            <v>106093.09860258087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106093.09860258087</v>
          </cell>
          <cell r="AJ23">
            <v>19174.068589164326</v>
          </cell>
          <cell r="AK23">
            <v>17168.606293844994</v>
          </cell>
          <cell r="AL23">
            <v>12586.24051</v>
          </cell>
          <cell r="AN23">
            <v>48928.915393009316</v>
          </cell>
          <cell r="AO23">
            <v>39402.466999999997</v>
          </cell>
          <cell r="AP23">
            <v>0</v>
          </cell>
          <cell r="AS23">
            <v>39402.466999999997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378121.86900000001</v>
          </cell>
          <cell r="G24">
            <v>64852.209272021966</v>
          </cell>
          <cell r="H24">
            <v>48867.79070788544</v>
          </cell>
          <cell r="I24">
            <v>16940.663102070506</v>
          </cell>
          <cell r="J24">
            <v>20740.541927534196</v>
          </cell>
          <cell r="K24">
            <v>40015.311603189512</v>
          </cell>
          <cell r="L24">
            <v>31738.061533560794</v>
          </cell>
          <cell r="M24">
            <v>11197.055781435321</v>
          </cell>
          <cell r="N24">
            <v>21503.933815653381</v>
          </cell>
          <cell r="O24">
            <v>7788.3630640924648</v>
          </cell>
          <cell r="P24">
            <v>13148.087553141468</v>
          </cell>
          <cell r="Q24">
            <v>4157.2124669078867</v>
          </cell>
          <cell r="R24">
            <v>19334.737574763807</v>
          </cell>
          <cell r="S24">
            <v>33226.115045563551</v>
          </cell>
          <cell r="T24">
            <v>7219.1008537032476</v>
          </cell>
          <cell r="U24">
            <v>8381.8014603239917</v>
          </cell>
          <cell r="V24">
            <v>21094.944832071949</v>
          </cell>
          <cell r="W24">
            <v>7915.9384060805578</v>
          </cell>
          <cell r="Z24">
            <v>378121.86900000001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378121.86900000001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510346.25399999996</v>
          </cell>
          <cell r="G25">
            <v>138983.95973621355</v>
          </cell>
          <cell r="H25">
            <v>104727.95194461544</v>
          </cell>
          <cell r="I25">
            <v>36305.323518079087</v>
          </cell>
          <cell r="J25">
            <v>44448.796371340453</v>
          </cell>
          <cell r="K25">
            <v>85756.31453605734</v>
          </cell>
          <cell r="L25">
            <v>68017.443288379625</v>
          </cell>
          <cell r="M25">
            <v>23996.270402502883</v>
          </cell>
          <cell r="N25">
            <v>46084.811992585936</v>
          </cell>
          <cell r="O25">
            <v>16691.143611938987</v>
          </cell>
          <cell r="P25">
            <v>28177.502225546777</v>
          </cell>
          <cell r="Q25">
            <v>8909.2701174156373</v>
          </cell>
          <cell r="R25">
            <v>41436.034620342951</v>
          </cell>
          <cell r="S25">
            <v>71206.472185298713</v>
          </cell>
          <cell r="T25">
            <v>15471.164878504913</v>
          </cell>
          <cell r="U25">
            <v>17962.934027309588</v>
          </cell>
          <cell r="V25">
            <v>45208.312809833194</v>
          </cell>
          <cell r="W25">
            <v>16964.548734034899</v>
          </cell>
          <cell r="Z25">
            <v>810348.255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810348.255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-115561.746</v>
          </cell>
          <cell r="AP25">
            <v>0</v>
          </cell>
          <cell r="AS25">
            <v>-115561.746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-184440.255</v>
          </cell>
          <cell r="BF25">
            <v>0</v>
          </cell>
          <cell r="BG25">
            <v>0</v>
          </cell>
          <cell r="BH25">
            <v>0</v>
          </cell>
          <cell r="BJ25">
            <v>-184440.255</v>
          </cell>
        </row>
        <row r="26">
          <cell r="F26">
            <v>563233.95400440949</v>
          </cell>
          <cell r="G26">
            <v>170983.30548992366</v>
          </cell>
          <cell r="H26">
            <v>-128189.75761810012</v>
          </cell>
          <cell r="I26">
            <v>-136913.96211773535</v>
          </cell>
          <cell r="J26">
            <v>-51451.572609000505</v>
          </cell>
          <cell r="K26">
            <v>180505.18547224623</v>
          </cell>
          <cell r="L26">
            <v>96379.504516139015</v>
          </cell>
          <cell r="M26">
            <v>-26756.561581524722</v>
          </cell>
          <cell r="N26">
            <v>-7022.0417298213579</v>
          </cell>
          <cell r="O26">
            <v>-16827.522974362175</v>
          </cell>
          <cell r="P26">
            <v>-19972.216977584954</v>
          </cell>
          <cell r="Q26">
            <v>-120288.44749555357</v>
          </cell>
          <cell r="R26">
            <v>26150.555137984717</v>
          </cell>
          <cell r="S26">
            <v>-41395.151218046929</v>
          </cell>
          <cell r="T26">
            <v>69573.557943765103</v>
          </cell>
          <cell r="U26">
            <v>60777.331611625268</v>
          </cell>
          <cell r="V26">
            <v>68357.51218678015</v>
          </cell>
          <cell r="W26">
            <v>-4017.1506393147356</v>
          </cell>
          <cell r="Z26">
            <v>119892.56739741983</v>
          </cell>
          <cell r="AA26">
            <v>-7093.9470000000001</v>
          </cell>
          <cell r="AB26">
            <v>-179.87900000000002</v>
          </cell>
          <cell r="AC26">
            <v>9372.8839999999982</v>
          </cell>
          <cell r="AD26">
            <v>24704.435000000001</v>
          </cell>
          <cell r="AH26">
            <v>26803.492999999995</v>
          </cell>
          <cell r="AI26">
            <v>146696.06039742311</v>
          </cell>
          <cell r="AJ26">
            <v>23000.138410835669</v>
          </cell>
          <cell r="AK26">
            <v>11171.777706154968</v>
          </cell>
          <cell r="AL26">
            <v>-128958.55751000001</v>
          </cell>
          <cell r="AN26">
            <v>-94786.641393009369</v>
          </cell>
          <cell r="AO26">
            <v>1360.9009999999398</v>
          </cell>
          <cell r="AP26">
            <v>0</v>
          </cell>
          <cell r="AS26">
            <v>1360.9009999999398</v>
          </cell>
          <cell r="AT26">
            <v>3213.8450000000003</v>
          </cell>
          <cell r="AU26">
            <v>3823.1120000000001</v>
          </cell>
          <cell r="AV26">
            <v>185574.93900000001</v>
          </cell>
          <cell r="BA26">
            <v>192611.89600000001</v>
          </cell>
          <cell r="BB26">
            <v>0</v>
          </cell>
          <cell r="BC26">
            <v>-6245.5680000000002</v>
          </cell>
          <cell r="BD26">
            <v>172562.79</v>
          </cell>
          <cell r="BE26">
            <v>184440.255</v>
          </cell>
          <cell r="BF26">
            <v>-886.76800000000185</v>
          </cell>
          <cell r="BG26">
            <v>0</v>
          </cell>
          <cell r="BH26">
            <v>-32518.971000000001</v>
          </cell>
          <cell r="BJ26">
            <v>317351.73800000001</v>
          </cell>
        </row>
        <row r="27">
          <cell r="F27">
            <v>563233.95400441031</v>
          </cell>
          <cell r="G27">
            <v>170983.30548992369</v>
          </cell>
          <cell r="H27">
            <v>-128189.75761810014</v>
          </cell>
          <cell r="I27">
            <v>-136913.96211773533</v>
          </cell>
          <cell r="J27">
            <v>-51451.572609000512</v>
          </cell>
          <cell r="K27">
            <v>180505.18547224626</v>
          </cell>
          <cell r="L27">
            <v>96379.504516138986</v>
          </cell>
          <cell r="M27">
            <v>-26756.561581524726</v>
          </cell>
          <cell r="N27">
            <v>-7022.0417298213506</v>
          </cell>
          <cell r="O27">
            <v>-16827.522974362171</v>
          </cell>
          <cell r="P27">
            <v>-19972.216977584965</v>
          </cell>
          <cell r="Q27">
            <v>-120288.44749555357</v>
          </cell>
          <cell r="R27">
            <v>26150.555137984698</v>
          </cell>
          <cell r="S27">
            <v>-41395.151218046914</v>
          </cell>
          <cell r="T27">
            <v>69573.557943765118</v>
          </cell>
          <cell r="U27">
            <v>60777.33161162529</v>
          </cell>
          <cell r="V27">
            <v>68357.512186780164</v>
          </cell>
          <cell r="W27">
            <v>-4017.1506393147483</v>
          </cell>
          <cell r="Z27">
            <v>119892.56739741979</v>
          </cell>
          <cell r="AA27">
            <v>-7093.9470000000001</v>
          </cell>
          <cell r="AB27">
            <v>-179.87900000000002</v>
          </cell>
          <cell r="AC27">
            <v>9372.8839999999982</v>
          </cell>
          <cell r="AD27">
            <v>24704.435000000001</v>
          </cell>
          <cell r="AH27">
            <v>26803.492999999999</v>
          </cell>
          <cell r="AI27">
            <v>146696.06039741979</v>
          </cell>
          <cell r="AJ27">
            <v>23000.138410835672</v>
          </cell>
          <cell r="AK27">
            <v>11171.777706154971</v>
          </cell>
          <cell r="AL27">
            <v>-128958.55751000001</v>
          </cell>
          <cell r="AN27">
            <v>-94786.641393009369</v>
          </cell>
          <cell r="AO27">
            <v>1360.9009999999589</v>
          </cell>
          <cell r="AP27">
            <v>0</v>
          </cell>
          <cell r="AS27">
            <v>1360.9009999999589</v>
          </cell>
          <cell r="AT27">
            <v>3213.8450000000003</v>
          </cell>
          <cell r="AU27">
            <v>3823.1120000000001</v>
          </cell>
          <cell r="AV27">
            <v>185574.93900000001</v>
          </cell>
          <cell r="BA27">
            <v>192611.89600000001</v>
          </cell>
          <cell r="BB27">
            <v>0</v>
          </cell>
          <cell r="BC27">
            <v>-6245.5680000000002</v>
          </cell>
          <cell r="BD27">
            <v>172562.79</v>
          </cell>
          <cell r="BE27">
            <v>184440.255</v>
          </cell>
          <cell r="BF27">
            <v>-886.76800000000003</v>
          </cell>
          <cell r="BG27">
            <v>0</v>
          </cell>
          <cell r="BH27">
            <v>-32518.971000000001</v>
          </cell>
          <cell r="BJ27">
            <v>317351.73800000001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-7.2759576141834259E-12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1.2732925824820995E-11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3.3178366720676422E-9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-1.9099388737231493E-11</v>
          </cell>
          <cell r="AP28">
            <v>0</v>
          </cell>
          <cell r="AS28">
            <v>-1.9099388737231493E-11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-1.8189894035458565E-12</v>
          </cell>
          <cell r="BG28">
            <v>0</v>
          </cell>
          <cell r="BH28">
            <v>0</v>
          </cell>
          <cell r="BJ28">
            <v>0</v>
          </cell>
        </row>
        <row r="29">
          <cell r="F29">
            <v>561873.05300440954</v>
          </cell>
        </row>
        <row r="31">
          <cell r="G31">
            <v>42206</v>
          </cell>
          <cell r="H31">
            <v>31686.5</v>
          </cell>
          <cell r="I31">
            <v>11210</v>
          </cell>
          <cell r="J31">
            <v>14148.5</v>
          </cell>
          <cell r="K31">
            <v>21737</v>
          </cell>
          <cell r="L31">
            <v>20056</v>
          </cell>
          <cell r="M31">
            <v>7251.5</v>
          </cell>
          <cell r="N31">
            <v>12903</v>
          </cell>
          <cell r="O31">
            <v>4772</v>
          </cell>
          <cell r="P31">
            <v>8648</v>
          </cell>
          <cell r="Q31">
            <v>3166.5</v>
          </cell>
          <cell r="R31">
            <v>11961</v>
          </cell>
          <cell r="S31">
            <v>22192</v>
          </cell>
          <cell r="T31">
            <v>3644.5</v>
          </cell>
          <cell r="U31">
            <v>5036</v>
          </cell>
          <cell r="V31">
            <v>13624</v>
          </cell>
          <cell r="W31">
            <v>4034.5</v>
          </cell>
          <cell r="X31">
            <v>0</v>
          </cell>
          <cell r="Y31">
            <v>0</v>
          </cell>
          <cell r="Z31">
            <v>238277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238277</v>
          </cell>
          <cell r="AJ31">
            <v>18967</v>
          </cell>
          <cell r="AK31">
            <v>34432</v>
          </cell>
          <cell r="AL31">
            <v>17664</v>
          </cell>
          <cell r="AN31">
            <v>71063</v>
          </cell>
          <cell r="AO31">
            <v>3925.4639999999999</v>
          </cell>
          <cell r="AP31">
            <v>0</v>
          </cell>
          <cell r="AS31">
            <v>3925.4639999999999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30109660.944000002</v>
          </cell>
          <cell r="G32">
            <v>4199507.7240000004</v>
          </cell>
          <cell r="H32">
            <v>3164435.9819999998</v>
          </cell>
          <cell r="I32">
            <v>1096993.3999999999</v>
          </cell>
          <cell r="J32">
            <v>1343054.7239999999</v>
          </cell>
          <cell r="K32">
            <v>2591193.2999999998</v>
          </cell>
          <cell r="L32">
            <v>2055199.6</v>
          </cell>
          <cell r="M32">
            <v>725065.85</v>
          </cell>
          <cell r="N32">
            <v>1392488.2</v>
          </cell>
          <cell r="O32">
            <v>504335.8</v>
          </cell>
          <cell r="P32">
            <v>851405</v>
          </cell>
          <cell r="Q32">
            <v>269200.48</v>
          </cell>
          <cell r="R32">
            <v>1252021.8</v>
          </cell>
          <cell r="S32">
            <v>2151558.5720000002</v>
          </cell>
          <cell r="T32">
            <v>467473.2</v>
          </cell>
          <cell r="U32">
            <v>542763.93000000005</v>
          </cell>
          <cell r="V32">
            <v>1366004.1</v>
          </cell>
          <cell r="W32">
            <v>512596.94699999999</v>
          </cell>
          <cell r="X32">
            <v>0</v>
          </cell>
          <cell r="Y32">
            <v>0</v>
          </cell>
          <cell r="Z32">
            <v>24485298.609000001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24528638.609000001</v>
          </cell>
          <cell r="AJ32">
            <v>535077</v>
          </cell>
          <cell r="AK32">
            <v>479112</v>
          </cell>
          <cell r="AL32">
            <v>351235.2</v>
          </cell>
          <cell r="AN32">
            <v>1365424.2</v>
          </cell>
          <cell r="AO32">
            <v>4017791.8960000002</v>
          </cell>
          <cell r="AP32">
            <v>0</v>
          </cell>
          <cell r="AS32">
            <v>4017791.8960000002</v>
          </cell>
          <cell r="AT32">
            <v>4700</v>
          </cell>
          <cell r="AU32">
            <v>5890</v>
          </cell>
          <cell r="AV32">
            <v>185574.93900000001</v>
          </cell>
          <cell r="BA32">
            <v>196164.93900000001</v>
          </cell>
          <cell r="BB32">
            <v>0</v>
          </cell>
          <cell r="BC32">
            <v>1641.3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1641.3</v>
          </cell>
        </row>
        <row r="33">
          <cell r="F33">
            <v>27617309.137000002</v>
          </cell>
          <cell r="G33">
            <v>3744294.0669999998</v>
          </cell>
          <cell r="H33">
            <v>3063734.3649999993</v>
          </cell>
          <cell r="I33">
            <v>1131593.6370000001</v>
          </cell>
          <cell r="J33">
            <v>1283990.1000000001</v>
          </cell>
          <cell r="K33">
            <v>2214838.952</v>
          </cell>
          <cell r="L33">
            <v>1793083.121</v>
          </cell>
          <cell r="M33">
            <v>675311.34100000001</v>
          </cell>
          <cell r="N33">
            <v>1269265.862</v>
          </cell>
          <cell r="O33">
            <v>463507.49799999996</v>
          </cell>
          <cell r="P33">
            <v>781982.0340000001</v>
          </cell>
          <cell r="Q33">
            <v>337595.75599999999</v>
          </cell>
          <cell r="R33">
            <v>1127467.9509999999</v>
          </cell>
          <cell r="S33">
            <v>2024038.0079999999</v>
          </cell>
          <cell r="T33">
            <v>364051.43200000003</v>
          </cell>
          <cell r="U33">
            <v>441789.87599999999</v>
          </cell>
          <cell r="V33">
            <v>1188727.3380000002</v>
          </cell>
          <cell r="W33">
            <v>473465.70800000004</v>
          </cell>
          <cell r="X33">
            <v>0</v>
          </cell>
          <cell r="Y33">
            <v>0</v>
          </cell>
          <cell r="Z33">
            <v>22378737.045999996</v>
          </cell>
          <cell r="AA33">
            <v>0</v>
          </cell>
          <cell r="AB33">
            <v>0</v>
          </cell>
          <cell r="AC33">
            <v>3127.116</v>
          </cell>
          <cell r="AD33">
            <v>6135.5649999999996</v>
          </cell>
          <cell r="AH33">
            <v>9262.6810000000005</v>
          </cell>
          <cell r="AI33">
            <v>22387999.726999998</v>
          </cell>
          <cell r="AJ33">
            <v>492902.79300000001</v>
          </cell>
          <cell r="AK33">
            <v>450771.61600000004</v>
          </cell>
          <cell r="AL33">
            <v>467607.51699999999</v>
          </cell>
          <cell r="AN33">
            <v>1411281.926</v>
          </cell>
          <cell r="AO33">
            <v>3954518.2600000002</v>
          </cell>
          <cell r="AP33">
            <v>0</v>
          </cell>
          <cell r="AS33">
            <v>3954518.2600000002</v>
          </cell>
          <cell r="AT33">
            <v>1486.155</v>
          </cell>
          <cell r="AU33">
            <v>2066.8879999999999</v>
          </cell>
          <cell r="AV33">
            <v>0</v>
          </cell>
          <cell r="BA33">
            <v>3553.0429999999997</v>
          </cell>
          <cell r="BB33">
            <v>0</v>
          </cell>
          <cell r="BC33">
            <v>0</v>
          </cell>
          <cell r="BD33">
            <v>-172562.79</v>
          </cell>
          <cell r="BE33">
            <v>0</v>
          </cell>
          <cell r="BF33">
            <v>0</v>
          </cell>
          <cell r="BG33">
            <v>0</v>
          </cell>
          <cell r="BH33">
            <v>32518.971000000001</v>
          </cell>
          <cell r="BJ33">
            <v>-140043.81900000002</v>
          </cell>
        </row>
        <row r="34">
          <cell r="F34">
            <v>2492351.807</v>
          </cell>
          <cell r="G34">
            <v>455213.65700000059</v>
          </cell>
          <cell r="H34">
            <v>100701.61700000055</v>
          </cell>
          <cell r="I34">
            <v>-34600.237000000197</v>
          </cell>
          <cell r="J34">
            <v>59064.623999999836</v>
          </cell>
          <cell r="K34">
            <v>376354.34799999977</v>
          </cell>
          <cell r="L34">
            <v>262116.47900000005</v>
          </cell>
          <cell r="M34">
            <v>49754.508999999962</v>
          </cell>
          <cell r="N34">
            <v>123222.33799999999</v>
          </cell>
          <cell r="O34">
            <v>40828.302000000025</v>
          </cell>
          <cell r="P34">
            <v>69422.965999999898</v>
          </cell>
          <cell r="Q34">
            <v>-68395.276000000013</v>
          </cell>
          <cell r="R34">
            <v>124553.84900000016</v>
          </cell>
          <cell r="S34">
            <v>127520.56400000025</v>
          </cell>
          <cell r="T34">
            <v>103421.76799999998</v>
          </cell>
          <cell r="U34">
            <v>100974.05400000006</v>
          </cell>
          <cell r="V34">
            <v>177276.76199999987</v>
          </cell>
          <cell r="W34">
            <v>39131.238999999943</v>
          </cell>
          <cell r="X34">
            <v>0</v>
          </cell>
          <cell r="Y34">
            <v>0</v>
          </cell>
          <cell r="Z34">
            <v>2106561.5630000047</v>
          </cell>
          <cell r="AA34">
            <v>0</v>
          </cell>
          <cell r="AB34">
            <v>0</v>
          </cell>
          <cell r="AC34">
            <v>9372.884</v>
          </cell>
          <cell r="AD34">
            <v>24704.435000000001</v>
          </cell>
          <cell r="AH34">
            <v>34077.319000000003</v>
          </cell>
          <cell r="AI34">
            <v>2140638.882000003</v>
          </cell>
          <cell r="AJ34">
            <v>42174.206999999995</v>
          </cell>
          <cell r="AK34">
            <v>28340.383999999962</v>
          </cell>
          <cell r="AL34">
            <v>-116372.31699999998</v>
          </cell>
          <cell r="AN34">
            <v>-45857.726000000024</v>
          </cell>
          <cell r="AO34">
            <v>63273.63599999994</v>
          </cell>
          <cell r="AP34">
            <v>0</v>
          </cell>
          <cell r="AS34">
            <v>63273.63599999994</v>
          </cell>
          <cell r="AT34">
            <v>3213.8450000000003</v>
          </cell>
          <cell r="AU34">
            <v>3823.1120000000001</v>
          </cell>
          <cell r="AV34">
            <v>185574.93900000001</v>
          </cell>
          <cell r="BA34">
            <v>192611.89600000001</v>
          </cell>
          <cell r="BB34">
            <v>0</v>
          </cell>
          <cell r="BC34">
            <v>1641.3</v>
          </cell>
          <cell r="BD34">
            <v>172562.79</v>
          </cell>
          <cell r="BE34">
            <v>0</v>
          </cell>
          <cell r="BF34">
            <v>0</v>
          </cell>
          <cell r="BG34">
            <v>0</v>
          </cell>
          <cell r="BH34">
            <v>-32518.971000000001</v>
          </cell>
          <cell r="BJ34">
            <v>141685.11900000001</v>
          </cell>
        </row>
        <row r="35">
          <cell r="F35">
            <v>1929117.8529955903</v>
          </cell>
          <cell r="G35">
            <v>284230.35151007673</v>
          </cell>
          <cell r="H35">
            <v>228891.3746181005</v>
          </cell>
          <cell r="I35">
            <v>102313.72511773523</v>
          </cell>
          <cell r="J35">
            <v>110516.19660900038</v>
          </cell>
          <cell r="K35">
            <v>195849.16252775368</v>
          </cell>
          <cell r="L35">
            <v>165736.97448386092</v>
          </cell>
          <cell r="M35">
            <v>76511.070581524647</v>
          </cell>
          <cell r="N35">
            <v>130244.37972982138</v>
          </cell>
          <cell r="O35">
            <v>57655.824974362185</v>
          </cell>
          <cell r="P35">
            <v>89395.182977584846</v>
          </cell>
          <cell r="Q35">
            <v>51893.171495553579</v>
          </cell>
          <cell r="R35">
            <v>98403.293862015547</v>
          </cell>
          <cell r="S35">
            <v>168915.71521804717</v>
          </cell>
          <cell r="T35">
            <v>33848.210056234864</v>
          </cell>
          <cell r="U35">
            <v>40196.722388374765</v>
          </cell>
          <cell r="V35">
            <v>108919.24981321978</v>
          </cell>
          <cell r="W35">
            <v>43148.389639314686</v>
          </cell>
          <cell r="X35">
            <v>0</v>
          </cell>
          <cell r="Y35">
            <v>0</v>
          </cell>
          <cell r="Z35">
            <v>1986668.995602581</v>
          </cell>
          <cell r="AA35">
            <v>7093.9470000000001</v>
          </cell>
          <cell r="AB35">
            <v>179.87900000000002</v>
          </cell>
          <cell r="AC35">
            <v>0</v>
          </cell>
          <cell r="AD35">
            <v>0</v>
          </cell>
          <cell r="AH35">
            <v>7273.826</v>
          </cell>
          <cell r="AI35">
            <v>1993942.8216025808</v>
          </cell>
          <cell r="AJ35">
            <v>19174.068589164326</v>
          </cell>
          <cell r="AK35">
            <v>17168.606293844994</v>
          </cell>
          <cell r="AL35">
            <v>12586.24051</v>
          </cell>
          <cell r="AN35">
            <v>48928.915393009316</v>
          </cell>
          <cell r="AO35">
            <v>61912.734999999993</v>
          </cell>
          <cell r="AP35">
            <v>0</v>
          </cell>
          <cell r="AS35">
            <v>61912.734999999993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7886.8680000000004</v>
          </cell>
          <cell r="BD35">
            <v>0</v>
          </cell>
          <cell r="BE35">
            <v>-184440.255</v>
          </cell>
          <cell r="BF35">
            <v>886.76800000000185</v>
          </cell>
          <cell r="BG35">
            <v>0</v>
          </cell>
          <cell r="BH35">
            <v>0</v>
          </cell>
          <cell r="BJ35">
            <v>-175666.61900000001</v>
          </cell>
        </row>
        <row r="36">
          <cell r="F36">
            <v>563233.95400440972</v>
          </cell>
          <cell r="G36">
            <v>170983.30548992386</v>
          </cell>
          <cell r="H36">
            <v>-128189.75761809995</v>
          </cell>
          <cell r="I36">
            <v>-136913.96211773541</v>
          </cell>
          <cell r="J36">
            <v>-51451.572609000548</v>
          </cell>
          <cell r="K36">
            <v>180505.18547224608</v>
          </cell>
          <cell r="L36">
            <v>96379.504516139132</v>
          </cell>
          <cell r="M36">
            <v>-26756.561581524686</v>
          </cell>
          <cell r="N36">
            <v>-7022.041729821387</v>
          </cell>
          <cell r="O36">
            <v>-16827.52297436216</v>
          </cell>
          <cell r="P36">
            <v>-19972.216977584947</v>
          </cell>
          <cell r="Q36">
            <v>-120288.44749555358</v>
          </cell>
          <cell r="R36">
            <v>26150.555137984615</v>
          </cell>
          <cell r="S36">
            <v>-41395.151218046929</v>
          </cell>
          <cell r="T36">
            <v>69573.557943765118</v>
          </cell>
          <cell r="U36">
            <v>60777.331611625297</v>
          </cell>
          <cell r="V36">
            <v>68357.512186780092</v>
          </cell>
          <cell r="W36">
            <v>-4017.1506393147429</v>
          </cell>
          <cell r="X36">
            <v>0</v>
          </cell>
          <cell r="Y36">
            <v>0</v>
          </cell>
          <cell r="Z36">
            <v>119892.56739742379</v>
          </cell>
          <cell r="AA36">
            <v>-7093.9470000000001</v>
          </cell>
          <cell r="AB36">
            <v>-179.87900000000002</v>
          </cell>
          <cell r="AC36">
            <v>9372.884</v>
          </cell>
          <cell r="AD36">
            <v>24704.435000000001</v>
          </cell>
          <cell r="AH36">
            <v>26803.493000000002</v>
          </cell>
          <cell r="AI36">
            <v>146696.06039742217</v>
          </cell>
          <cell r="AJ36">
            <v>23000.138410835669</v>
          </cell>
          <cell r="AK36">
            <v>11171.777706154968</v>
          </cell>
          <cell r="AL36">
            <v>-128958.55750999998</v>
          </cell>
          <cell r="AN36">
            <v>-94786.64139300934</v>
          </cell>
          <cell r="AO36">
            <v>1360.9009999999471</v>
          </cell>
          <cell r="AP36">
            <v>0</v>
          </cell>
          <cell r="AS36">
            <v>1360.9009999999471</v>
          </cell>
          <cell r="AT36">
            <v>3213.8450000000003</v>
          </cell>
          <cell r="AU36">
            <v>3823.1120000000001</v>
          </cell>
          <cell r="AV36">
            <v>185574.93900000001</v>
          </cell>
          <cell r="BA36">
            <v>192611.89600000001</v>
          </cell>
          <cell r="BB36">
            <v>0</v>
          </cell>
          <cell r="BC36">
            <v>-6245.5680000000002</v>
          </cell>
          <cell r="BD36">
            <v>172562.79</v>
          </cell>
          <cell r="BE36">
            <v>184440.255</v>
          </cell>
          <cell r="BF36">
            <v>-886.76800000000185</v>
          </cell>
          <cell r="BG36">
            <v>0</v>
          </cell>
          <cell r="BH36">
            <v>-32518.971000000001</v>
          </cell>
          <cell r="BJ36">
            <v>317351.73800000001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-12592</v>
          </cell>
          <cell r="AK38">
            <v>-23696</v>
          </cell>
          <cell r="AL38">
            <v>-15328</v>
          </cell>
          <cell r="AN38">
            <v>-51616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-1050112</v>
          </cell>
          <cell r="Z39">
            <v>0</v>
          </cell>
          <cell r="AH39">
            <v>0</v>
          </cell>
          <cell r="AI39">
            <v>0</v>
          </cell>
          <cell r="AJ39">
            <v>-361728</v>
          </cell>
          <cell r="AK39">
            <v>-369984</v>
          </cell>
          <cell r="AL39">
            <v>-318400</v>
          </cell>
          <cell r="AN39">
            <v>-1050112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-1050112</v>
          </cell>
          <cell r="K40">
            <v>44598.330999999998</v>
          </cell>
          <cell r="L40">
            <v>-44069.546999999999</v>
          </cell>
          <cell r="M40">
            <v>-117.185</v>
          </cell>
          <cell r="N40">
            <v>7192.7960000000003</v>
          </cell>
          <cell r="O40">
            <v>179.77199999999999</v>
          </cell>
          <cell r="P40">
            <v>4537.7489999999998</v>
          </cell>
          <cell r="Q40">
            <v>0</v>
          </cell>
          <cell r="R40">
            <v>539.31600000000003</v>
          </cell>
          <cell r="Z40">
            <v>12861.232</v>
          </cell>
          <cell r="AH40">
            <v>0</v>
          </cell>
          <cell r="AI40">
            <v>12861.232</v>
          </cell>
          <cell r="AJ40">
            <v>-331610.07</v>
          </cell>
          <cell r="AK40">
            <v>-325656.71899999998</v>
          </cell>
          <cell r="AL40">
            <v>-405706.44300000003</v>
          </cell>
          <cell r="AN40">
            <v>-1062973.2320000001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-44598.330999999998</v>
          </cell>
          <cell r="L41">
            <v>44069.546999999999</v>
          </cell>
          <cell r="M41">
            <v>117.185</v>
          </cell>
          <cell r="N41">
            <v>-7192.7960000000003</v>
          </cell>
          <cell r="O41">
            <v>-179.77199999999999</v>
          </cell>
          <cell r="P41">
            <v>-4537.7489999999998</v>
          </cell>
          <cell r="Q41">
            <v>0</v>
          </cell>
          <cell r="R41">
            <v>-539.31600000000003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-12861.232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-12861.232</v>
          </cell>
          <cell r="AJ41">
            <v>-30117.929999999993</v>
          </cell>
          <cell r="AK41">
            <v>-44327.281000000017</v>
          </cell>
          <cell r="AL41">
            <v>87306.443000000028</v>
          </cell>
          <cell r="AN41">
            <v>12861.232000000076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-44598.330999999998</v>
          </cell>
          <cell r="L43">
            <v>44069.546999999999</v>
          </cell>
          <cell r="M43">
            <v>117.185</v>
          </cell>
          <cell r="N43">
            <v>-7192.7960000000003</v>
          </cell>
          <cell r="O43">
            <v>-179.77199999999999</v>
          </cell>
          <cell r="P43">
            <v>-4537.7489999999998</v>
          </cell>
          <cell r="Q43">
            <v>0</v>
          </cell>
          <cell r="R43">
            <v>-539.31600000000003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-12861.232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-12861.232</v>
          </cell>
          <cell r="AJ43">
            <v>-30117.929999999993</v>
          </cell>
          <cell r="AK43">
            <v>-44327.281000000017</v>
          </cell>
          <cell r="AL43">
            <v>87306.443000000028</v>
          </cell>
          <cell r="AN43">
            <v>12861.232000000076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42206</v>
          </cell>
          <cell r="H45">
            <v>31686.5</v>
          </cell>
          <cell r="I45">
            <v>11210</v>
          </cell>
          <cell r="J45">
            <v>14148.5</v>
          </cell>
          <cell r="K45">
            <v>21737</v>
          </cell>
          <cell r="L45">
            <v>20056</v>
          </cell>
          <cell r="M45">
            <v>7251.5</v>
          </cell>
          <cell r="N45">
            <v>12903</v>
          </cell>
          <cell r="O45">
            <v>4772</v>
          </cell>
          <cell r="P45">
            <v>8648</v>
          </cell>
          <cell r="Q45">
            <v>3166.5</v>
          </cell>
          <cell r="R45">
            <v>11961</v>
          </cell>
          <cell r="S45">
            <v>22192</v>
          </cell>
          <cell r="T45">
            <v>3644.5</v>
          </cell>
          <cell r="U45">
            <v>5036</v>
          </cell>
          <cell r="V45">
            <v>13624</v>
          </cell>
          <cell r="W45">
            <v>4034.5</v>
          </cell>
          <cell r="X45">
            <v>0</v>
          </cell>
          <cell r="Y45">
            <v>0</v>
          </cell>
          <cell r="Z45">
            <v>238277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238277</v>
          </cell>
          <cell r="AJ45">
            <v>6375</v>
          </cell>
          <cell r="AK45">
            <v>10736</v>
          </cell>
          <cell r="AL45">
            <v>2336</v>
          </cell>
          <cell r="AN45">
            <v>19447</v>
          </cell>
          <cell r="AO45">
            <v>3925.4639999999999</v>
          </cell>
          <cell r="AP45">
            <v>0</v>
          </cell>
          <cell r="AS45">
            <v>3925.4639999999999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29059548.944000002</v>
          </cell>
          <cell r="G46">
            <v>4199507.7240000004</v>
          </cell>
          <cell r="H46">
            <v>3164435.9819999998</v>
          </cell>
          <cell r="I46">
            <v>1096993.3999999999</v>
          </cell>
          <cell r="J46">
            <v>1343054.7239999999</v>
          </cell>
          <cell r="K46">
            <v>2591193.2999999998</v>
          </cell>
          <cell r="L46">
            <v>2055199.6</v>
          </cell>
          <cell r="M46">
            <v>725065.85</v>
          </cell>
          <cell r="N46">
            <v>1392488.2</v>
          </cell>
          <cell r="O46">
            <v>504335.8</v>
          </cell>
          <cell r="P46">
            <v>851405</v>
          </cell>
          <cell r="Q46">
            <v>269200.48</v>
          </cell>
          <cell r="R46">
            <v>1252021.8</v>
          </cell>
          <cell r="S46">
            <v>2151558.5720000002</v>
          </cell>
          <cell r="T46">
            <v>467473.2</v>
          </cell>
          <cell r="U46">
            <v>542763.93000000005</v>
          </cell>
          <cell r="V46">
            <v>1366004.1</v>
          </cell>
          <cell r="W46">
            <v>512596.94699999999</v>
          </cell>
          <cell r="X46">
            <v>0</v>
          </cell>
          <cell r="Y46">
            <v>0</v>
          </cell>
          <cell r="Z46">
            <v>24485298.609000001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24528638.609000001</v>
          </cell>
          <cell r="AJ46">
            <v>173349</v>
          </cell>
          <cell r="AK46">
            <v>109128</v>
          </cell>
          <cell r="AL46">
            <v>32835.200000000012</v>
          </cell>
          <cell r="AN46">
            <v>315312.2</v>
          </cell>
          <cell r="AO46">
            <v>4017791.8960000002</v>
          </cell>
          <cell r="AP46">
            <v>0</v>
          </cell>
          <cell r="AS46">
            <v>4017791.8960000002</v>
          </cell>
          <cell r="AT46">
            <v>4700</v>
          </cell>
          <cell r="AU46">
            <v>5890</v>
          </cell>
          <cell r="AV46">
            <v>185574.93900000001</v>
          </cell>
          <cell r="BA46">
            <v>196164.93900000001</v>
          </cell>
          <cell r="BB46">
            <v>0</v>
          </cell>
          <cell r="BC46">
            <v>1641.3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1641.3</v>
          </cell>
        </row>
        <row r="47">
          <cell r="F47">
            <v>26567197.137000002</v>
          </cell>
          <cell r="G47">
            <v>3744294.0669999998</v>
          </cell>
          <cell r="H47">
            <v>3063734.3649999993</v>
          </cell>
          <cell r="I47">
            <v>1131593.6370000001</v>
          </cell>
          <cell r="J47">
            <v>1283990.1000000001</v>
          </cell>
          <cell r="K47">
            <v>2259437.2829999998</v>
          </cell>
          <cell r="L47">
            <v>1749013.574</v>
          </cell>
          <cell r="M47">
            <v>675194.15599999996</v>
          </cell>
          <cell r="N47">
            <v>1276458.6580000001</v>
          </cell>
          <cell r="O47">
            <v>463687.26999999996</v>
          </cell>
          <cell r="P47">
            <v>786519.78300000005</v>
          </cell>
          <cell r="Q47">
            <v>337595.75599999999</v>
          </cell>
          <cell r="R47">
            <v>1128007.267</v>
          </cell>
          <cell r="S47">
            <v>2024038.0079999999</v>
          </cell>
          <cell r="T47">
            <v>364051.43200000003</v>
          </cell>
          <cell r="U47">
            <v>441789.87599999999</v>
          </cell>
          <cell r="V47">
            <v>1188727.3380000002</v>
          </cell>
          <cell r="W47">
            <v>473465.70800000004</v>
          </cell>
          <cell r="X47">
            <v>0</v>
          </cell>
          <cell r="Y47">
            <v>0</v>
          </cell>
          <cell r="Z47">
            <v>22391598.277999997</v>
          </cell>
          <cell r="AA47">
            <v>0</v>
          </cell>
          <cell r="AB47">
            <v>0</v>
          </cell>
          <cell r="AC47">
            <v>3127.116</v>
          </cell>
          <cell r="AD47">
            <v>6135.5649999999996</v>
          </cell>
          <cell r="AH47">
            <v>9262.6810000000005</v>
          </cell>
          <cell r="AI47">
            <v>22400860.958999999</v>
          </cell>
          <cell r="AJ47">
            <v>161292.723</v>
          </cell>
          <cell r="AK47">
            <v>125114.89700000006</v>
          </cell>
          <cell r="AL47">
            <v>61901.073999999964</v>
          </cell>
          <cell r="AN47">
            <v>348308.69400000002</v>
          </cell>
          <cell r="AO47">
            <v>3954518.2600000002</v>
          </cell>
          <cell r="AP47">
            <v>0</v>
          </cell>
          <cell r="AS47">
            <v>3954518.2600000002</v>
          </cell>
          <cell r="AT47">
            <v>1486.155</v>
          </cell>
          <cell r="AU47">
            <v>2066.8879999999999</v>
          </cell>
          <cell r="AV47">
            <v>0</v>
          </cell>
          <cell r="BA47">
            <v>3553.0429999999997</v>
          </cell>
          <cell r="BB47">
            <v>0</v>
          </cell>
          <cell r="BC47">
            <v>0</v>
          </cell>
          <cell r="BD47">
            <v>-172562.79</v>
          </cell>
          <cell r="BE47">
            <v>0</v>
          </cell>
          <cell r="BF47">
            <v>0</v>
          </cell>
          <cell r="BG47">
            <v>0</v>
          </cell>
          <cell r="BH47">
            <v>32518.971000000001</v>
          </cell>
          <cell r="BJ47">
            <v>-140043.81900000002</v>
          </cell>
        </row>
        <row r="48">
          <cell r="F48">
            <v>2492351.807</v>
          </cell>
          <cell r="G48">
            <v>455213.65700000059</v>
          </cell>
          <cell r="H48">
            <v>100701.61700000055</v>
          </cell>
          <cell r="I48">
            <v>-34600.237000000197</v>
          </cell>
          <cell r="J48">
            <v>59064.623999999836</v>
          </cell>
          <cell r="K48">
            <v>331756.01699999999</v>
          </cell>
          <cell r="L48">
            <v>306186.02600000007</v>
          </cell>
          <cell r="M48">
            <v>49871.694000000018</v>
          </cell>
          <cell r="N48">
            <v>116029.5419999999</v>
          </cell>
          <cell r="O48">
            <v>40648.530000000028</v>
          </cell>
          <cell r="P48">
            <v>64885.216999999946</v>
          </cell>
          <cell r="Q48">
            <v>-68395.276000000013</v>
          </cell>
          <cell r="R48">
            <v>124014.53300000005</v>
          </cell>
          <cell r="S48">
            <v>127520.56400000025</v>
          </cell>
          <cell r="T48">
            <v>103421.76799999998</v>
          </cell>
          <cell r="U48">
            <v>100974.05400000006</v>
          </cell>
          <cell r="V48">
            <v>177276.76199999987</v>
          </cell>
          <cell r="W48">
            <v>39131.238999999943</v>
          </cell>
          <cell r="X48">
            <v>0</v>
          </cell>
          <cell r="Y48">
            <v>0</v>
          </cell>
          <cell r="Z48">
            <v>2093700.331000004</v>
          </cell>
          <cell r="AA48">
            <v>0</v>
          </cell>
          <cell r="AB48">
            <v>0</v>
          </cell>
          <cell r="AC48">
            <v>9372.884</v>
          </cell>
          <cell r="AD48">
            <v>24704.435000000001</v>
          </cell>
          <cell r="AH48">
            <v>34077.319000000003</v>
          </cell>
          <cell r="AI48">
            <v>2127777.6500000022</v>
          </cell>
          <cell r="AJ48">
            <v>12056.277000000002</v>
          </cell>
          <cell r="AK48">
            <v>-15986.897000000055</v>
          </cell>
          <cell r="AL48">
            <v>-29065.873999999953</v>
          </cell>
          <cell r="AN48">
            <v>-32996.494000000006</v>
          </cell>
          <cell r="AO48">
            <v>63273.63599999994</v>
          </cell>
          <cell r="AP48">
            <v>0</v>
          </cell>
          <cell r="AS48">
            <v>63273.63599999994</v>
          </cell>
          <cell r="AT48">
            <v>3213.8450000000003</v>
          </cell>
          <cell r="AU48">
            <v>3823.1120000000001</v>
          </cell>
          <cell r="AV48">
            <v>185574.93900000001</v>
          </cell>
          <cell r="BA48">
            <v>192611.89600000001</v>
          </cell>
          <cell r="BB48">
            <v>0</v>
          </cell>
          <cell r="BC48">
            <v>1641.3</v>
          </cell>
          <cell r="BD48">
            <v>172562.79</v>
          </cell>
          <cell r="BE48">
            <v>0</v>
          </cell>
          <cell r="BF48">
            <v>0</v>
          </cell>
          <cell r="BG48">
            <v>0</v>
          </cell>
          <cell r="BH48">
            <v>-32518.971000000001</v>
          </cell>
          <cell r="BJ48">
            <v>141685.11900000001</v>
          </cell>
        </row>
        <row r="49">
          <cell r="F49">
            <v>1929117.8529955903</v>
          </cell>
          <cell r="G49">
            <v>284230.35151007673</v>
          </cell>
          <cell r="H49">
            <v>228891.3746181005</v>
          </cell>
          <cell r="I49">
            <v>102313.72511773523</v>
          </cell>
          <cell r="J49">
            <v>110516.19660900038</v>
          </cell>
          <cell r="K49">
            <v>195849.16252775368</v>
          </cell>
          <cell r="L49">
            <v>165736.97448386092</v>
          </cell>
          <cell r="M49">
            <v>76511.070581524647</v>
          </cell>
          <cell r="N49">
            <v>130244.37972982138</v>
          </cell>
          <cell r="O49">
            <v>57655.824974362185</v>
          </cell>
          <cell r="P49">
            <v>89395.182977584846</v>
          </cell>
          <cell r="Q49">
            <v>51893.171495553579</v>
          </cell>
          <cell r="R49">
            <v>98403.293862015547</v>
          </cell>
          <cell r="S49">
            <v>168915.71521804717</v>
          </cell>
          <cell r="T49">
            <v>33848.210056234864</v>
          </cell>
          <cell r="U49">
            <v>40196.722388374765</v>
          </cell>
          <cell r="V49">
            <v>108919.24981321978</v>
          </cell>
          <cell r="W49">
            <v>43148.389639314686</v>
          </cell>
          <cell r="X49">
            <v>0</v>
          </cell>
          <cell r="Y49">
            <v>0</v>
          </cell>
          <cell r="Z49">
            <v>1986668.995602581</v>
          </cell>
          <cell r="AA49">
            <v>7093.9470000000001</v>
          </cell>
          <cell r="AB49">
            <v>179.87900000000002</v>
          </cell>
          <cell r="AC49">
            <v>0</v>
          </cell>
          <cell r="AD49">
            <v>0</v>
          </cell>
          <cell r="AH49">
            <v>7273.826</v>
          </cell>
          <cell r="AI49">
            <v>1993942.8216025808</v>
          </cell>
          <cell r="AJ49">
            <v>19174.068589164326</v>
          </cell>
          <cell r="AK49">
            <v>17168.606293844994</v>
          </cell>
          <cell r="AL49">
            <v>12586.24051</v>
          </cell>
          <cell r="AN49">
            <v>48928.915393009316</v>
          </cell>
          <cell r="AO49">
            <v>61912.734999999993</v>
          </cell>
          <cell r="AP49">
            <v>0</v>
          </cell>
          <cell r="AS49">
            <v>61912.734999999993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7886.8680000000004</v>
          </cell>
          <cell r="BD49">
            <v>0</v>
          </cell>
          <cell r="BE49">
            <v>-184440.255</v>
          </cell>
          <cell r="BF49">
            <v>886.76800000000185</v>
          </cell>
          <cell r="BG49">
            <v>0</v>
          </cell>
          <cell r="BH49">
            <v>0</v>
          </cell>
          <cell r="BJ49">
            <v>-175666.61900000001</v>
          </cell>
        </row>
        <row r="50">
          <cell r="F50">
            <v>563233.95400440972</v>
          </cell>
          <cell r="G50">
            <v>170983.30548992386</v>
          </cell>
          <cell r="H50">
            <v>-128189.75761809995</v>
          </cell>
          <cell r="I50">
            <v>-136913.96211773541</v>
          </cell>
          <cell r="J50">
            <v>-51451.572609000548</v>
          </cell>
          <cell r="K50">
            <v>135906.85447224631</v>
          </cell>
          <cell r="L50">
            <v>140449.05151613915</v>
          </cell>
          <cell r="M50">
            <v>-26639.37658152463</v>
          </cell>
          <cell r="N50">
            <v>-14214.837729821476</v>
          </cell>
          <cell r="O50">
            <v>-17007.294974362158</v>
          </cell>
          <cell r="P50">
            <v>-24509.9659775849</v>
          </cell>
          <cell r="Q50">
            <v>-120288.44749555358</v>
          </cell>
          <cell r="R50">
            <v>25611.239137984507</v>
          </cell>
          <cell r="S50">
            <v>-41395.151218046929</v>
          </cell>
          <cell r="T50">
            <v>69573.557943765118</v>
          </cell>
          <cell r="U50">
            <v>60777.331611625297</v>
          </cell>
          <cell r="V50">
            <v>68357.512186780092</v>
          </cell>
          <cell r="W50">
            <v>-4017.1506393147429</v>
          </cell>
          <cell r="X50">
            <v>0</v>
          </cell>
          <cell r="Y50">
            <v>0</v>
          </cell>
          <cell r="Z50">
            <v>107031.33539742301</v>
          </cell>
          <cell r="AA50">
            <v>-7093.9470000000001</v>
          </cell>
          <cell r="AB50">
            <v>-179.87900000000002</v>
          </cell>
          <cell r="AC50">
            <v>9372.884</v>
          </cell>
          <cell r="AD50">
            <v>24704.435000000001</v>
          </cell>
          <cell r="AH50">
            <v>26803.493000000002</v>
          </cell>
          <cell r="AI50">
            <v>133834.8283974214</v>
          </cell>
          <cell r="AJ50">
            <v>-7117.7915891643243</v>
          </cell>
          <cell r="AK50">
            <v>-33155.503293845046</v>
          </cell>
          <cell r="AL50">
            <v>-41652.114509999956</v>
          </cell>
          <cell r="AN50">
            <v>-81925.409393009322</v>
          </cell>
          <cell r="AO50">
            <v>1360.9009999999471</v>
          </cell>
          <cell r="AP50">
            <v>0</v>
          </cell>
          <cell r="AS50">
            <v>1360.9009999999471</v>
          </cell>
          <cell r="AT50">
            <v>3213.8450000000003</v>
          </cell>
          <cell r="AU50">
            <v>3823.1120000000001</v>
          </cell>
          <cell r="AV50">
            <v>185574.93900000001</v>
          </cell>
          <cell r="BA50">
            <v>192611.89600000001</v>
          </cell>
          <cell r="BB50">
            <v>0</v>
          </cell>
          <cell r="BC50">
            <v>-6245.5680000000002</v>
          </cell>
          <cell r="BD50">
            <v>172562.79</v>
          </cell>
          <cell r="BE50">
            <v>184440.255</v>
          </cell>
          <cell r="BF50">
            <v>-886.76800000000185</v>
          </cell>
          <cell r="BG50">
            <v>0</v>
          </cell>
          <cell r="BH50">
            <v>-32518.971000000001</v>
          </cell>
          <cell r="BJ50">
            <v>317351.73800000001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9"/>
      <sheetData sheetId="1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102197</v>
          </cell>
          <cell r="H7">
            <v>75026.5</v>
          </cell>
          <cell r="I7">
            <v>27135</v>
          </cell>
          <cell r="J7">
            <v>28476.5</v>
          </cell>
          <cell r="K7">
            <v>62927</v>
          </cell>
          <cell r="L7">
            <v>48330</v>
          </cell>
          <cell r="M7">
            <v>17081.5</v>
          </cell>
          <cell r="N7">
            <v>33524</v>
          </cell>
          <cell r="O7">
            <v>13346</v>
          </cell>
          <cell r="P7">
            <v>25582</v>
          </cell>
          <cell r="Q7">
            <v>10258</v>
          </cell>
          <cell r="R7">
            <v>31982</v>
          </cell>
          <cell r="S7">
            <v>52594</v>
          </cell>
          <cell r="T7">
            <v>7265</v>
          </cell>
          <cell r="U7">
            <v>9094.5</v>
          </cell>
          <cell r="V7">
            <v>28507.5</v>
          </cell>
          <cell r="W7">
            <v>11080</v>
          </cell>
          <cell r="Z7">
            <v>584406.5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584406.5</v>
          </cell>
          <cell r="AJ7">
            <v>51663</v>
          </cell>
          <cell r="AK7">
            <v>76220</v>
          </cell>
          <cell r="AL7">
            <v>49347</v>
          </cell>
          <cell r="AN7">
            <v>177230</v>
          </cell>
          <cell r="AO7">
            <v>13878.237999999999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78897556.903000012</v>
          </cell>
          <cell r="G8">
            <v>10581803.901999999</v>
          </cell>
          <cell r="H8">
            <v>7605915.8459999999</v>
          </cell>
          <cell r="I8">
            <v>2675110.5999999996</v>
          </cell>
          <cell r="J8">
            <v>2748028.159</v>
          </cell>
          <cell r="K8">
            <v>7442193.0499999998</v>
          </cell>
          <cell r="L8">
            <v>5033886.51</v>
          </cell>
          <cell r="M8">
            <v>1673814.5499999998</v>
          </cell>
          <cell r="N8">
            <v>3555611.2</v>
          </cell>
          <cell r="O8">
            <v>1371778.2</v>
          </cell>
          <cell r="P8">
            <v>2501321.1</v>
          </cell>
          <cell r="Q8">
            <v>899309.77500000002</v>
          </cell>
          <cell r="R8">
            <v>3473095.5</v>
          </cell>
          <cell r="S8">
            <v>5282553.1469999999</v>
          </cell>
          <cell r="T8">
            <v>924157.89999999991</v>
          </cell>
          <cell r="U8">
            <v>1005923.9160000001</v>
          </cell>
          <cell r="V8">
            <v>2838585.4980000001</v>
          </cell>
          <cell r="W8">
            <v>1399910.96</v>
          </cell>
          <cell r="Z8">
            <v>61012999.813000008</v>
          </cell>
          <cell r="AA8">
            <v>0</v>
          </cell>
          <cell r="AB8">
            <v>0</v>
          </cell>
          <cell r="AC8">
            <v>37500</v>
          </cell>
          <cell r="AD8">
            <v>92520</v>
          </cell>
          <cell r="AH8">
            <v>130020</v>
          </cell>
          <cell r="AI8">
            <v>61143019.813000008</v>
          </cell>
          <cell r="AJ8">
            <v>1475554.5</v>
          </cell>
          <cell r="AK8">
            <v>1081800</v>
          </cell>
          <cell r="AL8">
            <v>982348.5</v>
          </cell>
          <cell r="AN8">
            <v>3539703</v>
          </cell>
          <cell r="AO8">
            <v>13994381.747</v>
          </cell>
          <cell r="AP8">
            <v>0</v>
          </cell>
          <cell r="AS8">
            <v>13994381.747</v>
          </cell>
          <cell r="AT8">
            <v>9400</v>
          </cell>
          <cell r="AU8">
            <v>18870</v>
          </cell>
          <cell r="AV8">
            <v>187258.443</v>
          </cell>
          <cell r="BA8">
            <v>215528.443</v>
          </cell>
          <cell r="BB8">
            <v>0</v>
          </cell>
          <cell r="BC8">
            <v>4923.8999999999996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4923.8999999999996</v>
          </cell>
        </row>
        <row r="9">
          <cell r="G9">
            <v>103543.19502529426</v>
          </cell>
          <cell r="H9">
            <v>101376.39162162702</v>
          </cell>
          <cell r="I9">
            <v>98585.244149622245</v>
          </cell>
          <cell r="J9">
            <v>96501.612171439599</v>
          </cell>
          <cell r="K9">
            <v>118267.08805441225</v>
          </cell>
          <cell r="L9">
            <v>104156.55927995035</v>
          </cell>
          <cell r="M9">
            <v>97989.904282410789</v>
          </cell>
          <cell r="N9">
            <v>106061.66328600406</v>
          </cell>
          <cell r="O9">
            <v>102785.71856736101</v>
          </cell>
          <cell r="P9">
            <v>97776.604643890241</v>
          </cell>
          <cell r="Q9">
            <v>87669.114349775788</v>
          </cell>
          <cell r="R9">
            <v>108595.31924207367</v>
          </cell>
          <cell r="S9">
            <v>100440.22411301669</v>
          </cell>
          <cell r="T9">
            <v>127206.86854783205</v>
          </cell>
          <cell r="U9">
            <v>110607.94062345375</v>
          </cell>
          <cell r="V9">
            <v>99573.287661141803</v>
          </cell>
          <cell r="W9">
            <v>126345.75451263538</v>
          </cell>
          <cell r="Z9">
            <v>104401.64476781146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104624.12689283915</v>
          </cell>
          <cell r="AJ9">
            <v>28561.146274896928</v>
          </cell>
          <cell r="AK9">
            <v>14193.12516399895</v>
          </cell>
          <cell r="AL9">
            <v>19906.954830080856</v>
          </cell>
          <cell r="AO9">
            <v>1008368.7674905128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72614288.36417</v>
          </cell>
          <cell r="G10">
            <v>9492026.2265099995</v>
          </cell>
          <cell r="H10">
            <v>7351070.6147699999</v>
          </cell>
          <cell r="I10">
            <v>2815860.3294199998</v>
          </cell>
          <cell r="J10">
            <v>2774351.0778299998</v>
          </cell>
          <cell r="K10">
            <v>6130061.2517400002</v>
          </cell>
          <cell r="L10">
            <v>4269313.9470999995</v>
          </cell>
          <cell r="M10">
            <v>1637902.9176999999</v>
          </cell>
          <cell r="N10">
            <v>3351987.54098</v>
          </cell>
          <cell r="O10">
            <v>1323643.9934100001</v>
          </cell>
          <cell r="P10">
            <v>2256328.20414</v>
          </cell>
          <cell r="Q10">
            <v>1036802.80963</v>
          </cell>
          <cell r="R10">
            <v>3138612.7495200001</v>
          </cell>
          <cell r="S10">
            <v>4958637.2099399995</v>
          </cell>
          <cell r="T10">
            <v>795454.77337000007</v>
          </cell>
          <cell r="U10">
            <v>862763.79657999997</v>
          </cell>
          <cell r="V10">
            <v>2621683.70469</v>
          </cell>
          <cell r="W10">
            <v>1292761.83344</v>
          </cell>
          <cell r="Z10">
            <v>56109262.980769992</v>
          </cell>
          <cell r="AA10">
            <v>0</v>
          </cell>
          <cell r="AB10">
            <v>0</v>
          </cell>
          <cell r="AC10">
            <v>347.95699999999999</v>
          </cell>
          <cell r="AD10">
            <v>1516.059</v>
          </cell>
          <cell r="AH10">
            <v>1864.0160000000001</v>
          </cell>
          <cell r="AI10">
            <v>56111126.996769994</v>
          </cell>
          <cell r="AJ10">
            <v>1259145.86463</v>
          </cell>
          <cell r="AK10">
            <v>959899.35399000009</v>
          </cell>
          <cell r="AL10">
            <v>1121561.2207800001</v>
          </cell>
          <cell r="AN10">
            <v>3340606.4394</v>
          </cell>
          <cell r="AO10">
            <v>13662486.798</v>
          </cell>
          <cell r="AP10">
            <v>0</v>
          </cell>
          <cell r="AS10">
            <v>13662486.798</v>
          </cell>
          <cell r="AT10">
            <v>503.02200000000005</v>
          </cell>
          <cell r="AU10">
            <v>694.48699999999997</v>
          </cell>
          <cell r="AV10">
            <v>0</v>
          </cell>
          <cell r="BA10">
            <v>1197.509</v>
          </cell>
          <cell r="BB10">
            <v>0</v>
          </cell>
          <cell r="BC10">
            <v>0</v>
          </cell>
          <cell r="BD10">
            <v>-533648.35</v>
          </cell>
          <cell r="BE10">
            <v>0</v>
          </cell>
          <cell r="BF10">
            <v>0</v>
          </cell>
          <cell r="BG10">
            <v>0</v>
          </cell>
          <cell r="BH10">
            <v>32518.971000000001</v>
          </cell>
          <cell r="BJ10">
            <v>-501129.37899999996</v>
          </cell>
        </row>
        <row r="11">
          <cell r="G11">
            <v>92879.695358082914</v>
          </cell>
          <cell r="H11">
            <v>97979.655385363847</v>
          </cell>
          <cell r="I11">
            <v>103772.26200184264</v>
          </cell>
          <cell r="J11">
            <v>97425.985561076668</v>
          </cell>
          <cell r="K11">
            <v>97415.437757083608</v>
          </cell>
          <cell r="L11">
            <v>88336.725576246623</v>
          </cell>
          <cell r="M11">
            <v>95887.534332464944</v>
          </cell>
          <cell r="N11">
            <v>99987.696604820434</v>
          </cell>
          <cell r="O11">
            <v>99179.079380338691</v>
          </cell>
          <cell r="P11">
            <v>88199.835983894925</v>
          </cell>
          <cell r="Q11">
            <v>101072.60768473387</v>
          </cell>
          <cell r="R11">
            <v>98136.850400850482</v>
          </cell>
          <cell r="S11">
            <v>94281.423925542826</v>
          </cell>
          <cell r="T11">
            <v>109491.36591465934</v>
          </cell>
          <cell r="U11">
            <v>94866.545338391326</v>
          </cell>
          <cell r="V11">
            <v>91964.700681925809</v>
          </cell>
          <cell r="W11">
            <v>116675.25572563177</v>
          </cell>
          <cell r="Z11">
            <v>96010.675755266217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96013.865343335492</v>
          </cell>
          <cell r="AJ11">
            <v>24372.294768596479</v>
          </cell>
          <cell r="AK11">
            <v>12593.798924035687</v>
          </cell>
          <cell r="AL11">
            <v>22728.052784971733</v>
          </cell>
          <cell r="AO11">
            <v>984453.99178195396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6283268.5388300121</v>
          </cell>
          <cell r="G12">
            <v>1089777.6754899994</v>
          </cell>
          <cell r="H12">
            <v>254845.23123000003</v>
          </cell>
          <cell r="I12">
            <v>-140749.72942000022</v>
          </cell>
          <cell r="J12">
            <v>-26322.918829999864</v>
          </cell>
          <cell r="K12">
            <v>1312131.7982599996</v>
          </cell>
          <cell r="L12">
            <v>764572.56290000025</v>
          </cell>
          <cell r="M12">
            <v>35911.632299999939</v>
          </cell>
          <cell r="N12">
            <v>203623.65902000014</v>
          </cell>
          <cell r="O12">
            <v>48134.206589999842</v>
          </cell>
          <cell r="P12">
            <v>244992.89586000005</v>
          </cell>
          <cell r="Q12">
            <v>-137493.03463000001</v>
          </cell>
          <cell r="R12">
            <v>334482.75047999993</v>
          </cell>
          <cell r="S12">
            <v>323915.93706000037</v>
          </cell>
          <cell r="T12">
            <v>128703.12662999984</v>
          </cell>
          <cell r="U12">
            <v>143160.11942000012</v>
          </cell>
          <cell r="V12">
            <v>216901.7933100001</v>
          </cell>
          <cell r="W12">
            <v>107149.12656</v>
          </cell>
          <cell r="Z12">
            <v>4903736.8322299989</v>
          </cell>
          <cell r="AA12">
            <v>0</v>
          </cell>
          <cell r="AB12">
            <v>0</v>
          </cell>
          <cell r="AC12">
            <v>37152.042999999998</v>
          </cell>
          <cell r="AD12">
            <v>91003.941000000006</v>
          </cell>
          <cell r="AH12">
            <v>128155.984</v>
          </cell>
          <cell r="AI12">
            <v>5031892.816230014</v>
          </cell>
          <cell r="AJ12">
            <v>216408.63537000003</v>
          </cell>
          <cell r="AK12">
            <v>121900.64600999991</v>
          </cell>
          <cell r="AL12">
            <v>-139212.72078000009</v>
          </cell>
          <cell r="AN12">
            <v>199096.56059999997</v>
          </cell>
          <cell r="AO12">
            <v>331894.94899999909</v>
          </cell>
          <cell r="AP12">
            <v>0</v>
          </cell>
          <cell r="AS12">
            <v>331894.94899999909</v>
          </cell>
          <cell r="AT12">
            <v>8896.9779999999992</v>
          </cell>
          <cell r="AU12">
            <v>18175.512999999999</v>
          </cell>
          <cell r="AV12">
            <v>187258.443</v>
          </cell>
          <cell r="BA12">
            <v>214330.93400000001</v>
          </cell>
          <cell r="BB12">
            <v>0</v>
          </cell>
          <cell r="BC12">
            <v>4923.8999999999996</v>
          </cell>
          <cell r="BD12">
            <v>533648.35</v>
          </cell>
          <cell r="BE12">
            <v>0</v>
          </cell>
          <cell r="BF12">
            <v>0</v>
          </cell>
          <cell r="BG12">
            <v>0</v>
          </cell>
          <cell r="BH12">
            <v>-32518.971000000001</v>
          </cell>
          <cell r="BJ12">
            <v>506053.27899999998</v>
          </cell>
        </row>
        <row r="13">
          <cell r="F13">
            <v>2595376.7220000001</v>
          </cell>
          <cell r="G13">
            <v>224724.00300000003</v>
          </cell>
          <cell r="H13">
            <v>210626.364</v>
          </cell>
          <cell r="I13">
            <v>143657.21399999998</v>
          </cell>
          <cell r="J13">
            <v>123157.019</v>
          </cell>
          <cell r="K13">
            <v>168977.40100000001</v>
          </cell>
          <cell r="L13">
            <v>171708.58299999998</v>
          </cell>
          <cell r="M13">
            <v>108114.98000000001</v>
          </cell>
          <cell r="N13">
            <v>166479.37299999999</v>
          </cell>
          <cell r="O13">
            <v>93716.58600000001</v>
          </cell>
          <cell r="P13">
            <v>128888.709</v>
          </cell>
          <cell r="Q13">
            <v>103338.035</v>
          </cell>
          <cell r="R13">
            <v>96489.447</v>
          </cell>
          <cell r="S13">
            <v>162318.31699999998</v>
          </cell>
          <cell r="T13">
            <v>34343.960999999996</v>
          </cell>
          <cell r="U13">
            <v>39568.540999999997</v>
          </cell>
          <cell r="V13">
            <v>104603.91399999999</v>
          </cell>
          <cell r="W13">
            <v>52029.868000000002</v>
          </cell>
          <cell r="Z13">
            <v>2132742.3150000004</v>
          </cell>
          <cell r="AA13">
            <v>5235.375</v>
          </cell>
          <cell r="AB13">
            <v>642.46699999999998</v>
          </cell>
          <cell r="AC13">
            <v>0</v>
          </cell>
          <cell r="AD13">
            <v>0</v>
          </cell>
          <cell r="AH13">
            <v>5877.8419999999996</v>
          </cell>
          <cell r="AI13">
            <v>2138620.1570000001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419750.24699999997</v>
          </cell>
          <cell r="AP13">
            <v>0</v>
          </cell>
          <cell r="AS13">
            <v>419750.24699999997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37006.317999999999</v>
          </cell>
          <cell r="BG13">
            <v>0</v>
          </cell>
          <cell r="BH13">
            <v>0</v>
          </cell>
          <cell r="BJ13">
            <v>37006.317999999999</v>
          </cell>
        </row>
        <row r="14">
          <cell r="F14">
            <v>1791679.5420000004</v>
          </cell>
          <cell r="G14">
            <v>156828.55500000002</v>
          </cell>
          <cell r="H14">
            <v>147980.37100000001</v>
          </cell>
          <cell r="I14">
            <v>102149.508</v>
          </cell>
          <cell r="J14">
            <v>90379.369000000006</v>
          </cell>
          <cell r="K14">
            <v>109952.97500000001</v>
          </cell>
          <cell r="L14">
            <v>122979.861</v>
          </cell>
          <cell r="M14">
            <v>73279.447</v>
          </cell>
          <cell r="N14">
            <v>112716.15300000001</v>
          </cell>
          <cell r="O14">
            <v>67931.150000000009</v>
          </cell>
          <cell r="P14">
            <v>90859.173999999999</v>
          </cell>
          <cell r="Q14">
            <v>70196.588000000003</v>
          </cell>
          <cell r="R14">
            <v>67085.366999999998</v>
          </cell>
          <cell r="S14">
            <v>114491.875</v>
          </cell>
          <cell r="T14">
            <v>24049.618999999999</v>
          </cell>
          <cell r="U14">
            <v>27353.469999999998</v>
          </cell>
          <cell r="V14">
            <v>74170.653999999995</v>
          </cell>
          <cell r="W14">
            <v>37717.894</v>
          </cell>
          <cell r="Z14">
            <v>1490122.0300000003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1490122.0300000003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301557.51199999999</v>
          </cell>
          <cell r="AP14">
            <v>0</v>
          </cell>
          <cell r="AS14">
            <v>301557.51199999999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803697.17999999993</v>
          </cell>
          <cell r="G15">
            <v>67895.448000000004</v>
          </cell>
          <cell r="H15">
            <v>62645.993000000002</v>
          </cell>
          <cell r="I15">
            <v>41507.705999999991</v>
          </cell>
          <cell r="J15">
            <v>32777.65</v>
          </cell>
          <cell r="K15">
            <v>59024.425999999999</v>
          </cell>
          <cell r="L15">
            <v>48728.721999999994</v>
          </cell>
          <cell r="M15">
            <v>34835.533000000003</v>
          </cell>
          <cell r="N15">
            <v>53763.219999999994</v>
          </cell>
          <cell r="O15">
            <v>25785.436000000002</v>
          </cell>
          <cell r="P15">
            <v>38029.535000000003</v>
          </cell>
          <cell r="Q15">
            <v>33141.447</v>
          </cell>
          <cell r="R15">
            <v>29404.080000000002</v>
          </cell>
          <cell r="S15">
            <v>47826.441999999995</v>
          </cell>
          <cell r="T15">
            <v>10294.342000000001</v>
          </cell>
          <cell r="U15">
            <v>12215.071</v>
          </cell>
          <cell r="V15">
            <v>30433.26</v>
          </cell>
          <cell r="W15">
            <v>14311.973999999998</v>
          </cell>
          <cell r="Z15">
            <v>642620.28500000003</v>
          </cell>
          <cell r="AA15">
            <v>5235.375</v>
          </cell>
          <cell r="AB15">
            <v>642.46699999999998</v>
          </cell>
          <cell r="AC15">
            <v>0</v>
          </cell>
          <cell r="AD15">
            <v>0</v>
          </cell>
          <cell r="AH15">
            <v>5877.8419999999996</v>
          </cell>
          <cell r="AI15">
            <v>648498.12699999998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118192.735</v>
          </cell>
          <cell r="AP15">
            <v>0</v>
          </cell>
          <cell r="AS15">
            <v>118192.735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37006.317999999999</v>
          </cell>
          <cell r="BG15">
            <v>0</v>
          </cell>
          <cell r="BH15">
            <v>0</v>
          </cell>
          <cell r="BJ15">
            <v>37006.317999999999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3687891.816830012</v>
          </cell>
          <cell r="G17">
            <v>865053.67248999933</v>
          </cell>
          <cell r="H17">
            <v>44218.867230000033</v>
          </cell>
          <cell r="I17">
            <v>-284406.9434200002</v>
          </cell>
          <cell r="J17">
            <v>-149479.93782999986</v>
          </cell>
          <cell r="K17">
            <v>1143154.3972599995</v>
          </cell>
          <cell r="L17">
            <v>592863.97990000027</v>
          </cell>
          <cell r="M17">
            <v>-72203.347700000071</v>
          </cell>
          <cell r="N17">
            <v>37144.286020000145</v>
          </cell>
          <cell r="O17">
            <v>-45582.379410000169</v>
          </cell>
          <cell r="P17">
            <v>116104.18686000005</v>
          </cell>
          <cell r="Q17">
            <v>-240831.06963000001</v>
          </cell>
          <cell r="R17">
            <v>237993.30347999994</v>
          </cell>
          <cell r="S17">
            <v>161597.62006000039</v>
          </cell>
          <cell r="T17">
            <v>94359.165629999843</v>
          </cell>
          <cell r="U17">
            <v>103591.57842000012</v>
          </cell>
          <cell r="V17">
            <v>112297.87931000011</v>
          </cell>
          <cell r="W17">
            <v>55119.258560000002</v>
          </cell>
          <cell r="Z17">
            <v>2770994.5172299985</v>
          </cell>
          <cell r="AA17">
            <v>-5235.375</v>
          </cell>
          <cell r="AB17">
            <v>-642.46699999999998</v>
          </cell>
          <cell r="AC17">
            <v>37152.042999999998</v>
          </cell>
          <cell r="AD17">
            <v>91003.941000000006</v>
          </cell>
          <cell r="AH17">
            <v>122278.14199999999</v>
          </cell>
          <cell r="AI17">
            <v>2893272.6592300138</v>
          </cell>
          <cell r="AJ17">
            <v>216408.63537000003</v>
          </cell>
          <cell r="AK17">
            <v>121900.64600999991</v>
          </cell>
          <cell r="AL17">
            <v>-139212.72078000009</v>
          </cell>
          <cell r="AN17">
            <v>199096.56059999997</v>
          </cell>
          <cell r="AO17">
            <v>-87855.298000000883</v>
          </cell>
          <cell r="AP17">
            <v>0</v>
          </cell>
          <cell r="AS17">
            <v>-87855.298000000883</v>
          </cell>
          <cell r="AT17">
            <v>8896.9779999999992</v>
          </cell>
          <cell r="AU17">
            <v>18175.512999999999</v>
          </cell>
          <cell r="AV17">
            <v>187258.443</v>
          </cell>
          <cell r="BA17">
            <v>214330.93400000001</v>
          </cell>
          <cell r="BB17">
            <v>0</v>
          </cell>
          <cell r="BC17">
            <v>4923.8999999999996</v>
          </cell>
          <cell r="BD17">
            <v>533648.35</v>
          </cell>
          <cell r="BE17">
            <v>0</v>
          </cell>
          <cell r="BF17">
            <v>-37006.317999999999</v>
          </cell>
          <cell r="BG17">
            <v>0</v>
          </cell>
          <cell r="BH17">
            <v>-32518.971000000001</v>
          </cell>
          <cell r="BJ17">
            <v>469046.96100000001</v>
          </cell>
        </row>
        <row r="18">
          <cell r="F18">
            <v>2120502.5908300001</v>
          </cell>
          <cell r="G18">
            <v>93551.879490000007</v>
          </cell>
          <cell r="H18">
            <v>118543.77123000001</v>
          </cell>
          <cell r="I18">
            <v>59676.971579999998</v>
          </cell>
          <cell r="J18">
            <v>53861.478169999995</v>
          </cell>
          <cell r="K18">
            <v>339655.66725999996</v>
          </cell>
          <cell r="L18">
            <v>204654.34689999997</v>
          </cell>
          <cell r="M18">
            <v>46093.431299999997</v>
          </cell>
          <cell r="N18">
            <v>81056.623019999999</v>
          </cell>
          <cell r="O18">
            <v>38786.960590000002</v>
          </cell>
          <cell r="P18">
            <v>108035.92186000002</v>
          </cell>
          <cell r="Q18">
            <v>47527.735369999995</v>
          </cell>
          <cell r="R18">
            <v>47357.497480000005</v>
          </cell>
          <cell r="S18">
            <v>97821.094060000003</v>
          </cell>
          <cell r="T18">
            <v>18471.654630000001</v>
          </cell>
          <cell r="U18">
            <v>31457.496419999999</v>
          </cell>
          <cell r="V18">
            <v>65180.730309999999</v>
          </cell>
          <cell r="W18">
            <v>37645.787559999997</v>
          </cell>
          <cell r="Z18">
            <v>1489379.0472300001</v>
          </cell>
          <cell r="AA18">
            <v>16827.87</v>
          </cell>
          <cell r="AB18">
            <v>0</v>
          </cell>
          <cell r="AC18">
            <v>9444.2700000000023</v>
          </cell>
          <cell r="AD18">
            <v>22058.813999999998</v>
          </cell>
          <cell r="AH18">
            <v>48330.953999999998</v>
          </cell>
          <cell r="AI18">
            <v>1537710.0012299998</v>
          </cell>
          <cell r="AJ18">
            <v>101035.60137</v>
          </cell>
          <cell r="AK18">
            <v>201139.25101000001</v>
          </cell>
          <cell r="AL18">
            <v>173148.00722</v>
          </cell>
          <cell r="AN18">
            <v>475322.85959999997</v>
          </cell>
          <cell r="AO18">
            <v>14188.882000000001</v>
          </cell>
          <cell r="AP18">
            <v>0</v>
          </cell>
          <cell r="AS18">
            <v>14188.882000000001</v>
          </cell>
          <cell r="AT18">
            <v>3938.6760000000004</v>
          </cell>
          <cell r="AU18">
            <v>12875.880000000001</v>
          </cell>
          <cell r="AV18">
            <v>0</v>
          </cell>
          <cell r="BA18">
            <v>16814.556</v>
          </cell>
          <cell r="BB18">
            <v>0</v>
          </cell>
          <cell r="BC18">
            <v>43883.351999999999</v>
          </cell>
          <cell r="BD18">
            <v>0</v>
          </cell>
          <cell r="BE18">
            <v>0</v>
          </cell>
          <cell r="BF18">
            <v>32582.94</v>
          </cell>
          <cell r="BG18">
            <v>0</v>
          </cell>
          <cell r="BH18">
            <v>0</v>
          </cell>
          <cell r="BJ18">
            <v>76466.292000000001</v>
          </cell>
        </row>
        <row r="19">
          <cell r="F19">
            <v>1949266.4188300001</v>
          </cell>
          <cell r="G19">
            <v>86667.277490000008</v>
          </cell>
          <cell r="H19">
            <v>112770.36823000001</v>
          </cell>
          <cell r="I19">
            <v>54614.611579999997</v>
          </cell>
          <cell r="J19">
            <v>50285.516169999995</v>
          </cell>
          <cell r="K19">
            <v>334099.52425999998</v>
          </cell>
          <cell r="L19">
            <v>199992.14289999998</v>
          </cell>
          <cell r="M19">
            <v>43623.835299999999</v>
          </cell>
          <cell r="N19">
            <v>76366.711020000002</v>
          </cell>
          <cell r="O19">
            <v>35619.70059</v>
          </cell>
          <cell r="P19">
            <v>104410.62486000001</v>
          </cell>
          <cell r="Q19">
            <v>45087.929369999998</v>
          </cell>
          <cell r="R19">
            <v>43584.125480000002</v>
          </cell>
          <cell r="S19">
            <v>93129.100059999997</v>
          </cell>
          <cell r="T19">
            <v>17360.45563</v>
          </cell>
          <cell r="U19">
            <v>30128.88942</v>
          </cell>
          <cell r="V19">
            <v>62740.924310000002</v>
          </cell>
          <cell r="W19">
            <v>35205.98156</v>
          </cell>
          <cell r="Z19">
            <v>1425687.71823</v>
          </cell>
          <cell r="AA19">
            <v>0</v>
          </cell>
          <cell r="AB19">
            <v>0</v>
          </cell>
          <cell r="AC19">
            <v>9382.4710000000014</v>
          </cell>
          <cell r="AD19">
            <v>22058.813999999998</v>
          </cell>
          <cell r="AH19">
            <v>31441.285</v>
          </cell>
          <cell r="AI19">
            <v>1457129.0032299999</v>
          </cell>
          <cell r="AJ19">
            <v>101035.60137</v>
          </cell>
          <cell r="AK19">
            <v>201139.25101000001</v>
          </cell>
          <cell r="AL19">
            <v>173148.00722</v>
          </cell>
          <cell r="AN19">
            <v>475322.85959999997</v>
          </cell>
          <cell r="AO19">
            <v>0</v>
          </cell>
          <cell r="AP19">
            <v>0</v>
          </cell>
          <cell r="AS19">
            <v>0</v>
          </cell>
          <cell r="AT19">
            <v>3938.6760000000004</v>
          </cell>
          <cell r="AU19">
            <v>12875.880000000001</v>
          </cell>
          <cell r="AV19">
            <v>0</v>
          </cell>
          <cell r="BA19">
            <v>16814.556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171236.17199999999</v>
          </cell>
          <cell r="G20">
            <v>6884.6020000000008</v>
          </cell>
          <cell r="H20">
            <v>5773.4030000000002</v>
          </cell>
          <cell r="I20">
            <v>5062.3599999999997</v>
          </cell>
          <cell r="J20">
            <v>3575.9620000000004</v>
          </cell>
          <cell r="K20">
            <v>5556.143</v>
          </cell>
          <cell r="L20">
            <v>4662.2039999999997</v>
          </cell>
          <cell r="M20">
            <v>2469.596</v>
          </cell>
          <cell r="N20">
            <v>4689.9120000000003</v>
          </cell>
          <cell r="O20">
            <v>3167.26</v>
          </cell>
          <cell r="P20">
            <v>3625.297</v>
          </cell>
          <cell r="Q20">
            <v>2439.806</v>
          </cell>
          <cell r="R20">
            <v>3773.3720000000003</v>
          </cell>
          <cell r="S20">
            <v>4691.9939999999997</v>
          </cell>
          <cell r="T20">
            <v>1111.1990000000001</v>
          </cell>
          <cell r="U20">
            <v>1328.607</v>
          </cell>
          <cell r="V20">
            <v>2439.806</v>
          </cell>
          <cell r="W20">
            <v>2439.806</v>
          </cell>
          <cell r="Z20">
            <v>63691.328999999998</v>
          </cell>
          <cell r="AA20">
            <v>16827.87</v>
          </cell>
          <cell r="AB20">
            <v>0</v>
          </cell>
          <cell r="AC20">
            <v>61.798999999999999</v>
          </cell>
          <cell r="AD20">
            <v>0</v>
          </cell>
          <cell r="AH20">
            <v>16889.668999999998</v>
          </cell>
          <cell r="AI20">
            <v>80580.997999999992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14188.882000000001</v>
          </cell>
          <cell r="AP20">
            <v>0</v>
          </cell>
          <cell r="AS20">
            <v>14188.882000000001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43883.351999999999</v>
          </cell>
          <cell r="BD20">
            <v>0</v>
          </cell>
          <cell r="BE20">
            <v>0</v>
          </cell>
          <cell r="BF20">
            <v>32582.94</v>
          </cell>
          <cell r="BG20">
            <v>0</v>
          </cell>
          <cell r="BH20">
            <v>0</v>
          </cell>
          <cell r="BJ20">
            <v>76466.292000000001</v>
          </cell>
        </row>
        <row r="21">
          <cell r="F21">
            <v>1567389.2260000119</v>
          </cell>
          <cell r="G21">
            <v>771501.79299999936</v>
          </cell>
          <cell r="H21">
            <v>-74324.90399999998</v>
          </cell>
          <cell r="I21">
            <v>-344083.91500000021</v>
          </cell>
          <cell r="J21">
            <v>-203341.41599999985</v>
          </cell>
          <cell r="K21">
            <v>803498.72999999952</v>
          </cell>
          <cell r="L21">
            <v>388209.63300000026</v>
          </cell>
          <cell r="M21">
            <v>-118296.77900000007</v>
          </cell>
          <cell r="N21">
            <v>-43912.336999999854</v>
          </cell>
          <cell r="O21">
            <v>-84369.340000000171</v>
          </cell>
          <cell r="P21">
            <v>8068.2650000000285</v>
          </cell>
          <cell r="Q21">
            <v>-288358.80499999999</v>
          </cell>
          <cell r="R21">
            <v>190635.80599999992</v>
          </cell>
          <cell r="S21">
            <v>63776.526000000391</v>
          </cell>
          <cell r="T21">
            <v>75887.510999999839</v>
          </cell>
          <cell r="U21">
            <v>72134.082000000126</v>
          </cell>
          <cell r="V21">
            <v>47117.149000000107</v>
          </cell>
          <cell r="W21">
            <v>17473.471000000005</v>
          </cell>
          <cell r="Z21">
            <v>1281615.4699999983</v>
          </cell>
          <cell r="AA21">
            <v>-22063.244999999999</v>
          </cell>
          <cell r="AB21">
            <v>-642.46699999999998</v>
          </cell>
          <cell r="AC21">
            <v>27707.772999999994</v>
          </cell>
          <cell r="AD21">
            <v>68945.127000000008</v>
          </cell>
          <cell r="AH21">
            <v>73947.187999999995</v>
          </cell>
          <cell r="AI21">
            <v>1355562.658000014</v>
          </cell>
          <cell r="AJ21">
            <v>115373.03400000003</v>
          </cell>
          <cell r="AK21">
            <v>-79238.605000000098</v>
          </cell>
          <cell r="AL21">
            <v>-312360.72800000012</v>
          </cell>
          <cell r="AN21">
            <v>-276226.299</v>
          </cell>
          <cell r="AO21">
            <v>-102044.18000000088</v>
          </cell>
          <cell r="AP21">
            <v>0</v>
          </cell>
          <cell r="AS21">
            <v>-102044.18000000088</v>
          </cell>
          <cell r="AT21">
            <v>4958.3019999999988</v>
          </cell>
          <cell r="AU21">
            <v>5299.632999999998</v>
          </cell>
          <cell r="AV21">
            <v>187258.443</v>
          </cell>
          <cell r="BA21">
            <v>197516.378</v>
          </cell>
          <cell r="BB21">
            <v>0</v>
          </cell>
          <cell r="BC21">
            <v>-38959.451999999997</v>
          </cell>
          <cell r="BD21">
            <v>533648.35</v>
          </cell>
          <cell r="BE21">
            <v>0</v>
          </cell>
          <cell r="BF21">
            <v>-69589.258000000002</v>
          </cell>
          <cell r="BG21">
            <v>0</v>
          </cell>
          <cell r="BH21">
            <v>-32518.971000000001</v>
          </cell>
          <cell r="BJ21">
            <v>392580.66899999999</v>
          </cell>
        </row>
        <row r="22">
          <cell r="F22">
            <v>4496754.9619958848</v>
          </cell>
          <cell r="G22">
            <v>761413.48114932911</v>
          </cell>
          <cell r="H22">
            <v>546635.91633538483</v>
          </cell>
          <cell r="I22">
            <v>194545.50101872889</v>
          </cell>
          <cell r="J22">
            <v>192727.19736603013</v>
          </cell>
          <cell r="K22">
            <v>578785.56886344042</v>
          </cell>
          <cell r="L22">
            <v>372464.57721974014</v>
          </cell>
          <cell r="M22">
            <v>129407.67416447435</v>
          </cell>
          <cell r="N22">
            <v>276691.44743648055</v>
          </cell>
          <cell r="O22">
            <v>103667.88029609987</v>
          </cell>
          <cell r="P22">
            <v>200186.15992252884</v>
          </cell>
          <cell r="Q22">
            <v>75132.817575501424</v>
          </cell>
          <cell r="R22">
            <v>268611.42514892877</v>
          </cell>
          <cell r="S22">
            <v>383921.4731788988</v>
          </cell>
          <cell r="T22">
            <v>61831.74283799759</v>
          </cell>
          <cell r="U22">
            <v>67313.683893440597</v>
          </cell>
          <cell r="V22">
            <v>193408.25002209912</v>
          </cell>
          <cell r="W22">
            <v>101902.93958632121</v>
          </cell>
          <cell r="Z22">
            <v>4508647.7360154241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4508647.7360154241</v>
          </cell>
          <cell r="AJ22">
            <v>65698.039067514372</v>
          </cell>
          <cell r="AK22">
            <v>46783.835722946096</v>
          </cell>
          <cell r="AL22">
            <v>43356.164189999996</v>
          </cell>
          <cell r="AN22">
            <v>155838.03898046046</v>
          </cell>
          <cell r="AO22">
            <v>16709.441999999995</v>
          </cell>
          <cell r="AP22">
            <v>0</v>
          </cell>
          <cell r="AS22">
            <v>16709.441999999995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-184440.255</v>
          </cell>
          <cell r="BF22">
            <v>0</v>
          </cell>
          <cell r="BG22">
            <v>0</v>
          </cell>
          <cell r="BH22">
            <v>0</v>
          </cell>
          <cell r="BJ22">
            <v>-184440.255</v>
          </cell>
        </row>
        <row r="23">
          <cell r="F23">
            <v>661890.58599588554</v>
          </cell>
          <cell r="G23">
            <v>45239.058810800641</v>
          </cell>
          <cell r="H23">
            <v>32517.844226998641</v>
          </cell>
          <cell r="I23">
            <v>11611.89556223129</v>
          </cell>
          <cell r="J23">
            <v>11443.25171158559</v>
          </cell>
          <cell r="K23">
            <v>64908.755820115526</v>
          </cell>
          <cell r="L23">
            <v>42132.784823918279</v>
          </cell>
          <cell r="M23">
            <v>14516.262793719205</v>
          </cell>
          <cell r="N23">
            <v>31013.541233502838</v>
          </cell>
          <cell r="O23">
            <v>11685.200605405951</v>
          </cell>
          <cell r="P23">
            <v>22336.56128610596</v>
          </cell>
          <cell r="Q23">
            <v>8323.770001553883</v>
          </cell>
          <cell r="R23">
            <v>30150.668126641816</v>
          </cell>
          <cell r="S23">
            <v>22905.160099279234</v>
          </cell>
          <cell r="T23">
            <v>3618.3505271437239</v>
          </cell>
          <cell r="U23">
            <v>3951.5654698641556</v>
          </cell>
          <cell r="V23">
            <v>11364.603933967239</v>
          </cell>
          <cell r="W23">
            <v>6062.0839825910789</v>
          </cell>
          <cell r="Z23">
            <v>373781.35901542509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373781.35901542509</v>
          </cell>
          <cell r="AJ23">
            <v>65698.039067514372</v>
          </cell>
          <cell r="AK23">
            <v>46783.835722946096</v>
          </cell>
          <cell r="AL23">
            <v>43356.164189999996</v>
          </cell>
          <cell r="AN23">
            <v>155838.03898046046</v>
          </cell>
          <cell r="AO23">
            <v>132271.18799999999</v>
          </cell>
          <cell r="AP23">
            <v>0</v>
          </cell>
          <cell r="AS23">
            <v>132271.18799999999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1434353.977</v>
          </cell>
          <cell r="G24">
            <v>248828.53806969232</v>
          </cell>
          <cell r="H24">
            <v>177822.96076973173</v>
          </cell>
          <cell r="I24">
            <v>63129.196808241075</v>
          </cell>
          <cell r="J24">
            <v>62009.104416505739</v>
          </cell>
          <cell r="K24">
            <v>179546.60298100754</v>
          </cell>
          <cell r="L24">
            <v>115619.27864371348</v>
          </cell>
          <cell r="M24">
            <v>39367.149592251917</v>
          </cell>
          <cell r="N24">
            <v>84890.314987984297</v>
          </cell>
          <cell r="O24">
            <v>32298.518086250933</v>
          </cell>
          <cell r="P24">
            <v>61655.404092966564</v>
          </cell>
          <cell r="Q24">
            <v>23054.702584750627</v>
          </cell>
          <cell r="R24">
            <v>83218.658973855694</v>
          </cell>
          <cell r="S24">
            <v>124697.88488936838</v>
          </cell>
          <cell r="T24">
            <v>20119.439939207066</v>
          </cell>
          <cell r="U24">
            <v>21695.07878303852</v>
          </cell>
          <cell r="V24">
            <v>62969.8473826189</v>
          </cell>
          <cell r="W24">
            <v>33431.295998815149</v>
          </cell>
          <cell r="Z24">
            <v>1434353.977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1434353.977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2400510.3989999997</v>
          </cell>
          <cell r="G25">
            <v>467345.88426883618</v>
          </cell>
          <cell r="H25">
            <v>336295.11133865447</v>
          </cell>
          <cell r="I25">
            <v>119804.4086482565</v>
          </cell>
          <cell r="J25">
            <v>119274.84123793879</v>
          </cell>
          <cell r="K25">
            <v>334330.21006231738</v>
          </cell>
          <cell r="L25">
            <v>214712.51375210838</v>
          </cell>
          <cell r="M25">
            <v>75524.26177850322</v>
          </cell>
          <cell r="N25">
            <v>160787.59121499344</v>
          </cell>
          <cell r="O25">
            <v>59684.161604442983</v>
          </cell>
          <cell r="P25">
            <v>116194.19454345631</v>
          </cell>
          <cell r="Q25">
            <v>43754.344989196921</v>
          </cell>
          <cell r="R25">
            <v>155242.09804843127</v>
          </cell>
          <cell r="S25">
            <v>236318.42819025117</v>
          </cell>
          <cell r="T25">
            <v>38093.952371646803</v>
          </cell>
          <cell r="U25">
            <v>41667.039640537922</v>
          </cell>
          <cell r="V25">
            <v>119073.79870551299</v>
          </cell>
          <cell r="W25">
            <v>62409.559604914983</v>
          </cell>
          <cell r="Z25">
            <v>2700512.3999999994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2700512.3999999994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-115561.746</v>
          </cell>
          <cell r="AP25">
            <v>0</v>
          </cell>
          <cell r="AS25">
            <v>-115561.746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-184440.255</v>
          </cell>
          <cell r="BF25">
            <v>0</v>
          </cell>
          <cell r="BG25">
            <v>0</v>
          </cell>
          <cell r="BH25">
            <v>0</v>
          </cell>
          <cell r="BJ25">
            <v>-184440.255</v>
          </cell>
        </row>
        <row r="26">
          <cell r="F26">
            <v>-2929365.7359958729</v>
          </cell>
          <cell r="G26">
            <v>10088.311850670259</v>
          </cell>
          <cell r="H26">
            <v>-620960.82033538481</v>
          </cell>
          <cell r="I26">
            <v>-538629.4160187291</v>
          </cell>
          <cell r="J26">
            <v>-396068.61336602998</v>
          </cell>
          <cell r="K26">
            <v>224713.16113655909</v>
          </cell>
          <cell r="L26">
            <v>15745.055780260125</v>
          </cell>
          <cell r="M26">
            <v>-247704.4531644744</v>
          </cell>
          <cell r="N26">
            <v>-320603.78443648038</v>
          </cell>
          <cell r="O26">
            <v>-188037.22029610004</v>
          </cell>
          <cell r="P26">
            <v>-192117.89492252882</v>
          </cell>
          <cell r="Q26">
            <v>-363491.62257550145</v>
          </cell>
          <cell r="R26">
            <v>-77975.619148928847</v>
          </cell>
          <cell r="S26">
            <v>-320144.94717889838</v>
          </cell>
          <cell r="T26">
            <v>14055.768162002249</v>
          </cell>
          <cell r="U26">
            <v>4820.398106559529</v>
          </cell>
          <cell r="V26">
            <v>-146291.10102209903</v>
          </cell>
          <cell r="W26">
            <v>-84429.468586321207</v>
          </cell>
          <cell r="Z26">
            <v>-3227032.2660154258</v>
          </cell>
          <cell r="AA26">
            <v>-22063.244999999999</v>
          </cell>
          <cell r="AB26">
            <v>-642.46699999999998</v>
          </cell>
          <cell r="AC26">
            <v>27707.772999999994</v>
          </cell>
          <cell r="AD26">
            <v>68945.127000000008</v>
          </cell>
          <cell r="AH26">
            <v>73947.187999999995</v>
          </cell>
          <cell r="AI26">
            <v>-3153085.0780154103</v>
          </cell>
          <cell r="AJ26">
            <v>49674.994932485657</v>
          </cell>
          <cell r="AK26">
            <v>-126022.44072294619</v>
          </cell>
          <cell r="AL26">
            <v>-355716.8921900001</v>
          </cell>
          <cell r="AN26">
            <v>-432064.33798046049</v>
          </cell>
          <cell r="AO26">
            <v>-118753.62200000088</v>
          </cell>
          <cell r="AP26">
            <v>0</v>
          </cell>
          <cell r="AS26">
            <v>-118753.62200000088</v>
          </cell>
          <cell r="AT26">
            <v>4958.3019999999988</v>
          </cell>
          <cell r="AU26">
            <v>5299.632999999998</v>
          </cell>
          <cell r="AV26">
            <v>187258.443</v>
          </cell>
          <cell r="BA26">
            <v>197516.378</v>
          </cell>
          <cell r="BB26">
            <v>0</v>
          </cell>
          <cell r="BC26">
            <v>-38959.451999999997</v>
          </cell>
          <cell r="BD26">
            <v>533648.35</v>
          </cell>
          <cell r="BE26">
            <v>184440.255</v>
          </cell>
          <cell r="BF26">
            <v>-69589.258000000002</v>
          </cell>
          <cell r="BG26">
            <v>0</v>
          </cell>
          <cell r="BH26">
            <v>-32518.971000000001</v>
          </cell>
          <cell r="BJ26">
            <v>577020.924</v>
          </cell>
        </row>
        <row r="27">
          <cell r="F27">
            <v>-2929365.7359958868</v>
          </cell>
          <cell r="G27">
            <v>10088.311850671162</v>
          </cell>
          <cell r="H27">
            <v>-620960.82033538539</v>
          </cell>
          <cell r="I27">
            <v>-538629.41601872898</v>
          </cell>
          <cell r="J27">
            <v>-396068.61336603039</v>
          </cell>
          <cell r="K27">
            <v>224713.16113655875</v>
          </cell>
          <cell r="L27">
            <v>15745.055780259805</v>
          </cell>
          <cell r="M27">
            <v>-247704.45316447437</v>
          </cell>
          <cell r="N27">
            <v>-320603.78443648078</v>
          </cell>
          <cell r="O27">
            <v>-188037.22029609993</v>
          </cell>
          <cell r="P27">
            <v>-192117.89492252879</v>
          </cell>
          <cell r="Q27">
            <v>-363491.62257550145</v>
          </cell>
          <cell r="R27">
            <v>-77975.619148928628</v>
          </cell>
          <cell r="S27">
            <v>-320144.94717889867</v>
          </cell>
          <cell r="T27">
            <v>14055.768162002372</v>
          </cell>
          <cell r="U27">
            <v>4820.3981065594708</v>
          </cell>
          <cell r="V27">
            <v>-146291.10102209926</v>
          </cell>
          <cell r="W27">
            <v>-84429.468586321193</v>
          </cell>
          <cell r="Z27">
            <v>-3227032.2660154263</v>
          </cell>
          <cell r="AA27">
            <v>-22063.245000000003</v>
          </cell>
          <cell r="AB27">
            <v>-642.46699999999998</v>
          </cell>
          <cell r="AC27">
            <v>27707.772999999994</v>
          </cell>
          <cell r="AD27">
            <v>68945.126999999993</v>
          </cell>
          <cell r="AH27">
            <v>73947.18799999998</v>
          </cell>
          <cell r="AI27">
            <v>-3153085.0780154262</v>
          </cell>
          <cell r="AJ27">
            <v>49674.994932485599</v>
          </cell>
          <cell r="AK27">
            <v>-126022.44072294616</v>
          </cell>
          <cell r="AL27">
            <v>-355716.89218999998</v>
          </cell>
          <cell r="AN27">
            <v>-432064.33798046055</v>
          </cell>
          <cell r="AO27">
            <v>-118753.62200000091</v>
          </cell>
          <cell r="AP27">
            <v>0</v>
          </cell>
          <cell r="AS27">
            <v>-118753.62200000091</v>
          </cell>
          <cell r="AT27">
            <v>4958.3020000000006</v>
          </cell>
          <cell r="AU27">
            <v>5299.6329999999989</v>
          </cell>
          <cell r="AV27">
            <v>187258.443</v>
          </cell>
          <cell r="BA27">
            <v>197516.378</v>
          </cell>
          <cell r="BB27">
            <v>0</v>
          </cell>
          <cell r="BC27">
            <v>-38959.452000000005</v>
          </cell>
          <cell r="BD27">
            <v>533648.35</v>
          </cell>
          <cell r="BE27">
            <v>184440.255</v>
          </cell>
          <cell r="BF27">
            <v>-69589.258000000002</v>
          </cell>
          <cell r="BG27">
            <v>0</v>
          </cell>
          <cell r="BH27">
            <v>-32518.971000000001</v>
          </cell>
          <cell r="BJ27">
            <v>577020.92399999988</v>
          </cell>
        </row>
        <row r="28">
          <cell r="F28">
            <v>1.3969838619232178E-8</v>
          </cell>
          <cell r="G28">
            <v>-9.0221874415874481E-10</v>
          </cell>
          <cell r="H28">
            <v>0</v>
          </cell>
          <cell r="I28">
            <v>0</v>
          </cell>
          <cell r="J28">
            <v>0</v>
          </cell>
          <cell r="K28">
            <v>3.4924596548080444E-10</v>
          </cell>
          <cell r="L28">
            <v>3.2014213502407074E-10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-2.1827872842550278E-10</v>
          </cell>
          <cell r="S28">
            <v>0</v>
          </cell>
          <cell r="T28">
            <v>-1.2369127944111824E-10</v>
          </cell>
          <cell r="U28">
            <v>5.8207660913467407E-11</v>
          </cell>
          <cell r="V28">
            <v>2.3283064365386963E-10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1.5832483768463135E-8</v>
          </cell>
          <cell r="AJ28">
            <v>5.8207660913467407E-11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BB29">
            <v>0</v>
          </cell>
          <cell r="BC29">
            <v>-38959.452000000005</v>
          </cell>
          <cell r="BD29">
            <v>533648.35</v>
          </cell>
          <cell r="BE29">
            <v>184440.255</v>
          </cell>
          <cell r="BF29">
            <v>-69589.258000000002</v>
          </cell>
          <cell r="BG29">
            <v>0</v>
          </cell>
          <cell r="BH29">
            <v>-32518.971000000001</v>
          </cell>
          <cell r="BI29">
            <v>0</v>
          </cell>
          <cell r="BJ29">
            <v>577020.924</v>
          </cell>
        </row>
        <row r="31">
          <cell r="G31">
            <v>102197</v>
          </cell>
          <cell r="H31">
            <v>75026.5</v>
          </cell>
          <cell r="I31">
            <v>27135</v>
          </cell>
          <cell r="J31">
            <v>28476.5</v>
          </cell>
          <cell r="K31">
            <v>62927</v>
          </cell>
          <cell r="L31">
            <v>48330</v>
          </cell>
          <cell r="M31">
            <v>17081.5</v>
          </cell>
          <cell r="N31">
            <v>33524</v>
          </cell>
          <cell r="O31">
            <v>13346</v>
          </cell>
          <cell r="P31">
            <v>25582</v>
          </cell>
          <cell r="Q31">
            <v>10258</v>
          </cell>
          <cell r="R31">
            <v>31982</v>
          </cell>
          <cell r="S31">
            <v>52594</v>
          </cell>
          <cell r="T31">
            <v>7265</v>
          </cell>
          <cell r="U31">
            <v>9094.5</v>
          </cell>
          <cell r="V31">
            <v>28507.5</v>
          </cell>
          <cell r="W31">
            <v>11080</v>
          </cell>
          <cell r="X31">
            <v>0</v>
          </cell>
          <cell r="Y31">
            <v>0</v>
          </cell>
          <cell r="Z31">
            <v>584406.5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584406.5</v>
          </cell>
          <cell r="AJ31">
            <v>51663</v>
          </cell>
          <cell r="AK31">
            <v>76220</v>
          </cell>
          <cell r="AL31">
            <v>49347</v>
          </cell>
          <cell r="AN31">
            <v>177230</v>
          </cell>
          <cell r="AO31">
            <v>13878.237999999999</v>
          </cell>
          <cell r="AP31">
            <v>0</v>
          </cell>
          <cell r="AS31">
            <v>13878.237999999999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78897556.903000012</v>
          </cell>
          <cell r="G32">
            <v>10581803.901999999</v>
          </cell>
          <cell r="H32">
            <v>7605915.8459999999</v>
          </cell>
          <cell r="I32">
            <v>2675110.5999999996</v>
          </cell>
          <cell r="J32">
            <v>2748028.159</v>
          </cell>
          <cell r="K32">
            <v>7442193.0499999998</v>
          </cell>
          <cell r="L32">
            <v>5033886.51</v>
          </cell>
          <cell r="M32">
            <v>1673814.5499999998</v>
          </cell>
          <cell r="N32">
            <v>3555611.2</v>
          </cell>
          <cell r="O32">
            <v>1371778.2</v>
          </cell>
          <cell r="P32">
            <v>2501321.1</v>
          </cell>
          <cell r="Q32">
            <v>899309.77500000002</v>
          </cell>
          <cell r="R32">
            <v>3473095.5</v>
          </cell>
          <cell r="S32">
            <v>5282553.1469999999</v>
          </cell>
          <cell r="T32">
            <v>924157.89999999991</v>
          </cell>
          <cell r="U32">
            <v>1005923.9160000001</v>
          </cell>
          <cell r="V32">
            <v>2838585.4980000001</v>
          </cell>
          <cell r="W32">
            <v>1399910.96</v>
          </cell>
          <cell r="X32">
            <v>0</v>
          </cell>
          <cell r="Y32">
            <v>0</v>
          </cell>
          <cell r="Z32">
            <v>61012999.813000008</v>
          </cell>
          <cell r="AA32">
            <v>0</v>
          </cell>
          <cell r="AB32">
            <v>0</v>
          </cell>
          <cell r="AC32">
            <v>37500</v>
          </cell>
          <cell r="AD32">
            <v>92520</v>
          </cell>
          <cell r="AH32">
            <v>130020</v>
          </cell>
          <cell r="AI32">
            <v>61143019.813000008</v>
          </cell>
          <cell r="AJ32">
            <v>1475554.5</v>
          </cell>
          <cell r="AK32">
            <v>1081800</v>
          </cell>
          <cell r="AL32">
            <v>982348.5</v>
          </cell>
          <cell r="AN32">
            <v>3539703</v>
          </cell>
          <cell r="AO32">
            <v>13994381.747</v>
          </cell>
          <cell r="AP32">
            <v>0</v>
          </cell>
          <cell r="AS32">
            <v>13994381.747</v>
          </cell>
          <cell r="AT32">
            <v>9400</v>
          </cell>
          <cell r="AU32">
            <v>18870</v>
          </cell>
          <cell r="AV32">
            <v>187258.443</v>
          </cell>
          <cell r="BA32">
            <v>215528.443</v>
          </cell>
          <cell r="BB32">
            <v>0</v>
          </cell>
          <cell r="BC32">
            <v>4923.8999999999996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4923.8999999999996</v>
          </cell>
        </row>
        <row r="33">
          <cell r="F33">
            <v>74531035.812000006</v>
          </cell>
          <cell r="G33">
            <v>9578693.5039999988</v>
          </cell>
          <cell r="H33">
            <v>7463840.983</v>
          </cell>
          <cell r="I33">
            <v>2870474.9409999996</v>
          </cell>
          <cell r="J33">
            <v>2824636.594</v>
          </cell>
          <cell r="K33">
            <v>6464160.7760000005</v>
          </cell>
          <cell r="L33">
            <v>4469306.09</v>
          </cell>
          <cell r="M33">
            <v>1681526.7529999998</v>
          </cell>
          <cell r="N33">
            <v>3428354.2519999999</v>
          </cell>
          <cell r="O33">
            <v>1359263.6940000001</v>
          </cell>
          <cell r="P33">
            <v>2360738.8289999999</v>
          </cell>
          <cell r="Q33">
            <v>1081890.7390000001</v>
          </cell>
          <cell r="R33">
            <v>3182196.875</v>
          </cell>
          <cell r="S33">
            <v>5051766.3099999996</v>
          </cell>
          <cell r="T33">
            <v>812815.22900000005</v>
          </cell>
          <cell r="U33">
            <v>892892.68599999999</v>
          </cell>
          <cell r="V33">
            <v>2684424.6290000002</v>
          </cell>
          <cell r="W33">
            <v>1327967.8149999999</v>
          </cell>
          <cell r="X33">
            <v>0</v>
          </cell>
          <cell r="Y33">
            <v>0</v>
          </cell>
          <cell r="Z33">
            <v>57534950.698999994</v>
          </cell>
          <cell r="AA33">
            <v>0</v>
          </cell>
          <cell r="AB33">
            <v>0</v>
          </cell>
          <cell r="AC33">
            <v>9730.4280000000017</v>
          </cell>
          <cell r="AD33">
            <v>23574.873</v>
          </cell>
          <cell r="AH33">
            <v>33305.300999999999</v>
          </cell>
          <cell r="AI33">
            <v>57568255.999999993</v>
          </cell>
          <cell r="AJ33">
            <v>1360181.466</v>
          </cell>
          <cell r="AK33">
            <v>1161038.605</v>
          </cell>
          <cell r="AL33">
            <v>1294709.2280000001</v>
          </cell>
          <cell r="AN33">
            <v>3815929.2990000001</v>
          </cell>
          <cell r="AO33">
            <v>13662486.798</v>
          </cell>
          <cell r="AP33">
            <v>0</v>
          </cell>
          <cell r="AS33">
            <v>13662486.798</v>
          </cell>
          <cell r="AT33">
            <v>4441.6980000000003</v>
          </cell>
          <cell r="AU33">
            <v>13570.367</v>
          </cell>
          <cell r="AV33">
            <v>0</v>
          </cell>
          <cell r="BA33">
            <v>18012.065000000002</v>
          </cell>
          <cell r="BB33">
            <v>0</v>
          </cell>
          <cell r="BC33">
            <v>0</v>
          </cell>
          <cell r="BD33">
            <v>-533648.35</v>
          </cell>
          <cell r="BE33">
            <v>0</v>
          </cell>
          <cell r="BF33">
            <v>0</v>
          </cell>
          <cell r="BG33">
            <v>0</v>
          </cell>
          <cell r="BJ33">
            <v>-533648.35</v>
          </cell>
        </row>
        <row r="34">
          <cell r="F34">
            <v>4366521.0910000056</v>
          </cell>
          <cell r="G34">
            <v>1003110.398</v>
          </cell>
          <cell r="H34">
            <v>142074.8629999999</v>
          </cell>
          <cell r="I34">
            <v>-195364.34100000001</v>
          </cell>
          <cell r="J34">
            <v>-76608.435000000056</v>
          </cell>
          <cell r="K34">
            <v>978032.27399999928</v>
          </cell>
          <cell r="L34">
            <v>564580.41999999993</v>
          </cell>
          <cell r="M34">
            <v>-7712.2029999999795</v>
          </cell>
          <cell r="N34">
            <v>127256.94800000032</v>
          </cell>
          <cell r="O34">
            <v>12514.505999999819</v>
          </cell>
          <cell r="P34">
            <v>140582.27100000018</v>
          </cell>
          <cell r="Q34">
            <v>-182580.96400000004</v>
          </cell>
          <cell r="R34">
            <v>290898.625</v>
          </cell>
          <cell r="S34">
            <v>230786.83700000029</v>
          </cell>
          <cell r="T34">
            <v>111342.67099999986</v>
          </cell>
          <cell r="U34">
            <v>113031.2300000001</v>
          </cell>
          <cell r="V34">
            <v>154160.86899999995</v>
          </cell>
          <cell r="W34">
            <v>71943.145000000019</v>
          </cell>
          <cell r="X34">
            <v>0</v>
          </cell>
          <cell r="Y34">
            <v>0</v>
          </cell>
          <cell r="Z34">
            <v>3478049.114000015</v>
          </cell>
          <cell r="AA34">
            <v>0</v>
          </cell>
          <cell r="AB34">
            <v>0</v>
          </cell>
          <cell r="AC34">
            <v>27769.572</v>
          </cell>
          <cell r="AD34">
            <v>68945.127000000008</v>
          </cell>
          <cell r="AH34">
            <v>96714.698999999993</v>
          </cell>
          <cell r="AI34">
            <v>3574763.8130000159</v>
          </cell>
          <cell r="AJ34">
            <v>115373.03399999999</v>
          </cell>
          <cell r="AK34">
            <v>-79238.604999999981</v>
          </cell>
          <cell r="AL34">
            <v>-312360.72800000012</v>
          </cell>
          <cell r="AN34">
            <v>-276226.29900000012</v>
          </cell>
          <cell r="AO34">
            <v>331894.94899999909</v>
          </cell>
          <cell r="AP34">
            <v>0</v>
          </cell>
          <cell r="AS34">
            <v>331894.94899999909</v>
          </cell>
          <cell r="AT34">
            <v>4958.3019999999997</v>
          </cell>
          <cell r="AU34">
            <v>5299.6329999999998</v>
          </cell>
          <cell r="AV34">
            <v>187258.443</v>
          </cell>
          <cell r="BA34">
            <v>197516.378</v>
          </cell>
          <cell r="BB34">
            <v>0</v>
          </cell>
          <cell r="BC34">
            <v>4923.8999999999996</v>
          </cell>
          <cell r="BD34">
            <v>533648.35</v>
          </cell>
          <cell r="BE34">
            <v>0</v>
          </cell>
          <cell r="BF34">
            <v>0</v>
          </cell>
          <cell r="BG34">
            <v>0</v>
          </cell>
          <cell r="BJ34">
            <v>538572.25</v>
          </cell>
        </row>
        <row r="35">
          <cell r="F35">
            <v>7263367.8559958851</v>
          </cell>
          <cell r="G35">
            <v>993022.08614932909</v>
          </cell>
          <cell r="H35">
            <v>763035.68333538494</v>
          </cell>
          <cell r="I35">
            <v>343265.07501872885</v>
          </cell>
          <cell r="J35">
            <v>319460.17836603016</v>
          </cell>
          <cell r="K35">
            <v>753319.11286344042</v>
          </cell>
          <cell r="L35">
            <v>548835.36421974015</v>
          </cell>
          <cell r="M35">
            <v>239992.25016447433</v>
          </cell>
          <cell r="N35">
            <v>447860.73243648058</v>
          </cell>
          <cell r="O35">
            <v>200551.72629609989</v>
          </cell>
          <cell r="P35">
            <v>332700.16592252883</v>
          </cell>
          <cell r="Q35">
            <v>180910.65857550144</v>
          </cell>
          <cell r="R35">
            <v>368874.24414892873</v>
          </cell>
          <cell r="S35">
            <v>550931.78417889867</v>
          </cell>
          <cell r="T35">
            <v>97286.902837997579</v>
          </cell>
          <cell r="U35">
            <v>108210.8318934406</v>
          </cell>
          <cell r="V35">
            <v>300451.97002209909</v>
          </cell>
          <cell r="W35">
            <v>156372.61358632121</v>
          </cell>
          <cell r="X35">
            <v>0</v>
          </cell>
          <cell r="Y35">
            <v>0</v>
          </cell>
          <cell r="Z35">
            <v>6705081.3800154245</v>
          </cell>
          <cell r="AA35">
            <v>22063.244999999999</v>
          </cell>
          <cell r="AB35">
            <v>642.46699999999998</v>
          </cell>
          <cell r="AC35">
            <v>61.798999999999999</v>
          </cell>
          <cell r="AD35">
            <v>0</v>
          </cell>
          <cell r="AH35">
            <v>22767.510999999999</v>
          </cell>
          <cell r="AI35">
            <v>6727848.8910154244</v>
          </cell>
          <cell r="AJ35">
            <v>65698.039067514372</v>
          </cell>
          <cell r="AK35">
            <v>46783.835722946096</v>
          </cell>
          <cell r="AL35">
            <v>43356.164189999996</v>
          </cell>
          <cell r="AN35">
            <v>155838.03898046046</v>
          </cell>
          <cell r="AO35">
            <v>450648.57099999994</v>
          </cell>
          <cell r="AP35">
            <v>0</v>
          </cell>
          <cell r="AS35">
            <v>450648.57099999994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43883.351999999999</v>
          </cell>
          <cell r="BD35">
            <v>0</v>
          </cell>
          <cell r="BE35">
            <v>-184440.255</v>
          </cell>
          <cell r="BF35">
            <v>69589.258000000002</v>
          </cell>
          <cell r="BG35">
            <v>0</v>
          </cell>
          <cell r="BJ35">
            <v>-70967.64499999999</v>
          </cell>
        </row>
        <row r="36">
          <cell r="F36">
            <v>-2896846.7649958795</v>
          </cell>
          <cell r="G36">
            <v>10088.311850670958</v>
          </cell>
          <cell r="H36">
            <v>-620960.82033538504</v>
          </cell>
          <cell r="I36">
            <v>-538629.41601872887</v>
          </cell>
          <cell r="J36">
            <v>-396068.61336603021</v>
          </cell>
          <cell r="K36">
            <v>224713.16113655886</v>
          </cell>
          <cell r="L36">
            <v>15745.055780259776</v>
          </cell>
          <cell r="M36">
            <v>-247704.45316447431</v>
          </cell>
          <cell r="N36">
            <v>-320603.78443648026</v>
          </cell>
          <cell r="O36">
            <v>-188037.22029610007</v>
          </cell>
          <cell r="P36">
            <v>-192117.89492252865</v>
          </cell>
          <cell r="Q36">
            <v>-363491.62257550145</v>
          </cell>
          <cell r="R36">
            <v>-77975.61914892873</v>
          </cell>
          <cell r="S36">
            <v>-320144.94717889838</v>
          </cell>
          <cell r="T36">
            <v>14055.768162002278</v>
          </cell>
          <cell r="U36">
            <v>4820.3981065594999</v>
          </cell>
          <cell r="V36">
            <v>-146291.10102209914</v>
          </cell>
          <cell r="W36">
            <v>-84429.468586321193</v>
          </cell>
          <cell r="X36">
            <v>0</v>
          </cell>
          <cell r="Y36">
            <v>0</v>
          </cell>
          <cell r="Z36">
            <v>-3227032.2660154095</v>
          </cell>
          <cell r="AA36">
            <v>-22063.244999999999</v>
          </cell>
          <cell r="AB36">
            <v>-642.46699999999998</v>
          </cell>
          <cell r="AC36">
            <v>27707.773000000001</v>
          </cell>
          <cell r="AD36">
            <v>68945.127000000008</v>
          </cell>
          <cell r="AH36">
            <v>73947.187999999995</v>
          </cell>
          <cell r="AI36">
            <v>-3153085.0780154085</v>
          </cell>
          <cell r="AJ36">
            <v>49674.994932485613</v>
          </cell>
          <cell r="AK36">
            <v>-126022.44072294608</v>
          </cell>
          <cell r="AL36">
            <v>-355716.8921900001</v>
          </cell>
          <cell r="AN36">
            <v>-432064.33798046061</v>
          </cell>
          <cell r="AO36">
            <v>-118753.62200000085</v>
          </cell>
          <cell r="AP36">
            <v>0</v>
          </cell>
          <cell r="AS36">
            <v>-118753.62200000085</v>
          </cell>
          <cell r="AT36">
            <v>4958.3019999999997</v>
          </cell>
          <cell r="AU36">
            <v>5299.6329999999998</v>
          </cell>
          <cell r="AV36">
            <v>187258.443</v>
          </cell>
          <cell r="BA36">
            <v>197516.378</v>
          </cell>
          <cell r="BB36">
            <v>0</v>
          </cell>
          <cell r="BC36">
            <v>-38959.451999999997</v>
          </cell>
          <cell r="BD36">
            <v>533648.35</v>
          </cell>
          <cell r="BE36">
            <v>184440.255</v>
          </cell>
          <cell r="BF36">
            <v>-69589.258000000002</v>
          </cell>
          <cell r="BG36">
            <v>0</v>
          </cell>
          <cell r="BJ36">
            <v>609539.89500000002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-33643</v>
          </cell>
          <cell r="AK38">
            <v>-53932</v>
          </cell>
          <cell r="AL38">
            <v>-44323</v>
          </cell>
          <cell r="AN38">
            <v>-131898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-2740228.5</v>
          </cell>
          <cell r="Z39">
            <v>0</v>
          </cell>
          <cell r="AH39">
            <v>0</v>
          </cell>
          <cell r="AI39">
            <v>0</v>
          </cell>
          <cell r="AJ39">
            <v>-982104</v>
          </cell>
          <cell r="AK39">
            <v>-845680</v>
          </cell>
          <cell r="AL39">
            <v>-912444.5</v>
          </cell>
          <cell r="AN39">
            <v>-2740228.5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-2740767.8160000001</v>
          </cell>
          <cell r="K40">
            <v>175274.57199999999</v>
          </cell>
          <cell r="L40">
            <v>-27559.708999999999</v>
          </cell>
          <cell r="M40">
            <v>-2208.2060000000001</v>
          </cell>
          <cell r="N40">
            <v>9711.2729999999992</v>
          </cell>
          <cell r="O40">
            <v>179.77199999999999</v>
          </cell>
          <cell r="P40">
            <v>20600.032999999999</v>
          </cell>
          <cell r="Z40">
            <v>175997.73499999996</v>
          </cell>
          <cell r="AH40">
            <v>0</v>
          </cell>
          <cell r="AI40">
            <v>175997.73499999996</v>
          </cell>
          <cell r="AJ40">
            <v>-896796.88899999997</v>
          </cell>
          <cell r="AK40">
            <v>-857233.06300000008</v>
          </cell>
          <cell r="AL40">
            <v>-1162735.5989999999</v>
          </cell>
          <cell r="AN40">
            <v>-2916765.551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539.31600000010803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-175274.57199999999</v>
          </cell>
          <cell r="L41">
            <v>27559.708999999999</v>
          </cell>
          <cell r="M41">
            <v>2208.2060000000001</v>
          </cell>
          <cell r="N41">
            <v>-9711.2729999999992</v>
          </cell>
          <cell r="O41">
            <v>-179.77199999999999</v>
          </cell>
          <cell r="P41">
            <v>-20600.032999999999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-175997.73499999996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-175997.73499999996</v>
          </cell>
          <cell r="AJ41">
            <v>-85307.111000000034</v>
          </cell>
          <cell r="AK41">
            <v>11553.063000000082</v>
          </cell>
          <cell r="AL41">
            <v>250291.09899999993</v>
          </cell>
          <cell r="AN41">
            <v>176537.05099999998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539.31600000010803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-175274.57199999999</v>
          </cell>
          <cell r="L43">
            <v>27559.708999999999</v>
          </cell>
          <cell r="M43">
            <v>2208.2060000000001</v>
          </cell>
          <cell r="N43">
            <v>-9711.2729999999992</v>
          </cell>
          <cell r="O43">
            <v>-179.77199999999999</v>
          </cell>
          <cell r="P43">
            <v>-20600.032999999999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-175997.73499999996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-175997.73499999996</v>
          </cell>
          <cell r="AJ43">
            <v>-85307.111000000034</v>
          </cell>
          <cell r="AK43">
            <v>11553.063000000082</v>
          </cell>
          <cell r="AL43">
            <v>250291.09899999993</v>
          </cell>
          <cell r="AN43">
            <v>176537.05099999998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102197</v>
          </cell>
          <cell r="H45">
            <v>75026.5</v>
          </cell>
          <cell r="I45">
            <v>27135</v>
          </cell>
          <cell r="J45">
            <v>28476.5</v>
          </cell>
          <cell r="K45">
            <v>62927</v>
          </cell>
          <cell r="L45">
            <v>48330</v>
          </cell>
          <cell r="M45">
            <v>17081.5</v>
          </cell>
          <cell r="N45">
            <v>33524</v>
          </cell>
          <cell r="O45">
            <v>13346</v>
          </cell>
          <cell r="P45">
            <v>25582</v>
          </cell>
          <cell r="Q45">
            <v>10258</v>
          </cell>
          <cell r="R45">
            <v>31982</v>
          </cell>
          <cell r="S45">
            <v>52594</v>
          </cell>
          <cell r="T45">
            <v>7265</v>
          </cell>
          <cell r="U45">
            <v>9094.5</v>
          </cell>
          <cell r="V45">
            <v>28507.5</v>
          </cell>
          <cell r="W45">
            <v>11080</v>
          </cell>
          <cell r="X45">
            <v>0</v>
          </cell>
          <cell r="Y45">
            <v>0</v>
          </cell>
          <cell r="Z45">
            <v>584406.5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584406.5</v>
          </cell>
          <cell r="AJ45">
            <v>18020</v>
          </cell>
          <cell r="AK45">
            <v>22288</v>
          </cell>
          <cell r="AL45">
            <v>5024</v>
          </cell>
          <cell r="AN45">
            <v>45332</v>
          </cell>
          <cell r="AO45">
            <v>13878.237999999999</v>
          </cell>
          <cell r="AP45">
            <v>0</v>
          </cell>
          <cell r="AS45">
            <v>13878.237999999999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76157328.403000012</v>
          </cell>
          <cell r="G46">
            <v>10581803.901999999</v>
          </cell>
          <cell r="H46">
            <v>7605915.8459999999</v>
          </cell>
          <cell r="I46">
            <v>2675110.5999999996</v>
          </cell>
          <cell r="J46">
            <v>2748028.159</v>
          </cell>
          <cell r="K46">
            <v>7442193.0499999998</v>
          </cell>
          <cell r="L46">
            <v>5033886.51</v>
          </cell>
          <cell r="M46">
            <v>1673814.5499999998</v>
          </cell>
          <cell r="N46">
            <v>3555611.2</v>
          </cell>
          <cell r="O46">
            <v>1371778.2</v>
          </cell>
          <cell r="P46">
            <v>2501321.1</v>
          </cell>
          <cell r="Q46">
            <v>899309.77500000002</v>
          </cell>
          <cell r="R46">
            <v>3473095.5</v>
          </cell>
          <cell r="S46">
            <v>5282553.1469999999</v>
          </cell>
          <cell r="T46">
            <v>924157.89999999991</v>
          </cell>
          <cell r="U46">
            <v>1005923.9160000001</v>
          </cell>
          <cell r="V46">
            <v>2838585.4980000001</v>
          </cell>
          <cell r="W46">
            <v>1399910.96</v>
          </cell>
          <cell r="X46">
            <v>0</v>
          </cell>
          <cell r="Y46">
            <v>0</v>
          </cell>
          <cell r="Z46">
            <v>61012999.813000008</v>
          </cell>
          <cell r="AA46">
            <v>0</v>
          </cell>
          <cell r="AB46">
            <v>0</v>
          </cell>
          <cell r="AC46">
            <v>37500</v>
          </cell>
          <cell r="AD46">
            <v>92520</v>
          </cell>
          <cell r="AH46">
            <v>130020</v>
          </cell>
          <cell r="AI46">
            <v>61143019.813000008</v>
          </cell>
          <cell r="AJ46">
            <v>493450.5</v>
          </cell>
          <cell r="AK46">
            <v>236120</v>
          </cell>
          <cell r="AL46">
            <v>69904</v>
          </cell>
          <cell r="AN46">
            <v>799474.5</v>
          </cell>
          <cell r="AO46">
            <v>13994381.747</v>
          </cell>
          <cell r="AP46">
            <v>0</v>
          </cell>
          <cell r="AS46">
            <v>13994381.747</v>
          </cell>
          <cell r="AT46">
            <v>9400</v>
          </cell>
          <cell r="AU46">
            <v>18870</v>
          </cell>
          <cell r="AV46">
            <v>187258.443</v>
          </cell>
          <cell r="BA46">
            <v>215528.443</v>
          </cell>
          <cell r="BB46">
            <v>0</v>
          </cell>
          <cell r="BC46">
            <v>4923.8999999999996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4923.8999999999996</v>
          </cell>
        </row>
        <row r="47">
          <cell r="F47">
            <v>71790267.995999992</v>
          </cell>
          <cell r="G47">
            <v>9578693.5039999988</v>
          </cell>
          <cell r="H47">
            <v>7463840.983</v>
          </cell>
          <cell r="I47">
            <v>2870474.9409999996</v>
          </cell>
          <cell r="J47">
            <v>2824636.594</v>
          </cell>
          <cell r="K47">
            <v>6639435.3480000002</v>
          </cell>
          <cell r="L47">
            <v>4441746.3810000001</v>
          </cell>
          <cell r="M47">
            <v>1679318.5469999998</v>
          </cell>
          <cell r="N47">
            <v>3438065.5249999999</v>
          </cell>
          <cell r="O47">
            <v>1359443.4660000002</v>
          </cell>
          <cell r="P47">
            <v>2381338.8619999997</v>
          </cell>
          <cell r="Q47">
            <v>1081890.7390000001</v>
          </cell>
          <cell r="R47">
            <v>3182196.875</v>
          </cell>
          <cell r="S47">
            <v>5051766.3099999996</v>
          </cell>
          <cell r="T47">
            <v>812815.22900000005</v>
          </cell>
          <cell r="U47">
            <v>892892.68599999999</v>
          </cell>
          <cell r="V47">
            <v>2684424.6290000002</v>
          </cell>
          <cell r="W47">
            <v>1327967.8149999999</v>
          </cell>
          <cell r="X47">
            <v>0</v>
          </cell>
          <cell r="Y47">
            <v>0</v>
          </cell>
          <cell r="Z47">
            <v>57710948.433999993</v>
          </cell>
          <cell r="AA47">
            <v>0</v>
          </cell>
          <cell r="AB47">
            <v>0</v>
          </cell>
          <cell r="AC47">
            <v>9730.4280000000017</v>
          </cell>
          <cell r="AD47">
            <v>23574.873</v>
          </cell>
          <cell r="AH47">
            <v>33305.300999999999</v>
          </cell>
          <cell r="AI47">
            <v>57744253.734999992</v>
          </cell>
          <cell r="AJ47">
            <v>463384.57700000005</v>
          </cell>
          <cell r="AK47">
            <v>303805.5419999999</v>
          </cell>
          <cell r="AL47">
            <v>131973.62900000019</v>
          </cell>
          <cell r="AN47">
            <v>899163.74800000014</v>
          </cell>
          <cell r="AO47">
            <v>13662486.798</v>
          </cell>
          <cell r="AP47">
            <v>0</v>
          </cell>
          <cell r="AS47">
            <v>13662486.798</v>
          </cell>
          <cell r="AT47">
            <v>4441.6980000000003</v>
          </cell>
          <cell r="AU47">
            <v>13570.367</v>
          </cell>
          <cell r="AV47">
            <v>0</v>
          </cell>
          <cell r="BA47">
            <v>18012.065000000002</v>
          </cell>
          <cell r="BB47">
            <v>0</v>
          </cell>
          <cell r="BC47">
            <v>0</v>
          </cell>
          <cell r="BD47">
            <v>-533648.35</v>
          </cell>
          <cell r="BE47">
            <v>0</v>
          </cell>
          <cell r="BF47">
            <v>0</v>
          </cell>
          <cell r="BG47">
            <v>0</v>
          </cell>
          <cell r="BJ47">
            <v>-533648.35</v>
          </cell>
        </row>
        <row r="48">
          <cell r="F48">
            <v>4367060.4070000201</v>
          </cell>
          <cell r="G48">
            <v>1003110.398</v>
          </cell>
          <cell r="H48">
            <v>142074.8629999999</v>
          </cell>
          <cell r="I48">
            <v>-195364.34100000001</v>
          </cell>
          <cell r="J48">
            <v>-76608.435000000056</v>
          </cell>
          <cell r="K48">
            <v>802757.70199999958</v>
          </cell>
          <cell r="L48">
            <v>592140.12899999972</v>
          </cell>
          <cell r="M48">
            <v>-5503.9969999999739</v>
          </cell>
          <cell r="N48">
            <v>117545.67500000028</v>
          </cell>
          <cell r="O48">
            <v>12334.733999999706</v>
          </cell>
          <cell r="P48">
            <v>119982.23800000036</v>
          </cell>
          <cell r="Q48">
            <v>-182580.96400000004</v>
          </cell>
          <cell r="R48">
            <v>290898.625</v>
          </cell>
          <cell r="S48">
            <v>230786.83700000029</v>
          </cell>
          <cell r="T48">
            <v>111342.67099999986</v>
          </cell>
          <cell r="U48">
            <v>113031.2300000001</v>
          </cell>
          <cell r="V48">
            <v>154160.86899999995</v>
          </cell>
          <cell r="W48">
            <v>71943.145000000019</v>
          </cell>
          <cell r="X48">
            <v>0</v>
          </cell>
          <cell r="Y48">
            <v>0</v>
          </cell>
          <cell r="Z48">
            <v>3302051.3790000156</v>
          </cell>
          <cell r="AA48">
            <v>0</v>
          </cell>
          <cell r="AB48">
            <v>0</v>
          </cell>
          <cell r="AC48">
            <v>27769.572</v>
          </cell>
          <cell r="AD48">
            <v>68945.127000000008</v>
          </cell>
          <cell r="AH48">
            <v>96714.698999999993</v>
          </cell>
          <cell r="AI48">
            <v>3398766.0780000165</v>
          </cell>
          <cell r="AJ48">
            <v>30065.922999999952</v>
          </cell>
          <cell r="AK48">
            <v>-67685.541999999899</v>
          </cell>
          <cell r="AL48">
            <v>-62069.62900000019</v>
          </cell>
          <cell r="AN48">
            <v>-99689.248000000138</v>
          </cell>
          <cell r="AO48">
            <v>331894.94899999909</v>
          </cell>
          <cell r="AP48">
            <v>0</v>
          </cell>
          <cell r="AS48">
            <v>331894.94899999909</v>
          </cell>
          <cell r="AT48">
            <v>4958.3019999999997</v>
          </cell>
          <cell r="AU48">
            <v>5299.6329999999998</v>
          </cell>
          <cell r="AV48">
            <v>187258.443</v>
          </cell>
          <cell r="BA48">
            <v>197516.378</v>
          </cell>
          <cell r="BB48">
            <v>0</v>
          </cell>
          <cell r="BC48">
            <v>4923.8999999999996</v>
          </cell>
          <cell r="BD48">
            <v>533648.35</v>
          </cell>
          <cell r="BE48">
            <v>0</v>
          </cell>
          <cell r="BF48">
            <v>0</v>
          </cell>
          <cell r="BG48">
            <v>0</v>
          </cell>
          <cell r="BJ48">
            <v>538572.25</v>
          </cell>
        </row>
        <row r="49">
          <cell r="F49">
            <v>7263367.8559958851</v>
          </cell>
          <cell r="G49">
            <v>993022.08614932909</v>
          </cell>
          <cell r="H49">
            <v>763035.68333538494</v>
          </cell>
          <cell r="I49">
            <v>343265.07501872885</v>
          </cell>
          <cell r="J49">
            <v>319460.17836603016</v>
          </cell>
          <cell r="K49">
            <v>753319.11286344042</v>
          </cell>
          <cell r="L49">
            <v>548835.36421974015</v>
          </cell>
          <cell r="M49">
            <v>239992.25016447433</v>
          </cell>
          <cell r="N49">
            <v>447860.73243648058</v>
          </cell>
          <cell r="O49">
            <v>200551.72629609989</v>
          </cell>
          <cell r="P49">
            <v>332700.16592252883</v>
          </cell>
          <cell r="Q49">
            <v>180910.65857550144</v>
          </cell>
          <cell r="R49">
            <v>368874.24414892873</v>
          </cell>
          <cell r="S49">
            <v>550931.78417889867</v>
          </cell>
          <cell r="T49">
            <v>97286.902837997579</v>
          </cell>
          <cell r="U49">
            <v>108210.8318934406</v>
          </cell>
          <cell r="V49">
            <v>300451.97002209909</v>
          </cell>
          <cell r="W49">
            <v>156372.61358632121</v>
          </cell>
          <cell r="X49">
            <v>0</v>
          </cell>
          <cell r="Y49">
            <v>0</v>
          </cell>
          <cell r="Z49">
            <v>6705081.3800154245</v>
          </cell>
          <cell r="AA49">
            <v>22063.244999999999</v>
          </cell>
          <cell r="AB49">
            <v>642.46699999999998</v>
          </cell>
          <cell r="AC49">
            <v>61.798999999999999</v>
          </cell>
          <cell r="AD49">
            <v>0</v>
          </cell>
          <cell r="AH49">
            <v>22767.510999999999</v>
          </cell>
          <cell r="AI49">
            <v>6727848.8910154244</v>
          </cell>
          <cell r="AJ49">
            <v>65698.039067514372</v>
          </cell>
          <cell r="AK49">
            <v>46783.835722946096</v>
          </cell>
          <cell r="AL49">
            <v>43356.164189999996</v>
          </cell>
          <cell r="AN49">
            <v>155838.03898046046</v>
          </cell>
          <cell r="AO49">
            <v>450648.57099999994</v>
          </cell>
          <cell r="AP49">
            <v>0</v>
          </cell>
          <cell r="AS49">
            <v>450648.57099999994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43883.351999999999</v>
          </cell>
          <cell r="BD49">
            <v>0</v>
          </cell>
          <cell r="BE49">
            <v>-184440.255</v>
          </cell>
          <cell r="BF49">
            <v>69589.258000000002</v>
          </cell>
          <cell r="BG49">
            <v>0</v>
          </cell>
          <cell r="BJ49">
            <v>-70967.64499999999</v>
          </cell>
        </row>
        <row r="50">
          <cell r="F50">
            <v>-2896307.448995865</v>
          </cell>
          <cell r="G50">
            <v>10088.311850670958</v>
          </cell>
          <cell r="H50">
            <v>-620960.82033538504</v>
          </cell>
          <cell r="I50">
            <v>-538629.41601872887</v>
          </cell>
          <cell r="J50">
            <v>-396068.61336603021</v>
          </cell>
          <cell r="K50">
            <v>49438.589136559167</v>
          </cell>
          <cell r="L50">
            <v>43304.764780259575</v>
          </cell>
          <cell r="M50">
            <v>-245496.24716447431</v>
          </cell>
          <cell r="N50">
            <v>-330315.0574364803</v>
          </cell>
          <cell r="O50">
            <v>-188216.99229610019</v>
          </cell>
          <cell r="P50">
            <v>-212717.92792252847</v>
          </cell>
          <cell r="Q50">
            <v>-363491.62257550145</v>
          </cell>
          <cell r="R50">
            <v>-77975.61914892873</v>
          </cell>
          <cell r="S50">
            <v>-320144.94717889838</v>
          </cell>
          <cell r="T50">
            <v>14055.768162002278</v>
          </cell>
          <cell r="U50">
            <v>4820.3981065594999</v>
          </cell>
          <cell r="V50">
            <v>-146291.10102209914</v>
          </cell>
          <cell r="W50">
            <v>-84429.468586321193</v>
          </cell>
          <cell r="X50">
            <v>0</v>
          </cell>
          <cell r="Y50">
            <v>0</v>
          </cell>
          <cell r="Z50">
            <v>-3403030.0010154089</v>
          </cell>
          <cell r="AA50">
            <v>-22063.244999999999</v>
          </cell>
          <cell r="AB50">
            <v>-642.46699999999998</v>
          </cell>
          <cell r="AC50">
            <v>27707.773000000001</v>
          </cell>
          <cell r="AD50">
            <v>68945.127000000008</v>
          </cell>
          <cell r="AH50">
            <v>73947.187999999995</v>
          </cell>
          <cell r="AI50">
            <v>-3329082.8130154079</v>
          </cell>
          <cell r="AJ50">
            <v>-35632.11606751442</v>
          </cell>
          <cell r="AK50">
            <v>-114469.377722946</v>
          </cell>
          <cell r="AL50">
            <v>-105425.79319000019</v>
          </cell>
          <cell r="AN50">
            <v>-255527.2869804606</v>
          </cell>
          <cell r="AO50">
            <v>-118753.62200000085</v>
          </cell>
          <cell r="AP50">
            <v>0</v>
          </cell>
          <cell r="AS50">
            <v>-118753.62200000085</v>
          </cell>
          <cell r="AT50">
            <v>4958.3019999999997</v>
          </cell>
          <cell r="AU50">
            <v>5299.6329999999998</v>
          </cell>
          <cell r="AV50">
            <v>187258.443</v>
          </cell>
          <cell r="BA50">
            <v>197516.378</v>
          </cell>
          <cell r="BB50">
            <v>0</v>
          </cell>
          <cell r="BC50">
            <v>-38959.451999999997</v>
          </cell>
          <cell r="BD50">
            <v>533648.35</v>
          </cell>
          <cell r="BE50">
            <v>184440.255</v>
          </cell>
          <cell r="BF50">
            <v>-69589.258000000002</v>
          </cell>
          <cell r="BG50">
            <v>0</v>
          </cell>
          <cell r="BJ50">
            <v>609539.89500000002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111월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38108</v>
          </cell>
          <cell r="H7">
            <v>32763</v>
          </cell>
          <cell r="I7">
            <v>10788</v>
          </cell>
          <cell r="J7">
            <v>11811</v>
          </cell>
          <cell r="K7">
            <v>23720</v>
          </cell>
          <cell r="L7">
            <v>17535</v>
          </cell>
          <cell r="M7">
            <v>12503</v>
          </cell>
          <cell r="N7">
            <v>19810</v>
          </cell>
          <cell r="O7">
            <v>9625</v>
          </cell>
          <cell r="P7">
            <v>10865</v>
          </cell>
          <cell r="Q7">
            <v>11223</v>
          </cell>
          <cell r="R7">
            <v>12057</v>
          </cell>
          <cell r="S7">
            <v>23404</v>
          </cell>
          <cell r="T7">
            <v>2463.5</v>
          </cell>
          <cell r="U7">
            <v>5437.5</v>
          </cell>
          <cell r="V7">
            <v>17815.5</v>
          </cell>
          <cell r="W7">
            <v>5998.5</v>
          </cell>
          <cell r="X7"/>
          <cell r="Y7"/>
          <cell r="Z7">
            <v>265927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265927</v>
          </cell>
          <cell r="AJ7">
            <v>23849</v>
          </cell>
          <cell r="AK7">
            <v>32472</v>
          </cell>
          <cell r="AL7">
            <v>4890</v>
          </cell>
          <cell r="AM7"/>
          <cell r="AN7">
            <v>61211</v>
          </cell>
          <cell r="AO7">
            <v>15762.77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39838855.640000001</v>
          </cell>
          <cell r="G8">
            <v>3546335.6370000001</v>
          </cell>
          <cell r="H8">
            <v>3135354.9370000004</v>
          </cell>
          <cell r="I8">
            <v>908573.51500000001</v>
          </cell>
          <cell r="J8">
            <v>1104760.1700000002</v>
          </cell>
          <cell r="K8">
            <v>2548562.42</v>
          </cell>
          <cell r="L8">
            <v>1689652.0179999999</v>
          </cell>
          <cell r="M8">
            <v>1140835.9000000001</v>
          </cell>
          <cell r="N8">
            <v>1937874.89</v>
          </cell>
          <cell r="O8">
            <v>913033.97699999996</v>
          </cell>
          <cell r="P8">
            <v>1063020.23</v>
          </cell>
          <cell r="Q8">
            <v>978894.96</v>
          </cell>
          <cell r="R8">
            <v>1257162.8999999999</v>
          </cell>
          <cell r="S8">
            <v>2354182.6439999999</v>
          </cell>
          <cell r="T8">
            <v>229707.75399999999</v>
          </cell>
          <cell r="U8">
            <v>622109.5</v>
          </cell>
          <cell r="V8">
            <v>1722085.79</v>
          </cell>
          <cell r="W8">
            <v>727000.38300000003</v>
          </cell>
          <cell r="X8"/>
          <cell r="Y8"/>
          <cell r="Z8">
            <v>25879147.625000004</v>
          </cell>
          <cell r="AA8">
            <v>25000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65840</v>
          </cell>
          <cell r="AI8">
            <v>25944987.625000004</v>
          </cell>
          <cell r="AJ8">
            <v>728010</v>
          </cell>
          <cell r="AK8">
            <v>461312</v>
          </cell>
          <cell r="AL8">
            <v>94095</v>
          </cell>
          <cell r="AM8"/>
          <cell r="AN8">
            <v>1283417</v>
          </cell>
          <cell r="AO8">
            <v>12535228.687999999</v>
          </cell>
          <cell r="AP8">
            <v>0</v>
          </cell>
          <cell r="AQ8"/>
          <cell r="AR8"/>
          <cell r="AS8">
            <v>12535228.687999999</v>
          </cell>
          <cell r="AT8">
            <v>5512.5</v>
          </cell>
          <cell r="AU8">
            <v>5850</v>
          </cell>
          <cell r="AV8">
            <v>62179.976999999999</v>
          </cell>
          <cell r="AW8"/>
          <cell r="AX8"/>
          <cell r="AY8"/>
          <cell r="AZ8"/>
          <cell r="BA8">
            <v>73542.476999999999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1679.85</v>
          </cell>
          <cell r="BK8"/>
          <cell r="BL8"/>
          <cell r="BM8"/>
          <cell r="BN8"/>
          <cell r="BO8"/>
        </row>
        <row r="9">
          <cell r="F9"/>
          <cell r="G9">
            <v>93060.13532591582</v>
          </cell>
          <cell r="H9">
            <v>95698.041601806937</v>
          </cell>
          <cell r="I9">
            <v>84220.755932517626</v>
          </cell>
          <cell r="J9">
            <v>93536.548133096279</v>
          </cell>
          <cell r="K9">
            <v>107443.60961214165</v>
          </cell>
          <cell r="L9">
            <v>96358.82623324779</v>
          </cell>
          <cell r="M9">
            <v>91244.97320643047</v>
          </cell>
          <cell r="N9">
            <v>97823.063604240277</v>
          </cell>
          <cell r="O9">
            <v>94860.672935064926</v>
          </cell>
          <cell r="P9">
            <v>97838.953520478593</v>
          </cell>
          <cell r="Q9">
            <v>87222.21865811279</v>
          </cell>
          <cell r="R9">
            <v>104268.30057228166</v>
          </cell>
          <cell r="S9">
            <v>100588.90121346778</v>
          </cell>
          <cell r="T9">
            <v>93244.470874771665</v>
          </cell>
          <cell r="U9">
            <v>114410.94252873563</v>
          </cell>
          <cell r="V9">
            <v>96662.220538295296</v>
          </cell>
          <cell r="W9">
            <v>121197.02975743936</v>
          </cell>
          <cell r="X9"/>
          <cell r="Y9"/>
          <cell r="Z9">
            <v>97316.73588992469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97564.322633655116</v>
          </cell>
          <cell r="AJ9">
            <v>30525.808209987841</v>
          </cell>
          <cell r="AK9">
            <v>14206.454791820646</v>
          </cell>
          <cell r="AL9">
            <v>19242.331288343557</v>
          </cell>
          <cell r="AM9"/>
          <cell r="AN9"/>
          <cell r="AO9">
            <v>795242.75796703238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36876550.234749995</v>
          </cell>
          <cell r="G10">
            <v>3258659.7046699999</v>
          </cell>
          <cell r="H10">
            <v>2926145.0494999997</v>
          </cell>
          <cell r="I10">
            <v>987748.87040999997</v>
          </cell>
          <cell r="J10">
            <v>1013271.46498</v>
          </cell>
          <cell r="K10">
            <v>1974417.2782700001</v>
          </cell>
          <cell r="L10">
            <v>1471192.80853</v>
          </cell>
          <cell r="M10">
            <v>1033834.3557899999</v>
          </cell>
          <cell r="N10">
            <v>1758022.27021</v>
          </cell>
          <cell r="O10">
            <v>802842.68974000006</v>
          </cell>
          <cell r="P10">
            <v>915834.32201999996</v>
          </cell>
          <cell r="Q10">
            <v>956229.36214999994</v>
          </cell>
          <cell r="R10">
            <v>1109178.54311</v>
          </cell>
          <cell r="S10">
            <v>2142980.9652499999</v>
          </cell>
          <cell r="T10">
            <v>246314.93983000002</v>
          </cell>
          <cell r="U10">
            <v>467905.13814999996</v>
          </cell>
          <cell r="V10">
            <v>1455796.1986500002</v>
          </cell>
          <cell r="W10">
            <v>595045.99835000001</v>
          </cell>
          <cell r="X10"/>
          <cell r="Y10"/>
          <cell r="Z10">
            <v>23115419.95961</v>
          </cell>
          <cell r="AA10">
            <v>4593.6049999999996</v>
          </cell>
          <cell r="AB10">
            <v>0</v>
          </cell>
          <cell r="AC10">
            <v>3221.752</v>
          </cell>
          <cell r="AD10">
            <v>5926.643</v>
          </cell>
          <cell r="AE10"/>
          <cell r="AF10"/>
          <cell r="AG10"/>
          <cell r="AH10">
            <v>13742</v>
          </cell>
          <cell r="AI10">
            <v>23129161.95961</v>
          </cell>
          <cell r="AJ10">
            <v>647212.00679999997</v>
          </cell>
          <cell r="AK10">
            <v>262845.69551999995</v>
          </cell>
          <cell r="AL10">
            <v>333023.80781999999</v>
          </cell>
          <cell r="AM10"/>
          <cell r="AN10">
            <v>1243081.5101399999</v>
          </cell>
          <cell r="AO10">
            <v>12498384.124</v>
          </cell>
          <cell r="AP10">
            <v>0</v>
          </cell>
          <cell r="AQ10"/>
          <cell r="AR10"/>
          <cell r="AS10">
            <v>12498384.124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5593.3850000000002</v>
          </cell>
          <cell r="BI10"/>
          <cell r="BJ10">
            <v>5593.3850000000002</v>
          </cell>
          <cell r="BK10"/>
          <cell r="BL10"/>
          <cell r="BM10"/>
          <cell r="BN10"/>
          <cell r="BO10"/>
        </row>
        <row r="11">
          <cell r="F11"/>
          <cell r="G11">
            <v>85511.171005300726</v>
          </cell>
          <cell r="H11">
            <v>89312.488157372645</v>
          </cell>
          <cell r="I11">
            <v>91559.962032814234</v>
          </cell>
          <cell r="J11">
            <v>85790.488949284569</v>
          </cell>
          <cell r="K11">
            <v>83238.502456576738</v>
          </cell>
          <cell r="L11">
            <v>83900.359767892791</v>
          </cell>
          <cell r="M11">
            <v>82686.903606334483</v>
          </cell>
          <cell r="N11">
            <v>88744.183251388196</v>
          </cell>
          <cell r="O11">
            <v>83412.227505454546</v>
          </cell>
          <cell r="P11">
            <v>84292.160333179942</v>
          </cell>
          <cell r="Q11">
            <v>85202.651888977984</v>
          </cell>
          <cell r="R11">
            <v>91994.571046694851</v>
          </cell>
          <cell r="S11">
            <v>91564.731039565886</v>
          </cell>
          <cell r="T11">
            <v>99985.768146945396</v>
          </cell>
          <cell r="U11">
            <v>86051.519659770114</v>
          </cell>
          <cell r="V11">
            <v>81715.146846846852</v>
          </cell>
          <cell r="W11">
            <v>99199.132841543716</v>
          </cell>
          <cell r="X11"/>
          <cell r="Y11"/>
          <cell r="Z11">
            <v>86923.930099651421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86975.605935501095</v>
          </cell>
          <cell r="AJ11">
            <v>27137.909631431085</v>
          </cell>
          <cell r="AK11">
            <v>8094.5336141906864</v>
          </cell>
          <cell r="AL11">
            <v>68103.028184049079</v>
          </cell>
          <cell r="AM11"/>
          <cell r="AN11"/>
          <cell r="AO11">
            <v>792905.31575351278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2962305.4052500054</v>
          </cell>
          <cell r="G12">
            <v>287675.93233000021</v>
          </cell>
          <cell r="H12">
            <v>209209.88750000065</v>
          </cell>
          <cell r="I12">
            <v>-79175.35540999996</v>
          </cell>
          <cell r="J12">
            <v>91488.70502000011</v>
          </cell>
          <cell r="K12">
            <v>574145.1417299998</v>
          </cell>
          <cell r="L12">
            <v>218459.20946999989</v>
          </cell>
          <cell r="M12">
            <v>107001.5442100002</v>
          </cell>
          <cell r="N12">
            <v>179852.61978999991</v>
          </cell>
          <cell r="O12">
            <v>110191.2872599999</v>
          </cell>
          <cell r="P12">
            <v>147185.90798000002</v>
          </cell>
          <cell r="Q12">
            <v>22665.59785000002</v>
          </cell>
          <cell r="R12">
            <v>147984.35688999994</v>
          </cell>
          <cell r="S12">
            <v>211201.67874999996</v>
          </cell>
          <cell r="T12">
            <v>-16607.185830000031</v>
          </cell>
          <cell r="U12">
            <v>154204.36185000004</v>
          </cell>
          <cell r="V12">
            <v>266289.59134999989</v>
          </cell>
          <cell r="W12">
            <v>131954.38465000002</v>
          </cell>
          <cell r="X12"/>
          <cell r="Y12"/>
          <cell r="Z12">
            <v>2763727.6653900007</v>
          </cell>
          <cell r="AA12">
            <v>20406.395</v>
          </cell>
          <cell r="AB12">
            <v>0</v>
          </cell>
          <cell r="AC12">
            <v>9278.2479999999996</v>
          </cell>
          <cell r="AD12">
            <v>22413.357</v>
          </cell>
          <cell r="AE12"/>
          <cell r="AF12"/>
          <cell r="AG12"/>
          <cell r="AH12">
            <v>52098</v>
          </cell>
          <cell r="AI12">
            <v>2815825.6653900035</v>
          </cell>
          <cell r="AJ12">
            <v>80797.993200000026</v>
          </cell>
          <cell r="AK12">
            <v>198466.30448000005</v>
          </cell>
          <cell r="AL12">
            <v>-238928.80781999999</v>
          </cell>
          <cell r="AM12"/>
          <cell r="AN12">
            <v>40335.489860000089</v>
          </cell>
          <cell r="AO12">
            <v>36844.563999999315</v>
          </cell>
          <cell r="AP12">
            <v>0</v>
          </cell>
          <cell r="AQ12"/>
          <cell r="AR12"/>
          <cell r="AS12">
            <v>36844.563999999315</v>
          </cell>
          <cell r="AT12">
            <v>5369.4960000000001</v>
          </cell>
          <cell r="AU12">
            <v>5663.7479999999996</v>
          </cell>
          <cell r="AV12">
            <v>62179.976999999999</v>
          </cell>
          <cell r="AW12"/>
          <cell r="AX12"/>
          <cell r="AY12"/>
          <cell r="AZ12"/>
          <cell r="BA12">
            <v>73213.22099999999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-5593.3850000000002</v>
          </cell>
          <cell r="BI12"/>
          <cell r="BJ12">
            <v>-3913.5350000000003</v>
          </cell>
          <cell r="BK12"/>
          <cell r="BL12"/>
          <cell r="BM12"/>
          <cell r="BN12"/>
          <cell r="BO12"/>
        </row>
        <row r="13">
          <cell r="F13">
            <v>815388.40399999998</v>
          </cell>
          <cell r="G13">
            <v>66848.409</v>
          </cell>
          <cell r="H13">
            <v>75660.691999999995</v>
          </cell>
          <cell r="I13">
            <v>50697.357999999993</v>
          </cell>
          <cell r="J13">
            <v>34524.85</v>
          </cell>
          <cell r="K13">
            <v>51128.714999999997</v>
          </cell>
          <cell r="L13">
            <v>57454.087</v>
          </cell>
          <cell r="M13">
            <v>36829.991999999998</v>
          </cell>
          <cell r="N13">
            <v>36383.196999999993</v>
          </cell>
          <cell r="O13">
            <v>33687.023000000001</v>
          </cell>
          <cell r="P13">
            <v>25752.221999999998</v>
          </cell>
          <cell r="Q13">
            <v>30466.688999999998</v>
          </cell>
          <cell r="R13">
            <v>24843.553</v>
          </cell>
          <cell r="S13">
            <v>46660.801999999996</v>
          </cell>
          <cell r="T13">
            <v>12400.403000000002</v>
          </cell>
          <cell r="U13">
            <v>11181.879000000001</v>
          </cell>
          <cell r="V13">
            <v>39136.853999999999</v>
          </cell>
          <cell r="W13">
            <v>14096.978000000001</v>
          </cell>
          <cell r="X13"/>
          <cell r="Y13"/>
          <cell r="Z13">
            <v>647753.70299999998</v>
          </cell>
          <cell r="AA13">
            <v>49.951999999999998</v>
          </cell>
          <cell r="AB13">
            <v>176.77699999999999</v>
          </cell>
          <cell r="AC13">
            <v>0</v>
          </cell>
          <cell r="AD13">
            <v>0</v>
          </cell>
          <cell r="AE13"/>
          <cell r="AF13"/>
          <cell r="AG13"/>
          <cell r="AH13">
            <v>226.72899999999998</v>
          </cell>
          <cell r="AI13">
            <v>647980.43200000003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149979.95600000001</v>
          </cell>
          <cell r="AP13">
            <v>0</v>
          </cell>
          <cell r="AQ13"/>
          <cell r="AR13"/>
          <cell r="AS13">
            <v>149979.95600000001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17428.016</v>
          </cell>
          <cell r="BG13">
            <v>0</v>
          </cell>
          <cell r="BH13">
            <v>0</v>
          </cell>
          <cell r="BI13"/>
          <cell r="BJ13">
            <v>17428.016</v>
          </cell>
          <cell r="BK13"/>
          <cell r="BL13"/>
          <cell r="BM13"/>
          <cell r="BN13"/>
          <cell r="BO13"/>
        </row>
        <row r="14">
          <cell r="F14">
            <v>519398.11199999996</v>
          </cell>
          <cell r="G14">
            <v>43118.300999999999</v>
          </cell>
          <cell r="H14">
            <v>44594.118999999999</v>
          </cell>
          <cell r="I14">
            <v>34780.720999999998</v>
          </cell>
          <cell r="J14">
            <v>24935.825000000001</v>
          </cell>
          <cell r="K14">
            <v>33685.548999999999</v>
          </cell>
          <cell r="L14">
            <v>35778.913</v>
          </cell>
          <cell r="M14">
            <v>26669.759999999998</v>
          </cell>
          <cell r="N14">
            <v>27154.997999999996</v>
          </cell>
          <cell r="O14">
            <v>19532.804</v>
          </cell>
          <cell r="P14">
            <v>19144.025999999998</v>
          </cell>
          <cell r="Q14">
            <v>19176.490999999998</v>
          </cell>
          <cell r="R14">
            <v>18230.789000000001</v>
          </cell>
          <cell r="S14">
            <v>31577.047999999999</v>
          </cell>
          <cell r="T14">
            <v>7344.9590000000007</v>
          </cell>
          <cell r="U14">
            <v>7399.4960000000001</v>
          </cell>
          <cell r="V14">
            <v>22240.014999999999</v>
          </cell>
          <cell r="W14">
            <v>10295.861000000001</v>
          </cell>
          <cell r="X14"/>
          <cell r="Y14"/>
          <cell r="Z14">
            <v>425659.67499999999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425659.67499999999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93738.437000000005</v>
          </cell>
          <cell r="AP14">
            <v>0</v>
          </cell>
          <cell r="AQ14"/>
          <cell r="AR14"/>
          <cell r="AS14">
            <v>93738.437000000005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295990.29200000002</v>
          </cell>
          <cell r="G15">
            <v>23730.108</v>
          </cell>
          <cell r="H15">
            <v>31066.573</v>
          </cell>
          <cell r="I15">
            <v>15916.636999999999</v>
          </cell>
          <cell r="J15">
            <v>9589.0249999999978</v>
          </cell>
          <cell r="K15">
            <v>17443.165999999997</v>
          </cell>
          <cell r="L15">
            <v>21675.173999999999</v>
          </cell>
          <cell r="M15">
            <v>10160.232</v>
          </cell>
          <cell r="N15">
            <v>9228.1989999999987</v>
          </cell>
          <cell r="O15">
            <v>14154.219000000001</v>
          </cell>
          <cell r="P15">
            <v>6608.1959999999999</v>
          </cell>
          <cell r="Q15">
            <v>11290.198</v>
          </cell>
          <cell r="R15">
            <v>6612.7640000000001</v>
          </cell>
          <cell r="S15">
            <v>15083.754000000001</v>
          </cell>
          <cell r="T15">
            <v>5055.4440000000004</v>
          </cell>
          <cell r="U15">
            <v>3782.3829999999998</v>
          </cell>
          <cell r="V15">
            <v>16896.839</v>
          </cell>
          <cell r="W15">
            <v>3801.1170000000002</v>
          </cell>
          <cell r="X15"/>
          <cell r="Y15"/>
          <cell r="Z15">
            <v>222094.02799999999</v>
          </cell>
          <cell r="AA15">
            <v>49.951999999999998</v>
          </cell>
          <cell r="AB15">
            <v>176.77699999999999</v>
          </cell>
          <cell r="AC15">
            <v>0</v>
          </cell>
          <cell r="AD15">
            <v>0</v>
          </cell>
          <cell r="AE15"/>
          <cell r="AF15"/>
          <cell r="AG15"/>
          <cell r="AH15">
            <v>226.72899999999998</v>
          </cell>
          <cell r="AI15">
            <v>222320.75699999998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56241.519000000008</v>
          </cell>
          <cell r="AP15">
            <v>0</v>
          </cell>
          <cell r="AQ15"/>
          <cell r="AR15"/>
          <cell r="AS15">
            <v>56241.519000000008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17428.016</v>
          </cell>
          <cell r="BG15">
            <v>0</v>
          </cell>
          <cell r="BH15">
            <v>0</v>
          </cell>
          <cell r="BI15"/>
          <cell r="BJ15">
            <v>17428.016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2146917.0012500053</v>
          </cell>
          <cell r="G17">
            <v>220827.52333000023</v>
          </cell>
          <cell r="H17">
            <v>133549.19550000067</v>
          </cell>
          <cell r="I17">
            <v>-129872.71340999995</v>
          </cell>
          <cell r="J17">
            <v>56963.855020000112</v>
          </cell>
          <cell r="K17">
            <v>523016.42672999983</v>
          </cell>
          <cell r="L17">
            <v>161005.12246999989</v>
          </cell>
          <cell r="M17">
            <v>70171.552210000198</v>
          </cell>
          <cell r="N17">
            <v>143469.42278999992</v>
          </cell>
          <cell r="O17">
            <v>76504.264259999894</v>
          </cell>
          <cell r="P17">
            <v>121433.68598000002</v>
          </cell>
          <cell r="Q17">
            <v>-7801.0911499999784</v>
          </cell>
          <cell r="R17">
            <v>123140.80388999994</v>
          </cell>
          <cell r="S17">
            <v>164540.87674999997</v>
          </cell>
          <cell r="T17">
            <v>-29007.588830000033</v>
          </cell>
          <cell r="U17">
            <v>143022.48285000003</v>
          </cell>
          <cell r="V17">
            <v>227152.73734999989</v>
          </cell>
          <cell r="W17">
            <v>117857.40665000002</v>
          </cell>
          <cell r="X17"/>
          <cell r="Y17"/>
          <cell r="Z17">
            <v>2115973.9623900009</v>
          </cell>
          <cell r="AA17">
            <v>20356.442999999999</v>
          </cell>
          <cell r="AB17">
            <v>-176.77699999999999</v>
          </cell>
          <cell r="AC17">
            <v>9278.2479999999996</v>
          </cell>
          <cell r="AD17">
            <v>22413.357</v>
          </cell>
          <cell r="AE17"/>
          <cell r="AF17"/>
          <cell r="AG17"/>
          <cell r="AH17">
            <v>51871.271000000001</v>
          </cell>
          <cell r="AI17">
            <v>2167845.2333900034</v>
          </cell>
          <cell r="AJ17">
            <v>80797.993200000026</v>
          </cell>
          <cell r="AK17">
            <v>198466.30448000005</v>
          </cell>
          <cell r="AL17">
            <v>-238928.80781999999</v>
          </cell>
          <cell r="AM17"/>
          <cell r="AN17">
            <v>40335.489860000089</v>
          </cell>
          <cell r="AO17">
            <v>-113135.39200000069</v>
          </cell>
          <cell r="AP17">
            <v>0</v>
          </cell>
          <cell r="AQ17"/>
          <cell r="AR17"/>
          <cell r="AS17">
            <v>-113135.39200000069</v>
          </cell>
          <cell r="AT17">
            <v>5369.4960000000001</v>
          </cell>
          <cell r="AU17">
            <v>5663.7479999999996</v>
          </cell>
          <cell r="AV17">
            <v>62179.976999999999</v>
          </cell>
          <cell r="AW17"/>
          <cell r="AX17"/>
          <cell r="AY17"/>
          <cell r="AZ17"/>
          <cell r="BA17">
            <v>73213.22099999999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-17428.016</v>
          </cell>
          <cell r="BG17">
            <v>0</v>
          </cell>
          <cell r="BH17">
            <v>-5593.3850000000002</v>
          </cell>
          <cell r="BI17"/>
          <cell r="BJ17">
            <v>-21341.550999999999</v>
          </cell>
          <cell r="BK17"/>
          <cell r="BL17"/>
          <cell r="BM17"/>
          <cell r="BN17"/>
          <cell r="BO17"/>
        </row>
        <row r="18">
          <cell r="F18">
            <v>550306.22825999989</v>
          </cell>
          <cell r="G18">
            <v>30212.621329999998</v>
          </cell>
          <cell r="H18">
            <v>35672.414499999999</v>
          </cell>
          <cell r="I18">
            <v>18439.487590000001</v>
          </cell>
          <cell r="J18">
            <v>18101.84302</v>
          </cell>
          <cell r="K18">
            <v>119693.65273000002</v>
          </cell>
          <cell r="L18">
            <v>14647.466470000001</v>
          </cell>
          <cell r="M18">
            <v>14815.594210000001</v>
          </cell>
          <cell r="N18">
            <v>21618.619790000001</v>
          </cell>
          <cell r="O18">
            <v>11829.403259999999</v>
          </cell>
          <cell r="P18">
            <v>31684.581979999999</v>
          </cell>
          <cell r="Q18">
            <v>15278.315849999999</v>
          </cell>
          <cell r="R18">
            <v>14526.544890000001</v>
          </cell>
          <cell r="S18">
            <v>24970.62975</v>
          </cell>
          <cell r="T18">
            <v>6657.0221699999993</v>
          </cell>
          <cell r="U18">
            <v>11124.055850000001</v>
          </cell>
          <cell r="V18">
            <v>21045.304350000002</v>
          </cell>
          <cell r="W18">
            <v>12769.668650000001</v>
          </cell>
          <cell r="X18"/>
          <cell r="Y18"/>
          <cell r="Z18">
            <v>423087.22639000014</v>
          </cell>
          <cell r="AA18">
            <v>5302.2790000000005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5302.2790000000005</v>
          </cell>
          <cell r="AI18">
            <v>428389.50538999995</v>
          </cell>
          <cell r="AJ18">
            <v>35146.197209999998</v>
          </cell>
          <cell r="AK18">
            <v>16140.027480000001</v>
          </cell>
          <cell r="AL18">
            <v>70382.706180000008</v>
          </cell>
          <cell r="AM18"/>
          <cell r="AN18">
            <v>121668.93087000001</v>
          </cell>
          <cell r="AO18">
            <v>5734.9560000000001</v>
          </cell>
          <cell r="AP18">
            <v>0</v>
          </cell>
          <cell r="AQ18"/>
          <cell r="AR18"/>
          <cell r="AS18">
            <v>5734.9560000000001</v>
          </cell>
          <cell r="AT18">
            <v>1312.8920000000001</v>
          </cell>
          <cell r="AU18">
            <v>-4103.3360000000002</v>
          </cell>
          <cell r="AV18">
            <v>0</v>
          </cell>
          <cell r="AW18"/>
          <cell r="AX18"/>
          <cell r="AY18"/>
          <cell r="AZ18"/>
          <cell r="BA18">
            <v>-2790.4440000000004</v>
          </cell>
          <cell r="BB18">
            <v>0</v>
          </cell>
          <cell r="BC18">
            <v>7197.6350000000002</v>
          </cell>
          <cell r="BD18">
            <v>0</v>
          </cell>
          <cell r="BE18">
            <v>0</v>
          </cell>
          <cell r="BF18">
            <v>-9894.3549999999996</v>
          </cell>
          <cell r="BG18">
            <v>0</v>
          </cell>
          <cell r="BH18">
            <v>0</v>
          </cell>
          <cell r="BI18"/>
          <cell r="BJ18">
            <v>-2696.7199999999993</v>
          </cell>
          <cell r="BK18"/>
          <cell r="BL18"/>
          <cell r="BM18"/>
          <cell r="BN18"/>
          <cell r="BO18"/>
        </row>
        <row r="19">
          <cell r="F19">
            <v>526644.03825999994</v>
          </cell>
          <cell r="G19">
            <v>28255.399329999997</v>
          </cell>
          <cell r="H19">
            <v>33356.879500000003</v>
          </cell>
          <cell r="I19">
            <v>17137.026590000001</v>
          </cell>
          <cell r="J19">
            <v>16909.855019999999</v>
          </cell>
          <cell r="K19">
            <v>117817.58673000001</v>
          </cell>
          <cell r="L19">
            <v>13083.064470000001</v>
          </cell>
          <cell r="M19">
            <v>13621.995210000001</v>
          </cell>
          <cell r="N19">
            <v>20055.31479</v>
          </cell>
          <cell r="O19">
            <v>11079.367259999999</v>
          </cell>
          <cell r="P19">
            <v>30465.815979999999</v>
          </cell>
          <cell r="Q19">
            <v>14453.10585</v>
          </cell>
          <cell r="R19">
            <v>13711.622890000001</v>
          </cell>
          <cell r="S19">
            <v>23382.428749999999</v>
          </cell>
          <cell r="T19">
            <v>6286.6221699999996</v>
          </cell>
          <cell r="U19">
            <v>10681.18685</v>
          </cell>
          <cell r="V19">
            <v>20221.702350000003</v>
          </cell>
          <cell r="W19">
            <v>11944.298650000001</v>
          </cell>
          <cell r="X19"/>
          <cell r="Y19"/>
          <cell r="Z19">
            <v>402463.27239</v>
          </cell>
          <cell r="AA19">
            <v>5302.2790000000005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5302.2790000000005</v>
          </cell>
          <cell r="AI19">
            <v>407765.55138999998</v>
          </cell>
          <cell r="AJ19">
            <v>35146.197209999998</v>
          </cell>
          <cell r="AK19">
            <v>16140.027480000001</v>
          </cell>
          <cell r="AL19">
            <v>70382.706180000008</v>
          </cell>
          <cell r="AM19"/>
          <cell r="AN19">
            <v>121668.93087000001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/>
          <cell r="AX19"/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23662.189999999995</v>
          </cell>
          <cell r="G20">
            <v>1957.222</v>
          </cell>
          <cell r="H20">
            <v>2315.5349999999999</v>
          </cell>
          <cell r="I20">
            <v>1302.461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825.21</v>
          </cell>
          <cell r="R20">
            <v>814.92200000000003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823.60199999999998</v>
          </cell>
          <cell r="W20">
            <v>825.37</v>
          </cell>
          <cell r="X20"/>
          <cell r="Y20"/>
          <cell r="Z20">
            <v>20623.953999999998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0</v>
          </cell>
          <cell r="AI20">
            <v>20623.953999999998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5734.9560000000001</v>
          </cell>
          <cell r="AP20">
            <v>0</v>
          </cell>
          <cell r="AQ20"/>
          <cell r="AR20"/>
          <cell r="AS20">
            <v>5734.9560000000001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7197.6350000000002</v>
          </cell>
          <cell r="BD20">
            <v>0</v>
          </cell>
          <cell r="BE20">
            <v>0</v>
          </cell>
          <cell r="BF20">
            <v>-9894.3549999999996</v>
          </cell>
          <cell r="BG20">
            <v>0</v>
          </cell>
          <cell r="BH20">
            <v>0</v>
          </cell>
          <cell r="BI20"/>
          <cell r="BJ20">
            <v>-2696.7199999999993</v>
          </cell>
          <cell r="BK20"/>
          <cell r="BL20"/>
          <cell r="BM20"/>
          <cell r="BN20"/>
          <cell r="BO20"/>
        </row>
        <row r="21">
          <cell r="F21">
            <v>1596610.7729900056</v>
          </cell>
          <cell r="G21">
            <v>190614.90200000023</v>
          </cell>
          <cell r="H21">
            <v>97876.781000000672</v>
          </cell>
          <cell r="I21">
            <v>-148312.20099999994</v>
          </cell>
          <cell r="J21">
            <v>38862.012000000112</v>
          </cell>
          <cell r="K21">
            <v>403322.7739999998</v>
          </cell>
          <cell r="L21">
            <v>146357.65599999987</v>
          </cell>
          <cell r="M21">
            <v>55355.958000000195</v>
          </cell>
          <cell r="N21">
            <v>121850.80299999993</v>
          </cell>
          <cell r="O21">
            <v>64674.860999999895</v>
          </cell>
          <cell r="P21">
            <v>89749.104000000021</v>
          </cell>
          <cell r="Q21">
            <v>-23079.406999999977</v>
          </cell>
          <cell r="R21">
            <v>108614.25899999993</v>
          </cell>
          <cell r="S21">
            <v>139570.24699999997</v>
          </cell>
          <cell r="T21">
            <v>-35664.611000000034</v>
          </cell>
          <cell r="U21">
            <v>131898.42700000003</v>
          </cell>
          <cell r="V21">
            <v>206107.4329999999</v>
          </cell>
          <cell r="W21">
            <v>105087.73800000001</v>
          </cell>
          <cell r="X21"/>
          <cell r="Y21"/>
          <cell r="Z21">
            <v>1692886.7360000007</v>
          </cell>
          <cell r="AA21">
            <v>15054.163999999999</v>
          </cell>
          <cell r="AB21">
            <v>-176.77699999999999</v>
          </cell>
          <cell r="AC21">
            <v>9278.2479999999996</v>
          </cell>
          <cell r="AD21">
            <v>22413.357</v>
          </cell>
          <cell r="AE21"/>
          <cell r="AF21"/>
          <cell r="AG21"/>
          <cell r="AH21">
            <v>46568.991999999998</v>
          </cell>
          <cell r="AI21">
            <v>1739455.7280000034</v>
          </cell>
          <cell r="AJ21">
            <v>45651.795990000028</v>
          </cell>
          <cell r="AK21">
            <v>182326.27700000006</v>
          </cell>
          <cell r="AL21">
            <v>-309311.51399999997</v>
          </cell>
          <cell r="AM21"/>
          <cell r="AN21">
            <v>-81333.441009999922</v>
          </cell>
          <cell r="AO21">
            <v>-118870.3480000007</v>
          </cell>
          <cell r="AP21">
            <v>0</v>
          </cell>
          <cell r="AQ21"/>
          <cell r="AR21"/>
          <cell r="AS21">
            <v>-118870.3480000007</v>
          </cell>
          <cell r="AT21">
            <v>4056.6040000000003</v>
          </cell>
          <cell r="AU21">
            <v>9767.0839999999989</v>
          </cell>
          <cell r="AV21">
            <v>62179.976999999999</v>
          </cell>
          <cell r="AW21"/>
          <cell r="AX21"/>
          <cell r="AY21"/>
          <cell r="AZ21"/>
          <cell r="BA21">
            <v>76003.664999999994</v>
          </cell>
          <cell r="BB21">
            <v>0</v>
          </cell>
          <cell r="BC21">
            <v>-5517.7849999999999</v>
          </cell>
          <cell r="BD21">
            <v>0</v>
          </cell>
          <cell r="BE21">
            <v>0</v>
          </cell>
          <cell r="BF21">
            <v>-7533.6610000000001</v>
          </cell>
          <cell r="BG21">
            <v>0</v>
          </cell>
          <cell r="BH21">
            <v>-5593.3850000000002</v>
          </cell>
          <cell r="BI21"/>
          <cell r="BJ21">
            <v>-18644.830999999998</v>
          </cell>
          <cell r="BK21"/>
          <cell r="BL21"/>
          <cell r="BM21"/>
          <cell r="BN21"/>
          <cell r="BO21"/>
        </row>
        <row r="22">
          <cell r="F22">
            <v>1906622.5619972893</v>
          </cell>
          <cell r="G22">
            <v>178502.80623334495</v>
          </cell>
          <cell r="H22">
            <v>157816.32425111387</v>
          </cell>
          <cell r="I22">
            <v>45732.535974511353</v>
          </cell>
          <cell r="J22">
            <v>55607.480719633655</v>
          </cell>
          <cell r="K22">
            <v>136292.19714424392</v>
          </cell>
          <cell r="L22">
            <v>90359.327334986592</v>
          </cell>
          <cell r="M22">
            <v>61009.701065917361</v>
          </cell>
          <cell r="N22">
            <v>103633.80723033653</v>
          </cell>
          <cell r="O22">
            <v>48827.294091810807</v>
          </cell>
          <cell r="P22">
            <v>56848.269290370969</v>
          </cell>
          <cell r="Q22">
            <v>52349.412290175242</v>
          </cell>
          <cell r="R22">
            <v>67230.644407457497</v>
          </cell>
          <cell r="S22">
            <v>118450.29403671369</v>
          </cell>
          <cell r="T22">
            <v>11557.706056987265</v>
          </cell>
          <cell r="U22">
            <v>31301.332284409171</v>
          </cell>
          <cell r="V22">
            <v>86646.449756914633</v>
          </cell>
          <cell r="W22">
            <v>36578.898986714928</v>
          </cell>
          <cell r="X22"/>
          <cell r="Y22"/>
          <cell r="Z22">
            <v>1338744.4811556423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1338744.4811556423</v>
          </cell>
          <cell r="AJ22">
            <v>25799.38753109135</v>
          </cell>
          <cell r="AK22">
            <v>16348.081840555502</v>
          </cell>
          <cell r="AL22">
            <v>3334.5604700000004</v>
          </cell>
          <cell r="AM22"/>
          <cell r="AN22">
            <v>45482.029841646858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0</v>
          </cell>
          <cell r="BH22">
            <v>0</v>
          </cell>
          <cell r="BI22"/>
          <cell r="BJ22">
            <v>522396.05099999998</v>
          </cell>
          <cell r="BK22"/>
          <cell r="BL22"/>
          <cell r="BM22"/>
          <cell r="BN22"/>
          <cell r="BO22"/>
        </row>
        <row r="23">
          <cell r="F23">
            <v>207322.01899728941</v>
          </cell>
          <cell r="G23">
            <v>17226.306643649477</v>
          </cell>
          <cell r="H23">
            <v>15229.97006203626</v>
          </cell>
          <cell r="I23">
            <v>4413.3910548096428</v>
          </cell>
          <cell r="J23">
            <v>5366.3666962468978</v>
          </cell>
          <cell r="K23">
            <v>20391.372136279981</v>
          </cell>
          <cell r="L23">
            <v>13519.120744099509</v>
          </cell>
          <cell r="M23">
            <v>9127.9731666638545</v>
          </cell>
          <cell r="N23">
            <v>15505.183520497265</v>
          </cell>
          <cell r="O23">
            <v>7305.3010010540365</v>
          </cell>
          <cell r="P23">
            <v>8505.360091719449</v>
          </cell>
          <cell r="Q23">
            <v>7832.2631045030121</v>
          </cell>
          <cell r="R23">
            <v>10058.720292134314</v>
          </cell>
          <cell r="S23">
            <v>11389.266801198768</v>
          </cell>
          <cell r="T23">
            <v>1111.2998829032797</v>
          </cell>
          <cell r="U23">
            <v>3009.6947206362829</v>
          </cell>
          <cell r="V23">
            <v>8331.2544023934097</v>
          </cell>
          <cell r="W23">
            <v>3517.1448348171107</v>
          </cell>
          <cell r="X23"/>
          <cell r="Y23"/>
          <cell r="Z23">
            <v>161839.98915564257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161839.98915564257</v>
          </cell>
          <cell r="AJ23">
            <v>25799.38753109135</v>
          </cell>
          <cell r="AK23">
            <v>16348.081840555502</v>
          </cell>
          <cell r="AL23">
            <v>3334.5604700000004</v>
          </cell>
          <cell r="AM23"/>
          <cell r="AN23">
            <v>45482.029841646858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436073.45600000001</v>
          </cell>
          <cell r="G24">
            <v>59757.100959098971</v>
          </cell>
          <cell r="H24">
            <v>52831.920238495579</v>
          </cell>
          <cell r="I24">
            <v>15309.808439493294</v>
          </cell>
          <cell r="J24">
            <v>18615.628009233846</v>
          </cell>
          <cell r="K24">
            <v>42944.243698641658</v>
          </cell>
          <cell r="L24">
            <v>28471.277555326134</v>
          </cell>
          <cell r="M24">
            <v>19223.517746824182</v>
          </cell>
          <cell r="N24">
            <v>32653.927123997375</v>
          </cell>
          <cell r="O24">
            <v>15384.968916487429</v>
          </cell>
          <cell r="P24">
            <v>17912.294184148766</v>
          </cell>
          <cell r="Q24">
            <v>16494.751467618389</v>
          </cell>
          <cell r="R24">
            <v>21183.671831153762</v>
          </cell>
          <cell r="S24">
            <v>39668.870725578912</v>
          </cell>
          <cell r="T24">
            <v>3870.6628057568337</v>
          </cell>
          <cell r="U24">
            <v>10482.781102626519</v>
          </cell>
          <cell r="V24">
            <v>29017.798918861812</v>
          </cell>
          <cell r="W24">
            <v>12250.232276656508</v>
          </cell>
          <cell r="X24"/>
          <cell r="Y24"/>
          <cell r="Z24">
            <v>436073.45600000001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436073.45600000001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1263227.0869999998</v>
          </cell>
          <cell r="G25">
            <v>101519.39863059649</v>
          </cell>
          <cell r="H25">
            <v>89754.433950582039</v>
          </cell>
          <cell r="I25">
            <v>26009.336480208414</v>
          </cell>
          <cell r="J25">
            <v>31625.486014152913</v>
          </cell>
          <cell r="K25">
            <v>72956.581309322268</v>
          </cell>
          <cell r="L25">
            <v>48368.929035560941</v>
          </cell>
          <cell r="M25">
            <v>32658.210152429325</v>
          </cell>
          <cell r="N25">
            <v>55474.696585841892</v>
          </cell>
          <cell r="O25">
            <v>26137.024174269343</v>
          </cell>
          <cell r="P25">
            <v>30430.61501450275</v>
          </cell>
          <cell r="Q25">
            <v>28022.397718053839</v>
          </cell>
          <cell r="R25">
            <v>35988.25228416943</v>
          </cell>
          <cell r="S25">
            <v>67392.156509936016</v>
          </cell>
          <cell r="T25">
            <v>6575.7433683271511</v>
          </cell>
          <cell r="U25">
            <v>17808.85646114637</v>
          </cell>
          <cell r="V25">
            <v>49297.396435659401</v>
          </cell>
          <cell r="W25">
            <v>20811.521875241309</v>
          </cell>
          <cell r="X25"/>
          <cell r="Y25"/>
          <cell r="Z25">
            <v>740831.03599999985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740831.03599999985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0</v>
          </cell>
          <cell r="BH25">
            <v>0</v>
          </cell>
          <cell r="BI25"/>
          <cell r="BJ25">
            <v>522396.05099999998</v>
          </cell>
          <cell r="BK25"/>
          <cell r="BL25"/>
          <cell r="BM25"/>
          <cell r="BN25"/>
          <cell r="BO25"/>
        </row>
        <row r="26">
          <cell r="F26">
            <v>-310011.78900728375</v>
          </cell>
          <cell r="G26">
            <v>12112.095766655286</v>
          </cell>
          <cell r="H26">
            <v>-59939.543251113195</v>
          </cell>
          <cell r="I26">
            <v>-194044.7369745113</v>
          </cell>
          <cell r="J26">
            <v>-16745.468719633544</v>
          </cell>
          <cell r="K26">
            <v>267030.57685575588</v>
          </cell>
          <cell r="L26">
            <v>55998.32866501328</v>
          </cell>
          <cell r="M26">
            <v>-5653.7430659171659</v>
          </cell>
          <cell r="N26">
            <v>18216.995769663394</v>
          </cell>
          <cell r="O26">
            <v>15847.566908189088</v>
          </cell>
          <cell r="P26">
            <v>32900.834709629053</v>
          </cell>
          <cell r="Q26">
            <v>-75428.819290175219</v>
          </cell>
          <cell r="R26">
            <v>41383.614592542435</v>
          </cell>
          <cell r="S26">
            <v>21119.952963286283</v>
          </cell>
          <cell r="T26">
            <v>-47222.317056987296</v>
          </cell>
          <cell r="U26">
            <v>100597.09471559085</v>
          </cell>
          <cell r="V26">
            <v>119460.98324308527</v>
          </cell>
          <cell r="W26">
            <v>68508.839013285091</v>
          </cell>
          <cell r="X26"/>
          <cell r="Y26"/>
          <cell r="Z26">
            <v>354142.25484435842</v>
          </cell>
          <cell r="AA26">
            <v>15054.163999999999</v>
          </cell>
          <cell r="AB26">
            <v>-176.77699999999999</v>
          </cell>
          <cell r="AC26">
            <v>9278.2479999999996</v>
          </cell>
          <cell r="AD26">
            <v>22413.357</v>
          </cell>
          <cell r="AE26"/>
          <cell r="AF26"/>
          <cell r="AG26"/>
          <cell r="AH26">
            <v>46568.991999999998</v>
          </cell>
          <cell r="AI26">
            <v>400711.24684436107</v>
          </cell>
          <cell r="AJ26">
            <v>19852.408458908678</v>
          </cell>
          <cell r="AK26">
            <v>165978.19515944456</v>
          </cell>
          <cell r="AL26">
            <v>-312646.07446999999</v>
          </cell>
          <cell r="AM26"/>
          <cell r="AN26">
            <v>-126815.47085164678</v>
          </cell>
          <cell r="AO26">
            <v>-118870.3480000007</v>
          </cell>
          <cell r="AP26">
            <v>0</v>
          </cell>
          <cell r="AQ26"/>
          <cell r="AR26"/>
          <cell r="AS26">
            <v>-118870.3480000007</v>
          </cell>
          <cell r="AT26">
            <v>4056.6040000000003</v>
          </cell>
          <cell r="AU26">
            <v>9767.0839999999989</v>
          </cell>
          <cell r="AV26">
            <v>62179.976999999999</v>
          </cell>
          <cell r="AW26"/>
          <cell r="AX26"/>
          <cell r="AY26"/>
          <cell r="AZ26"/>
          <cell r="BA26">
            <v>76003.664999999994</v>
          </cell>
          <cell r="BB26">
            <v>0</v>
          </cell>
          <cell r="BC26">
            <v>-5517.7849999999999</v>
          </cell>
          <cell r="BD26">
            <v>0</v>
          </cell>
          <cell r="BE26">
            <v>-522396.05099999998</v>
          </cell>
          <cell r="BF26">
            <v>-7533.6610000000001</v>
          </cell>
          <cell r="BG26">
            <v>0</v>
          </cell>
          <cell r="BH26">
            <v>-5593.3850000000002</v>
          </cell>
          <cell r="BI26"/>
          <cell r="BJ26">
            <v>-541040.88199999998</v>
          </cell>
          <cell r="BK26"/>
          <cell r="BL26"/>
          <cell r="BM26"/>
          <cell r="BN26"/>
          <cell r="BO26"/>
        </row>
        <row r="27">
          <cell r="F27">
            <v>-310011.78900728939</v>
          </cell>
          <cell r="G27">
            <v>12112.095766655255</v>
          </cell>
          <cell r="H27">
            <v>-59939.543251113239</v>
          </cell>
          <cell r="I27">
            <v>-194044.7369745113</v>
          </cell>
          <cell r="J27">
            <v>-16745.468719633536</v>
          </cell>
          <cell r="K27">
            <v>267030.57685575588</v>
          </cell>
          <cell r="L27">
            <v>55998.328665013294</v>
          </cell>
          <cell r="M27">
            <v>-5653.7430659171641</v>
          </cell>
          <cell r="N27">
            <v>18216.995769663397</v>
          </cell>
          <cell r="O27">
            <v>15847.566908189092</v>
          </cell>
          <cell r="P27">
            <v>32900.834709629067</v>
          </cell>
          <cell r="Q27">
            <v>-75428.819290175234</v>
          </cell>
          <cell r="R27">
            <v>41383.614592542428</v>
          </cell>
          <cell r="S27">
            <v>21119.952963286232</v>
          </cell>
          <cell r="T27">
            <v>-47222.317056987304</v>
          </cell>
          <cell r="U27">
            <v>100597.09471559084</v>
          </cell>
          <cell r="V27">
            <v>119460.98324308523</v>
          </cell>
          <cell r="W27">
            <v>68508.839013285105</v>
          </cell>
          <cell r="X27"/>
          <cell r="Y27"/>
          <cell r="Z27">
            <v>354142.25484435807</v>
          </cell>
          <cell r="AA27">
            <v>15054.163999999999</v>
          </cell>
          <cell r="AB27">
            <v>-176.77699999999999</v>
          </cell>
          <cell r="AC27">
            <v>9278.2479999999996</v>
          </cell>
          <cell r="AD27">
            <v>22413.357</v>
          </cell>
          <cell r="AE27"/>
          <cell r="AF27"/>
          <cell r="AG27"/>
          <cell r="AH27">
            <v>46568.991999999998</v>
          </cell>
          <cell r="AI27">
            <v>400711.24684435804</v>
          </cell>
          <cell r="AJ27">
            <v>19852.408458908678</v>
          </cell>
          <cell r="AK27">
            <v>165978.19515944456</v>
          </cell>
          <cell r="AL27">
            <v>-312646.07446999999</v>
          </cell>
          <cell r="AM27"/>
          <cell r="AN27">
            <v>-126815.47085164677</v>
          </cell>
          <cell r="AO27">
            <v>-118870.3480000007</v>
          </cell>
          <cell r="AP27">
            <v>0</v>
          </cell>
          <cell r="AQ27"/>
          <cell r="AR27"/>
          <cell r="AS27">
            <v>-118870.3480000007</v>
          </cell>
          <cell r="AT27">
            <v>4056.6040000000003</v>
          </cell>
          <cell r="AU27">
            <v>9767.0839999999989</v>
          </cell>
          <cell r="AV27">
            <v>62179.976999999999</v>
          </cell>
          <cell r="AW27"/>
          <cell r="AX27"/>
          <cell r="AY27"/>
          <cell r="AZ27"/>
          <cell r="BA27">
            <v>76003.664999999994</v>
          </cell>
          <cell r="BB27">
            <v>0</v>
          </cell>
          <cell r="BC27">
            <v>-5517.7849999999999</v>
          </cell>
          <cell r="BD27">
            <v>0</v>
          </cell>
          <cell r="BE27">
            <v>-522396.05099999998</v>
          </cell>
          <cell r="BF27">
            <v>-7533.6610000000001</v>
          </cell>
          <cell r="BG27">
            <v>0</v>
          </cell>
          <cell r="BH27">
            <v>-5593.3850000000002</v>
          </cell>
          <cell r="BI27"/>
          <cell r="BJ27">
            <v>-541040.88199999998</v>
          </cell>
          <cell r="BK27"/>
          <cell r="BL27"/>
          <cell r="BM27"/>
          <cell r="BN27"/>
          <cell r="BO27"/>
        </row>
        <row r="28">
          <cell r="F28">
            <v>5.6461431086063385E-9</v>
          </cell>
          <cell r="G28">
            <v>3.092281986027956E-11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5.0931703299283981E-11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3.0267983675003052E-9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38108</v>
          </cell>
          <cell r="H31">
            <v>32763</v>
          </cell>
          <cell r="I31">
            <v>10788</v>
          </cell>
          <cell r="J31">
            <v>11811</v>
          </cell>
          <cell r="K31">
            <v>23720</v>
          </cell>
          <cell r="L31">
            <v>17535</v>
          </cell>
          <cell r="M31">
            <v>12503</v>
          </cell>
          <cell r="N31">
            <v>19810</v>
          </cell>
          <cell r="O31">
            <v>9625</v>
          </cell>
          <cell r="P31">
            <v>10865</v>
          </cell>
          <cell r="Q31">
            <v>11223</v>
          </cell>
          <cell r="R31">
            <v>12057</v>
          </cell>
          <cell r="S31">
            <v>23404</v>
          </cell>
          <cell r="T31">
            <v>2463.5</v>
          </cell>
          <cell r="U31">
            <v>5437.5</v>
          </cell>
          <cell r="V31">
            <v>17815.5</v>
          </cell>
          <cell r="W31">
            <v>5998.5</v>
          </cell>
          <cell r="X31">
            <v>0</v>
          </cell>
          <cell r="Y31">
            <v>0</v>
          </cell>
          <cell r="Z31">
            <v>265927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265927</v>
          </cell>
          <cell r="AJ31">
            <v>23849</v>
          </cell>
          <cell r="AK31">
            <v>32472</v>
          </cell>
          <cell r="AL31">
            <v>4890</v>
          </cell>
          <cell r="AM31"/>
          <cell r="AN31">
            <v>61211</v>
          </cell>
          <cell r="AO31">
            <v>15762.77</v>
          </cell>
          <cell r="AP31">
            <v>0</v>
          </cell>
          <cell r="AQ31"/>
          <cell r="AR31"/>
          <cell r="AS31">
            <v>15762.77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39838855.640000001</v>
          </cell>
          <cell r="G32">
            <v>3546335.6370000001</v>
          </cell>
          <cell r="H32">
            <v>3135354.9370000004</v>
          </cell>
          <cell r="I32">
            <v>908573.51500000001</v>
          </cell>
          <cell r="J32">
            <v>1104760.1700000002</v>
          </cell>
          <cell r="K32">
            <v>2548562.42</v>
          </cell>
          <cell r="L32">
            <v>1689652.0179999999</v>
          </cell>
          <cell r="M32">
            <v>1140835.9000000001</v>
          </cell>
          <cell r="N32">
            <v>1937874.89</v>
          </cell>
          <cell r="O32">
            <v>913033.97699999996</v>
          </cell>
          <cell r="P32">
            <v>1063020.23</v>
          </cell>
          <cell r="Q32">
            <v>978894.96</v>
          </cell>
          <cell r="R32">
            <v>1257162.8999999999</v>
          </cell>
          <cell r="S32">
            <v>2354182.6439999999</v>
          </cell>
          <cell r="T32">
            <v>229707.75399999999</v>
          </cell>
          <cell r="U32">
            <v>622109.5</v>
          </cell>
          <cell r="V32">
            <v>1722085.79</v>
          </cell>
          <cell r="W32">
            <v>727000.38300000003</v>
          </cell>
          <cell r="X32">
            <v>0</v>
          </cell>
          <cell r="Y32">
            <v>0</v>
          </cell>
          <cell r="Z32">
            <v>25879147.625000004</v>
          </cell>
          <cell r="AA32">
            <v>25000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65840</v>
          </cell>
          <cell r="AI32">
            <v>25944987.625000004</v>
          </cell>
          <cell r="AJ32">
            <v>728010</v>
          </cell>
          <cell r="AK32">
            <v>461312</v>
          </cell>
          <cell r="AL32">
            <v>94095</v>
          </cell>
          <cell r="AM32"/>
          <cell r="AN32">
            <v>1283417</v>
          </cell>
          <cell r="AO32">
            <v>12535228.687999999</v>
          </cell>
          <cell r="AP32">
            <v>0</v>
          </cell>
          <cell r="AQ32"/>
          <cell r="AR32"/>
          <cell r="AS32">
            <v>12535228.687999999</v>
          </cell>
          <cell r="AT32">
            <v>5512.5</v>
          </cell>
          <cell r="AU32">
            <v>5850</v>
          </cell>
          <cell r="AV32">
            <v>62179.976999999999</v>
          </cell>
          <cell r="AW32"/>
          <cell r="AX32"/>
          <cell r="AY32"/>
          <cell r="AZ32"/>
          <cell r="BA32">
            <v>73542.476999999999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1679.85</v>
          </cell>
        </row>
        <row r="33">
          <cell r="F33">
            <v>37403194.273009993</v>
          </cell>
          <cell r="G33">
            <v>3286915.1039999998</v>
          </cell>
          <cell r="H33">
            <v>2959501.9289999995</v>
          </cell>
          <cell r="I33">
            <v>1004885.897</v>
          </cell>
          <cell r="J33">
            <v>1030181.3200000001</v>
          </cell>
          <cell r="K33">
            <v>2092234.8650000002</v>
          </cell>
          <cell r="L33">
            <v>1484275.8730000001</v>
          </cell>
          <cell r="M33">
            <v>1047456.3509999999</v>
          </cell>
          <cell r="N33">
            <v>1778077.585</v>
          </cell>
          <cell r="O33">
            <v>813922.05700000003</v>
          </cell>
          <cell r="P33">
            <v>946300.13799999992</v>
          </cell>
          <cell r="Q33">
            <v>970682.46799999999</v>
          </cell>
          <cell r="R33">
            <v>1122890.166</v>
          </cell>
          <cell r="S33">
            <v>2166363.3939999999</v>
          </cell>
          <cell r="T33">
            <v>252601.56200000001</v>
          </cell>
          <cell r="U33">
            <v>478586.32499999995</v>
          </cell>
          <cell r="V33">
            <v>1476017.9010000001</v>
          </cell>
          <cell r="W33">
            <v>606990.29700000002</v>
          </cell>
          <cell r="X33">
            <v>0</v>
          </cell>
          <cell r="Y33">
            <v>0</v>
          </cell>
          <cell r="Z33">
            <v>23517883.231999997</v>
          </cell>
          <cell r="AA33">
            <v>9895.884</v>
          </cell>
          <cell r="AB33">
            <v>0</v>
          </cell>
          <cell r="AC33">
            <v>3221.752</v>
          </cell>
          <cell r="AD33">
            <v>5926.643</v>
          </cell>
          <cell r="AE33"/>
          <cell r="AF33"/>
          <cell r="AG33"/>
          <cell r="AH33">
            <v>19044.279000000002</v>
          </cell>
          <cell r="AI33">
            <v>23536927.510999996</v>
          </cell>
          <cell r="AJ33">
            <v>682358.20400999999</v>
          </cell>
          <cell r="AK33">
            <v>278985.72299999994</v>
          </cell>
          <cell r="AL33">
            <v>403406.51399999997</v>
          </cell>
          <cell r="AM33"/>
          <cell r="AN33">
            <v>1364750.44101</v>
          </cell>
          <cell r="AO33">
            <v>12498384.124</v>
          </cell>
          <cell r="AP33">
            <v>0</v>
          </cell>
          <cell r="AQ33"/>
          <cell r="AR33"/>
          <cell r="AS33">
            <v>12498384.124</v>
          </cell>
          <cell r="AT33">
            <v>1455.896</v>
          </cell>
          <cell r="AU33">
            <v>-3917.0840000000003</v>
          </cell>
          <cell r="AV33">
            <v>0</v>
          </cell>
          <cell r="AW33"/>
          <cell r="AX33"/>
          <cell r="AY33"/>
          <cell r="AZ33"/>
          <cell r="BA33">
            <v>-2461.1880000000001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5593.3850000000002</v>
          </cell>
          <cell r="BI33"/>
          <cell r="BJ33">
            <v>5593.3850000000002</v>
          </cell>
        </row>
        <row r="34">
          <cell r="F34">
            <v>2435661.3669900075</v>
          </cell>
          <cell r="G34">
            <v>259420.53300000029</v>
          </cell>
          <cell r="H34">
            <v>175853.00800000085</v>
          </cell>
          <cell r="I34">
            <v>-96312.381999999983</v>
          </cell>
          <cell r="J34">
            <v>74578.850000000093</v>
          </cell>
          <cell r="K34">
            <v>456327.5549999997</v>
          </cell>
          <cell r="L34">
            <v>205376.14499999979</v>
          </cell>
          <cell r="M34">
            <v>93379.549000000232</v>
          </cell>
          <cell r="N34">
            <v>159797.30499999993</v>
          </cell>
          <cell r="O34">
            <v>99111.919999999925</v>
          </cell>
          <cell r="P34">
            <v>116720.09200000006</v>
          </cell>
          <cell r="Q34">
            <v>8212.4919999999693</v>
          </cell>
          <cell r="R34">
            <v>134272.73399999994</v>
          </cell>
          <cell r="S34">
            <v>187819.25</v>
          </cell>
          <cell r="T34">
            <v>-22893.808000000019</v>
          </cell>
          <cell r="U34">
            <v>143523.17500000005</v>
          </cell>
          <cell r="V34">
            <v>246067.88899999997</v>
          </cell>
          <cell r="W34">
            <v>120010.08600000001</v>
          </cell>
          <cell r="X34">
            <v>0</v>
          </cell>
          <cell r="Y34">
            <v>0</v>
          </cell>
          <cell r="Z34">
            <v>2361264.3930000067</v>
          </cell>
          <cell r="AA34">
            <v>15104.116</v>
          </cell>
          <cell r="AB34">
            <v>0</v>
          </cell>
          <cell r="AC34">
            <v>9278.2479999999996</v>
          </cell>
          <cell r="AD34">
            <v>22413.357</v>
          </cell>
          <cell r="AE34"/>
          <cell r="AF34"/>
          <cell r="AG34"/>
          <cell r="AH34">
            <v>46795.720999999998</v>
          </cell>
          <cell r="AI34">
            <v>2408060.1140000075</v>
          </cell>
          <cell r="AJ34">
            <v>45651.795990000013</v>
          </cell>
          <cell r="AK34">
            <v>182326.27700000006</v>
          </cell>
          <cell r="AL34">
            <v>-309311.51399999997</v>
          </cell>
          <cell r="AM34"/>
          <cell r="AN34">
            <v>-81333.441009999951</v>
          </cell>
          <cell r="AO34">
            <v>36844.563999999315</v>
          </cell>
          <cell r="AP34">
            <v>0</v>
          </cell>
          <cell r="AQ34"/>
          <cell r="AR34"/>
          <cell r="AS34">
            <v>36844.563999999315</v>
          </cell>
          <cell r="AT34">
            <v>4056.6040000000003</v>
          </cell>
          <cell r="AU34">
            <v>9767.0840000000007</v>
          </cell>
          <cell r="AV34">
            <v>62179.976999999999</v>
          </cell>
          <cell r="AW34"/>
          <cell r="AX34"/>
          <cell r="AY34"/>
          <cell r="AZ34"/>
          <cell r="BA34">
            <v>76003.664999999994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-5593.3850000000002</v>
          </cell>
          <cell r="BI34"/>
          <cell r="BJ34">
            <v>-3913.5350000000003</v>
          </cell>
        </row>
        <row r="35">
          <cell r="F35">
            <v>2745673.1559972893</v>
          </cell>
          <cell r="G35">
            <v>247308.43723334494</v>
          </cell>
          <cell r="H35">
            <v>235792.55125111385</v>
          </cell>
          <cell r="I35">
            <v>97732.354974511341</v>
          </cell>
          <cell r="J35">
            <v>91324.318719633651</v>
          </cell>
          <cell r="K35">
            <v>189296.97814424391</v>
          </cell>
          <cell r="L35">
            <v>149377.81633498659</v>
          </cell>
          <cell r="M35">
            <v>99033.292065917354</v>
          </cell>
          <cell r="N35">
            <v>141580.30923033651</v>
          </cell>
          <cell r="O35">
            <v>83264.353091810801</v>
          </cell>
          <cell r="P35">
            <v>83819.257290370966</v>
          </cell>
          <cell r="Q35">
            <v>83641.311290175247</v>
          </cell>
          <cell r="R35">
            <v>92889.119407457503</v>
          </cell>
          <cell r="S35">
            <v>166699.29703671369</v>
          </cell>
          <cell r="T35">
            <v>24328.50905698727</v>
          </cell>
          <cell r="U35">
            <v>42926.080284409174</v>
          </cell>
          <cell r="V35">
            <v>126606.90575691462</v>
          </cell>
          <cell r="W35">
            <v>51501.246986714934</v>
          </cell>
          <cell r="X35">
            <v>0</v>
          </cell>
          <cell r="Y35">
            <v>0</v>
          </cell>
          <cell r="Z35">
            <v>2007122.1381556422</v>
          </cell>
          <cell r="AA35">
            <v>49.951999999999998</v>
          </cell>
          <cell r="AB35">
            <v>176.77699999999999</v>
          </cell>
          <cell r="AC35">
            <v>0</v>
          </cell>
          <cell r="AD35">
            <v>0</v>
          </cell>
          <cell r="AE35"/>
          <cell r="AF35"/>
          <cell r="AG35"/>
          <cell r="AH35">
            <v>226.72899999999998</v>
          </cell>
          <cell r="AI35">
            <v>2007348.8671556422</v>
          </cell>
          <cell r="AJ35">
            <v>25799.38753109135</v>
          </cell>
          <cell r="AK35">
            <v>16348.081840555502</v>
          </cell>
          <cell r="AL35">
            <v>3334.5604700000004</v>
          </cell>
          <cell r="AM35"/>
          <cell r="AN35">
            <v>45482.029841646858</v>
          </cell>
          <cell r="AO35">
            <v>155714.91200000001</v>
          </cell>
          <cell r="AP35">
            <v>0</v>
          </cell>
          <cell r="AQ35"/>
          <cell r="AR35"/>
          <cell r="AS35">
            <v>155714.91200000001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7197.6350000000002</v>
          </cell>
          <cell r="BD35">
            <v>0</v>
          </cell>
          <cell r="BE35">
            <v>522396.05099999998</v>
          </cell>
          <cell r="BF35">
            <v>7533.6610000000001</v>
          </cell>
          <cell r="BG35">
            <v>0</v>
          </cell>
          <cell r="BH35">
            <v>0</v>
          </cell>
          <cell r="BI35"/>
          <cell r="BJ35">
            <v>537127.34699999995</v>
          </cell>
        </row>
        <row r="36">
          <cell r="F36">
            <v>-310011.78900728188</v>
          </cell>
          <cell r="G36">
            <v>12112.095766655344</v>
          </cell>
          <cell r="H36">
            <v>-59939.543251113006</v>
          </cell>
          <cell r="I36">
            <v>-194044.73697451132</v>
          </cell>
          <cell r="J36">
            <v>-16745.468719633558</v>
          </cell>
          <cell r="K36">
            <v>267030.57685575576</v>
          </cell>
          <cell r="L36">
            <v>55998.328665013192</v>
          </cell>
          <cell r="M36">
            <v>-5653.7430659171223</v>
          </cell>
          <cell r="N36">
            <v>18216.995769663423</v>
          </cell>
          <cell r="O36">
            <v>15847.566908189125</v>
          </cell>
          <cell r="P36">
            <v>32900.834709629096</v>
          </cell>
          <cell r="Q36">
            <v>-75428.819290175277</v>
          </cell>
          <cell r="R36">
            <v>41383.614592542435</v>
          </cell>
          <cell r="S36">
            <v>21119.952963286312</v>
          </cell>
          <cell r="T36">
            <v>-47222.317056987289</v>
          </cell>
          <cell r="U36">
            <v>100597.09471559088</v>
          </cell>
          <cell r="V36">
            <v>119460.98324308534</v>
          </cell>
          <cell r="W36">
            <v>68508.839013285076</v>
          </cell>
          <cell r="X36">
            <v>0</v>
          </cell>
          <cell r="Y36">
            <v>0</v>
          </cell>
          <cell r="Z36">
            <v>354142.25484436448</v>
          </cell>
          <cell r="AA36">
            <v>15054.164000000001</v>
          </cell>
          <cell r="AB36">
            <v>-176.77699999999999</v>
          </cell>
          <cell r="AC36">
            <v>9278.2479999999996</v>
          </cell>
          <cell r="AD36">
            <v>22413.357</v>
          </cell>
          <cell r="AE36"/>
          <cell r="AF36"/>
          <cell r="AG36"/>
          <cell r="AH36">
            <v>46568.991999999998</v>
          </cell>
          <cell r="AI36">
            <v>400711.24684436526</v>
          </cell>
          <cell r="AJ36">
            <v>19852.408458908663</v>
          </cell>
          <cell r="AK36">
            <v>165978.19515944456</v>
          </cell>
          <cell r="AL36">
            <v>-312646.07446999999</v>
          </cell>
          <cell r="AM36"/>
          <cell r="AN36">
            <v>-126815.47085164681</v>
          </cell>
          <cell r="AO36">
            <v>-118870.3480000007</v>
          </cell>
          <cell r="AP36">
            <v>0</v>
          </cell>
          <cell r="AQ36"/>
          <cell r="AR36"/>
          <cell r="AS36">
            <v>-118870.3480000007</v>
          </cell>
          <cell r="AT36">
            <v>4056.6040000000003</v>
          </cell>
          <cell r="AU36">
            <v>9767.0840000000007</v>
          </cell>
          <cell r="AV36">
            <v>62179.976999999999</v>
          </cell>
          <cell r="AW36"/>
          <cell r="AX36"/>
          <cell r="AY36"/>
          <cell r="AZ36"/>
          <cell r="BA36">
            <v>76003.664999999994</v>
          </cell>
          <cell r="BB36">
            <v>0</v>
          </cell>
          <cell r="BC36">
            <v>-5517.7849999999999</v>
          </cell>
          <cell r="BD36">
            <v>0</v>
          </cell>
          <cell r="BE36">
            <v>-522396.05099999998</v>
          </cell>
          <cell r="BF36">
            <v>-7533.6610000000001</v>
          </cell>
          <cell r="BG36">
            <v>0</v>
          </cell>
          <cell r="BH36">
            <v>-5593.3850000000002</v>
          </cell>
          <cell r="BI36"/>
          <cell r="BJ36">
            <v>-541040.88199999998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-11830</v>
          </cell>
          <cell r="AK38">
            <v>-27000</v>
          </cell>
          <cell r="AL38">
            <v>-4890</v>
          </cell>
          <cell r="AM38"/>
          <cell r="AN38">
            <v>-43720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-876678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-375447</v>
          </cell>
          <cell r="AK39">
            <v>-407136</v>
          </cell>
          <cell r="AL39">
            <v>-94095</v>
          </cell>
          <cell r="AM39"/>
          <cell r="AN39">
            <v>-876678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-876677.99999999988</v>
          </cell>
          <cell r="G40"/>
          <cell r="H40"/>
          <cell r="I40"/>
          <cell r="J40"/>
          <cell r="K40">
            <v>186866.41200000001</v>
          </cell>
          <cell r="L40">
            <v>-80232.394</v>
          </cell>
          <cell r="M40">
            <v>-515.52</v>
          </cell>
          <cell r="N40">
            <v>-1074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105044.49800000001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105044.49800000001</v>
          </cell>
          <cell r="AJ40">
            <v>-344017.24099999998</v>
          </cell>
          <cell r="AK40">
            <v>-234298.74299999999</v>
          </cell>
          <cell r="AL40">
            <v>-403406.51400000002</v>
          </cell>
          <cell r="AM40"/>
          <cell r="AN40">
            <v>-981722.49799999991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-186866.41200000001</v>
          </cell>
          <cell r="L41">
            <v>80232.394</v>
          </cell>
          <cell r="M41">
            <v>515.52</v>
          </cell>
          <cell r="N41">
            <v>1074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-105044.49800000001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-105044.49800000001</v>
          </cell>
          <cell r="AJ41">
            <v>-31429.75900000002</v>
          </cell>
          <cell r="AK41">
            <v>-172837.25700000001</v>
          </cell>
          <cell r="AL41">
            <v>309311.51400000002</v>
          </cell>
          <cell r="AM41"/>
          <cell r="AN41">
            <v>105044.49799999991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-186866.41200000001</v>
          </cell>
          <cell r="L43">
            <v>80232.394</v>
          </cell>
          <cell r="M43">
            <v>515.52</v>
          </cell>
          <cell r="N43">
            <v>1074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-105044.49800000001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-105044.49800000001</v>
          </cell>
          <cell r="AJ43">
            <v>-31429.75900000002</v>
          </cell>
          <cell r="AK43">
            <v>-172837.25700000001</v>
          </cell>
          <cell r="AL43">
            <v>309311.51400000002</v>
          </cell>
          <cell r="AM43"/>
          <cell r="AN43">
            <v>105044.49799999991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38108</v>
          </cell>
          <cell r="H45">
            <v>32763</v>
          </cell>
          <cell r="I45">
            <v>10788</v>
          </cell>
          <cell r="J45">
            <v>11811</v>
          </cell>
          <cell r="K45">
            <v>23720</v>
          </cell>
          <cell r="L45">
            <v>17535</v>
          </cell>
          <cell r="M45">
            <v>12503</v>
          </cell>
          <cell r="N45">
            <v>19810</v>
          </cell>
          <cell r="O45">
            <v>9625</v>
          </cell>
          <cell r="P45">
            <v>10865</v>
          </cell>
          <cell r="Q45">
            <v>11223</v>
          </cell>
          <cell r="R45">
            <v>12057</v>
          </cell>
          <cell r="S45">
            <v>23404</v>
          </cell>
          <cell r="T45">
            <v>2463.5</v>
          </cell>
          <cell r="U45">
            <v>5437.5</v>
          </cell>
          <cell r="V45">
            <v>17815.5</v>
          </cell>
          <cell r="W45">
            <v>5998.5</v>
          </cell>
          <cell r="X45">
            <v>0</v>
          </cell>
          <cell r="Y45">
            <v>0</v>
          </cell>
          <cell r="Z45">
            <v>265927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265927</v>
          </cell>
          <cell r="AJ45">
            <v>12019</v>
          </cell>
          <cell r="AK45">
            <v>5472</v>
          </cell>
          <cell r="AL45">
            <v>0</v>
          </cell>
          <cell r="AM45"/>
          <cell r="AN45">
            <v>17491</v>
          </cell>
          <cell r="AO45">
            <v>15762.77</v>
          </cell>
          <cell r="AP45">
            <v>0</v>
          </cell>
          <cell r="AQ45"/>
          <cell r="AR45"/>
          <cell r="AS45">
            <v>15762.77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38962177.640000001</v>
          </cell>
          <cell r="G46">
            <v>3546335.6370000001</v>
          </cell>
          <cell r="H46">
            <v>3135354.9370000004</v>
          </cell>
          <cell r="I46">
            <v>908573.51500000001</v>
          </cell>
          <cell r="J46">
            <v>1104760.1700000002</v>
          </cell>
          <cell r="K46">
            <v>2548562.42</v>
          </cell>
          <cell r="L46">
            <v>1689652.0179999999</v>
          </cell>
          <cell r="M46">
            <v>1140835.9000000001</v>
          </cell>
          <cell r="N46">
            <v>1937874.89</v>
          </cell>
          <cell r="O46">
            <v>913033.97699999996</v>
          </cell>
          <cell r="P46">
            <v>1063020.23</v>
          </cell>
          <cell r="Q46">
            <v>978894.96</v>
          </cell>
          <cell r="R46">
            <v>1257162.8999999999</v>
          </cell>
          <cell r="S46">
            <v>2354182.6439999999</v>
          </cell>
          <cell r="T46">
            <v>229707.75399999999</v>
          </cell>
          <cell r="U46">
            <v>622109.5</v>
          </cell>
          <cell r="V46">
            <v>1722085.79</v>
          </cell>
          <cell r="W46">
            <v>727000.38300000003</v>
          </cell>
          <cell r="X46">
            <v>0</v>
          </cell>
          <cell r="Y46">
            <v>0</v>
          </cell>
          <cell r="Z46">
            <v>25879147.625000004</v>
          </cell>
          <cell r="AA46">
            <v>25000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65840</v>
          </cell>
          <cell r="AI46">
            <v>25944987.625000004</v>
          </cell>
          <cell r="AJ46">
            <v>352563</v>
          </cell>
          <cell r="AK46">
            <v>54176</v>
          </cell>
          <cell r="AL46">
            <v>0</v>
          </cell>
          <cell r="AM46"/>
          <cell r="AN46">
            <v>406739</v>
          </cell>
          <cell r="AO46">
            <v>12535228.687999999</v>
          </cell>
          <cell r="AP46">
            <v>0</v>
          </cell>
          <cell r="AQ46"/>
          <cell r="AR46"/>
          <cell r="AS46">
            <v>12535228.687999999</v>
          </cell>
          <cell r="AT46">
            <v>5512.5</v>
          </cell>
          <cell r="AU46">
            <v>5850</v>
          </cell>
          <cell r="AV46">
            <v>62179.976999999999</v>
          </cell>
          <cell r="AW46"/>
          <cell r="AX46"/>
          <cell r="AY46"/>
          <cell r="AZ46"/>
          <cell r="BA46">
            <v>73542.476999999999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1679.85</v>
          </cell>
        </row>
        <row r="47">
          <cell r="F47">
            <v>36526516.273009993</v>
          </cell>
          <cell r="G47">
            <v>3286915.1039999998</v>
          </cell>
          <cell r="H47">
            <v>2959501.9289999995</v>
          </cell>
          <cell r="I47">
            <v>1004885.897</v>
          </cell>
          <cell r="J47">
            <v>1030181.3200000001</v>
          </cell>
          <cell r="K47">
            <v>2279101.2770000002</v>
          </cell>
          <cell r="L47">
            <v>1404043.4790000001</v>
          </cell>
          <cell r="M47">
            <v>1046940.8309999999</v>
          </cell>
          <cell r="N47">
            <v>1777003.585</v>
          </cell>
          <cell r="O47">
            <v>813922.05700000003</v>
          </cell>
          <cell r="P47">
            <v>946300.13799999992</v>
          </cell>
          <cell r="Q47">
            <v>970682.46799999999</v>
          </cell>
          <cell r="R47">
            <v>1122890.166</v>
          </cell>
          <cell r="S47">
            <v>2166363.3939999999</v>
          </cell>
          <cell r="T47">
            <v>252601.56200000001</v>
          </cell>
          <cell r="U47">
            <v>478586.32499999995</v>
          </cell>
          <cell r="V47">
            <v>1476017.9010000001</v>
          </cell>
          <cell r="W47">
            <v>606990.29700000002</v>
          </cell>
          <cell r="X47">
            <v>0</v>
          </cell>
          <cell r="Y47">
            <v>0</v>
          </cell>
          <cell r="Z47">
            <v>23622927.73</v>
          </cell>
          <cell r="AA47">
            <v>9895.884</v>
          </cell>
          <cell r="AB47">
            <v>0</v>
          </cell>
          <cell r="AC47">
            <v>3221.752</v>
          </cell>
          <cell r="AD47">
            <v>5926.643</v>
          </cell>
          <cell r="AE47"/>
          <cell r="AF47"/>
          <cell r="AG47"/>
          <cell r="AH47">
            <v>19044.279000000002</v>
          </cell>
          <cell r="AI47">
            <v>23641972.009</v>
          </cell>
          <cell r="AJ47">
            <v>338340.96301000001</v>
          </cell>
          <cell r="AK47">
            <v>44686.979999999952</v>
          </cell>
          <cell r="AL47">
            <v>0</v>
          </cell>
          <cell r="AM47"/>
          <cell r="AN47">
            <v>383027.94300999993</v>
          </cell>
          <cell r="AO47">
            <v>12498384.124</v>
          </cell>
          <cell r="AP47">
            <v>0</v>
          </cell>
          <cell r="AQ47"/>
          <cell r="AR47"/>
          <cell r="AS47">
            <v>12498384.124</v>
          </cell>
          <cell r="AT47">
            <v>1455.896</v>
          </cell>
          <cell r="AU47">
            <v>-3917.0840000000003</v>
          </cell>
          <cell r="AV47">
            <v>0</v>
          </cell>
          <cell r="AW47"/>
          <cell r="AX47"/>
          <cell r="AY47"/>
          <cell r="AZ47"/>
          <cell r="BA47">
            <v>-2461.1880000000001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5593.3850000000002</v>
          </cell>
          <cell r="BI47"/>
          <cell r="BJ47">
            <v>5593.3850000000002</v>
          </cell>
        </row>
        <row r="48">
          <cell r="F48">
            <v>2435661.3669900075</v>
          </cell>
          <cell r="G48">
            <v>259420.53300000029</v>
          </cell>
          <cell r="H48">
            <v>175853.00800000085</v>
          </cell>
          <cell r="I48">
            <v>-96312.381999999983</v>
          </cell>
          <cell r="J48">
            <v>74578.850000000093</v>
          </cell>
          <cell r="K48">
            <v>269461.14299999969</v>
          </cell>
          <cell r="L48">
            <v>285608.53899999987</v>
          </cell>
          <cell r="M48">
            <v>93895.069000000251</v>
          </cell>
          <cell r="N48">
            <v>160871.30499999993</v>
          </cell>
          <cell r="O48">
            <v>99111.919999999925</v>
          </cell>
          <cell r="P48">
            <v>116720.09200000006</v>
          </cell>
          <cell r="Q48">
            <v>8212.4919999999693</v>
          </cell>
          <cell r="R48">
            <v>134272.73399999994</v>
          </cell>
          <cell r="S48">
            <v>187819.25</v>
          </cell>
          <cell r="T48">
            <v>-22893.808000000019</v>
          </cell>
          <cell r="U48">
            <v>143523.17500000005</v>
          </cell>
          <cell r="V48">
            <v>246067.88899999997</v>
          </cell>
          <cell r="W48">
            <v>120010.08600000001</v>
          </cell>
          <cell r="X48">
            <v>0</v>
          </cell>
          <cell r="Y48">
            <v>0</v>
          </cell>
          <cell r="Z48">
            <v>2256219.8950000033</v>
          </cell>
          <cell r="AA48">
            <v>15104.116</v>
          </cell>
          <cell r="AB48">
            <v>0</v>
          </cell>
          <cell r="AC48">
            <v>9278.2479999999996</v>
          </cell>
          <cell r="AD48">
            <v>22413.357</v>
          </cell>
          <cell r="AE48"/>
          <cell r="AF48"/>
          <cell r="AG48"/>
          <cell r="AH48">
            <v>46795.720999999998</v>
          </cell>
          <cell r="AI48">
            <v>2303015.6160000041</v>
          </cell>
          <cell r="AJ48">
            <v>14222.036989999993</v>
          </cell>
          <cell r="AK48">
            <v>9489.0200000000477</v>
          </cell>
          <cell r="AL48">
            <v>0</v>
          </cell>
          <cell r="AM48"/>
          <cell r="AN48">
            <v>23711.05699000007</v>
          </cell>
          <cell r="AO48">
            <v>36844.563999999315</v>
          </cell>
          <cell r="AP48">
            <v>0</v>
          </cell>
          <cell r="AQ48"/>
          <cell r="AR48"/>
          <cell r="AS48">
            <v>36844.563999999315</v>
          </cell>
          <cell r="AT48">
            <v>4056.6040000000003</v>
          </cell>
          <cell r="AU48">
            <v>9767.0840000000007</v>
          </cell>
          <cell r="AV48">
            <v>62179.976999999999</v>
          </cell>
          <cell r="AW48"/>
          <cell r="AX48"/>
          <cell r="AY48"/>
          <cell r="AZ48"/>
          <cell r="BA48">
            <v>76003.664999999994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-5593.3850000000002</v>
          </cell>
          <cell r="BI48"/>
          <cell r="BJ48">
            <v>-3913.5350000000003</v>
          </cell>
        </row>
        <row r="49">
          <cell r="F49">
            <v>2745673.1559972893</v>
          </cell>
          <cell r="G49">
            <v>247308.43723334494</v>
          </cell>
          <cell r="H49">
            <v>235792.55125111385</v>
          </cell>
          <cell r="I49">
            <v>97732.354974511341</v>
          </cell>
          <cell r="J49">
            <v>91324.318719633651</v>
          </cell>
          <cell r="K49">
            <v>189296.97814424391</v>
          </cell>
          <cell r="L49">
            <v>149377.81633498659</v>
          </cell>
          <cell r="M49">
            <v>99033.292065917354</v>
          </cell>
          <cell r="N49">
            <v>141580.30923033651</v>
          </cell>
          <cell r="O49">
            <v>83264.353091810801</v>
          </cell>
          <cell r="P49">
            <v>83819.257290370966</v>
          </cell>
          <cell r="Q49">
            <v>83641.311290175247</v>
          </cell>
          <cell r="R49">
            <v>92889.119407457503</v>
          </cell>
          <cell r="S49">
            <v>166699.29703671369</v>
          </cell>
          <cell r="T49">
            <v>24328.50905698727</v>
          </cell>
          <cell r="U49">
            <v>42926.080284409174</v>
          </cell>
          <cell r="V49">
            <v>126606.90575691462</v>
          </cell>
          <cell r="W49">
            <v>51501.246986714934</v>
          </cell>
          <cell r="X49">
            <v>0</v>
          </cell>
          <cell r="Y49">
            <v>0</v>
          </cell>
          <cell r="Z49">
            <v>2007122.1381556422</v>
          </cell>
          <cell r="AA49">
            <v>49.951999999999998</v>
          </cell>
          <cell r="AB49">
            <v>176.77699999999999</v>
          </cell>
          <cell r="AC49">
            <v>0</v>
          </cell>
          <cell r="AD49">
            <v>0</v>
          </cell>
          <cell r="AE49"/>
          <cell r="AF49"/>
          <cell r="AG49"/>
          <cell r="AH49">
            <v>226.72899999999998</v>
          </cell>
          <cell r="AI49">
            <v>2007348.8671556422</v>
          </cell>
          <cell r="AJ49">
            <v>25799.38753109135</v>
          </cell>
          <cell r="AK49">
            <v>16348.081840555502</v>
          </cell>
          <cell r="AL49">
            <v>3334.5604700000004</v>
          </cell>
          <cell r="AM49"/>
          <cell r="AN49">
            <v>45482.029841646858</v>
          </cell>
          <cell r="AO49">
            <v>155714.91200000001</v>
          </cell>
          <cell r="AP49">
            <v>0</v>
          </cell>
          <cell r="AQ49"/>
          <cell r="AR49"/>
          <cell r="AS49">
            <v>155714.91200000001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7197.6350000000002</v>
          </cell>
          <cell r="BD49">
            <v>0</v>
          </cell>
          <cell r="BE49">
            <v>522396.05099999998</v>
          </cell>
          <cell r="BF49">
            <v>7533.6610000000001</v>
          </cell>
          <cell r="BG49">
            <v>0</v>
          </cell>
          <cell r="BH49">
            <v>0</v>
          </cell>
          <cell r="BI49"/>
          <cell r="BJ49">
            <v>537127.34699999995</v>
          </cell>
        </row>
        <row r="50">
          <cell r="F50">
            <v>-310011.78900728188</v>
          </cell>
          <cell r="G50">
            <v>12112.095766655344</v>
          </cell>
          <cell r="H50">
            <v>-59939.543251113006</v>
          </cell>
          <cell r="I50">
            <v>-194044.73697451132</v>
          </cell>
          <cell r="J50">
            <v>-16745.468719633558</v>
          </cell>
          <cell r="K50">
            <v>80164.164855755778</v>
          </cell>
          <cell r="L50">
            <v>136230.72266501328</v>
          </cell>
          <cell r="M50">
            <v>-5138.2230659171037</v>
          </cell>
          <cell r="N50">
            <v>19290.995769663423</v>
          </cell>
          <cell r="O50">
            <v>15847.566908189125</v>
          </cell>
          <cell r="P50">
            <v>32900.834709629096</v>
          </cell>
          <cell r="Q50">
            <v>-75428.819290175277</v>
          </cell>
          <cell r="R50">
            <v>41383.614592542435</v>
          </cell>
          <cell r="S50">
            <v>21119.952963286312</v>
          </cell>
          <cell r="T50">
            <v>-47222.317056987289</v>
          </cell>
          <cell r="U50">
            <v>100597.09471559088</v>
          </cell>
          <cell r="V50">
            <v>119460.98324308534</v>
          </cell>
          <cell r="W50">
            <v>68508.839013285076</v>
          </cell>
          <cell r="X50">
            <v>0</v>
          </cell>
          <cell r="Y50">
            <v>0</v>
          </cell>
          <cell r="Z50">
            <v>249097.75684436108</v>
          </cell>
          <cell r="AA50">
            <v>15054.164000000001</v>
          </cell>
          <cell r="AB50">
            <v>-176.77699999999999</v>
          </cell>
          <cell r="AC50">
            <v>9278.2479999999996</v>
          </cell>
          <cell r="AD50">
            <v>22413.357</v>
          </cell>
          <cell r="AE50"/>
          <cell r="AF50"/>
          <cell r="AG50"/>
          <cell r="AH50">
            <v>46568.991999999998</v>
          </cell>
          <cell r="AI50">
            <v>295666.74884436186</v>
          </cell>
          <cell r="AJ50">
            <v>-11577.350541091357</v>
          </cell>
          <cell r="AK50">
            <v>-6859.0618405554542</v>
          </cell>
          <cell r="AL50">
            <v>-3334.5604700000004</v>
          </cell>
          <cell r="AM50"/>
          <cell r="AN50">
            <v>-21770.972851646788</v>
          </cell>
          <cell r="AO50">
            <v>-118870.3480000007</v>
          </cell>
          <cell r="AP50">
            <v>0</v>
          </cell>
          <cell r="AQ50"/>
          <cell r="AR50"/>
          <cell r="AS50">
            <v>-118870.3480000007</v>
          </cell>
          <cell r="AT50">
            <v>4056.6040000000003</v>
          </cell>
          <cell r="AU50">
            <v>9767.0840000000007</v>
          </cell>
          <cell r="AV50">
            <v>62179.976999999999</v>
          </cell>
          <cell r="AW50"/>
          <cell r="AX50"/>
          <cell r="AY50"/>
          <cell r="AZ50"/>
          <cell r="BA50">
            <v>76003.664999999994</v>
          </cell>
          <cell r="BB50">
            <v>0</v>
          </cell>
          <cell r="BC50">
            <v>-5517.7849999999999</v>
          </cell>
          <cell r="BD50">
            <v>0</v>
          </cell>
          <cell r="BE50">
            <v>-522396.05099999998</v>
          </cell>
          <cell r="BF50">
            <v>-7533.6610000000001</v>
          </cell>
          <cell r="BG50">
            <v>0</v>
          </cell>
          <cell r="BH50">
            <v>-5593.3850000000002</v>
          </cell>
          <cell r="BI50"/>
          <cell r="BJ50">
            <v>-541040.88199999998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F7"/>
          <cell r="G7">
            <v>100210</v>
          </cell>
          <cell r="H7">
            <v>70152</v>
          </cell>
          <cell r="I7">
            <v>29676</v>
          </cell>
          <cell r="J7">
            <v>24600</v>
          </cell>
          <cell r="K7">
            <v>54348</v>
          </cell>
          <cell r="L7">
            <v>47831</v>
          </cell>
          <cell r="M7">
            <v>22300</v>
          </cell>
          <cell r="N7">
            <v>54343</v>
          </cell>
          <cell r="O7">
            <v>23639</v>
          </cell>
          <cell r="P7">
            <v>30799</v>
          </cell>
          <cell r="Q7">
            <v>30190</v>
          </cell>
          <cell r="R7">
            <v>30905</v>
          </cell>
          <cell r="S7">
            <v>58167</v>
          </cell>
          <cell r="T7">
            <v>5869.5</v>
          </cell>
          <cell r="U7">
            <v>11959</v>
          </cell>
          <cell r="V7">
            <v>42942</v>
          </cell>
          <cell r="W7">
            <v>16655</v>
          </cell>
          <cell r="X7"/>
          <cell r="Y7"/>
          <cell r="Z7">
            <v>654585.5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654585.5</v>
          </cell>
          <cell r="AJ7">
            <v>69002</v>
          </cell>
          <cell r="AK7">
            <v>46422</v>
          </cell>
          <cell r="AL7">
            <v>51976</v>
          </cell>
          <cell r="AM7"/>
          <cell r="AN7">
            <v>167400</v>
          </cell>
          <cell r="AO7">
            <v>34222.794999999998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97219233.713999987</v>
          </cell>
          <cell r="G8">
            <v>9634638.2050000001</v>
          </cell>
          <cell r="H8">
            <v>6832728.6490000002</v>
          </cell>
          <cell r="I8">
            <v>2727197.1150000002</v>
          </cell>
          <cell r="J8">
            <v>2335957.1720000003</v>
          </cell>
          <cell r="K8">
            <v>5788901.5199999996</v>
          </cell>
          <cell r="L8">
            <v>4610261.4179999996</v>
          </cell>
          <cell r="M8">
            <v>2086945.8000000003</v>
          </cell>
          <cell r="N8">
            <v>5511625.0899999999</v>
          </cell>
          <cell r="O8">
            <v>2244018.3769999999</v>
          </cell>
          <cell r="P8">
            <v>3064344.93</v>
          </cell>
          <cell r="Q8">
            <v>2793475.1289999997</v>
          </cell>
          <cell r="R8">
            <v>3283260.8</v>
          </cell>
          <cell r="S8">
            <v>5856490.9810000006</v>
          </cell>
          <cell r="T8">
            <v>616557.65399999998</v>
          </cell>
          <cell r="U8">
            <v>1330541.527</v>
          </cell>
          <cell r="V8">
            <v>4141410.8459999999</v>
          </cell>
          <cell r="W8">
            <v>2017952.2149999999</v>
          </cell>
          <cell r="X8"/>
          <cell r="Y8"/>
          <cell r="Z8">
            <v>64876307.427999988</v>
          </cell>
          <cell r="AA8">
            <v>125000</v>
          </cell>
          <cell r="AB8">
            <v>0</v>
          </cell>
          <cell r="AC8">
            <v>37500</v>
          </cell>
          <cell r="AD8">
            <v>85020</v>
          </cell>
          <cell r="AE8"/>
          <cell r="AF8"/>
          <cell r="AG8"/>
          <cell r="AH8">
            <v>247520</v>
          </cell>
          <cell r="AI8">
            <v>65123827.427999988</v>
          </cell>
          <cell r="AJ8">
            <v>1979738.5</v>
          </cell>
          <cell r="AK8">
            <v>651814</v>
          </cell>
          <cell r="AL8">
            <v>946196</v>
          </cell>
          <cell r="AM8"/>
          <cell r="AN8">
            <v>3577748.5</v>
          </cell>
          <cell r="AO8">
            <v>28292343.491999999</v>
          </cell>
          <cell r="AP8">
            <v>0</v>
          </cell>
          <cell r="AQ8"/>
          <cell r="AR8"/>
          <cell r="AS8">
            <v>28292343.491999999</v>
          </cell>
          <cell r="AT8">
            <v>16537.5</v>
          </cell>
          <cell r="AU8">
            <v>17550</v>
          </cell>
          <cell r="AV8">
            <v>186187.24400000001</v>
          </cell>
          <cell r="AW8"/>
          <cell r="AX8"/>
          <cell r="AY8"/>
          <cell r="AZ8"/>
          <cell r="BA8">
            <v>220274.74400000001</v>
          </cell>
          <cell r="BB8">
            <v>0</v>
          </cell>
          <cell r="BC8">
            <v>5039.5499999999993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5039.5499999999993</v>
          </cell>
          <cell r="BK8"/>
          <cell r="BL8"/>
          <cell r="BM8"/>
          <cell r="BN8"/>
          <cell r="BO8"/>
        </row>
        <row r="9">
          <cell r="F9"/>
          <cell r="G9">
            <v>96144.478644845818</v>
          </cell>
          <cell r="H9">
            <v>97398.914485688219</v>
          </cell>
          <cell r="I9">
            <v>91899.080570157705</v>
          </cell>
          <cell r="J9">
            <v>94957.608617886188</v>
          </cell>
          <cell r="K9">
            <v>106515.44711856921</v>
          </cell>
          <cell r="L9">
            <v>96386.473584077263</v>
          </cell>
          <cell r="M9">
            <v>93585.013452914805</v>
          </cell>
          <cell r="N9">
            <v>101422.90801023132</v>
          </cell>
          <cell r="O9">
            <v>94928.650831253442</v>
          </cell>
          <cell r="P9">
            <v>99494.948861976038</v>
          </cell>
          <cell r="Q9">
            <v>92529.815468698231</v>
          </cell>
          <cell r="R9">
            <v>106237.20433586797</v>
          </cell>
          <cell r="S9">
            <v>100684.08171299878</v>
          </cell>
          <cell r="T9">
            <v>105044.32302581139</v>
          </cell>
          <cell r="U9">
            <v>111258.59411322017</v>
          </cell>
          <cell r="V9">
            <v>96441.96464999301</v>
          </cell>
          <cell r="W9">
            <v>121161.94626238366</v>
          </cell>
          <cell r="X9"/>
          <cell r="Y9"/>
          <cell r="Z9">
            <v>99110.517156276735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99488.649577480683</v>
          </cell>
          <cell r="AJ9">
            <v>28691.03069476247</v>
          </cell>
          <cell r="AK9">
            <v>14041.058118995305</v>
          </cell>
          <cell r="AL9">
            <v>18204.478990303214</v>
          </cell>
          <cell r="AM9"/>
          <cell r="AN9"/>
          <cell r="AO9">
            <v>826710.48615403858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90933394.642429993</v>
          </cell>
          <cell r="G10">
            <v>8803151.7554899994</v>
          </cell>
          <cell r="H10">
            <v>6598046.5133799994</v>
          </cell>
          <cell r="I10">
            <v>2807127.2872099997</v>
          </cell>
          <cell r="J10">
            <v>2290299.8558200002</v>
          </cell>
          <cell r="K10">
            <v>4790180.03737</v>
          </cell>
          <cell r="L10">
            <v>4098048.1482600002</v>
          </cell>
          <cell r="M10">
            <v>2007754.3901200001</v>
          </cell>
          <cell r="N10">
            <v>4955022.5274</v>
          </cell>
          <cell r="O10">
            <v>2059148.9387100001</v>
          </cell>
          <cell r="P10">
            <v>2668436.8478099997</v>
          </cell>
          <cell r="Q10">
            <v>2644513.1837900002</v>
          </cell>
          <cell r="R10">
            <v>2914311.4664400001</v>
          </cell>
          <cell r="S10">
            <v>5443939.0802100003</v>
          </cell>
          <cell r="T10">
            <v>641398.15487000009</v>
          </cell>
          <cell r="U10">
            <v>1064887.87745</v>
          </cell>
          <cell r="V10">
            <v>3520480.1933200005</v>
          </cell>
          <cell r="W10">
            <v>1704698.75554</v>
          </cell>
          <cell r="X10"/>
          <cell r="Y10"/>
          <cell r="Z10">
            <v>59011445.013189994</v>
          </cell>
          <cell r="AA10">
            <v>5723.3689999999997</v>
          </cell>
          <cell r="AB10">
            <v>0</v>
          </cell>
          <cell r="AC10">
            <v>10096.159</v>
          </cell>
          <cell r="AD10">
            <v>22971.443000000003</v>
          </cell>
          <cell r="AE10"/>
          <cell r="AF10"/>
          <cell r="AG10"/>
          <cell r="AH10">
            <v>38790.971000000005</v>
          </cell>
          <cell r="AI10">
            <v>59050235.984189995</v>
          </cell>
          <cell r="AJ10">
            <v>1778196.7898599999</v>
          </cell>
          <cell r="AK10">
            <v>533570.19427999994</v>
          </cell>
          <cell r="AL10">
            <v>1302110.1110999999</v>
          </cell>
          <cell r="AM10"/>
          <cell r="AN10">
            <v>3613877.0952399997</v>
          </cell>
          <cell r="AO10">
            <v>27959927.392999999</v>
          </cell>
          <cell r="AP10">
            <v>0</v>
          </cell>
          <cell r="AQ10"/>
          <cell r="AR10"/>
          <cell r="AS10">
            <v>27959927.392999999</v>
          </cell>
          <cell r="AT10">
            <v>415.173</v>
          </cell>
          <cell r="AU10">
            <v>540.73199999999997</v>
          </cell>
          <cell r="AV10">
            <v>0</v>
          </cell>
          <cell r="AW10"/>
          <cell r="AX10"/>
          <cell r="AY10"/>
          <cell r="AZ10"/>
          <cell r="BA10">
            <v>955.90499999999997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I10"/>
          <cell r="BJ10">
            <v>308398.26500000001</v>
          </cell>
          <cell r="BK10"/>
          <cell r="BL10"/>
          <cell r="BM10"/>
          <cell r="BN10"/>
          <cell r="BO10"/>
        </row>
        <row r="11">
          <cell r="F11"/>
          <cell r="G11">
            <v>87847.038773475695</v>
          </cell>
          <cell r="H11">
            <v>94053.576710286216</v>
          </cell>
          <cell r="I11">
            <v>94592.508667273214</v>
          </cell>
          <cell r="J11">
            <v>93101.62015528456</v>
          </cell>
          <cell r="K11">
            <v>88139.030642709942</v>
          </cell>
          <cell r="L11">
            <v>85677.659849470016</v>
          </cell>
          <cell r="M11">
            <v>90033.829153363229</v>
          </cell>
          <cell r="N11">
            <v>91180.511333566421</v>
          </cell>
          <cell r="O11">
            <v>87108.123808536751</v>
          </cell>
          <cell r="P11">
            <v>86640.372992954319</v>
          </cell>
          <cell r="Q11">
            <v>87595.666902616766</v>
          </cell>
          <cell r="R11">
            <v>94299.02819737907</v>
          </cell>
          <cell r="S11">
            <v>93591.53953633504</v>
          </cell>
          <cell r="T11">
            <v>109276.45538291168</v>
          </cell>
          <cell r="U11">
            <v>89044.893172506068</v>
          </cell>
          <cell r="V11">
            <v>81982.21306227005</v>
          </cell>
          <cell r="W11">
            <v>102353.57283338337</v>
          </cell>
          <cell r="X11"/>
          <cell r="Y11"/>
          <cell r="Z11">
            <v>90150.858846078918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90210.119203969531</v>
          </cell>
          <cell r="AJ11">
            <v>25770.221006057796</v>
          </cell>
          <cell r="AK11">
            <v>11493.907937615784</v>
          </cell>
          <cell r="AL11">
            <v>25052.141586501461</v>
          </cell>
          <cell r="AM11"/>
          <cell r="AN11"/>
          <cell r="AO11">
            <v>816997.19128726912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6285839.0715699941</v>
          </cell>
          <cell r="G12">
            <v>831486.44951000065</v>
          </cell>
          <cell r="H12">
            <v>234682.13562000077</v>
          </cell>
          <cell r="I12">
            <v>-79930.172209999524</v>
          </cell>
          <cell r="J12">
            <v>45657.316180000082</v>
          </cell>
          <cell r="K12">
            <v>998721.48262999952</v>
          </cell>
          <cell r="L12">
            <v>512213.26973999944</v>
          </cell>
          <cell r="M12">
            <v>79191.409880000167</v>
          </cell>
          <cell r="N12">
            <v>556602.56259999983</v>
          </cell>
          <cell r="O12">
            <v>184869.43828999973</v>
          </cell>
          <cell r="P12">
            <v>395908.08219000045</v>
          </cell>
          <cell r="Q12">
            <v>148961.94520999957</v>
          </cell>
          <cell r="R12">
            <v>368949.33355999971</v>
          </cell>
          <cell r="S12">
            <v>412551.90079000033</v>
          </cell>
          <cell r="T12">
            <v>-24840.500870000105</v>
          </cell>
          <cell r="U12">
            <v>265653.64954999997</v>
          </cell>
          <cell r="V12">
            <v>620930.65267999936</v>
          </cell>
          <cell r="W12">
            <v>313253.45945999981</v>
          </cell>
          <cell r="X12"/>
          <cell r="Y12"/>
          <cell r="Z12">
            <v>5864862.4148099991</v>
          </cell>
          <cell r="AA12">
            <v>119276.63099999999</v>
          </cell>
          <cell r="AB12">
            <v>0</v>
          </cell>
          <cell r="AC12">
            <v>27403.841</v>
          </cell>
          <cell r="AD12">
            <v>62048.557000000001</v>
          </cell>
          <cell r="AE12"/>
          <cell r="AF12"/>
          <cell r="AG12"/>
          <cell r="AH12">
            <v>208729.02899999998</v>
          </cell>
          <cell r="AI12">
            <v>6073591.4438099936</v>
          </cell>
          <cell r="AJ12">
            <v>201541.7101400001</v>
          </cell>
          <cell r="AK12">
            <v>118243.80572000006</v>
          </cell>
          <cell r="AL12">
            <v>-355914.11109999986</v>
          </cell>
          <cell r="AM12"/>
          <cell r="AN12">
            <v>-36128.595239999704</v>
          </cell>
          <cell r="AO12">
            <v>332416.09899999946</v>
          </cell>
          <cell r="AP12">
            <v>0</v>
          </cell>
          <cell r="AQ12"/>
          <cell r="AR12"/>
          <cell r="AS12">
            <v>332416.09899999946</v>
          </cell>
          <cell r="AT12">
            <v>16122.326999999999</v>
          </cell>
          <cell r="AU12">
            <v>17009.268</v>
          </cell>
          <cell r="AV12">
            <v>186187.24400000001</v>
          </cell>
          <cell r="AW12"/>
          <cell r="AX12"/>
          <cell r="AY12"/>
          <cell r="AZ12"/>
          <cell r="BA12">
            <v>219318.83900000001</v>
          </cell>
          <cell r="BB12">
            <v>0</v>
          </cell>
          <cell r="BC12">
            <v>5039.5499999999993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I12"/>
          <cell r="BJ12">
            <v>-303358.71500000003</v>
          </cell>
          <cell r="BK12"/>
          <cell r="BL12"/>
          <cell r="BM12"/>
          <cell r="BN12"/>
          <cell r="BO12"/>
        </row>
        <row r="13">
          <cell r="F13">
            <v>2634744.8340000003</v>
          </cell>
          <cell r="G13">
            <v>196766.94999999998</v>
          </cell>
          <cell r="H13">
            <v>206682.315</v>
          </cell>
          <cell r="I13">
            <v>157941.571</v>
          </cell>
          <cell r="J13">
            <v>106736.88499999999</v>
          </cell>
          <cell r="K13">
            <v>153335.01999999999</v>
          </cell>
          <cell r="L13">
            <v>164190.02399999998</v>
          </cell>
          <cell r="M13">
            <v>117579.306</v>
          </cell>
          <cell r="N13">
            <v>119812.99899999998</v>
          </cell>
          <cell r="O13">
            <v>100469.44</v>
          </cell>
          <cell r="P13">
            <v>94931.483999999997</v>
          </cell>
          <cell r="Q13">
            <v>91528.350999999995</v>
          </cell>
          <cell r="R13">
            <v>79872.45</v>
          </cell>
          <cell r="S13">
            <v>136195.00899999999</v>
          </cell>
          <cell r="T13">
            <v>32886.086000000003</v>
          </cell>
          <cell r="U13">
            <v>32458.984</v>
          </cell>
          <cell r="V13">
            <v>98935.767999999996</v>
          </cell>
          <cell r="W13">
            <v>46785.36</v>
          </cell>
          <cell r="X13"/>
          <cell r="Y13"/>
          <cell r="Z13">
            <v>1937108.0020000003</v>
          </cell>
          <cell r="AA13">
            <v>49.951999999999998</v>
          </cell>
          <cell r="AB13">
            <v>633.46499999999992</v>
          </cell>
          <cell r="AC13">
            <v>0</v>
          </cell>
          <cell r="AD13">
            <v>0</v>
          </cell>
          <cell r="AE13"/>
          <cell r="AF13"/>
          <cell r="AG13"/>
          <cell r="AH13">
            <v>683.41699999999992</v>
          </cell>
          <cell r="AI13">
            <v>1937791.4190000002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421403.84200000006</v>
          </cell>
          <cell r="AP13">
            <v>0</v>
          </cell>
          <cell r="AQ13"/>
          <cell r="AR13"/>
          <cell r="AS13">
            <v>421403.84200000006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37162.672999999995</v>
          </cell>
          <cell r="BG13">
            <v>238386.9</v>
          </cell>
          <cell r="BH13">
            <v>0</v>
          </cell>
          <cell r="BI13"/>
          <cell r="BJ13">
            <v>275549.57299999997</v>
          </cell>
          <cell r="BK13"/>
          <cell r="BL13"/>
          <cell r="BM13"/>
          <cell r="BN13"/>
          <cell r="BO13"/>
        </row>
        <row r="14">
          <cell r="F14">
            <v>1830872.2200000002</v>
          </cell>
          <cell r="G14">
            <v>129354.93299999999</v>
          </cell>
          <cell r="H14">
            <v>136323.35699999999</v>
          </cell>
          <cell r="I14">
            <v>104981.557</v>
          </cell>
          <cell r="J14">
            <v>77436.854999999996</v>
          </cell>
          <cell r="K14">
            <v>101531.08299999998</v>
          </cell>
          <cell r="L14">
            <v>107422.55299999999</v>
          </cell>
          <cell r="M14">
            <v>80785.179999999993</v>
          </cell>
          <cell r="N14">
            <v>82151.893999999986</v>
          </cell>
          <cell r="O14">
            <v>65801.368000000002</v>
          </cell>
          <cell r="P14">
            <v>65632.856</v>
          </cell>
          <cell r="Q14">
            <v>61529.539000000004</v>
          </cell>
          <cell r="R14">
            <v>55575.527000000002</v>
          </cell>
          <cell r="S14">
            <v>96282.67</v>
          </cell>
          <cell r="T14">
            <v>22376.353000000003</v>
          </cell>
          <cell r="U14">
            <v>22198.468000000001</v>
          </cell>
          <cell r="V14">
            <v>67169.100999999995</v>
          </cell>
          <cell r="W14">
            <v>32016.349000000002</v>
          </cell>
          <cell r="X14"/>
          <cell r="Y14"/>
          <cell r="Z14">
            <v>1308569.6430000002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1308569.6430000002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283915.67700000003</v>
          </cell>
          <cell r="AP14">
            <v>0</v>
          </cell>
          <cell r="AQ14"/>
          <cell r="AR14"/>
          <cell r="AS14">
            <v>283915.67700000003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I14"/>
          <cell r="BJ14">
            <v>238386.9</v>
          </cell>
          <cell r="BK14"/>
          <cell r="BL14"/>
          <cell r="BM14"/>
          <cell r="BN14"/>
          <cell r="BO14"/>
        </row>
        <row r="15">
          <cell r="F15">
            <v>803872.61400000006</v>
          </cell>
          <cell r="G15">
            <v>67412.016999999993</v>
          </cell>
          <cell r="H15">
            <v>70358.957999999999</v>
          </cell>
          <cell r="I15">
            <v>52960.013999999996</v>
          </cell>
          <cell r="J15">
            <v>29300.03</v>
          </cell>
          <cell r="K15">
            <v>51803.937000000005</v>
          </cell>
          <cell r="L15">
            <v>56767.470999999998</v>
          </cell>
          <cell r="M15">
            <v>36794.126000000004</v>
          </cell>
          <cell r="N15">
            <v>37661.105000000003</v>
          </cell>
          <cell r="O15">
            <v>34668.072</v>
          </cell>
          <cell r="P15">
            <v>29298.628000000001</v>
          </cell>
          <cell r="Q15">
            <v>29998.811999999998</v>
          </cell>
          <cell r="R15">
            <v>24296.922999999999</v>
          </cell>
          <cell r="S15">
            <v>39912.339</v>
          </cell>
          <cell r="T15">
            <v>10509.733</v>
          </cell>
          <cell r="U15">
            <v>10260.516</v>
          </cell>
          <cell r="V15">
            <v>31766.667000000001</v>
          </cell>
          <cell r="W15">
            <v>14769.011</v>
          </cell>
          <cell r="X15"/>
          <cell r="Y15"/>
          <cell r="Z15">
            <v>628538.35900000005</v>
          </cell>
          <cell r="AA15">
            <v>49.951999999999998</v>
          </cell>
          <cell r="AB15">
            <v>633.46499999999992</v>
          </cell>
          <cell r="AC15">
            <v>0</v>
          </cell>
          <cell r="AD15">
            <v>0</v>
          </cell>
          <cell r="AE15"/>
          <cell r="AF15"/>
          <cell r="AG15"/>
          <cell r="AH15">
            <v>683.41699999999992</v>
          </cell>
          <cell r="AI15">
            <v>629221.77600000007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137488.16500000001</v>
          </cell>
          <cell r="AP15">
            <v>0</v>
          </cell>
          <cell r="AQ15"/>
          <cell r="AR15"/>
          <cell r="AS15">
            <v>137488.16500000001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37162.672999999995</v>
          </cell>
          <cell r="BG15">
            <v>0</v>
          </cell>
          <cell r="BH15">
            <v>0</v>
          </cell>
          <cell r="BI15"/>
          <cell r="BJ15">
            <v>37162.672999999995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3651094.2375699938</v>
          </cell>
          <cell r="G17">
            <v>634719.49951000069</v>
          </cell>
          <cell r="H17">
            <v>27999.82062000077</v>
          </cell>
          <cell r="I17">
            <v>-237871.74320999952</v>
          </cell>
          <cell r="J17">
            <v>-61079.568819999913</v>
          </cell>
          <cell r="K17">
            <v>845386.4626299995</v>
          </cell>
          <cell r="L17">
            <v>348023.24573999946</v>
          </cell>
          <cell r="M17">
            <v>-38387.89611999983</v>
          </cell>
          <cell r="N17">
            <v>436789.56359999988</v>
          </cell>
          <cell r="O17">
            <v>84399.998289999727</v>
          </cell>
          <cell r="P17">
            <v>300976.59819000046</v>
          </cell>
          <cell r="Q17">
            <v>57433.594209999574</v>
          </cell>
          <cell r="R17">
            <v>289076.8835599997</v>
          </cell>
          <cell r="S17">
            <v>276356.89179000037</v>
          </cell>
          <cell r="T17">
            <v>-57726.586870000108</v>
          </cell>
          <cell r="U17">
            <v>233194.66554999998</v>
          </cell>
          <cell r="V17">
            <v>521994.88467999938</v>
          </cell>
          <cell r="W17">
            <v>266468.09945999982</v>
          </cell>
          <cell r="X17"/>
          <cell r="Y17"/>
          <cell r="Z17">
            <v>3927754.4128099987</v>
          </cell>
          <cell r="AA17">
            <v>119226.67899999999</v>
          </cell>
          <cell r="AB17">
            <v>-633.46499999999992</v>
          </cell>
          <cell r="AC17">
            <v>27403.841</v>
          </cell>
          <cell r="AD17">
            <v>62048.557000000001</v>
          </cell>
          <cell r="AE17"/>
          <cell r="AF17"/>
          <cell r="AG17"/>
          <cell r="AH17">
            <v>208045.61199999999</v>
          </cell>
          <cell r="AI17">
            <v>4135800.0248099933</v>
          </cell>
          <cell r="AJ17">
            <v>201541.7101400001</v>
          </cell>
          <cell r="AK17">
            <v>118243.80572000006</v>
          </cell>
          <cell r="AL17">
            <v>-355914.11109999986</v>
          </cell>
          <cell r="AM17"/>
          <cell r="AN17">
            <v>-36128.595239999704</v>
          </cell>
          <cell r="AO17">
            <v>-88987.743000000599</v>
          </cell>
          <cell r="AP17">
            <v>0</v>
          </cell>
          <cell r="AQ17"/>
          <cell r="AR17"/>
          <cell r="AS17">
            <v>-88987.743000000599</v>
          </cell>
          <cell r="AT17">
            <v>16122.326999999999</v>
          </cell>
          <cell r="AU17">
            <v>17009.268</v>
          </cell>
          <cell r="AV17">
            <v>186187.24400000001</v>
          </cell>
          <cell r="AW17"/>
          <cell r="AX17"/>
          <cell r="AY17"/>
          <cell r="AZ17"/>
          <cell r="BA17">
            <v>219318.83900000001</v>
          </cell>
          <cell r="BB17">
            <v>0</v>
          </cell>
          <cell r="BC17">
            <v>5039.5499999999993</v>
          </cell>
          <cell r="BD17">
            <v>0</v>
          </cell>
          <cell r="BE17">
            <v>0</v>
          </cell>
          <cell r="BF17">
            <v>-37162.672999999995</v>
          </cell>
          <cell r="BG17">
            <v>-541191.78</v>
          </cell>
          <cell r="BH17">
            <v>-5593.3850000000002</v>
          </cell>
          <cell r="BI17"/>
          <cell r="BJ17">
            <v>-578908.28799999994</v>
          </cell>
          <cell r="BK17"/>
          <cell r="BL17"/>
          <cell r="BM17"/>
          <cell r="BN17"/>
          <cell r="BO17"/>
        </row>
        <row r="18">
          <cell r="F18">
            <v>1725330.5965800001</v>
          </cell>
          <cell r="G18">
            <v>90462.453509999992</v>
          </cell>
          <cell r="H18">
            <v>106653.14162000001</v>
          </cell>
          <cell r="I18">
            <v>59724.47279</v>
          </cell>
          <cell r="J18">
            <v>54264.195179999995</v>
          </cell>
          <cell r="K18">
            <v>281819.87163000001</v>
          </cell>
          <cell r="L18">
            <v>89004.062739999994</v>
          </cell>
          <cell r="M18">
            <v>44231.694880000003</v>
          </cell>
          <cell r="N18">
            <v>69718.873599999992</v>
          </cell>
          <cell r="O18">
            <v>37046.625289999996</v>
          </cell>
          <cell r="P18">
            <v>95268.154190000001</v>
          </cell>
          <cell r="Q18">
            <v>46963.270210000002</v>
          </cell>
          <cell r="R18">
            <v>44721.616559999995</v>
          </cell>
          <cell r="S18">
            <v>95870.892790000013</v>
          </cell>
          <cell r="T18">
            <v>18484.735130000001</v>
          </cell>
          <cell r="U18">
            <v>33372.133549999999</v>
          </cell>
          <cell r="V18">
            <v>63002.885680000007</v>
          </cell>
          <cell r="W18">
            <v>39147.708459999994</v>
          </cell>
          <cell r="X18"/>
          <cell r="Y18"/>
          <cell r="Z18">
            <v>1269756.7878099997</v>
          </cell>
          <cell r="AA18">
            <v>16640.391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16640.391</v>
          </cell>
          <cell r="AI18">
            <v>1286397.17881</v>
          </cell>
          <cell r="AJ18">
            <v>100810.07914999999</v>
          </cell>
          <cell r="AK18">
            <v>45229.997709999996</v>
          </cell>
          <cell r="AL18">
            <v>181149.31591</v>
          </cell>
          <cell r="AM18"/>
          <cell r="AN18">
            <v>327189.39276999998</v>
          </cell>
          <cell r="AO18">
            <v>17323.643</v>
          </cell>
          <cell r="AP18">
            <v>0</v>
          </cell>
          <cell r="AQ18"/>
          <cell r="AR18"/>
          <cell r="AS18">
            <v>17323.643</v>
          </cell>
          <cell r="AT18">
            <v>3938.6760000000004</v>
          </cell>
          <cell r="AU18">
            <v>12875.880000000001</v>
          </cell>
          <cell r="AV18">
            <v>0</v>
          </cell>
          <cell r="AW18"/>
          <cell r="AX18"/>
          <cell r="AY18"/>
          <cell r="AZ18"/>
          <cell r="BA18">
            <v>16814.556</v>
          </cell>
          <cell r="BB18">
            <v>0</v>
          </cell>
          <cell r="BC18">
            <v>42577.517</v>
          </cell>
          <cell r="BD18">
            <v>0</v>
          </cell>
          <cell r="BE18">
            <v>0</v>
          </cell>
          <cell r="BF18">
            <v>35028.308999999994</v>
          </cell>
          <cell r="BG18">
            <v>0</v>
          </cell>
          <cell r="BH18">
            <v>0</v>
          </cell>
          <cell r="BI18"/>
          <cell r="BJ18">
            <v>77605.826000000001</v>
          </cell>
          <cell r="BK18"/>
          <cell r="BL18"/>
          <cell r="BM18"/>
          <cell r="BN18"/>
          <cell r="BO18"/>
        </row>
        <row r="19">
          <cell r="F19">
            <v>1567275.1645800001</v>
          </cell>
          <cell r="G19">
            <v>84590.791509999995</v>
          </cell>
          <cell r="H19">
            <v>99706.541620000004</v>
          </cell>
          <cell r="I19">
            <v>54879.520790000002</v>
          </cell>
          <cell r="J19">
            <v>50688.233179999996</v>
          </cell>
          <cell r="K19">
            <v>276191.67663</v>
          </cell>
          <cell r="L19">
            <v>84310.85974</v>
          </cell>
          <cell r="M19">
            <v>40650.899880000004</v>
          </cell>
          <cell r="N19">
            <v>65028.961599999995</v>
          </cell>
          <cell r="O19">
            <v>34796.519289999997</v>
          </cell>
          <cell r="P19">
            <v>91611.858189999999</v>
          </cell>
          <cell r="Q19">
            <v>44477.860209999999</v>
          </cell>
          <cell r="R19">
            <v>41989.628559999997</v>
          </cell>
          <cell r="S19">
            <v>91106.292790000007</v>
          </cell>
          <cell r="T19">
            <v>17373.53613</v>
          </cell>
          <cell r="U19">
            <v>32043.526550000002</v>
          </cell>
          <cell r="V19">
            <v>60512.518680000008</v>
          </cell>
          <cell r="W19">
            <v>36671.599459999998</v>
          </cell>
          <cell r="X19"/>
          <cell r="Y19"/>
          <cell r="Z19">
            <v>1206630.8248099999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16640.391</v>
          </cell>
          <cell r="AI19">
            <v>1223271.21581</v>
          </cell>
          <cell r="AJ19">
            <v>100810.07914999999</v>
          </cell>
          <cell r="AK19">
            <v>45229.997709999996</v>
          </cell>
          <cell r="AL19">
            <v>181149.31591</v>
          </cell>
          <cell r="AM19"/>
          <cell r="AN19">
            <v>327189.39276999998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3938.6760000000004</v>
          </cell>
          <cell r="AU19">
            <v>12875.880000000001</v>
          </cell>
          <cell r="AV19">
            <v>0</v>
          </cell>
          <cell r="AW19"/>
          <cell r="AX19"/>
          <cell r="AY19"/>
          <cell r="AZ19"/>
          <cell r="BA19">
            <v>16814.556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158055.432</v>
          </cell>
          <cell r="G20">
            <v>5871.6620000000003</v>
          </cell>
          <cell r="H20">
            <v>6946.6</v>
          </cell>
          <cell r="I20">
            <v>4844.9520000000002</v>
          </cell>
          <cell r="J20">
            <v>3575.9620000000004</v>
          </cell>
          <cell r="K20">
            <v>5628.1949999999997</v>
          </cell>
          <cell r="L20">
            <v>4693.2029999999995</v>
          </cell>
          <cell r="M20">
            <v>3580.7950000000001</v>
          </cell>
          <cell r="N20">
            <v>4689.9120000000003</v>
          </cell>
          <cell r="O20">
            <v>2250.1059999999998</v>
          </cell>
          <cell r="P20">
            <v>3656.2959999999998</v>
          </cell>
          <cell r="Q20">
            <v>2485.41</v>
          </cell>
          <cell r="R20">
            <v>2731.9879999999998</v>
          </cell>
          <cell r="S20">
            <v>4764.6000000000004</v>
          </cell>
          <cell r="T20">
            <v>1111.1990000000001</v>
          </cell>
          <cell r="U20">
            <v>1328.607</v>
          </cell>
          <cell r="V20">
            <v>2490.3669999999997</v>
          </cell>
          <cell r="W20">
            <v>2476.1089999999999</v>
          </cell>
          <cell r="X20"/>
          <cell r="Y20"/>
          <cell r="Z20">
            <v>63125.963000000003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0</v>
          </cell>
          <cell r="AI20">
            <v>63125.963000000003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17323.643</v>
          </cell>
          <cell r="AP20">
            <v>0</v>
          </cell>
          <cell r="AQ20"/>
          <cell r="AR20"/>
          <cell r="AS20">
            <v>17323.643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42577.517</v>
          </cell>
          <cell r="BD20">
            <v>0</v>
          </cell>
          <cell r="BE20">
            <v>0</v>
          </cell>
          <cell r="BF20">
            <v>35028.308999999994</v>
          </cell>
          <cell r="BG20">
            <v>0</v>
          </cell>
          <cell r="BH20">
            <v>0</v>
          </cell>
          <cell r="BI20"/>
          <cell r="BJ20">
            <v>77605.826000000001</v>
          </cell>
          <cell r="BK20"/>
          <cell r="BL20"/>
          <cell r="BM20"/>
          <cell r="BN20"/>
          <cell r="BO20"/>
        </row>
        <row r="21">
          <cell r="F21">
            <v>1925763.6409899937</v>
          </cell>
          <cell r="G21">
            <v>544257.04600000067</v>
          </cell>
          <cell r="H21">
            <v>-78653.32099999924</v>
          </cell>
          <cell r="I21">
            <v>-297596.21599999955</v>
          </cell>
          <cell r="J21">
            <v>-115343.76399999991</v>
          </cell>
          <cell r="K21">
            <v>563566.59099999955</v>
          </cell>
          <cell r="L21">
            <v>259019.18299999947</v>
          </cell>
          <cell r="M21">
            <v>-82619.59099999984</v>
          </cell>
          <cell r="N21">
            <v>367070.68999999989</v>
          </cell>
          <cell r="O21">
            <v>47353.37299999973</v>
          </cell>
          <cell r="P21">
            <v>205708.44400000045</v>
          </cell>
          <cell r="Q21">
            <v>10470.323999999571</v>
          </cell>
          <cell r="R21">
            <v>244355.2669999997</v>
          </cell>
          <cell r="S21">
            <v>180485.99900000036</v>
          </cell>
          <cell r="T21">
            <v>-76211.322000000102</v>
          </cell>
          <cell r="U21">
            <v>199822.53199999998</v>
          </cell>
          <cell r="V21">
            <v>458991.99899999937</v>
          </cell>
          <cell r="W21">
            <v>227320.39099999983</v>
          </cell>
          <cell r="X21"/>
          <cell r="Y21"/>
          <cell r="Z21">
            <v>2657997.6249999991</v>
          </cell>
          <cell r="AA21">
            <v>102586.28799999999</v>
          </cell>
          <cell r="AB21">
            <v>-633.46499999999992</v>
          </cell>
          <cell r="AC21">
            <v>27403.841</v>
          </cell>
          <cell r="AD21">
            <v>62048.557000000001</v>
          </cell>
          <cell r="AE21"/>
          <cell r="AF21"/>
          <cell r="AG21"/>
          <cell r="AH21">
            <v>191405.22099999999</v>
          </cell>
          <cell r="AI21">
            <v>2849402.8459999934</v>
          </cell>
          <cell r="AJ21">
            <v>100731.63099000011</v>
          </cell>
          <cell r="AK21">
            <v>73013.808010000066</v>
          </cell>
          <cell r="AL21">
            <v>-537063.42700999987</v>
          </cell>
          <cell r="AM21"/>
          <cell r="AN21">
            <v>-363317.98800999968</v>
          </cell>
          <cell r="AO21">
            <v>-106311.3860000006</v>
          </cell>
          <cell r="AP21">
            <v>0</v>
          </cell>
          <cell r="AQ21"/>
          <cell r="AR21"/>
          <cell r="AS21">
            <v>-106311.3860000006</v>
          </cell>
          <cell r="AT21">
            <v>12183.650999999998</v>
          </cell>
          <cell r="AU21">
            <v>4133.387999999999</v>
          </cell>
          <cell r="AV21">
            <v>186187.24400000001</v>
          </cell>
          <cell r="AW21"/>
          <cell r="AX21"/>
          <cell r="AY21"/>
          <cell r="AZ21"/>
          <cell r="BA21">
            <v>202504.283</v>
          </cell>
          <cell r="BB21">
            <v>0</v>
          </cell>
          <cell r="BC21">
            <v>-37537.967000000004</v>
          </cell>
          <cell r="BD21">
            <v>0</v>
          </cell>
          <cell r="BE21">
            <v>0</v>
          </cell>
          <cell r="BF21">
            <v>-72190.981999999989</v>
          </cell>
          <cell r="BG21">
            <v>-541191.78</v>
          </cell>
          <cell r="BH21">
            <v>-5593.3850000000002</v>
          </cell>
          <cell r="BI21"/>
          <cell r="BJ21">
            <v>-656514.11399999994</v>
          </cell>
          <cell r="BK21"/>
          <cell r="BL21"/>
          <cell r="BM21"/>
          <cell r="BN21"/>
          <cell r="BO21"/>
        </row>
        <row r="22">
          <cell r="F22">
            <v>5135107.101995565</v>
          </cell>
          <cell r="G22">
            <v>619307.01224834984</v>
          </cell>
          <cell r="H22">
            <v>424275.77311320929</v>
          </cell>
          <cell r="I22">
            <v>177187.6989834304</v>
          </cell>
          <cell r="J22">
            <v>144116.03798481799</v>
          </cell>
          <cell r="K22">
            <v>384005.87739183626</v>
          </cell>
          <cell r="L22">
            <v>311055.13295667007</v>
          </cell>
          <cell r="M22">
            <v>135502.56992202078</v>
          </cell>
          <cell r="N22">
            <v>378997.07391828054</v>
          </cell>
          <cell r="O22">
            <v>148895.76995368418</v>
          </cell>
          <cell r="P22">
            <v>210525.01068298056</v>
          </cell>
          <cell r="Q22">
            <v>194827.90404346044</v>
          </cell>
          <cell r="R22">
            <v>224411.70364770171</v>
          </cell>
          <cell r="S22">
            <v>376901.18563159375</v>
          </cell>
          <cell r="T22">
            <v>41860.272270065951</v>
          </cell>
          <cell r="U22">
            <v>81952.488744570132</v>
          </cell>
          <cell r="V22">
            <v>264420.42160241696</v>
          </cell>
          <cell r="W22">
            <v>134590.6350080324</v>
          </cell>
          <cell r="X22"/>
          <cell r="Y22"/>
          <cell r="Z22">
            <v>4252832.5681031216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4252832.5681031216</v>
          </cell>
          <cell r="AJ22">
            <v>78289.668258565667</v>
          </cell>
          <cell r="AK22">
            <v>23613.935363877623</v>
          </cell>
          <cell r="AL22">
            <v>39823.470359999992</v>
          </cell>
          <cell r="AM22"/>
          <cell r="AN22">
            <v>141727.07398244328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I22"/>
          <cell r="BJ22">
            <v>740547.45990999998</v>
          </cell>
          <cell r="BK22"/>
          <cell r="BL22"/>
          <cell r="BM22"/>
          <cell r="BN22"/>
          <cell r="BO22"/>
        </row>
        <row r="23">
          <cell r="F23">
            <v>670742.36299556482</v>
          </cell>
          <cell r="G23">
            <v>62924.254252614446</v>
          </cell>
          <cell r="H23">
            <v>42785.012462876402</v>
          </cell>
          <cell r="I23">
            <v>18029.263086228355</v>
          </cell>
          <cell r="J23">
            <v>14506.90257593262</v>
          </cell>
          <cell r="K23">
            <v>57671.322411774876</v>
          </cell>
          <cell r="L23">
            <v>46657.78199846443</v>
          </cell>
          <cell r="M23">
            <v>20402.099594880168</v>
          </cell>
          <cell r="N23">
            <v>57009.399132106795</v>
          </cell>
          <cell r="O23">
            <v>22316.133724306215</v>
          </cell>
          <cell r="P23">
            <v>31653.022696836968</v>
          </cell>
          <cell r="Q23">
            <v>29384.500510634934</v>
          </cell>
          <cell r="R23">
            <v>33780.793701815521</v>
          </cell>
          <cell r="S23">
            <v>38453.478182007086</v>
          </cell>
          <cell r="T23">
            <v>4380.0853412070956</v>
          </cell>
          <cell r="U23">
            <v>8225.1144330354946</v>
          </cell>
          <cell r="V23">
            <v>26905.893955776664</v>
          </cell>
          <cell r="W23">
            <v>13930.230952623455</v>
          </cell>
          <cell r="X23"/>
          <cell r="Y23"/>
          <cell r="Z23">
            <v>529015.28901312151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529015.28901312151</v>
          </cell>
          <cell r="AJ23">
            <v>78289.668258565667</v>
          </cell>
          <cell r="AK23">
            <v>23613.935363877623</v>
          </cell>
          <cell r="AL23">
            <v>39823.470359999992</v>
          </cell>
          <cell r="AM23"/>
          <cell r="AN23">
            <v>141727.07398244328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1459850.0880000002</v>
          </cell>
          <cell r="G24">
            <v>219064.47414513957</v>
          </cell>
          <cell r="H24">
            <v>149360.81771485196</v>
          </cell>
          <cell r="I24">
            <v>62858.174692657398</v>
          </cell>
          <cell r="J24">
            <v>50720.333763681134</v>
          </cell>
          <cell r="K24">
            <v>127762.46388104282</v>
          </cell>
          <cell r="L24">
            <v>104479.40539919627</v>
          </cell>
          <cell r="M24">
            <v>44359.40829875545</v>
          </cell>
          <cell r="N24">
            <v>126569.45088733648</v>
          </cell>
          <cell r="O24">
            <v>49936.647361333555</v>
          </cell>
          <cell r="P24">
            <v>70415.139912664192</v>
          </cell>
          <cell r="Q24">
            <v>64636.342212917749</v>
          </cell>
          <cell r="R24">
            <v>74610.690276930924</v>
          </cell>
          <cell r="S24">
            <v>132166.65465894429</v>
          </cell>
          <cell r="T24">
            <v>14395.575789537656</v>
          </cell>
          <cell r="U24">
            <v>28907.295588030338</v>
          </cell>
          <cell r="V24">
            <v>92780.28003251343</v>
          </cell>
          <cell r="W24">
            <v>46826.933384466625</v>
          </cell>
          <cell r="X24"/>
          <cell r="Y24"/>
          <cell r="Z24">
            <v>1459850.0880000002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1459850.0880000002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3004514.6509999996</v>
          </cell>
          <cell r="G25">
            <v>337318.28385059582</v>
          </cell>
          <cell r="H25">
            <v>232129.94293548091</v>
          </cell>
          <cell r="I25">
            <v>96300.261204544644</v>
          </cell>
          <cell r="J25">
            <v>78888.801645204221</v>
          </cell>
          <cell r="K25">
            <v>198572.09109901858</v>
          </cell>
          <cell r="L25">
            <v>159917.94555900939</v>
          </cell>
          <cell r="M25">
            <v>70741.062028385175</v>
          </cell>
          <cell r="N25">
            <v>195418.22389883723</v>
          </cell>
          <cell r="O25">
            <v>76642.988868044427</v>
          </cell>
          <cell r="P25">
            <v>108456.8480734794</v>
          </cell>
          <cell r="Q25">
            <v>100807.06131990773</v>
          </cell>
          <cell r="R25">
            <v>116020.21966895528</v>
          </cell>
          <cell r="S25">
            <v>206281.05279064237</v>
          </cell>
          <cell r="T25">
            <v>23084.611139321198</v>
          </cell>
          <cell r="U25">
            <v>44820.078723504295</v>
          </cell>
          <cell r="V25">
            <v>144734.24761412686</v>
          </cell>
          <cell r="W25">
            <v>73833.470670942334</v>
          </cell>
          <cell r="X25"/>
          <cell r="Y25"/>
          <cell r="Z25">
            <v>2263967.1910899999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2263967.1910899999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I25"/>
          <cell r="BJ25">
            <v>740547.45990999998</v>
          </cell>
          <cell r="BK25"/>
          <cell r="BL25"/>
          <cell r="BM25"/>
          <cell r="BN25"/>
          <cell r="BO25"/>
        </row>
        <row r="26">
          <cell r="F26">
            <v>-3209343.4610055713</v>
          </cell>
          <cell r="G26">
            <v>-75049.96624834917</v>
          </cell>
          <cell r="H26">
            <v>-502929.09411320853</v>
          </cell>
          <cell r="I26">
            <v>-474783.91498342995</v>
          </cell>
          <cell r="J26">
            <v>-259459.8019848179</v>
          </cell>
          <cell r="K26">
            <v>179560.71360816329</v>
          </cell>
          <cell r="L26">
            <v>-52035.949956670607</v>
          </cell>
          <cell r="M26">
            <v>-218122.16092202062</v>
          </cell>
          <cell r="N26">
            <v>-11926.383918280655</v>
          </cell>
          <cell r="O26">
            <v>-101542.39695368445</v>
          </cell>
          <cell r="P26">
            <v>-4816.5666829801048</v>
          </cell>
          <cell r="Q26">
            <v>-184357.58004346088</v>
          </cell>
          <cell r="R26">
            <v>19943.563352297992</v>
          </cell>
          <cell r="S26">
            <v>-196415.18663159339</v>
          </cell>
          <cell r="T26">
            <v>-118071.59427006605</v>
          </cell>
          <cell r="U26">
            <v>117870.04325542985</v>
          </cell>
          <cell r="V26">
            <v>194571.57739758241</v>
          </cell>
          <cell r="W26">
            <v>92729.755991967424</v>
          </cell>
          <cell r="X26"/>
          <cell r="Y26"/>
          <cell r="Z26">
            <v>-1594834.9431031225</v>
          </cell>
          <cell r="AA26">
            <v>102586.28799999999</v>
          </cell>
          <cell r="AB26">
            <v>-633.46499999999992</v>
          </cell>
          <cell r="AC26">
            <v>27403.841</v>
          </cell>
          <cell r="AD26">
            <v>62048.557000000001</v>
          </cell>
          <cell r="AE26"/>
          <cell r="AF26"/>
          <cell r="AG26"/>
          <cell r="AH26">
            <v>191405.22099999999</v>
          </cell>
          <cell r="AI26">
            <v>-1403429.7221031282</v>
          </cell>
          <cell r="AJ26">
            <v>22441.96273143444</v>
          </cell>
          <cell r="AK26">
            <v>49399.872646122443</v>
          </cell>
          <cell r="AL26">
            <v>-576886.8973699999</v>
          </cell>
          <cell r="AM26"/>
          <cell r="AN26">
            <v>-505045.06199244293</v>
          </cell>
          <cell r="AO26">
            <v>-106311.3860000006</v>
          </cell>
          <cell r="AP26">
            <v>0</v>
          </cell>
          <cell r="AQ26"/>
          <cell r="AR26"/>
          <cell r="AS26">
            <v>-106311.3860000006</v>
          </cell>
          <cell r="AT26">
            <v>12183.650999999998</v>
          </cell>
          <cell r="AU26">
            <v>4133.387999999999</v>
          </cell>
          <cell r="AV26">
            <v>186187.24400000001</v>
          </cell>
          <cell r="AW26"/>
          <cell r="AX26"/>
          <cell r="AY26"/>
          <cell r="AZ26"/>
          <cell r="BA26">
            <v>202504.283</v>
          </cell>
          <cell r="BB26">
            <v>0</v>
          </cell>
          <cell r="BC26">
            <v>-37537.967000000004</v>
          </cell>
          <cell r="BD26">
            <v>0</v>
          </cell>
          <cell r="BE26">
            <v>-522396.05099999998</v>
          </cell>
          <cell r="BF26">
            <v>-72190.981999999989</v>
          </cell>
          <cell r="BG26">
            <v>-759343.18891000003</v>
          </cell>
          <cell r="BH26">
            <v>-5593.3850000000002</v>
          </cell>
          <cell r="BI26"/>
          <cell r="BJ26">
            <v>-1397061.5739099998</v>
          </cell>
          <cell r="BK26"/>
          <cell r="BL26"/>
          <cell r="BM26"/>
          <cell r="BN26"/>
          <cell r="BO26"/>
        </row>
        <row r="27">
          <cell r="F27">
            <v>-3209343.4610055657</v>
          </cell>
          <cell r="G27">
            <v>-75049.966248348661</v>
          </cell>
          <cell r="H27">
            <v>-502929.0941132087</v>
          </cell>
          <cell r="I27">
            <v>-474783.91498343012</v>
          </cell>
          <cell r="J27">
            <v>-259459.80198481798</v>
          </cell>
          <cell r="K27">
            <v>179560.7136081637</v>
          </cell>
          <cell r="L27">
            <v>-52035.949956670491</v>
          </cell>
          <cell r="M27">
            <v>-218122.16092202067</v>
          </cell>
          <cell r="N27">
            <v>-11926.383918280662</v>
          </cell>
          <cell r="O27">
            <v>-101542.39695368422</v>
          </cell>
          <cell r="P27">
            <v>-4816.5666829804613</v>
          </cell>
          <cell r="Q27">
            <v>-184357.58004346053</v>
          </cell>
          <cell r="R27">
            <v>19943.563352298221</v>
          </cell>
          <cell r="S27">
            <v>-196415.18663159388</v>
          </cell>
          <cell r="T27">
            <v>-118071.59427006601</v>
          </cell>
          <cell r="U27">
            <v>117870.04325542992</v>
          </cell>
          <cell r="V27">
            <v>194571.57739758265</v>
          </cell>
          <cell r="W27">
            <v>92729.755991967511</v>
          </cell>
          <cell r="X27"/>
          <cell r="Y27"/>
          <cell r="Z27">
            <v>-1594834.9431031202</v>
          </cell>
          <cell r="AA27">
            <v>102586.28800000002</v>
          </cell>
          <cell r="AB27">
            <v>-633.46499999999992</v>
          </cell>
          <cell r="AC27">
            <v>27403.841</v>
          </cell>
          <cell r="AD27">
            <v>62048.557000000001</v>
          </cell>
          <cell r="AE27"/>
          <cell r="AF27"/>
          <cell r="AG27"/>
          <cell r="AH27">
            <v>191405.22100000002</v>
          </cell>
          <cell r="AI27">
            <v>-1403429.7221031203</v>
          </cell>
          <cell r="AJ27">
            <v>22441.96273143432</v>
          </cell>
          <cell r="AK27">
            <v>49399.872646122414</v>
          </cell>
          <cell r="AL27">
            <v>-576886.8973699999</v>
          </cell>
          <cell r="AM27"/>
          <cell r="AN27">
            <v>-505045.06199244317</v>
          </cell>
          <cell r="AO27">
            <v>-106311.38600000147</v>
          </cell>
          <cell r="AP27">
            <v>0</v>
          </cell>
          <cell r="AQ27"/>
          <cell r="AR27"/>
          <cell r="AS27">
            <v>-106311.38600000147</v>
          </cell>
          <cell r="AT27">
            <v>12183.651000000002</v>
          </cell>
          <cell r="AU27">
            <v>4133.3879999999981</v>
          </cell>
          <cell r="AV27">
            <v>186187.24400000001</v>
          </cell>
          <cell r="AW27"/>
          <cell r="AX27"/>
          <cell r="AY27"/>
          <cell r="AZ27"/>
          <cell r="BA27">
            <v>202504.283</v>
          </cell>
          <cell r="BB27">
            <v>0</v>
          </cell>
          <cell r="BC27">
            <v>-37537.966999999997</v>
          </cell>
          <cell r="BD27">
            <v>0</v>
          </cell>
          <cell r="BE27">
            <v>-522396.05099999998</v>
          </cell>
          <cell r="BF27">
            <v>-72190.981999999989</v>
          </cell>
          <cell r="BG27">
            <v>-759343.18891000003</v>
          </cell>
          <cell r="BH27">
            <v>-5593.3850000000002</v>
          </cell>
          <cell r="BI27"/>
          <cell r="BJ27">
            <v>-1397061.57391</v>
          </cell>
          <cell r="BK27"/>
          <cell r="BL27"/>
          <cell r="BM27"/>
          <cell r="BN27"/>
          <cell r="BO27"/>
        </row>
        <row r="28">
          <cell r="F28">
            <v>-5.5879354476928711E-9</v>
          </cell>
          <cell r="G28">
            <v>-5.0931703299283981E-10</v>
          </cell>
          <cell r="H28">
            <v>0</v>
          </cell>
          <cell r="I28">
            <v>0</v>
          </cell>
          <cell r="J28">
            <v>0</v>
          </cell>
          <cell r="K28">
            <v>-4.0745362639427185E-10</v>
          </cell>
          <cell r="L28">
            <v>-1.1641532182693481E-10</v>
          </cell>
          <cell r="M28">
            <v>0</v>
          </cell>
          <cell r="N28">
            <v>0</v>
          </cell>
          <cell r="O28">
            <v>-2.3283064365386963E-10</v>
          </cell>
          <cell r="P28">
            <v>3.5652192309498787E-10</v>
          </cell>
          <cell r="Q28">
            <v>-3.4924596548080444E-10</v>
          </cell>
          <cell r="R28">
            <v>-2.2919266484677792E-10</v>
          </cell>
          <cell r="S28">
            <v>4.9476511776447296E-10</v>
          </cell>
          <cell r="T28">
            <v>0</v>
          </cell>
          <cell r="U28">
            <v>0</v>
          </cell>
          <cell r="V28">
            <v>-2.3283064365386963E-10</v>
          </cell>
          <cell r="W28">
            <v>0</v>
          </cell>
          <cell r="X28"/>
          <cell r="Y28"/>
          <cell r="Z28">
            <v>-2.3283064365386963E-9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-7.9162418842315674E-9</v>
          </cell>
          <cell r="AJ28">
            <v>1.2005330063402653E-10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8.7311491370201111E-10</v>
          </cell>
          <cell r="AP28">
            <v>0</v>
          </cell>
          <cell r="AQ28"/>
          <cell r="AR28"/>
          <cell r="AS28">
            <v>8.7311491370201111E-10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100210</v>
          </cell>
          <cell r="H31">
            <v>70152</v>
          </cell>
          <cell r="I31">
            <v>29676</v>
          </cell>
          <cell r="J31">
            <v>24600</v>
          </cell>
          <cell r="K31">
            <v>54348</v>
          </cell>
          <cell r="L31">
            <v>47831</v>
          </cell>
          <cell r="M31">
            <v>22300</v>
          </cell>
          <cell r="N31">
            <v>54343</v>
          </cell>
          <cell r="O31">
            <v>23639</v>
          </cell>
          <cell r="P31">
            <v>30799</v>
          </cell>
          <cell r="Q31">
            <v>30190</v>
          </cell>
          <cell r="R31">
            <v>30905</v>
          </cell>
          <cell r="S31">
            <v>58167</v>
          </cell>
          <cell r="T31">
            <v>5869.5</v>
          </cell>
          <cell r="U31">
            <v>11959</v>
          </cell>
          <cell r="V31">
            <v>42942</v>
          </cell>
          <cell r="W31">
            <v>16655</v>
          </cell>
          <cell r="X31">
            <v>0</v>
          </cell>
          <cell r="Y31">
            <v>0</v>
          </cell>
          <cell r="Z31">
            <v>654585.5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654585.5</v>
          </cell>
          <cell r="AJ31">
            <v>69002</v>
          </cell>
          <cell r="AK31">
            <v>46422</v>
          </cell>
          <cell r="AL31">
            <v>51976</v>
          </cell>
          <cell r="AM31"/>
          <cell r="AN31">
            <v>167400</v>
          </cell>
          <cell r="AO31">
            <v>34222.794999999998</v>
          </cell>
          <cell r="AP31">
            <v>0</v>
          </cell>
          <cell r="AQ31"/>
          <cell r="AR31"/>
          <cell r="AS31">
            <v>34222.794999999998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97219233.713999987</v>
          </cell>
          <cell r="G32">
            <v>9634638.2050000001</v>
          </cell>
          <cell r="H32">
            <v>6832728.6490000002</v>
          </cell>
          <cell r="I32">
            <v>2727197.1150000002</v>
          </cell>
          <cell r="J32">
            <v>2335957.1720000003</v>
          </cell>
          <cell r="K32">
            <v>5788901.5199999996</v>
          </cell>
          <cell r="L32">
            <v>4610261.4179999996</v>
          </cell>
          <cell r="M32">
            <v>2086945.8000000003</v>
          </cell>
          <cell r="N32">
            <v>5511625.0899999999</v>
          </cell>
          <cell r="O32">
            <v>2244018.3769999999</v>
          </cell>
          <cell r="P32">
            <v>3064344.93</v>
          </cell>
          <cell r="Q32">
            <v>2793475.1289999997</v>
          </cell>
          <cell r="R32">
            <v>3283260.8</v>
          </cell>
          <cell r="S32">
            <v>5856490.9810000006</v>
          </cell>
          <cell r="T32">
            <v>616557.65399999998</v>
          </cell>
          <cell r="U32">
            <v>1330541.527</v>
          </cell>
          <cell r="V32">
            <v>4141410.8459999999</v>
          </cell>
          <cell r="W32">
            <v>2017952.2149999999</v>
          </cell>
          <cell r="X32">
            <v>0</v>
          </cell>
          <cell r="Y32">
            <v>0</v>
          </cell>
          <cell r="Z32">
            <v>64876307.427999988</v>
          </cell>
          <cell r="AA32">
            <v>125000</v>
          </cell>
          <cell r="AB32">
            <v>0</v>
          </cell>
          <cell r="AC32">
            <v>37500</v>
          </cell>
          <cell r="AD32">
            <v>85020</v>
          </cell>
          <cell r="AE32"/>
          <cell r="AF32"/>
          <cell r="AG32"/>
          <cell r="AH32">
            <v>247520</v>
          </cell>
          <cell r="AI32">
            <v>65123827.427999988</v>
          </cell>
          <cell r="AJ32">
            <v>1979738.5</v>
          </cell>
          <cell r="AK32">
            <v>651814</v>
          </cell>
          <cell r="AL32">
            <v>946196</v>
          </cell>
          <cell r="AM32"/>
          <cell r="AN32">
            <v>3577748.5</v>
          </cell>
          <cell r="AO32">
            <v>28292343.491999999</v>
          </cell>
          <cell r="AP32">
            <v>0</v>
          </cell>
          <cell r="AQ32"/>
          <cell r="AR32"/>
          <cell r="AS32">
            <v>28292343.491999999</v>
          </cell>
          <cell r="AT32">
            <v>16537.5</v>
          </cell>
          <cell r="AU32">
            <v>17550</v>
          </cell>
          <cell r="AV32">
            <v>186187.24400000001</v>
          </cell>
          <cell r="AW32"/>
          <cell r="AX32"/>
          <cell r="AY32"/>
          <cell r="AZ32"/>
          <cell r="BA32">
            <v>220274.74400000001</v>
          </cell>
          <cell r="BB32">
            <v>0</v>
          </cell>
          <cell r="BC32">
            <v>5039.5499999999993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5039.5499999999993</v>
          </cell>
        </row>
        <row r="33">
          <cell r="F33">
            <v>92500669.80700998</v>
          </cell>
          <cell r="G33">
            <v>8887742.5470000003</v>
          </cell>
          <cell r="H33">
            <v>6697753.0549999997</v>
          </cell>
          <cell r="I33">
            <v>2862006.8079999997</v>
          </cell>
          <cell r="J33">
            <v>2340988.0890000002</v>
          </cell>
          <cell r="K33">
            <v>5066371.7139999997</v>
          </cell>
          <cell r="L33">
            <v>4182359.0080000004</v>
          </cell>
          <cell r="M33">
            <v>2048405.29</v>
          </cell>
          <cell r="N33">
            <v>5020051.4890000001</v>
          </cell>
          <cell r="O33">
            <v>2093945.4580000001</v>
          </cell>
          <cell r="P33">
            <v>2760048.7059999998</v>
          </cell>
          <cell r="Q33">
            <v>2688991.0440000002</v>
          </cell>
          <cell r="R33">
            <v>2956301.0950000002</v>
          </cell>
          <cell r="S33">
            <v>5535045.3730000006</v>
          </cell>
          <cell r="T33">
            <v>658771.69100000011</v>
          </cell>
          <cell r="U33">
            <v>1096931.4040000001</v>
          </cell>
          <cell r="V33">
            <v>3580992.7120000008</v>
          </cell>
          <cell r="W33">
            <v>1741370.355</v>
          </cell>
          <cell r="X33">
            <v>0</v>
          </cell>
          <cell r="Y33">
            <v>0</v>
          </cell>
          <cell r="Z33">
            <v>60218075.837999992</v>
          </cell>
          <cell r="AA33">
            <v>22363.759999999998</v>
          </cell>
          <cell r="AB33">
            <v>0</v>
          </cell>
          <cell r="AC33">
            <v>10096.159</v>
          </cell>
          <cell r="AD33">
            <v>22971.443000000003</v>
          </cell>
          <cell r="AE33"/>
          <cell r="AF33"/>
          <cell r="AG33"/>
          <cell r="AH33">
            <v>55431.362000000001</v>
          </cell>
          <cell r="AI33">
            <v>60273507.199999996</v>
          </cell>
          <cell r="AJ33">
            <v>1879006.8690099998</v>
          </cell>
          <cell r="AK33">
            <v>578800.19198999996</v>
          </cell>
          <cell r="AL33">
            <v>1483259.4270099998</v>
          </cell>
          <cell r="AM33"/>
          <cell r="AN33">
            <v>3941066.4880099995</v>
          </cell>
          <cell r="AO33">
            <v>27959927.392999999</v>
          </cell>
          <cell r="AP33">
            <v>0</v>
          </cell>
          <cell r="AQ33"/>
          <cell r="AR33"/>
          <cell r="AS33">
            <v>27959927.392999999</v>
          </cell>
          <cell r="AT33">
            <v>4353.8490000000002</v>
          </cell>
          <cell r="AU33">
            <v>13416.612000000001</v>
          </cell>
          <cell r="AV33">
            <v>0</v>
          </cell>
          <cell r="AW33"/>
          <cell r="AX33"/>
          <cell r="AY33"/>
          <cell r="AZ33"/>
          <cell r="BA33">
            <v>17770.461000000003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I33"/>
          <cell r="BJ33">
            <v>308398.26500000001</v>
          </cell>
        </row>
        <row r="34">
          <cell r="F34">
            <v>4718563.9069900066</v>
          </cell>
          <cell r="G34">
            <v>746895.65799999982</v>
          </cell>
          <cell r="H34">
            <v>134975.59400000051</v>
          </cell>
          <cell r="I34">
            <v>-134809.6929999995</v>
          </cell>
          <cell r="J34">
            <v>-5030.9169999998994</v>
          </cell>
          <cell r="K34">
            <v>722529.80599999987</v>
          </cell>
          <cell r="L34">
            <v>427902.40999999922</v>
          </cell>
          <cell r="M34">
            <v>38540.510000000242</v>
          </cell>
          <cell r="N34">
            <v>491573.60099999979</v>
          </cell>
          <cell r="O34">
            <v>150072.91899999976</v>
          </cell>
          <cell r="P34">
            <v>304296.22400000039</v>
          </cell>
          <cell r="Q34">
            <v>104484.0849999995</v>
          </cell>
          <cell r="R34">
            <v>326959.70499999961</v>
          </cell>
          <cell r="S34">
            <v>321445.60800000001</v>
          </cell>
          <cell r="T34">
            <v>-42214.037000000128</v>
          </cell>
          <cell r="U34">
            <v>233610.12299999991</v>
          </cell>
          <cell r="V34">
            <v>560418.13399999915</v>
          </cell>
          <cell r="W34">
            <v>276581.85999999987</v>
          </cell>
          <cell r="X34">
            <v>0</v>
          </cell>
          <cell r="Y34">
            <v>0</v>
          </cell>
          <cell r="Z34">
            <v>4658231.5899999961</v>
          </cell>
          <cell r="AA34">
            <v>102636.24</v>
          </cell>
          <cell r="AB34">
            <v>0</v>
          </cell>
          <cell r="AC34">
            <v>27403.841</v>
          </cell>
          <cell r="AD34">
            <v>62048.557000000001</v>
          </cell>
          <cell r="AE34"/>
          <cell r="AF34"/>
          <cell r="AG34"/>
          <cell r="AH34">
            <v>192088.63800000001</v>
          </cell>
          <cell r="AI34">
            <v>4850320.2279999927</v>
          </cell>
          <cell r="AJ34">
            <v>100731.63099000021</v>
          </cell>
          <cell r="AK34">
            <v>73013.808010000037</v>
          </cell>
          <cell r="AL34">
            <v>-537063.42700999975</v>
          </cell>
          <cell r="AM34"/>
          <cell r="AN34">
            <v>-363317.98800999951</v>
          </cell>
          <cell r="AO34">
            <v>332416.09899999946</v>
          </cell>
          <cell r="AP34">
            <v>0</v>
          </cell>
          <cell r="AQ34"/>
          <cell r="AR34"/>
          <cell r="AS34">
            <v>332416.09899999946</v>
          </cell>
          <cell r="AT34">
            <v>12183.651</v>
          </cell>
          <cell r="AU34">
            <v>4133.387999999999</v>
          </cell>
          <cell r="AV34">
            <v>186187.24400000001</v>
          </cell>
          <cell r="AW34"/>
          <cell r="AX34"/>
          <cell r="AY34"/>
          <cell r="AZ34"/>
          <cell r="BA34">
            <v>202504.283</v>
          </cell>
          <cell r="BB34">
            <v>0</v>
          </cell>
          <cell r="BC34">
            <v>5039.5499999999993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I34"/>
          <cell r="BJ34">
            <v>-303358.71500000003</v>
          </cell>
        </row>
        <row r="35">
          <cell r="F35">
            <v>7927907.3679955648</v>
          </cell>
          <cell r="G35">
            <v>821945.62424834981</v>
          </cell>
          <cell r="H35">
            <v>637904.68811320921</v>
          </cell>
          <cell r="I35">
            <v>339974.22198343038</v>
          </cell>
          <cell r="J35">
            <v>254428.884984818</v>
          </cell>
          <cell r="K35">
            <v>542969.09239183622</v>
          </cell>
          <cell r="L35">
            <v>479938.35995667003</v>
          </cell>
          <cell r="M35">
            <v>256662.67092202077</v>
          </cell>
          <cell r="N35">
            <v>503499.9849182805</v>
          </cell>
          <cell r="O35">
            <v>251615.31595368418</v>
          </cell>
          <cell r="P35">
            <v>309112.79068298056</v>
          </cell>
          <cell r="Q35">
            <v>288841.66504346038</v>
          </cell>
          <cell r="R35">
            <v>307016.14164770173</v>
          </cell>
          <cell r="S35">
            <v>517860.79463159374</v>
          </cell>
          <cell r="T35">
            <v>75857.55727006594</v>
          </cell>
          <cell r="U35">
            <v>115740.07974457013</v>
          </cell>
          <cell r="V35">
            <v>365846.55660241697</v>
          </cell>
          <cell r="W35">
            <v>183852.10400803242</v>
          </cell>
          <cell r="X35">
            <v>0</v>
          </cell>
          <cell r="Y35">
            <v>0</v>
          </cell>
          <cell r="Z35">
            <v>6253066.5331031205</v>
          </cell>
          <cell r="AA35">
            <v>49.951999999999998</v>
          </cell>
          <cell r="AB35">
            <v>633.46499999999992</v>
          </cell>
          <cell r="AC35">
            <v>0</v>
          </cell>
          <cell r="AD35">
            <v>0</v>
          </cell>
          <cell r="AE35"/>
          <cell r="AF35"/>
          <cell r="AG35"/>
          <cell r="AH35">
            <v>683.41699999999992</v>
          </cell>
          <cell r="AI35">
            <v>6253749.9501031209</v>
          </cell>
          <cell r="AJ35">
            <v>78289.668258565667</v>
          </cell>
          <cell r="AK35">
            <v>23613.935363877623</v>
          </cell>
          <cell r="AL35">
            <v>39823.470359999992</v>
          </cell>
          <cell r="AM35"/>
          <cell r="AN35">
            <v>141727.07398244328</v>
          </cell>
          <cell r="AO35">
            <v>438727.48500000004</v>
          </cell>
          <cell r="AP35">
            <v>0</v>
          </cell>
          <cell r="AQ35"/>
          <cell r="AR35"/>
          <cell r="AS35">
            <v>438727.48500000004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42577.517</v>
          </cell>
          <cell r="BD35">
            <v>0</v>
          </cell>
          <cell r="BE35">
            <v>522396.05099999998</v>
          </cell>
          <cell r="BF35">
            <v>72190.981999999989</v>
          </cell>
          <cell r="BG35">
            <v>456538.30891000002</v>
          </cell>
          <cell r="BH35">
            <v>0</v>
          </cell>
          <cell r="BI35"/>
          <cell r="BJ35">
            <v>1093702.85891</v>
          </cell>
        </row>
        <row r="36">
          <cell r="F36">
            <v>-3209343.4610055583</v>
          </cell>
          <cell r="G36">
            <v>-75049.966248349985</v>
          </cell>
          <cell r="H36">
            <v>-502929.0941132087</v>
          </cell>
          <cell r="I36">
            <v>-474783.91498342989</v>
          </cell>
          <cell r="J36">
            <v>-259459.8019848179</v>
          </cell>
          <cell r="K36">
            <v>179560.71360816364</v>
          </cell>
          <cell r="L36">
            <v>-52035.949956670811</v>
          </cell>
          <cell r="M36">
            <v>-218122.16092202053</v>
          </cell>
          <cell r="N36">
            <v>-11926.383918280713</v>
          </cell>
          <cell r="O36">
            <v>-101542.39695368442</v>
          </cell>
          <cell r="P36">
            <v>-4816.566682980163</v>
          </cell>
          <cell r="Q36">
            <v>-184357.58004346088</v>
          </cell>
          <cell r="R36">
            <v>19943.563352297875</v>
          </cell>
          <cell r="S36">
            <v>-196415.18663159374</v>
          </cell>
          <cell r="T36">
            <v>-118071.59427006607</v>
          </cell>
          <cell r="U36">
            <v>117870.04325542977</v>
          </cell>
          <cell r="V36">
            <v>194571.57739758218</v>
          </cell>
          <cell r="W36">
            <v>92729.755991967453</v>
          </cell>
          <cell r="X36">
            <v>0</v>
          </cell>
          <cell r="Y36">
            <v>0</v>
          </cell>
          <cell r="Z36">
            <v>-1594834.9431031244</v>
          </cell>
          <cell r="AA36">
            <v>102586.288</v>
          </cell>
          <cell r="AB36">
            <v>-633.46499999999992</v>
          </cell>
          <cell r="AC36">
            <v>27403.841</v>
          </cell>
          <cell r="AD36">
            <v>62048.557000000001</v>
          </cell>
          <cell r="AE36"/>
          <cell r="AF36"/>
          <cell r="AG36"/>
          <cell r="AH36">
            <v>191405.22100000002</v>
          </cell>
          <cell r="AI36">
            <v>-1403429.7221031282</v>
          </cell>
          <cell r="AJ36">
            <v>22441.962731434542</v>
          </cell>
          <cell r="AK36">
            <v>49399.872646122414</v>
          </cell>
          <cell r="AL36">
            <v>-576886.89736999979</v>
          </cell>
          <cell r="AM36"/>
          <cell r="AN36">
            <v>-505045.06199244282</v>
          </cell>
          <cell r="AO36">
            <v>-106311.38600000058</v>
          </cell>
          <cell r="AP36">
            <v>0</v>
          </cell>
          <cell r="AQ36"/>
          <cell r="AR36"/>
          <cell r="AS36">
            <v>-106311.38600000058</v>
          </cell>
          <cell r="AT36">
            <v>12183.651</v>
          </cell>
          <cell r="AU36">
            <v>4133.387999999999</v>
          </cell>
          <cell r="AV36">
            <v>186187.24400000001</v>
          </cell>
          <cell r="AW36"/>
          <cell r="AX36"/>
          <cell r="AY36"/>
          <cell r="AZ36"/>
          <cell r="BA36">
            <v>202504.283</v>
          </cell>
          <cell r="BB36">
            <v>0</v>
          </cell>
          <cell r="BC36">
            <v>-37537.967000000004</v>
          </cell>
          <cell r="BD36">
            <v>0</v>
          </cell>
          <cell r="BE36">
            <v>-522396.05099999998</v>
          </cell>
          <cell r="BF36">
            <v>-72190.981999999989</v>
          </cell>
          <cell r="BG36">
            <v>-759343.18891000003</v>
          </cell>
          <cell r="BH36">
            <v>-5593.3850000000002</v>
          </cell>
          <cell r="BI36"/>
          <cell r="BJ36">
            <v>-1397061.57391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M38"/>
          <cell r="AN38">
            <v>-30260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-647732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M39"/>
          <cell r="AN39">
            <v>-647732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-647732</v>
          </cell>
          <cell r="G40"/>
          <cell r="H40"/>
          <cell r="I40"/>
          <cell r="J40"/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78201.733999999997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M40"/>
          <cell r="AN40">
            <v>-725933.73399999994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M41"/>
          <cell r="AN41">
            <v>78201.733999999939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M43"/>
          <cell r="AN43">
            <v>78201.733999999939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F45"/>
          <cell r="G45">
            <v>100210</v>
          </cell>
          <cell r="H45">
            <v>70152</v>
          </cell>
          <cell r="I45">
            <v>29676</v>
          </cell>
          <cell r="J45">
            <v>24600</v>
          </cell>
          <cell r="K45">
            <v>54348</v>
          </cell>
          <cell r="L45">
            <v>47831</v>
          </cell>
          <cell r="M45">
            <v>22300</v>
          </cell>
          <cell r="N45">
            <v>54343</v>
          </cell>
          <cell r="O45">
            <v>23639</v>
          </cell>
          <cell r="P45">
            <v>30799</v>
          </cell>
          <cell r="Q45">
            <v>30190</v>
          </cell>
          <cell r="R45">
            <v>30905</v>
          </cell>
          <cell r="S45">
            <v>58167</v>
          </cell>
          <cell r="T45">
            <v>5869.5</v>
          </cell>
          <cell r="U45">
            <v>11959</v>
          </cell>
          <cell r="V45">
            <v>42942</v>
          </cell>
          <cell r="W45">
            <v>16655</v>
          </cell>
          <cell r="X45">
            <v>0</v>
          </cell>
          <cell r="Y45">
            <v>0</v>
          </cell>
          <cell r="Z45">
            <v>654585.5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654585.5</v>
          </cell>
          <cell r="AJ45">
            <v>59030</v>
          </cell>
          <cell r="AK45">
            <v>46422</v>
          </cell>
          <cell r="AL45">
            <v>31688</v>
          </cell>
          <cell r="AM45"/>
          <cell r="AN45">
            <v>137140</v>
          </cell>
          <cell r="AO45">
            <v>34222.794999999998</v>
          </cell>
          <cell r="AP45">
            <v>0</v>
          </cell>
          <cell r="AQ45"/>
          <cell r="AR45"/>
          <cell r="AS45">
            <v>34222.794999999998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96571501.713999987</v>
          </cell>
          <cell r="G46">
            <v>9634638.2050000001</v>
          </cell>
          <cell r="H46">
            <v>6832728.6490000002</v>
          </cell>
          <cell r="I46">
            <v>2727197.1150000002</v>
          </cell>
          <cell r="J46">
            <v>2335957.1720000003</v>
          </cell>
          <cell r="K46">
            <v>5788901.5199999996</v>
          </cell>
          <cell r="L46">
            <v>4610261.4179999996</v>
          </cell>
          <cell r="M46">
            <v>2086945.8000000003</v>
          </cell>
          <cell r="N46">
            <v>5511625.0899999999</v>
          </cell>
          <cell r="O46">
            <v>2244018.3769999999</v>
          </cell>
          <cell r="P46">
            <v>3064344.93</v>
          </cell>
          <cell r="Q46">
            <v>2793475.1289999997</v>
          </cell>
          <cell r="R46">
            <v>3283260.8</v>
          </cell>
          <cell r="S46">
            <v>5856490.9810000006</v>
          </cell>
          <cell r="T46">
            <v>616557.65399999998</v>
          </cell>
          <cell r="U46">
            <v>1330541.527</v>
          </cell>
          <cell r="V46">
            <v>4141410.8459999999</v>
          </cell>
          <cell r="W46">
            <v>2017952.2149999999</v>
          </cell>
          <cell r="X46">
            <v>0</v>
          </cell>
          <cell r="Y46">
            <v>0</v>
          </cell>
          <cell r="Z46">
            <v>64876307.427999988</v>
          </cell>
          <cell r="AA46">
            <v>125000</v>
          </cell>
          <cell r="AB46">
            <v>0</v>
          </cell>
          <cell r="AC46">
            <v>37500</v>
          </cell>
          <cell r="AD46">
            <v>85020</v>
          </cell>
          <cell r="AE46"/>
          <cell r="AF46"/>
          <cell r="AG46"/>
          <cell r="AH46">
            <v>247520</v>
          </cell>
          <cell r="AI46">
            <v>65123827.427999988</v>
          </cell>
          <cell r="AJ46">
            <v>1689458.5</v>
          </cell>
          <cell r="AK46">
            <v>651814</v>
          </cell>
          <cell r="AL46">
            <v>588744</v>
          </cell>
          <cell r="AM46"/>
          <cell r="AN46">
            <v>2930016.5</v>
          </cell>
          <cell r="AO46">
            <v>28292343.491999999</v>
          </cell>
          <cell r="AP46">
            <v>0</v>
          </cell>
          <cell r="AQ46"/>
          <cell r="AR46"/>
          <cell r="AS46">
            <v>28292343.491999999</v>
          </cell>
          <cell r="AT46">
            <v>16537.5</v>
          </cell>
          <cell r="AU46">
            <v>17550</v>
          </cell>
          <cell r="AV46">
            <v>186187.24400000001</v>
          </cell>
          <cell r="AW46"/>
          <cell r="AX46"/>
          <cell r="AY46"/>
          <cell r="AZ46"/>
          <cell r="BA46">
            <v>220274.74400000001</v>
          </cell>
          <cell r="BB46">
            <v>0</v>
          </cell>
          <cell r="BC46">
            <v>5039.5499999999993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5039.5499999999993</v>
          </cell>
        </row>
        <row r="47">
          <cell r="F47">
            <v>91852937.80700998</v>
          </cell>
          <cell r="G47">
            <v>8887742.5470000003</v>
          </cell>
          <cell r="H47">
            <v>6697753.0549999997</v>
          </cell>
          <cell r="I47">
            <v>2862006.8079999997</v>
          </cell>
          <cell r="J47">
            <v>2340988.0890000002</v>
          </cell>
          <cell r="K47">
            <v>5080198.22</v>
          </cell>
          <cell r="L47">
            <v>4245854.3820000002</v>
          </cell>
          <cell r="M47">
            <v>2047034.656</v>
          </cell>
          <cell r="N47">
            <v>5022301.977</v>
          </cell>
          <cell r="O47">
            <v>2093945.4580000001</v>
          </cell>
          <cell r="P47">
            <v>2760048.7059999998</v>
          </cell>
          <cell r="Q47">
            <v>2688991.0440000002</v>
          </cell>
          <cell r="R47">
            <v>2956301.0950000002</v>
          </cell>
          <cell r="S47">
            <v>5535045.3730000006</v>
          </cell>
          <cell r="T47">
            <v>658771.69100000011</v>
          </cell>
          <cell r="U47">
            <v>1096931.4040000001</v>
          </cell>
          <cell r="V47">
            <v>3580992.7120000008</v>
          </cell>
          <cell r="W47">
            <v>1741370.355</v>
          </cell>
          <cell r="X47">
            <v>0</v>
          </cell>
          <cell r="Y47">
            <v>0</v>
          </cell>
          <cell r="Z47">
            <v>60296277.571999989</v>
          </cell>
          <cell r="AA47">
            <v>22363.759999999998</v>
          </cell>
          <cell r="AB47">
            <v>0</v>
          </cell>
          <cell r="AC47">
            <v>10096.159</v>
          </cell>
          <cell r="AD47">
            <v>22971.443000000003</v>
          </cell>
          <cell r="AE47"/>
          <cell r="AF47"/>
          <cell r="AG47"/>
          <cell r="AH47">
            <v>55431.362000000001</v>
          </cell>
          <cell r="AI47">
            <v>60351708.933999993</v>
          </cell>
          <cell r="AJ47">
            <v>1613034.6000099997</v>
          </cell>
          <cell r="AK47">
            <v>578800.19198999996</v>
          </cell>
          <cell r="AL47">
            <v>1023297.9620099997</v>
          </cell>
          <cell r="AM47"/>
          <cell r="AN47">
            <v>3215132.7540099993</v>
          </cell>
          <cell r="AO47">
            <v>27959927.392999999</v>
          </cell>
          <cell r="AP47">
            <v>0</v>
          </cell>
          <cell r="AQ47"/>
          <cell r="AR47"/>
          <cell r="AS47">
            <v>27959927.392999999</v>
          </cell>
          <cell r="AT47">
            <v>4353.8490000000002</v>
          </cell>
          <cell r="AU47">
            <v>13416.612000000001</v>
          </cell>
          <cell r="AV47">
            <v>0</v>
          </cell>
          <cell r="AW47"/>
          <cell r="AX47"/>
          <cell r="AY47"/>
          <cell r="AZ47"/>
          <cell r="BA47">
            <v>17770.461000000003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I47"/>
          <cell r="BJ47">
            <v>308398.26500000001</v>
          </cell>
        </row>
        <row r="48">
          <cell r="F48">
            <v>4718563.9069900066</v>
          </cell>
          <cell r="G48">
            <v>746895.65799999982</v>
          </cell>
          <cell r="H48">
            <v>134975.59400000051</v>
          </cell>
          <cell r="I48">
            <v>-134809.6929999995</v>
          </cell>
          <cell r="J48">
            <v>-5030.9169999998994</v>
          </cell>
          <cell r="K48">
            <v>708703.29999999981</v>
          </cell>
          <cell r="L48">
            <v>364407.03599999938</v>
          </cell>
          <cell r="M48">
            <v>39911.14400000032</v>
          </cell>
          <cell r="N48">
            <v>489323.1129999999</v>
          </cell>
          <cell r="O48">
            <v>150072.91899999976</v>
          </cell>
          <cell r="P48">
            <v>304296.22400000039</v>
          </cell>
          <cell r="Q48">
            <v>104484.0849999995</v>
          </cell>
          <cell r="R48">
            <v>326959.70499999961</v>
          </cell>
          <cell r="S48">
            <v>321445.60800000001</v>
          </cell>
          <cell r="T48">
            <v>-42214.037000000128</v>
          </cell>
          <cell r="U48">
            <v>233610.12299999991</v>
          </cell>
          <cell r="V48">
            <v>560418.13399999915</v>
          </cell>
          <cell r="W48">
            <v>276581.85999999987</v>
          </cell>
          <cell r="X48">
            <v>0</v>
          </cell>
          <cell r="Y48">
            <v>0</v>
          </cell>
          <cell r="Z48">
            <v>4580029.8559999987</v>
          </cell>
          <cell r="AA48">
            <v>102636.24</v>
          </cell>
          <cell r="AB48">
            <v>0</v>
          </cell>
          <cell r="AC48">
            <v>27403.841</v>
          </cell>
          <cell r="AD48">
            <v>62048.557000000001</v>
          </cell>
          <cell r="AE48"/>
          <cell r="AF48"/>
          <cell r="AG48"/>
          <cell r="AH48">
            <v>192088.63800000001</v>
          </cell>
          <cell r="AI48">
            <v>4772118.4939999953</v>
          </cell>
          <cell r="AJ48">
            <v>76423.899990000296</v>
          </cell>
          <cell r="AK48">
            <v>73013.808010000037</v>
          </cell>
          <cell r="AL48">
            <v>-434553.96200999967</v>
          </cell>
          <cell r="AM48"/>
          <cell r="AN48">
            <v>-285116.25400999933</v>
          </cell>
          <cell r="AO48">
            <v>332416.09899999946</v>
          </cell>
          <cell r="AP48">
            <v>0</v>
          </cell>
          <cell r="AQ48"/>
          <cell r="AR48"/>
          <cell r="AS48">
            <v>332416.09899999946</v>
          </cell>
          <cell r="AT48">
            <v>12183.651</v>
          </cell>
          <cell r="AU48">
            <v>4133.387999999999</v>
          </cell>
          <cell r="AV48">
            <v>186187.24400000001</v>
          </cell>
          <cell r="AW48"/>
          <cell r="AX48"/>
          <cell r="AY48"/>
          <cell r="AZ48"/>
          <cell r="BA48">
            <v>202504.283</v>
          </cell>
          <cell r="BB48">
            <v>0</v>
          </cell>
          <cell r="BC48">
            <v>5039.5499999999993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I48"/>
          <cell r="BJ48">
            <v>-303358.71500000003</v>
          </cell>
        </row>
        <row r="49">
          <cell r="F49">
            <v>7927907.3679955648</v>
          </cell>
          <cell r="G49">
            <v>821945.62424834981</v>
          </cell>
          <cell r="H49">
            <v>637904.68811320921</v>
          </cell>
          <cell r="I49">
            <v>339974.22198343038</v>
          </cell>
          <cell r="J49">
            <v>254428.884984818</v>
          </cell>
          <cell r="K49">
            <v>542969.09239183622</v>
          </cell>
          <cell r="L49">
            <v>479938.35995667003</v>
          </cell>
          <cell r="M49">
            <v>256662.67092202077</v>
          </cell>
          <cell r="N49">
            <v>503499.9849182805</v>
          </cell>
          <cell r="O49">
            <v>251615.31595368418</v>
          </cell>
          <cell r="P49">
            <v>309112.79068298056</v>
          </cell>
          <cell r="Q49">
            <v>288841.66504346038</v>
          </cell>
          <cell r="R49">
            <v>307016.14164770173</v>
          </cell>
          <cell r="S49">
            <v>517860.79463159374</v>
          </cell>
          <cell r="T49">
            <v>75857.55727006594</v>
          </cell>
          <cell r="U49">
            <v>115740.07974457013</v>
          </cell>
          <cell r="V49">
            <v>365846.55660241697</v>
          </cell>
          <cell r="W49">
            <v>183852.10400803242</v>
          </cell>
          <cell r="X49">
            <v>0</v>
          </cell>
          <cell r="Y49">
            <v>0</v>
          </cell>
          <cell r="Z49">
            <v>6253066.5331031205</v>
          </cell>
          <cell r="AA49">
            <v>49.951999999999998</v>
          </cell>
          <cell r="AB49">
            <v>633.46499999999992</v>
          </cell>
          <cell r="AC49">
            <v>0</v>
          </cell>
          <cell r="AD49">
            <v>0</v>
          </cell>
          <cell r="AE49"/>
          <cell r="AF49"/>
          <cell r="AG49"/>
          <cell r="AH49">
            <v>683.41699999999992</v>
          </cell>
          <cell r="AI49">
            <v>6253749.9501031209</v>
          </cell>
          <cell r="AJ49">
            <v>78289.668258565667</v>
          </cell>
          <cell r="AK49">
            <v>23613.935363877623</v>
          </cell>
          <cell r="AL49">
            <v>39823.470359999992</v>
          </cell>
          <cell r="AM49"/>
          <cell r="AN49">
            <v>141727.07398244328</v>
          </cell>
          <cell r="AO49">
            <v>438727.48500000004</v>
          </cell>
          <cell r="AP49">
            <v>0</v>
          </cell>
          <cell r="AQ49"/>
          <cell r="AR49"/>
          <cell r="AS49">
            <v>438727.48500000004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42577.517</v>
          </cell>
          <cell r="BD49">
            <v>0</v>
          </cell>
          <cell r="BE49">
            <v>522396.05099999998</v>
          </cell>
          <cell r="BF49">
            <v>72190.981999999989</v>
          </cell>
          <cell r="BG49">
            <v>456538.30891000002</v>
          </cell>
          <cell r="BH49">
            <v>0</v>
          </cell>
          <cell r="BI49"/>
          <cell r="BJ49">
            <v>1093702.85891</v>
          </cell>
        </row>
        <row r="50">
          <cell r="F50">
            <v>-3209343.4610055583</v>
          </cell>
          <cell r="G50">
            <v>-75049.966248349985</v>
          </cell>
          <cell r="H50">
            <v>-502929.0941132087</v>
          </cell>
          <cell r="I50">
            <v>-474783.91498342989</v>
          </cell>
          <cell r="J50">
            <v>-259459.8019848179</v>
          </cell>
          <cell r="K50">
            <v>165734.20760816359</v>
          </cell>
          <cell r="L50">
            <v>-115531.32395667065</v>
          </cell>
          <cell r="M50">
            <v>-216751.52692202045</v>
          </cell>
          <cell r="N50">
            <v>-14176.871918280609</v>
          </cell>
          <cell r="O50">
            <v>-101542.39695368442</v>
          </cell>
          <cell r="P50">
            <v>-4816.566682980163</v>
          </cell>
          <cell r="Q50">
            <v>-184357.58004346088</v>
          </cell>
          <cell r="R50">
            <v>19943.563352297875</v>
          </cell>
          <cell r="S50">
            <v>-196415.18663159374</v>
          </cell>
          <cell r="T50">
            <v>-118071.59427006607</v>
          </cell>
          <cell r="U50">
            <v>117870.04325542977</v>
          </cell>
          <cell r="V50">
            <v>194571.57739758218</v>
          </cell>
          <cell r="W50">
            <v>92729.755991967453</v>
          </cell>
          <cell r="X50">
            <v>0</v>
          </cell>
          <cell r="Y50">
            <v>0</v>
          </cell>
          <cell r="Z50">
            <v>-1673036.6771031218</v>
          </cell>
          <cell r="AA50">
            <v>102586.288</v>
          </cell>
          <cell r="AB50">
            <v>-633.46499999999992</v>
          </cell>
          <cell r="AC50">
            <v>27403.841</v>
          </cell>
          <cell r="AD50">
            <v>62048.557000000001</v>
          </cell>
          <cell r="AE50"/>
          <cell r="AF50"/>
          <cell r="AG50"/>
          <cell r="AH50">
            <v>191405.22100000002</v>
          </cell>
          <cell r="AI50">
            <v>-1481631.4561031256</v>
          </cell>
          <cell r="AJ50">
            <v>-1865.7682685653708</v>
          </cell>
          <cell r="AK50">
            <v>49399.872646122414</v>
          </cell>
          <cell r="AL50">
            <v>-474377.43236999965</v>
          </cell>
          <cell r="AM50"/>
          <cell r="AN50">
            <v>-426843.32799244265</v>
          </cell>
          <cell r="AO50">
            <v>-106311.38600000058</v>
          </cell>
          <cell r="AP50">
            <v>0</v>
          </cell>
          <cell r="AQ50"/>
          <cell r="AR50"/>
          <cell r="AS50">
            <v>-106311.38600000058</v>
          </cell>
          <cell r="AT50">
            <v>12183.651</v>
          </cell>
          <cell r="AU50">
            <v>4133.387999999999</v>
          </cell>
          <cell r="AV50">
            <v>186187.24400000001</v>
          </cell>
          <cell r="AW50"/>
          <cell r="AX50"/>
          <cell r="AY50"/>
          <cell r="AZ50"/>
          <cell r="BA50">
            <v>202504.283</v>
          </cell>
          <cell r="BB50">
            <v>0</v>
          </cell>
          <cell r="BC50">
            <v>-37537.967000000004</v>
          </cell>
          <cell r="BD50">
            <v>0</v>
          </cell>
          <cell r="BE50">
            <v>-522396.05099999998</v>
          </cell>
          <cell r="BF50">
            <v>-72190.981999999989</v>
          </cell>
          <cell r="BG50">
            <v>-759343.18891000003</v>
          </cell>
          <cell r="BH50">
            <v>-5593.3850000000002</v>
          </cell>
          <cell r="BI50"/>
          <cell r="BJ50">
            <v>-1397061.57391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>
        <row r="6">
          <cell r="F6" t="str">
            <v>합계</v>
          </cell>
        </row>
      </sheetData>
      <sheetData sheetId="14"/>
      <sheetData sheetId="15">
        <row r="6">
          <cell r="F6" t="str">
            <v>합계</v>
          </cell>
        </row>
      </sheetData>
      <sheetData sheetId="16"/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>
        <row r="6">
          <cell r="F6" t="str">
            <v>합계</v>
          </cell>
        </row>
      </sheetData>
      <sheetData sheetId="28">
        <row r="6">
          <cell r="F6" t="str">
            <v>합계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 refreshError="1">
        <row r="5">
          <cell r="O5">
            <v>237789.5</v>
          </cell>
          <cell r="T5">
            <v>258500</v>
          </cell>
          <cell r="U5">
            <v>238277</v>
          </cell>
        </row>
        <row r="6">
          <cell r="H6">
            <v>459.38570787756447</v>
          </cell>
        </row>
        <row r="9">
          <cell r="E9">
            <v>291.22891989970196</v>
          </cell>
          <cell r="F9">
            <v>272.24993382802853</v>
          </cell>
          <cell r="G9">
            <v>97496.758113411066</v>
          </cell>
          <cell r="H9">
            <v>100485.23840360728</v>
          </cell>
        </row>
        <row r="10">
          <cell r="E10">
            <v>30.641291983130341</v>
          </cell>
          <cell r="F10">
            <v>56.197950834666798</v>
          </cell>
          <cell r="G10">
            <v>91700.575784405795</v>
          </cell>
          <cell r="H10">
            <v>96023.639589818384</v>
          </cell>
        </row>
        <row r="11">
          <cell r="E11">
            <v>0</v>
          </cell>
          <cell r="F11">
            <v>6.4734780551706432</v>
          </cell>
        </row>
        <row r="12">
          <cell r="E12">
            <v>30.309569247532881</v>
          </cell>
          <cell r="F12">
            <v>33.104291737019508</v>
          </cell>
          <cell r="G12">
            <v>59582.232771882649</v>
          </cell>
          <cell r="H12">
            <v>60165.87189868986</v>
          </cell>
        </row>
        <row r="13">
          <cell r="E13">
            <v>24.603206431769244</v>
          </cell>
          <cell r="F13">
            <v>26.044366172602238</v>
          </cell>
          <cell r="G13">
            <v>36039.36310741651</v>
          </cell>
          <cell r="H13">
            <v>34915.146482738361</v>
          </cell>
        </row>
        <row r="14">
          <cell r="E14">
            <v>6.9845893575530615E-2</v>
          </cell>
          <cell r="F14">
            <v>0</v>
          </cell>
        </row>
        <row r="15">
          <cell r="E15">
            <v>376.85283345570991</v>
          </cell>
          <cell r="F15">
            <v>394.07002062748774</v>
          </cell>
          <cell r="G15">
            <v>90105.101596672306</v>
          </cell>
          <cell r="S15">
            <v>2403.8505364832672</v>
          </cell>
          <cell r="U15">
            <v>1357.248197546752</v>
          </cell>
        </row>
        <row r="16">
          <cell r="E16">
            <v>829.65557945946546</v>
          </cell>
          <cell r="F16">
            <v>811.26876673276161</v>
          </cell>
          <cell r="G16">
            <v>12957.369525965174</v>
          </cell>
          <cell r="H16">
            <v>12998.037074560843</v>
          </cell>
        </row>
        <row r="17">
          <cell r="E17">
            <v>894.35508449616441</v>
          </cell>
          <cell r="F17">
            <v>890.90212254115499</v>
          </cell>
          <cell r="G17">
            <v>15626.485844941251</v>
          </cell>
          <cell r="H17">
            <v>15221.419209520996</v>
          </cell>
        </row>
        <row r="19">
          <cell r="E19">
            <v>3.2375479364774931</v>
          </cell>
          <cell r="F19">
            <v>3.3007833188597471</v>
          </cell>
        </row>
        <row r="20">
          <cell r="Q20">
            <v>61557.842525536122</v>
          </cell>
          <cell r="R20">
            <v>63667.435084391873</v>
          </cell>
        </row>
        <row r="21">
          <cell r="Q21">
            <v>19317.367620884859</v>
          </cell>
          <cell r="R21">
            <v>19793.117656582817</v>
          </cell>
        </row>
        <row r="22">
          <cell r="Q22">
            <v>237.48839458413926</v>
          </cell>
          <cell r="R22">
            <v>289.41814504004594</v>
          </cell>
        </row>
        <row r="50">
          <cell r="Q50">
            <v>90234.889500386154</v>
          </cell>
          <cell r="R50">
            <v>92550.65598354848</v>
          </cell>
        </row>
        <row r="56">
          <cell r="L56">
            <v>-413545.89107944677</v>
          </cell>
        </row>
        <row r="61">
          <cell r="T61">
            <v>102249.90009937297</v>
          </cell>
          <cell r="U61">
            <v>102799.58381374026</v>
          </cell>
        </row>
        <row r="80">
          <cell r="H80">
            <v>687413.98400000005</v>
          </cell>
          <cell r="I80">
            <v>671005.59100000001</v>
          </cell>
          <cell r="L80">
            <v>16408.393000000109</v>
          </cell>
        </row>
        <row r="85">
          <cell r="H85">
            <v>351286.12944510113</v>
          </cell>
          <cell r="I85">
            <v>489270.46676999994</v>
          </cell>
          <cell r="L85">
            <v>-137984.33732489881</v>
          </cell>
          <cell r="Q85">
            <v>102249.90009937297</v>
          </cell>
          <cell r="R85">
            <v>102799.58381374026</v>
          </cell>
        </row>
        <row r="86">
          <cell r="H86">
            <v>2067180.1263929922</v>
          </cell>
          <cell r="I86">
            <v>1414455.7900000094</v>
          </cell>
          <cell r="K86">
            <v>130677.68362582158</v>
          </cell>
          <cell r="M86">
            <v>-248280.18461445882</v>
          </cell>
        </row>
        <row r="89">
          <cell r="Q89">
            <v>81112.698541005127</v>
          </cell>
          <cell r="R89">
            <v>83749.970886014737</v>
          </cell>
        </row>
        <row r="90">
          <cell r="Q90">
            <v>21137.201558367844</v>
          </cell>
          <cell r="R90">
            <v>19049.612927725524</v>
          </cell>
        </row>
      </sheetData>
      <sheetData sheetId="1" refreshError="1">
        <row r="5">
          <cell r="T5">
            <v>102000</v>
          </cell>
          <cell r="U5">
            <v>99251</v>
          </cell>
        </row>
        <row r="9">
          <cell r="E9">
            <v>313.21234313725489</v>
          </cell>
          <cell r="F9">
            <v>291.28099740696462</v>
          </cell>
          <cell r="G9">
            <v>97000</v>
          </cell>
          <cell r="H9">
            <v>100361.33053516323</v>
          </cell>
        </row>
        <row r="10">
          <cell r="E10">
            <v>17.058823529411764</v>
          </cell>
          <cell r="F10">
            <v>36.810416506290132</v>
          </cell>
          <cell r="G10">
            <v>95767.241379310348</v>
          </cell>
          <cell r="H10">
            <v>98961.275674737903</v>
          </cell>
        </row>
        <row r="11">
          <cell r="E11">
            <v>0</v>
          </cell>
          <cell r="F11">
            <v>14.614316694690352</v>
          </cell>
        </row>
        <row r="12">
          <cell r="E12">
            <v>36.123508823529413</v>
          </cell>
          <cell r="F12">
            <v>35.094040070498146</v>
          </cell>
          <cell r="G12">
            <v>60000.000000000007</v>
          </cell>
          <cell r="H12">
            <v>59414.335325755441</v>
          </cell>
        </row>
        <row r="13">
          <cell r="E13">
            <v>25.77800980392157</v>
          </cell>
          <cell r="F13">
            <v>22.38613597228693</v>
          </cell>
          <cell r="G13">
            <v>39844.62513078293</v>
          </cell>
          <cell r="H13">
            <v>37736.724243623241</v>
          </cell>
        </row>
        <row r="14">
          <cell r="E14">
            <v>0</v>
          </cell>
          <cell r="F14">
            <v>0</v>
          </cell>
        </row>
        <row r="15">
          <cell r="E15">
            <v>392.17268529411763</v>
          </cell>
          <cell r="F15">
            <v>400.18590665073015</v>
          </cell>
        </row>
        <row r="16">
          <cell r="E16">
            <v>853.1006470588236</v>
          </cell>
          <cell r="F16">
            <v>840.82907346595664</v>
          </cell>
          <cell r="G16">
            <v>14880.340885538188</v>
          </cell>
          <cell r="H16">
            <v>14732.759490751661</v>
          </cell>
        </row>
        <row r="17">
          <cell r="E17">
            <v>880.44334313725494</v>
          </cell>
          <cell r="F17">
            <v>860.42982869760715</v>
          </cell>
          <cell r="G17">
            <v>13717.343173736836</v>
          </cell>
          <cell r="H17">
            <v>13464.470029640581</v>
          </cell>
        </row>
        <row r="19">
          <cell r="E19">
            <v>3.3829379413921568</v>
          </cell>
          <cell r="F19">
            <v>3.4088377428438301</v>
          </cell>
        </row>
        <row r="20">
          <cell r="Q20">
            <v>62937.330847408273</v>
          </cell>
          <cell r="R20">
            <v>64695.014393371559</v>
          </cell>
        </row>
        <row r="21">
          <cell r="Q21">
            <v>19144.016281511827</v>
          </cell>
          <cell r="R21">
            <v>19667.851548730829</v>
          </cell>
        </row>
        <row r="22">
          <cell r="Q22">
            <v>242.65441176470586</v>
          </cell>
          <cell r="R22">
            <v>272.40101898182849</v>
          </cell>
        </row>
        <row r="50">
          <cell r="Q50">
            <v>90006.837118299183</v>
          </cell>
          <cell r="R50">
            <v>91972.33976865263</v>
          </cell>
        </row>
        <row r="56">
          <cell r="L56">
            <v>-193992.32958556872</v>
          </cell>
        </row>
        <row r="61">
          <cell r="T61">
            <v>100185.21521878584</v>
          </cell>
          <cell r="U61">
            <v>98854.893882140779</v>
          </cell>
        </row>
        <row r="80">
          <cell r="H80">
            <v>235998.17500000002</v>
          </cell>
          <cell r="I80">
            <v>215182.42099999997</v>
          </cell>
          <cell r="L80">
            <v>20815.75400000003</v>
          </cell>
        </row>
        <row r="85">
          <cell r="H85">
            <v>108703.01400000001</v>
          </cell>
          <cell r="I85">
            <v>107044.19462999998</v>
          </cell>
          <cell r="L85">
            <v>1658.8193700000174</v>
          </cell>
          <cell r="Q85">
            <v>100185.21521878584</v>
          </cell>
          <cell r="R85">
            <v>98854.893882140779</v>
          </cell>
        </row>
        <row r="86">
          <cell r="H86">
            <v>693493.37724963878</v>
          </cell>
          <cell r="I86">
            <v>358410.98400000011</v>
          </cell>
          <cell r="K86">
            <v>-131317.34946157105</v>
          </cell>
          <cell r="M86">
            <v>-32247.287572500674</v>
          </cell>
        </row>
        <row r="89">
          <cell r="Q89">
            <v>82324.001540684796</v>
          </cell>
          <cell r="R89">
            <v>84635.266961084213</v>
          </cell>
        </row>
        <row r="90">
          <cell r="Q90">
            <v>17861.213678101049</v>
          </cell>
          <cell r="R90">
            <v>14219.626921056566</v>
          </cell>
        </row>
      </sheetData>
      <sheetData sheetId="2" refreshError="1">
        <row r="5">
          <cell r="T5">
            <v>110000</v>
          </cell>
          <cell r="U5">
            <v>90495</v>
          </cell>
        </row>
        <row r="9">
          <cell r="E9">
            <v>254.74515473573501</v>
          </cell>
          <cell r="F9">
            <v>232.65903987008249</v>
          </cell>
          <cell r="G9">
            <v>97000.000000000015</v>
          </cell>
          <cell r="H9">
            <v>100000.00004748325</v>
          </cell>
        </row>
        <row r="10">
          <cell r="E10">
            <v>55.552354342174482</v>
          </cell>
          <cell r="F10">
            <v>98.749526729194969</v>
          </cell>
          <cell r="G10">
            <v>90510.543605391897</v>
          </cell>
          <cell r="H10">
            <v>94489.553776595334</v>
          </cell>
        </row>
        <row r="11">
          <cell r="E11">
            <v>0</v>
          </cell>
          <cell r="F11">
            <v>0.53611948872612369</v>
          </cell>
        </row>
        <row r="12">
          <cell r="E12">
            <v>29.556975264527274</v>
          </cell>
          <cell r="F12">
            <v>30.064368143704641</v>
          </cell>
          <cell r="G12">
            <v>58892.150105328386</v>
          </cell>
          <cell r="H12">
            <v>61152.660978983971</v>
          </cell>
        </row>
        <row r="13">
          <cell r="E13">
            <v>27.139003601705607</v>
          </cell>
          <cell r="F13">
            <v>32.808292734122119</v>
          </cell>
          <cell r="G13">
            <v>32441.094089129627</v>
          </cell>
          <cell r="H13">
            <v>33780.148612999605</v>
          </cell>
        </row>
        <row r="14">
          <cell r="E14">
            <v>0.16413784990249694</v>
          </cell>
          <cell r="F14">
            <v>0</v>
          </cell>
        </row>
        <row r="15">
          <cell r="E15">
            <v>367.15762579404486</v>
          </cell>
          <cell r="F15">
            <v>394.81734696583038</v>
          </cell>
        </row>
        <row r="16">
          <cell r="E16">
            <v>811.78637263883479</v>
          </cell>
          <cell r="F16">
            <v>793.61894519382679</v>
          </cell>
          <cell r="G16">
            <v>11052.632485287793</v>
          </cell>
          <cell r="H16">
            <v>11087.47015888685</v>
          </cell>
        </row>
        <row r="17">
          <cell r="E17">
            <v>897.15996856598667</v>
          </cell>
          <cell r="F17">
            <v>884.19166141914957</v>
          </cell>
          <cell r="G17">
            <v>17859.750072179359</v>
          </cell>
          <cell r="H17">
            <v>17546.721159546105</v>
          </cell>
        </row>
        <row r="19">
          <cell r="E19">
            <v>3.2095315596130174</v>
          </cell>
          <cell r="F19">
            <v>3.2275621692683307</v>
          </cell>
        </row>
        <row r="20">
          <cell r="Q20">
            <v>60344.856078532102</v>
          </cell>
          <cell r="R20">
            <v>63018.067643257222</v>
          </cell>
        </row>
        <row r="21">
          <cell r="Q21">
            <v>19765.666941119736</v>
          </cell>
          <cell r="R21">
            <v>20542.375214043459</v>
          </cell>
        </row>
        <row r="22">
          <cell r="Q22">
            <v>234.54545454545456</v>
          </cell>
          <cell r="R22">
            <v>323.29277831173556</v>
          </cell>
        </row>
        <row r="50">
          <cell r="Q50">
            <v>89879.52019162153</v>
          </cell>
          <cell r="R50">
            <v>93974.292778311748</v>
          </cell>
        </row>
        <row r="56">
          <cell r="L56">
            <v>-233579.02331920725</v>
          </cell>
        </row>
        <row r="61">
          <cell r="T61">
            <v>103621.40963537958</v>
          </cell>
          <cell r="U61">
            <v>106535.27852367536</v>
          </cell>
        </row>
        <row r="80">
          <cell r="H80">
            <v>321592.92</v>
          </cell>
          <cell r="I80">
            <v>323904.79300000001</v>
          </cell>
          <cell r="L80">
            <v>-2311.8730000000069</v>
          </cell>
        </row>
        <row r="85">
          <cell r="H85">
            <v>166281.86738064254</v>
          </cell>
          <cell r="I85">
            <v>306136.43193999998</v>
          </cell>
          <cell r="L85">
            <v>-139854.56455935747</v>
          </cell>
          <cell r="Q85">
            <v>103621.40963537958</v>
          </cell>
          <cell r="R85">
            <v>106535.27852367536</v>
          </cell>
        </row>
        <row r="86">
          <cell r="H86">
            <v>1023733.0514327406</v>
          </cell>
          <cell r="I86">
            <v>643642.60200000182</v>
          </cell>
          <cell r="K86">
            <v>263690.56504632661</v>
          </cell>
          <cell r="M86">
            <v>-268035.55360050034</v>
          </cell>
        </row>
        <row r="89">
          <cell r="Q89">
            <v>80345.068474197295</v>
          </cell>
          <cell r="R89">
            <v>83883.735635612422</v>
          </cell>
        </row>
        <row r="90">
          <cell r="Q90">
            <v>23276.341161182281</v>
          </cell>
          <cell r="R90">
            <v>22651.542888062933</v>
          </cell>
        </row>
      </sheetData>
      <sheetData sheetId="3" refreshError="1"/>
      <sheetData sheetId="4" refreshError="1"/>
      <sheetData sheetId="5" refreshError="1"/>
      <sheetData sheetId="6" refreshError="1">
        <row r="5">
          <cell r="T5">
            <v>46500</v>
          </cell>
          <cell r="U5">
            <v>48531</v>
          </cell>
        </row>
        <row r="9">
          <cell r="E9">
            <v>329.31289834714221</v>
          </cell>
          <cell r="F9">
            <v>307.36961468343475</v>
          </cell>
          <cell r="G9">
            <v>99442.183663870281</v>
          </cell>
          <cell r="H9">
            <v>101408.92139306049</v>
          </cell>
        </row>
        <row r="10">
          <cell r="E10">
            <v>1.5056989247311829</v>
          </cell>
          <cell r="F10">
            <v>16.282566305142709</v>
          </cell>
          <cell r="G10">
            <v>94500</v>
          </cell>
          <cell r="H10">
            <v>99865.793139381596</v>
          </cell>
        </row>
        <row r="11">
          <cell r="E11">
            <v>0</v>
          </cell>
          <cell r="F11">
            <v>0.98843494113648278</v>
          </cell>
        </row>
        <row r="12">
          <cell r="E12">
            <v>19.33674132019895</v>
          </cell>
          <cell r="F12">
            <v>34.726122217758956</v>
          </cell>
          <cell r="G12">
            <v>60365.564036217256</v>
          </cell>
          <cell r="H12">
            <v>60117.4665058342</v>
          </cell>
        </row>
        <row r="13">
          <cell r="E13">
            <v>16.027558417736181</v>
          </cell>
          <cell r="F13">
            <v>20.871763021557523</v>
          </cell>
          <cell r="G13">
            <v>37027.561041214278</v>
          </cell>
          <cell r="H13">
            <v>32087.23705950984</v>
          </cell>
        </row>
        <row r="14">
          <cell r="E14">
            <v>0</v>
          </cell>
          <cell r="F14">
            <v>0</v>
          </cell>
        </row>
        <row r="15">
          <cell r="E15">
            <v>366.18289700980853</v>
          </cell>
          <cell r="F15">
            <v>380.23850116903043</v>
          </cell>
        </row>
        <row r="16">
          <cell r="E16">
            <v>820.49893118279556</v>
          </cell>
          <cell r="F16">
            <v>784.06225216038899</v>
          </cell>
          <cell r="G16">
            <v>13029.619446873332</v>
          </cell>
          <cell r="H16">
            <v>12820.649436667783</v>
          </cell>
        </row>
        <row r="17">
          <cell r="E17">
            <v>918.23595268817212</v>
          </cell>
          <cell r="F17">
            <v>965.38701603683205</v>
          </cell>
          <cell r="G17">
            <v>14480.190190638266</v>
          </cell>
          <cell r="H17">
            <v>14434.870454502292</v>
          </cell>
        </row>
        <row r="19">
          <cell r="E19">
            <v>2.9849032258064514</v>
          </cell>
          <cell r="F19">
            <v>3.2175632666934475</v>
          </cell>
        </row>
        <row r="20">
          <cell r="Q20">
            <v>61401.298446815279</v>
          </cell>
          <cell r="R20">
            <v>62788.474471876325</v>
          </cell>
        </row>
        <row r="21">
          <cell r="Q21">
            <v>18637.12915615828</v>
          </cell>
          <cell r="R21">
            <v>18650.763258453586</v>
          </cell>
        </row>
        <row r="22">
          <cell r="Q22">
            <v>233.11827956989248</v>
          </cell>
          <cell r="R22">
            <v>260.8615600119478</v>
          </cell>
        </row>
        <row r="50">
          <cell r="Q50">
            <v>91575.792015159939</v>
          </cell>
          <cell r="R50">
            <v>91072.191226606534</v>
          </cell>
        </row>
        <row r="56">
          <cell r="L56">
            <v>24424.343423659677</v>
          </cell>
        </row>
        <row r="61">
          <cell r="T61">
            <v>103534.45512860215</v>
          </cell>
          <cell r="U61">
            <v>103857.20377525681</v>
          </cell>
        </row>
        <row r="80">
          <cell r="H80">
            <v>129822.88899999998</v>
          </cell>
          <cell r="I80">
            <v>131918.37699999998</v>
          </cell>
          <cell r="L80">
            <v>-2095.4880000000139</v>
          </cell>
        </row>
        <row r="85">
          <cell r="H85">
            <v>76301.24806445853</v>
          </cell>
          <cell r="I85">
            <v>76089.840199999991</v>
          </cell>
          <cell r="L85">
            <v>211.40786445853882</v>
          </cell>
          <cell r="Q85">
            <v>103534.45512860215</v>
          </cell>
          <cell r="R85">
            <v>103857.20377525681</v>
          </cell>
        </row>
        <row r="86">
          <cell r="H86">
            <v>349953.69771060377</v>
          </cell>
          <cell r="I86">
            <v>412402.20400000073</v>
          </cell>
          <cell r="K86">
            <v>15661.862201887789</v>
          </cell>
          <cell r="M86">
            <v>24246.380799390608</v>
          </cell>
        </row>
        <row r="89">
          <cell r="Q89">
            <v>80271.545882543462</v>
          </cell>
          <cell r="R89">
            <v>81700.099290341866</v>
          </cell>
        </row>
        <row r="90">
          <cell r="Q90">
            <v>23262.909246058683</v>
          </cell>
          <cell r="R90">
            <v>22157.104484914948</v>
          </cell>
        </row>
      </sheetData>
      <sheetData sheetId="7">
        <row r="2">
          <cell r="N2">
            <v>39000</v>
          </cell>
        </row>
        <row r="5">
          <cell r="T5">
            <v>39000</v>
          </cell>
          <cell r="U5">
            <v>42206</v>
          </cell>
        </row>
        <row r="9">
          <cell r="E9">
            <v>319.16666666666657</v>
          </cell>
          <cell r="F9">
            <v>301.8818606854407</v>
          </cell>
          <cell r="G9">
            <v>97000</v>
          </cell>
          <cell r="H9">
            <v>99730.6080919792</v>
          </cell>
        </row>
        <row r="10">
          <cell r="E10">
            <v>0</v>
          </cell>
          <cell r="F10">
            <v>29.5315132280145</v>
          </cell>
          <cell r="G10">
            <v>0</v>
          </cell>
          <cell r="H10">
            <v>100499.9951798533</v>
          </cell>
        </row>
        <row r="11">
          <cell r="E11">
            <v>0</v>
          </cell>
          <cell r="F11">
            <v>4.9087420951659135</v>
          </cell>
        </row>
        <row r="12">
          <cell r="E12">
            <v>37.064102564102562</v>
          </cell>
          <cell r="F12">
            <v>34.390012316146006</v>
          </cell>
          <cell r="G12">
            <v>60000</v>
          </cell>
          <cell r="H12">
            <v>59815.80774582053</v>
          </cell>
        </row>
        <row r="13">
          <cell r="E13">
            <v>20.11538461538461</v>
          </cell>
          <cell r="F13">
            <v>27.728989839179544</v>
          </cell>
          <cell r="G13">
            <v>38500</v>
          </cell>
          <cell r="H13">
            <v>37298.559154196511</v>
          </cell>
        </row>
        <row r="14">
          <cell r="E14">
            <v>0</v>
          </cell>
          <cell r="F14">
            <v>0</v>
          </cell>
        </row>
        <row r="15">
          <cell r="E15">
            <v>376.3461538461537</v>
          </cell>
          <cell r="F15">
            <v>398.44111816394661</v>
          </cell>
        </row>
        <row r="16">
          <cell r="E16">
            <v>846.64102564102564</v>
          </cell>
          <cell r="F16">
            <v>837.39582198432095</v>
          </cell>
          <cell r="G16">
            <v>14133.333333333332</v>
          </cell>
          <cell r="H16">
            <v>14024.688813163839</v>
          </cell>
        </row>
        <row r="17">
          <cell r="E17">
            <v>880.85897435897436</v>
          </cell>
          <cell r="F17">
            <v>838.93351175955002</v>
          </cell>
          <cell r="G17">
            <v>13548.387096774193</v>
          </cell>
          <cell r="H17">
            <v>13582.347496324175</v>
          </cell>
        </row>
        <row r="19">
          <cell r="E19">
            <v>3.39</v>
          </cell>
          <cell r="F19">
            <v>3.3807998389427074</v>
          </cell>
        </row>
        <row r="20">
          <cell r="Q20">
            <v>60976.333319547826</v>
          </cell>
          <cell r="R20">
            <v>63239.671987873342</v>
          </cell>
        </row>
        <row r="21">
          <cell r="Q21">
            <v>18428.080089355088</v>
          </cell>
          <cell r="R21">
            <v>19301.059354349731</v>
          </cell>
        </row>
        <row r="22">
          <cell r="Q22">
            <v>192.30769230769232</v>
          </cell>
          <cell r="R22">
            <v>178.38781648942469</v>
          </cell>
        </row>
        <row r="50">
          <cell r="Q50">
            <v>85466.374761467014</v>
          </cell>
          <cell r="R50">
            <v>88032.36496056465</v>
          </cell>
        </row>
        <row r="56">
          <cell r="L56">
            <v>-108216.64663752259</v>
          </cell>
        </row>
        <row r="80">
          <cell r="H80">
            <v>67591.172999999995</v>
          </cell>
          <cell r="I80">
            <v>66056.031000000003</v>
          </cell>
          <cell r="L80">
            <v>1535.1419999999935</v>
          </cell>
        </row>
        <row r="85">
          <cell r="H85">
            <v>30995.856111111108</v>
          </cell>
          <cell r="I85">
            <v>31178.476179999998</v>
          </cell>
          <cell r="L85">
            <v>-182.62006888888936</v>
          </cell>
          <cell r="Q85">
            <v>98249.207179487188</v>
          </cell>
          <cell r="R85">
            <v>99500.254087096633</v>
          </cell>
        </row>
        <row r="86">
          <cell r="H86">
            <v>399943.43519167503</v>
          </cell>
          <cell r="I86">
            <v>386862.75700000039</v>
          </cell>
          <cell r="K86">
            <v>52801.685782564236</v>
          </cell>
          <cell r="M86">
            <v>40981.760732172639</v>
          </cell>
        </row>
        <row r="89">
          <cell r="Q89">
            <v>79596.721101210598</v>
          </cell>
          <cell r="R89">
            <v>82719.119158712492</v>
          </cell>
        </row>
        <row r="92">
          <cell r="H92">
            <v>218846.03356467001</v>
          </cell>
          <cell r="I92">
            <v>170983.30548992366</v>
          </cell>
        </row>
      </sheetData>
      <sheetData sheetId="8">
        <row r="2">
          <cell r="N2">
            <v>35000</v>
          </cell>
        </row>
        <row r="5">
          <cell r="T5">
            <v>35000</v>
          </cell>
          <cell r="U5">
            <v>31686.5</v>
          </cell>
        </row>
        <row r="9">
          <cell r="E9">
            <v>326.91428571428571</v>
          </cell>
          <cell r="F9">
            <v>290.78986553840724</v>
          </cell>
          <cell r="G9">
            <v>97000</v>
          </cell>
          <cell r="H9">
            <v>101523.81741898452</v>
          </cell>
        </row>
        <row r="10">
          <cell r="E10">
            <v>38.571428571428569</v>
          </cell>
          <cell r="F10">
            <v>55.00450726797763</v>
          </cell>
          <cell r="G10">
            <v>97000</v>
          </cell>
          <cell r="H10">
            <v>99588.307650092873</v>
          </cell>
        </row>
        <row r="11">
          <cell r="E11">
            <v>0</v>
          </cell>
          <cell r="F11">
            <v>29.979518566597744</v>
          </cell>
        </row>
        <row r="12">
          <cell r="E12">
            <v>33.428571428571416</v>
          </cell>
          <cell r="F12">
            <v>24.477824574899447</v>
          </cell>
          <cell r="G12">
            <v>60000</v>
          </cell>
          <cell r="H12">
            <v>58696.41630292272</v>
          </cell>
        </row>
        <row r="13">
          <cell r="E13">
            <v>25.657142857142858</v>
          </cell>
          <cell r="F13">
            <v>12.785768867092973</v>
          </cell>
          <cell r="G13">
            <v>39000</v>
          </cell>
          <cell r="H13">
            <v>36537.920671764703</v>
          </cell>
        </row>
        <row r="14">
          <cell r="E14">
            <v>0</v>
          </cell>
          <cell r="F14">
            <v>0</v>
          </cell>
        </row>
        <row r="15">
          <cell r="E15">
            <v>424.57142857142856</v>
          </cell>
          <cell r="F15">
            <v>413.03748481497507</v>
          </cell>
        </row>
        <row r="16">
          <cell r="E16">
            <v>879.65714285714284</v>
          </cell>
          <cell r="F16">
            <v>846.25052829463039</v>
          </cell>
          <cell r="G16">
            <v>15333.333333333334</v>
          </cell>
          <cell r="H16">
            <v>15352.114856540489</v>
          </cell>
        </row>
        <row r="17">
          <cell r="E17">
            <v>850.14285714285711</v>
          </cell>
          <cell r="F17">
            <v>863.18215516771636</v>
          </cell>
          <cell r="G17">
            <v>13953.501986654452</v>
          </cell>
          <cell r="H17">
            <v>13657.670497595847</v>
          </cell>
        </row>
        <row r="19">
          <cell r="E19">
            <v>3.5834285714285716</v>
          </cell>
          <cell r="F19">
            <v>3.6938928153597113</v>
          </cell>
        </row>
        <row r="20">
          <cell r="Q20">
            <v>66819.083379416275</v>
          </cell>
          <cell r="R20">
            <v>68585.440806449042</v>
          </cell>
        </row>
        <row r="21">
          <cell r="Q21">
            <v>19633.609373750591</v>
          </cell>
          <cell r="R21">
            <v>19235.300639453817</v>
          </cell>
        </row>
        <row r="22">
          <cell r="Q22">
            <v>330</v>
          </cell>
          <cell r="R22">
            <v>486.43454012212129</v>
          </cell>
        </row>
        <row r="50">
          <cell r="Q50">
            <v>93696.330610309713</v>
          </cell>
          <cell r="R50">
            <v>95703.00629837974</v>
          </cell>
        </row>
        <row r="56">
          <cell r="L56">
            <v>-62605.28411425143</v>
          </cell>
        </row>
        <row r="80">
          <cell r="H80">
            <v>65371.406999999999</v>
          </cell>
          <cell r="I80">
            <v>64296.243000000002</v>
          </cell>
          <cell r="L80">
            <v>1075.1639999999975</v>
          </cell>
        </row>
        <row r="85">
          <cell r="H85">
            <v>36153.201999999997</v>
          </cell>
          <cell r="I85">
            <v>39514.577340000003</v>
          </cell>
          <cell r="L85">
            <v>-3361.375340000006</v>
          </cell>
          <cell r="Q85">
            <v>103272.77972903302</v>
          </cell>
          <cell r="R85">
            <v>100098.24132570476</v>
          </cell>
        </row>
        <row r="86">
          <cell r="H86">
            <v>233651.11015531531</v>
          </cell>
          <cell r="I86">
            <v>34480.905000000348</v>
          </cell>
          <cell r="K86">
            <v>-99040.836376236737</v>
          </cell>
          <cell r="M86">
            <v>-35237.873324826593</v>
          </cell>
        </row>
        <row r="89">
          <cell r="Q89">
            <v>86782.692753166863</v>
          </cell>
          <cell r="R89">
            <v>88307.175986024973</v>
          </cell>
        </row>
        <row r="92">
          <cell r="H92">
            <v>62817.834358278778</v>
          </cell>
          <cell r="I92">
            <v>-128189.75761810012</v>
          </cell>
        </row>
      </sheetData>
      <sheetData sheetId="9">
        <row r="2">
          <cell r="N2">
            <v>15000</v>
          </cell>
        </row>
        <row r="5">
          <cell r="T5">
            <v>15000</v>
          </cell>
          <cell r="U5">
            <v>11210</v>
          </cell>
        </row>
        <row r="9">
          <cell r="E9">
            <v>295.2106</v>
          </cell>
          <cell r="F9">
            <v>314.58858697591427</v>
          </cell>
          <cell r="G9">
            <v>97000.000000000029</v>
          </cell>
          <cell r="H9">
            <v>100000.00000000004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26.783677074041037</v>
          </cell>
        </row>
        <row r="12">
          <cell r="E12">
            <v>40.939860000000003</v>
          </cell>
          <cell r="F12">
            <v>47.478859054415707</v>
          </cell>
          <cell r="G12">
            <v>59999.999999999993</v>
          </cell>
          <cell r="H12">
            <v>59506.693255523023</v>
          </cell>
        </row>
        <row r="13">
          <cell r="E13">
            <v>32.790466666666667</v>
          </cell>
          <cell r="F13">
            <v>16.672442462087425</v>
          </cell>
          <cell r="G13">
            <v>41999.999999999993</v>
          </cell>
          <cell r="H13">
            <v>39783.865088394705</v>
          </cell>
        </row>
        <row r="14">
          <cell r="E14">
            <v>0</v>
          </cell>
          <cell r="F14">
            <v>0</v>
          </cell>
        </row>
        <row r="15">
          <cell r="E15">
            <v>368.94092666666666</v>
          </cell>
          <cell r="F15">
            <v>405.52356556645844</v>
          </cell>
        </row>
        <row r="16">
          <cell r="E16">
            <v>827.95106666666663</v>
          </cell>
          <cell r="F16">
            <v>864.61239964317576</v>
          </cell>
          <cell r="G16">
            <v>15666.666666666666</v>
          </cell>
          <cell r="H16">
            <v>15771.796388991059</v>
          </cell>
        </row>
        <row r="17">
          <cell r="E17">
            <v>907.4480666666667</v>
          </cell>
          <cell r="F17">
            <v>838.23818019625367</v>
          </cell>
          <cell r="G17">
            <v>13225.806451612903</v>
          </cell>
          <cell r="H17">
            <v>11691.12311302432</v>
          </cell>
        </row>
        <row r="19">
          <cell r="E19">
            <v>2.9519780014666672</v>
          </cell>
          <cell r="F19">
            <v>3.0090677966101689</v>
          </cell>
        </row>
        <row r="20">
          <cell r="Q20">
            <v>59951.166573648101</v>
          </cell>
          <cell r="R20">
            <v>64122.543264942011</v>
          </cell>
        </row>
        <row r="21">
          <cell r="Q21">
            <v>20032.034351851849</v>
          </cell>
          <cell r="R21">
            <v>22889.997234611954</v>
          </cell>
        </row>
        <row r="22">
          <cell r="Q22">
            <v>328.05</v>
          </cell>
          <cell r="R22">
            <v>264.66226583407672</v>
          </cell>
        </row>
        <row r="50">
          <cell r="Q50">
            <v>91528.918914388836</v>
          </cell>
          <cell r="R50">
            <v>99423.891436217644</v>
          </cell>
        </row>
        <row r="56">
          <cell r="L56">
            <v>-88502.642479700924</v>
          </cell>
        </row>
        <row r="80">
          <cell r="H80">
            <v>58545.19</v>
          </cell>
          <cell r="I80">
            <v>44546.868000000002</v>
          </cell>
          <cell r="L80">
            <v>13998.322</v>
          </cell>
        </row>
        <row r="85">
          <cell r="H85">
            <v>22875.510333333339</v>
          </cell>
          <cell r="I85">
            <v>18426.743489999997</v>
          </cell>
          <cell r="L85">
            <v>4448.7668433333401</v>
          </cell>
          <cell r="Q85">
            <v>98318.230759999991</v>
          </cell>
          <cell r="R85">
            <v>97858.465655664579</v>
          </cell>
        </row>
        <row r="86">
          <cell r="H86">
            <v>20418.977350833826</v>
          </cell>
          <cell r="I86">
            <v>-80522.035000000105</v>
          </cell>
          <cell r="K86">
            <v>-5153.9668195999757</v>
          </cell>
          <cell r="M86">
            <v>-25731.491894866223</v>
          </cell>
        </row>
        <row r="89">
          <cell r="Q89">
            <v>80311.25092549996</v>
          </cell>
          <cell r="R89">
            <v>87277.202765388036</v>
          </cell>
        </row>
        <row r="92">
          <cell r="H92">
            <v>-49282.803043778025</v>
          </cell>
          <cell r="I92">
            <v>-136913.96211773535</v>
          </cell>
        </row>
      </sheetData>
      <sheetData sheetId="10">
        <row r="2">
          <cell r="N2">
            <v>13000</v>
          </cell>
        </row>
        <row r="5">
          <cell r="T5">
            <v>13000</v>
          </cell>
          <cell r="U5">
            <v>14148.5</v>
          </cell>
        </row>
        <row r="9">
          <cell r="E9">
            <v>279.23076923076923</v>
          </cell>
          <cell r="F9">
            <v>242.08193736033761</v>
          </cell>
          <cell r="G9">
            <v>97000</v>
          </cell>
          <cell r="H9">
            <v>100000.00000000003</v>
          </cell>
        </row>
        <row r="10">
          <cell r="E10">
            <v>30</v>
          </cell>
          <cell r="F10">
            <v>47.617283722909917</v>
          </cell>
          <cell r="G10">
            <v>91500</v>
          </cell>
          <cell r="H10">
            <v>94499.996603286432</v>
          </cell>
        </row>
        <row r="11">
          <cell r="E11">
            <v>0</v>
          </cell>
          <cell r="F11">
            <v>0</v>
          </cell>
        </row>
        <row r="12">
          <cell r="E12">
            <v>35</v>
          </cell>
          <cell r="F12">
            <v>50.849790373496951</v>
          </cell>
          <cell r="G12">
            <v>60000</v>
          </cell>
          <cell r="H12">
            <v>59297.382337686802</v>
          </cell>
        </row>
        <row r="13">
          <cell r="E13">
            <v>35</v>
          </cell>
          <cell r="F13">
            <v>32.174872486078115</v>
          </cell>
          <cell r="G13">
            <v>41500</v>
          </cell>
          <cell r="H13">
            <v>39078.512286180208</v>
          </cell>
        </row>
        <row r="14">
          <cell r="E14">
            <v>0</v>
          </cell>
          <cell r="F14">
            <v>0</v>
          </cell>
        </row>
        <row r="15">
          <cell r="E15">
            <v>379.23076923076923</v>
          </cell>
          <cell r="F15">
            <v>372.72388394282257</v>
          </cell>
        </row>
        <row r="16">
          <cell r="E16">
            <v>830</v>
          </cell>
          <cell r="F16">
            <v>820.20004965771659</v>
          </cell>
          <cell r="G16">
            <v>14968.674698795179</v>
          </cell>
          <cell r="H16">
            <v>14612.675975938315</v>
          </cell>
        </row>
        <row r="17">
          <cell r="E17">
            <v>929.61538461538464</v>
          </cell>
          <cell r="F17">
            <v>936.37037562515468</v>
          </cell>
          <cell r="G17">
            <v>14169.803896482232</v>
          </cell>
          <cell r="H17">
            <v>14016.408898943117</v>
          </cell>
        </row>
        <row r="19">
          <cell r="E19">
            <v>3.3192307692307694</v>
          </cell>
          <cell r="F19">
            <v>3.1798389671194971</v>
          </cell>
        </row>
        <row r="20">
          <cell r="Q20">
            <v>61815.0253914606</v>
          </cell>
          <cell r="R20">
            <v>60898.890859433188</v>
          </cell>
        </row>
        <row r="21">
          <cell r="Q21">
            <v>18949.053374639177</v>
          </cell>
          <cell r="R21">
            <v>19161.415173979356</v>
          </cell>
        </row>
        <row r="22">
          <cell r="Q22">
            <v>60</v>
          </cell>
          <cell r="R22">
            <v>86.436987904799068</v>
          </cell>
        </row>
        <row r="50">
          <cell r="Q50">
            <v>91938.724253279259</v>
          </cell>
          <cell r="R50">
            <v>89590.655127159233</v>
          </cell>
        </row>
        <row r="56">
          <cell r="L56">
            <v>33099.536056350946</v>
          </cell>
        </row>
        <row r="80">
          <cell r="H80">
            <v>44490.405000000006</v>
          </cell>
          <cell r="I80">
            <v>40283.278999999995</v>
          </cell>
          <cell r="L80">
            <v>4207.1260000000048</v>
          </cell>
        </row>
        <row r="85">
          <cell r="H85">
            <v>18678.445555555558</v>
          </cell>
          <cell r="I85">
            <v>17924.39762</v>
          </cell>
          <cell r="L85">
            <v>754.04793555555807</v>
          </cell>
          <cell r="Q85">
            <v>99834.778492307698</v>
          </cell>
          <cell r="R85">
            <v>94963.24080445501</v>
          </cell>
        </row>
        <row r="86">
          <cell r="H86">
            <v>39479.8545518139</v>
          </cell>
          <cell r="I86">
            <v>17589.356999999891</v>
          </cell>
          <cell r="K86">
            <v>-68671.631016815416</v>
          </cell>
          <cell r="M86">
            <v>8720.4234730946919</v>
          </cell>
        </row>
        <row r="89">
          <cell r="Q89">
            <v>80824.078766099774</v>
          </cell>
          <cell r="R89">
            <v>80146.74302131735</v>
          </cell>
        </row>
        <row r="92">
          <cell r="H92">
            <v>-21860.145013221765</v>
          </cell>
          <cell r="I92">
            <v>-51451.572609000505</v>
          </cell>
        </row>
      </sheetData>
      <sheetData sheetId="11">
        <row r="2">
          <cell r="N2">
            <v>20000</v>
          </cell>
        </row>
        <row r="5">
          <cell r="T5">
            <v>20000</v>
          </cell>
          <cell r="U5">
            <v>21737</v>
          </cell>
        </row>
        <row r="9">
          <cell r="E9">
            <v>224.68</v>
          </cell>
          <cell r="F9">
            <v>124.46701365580023</v>
          </cell>
          <cell r="G9">
            <v>97000.000000000015</v>
          </cell>
          <cell r="H9">
            <v>100000.00000000003</v>
          </cell>
        </row>
        <row r="10">
          <cell r="E10">
            <v>139.44</v>
          </cell>
          <cell r="F10">
            <v>286.16884270541175</v>
          </cell>
          <cell r="G10">
            <v>89600.000000000015</v>
          </cell>
          <cell r="H10">
            <v>94964.246261213761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23.24</v>
          </cell>
          <cell r="F13">
            <v>40.591294772173434</v>
          </cell>
          <cell r="G13">
            <v>34500</v>
          </cell>
          <cell r="H13">
            <v>34767.96806397933</v>
          </cell>
        </row>
        <row r="14">
          <cell r="E14">
            <v>0</v>
          </cell>
          <cell r="F14">
            <v>0</v>
          </cell>
        </row>
        <row r="15">
          <cell r="E15">
            <v>387.36</v>
          </cell>
          <cell r="F15">
            <v>451.22715113338541</v>
          </cell>
        </row>
        <row r="16">
          <cell r="E16">
            <v>850.40000000000009</v>
          </cell>
          <cell r="F16">
            <v>889.93424985056754</v>
          </cell>
          <cell r="G16">
            <v>11714.415686274509</v>
          </cell>
          <cell r="H16">
            <v>11869.254225483828</v>
          </cell>
        </row>
        <row r="17">
          <cell r="E17">
            <v>870.19999999999993</v>
          </cell>
          <cell r="F17">
            <v>824.82872775759813</v>
          </cell>
          <cell r="G17">
            <v>18200.069930069931</v>
          </cell>
          <cell r="H17">
            <v>17870.139917053155</v>
          </cell>
        </row>
        <row r="19">
          <cell r="E19">
            <v>3.1242016400000008</v>
          </cell>
          <cell r="F19">
            <v>3.4948972366545585</v>
          </cell>
        </row>
        <row r="20">
          <cell r="Q20">
            <v>63682.195295554702</v>
          </cell>
          <cell r="R20">
            <v>70289.042438732809</v>
          </cell>
        </row>
        <row r="21">
          <cell r="Q21">
            <v>21478.999652777777</v>
          </cell>
          <cell r="R21">
            <v>22512.315370821645</v>
          </cell>
        </row>
        <row r="22">
          <cell r="Q22">
            <v>200</v>
          </cell>
          <cell r="R22">
            <v>422.32364706423289</v>
          </cell>
        </row>
        <row r="50">
          <cell r="Q50">
            <v>93288.01338583247</v>
          </cell>
          <cell r="R50">
            <v>99766.49914938616</v>
          </cell>
        </row>
        <row r="56">
          <cell r="L56">
            <v>-68957.707082159235</v>
          </cell>
        </row>
        <row r="80">
          <cell r="H80">
            <v>60158.222000000009</v>
          </cell>
          <cell r="I80">
            <v>51123.089000000007</v>
          </cell>
          <cell r="L80">
            <v>9035.1330000000016</v>
          </cell>
        </row>
        <row r="85">
          <cell r="H85">
            <v>48073.718333333338</v>
          </cell>
          <cell r="I85">
            <v>119961.13895000001</v>
          </cell>
          <cell r="L85">
            <v>-71887.420616666655</v>
          </cell>
          <cell r="Q85">
            <v>111300.95526999999</v>
          </cell>
          <cell r="R85">
            <v>119206.57404425633</v>
          </cell>
        </row>
        <row r="86">
          <cell r="H86">
            <v>252026.89735001675</v>
          </cell>
          <cell r="I86">
            <v>323349.81799999991</v>
          </cell>
          <cell r="K86">
            <v>171844.43529600993</v>
          </cell>
          <cell r="M86">
            <v>31288.480052798957</v>
          </cell>
        </row>
        <row r="89">
          <cell r="Q89">
            <v>85361.194948332472</v>
          </cell>
          <cell r="R89">
            <v>93223.68145661868</v>
          </cell>
        </row>
        <row r="92">
          <cell r="H92">
            <v>138952.41784327975</v>
          </cell>
          <cell r="I92">
            <v>180505.18547224623</v>
          </cell>
        </row>
      </sheetData>
      <sheetData sheetId="12">
        <row r="2">
          <cell r="N2">
            <v>20000</v>
          </cell>
        </row>
        <row r="5">
          <cell r="T5">
            <v>20000</v>
          </cell>
          <cell r="U5">
            <v>20056</v>
          </cell>
        </row>
        <row r="9">
          <cell r="E9">
            <v>264.55146799999994</v>
          </cell>
          <cell r="F9">
            <v>282.00579128440347</v>
          </cell>
          <cell r="G9">
            <v>96999.999999999985</v>
          </cell>
          <cell r="H9">
            <v>100000.00000000007</v>
          </cell>
        </row>
        <row r="10">
          <cell r="E10">
            <v>60.134633320000013</v>
          </cell>
          <cell r="F10">
            <v>57.511971479856413</v>
          </cell>
          <cell r="G10">
            <v>89100</v>
          </cell>
          <cell r="H10">
            <v>93178.891926994256</v>
          </cell>
        </row>
        <row r="11">
          <cell r="E11">
            <v>0</v>
          </cell>
          <cell r="F11">
            <v>0</v>
          </cell>
        </row>
        <row r="12">
          <cell r="E12">
            <v>19.998454160000001</v>
          </cell>
          <cell r="F12">
            <v>18.356307339449529</v>
          </cell>
          <cell r="G12">
            <v>61000.000000000007</v>
          </cell>
          <cell r="H12">
            <v>63000.004617631617</v>
          </cell>
        </row>
        <row r="13">
          <cell r="E13">
            <v>21.822202520000001</v>
          </cell>
          <cell r="F13">
            <v>23.638015057838061</v>
          </cell>
          <cell r="G13">
            <v>32500</v>
          </cell>
          <cell r="H13">
            <v>33214.563249472871</v>
          </cell>
        </row>
        <row r="14">
          <cell r="E14">
            <v>0</v>
          </cell>
          <cell r="F14">
            <v>0</v>
          </cell>
        </row>
        <row r="15">
          <cell r="E15">
            <v>366.50675799999999</v>
          </cell>
          <cell r="F15">
            <v>381.51208516154747</v>
          </cell>
        </row>
        <row r="16">
          <cell r="E16">
            <v>824.47499999999991</v>
          </cell>
          <cell r="F16">
            <v>844.23613881132826</v>
          </cell>
          <cell r="G16">
            <v>10666.666666666666</v>
          </cell>
          <cell r="H16">
            <v>10679.89623198677</v>
          </cell>
        </row>
        <row r="17">
          <cell r="E17">
            <v>907.28499999999997</v>
          </cell>
          <cell r="F17">
            <v>889.54502393298765</v>
          </cell>
          <cell r="G17">
            <v>17845.689028998037</v>
          </cell>
          <cell r="H17">
            <v>16368.662859083841</v>
          </cell>
        </row>
        <row r="19">
          <cell r="E19">
            <v>3.3405</v>
          </cell>
          <cell r="F19">
            <v>3.4257907857997609</v>
          </cell>
        </row>
        <row r="20">
          <cell r="Q20">
            <v>60884.536481146482</v>
          </cell>
          <cell r="R20">
            <v>62663.777473075381</v>
          </cell>
        </row>
        <row r="21">
          <cell r="Q21">
            <v>16822.71940805186</v>
          </cell>
          <cell r="R21">
            <v>18474.604058635818</v>
          </cell>
        </row>
        <row r="22">
          <cell r="Q22">
            <v>180</v>
          </cell>
          <cell r="R22">
            <v>238.66723175109695</v>
          </cell>
        </row>
        <row r="50">
          <cell r="Q50">
            <v>85443.583389198335</v>
          </cell>
          <cell r="R50">
            <v>88750.280364978054</v>
          </cell>
        </row>
        <row r="56">
          <cell r="L56">
            <v>-18227.570236238123</v>
          </cell>
        </row>
        <row r="80">
          <cell r="H80">
            <v>56310.92</v>
          </cell>
          <cell r="I80">
            <v>50885.981</v>
          </cell>
          <cell r="L80">
            <v>5424.9389999999958</v>
          </cell>
        </row>
        <row r="85">
          <cell r="H85">
            <v>13532.15722222222</v>
          </cell>
          <cell r="I85">
            <v>62753.111310000008</v>
          </cell>
          <cell r="L85">
            <v>-49220.954087777784</v>
          </cell>
          <cell r="Q85">
            <v>104085.97967199997</v>
          </cell>
          <cell r="R85">
            <v>102473.05544475469</v>
          </cell>
        </row>
        <row r="86">
          <cell r="H86">
            <v>303004.84843381029</v>
          </cell>
          <cell r="I86">
            <v>209676.42899999995</v>
          </cell>
          <cell r="K86">
            <v>-32348.808301631394</v>
          </cell>
          <cell r="M86">
            <v>1043.9741918368918</v>
          </cell>
        </row>
        <row r="89">
          <cell r="Q89">
            <v>77887.255889198335</v>
          </cell>
          <cell r="R89">
            <v>81377.048763462299</v>
          </cell>
        </row>
        <row r="92">
          <cell r="H92">
            <v>197260.31149961072</v>
          </cell>
          <cell r="I92">
            <v>96379.504516139015</v>
          </cell>
        </row>
      </sheetData>
      <sheetData sheetId="13">
        <row r="2">
          <cell r="N2">
            <v>9000</v>
          </cell>
        </row>
        <row r="5">
          <cell r="T5">
            <v>9000</v>
          </cell>
          <cell r="U5">
            <v>7251.5</v>
          </cell>
        </row>
        <row r="9">
          <cell r="E9">
            <v>163.51404899135449</v>
          </cell>
          <cell r="F9">
            <v>214.89072743570307</v>
          </cell>
          <cell r="G9">
            <v>96999.999999999985</v>
          </cell>
          <cell r="H9">
            <v>99999.999999999942</v>
          </cell>
        </row>
        <row r="10">
          <cell r="E10">
            <v>165.05403458213257</v>
          </cell>
          <cell r="F10">
            <v>104.45149555264433</v>
          </cell>
          <cell r="G10">
            <v>89100.000000000029</v>
          </cell>
          <cell r="H10">
            <v>92889.509449334946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6.2056140108942985</v>
          </cell>
          <cell r="G12">
            <v>0</v>
          </cell>
          <cell r="H12">
            <v>62001.319555262315</v>
          </cell>
        </row>
        <row r="13">
          <cell r="E13">
            <v>31.431916426512966</v>
          </cell>
          <cell r="F13">
            <v>30.939817968696126</v>
          </cell>
          <cell r="G13">
            <v>32500</v>
          </cell>
          <cell r="H13">
            <v>32550.040428313259</v>
          </cell>
        </row>
        <row r="14">
          <cell r="E14">
            <v>0</v>
          </cell>
          <cell r="F14">
            <v>0</v>
          </cell>
        </row>
        <row r="15">
          <cell r="E15">
            <v>360</v>
          </cell>
          <cell r="F15">
            <v>356.48765496793783</v>
          </cell>
        </row>
        <row r="16">
          <cell r="E16">
            <v>796</v>
          </cell>
          <cell r="F16">
            <v>773.63304143970277</v>
          </cell>
          <cell r="G16">
            <v>9000</v>
          </cell>
          <cell r="H16">
            <v>9027.7525846702247</v>
          </cell>
        </row>
        <row r="17">
          <cell r="E17">
            <v>914</v>
          </cell>
          <cell r="F17">
            <v>907.48121078397651</v>
          </cell>
          <cell r="G17">
            <v>16710.977594439162</v>
          </cell>
          <cell r="H17">
            <v>16908.399993921514</v>
          </cell>
        </row>
        <row r="19">
          <cell r="E19">
            <v>3.4062000000000001</v>
          </cell>
          <cell r="F19">
            <v>3.1718127284010218</v>
          </cell>
        </row>
        <row r="20">
          <cell r="Q20">
            <v>57092.128038608469</v>
          </cell>
          <cell r="R20">
            <v>57735.150934289457</v>
          </cell>
        </row>
        <row r="21">
          <cell r="Q21">
            <v>20755.68186880244</v>
          </cell>
          <cell r="R21">
            <v>22375.616906846859</v>
          </cell>
        </row>
        <row r="22">
          <cell r="Q22">
            <v>488.88888888888886</v>
          </cell>
          <cell r="R22">
            <v>701.47928014893466</v>
          </cell>
        </row>
        <row r="50">
          <cell r="Q50">
            <v>89202.931796299788</v>
          </cell>
          <cell r="R50">
            <v>91576.631041853412</v>
          </cell>
        </row>
        <row r="56">
          <cell r="L56">
            <v>-13779.241669132069</v>
          </cell>
        </row>
        <row r="80">
          <cell r="H80">
            <v>30204.596999999998</v>
          </cell>
          <cell r="I80">
            <v>35717.188999999998</v>
          </cell>
          <cell r="L80">
            <v>-5512.5920000000015</v>
          </cell>
        </row>
        <row r="85">
          <cell r="H85">
            <v>12545.526222222223</v>
          </cell>
          <cell r="I85">
            <v>15500.23841</v>
          </cell>
          <cell r="L85">
            <v>-2954.7121877777768</v>
          </cell>
          <cell r="Q85">
            <v>101293.38087999998</v>
          </cell>
          <cell r="R85">
            <v>99988.395504378408</v>
          </cell>
        </row>
        <row r="86">
          <cell r="H86">
            <v>66063.918531079529</v>
          </cell>
          <cell r="I86">
            <v>13214.120999999932</v>
          </cell>
          <cell r="K86">
            <v>-9463.1014513198479</v>
          </cell>
          <cell r="M86">
            <v>-21140.15022284977</v>
          </cell>
        </row>
        <row r="89">
          <cell r="Q89">
            <v>78336.698796299796</v>
          </cell>
          <cell r="R89">
            <v>80812.247121285254</v>
          </cell>
        </row>
        <row r="92">
          <cell r="H92">
            <v>19755.570757114823</v>
          </cell>
          <cell r="I92">
            <v>-26756.561581524722</v>
          </cell>
        </row>
      </sheetData>
      <sheetData sheetId="14">
        <row r="2">
          <cell r="N2">
            <v>21000</v>
          </cell>
        </row>
        <row r="5">
          <cell r="T5">
            <v>21000</v>
          </cell>
          <cell r="U5">
            <v>12903</v>
          </cell>
        </row>
        <row r="9">
          <cell r="E9">
            <v>310.65803428612662</v>
          </cell>
          <cell r="F9">
            <v>265.46323413159706</v>
          </cell>
          <cell r="G9">
            <v>96999.999999999971</v>
          </cell>
          <cell r="H9">
            <v>100000.00000000009</v>
          </cell>
        </row>
        <row r="10">
          <cell r="E10">
            <v>0</v>
          </cell>
          <cell r="F10">
            <v>60.94630163527858</v>
          </cell>
          <cell r="G10">
            <v>0</v>
          </cell>
          <cell r="H10">
            <v>94062.093581973153</v>
          </cell>
        </row>
        <row r="11">
          <cell r="E11">
            <v>0</v>
          </cell>
          <cell r="F11">
            <v>3.7610633186080755</v>
          </cell>
        </row>
        <row r="12">
          <cell r="E12">
            <v>39.875390280857125</v>
          </cell>
          <cell r="F12">
            <v>38.216163682864462</v>
          </cell>
          <cell r="G12">
            <v>59000</v>
          </cell>
          <cell r="H12">
            <v>60985.449778906281</v>
          </cell>
        </row>
        <row r="13">
          <cell r="E13">
            <v>19.937695140428563</v>
          </cell>
          <cell r="F13">
            <v>21.465634348601107</v>
          </cell>
          <cell r="G13">
            <v>32500</v>
          </cell>
          <cell r="H13">
            <v>33644.819524117811</v>
          </cell>
        </row>
        <row r="14">
          <cell r="E14">
            <v>0.85976968996546022</v>
          </cell>
          <cell r="F14">
            <v>0</v>
          </cell>
        </row>
        <row r="15">
          <cell r="E15">
            <v>371.33088939737775</v>
          </cell>
          <cell r="F15">
            <v>389.85239711694931</v>
          </cell>
        </row>
        <row r="16">
          <cell r="E16">
            <v>824.2404414989611</v>
          </cell>
          <cell r="F16">
            <v>701.0620243354258</v>
          </cell>
          <cell r="G16">
            <v>11335.244037538208</v>
          </cell>
          <cell r="H16">
            <v>11134.070425785181</v>
          </cell>
        </row>
        <row r="17">
          <cell r="E17">
            <v>903.59289692157267</v>
          </cell>
          <cell r="F17">
            <v>934.31295047663275</v>
          </cell>
          <cell r="G17">
            <v>18859.125422163881</v>
          </cell>
          <cell r="H17">
            <v>18694.915490434207</v>
          </cell>
        </row>
        <row r="19">
          <cell r="E19">
            <v>3.1563125598777106</v>
          </cell>
          <cell r="F19">
            <v>3.2196388436797645</v>
          </cell>
        </row>
        <row r="20">
          <cell r="Q20">
            <v>63171.069194145486</v>
          </cell>
          <cell r="R20">
            <v>64178.26691467101</v>
          </cell>
        </row>
        <row r="21">
          <cell r="Q21">
            <v>20365.236813186813</v>
          </cell>
          <cell r="R21">
            <v>20063.839339688446</v>
          </cell>
        </row>
        <row r="22">
          <cell r="Q22">
            <v>252.38095238095238</v>
          </cell>
          <cell r="R22">
            <v>349.45973804541575</v>
          </cell>
        </row>
        <row r="50">
          <cell r="Q50">
            <v>91215.118626379932</v>
          </cell>
          <cell r="R50">
            <v>96956.239711694958</v>
          </cell>
        </row>
        <row r="56">
          <cell r="L56">
            <v>-65846.840253819712</v>
          </cell>
        </row>
        <row r="80">
          <cell r="H80">
            <v>51762.998999999996</v>
          </cell>
          <cell r="I80">
            <v>51917.420999999995</v>
          </cell>
          <cell r="L80">
            <v>-154.42199999999502</v>
          </cell>
        </row>
        <row r="85">
          <cell r="H85">
            <v>18133.321777777779</v>
          </cell>
          <cell r="I85">
            <v>28033.651109999999</v>
          </cell>
          <cell r="L85">
            <v>-9900.3293322222216</v>
          </cell>
          <cell r="Q85">
            <v>106002.7777009524</v>
          </cell>
          <cell r="R85">
            <v>107919.72409517167</v>
          </cell>
        </row>
        <row r="86">
          <cell r="H86">
            <v>240644.51978824384</v>
          </cell>
          <cell r="I86">
            <v>69741.612000000023</v>
          </cell>
          <cell r="K86">
            <v>24734.359324611203</v>
          </cell>
          <cell r="M86">
            <v>-119735.67552681325</v>
          </cell>
        </row>
        <row r="89">
          <cell r="Q89">
            <v>83788.686959713246</v>
          </cell>
          <cell r="R89">
            <v>84591.565992404881</v>
          </cell>
        </row>
        <row r="92">
          <cell r="H92">
            <v>127568.04771293173</v>
          </cell>
          <cell r="I92">
            <v>-7022.0417298213579</v>
          </cell>
        </row>
      </sheetData>
      <sheetData sheetId="15">
        <row r="2">
          <cell r="N2">
            <v>9000</v>
          </cell>
        </row>
        <row r="5">
          <cell r="T5">
            <v>9000</v>
          </cell>
          <cell r="U5">
            <v>4772</v>
          </cell>
        </row>
        <row r="9">
          <cell r="E9">
            <v>282</v>
          </cell>
          <cell r="F9">
            <v>244.87279966471078</v>
          </cell>
          <cell r="G9">
            <v>97000</v>
          </cell>
          <cell r="H9">
            <v>100000.00000000001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36</v>
          </cell>
          <cell r="F12">
            <v>65.786477367979884</v>
          </cell>
          <cell r="G12">
            <v>59000</v>
          </cell>
          <cell r="H12">
            <v>60943.359678545494</v>
          </cell>
        </row>
        <row r="13">
          <cell r="E13">
            <v>32.666666666666664</v>
          </cell>
          <cell r="F13">
            <v>49.955882229673087</v>
          </cell>
          <cell r="G13">
            <v>32000</v>
          </cell>
          <cell r="H13">
            <v>33904.291158497908</v>
          </cell>
        </row>
        <row r="14">
          <cell r="E14">
            <v>0</v>
          </cell>
          <cell r="F14">
            <v>0</v>
          </cell>
        </row>
        <row r="15">
          <cell r="E15">
            <v>350.66666666666669</v>
          </cell>
          <cell r="F15">
            <v>360.61515926236376</v>
          </cell>
        </row>
        <row r="16">
          <cell r="E16">
            <v>790.33333333333337</v>
          </cell>
          <cell r="F16">
            <v>725.5238893545685</v>
          </cell>
          <cell r="G16">
            <v>9400</v>
          </cell>
          <cell r="H16">
            <v>9100.9768355380947</v>
          </cell>
        </row>
        <row r="17">
          <cell r="E17">
            <v>894.66666666666674</v>
          </cell>
          <cell r="F17">
            <v>906.63453478625331</v>
          </cell>
          <cell r="G17">
            <v>17692.180747278395</v>
          </cell>
          <cell r="H17">
            <v>17340.165400812672</v>
          </cell>
        </row>
        <row r="19">
          <cell r="E19">
            <v>3.0666666666666669</v>
          </cell>
          <cell r="F19">
            <v>2.982254819782062</v>
          </cell>
        </row>
        <row r="20">
          <cell r="Q20">
            <v>56337.071041898409</v>
          </cell>
          <cell r="R20">
            <v>54782.20766974015</v>
          </cell>
        </row>
        <row r="21">
          <cell r="Q21">
            <v>20719.509329448098</v>
          </cell>
          <cell r="R21">
            <v>23403.075440067056</v>
          </cell>
        </row>
        <row r="22">
          <cell r="Q22">
            <v>88.888888888888886</v>
          </cell>
          <cell r="R22">
            <v>77.404023470243089</v>
          </cell>
        </row>
        <row r="50">
          <cell r="Q50">
            <v>89653.175815790964</v>
          </cell>
          <cell r="R50">
            <v>94756.811399832353</v>
          </cell>
        </row>
        <row r="56">
          <cell r="L56">
            <v>-24023.974347045492</v>
          </cell>
        </row>
        <row r="80">
          <cell r="H80">
            <v>31232.670000000006</v>
          </cell>
          <cell r="I80">
            <v>28644.707999999999</v>
          </cell>
          <cell r="L80">
            <v>2587.9620000000036</v>
          </cell>
        </row>
        <row r="85">
          <cell r="H85">
            <v>11797.535444444442</v>
          </cell>
          <cell r="I85">
            <v>12867.18166</v>
          </cell>
          <cell r="L85">
            <v>-1069.6462155555594</v>
          </cell>
          <cell r="Q85">
            <v>100828.50433333335</v>
          </cell>
          <cell r="R85">
            <v>105686.46269907795</v>
          </cell>
        </row>
        <row r="86">
          <cell r="H86">
            <v>57547.751213437048</v>
          </cell>
          <cell r="I86">
            <v>10974.981000000016</v>
          </cell>
          <cell r="K86">
            <v>23182.17732133326</v>
          </cell>
          <cell r="M86">
            <v>-47249.288972169219</v>
          </cell>
        </row>
        <row r="89">
          <cell r="Q89">
            <v>77145.46926023539</v>
          </cell>
          <cell r="R89">
            <v>78262.687133277446</v>
          </cell>
        </row>
        <row r="92">
          <cell r="H92">
            <v>11451.931292802685</v>
          </cell>
          <cell r="I92">
            <v>-16827.522974362175</v>
          </cell>
        </row>
      </sheetData>
      <sheetData sheetId="16">
        <row r="2">
          <cell r="N2">
            <v>12000</v>
          </cell>
        </row>
        <row r="5">
          <cell r="T5">
            <v>12000</v>
          </cell>
          <cell r="U5">
            <v>8648</v>
          </cell>
        </row>
        <row r="9">
          <cell r="E9">
            <v>228.375</v>
          </cell>
          <cell r="F9">
            <v>255.20375346901008</v>
          </cell>
          <cell r="G9">
            <v>97000</v>
          </cell>
          <cell r="H9">
            <v>100000.00045310336</v>
          </cell>
        </row>
        <row r="10">
          <cell r="E10">
            <v>52.814999999999998</v>
          </cell>
          <cell r="F10">
            <v>2.028445883441258</v>
          </cell>
          <cell r="G10">
            <v>100500</v>
          </cell>
          <cell r="H10">
            <v>100500.05700604265</v>
          </cell>
        </row>
        <row r="11">
          <cell r="E11">
            <v>0</v>
          </cell>
          <cell r="F11">
            <v>0</v>
          </cell>
        </row>
        <row r="12">
          <cell r="E12">
            <v>41.475000000000001</v>
          </cell>
          <cell r="F12">
            <v>72.866223404255265</v>
          </cell>
          <cell r="G12">
            <v>61000</v>
          </cell>
          <cell r="H12">
            <v>63000.015393231261</v>
          </cell>
        </row>
        <row r="13">
          <cell r="E13">
            <v>29.250000000000004</v>
          </cell>
          <cell r="F13">
            <v>29.440108695652164</v>
          </cell>
          <cell r="G13">
            <v>29500</v>
          </cell>
          <cell r="H13">
            <v>30913.279543449793</v>
          </cell>
        </row>
        <row r="14">
          <cell r="E14">
            <v>0</v>
          </cell>
          <cell r="F14">
            <v>0</v>
          </cell>
        </row>
        <row r="15">
          <cell r="E15">
            <v>351.91500000000002</v>
          </cell>
          <cell r="F15">
            <v>359.53853145235877</v>
          </cell>
        </row>
        <row r="16">
          <cell r="E16">
            <v>830.875</v>
          </cell>
          <cell r="F16">
            <v>819.79070305272899</v>
          </cell>
          <cell r="G16">
            <v>11466.666666666668</v>
          </cell>
          <cell r="H16">
            <v>11326.881819015311</v>
          </cell>
        </row>
        <row r="17">
          <cell r="E17">
            <v>872.65</v>
          </cell>
          <cell r="F17">
            <v>878.28746530989849</v>
          </cell>
          <cell r="G17">
            <v>17045.953769880103</v>
          </cell>
          <cell r="H17">
            <v>16594.003631130821</v>
          </cell>
        </row>
        <row r="19">
          <cell r="E19">
            <v>3.0794999999999999</v>
          </cell>
          <cell r="F19">
            <v>2.5816604995374655</v>
          </cell>
        </row>
        <row r="20">
          <cell r="Q20">
            <v>58264.41072395254</v>
          </cell>
          <cell r="R20">
            <v>56851.647664199816</v>
          </cell>
        </row>
        <row r="21">
          <cell r="Q21">
            <v>18869.991286727458</v>
          </cell>
          <cell r="R21">
            <v>17517.293593894541</v>
          </cell>
        </row>
        <row r="22">
          <cell r="Q22">
            <v>125</v>
          </cell>
          <cell r="R22">
            <v>90.503584643848285</v>
          </cell>
        </row>
        <row r="50">
          <cell r="Q50">
            <v>87637.394094013333</v>
          </cell>
          <cell r="R50">
            <v>86921.026942645694</v>
          </cell>
        </row>
        <row r="56">
          <cell r="L56">
            <v>10035.695685027231</v>
          </cell>
        </row>
        <row r="80">
          <cell r="H80">
            <v>27035.347000000002</v>
          </cell>
          <cell r="I80">
            <v>41251.373</v>
          </cell>
          <cell r="L80">
            <v>-14216.025999999998</v>
          </cell>
        </row>
        <row r="85">
          <cell r="H85">
            <v>31473.551222222224</v>
          </cell>
          <cell r="I85">
            <v>35337.978560000003</v>
          </cell>
          <cell r="L85">
            <v>-3864.4273377777813</v>
          </cell>
          <cell r="Q85">
            <v>96922.491042646026</v>
          </cell>
          <cell r="R85">
            <v>98451.086956521729</v>
          </cell>
        </row>
        <row r="86">
          <cell r="H86">
            <v>52912.265161370153</v>
          </cell>
          <cell r="I86">
            <v>26963.159999999894</v>
          </cell>
          <cell r="K86">
            <v>13219.297463197076</v>
          </cell>
          <cell r="M86">
            <v>-31123.644971816742</v>
          </cell>
        </row>
        <row r="89">
          <cell r="Q89">
            <v>77259.402010680002</v>
          </cell>
          <cell r="R89">
            <v>74459.444842738216</v>
          </cell>
        </row>
        <row r="92">
          <cell r="H92">
            <v>-6167.8758880441092</v>
          </cell>
          <cell r="I92">
            <v>-19972.216977584954</v>
          </cell>
        </row>
      </sheetData>
      <sheetData sheetId="17">
        <row r="2">
          <cell r="N2">
            <v>7500</v>
          </cell>
        </row>
        <row r="5">
          <cell r="T5">
            <v>7500</v>
          </cell>
          <cell r="U5">
            <v>3166.5</v>
          </cell>
        </row>
        <row r="9">
          <cell r="E9">
            <v>255.33100000000002</v>
          </cell>
          <cell r="F9">
            <v>227.0567029843676</v>
          </cell>
          <cell r="G9">
            <v>96999.999999999985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53.269999999999996</v>
          </cell>
          <cell r="F12">
            <v>74.456352439602128</v>
          </cell>
          <cell r="G12">
            <v>57200.000000000007</v>
          </cell>
          <cell r="H12">
            <v>59058.543800455707</v>
          </cell>
        </row>
        <row r="13">
          <cell r="E13">
            <v>34.289000000000001</v>
          </cell>
          <cell r="F13">
            <v>39.53671561661141</v>
          </cell>
          <cell r="G13">
            <v>31000</v>
          </cell>
          <cell r="H13">
            <v>31421.490704632786</v>
          </cell>
        </row>
        <row r="14">
          <cell r="E14">
            <v>0</v>
          </cell>
          <cell r="F14">
            <v>0</v>
          </cell>
        </row>
        <row r="15">
          <cell r="E15">
            <v>342.89</v>
          </cell>
          <cell r="F15">
            <v>341.04977104058111</v>
          </cell>
        </row>
        <row r="16">
          <cell r="E16">
            <v>711.63889583915125</v>
          </cell>
          <cell r="F16">
            <v>604.12126954050211</v>
          </cell>
          <cell r="G16">
            <v>10933.333333333334</v>
          </cell>
          <cell r="H16">
            <v>10700.395201129146</v>
          </cell>
        </row>
        <row r="17">
          <cell r="E17">
            <v>982.73942758739918</v>
          </cell>
          <cell r="F17">
            <v>1007.0582662245382</v>
          </cell>
          <cell r="G17">
            <v>14319.243604004449</v>
          </cell>
          <cell r="H17">
            <v>14343.624817724258</v>
          </cell>
        </row>
        <row r="19">
          <cell r="E19">
            <v>3.0860099999999995</v>
          </cell>
          <cell r="F19">
            <v>2.9532922785409754</v>
          </cell>
        </row>
        <row r="20">
          <cell r="Q20">
            <v>52889.987524058575</v>
          </cell>
          <cell r="R20">
            <v>51700.94110216327</v>
          </cell>
        </row>
        <row r="21">
          <cell r="Q21">
            <v>17937.900797448168</v>
          </cell>
          <cell r="R21">
            <v>19564.045160271595</v>
          </cell>
        </row>
        <row r="22">
          <cell r="Q22">
            <v>400</v>
          </cell>
          <cell r="R22">
            <v>322.37044054950258</v>
          </cell>
        </row>
        <row r="50">
          <cell r="Q50">
            <v>87949.57312150675</v>
          </cell>
          <cell r="R50">
            <v>101926.37265119217</v>
          </cell>
        </row>
        <row r="56">
          <cell r="L56">
            <v>-44257.544920748849</v>
          </cell>
        </row>
        <row r="80">
          <cell r="H80">
            <v>37668.044999999998</v>
          </cell>
          <cell r="I80">
            <v>36239.696000000004</v>
          </cell>
          <cell r="L80">
            <v>1428.3489999999988</v>
          </cell>
        </row>
        <row r="85">
          <cell r="H85">
            <v>15595.277436470891</v>
          </cell>
          <cell r="I85">
            <v>15659.156789999999</v>
          </cell>
          <cell r="L85">
            <v>-63.879353529107902</v>
          </cell>
          <cell r="Q85">
            <v>90977.461119999993</v>
          </cell>
          <cell r="R85">
            <v>85015.152376440848</v>
          </cell>
        </row>
        <row r="86">
          <cell r="H86">
            <v>-30554.16244777164</v>
          </cell>
          <cell r="I86">
            <v>-105448.24099999999</v>
          </cell>
          <cell r="K86">
            <v>-18879.65063648003</v>
          </cell>
          <cell r="M86">
            <v>-13121.352641470439</v>
          </cell>
        </row>
        <row r="89">
          <cell r="Q89">
            <v>71227.888321506747</v>
          </cell>
          <cell r="R89">
            <v>71587.356702984369</v>
          </cell>
        </row>
        <row r="92">
          <cell r="H92">
            <v>-65214.340244650404</v>
          </cell>
          <cell r="I92">
            <v>-120288.44749555357</v>
          </cell>
        </row>
      </sheetData>
      <sheetData sheetId="18">
        <row r="2">
          <cell r="N2">
            <v>11500</v>
          </cell>
        </row>
        <row r="5">
          <cell r="T5">
            <v>11500</v>
          </cell>
          <cell r="U5">
            <v>11961</v>
          </cell>
        </row>
        <row r="9">
          <cell r="E9">
            <v>265.0791304347826</v>
          </cell>
          <cell r="F9">
            <v>302.26844316378538</v>
          </cell>
          <cell r="G9">
            <v>97000.000000000029</v>
          </cell>
          <cell r="H9">
            <v>99999.999999999927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68.929565217391328</v>
          </cell>
          <cell r="F12">
            <v>53.060474400735011</v>
          </cell>
          <cell r="G12">
            <v>57200</v>
          </cell>
          <cell r="H12">
            <v>59199.985594050057</v>
          </cell>
        </row>
        <row r="13">
          <cell r="E13">
            <v>41.765217391304347</v>
          </cell>
          <cell r="F13">
            <v>41.205883237283892</v>
          </cell>
          <cell r="G13">
            <v>33500</v>
          </cell>
          <cell r="H13">
            <v>35209.394783553136</v>
          </cell>
        </row>
        <row r="14">
          <cell r="E14">
            <v>0</v>
          </cell>
          <cell r="F14">
            <v>0</v>
          </cell>
        </row>
        <row r="15">
          <cell r="E15">
            <v>375.77391304347827</v>
          </cell>
          <cell r="F15">
            <v>396.53480080180429</v>
          </cell>
        </row>
        <row r="16">
          <cell r="E16">
            <v>774.36173913043478</v>
          </cell>
          <cell r="F16">
            <v>704.07667251315479</v>
          </cell>
          <cell r="G16">
            <v>12533.333333333336</v>
          </cell>
          <cell r="H16">
            <v>12134.186011475804</v>
          </cell>
        </row>
        <row r="17">
          <cell r="E17">
            <v>873.22608695652195</v>
          </cell>
          <cell r="F17">
            <v>877.76246554748161</v>
          </cell>
          <cell r="G17">
            <v>19929.543274649095</v>
          </cell>
          <cell r="H17">
            <v>19822.599089390984</v>
          </cell>
        </row>
        <row r="19">
          <cell r="E19">
            <v>3.4014782608695651</v>
          </cell>
          <cell r="F19">
            <v>3.089033659066232</v>
          </cell>
        </row>
        <row r="20">
          <cell r="Q20">
            <v>61156.213320436575</v>
          </cell>
          <cell r="R20">
            <v>63082.599265012948</v>
          </cell>
        </row>
        <row r="21">
          <cell r="Q21">
            <v>21414.620610766044</v>
          </cell>
          <cell r="R21">
            <v>21136.655057212061</v>
          </cell>
        </row>
        <row r="22">
          <cell r="Q22">
            <v>278.26086956521738</v>
          </cell>
          <cell r="R22">
            <v>294.29741919318468</v>
          </cell>
        </row>
        <row r="50">
          <cell r="Q50">
            <v>93532.373771782324</v>
          </cell>
          <cell r="R50">
            <v>93121.614465881576</v>
          </cell>
        </row>
        <row r="56">
          <cell r="L56">
            <v>6038.9558342885048</v>
          </cell>
        </row>
        <row r="80">
          <cell r="H80">
            <v>27220.12</v>
          </cell>
          <cell r="I80">
            <v>28125.335999999996</v>
          </cell>
          <cell r="L80">
            <v>-905.21599999999808</v>
          </cell>
        </row>
        <row r="85">
          <cell r="H85">
            <v>15130.779721949397</v>
          </cell>
          <cell r="I85">
            <v>16023.97515</v>
          </cell>
          <cell r="L85">
            <v>-893.19542805060405</v>
          </cell>
          <cell r="Q85">
            <v>104353.06186956521</v>
          </cell>
          <cell r="R85">
            <v>104675.3448708302</v>
          </cell>
        </row>
        <row r="86">
          <cell r="H86">
            <v>82087.013402553945</v>
          </cell>
          <cell r="I86">
            <v>95170.722000000271</v>
          </cell>
          <cell r="K86">
            <v>3854.8269781305908</v>
          </cell>
          <cell r="M86">
            <v>4988.3372130779098</v>
          </cell>
        </row>
        <row r="89">
          <cell r="Q89">
            <v>82849.094800767838</v>
          </cell>
          <cell r="R89">
            <v>84513.551741418196</v>
          </cell>
        </row>
        <row r="92">
          <cell r="H92">
            <v>21127.885305707008</v>
          </cell>
          <cell r="I92">
            <v>26150.555137984717</v>
          </cell>
        </row>
      </sheetData>
      <sheetData sheetId="19">
        <row r="2">
          <cell r="N2">
            <v>22000</v>
          </cell>
        </row>
        <row r="5">
          <cell r="T5">
            <v>22000</v>
          </cell>
          <cell r="U5">
            <v>22192</v>
          </cell>
        </row>
        <row r="9">
          <cell r="E9">
            <v>341.92180787009602</v>
          </cell>
          <cell r="F9">
            <v>335.60919180549303</v>
          </cell>
          <cell r="G9">
            <v>97000.000000000029</v>
          </cell>
          <cell r="H9">
            <v>99674.048287454687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2.1604268347591171</v>
          </cell>
        </row>
        <row r="12">
          <cell r="E12">
            <v>12.225157790420502</v>
          </cell>
          <cell r="F12">
            <v>29.995050427735244</v>
          </cell>
          <cell r="G12">
            <v>60000</v>
          </cell>
          <cell r="H12">
            <v>59310.238593018978</v>
          </cell>
        </row>
        <row r="13">
          <cell r="E13">
            <v>20.539157564760558</v>
          </cell>
          <cell r="F13">
            <v>28.537916253939642</v>
          </cell>
          <cell r="G13">
            <v>37500.000000000007</v>
          </cell>
          <cell r="H13">
            <v>31522.7360419668</v>
          </cell>
        </row>
        <row r="14">
          <cell r="E14">
            <v>0</v>
          </cell>
          <cell r="F14">
            <v>0</v>
          </cell>
        </row>
        <row r="15">
          <cell r="E15">
            <v>374.68612322527707</v>
          </cell>
          <cell r="F15">
            <v>396.30258532192704</v>
          </cell>
        </row>
        <row r="16">
          <cell r="E16">
            <v>860.00001363636363</v>
          </cell>
          <cell r="F16">
            <v>800.88338586222449</v>
          </cell>
          <cell r="G16">
            <v>10853.333333333334</v>
          </cell>
          <cell r="H16">
            <v>10852.832812933935</v>
          </cell>
        </row>
        <row r="17">
          <cell r="E17">
            <v>889.49599090909101</v>
          </cell>
          <cell r="F17">
            <v>968.83475911751464</v>
          </cell>
          <cell r="G17">
            <v>12554.838709677419</v>
          </cell>
          <cell r="H17">
            <v>12476.922569293731</v>
          </cell>
        </row>
        <row r="19">
          <cell r="E19">
            <v>3.051181818181818</v>
          </cell>
          <cell r="F19">
            <v>3.5436425033768599</v>
          </cell>
        </row>
        <row r="20">
          <cell r="Q20">
            <v>58210.465843847167</v>
          </cell>
          <cell r="R20">
            <v>60777.044574515981</v>
          </cell>
        </row>
        <row r="21">
          <cell r="Q21">
            <v>21915.89118083004</v>
          </cell>
          <cell r="R21">
            <v>21571.939036470059</v>
          </cell>
        </row>
        <row r="22">
          <cell r="Q22">
            <v>136.36363636363635</v>
          </cell>
          <cell r="R22">
            <v>187.65848716794238</v>
          </cell>
        </row>
        <row r="50">
          <cell r="Q50">
            <v>88999.825483010543</v>
          </cell>
          <cell r="R50">
            <v>90140.873750562809</v>
          </cell>
        </row>
        <row r="56">
          <cell r="L56">
            <v>-25319.020221029852</v>
          </cell>
        </row>
        <row r="80">
          <cell r="H80">
            <v>51834.143000000004</v>
          </cell>
          <cell r="I80">
            <v>56748.923000000003</v>
          </cell>
          <cell r="L80">
            <v>-4914.7800000000061</v>
          </cell>
        </row>
        <row r="85">
          <cell r="H85">
            <v>25315.574666666667</v>
          </cell>
          <cell r="I85">
            <v>25198.859659999998</v>
          </cell>
          <cell r="L85">
            <v>116.71500666666907</v>
          </cell>
          <cell r="Q85">
            <v>96533.529090909069</v>
          </cell>
          <cell r="R85">
            <v>96951.990447007949</v>
          </cell>
        </row>
        <row r="86">
          <cell r="H86">
            <v>88591.761707101061</v>
          </cell>
          <cell r="I86">
            <v>69207.64200000024</v>
          </cell>
          <cell r="K86">
            <v>9286.4944145463469</v>
          </cell>
          <cell r="M86">
            <v>1446.4710927165215</v>
          </cell>
        </row>
        <row r="89">
          <cell r="Q89">
            <v>80262.720661040847</v>
          </cell>
          <cell r="R89">
            <v>82536.64209815397</v>
          </cell>
        </row>
        <row r="92">
          <cell r="H92">
            <v>-11781.820048654321</v>
          </cell>
          <cell r="I92">
            <v>-41395.151218046929</v>
          </cell>
        </row>
      </sheetData>
      <sheetData sheetId="20">
        <row r="2">
          <cell r="N2">
            <v>10000</v>
          </cell>
        </row>
        <row r="5">
          <cell r="T5">
            <v>10000</v>
          </cell>
          <cell r="U5">
            <v>13624</v>
          </cell>
        </row>
        <row r="9">
          <cell r="E9">
            <v>314.05300000000005</v>
          </cell>
          <cell r="F9">
            <v>259.4132435408103</v>
          </cell>
          <cell r="G9">
            <v>97000</v>
          </cell>
          <cell r="H9">
            <v>100000.00000000001</v>
          </cell>
        </row>
        <row r="10">
          <cell r="E10">
            <v>7.0015000000000001</v>
          </cell>
          <cell r="F10">
            <v>43.132783323546697</v>
          </cell>
          <cell r="G10">
            <v>94500</v>
          </cell>
          <cell r="H10">
            <v>97498.680486985701</v>
          </cell>
        </row>
        <row r="11">
          <cell r="E11">
            <v>0</v>
          </cell>
          <cell r="F11">
            <v>0</v>
          </cell>
        </row>
        <row r="12">
          <cell r="E12">
            <v>19.750500000000002</v>
          </cell>
          <cell r="F12">
            <v>36.010505725190839</v>
          </cell>
          <cell r="G12">
            <v>60000</v>
          </cell>
          <cell r="H12">
            <v>58930.851657210944</v>
          </cell>
        </row>
        <row r="13">
          <cell r="E13">
            <v>14.202000000000005</v>
          </cell>
          <cell r="F13">
            <v>12.150699500880794</v>
          </cell>
          <cell r="G13">
            <v>32499.999999999985</v>
          </cell>
          <cell r="H13">
            <v>33868.99678647839</v>
          </cell>
        </row>
        <row r="14">
          <cell r="E14">
            <v>0</v>
          </cell>
          <cell r="F14">
            <v>0</v>
          </cell>
        </row>
        <row r="15">
          <cell r="E15">
            <v>355.00700000000006</v>
          </cell>
          <cell r="F15">
            <v>350.70723209042865</v>
          </cell>
        </row>
        <row r="16">
          <cell r="E16">
            <v>740.096</v>
          </cell>
          <cell r="F16">
            <v>691.99684380504993</v>
          </cell>
          <cell r="G16">
            <v>14733.333333333332</v>
          </cell>
          <cell r="H16">
            <v>13716.318873030885</v>
          </cell>
        </row>
        <row r="17">
          <cell r="E17">
            <v>1002.9019999999999</v>
          </cell>
          <cell r="F17">
            <v>1052.19869348209</v>
          </cell>
          <cell r="G17">
            <v>16000</v>
          </cell>
          <cell r="H17">
            <v>15918.004514077464</v>
          </cell>
        </row>
        <row r="19">
          <cell r="E19">
            <v>2.77</v>
          </cell>
          <cell r="F19">
            <v>2.4132450088079849</v>
          </cell>
        </row>
        <row r="20">
          <cell r="Q20">
            <v>62048.690816666669</v>
          </cell>
          <cell r="R20">
            <v>61042.034130945387</v>
          </cell>
        </row>
        <row r="21">
          <cell r="Q21">
            <v>15712.813190656569</v>
          </cell>
          <cell r="R21">
            <v>17234.333602466235</v>
          </cell>
        </row>
        <row r="22">
          <cell r="Q22">
            <v>350</v>
          </cell>
          <cell r="R22">
            <v>283.82053728714033</v>
          </cell>
        </row>
        <row r="50">
          <cell r="Q50">
            <v>89520.633807323233</v>
          </cell>
          <cell r="R50">
            <v>85717.388358778626</v>
          </cell>
        </row>
        <row r="56">
          <cell r="L56">
            <v>51815.415790971783</v>
          </cell>
        </row>
        <row r="80">
          <cell r="H80">
            <v>38441.101999999999</v>
          </cell>
          <cell r="I80">
            <v>37885.317999999999</v>
          </cell>
          <cell r="L80">
            <v>555.78400000000215</v>
          </cell>
        </row>
        <row r="85">
          <cell r="H85">
            <v>21862.992111111111</v>
          </cell>
          <cell r="I85">
            <v>21726.907800000001</v>
          </cell>
          <cell r="L85">
            <v>136.08431111110986</v>
          </cell>
          <cell r="Q85">
            <v>101990.31399999998</v>
          </cell>
          <cell r="R85">
            <v>100264.54051673519</v>
          </cell>
        </row>
        <row r="86">
          <cell r="H86">
            <v>64392.707815656227</v>
          </cell>
          <cell r="I86">
            <v>138578.17499999993</v>
          </cell>
          <cell r="K86">
            <v>-23511.937935999613</v>
          </cell>
          <cell r="M86">
            <v>45190.121018260485</v>
          </cell>
        </row>
        <row r="89">
          <cell r="Q89">
            <v>78111.504007323238</v>
          </cell>
          <cell r="R89">
            <v>78560.188270698767</v>
          </cell>
        </row>
        <row r="92">
          <cell r="H92">
            <v>16189.328416239638</v>
          </cell>
          <cell r="I92">
            <v>68357.51218678015</v>
          </cell>
        </row>
      </sheetData>
      <sheetData sheetId="21">
        <row r="2">
          <cell r="N2">
            <v>4500</v>
          </cell>
        </row>
        <row r="5">
          <cell r="T5">
            <v>4500</v>
          </cell>
          <cell r="U5">
            <v>5036</v>
          </cell>
        </row>
        <row r="9">
          <cell r="E9">
            <v>270.66666666666669</v>
          </cell>
          <cell r="F9">
            <v>250.94718427323264</v>
          </cell>
          <cell r="G9">
            <v>96999.999999999985</v>
          </cell>
          <cell r="H9">
            <v>100000.00000000001</v>
          </cell>
        </row>
        <row r="10">
          <cell r="E10">
            <v>0</v>
          </cell>
          <cell r="F10">
            <v>17.311556791104049</v>
          </cell>
          <cell r="G10">
            <v>0</v>
          </cell>
          <cell r="H10">
            <v>93100.297083080033</v>
          </cell>
        </row>
        <row r="11">
          <cell r="E11">
            <v>0</v>
          </cell>
          <cell r="F11">
            <v>0</v>
          </cell>
        </row>
        <row r="12">
          <cell r="E12">
            <v>73.044444444444451</v>
          </cell>
          <cell r="F12">
            <v>64.785552025416976</v>
          </cell>
          <cell r="G12">
            <v>60999.999999999985</v>
          </cell>
          <cell r="H12">
            <v>63475.67725425402</v>
          </cell>
        </row>
        <row r="13">
          <cell r="E13">
            <v>13.822222222222223</v>
          </cell>
          <cell r="F13">
            <v>25.073081810961074</v>
          </cell>
          <cell r="G13">
            <v>32500</v>
          </cell>
          <cell r="H13">
            <v>23493.316281776457</v>
          </cell>
        </row>
        <row r="14">
          <cell r="E14">
            <v>0</v>
          </cell>
          <cell r="F14">
            <v>0</v>
          </cell>
        </row>
        <row r="15">
          <cell r="E15">
            <v>357.5333333333333</v>
          </cell>
          <cell r="F15">
            <v>358.11737490071471</v>
          </cell>
        </row>
        <row r="16">
          <cell r="E16">
            <v>858</v>
          </cell>
          <cell r="F16">
            <v>848.79567116759324</v>
          </cell>
          <cell r="G16">
            <v>15133.333333333334</v>
          </cell>
          <cell r="H16">
            <v>15140.106467721051</v>
          </cell>
        </row>
        <row r="17">
          <cell r="E17">
            <v>818</v>
          </cell>
          <cell r="F17">
            <v>815.30182684670388</v>
          </cell>
          <cell r="G17">
            <v>15310.067420741874</v>
          </cell>
          <cell r="H17">
            <v>15356.60373222662</v>
          </cell>
        </row>
        <row r="19">
          <cell r="E19">
            <v>2.8</v>
          </cell>
          <cell r="F19">
            <v>2.8721703733121515</v>
          </cell>
        </row>
        <row r="20">
          <cell r="Q20">
            <v>58740.195150166852</v>
          </cell>
          <cell r="R20">
            <v>59027.821286735496</v>
          </cell>
        </row>
        <row r="21">
          <cell r="Q21">
            <v>14291.403201082994</v>
          </cell>
          <cell r="R21">
            <v>14647.664416203337</v>
          </cell>
        </row>
        <row r="22">
          <cell r="Q22">
            <v>75.555555555555557</v>
          </cell>
          <cell r="R22">
            <v>60.718427323272444</v>
          </cell>
        </row>
        <row r="50">
          <cell r="Q50">
            <v>87298.971240138737</v>
          </cell>
          <cell r="R50">
            <v>85724.162629070692</v>
          </cell>
        </row>
        <row r="56">
          <cell r="L56">
            <v>7930.7383553385835</v>
          </cell>
        </row>
        <row r="80">
          <cell r="H80">
            <v>12076.483</v>
          </cell>
          <cell r="I80">
            <v>11852.588</v>
          </cell>
          <cell r="L80">
            <v>223.8949999999997</v>
          </cell>
        </row>
        <row r="85">
          <cell r="H85">
            <v>10370.319666666666</v>
          </cell>
          <cell r="I85">
            <v>10525.86419</v>
          </cell>
          <cell r="L85">
            <v>-155.54452333333393</v>
          </cell>
          <cell r="Q85">
            <v>109031.39600000001</v>
          </cell>
          <cell r="R85">
            <v>107776.79308975379</v>
          </cell>
        </row>
        <row r="86">
          <cell r="H86">
            <v>75349.108752709071</v>
          </cell>
          <cell r="I86">
            <v>88678.597000000038</v>
          </cell>
          <cell r="K86">
            <v>-6318.1802559999624</v>
          </cell>
          <cell r="M86">
            <v>11648.579671285654</v>
          </cell>
        </row>
        <row r="89">
          <cell r="Q89">
            <v>73107.153906805412</v>
          </cell>
          <cell r="R89">
            <v>73736.204130262107</v>
          </cell>
        </row>
        <row r="92">
          <cell r="H92">
            <v>52160.075463467358</v>
          </cell>
          <cell r="I92">
            <v>60777.331611625268</v>
          </cell>
        </row>
      </sheetData>
      <sheetData sheetId="22">
        <row r="2">
          <cell r="N2">
            <v>4000</v>
          </cell>
        </row>
        <row r="5">
          <cell r="T5">
            <v>4000</v>
          </cell>
          <cell r="U5">
            <v>3644.5</v>
          </cell>
        </row>
        <row r="9">
          <cell r="E9">
            <v>308.10000000000002</v>
          </cell>
          <cell r="F9">
            <v>354.30303296703306</v>
          </cell>
          <cell r="G9">
            <v>97000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26</v>
          </cell>
          <cell r="F12">
            <v>55.688186813186817</v>
          </cell>
          <cell r="G12">
            <v>60000</v>
          </cell>
          <cell r="H12">
            <v>60237.241311265127</v>
          </cell>
        </row>
        <row r="13">
          <cell r="E13">
            <v>22.3</v>
          </cell>
          <cell r="F13">
            <v>24.058519230769232</v>
          </cell>
          <cell r="G13">
            <v>45000</v>
          </cell>
          <cell r="H13">
            <v>45196.059836244065</v>
          </cell>
        </row>
        <row r="14">
          <cell r="E14">
            <v>0</v>
          </cell>
          <cell r="F14">
            <v>0</v>
          </cell>
        </row>
        <row r="15">
          <cell r="E15">
            <v>356.40000000000003</v>
          </cell>
          <cell r="F15">
            <v>434.04973901098907</v>
          </cell>
        </row>
        <row r="16">
          <cell r="E16">
            <v>866.4</v>
          </cell>
          <cell r="F16">
            <v>921.88461538461536</v>
          </cell>
          <cell r="G16">
            <v>12466.666666666668</v>
          </cell>
          <cell r="H16">
            <v>12747.04082058373</v>
          </cell>
        </row>
        <row r="17">
          <cell r="E17">
            <v>880.5</v>
          </cell>
          <cell r="F17">
            <v>806.77884615384608</v>
          </cell>
          <cell r="G17">
            <v>12387.096774193547</v>
          </cell>
          <cell r="H17">
            <v>12385.647713826012</v>
          </cell>
        </row>
        <row r="19">
          <cell r="E19">
            <v>2.9860000000000002</v>
          </cell>
          <cell r="F19">
            <v>4.0548489010989011</v>
          </cell>
        </row>
        <row r="20">
          <cell r="Q20">
            <v>56848.758709677422</v>
          </cell>
          <cell r="R20">
            <v>66088.832967032969</v>
          </cell>
        </row>
        <row r="21">
          <cell r="Q21">
            <v>14791.004200021</v>
          </cell>
          <cell r="R21">
            <v>13926.033241758243</v>
          </cell>
        </row>
        <row r="22">
          <cell r="Q22">
            <v>375</v>
          </cell>
          <cell r="R22">
            <v>692.90192307692314</v>
          </cell>
        </row>
        <row r="50">
          <cell r="Q50">
            <v>92199.279680531748</v>
          </cell>
          <cell r="R50">
            <v>98271.045604395593</v>
          </cell>
        </row>
        <row r="56">
          <cell r="L56">
            <v>-22101.228942864524</v>
          </cell>
        </row>
        <row r="80">
          <cell r="H80">
            <v>11884.141</v>
          </cell>
          <cell r="I80">
            <v>9446.9320000000007</v>
          </cell>
          <cell r="L80">
            <v>2437.2089999999989</v>
          </cell>
        </row>
        <row r="85">
          <cell r="H85">
            <v>6031.4589999999989</v>
          </cell>
          <cell r="I85">
            <v>6157.2250199999989</v>
          </cell>
          <cell r="L85">
            <v>-125.76602000000003</v>
          </cell>
          <cell r="Q85">
            <v>110952.12037000002</v>
          </cell>
          <cell r="R85">
            <v>128270.06868131869</v>
          </cell>
        </row>
        <row r="86">
          <cell r="H86">
            <v>57095.762757873075</v>
          </cell>
          <cell r="I86">
            <v>93604.435999999972</v>
          </cell>
          <cell r="K86">
            <v>63037.331853199968</v>
          </cell>
          <cell r="M86">
            <v>-6738.8726482085694</v>
          </cell>
        </row>
        <row r="89">
          <cell r="Q89">
            <v>72014.762909698416</v>
          </cell>
          <cell r="R89">
            <v>80707.768131868128</v>
          </cell>
        </row>
        <row r="92">
          <cell r="H92">
            <v>36120.174219671884</v>
          </cell>
          <cell r="I92">
            <v>69573.557943765103</v>
          </cell>
        </row>
      </sheetData>
      <sheetData sheetId="23">
        <row r="2">
          <cell r="N2">
            <v>6000</v>
          </cell>
        </row>
        <row r="5">
          <cell r="T5">
            <v>6000</v>
          </cell>
          <cell r="U5">
            <v>4034.5</v>
          </cell>
        </row>
        <row r="9">
          <cell r="E9">
            <v>366.6400000000001</v>
          </cell>
          <cell r="F9">
            <v>341.93704796133369</v>
          </cell>
          <cell r="G9">
            <v>114000</v>
          </cell>
          <cell r="H9">
            <v>117000.00192817187</v>
          </cell>
        </row>
        <row r="10">
          <cell r="E10">
            <v>0</v>
          </cell>
          <cell r="F10">
            <v>28.654604040153668</v>
          </cell>
          <cell r="G10">
            <v>0</v>
          </cell>
          <cell r="H10">
            <v>117000.00864999527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366.6400000000001</v>
          </cell>
          <cell r="F15">
            <v>370.59165200148738</v>
          </cell>
        </row>
        <row r="16">
          <cell r="E16">
            <v>750.94</v>
          </cell>
          <cell r="F16">
            <v>797.20659313421743</v>
          </cell>
          <cell r="G16">
            <v>18000</v>
          </cell>
          <cell r="H16">
            <v>18072.292955013945</v>
          </cell>
        </row>
        <row r="17">
          <cell r="E17">
            <v>982.84</v>
          </cell>
          <cell r="F17">
            <v>983.69562523237073</v>
          </cell>
          <cell r="G17">
            <v>19016.691090978813</v>
          </cell>
          <cell r="H17">
            <v>20256.194944465722</v>
          </cell>
        </row>
        <row r="19">
          <cell r="E19">
            <v>3.238</v>
          </cell>
          <cell r="F19">
            <v>3.8142892551741228</v>
          </cell>
        </row>
        <row r="20">
          <cell r="Q20">
            <v>77052.884671857624</v>
          </cell>
          <cell r="R20">
            <v>81475.475523608882</v>
          </cell>
        </row>
        <row r="21">
          <cell r="Q21">
            <v>17312.239445262639</v>
          </cell>
          <cell r="R21">
            <v>16612.281819308464</v>
          </cell>
        </row>
        <row r="22">
          <cell r="Q22">
            <v>416.66666666666669</v>
          </cell>
          <cell r="R22">
            <v>446.34700706407239</v>
          </cell>
        </row>
        <row r="50">
          <cell r="Q50">
            <v>107238.2234504536</v>
          </cell>
          <cell r="R50">
            <v>114462.26124674681</v>
          </cell>
        </row>
        <row r="56">
          <cell r="L56">
            <v>-29145.380959145008</v>
          </cell>
        </row>
        <row r="80">
          <cell r="H80">
            <v>15587.02</v>
          </cell>
          <cell r="I80">
            <v>15984.615999999998</v>
          </cell>
          <cell r="L80">
            <v>-397.59599999999847</v>
          </cell>
        </row>
        <row r="85">
          <cell r="H85">
            <v>12720.902620014094</v>
          </cell>
          <cell r="I85">
            <v>12480.98353</v>
          </cell>
          <cell r="L85">
            <v>239.91909001409476</v>
          </cell>
          <cell r="Q85">
            <v>122710.27000000002</v>
          </cell>
          <cell r="R85">
            <v>127053.40116495227</v>
          </cell>
        </row>
        <row r="86">
          <cell r="H86">
            <v>64524.356677264397</v>
          </cell>
          <cell r="I86">
            <v>22333.353999999948</v>
          </cell>
          <cell r="K86">
            <v>17522.362684999869</v>
          </cell>
          <cell r="M86">
            <v>-30410.3074931335</v>
          </cell>
        </row>
        <row r="89">
          <cell r="Q89">
            <v>94781.790783786928</v>
          </cell>
          <cell r="R89">
            <v>98534.104349981426</v>
          </cell>
        </row>
        <row r="92">
          <cell r="H92">
            <v>29726.642253040642</v>
          </cell>
          <cell r="I92">
            <v>-4017.1506393147356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97314.828773584901</v>
          </cell>
        </row>
        <row r="89">
          <cell r="Q89">
            <v>79407.762502858823</v>
          </cell>
        </row>
        <row r="90">
          <cell r="Q90">
            <v>17907.066270726078</v>
          </cell>
        </row>
      </sheetData>
      <sheetData sheetId="1">
        <row r="5">
          <cell r="T5">
            <v>93470</v>
          </cell>
        </row>
        <row r="85">
          <cell r="Q85">
            <v>93007.035524840423</v>
          </cell>
        </row>
        <row r="89">
          <cell r="Q89">
            <v>80706.855300581767</v>
          </cell>
        </row>
        <row r="90">
          <cell r="Q90">
            <v>12300.180224258656</v>
          </cell>
        </row>
      </sheetData>
      <sheetData sheetId="2">
        <row r="5">
          <cell r="T5">
            <v>117338</v>
          </cell>
        </row>
        <row r="85">
          <cell r="Q85">
            <v>98256.721109491045</v>
          </cell>
        </row>
        <row r="89">
          <cell r="Q89">
            <v>77832.414081687588</v>
          </cell>
        </row>
        <row r="90">
          <cell r="Q90">
            <v>20424.307027803457</v>
          </cell>
        </row>
      </sheetData>
      <sheetData sheetId="3"/>
      <sheetData sheetId="4"/>
      <sheetData sheetId="5">
        <row r="5">
          <cell r="T5">
            <v>55119</v>
          </cell>
        </row>
        <row r="85">
          <cell r="Q85">
            <v>102574.0157361422</v>
          </cell>
        </row>
        <row r="89">
          <cell r="Q89">
            <v>80620.59961459451</v>
          </cell>
        </row>
        <row r="90">
          <cell r="Q90">
            <v>21953.416121547692</v>
          </cell>
        </row>
      </sheetData>
      <sheetData sheetId="6">
        <row r="85">
          <cell r="Q85">
            <v>93013.190757102799</v>
          </cell>
        </row>
        <row r="86">
          <cell r="H86">
            <v>190614.90200000023</v>
          </cell>
        </row>
        <row r="89">
          <cell r="Q89">
            <v>80028.848877739641</v>
          </cell>
        </row>
        <row r="92">
          <cell r="H92">
            <v>12112.095766655286</v>
          </cell>
        </row>
      </sheetData>
      <sheetData sheetId="7">
        <row r="85">
          <cell r="Q85">
            <v>95722.432365145243</v>
          </cell>
        </row>
        <row r="86">
          <cell r="H86">
            <v>97876.781000000672</v>
          </cell>
        </row>
        <row r="89">
          <cell r="Q89">
            <v>84108.984324573539</v>
          </cell>
        </row>
        <row r="92">
          <cell r="H92">
            <v>-59939.543251113195</v>
          </cell>
        </row>
      </sheetData>
      <sheetData sheetId="8">
        <row r="85">
          <cell r="Q85">
            <v>84220.755932517626</v>
          </cell>
        </row>
        <row r="86">
          <cell r="H86">
            <v>-148312.20099999994</v>
          </cell>
        </row>
        <row r="89">
          <cell r="Q89">
            <v>77980.047923618826</v>
          </cell>
        </row>
        <row r="92">
          <cell r="H92">
            <v>-194044.7369745113</v>
          </cell>
        </row>
      </sheetData>
      <sheetData sheetId="9">
        <row r="85">
          <cell r="Q85">
            <v>93540.988217080943</v>
          </cell>
        </row>
        <row r="86">
          <cell r="H86">
            <v>38862.012000000112</v>
          </cell>
        </row>
        <row r="89">
          <cell r="Q89">
            <v>75925.280811903329</v>
          </cell>
        </row>
        <row r="92">
          <cell r="H92">
            <v>-16745.468719633544</v>
          </cell>
        </row>
      </sheetData>
      <sheetData sheetId="10">
        <row r="85">
          <cell r="Q85">
            <v>107443.60961214165</v>
          </cell>
        </row>
        <row r="86">
          <cell r="H86">
            <v>403322.7739999998</v>
          </cell>
        </row>
        <row r="89">
          <cell r="Q89">
            <v>80237.381064690038</v>
          </cell>
        </row>
        <row r="92">
          <cell r="H92">
            <v>267030.57685575588</v>
          </cell>
        </row>
      </sheetData>
      <sheetData sheetId="11">
        <row r="85">
          <cell r="Q85">
            <v>96358.82623324779</v>
          </cell>
        </row>
        <row r="86">
          <cell r="H86">
            <v>146357.65599999987</v>
          </cell>
        </row>
        <row r="89">
          <cell r="Q89">
            <v>75437.947313292141</v>
          </cell>
        </row>
        <row r="92">
          <cell r="H92">
            <v>55998.32866501328</v>
          </cell>
        </row>
      </sheetData>
      <sheetData sheetId="12">
        <row r="85">
          <cell r="Q85">
            <v>91228.592092574749</v>
          </cell>
        </row>
        <row r="86">
          <cell r="H86">
            <v>55355.958000000195</v>
          </cell>
        </row>
        <row r="89">
          <cell r="Q89">
            <v>75407.765509482488</v>
          </cell>
        </row>
        <row r="92">
          <cell r="H92">
            <v>-5653.7430659171659</v>
          </cell>
        </row>
      </sheetData>
      <sheetData sheetId="13">
        <row r="85">
          <cell r="Q85">
            <v>97823.063604240277</v>
          </cell>
        </row>
        <row r="86">
          <cell r="H86">
            <v>121850.80299999993</v>
          </cell>
        </row>
        <row r="89">
          <cell r="Q89">
            <v>82325.942185450505</v>
          </cell>
        </row>
        <row r="92">
          <cell r="H92">
            <v>18216.995769663394</v>
          </cell>
        </row>
      </sheetData>
      <sheetData sheetId="14">
        <row r="85">
          <cell r="Q85">
            <v>94860.672935064926</v>
          </cell>
        </row>
        <row r="86">
          <cell r="H86">
            <v>64674.860999999895</v>
          </cell>
        </row>
        <row r="89">
          <cell r="Q89">
            <v>72164.360519480513</v>
          </cell>
        </row>
        <row r="92">
          <cell r="H92">
            <v>15847.566908189088</v>
          </cell>
        </row>
      </sheetData>
      <sheetData sheetId="15">
        <row r="85">
          <cell r="Q85">
            <v>97838.953520478593</v>
          </cell>
        </row>
        <row r="86">
          <cell r="H86">
            <v>89749.104000000021</v>
          </cell>
        </row>
        <row r="89">
          <cell r="Q89">
            <v>73565.780487804877</v>
          </cell>
        </row>
        <row r="92">
          <cell r="H92">
            <v>32900.834709629053</v>
          </cell>
        </row>
      </sheetData>
      <sheetData sheetId="16">
        <row r="85">
          <cell r="Q85">
            <v>87222.21865811279</v>
          </cell>
        </row>
        <row r="86">
          <cell r="H86">
            <v>-23079.406999999977</v>
          </cell>
        </row>
        <row r="89">
          <cell r="Q89">
            <v>74076.489084914909</v>
          </cell>
        </row>
        <row r="92">
          <cell r="H92">
            <v>-75428.819290175219</v>
          </cell>
        </row>
      </sheetData>
      <sheetData sheetId="17">
        <row r="85">
          <cell r="Q85">
            <v>104268.30057228166</v>
          </cell>
        </row>
        <row r="86">
          <cell r="H86">
            <v>108614.25899999993</v>
          </cell>
        </row>
        <row r="89">
          <cell r="Q89">
            <v>83859.971925465827</v>
          </cell>
        </row>
        <row r="92">
          <cell r="H92">
            <v>41383.614592542435</v>
          </cell>
        </row>
      </sheetData>
      <sheetData sheetId="18">
        <row r="85">
          <cell r="Q85">
            <v>100519.80923712048</v>
          </cell>
        </row>
        <row r="86">
          <cell r="H86">
            <v>139570.24699999997</v>
          </cell>
        </row>
        <row r="89">
          <cell r="Q89">
            <v>84239.872335854234</v>
          </cell>
        </row>
        <row r="92">
          <cell r="H92">
            <v>21119.952963286283</v>
          </cell>
        </row>
      </sheetData>
      <sheetData sheetId="19">
        <row r="85">
          <cell r="Q85">
            <v>93244.470874771665</v>
          </cell>
        </row>
        <row r="86">
          <cell r="H86">
            <v>-35664.611000000034</v>
          </cell>
        </row>
        <row r="89">
          <cell r="Q89">
            <v>72003.515323726402</v>
          </cell>
        </row>
        <row r="92">
          <cell r="H92">
            <v>-47222.317056987296</v>
          </cell>
        </row>
      </sheetData>
      <sheetData sheetId="20">
        <row r="85">
          <cell r="Q85">
            <v>114410.94252873563</v>
          </cell>
        </row>
        <row r="86">
          <cell r="H86">
            <v>131898.42700000003</v>
          </cell>
        </row>
        <row r="89">
          <cell r="Q89">
            <v>74829.890022988489</v>
          </cell>
        </row>
        <row r="92">
          <cell r="H92">
            <v>100597.09471559085</v>
          </cell>
        </row>
      </sheetData>
      <sheetData sheetId="21">
        <row r="85">
          <cell r="Q85">
            <v>96662.220538295296</v>
          </cell>
        </row>
        <row r="86">
          <cell r="H86">
            <v>206107.4329999999</v>
          </cell>
        </row>
        <row r="89">
          <cell r="Q89">
            <v>75942.79123097194</v>
          </cell>
        </row>
        <row r="92">
          <cell r="H92">
            <v>119460.98324308527</v>
          </cell>
        </row>
      </sheetData>
      <sheetData sheetId="22">
        <row r="85">
          <cell r="Q85">
            <v>121197.02975743936</v>
          </cell>
        </row>
        <row r="86">
          <cell r="H86">
            <v>105087.73800000001</v>
          </cell>
        </row>
        <row r="89">
          <cell r="Q89">
            <v>89275.847961990497</v>
          </cell>
        </row>
        <row r="92">
          <cell r="H92">
            <v>68508.839013285091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16283.083916083915</v>
          </cell>
          <cell r="X10">
            <v>13168</v>
          </cell>
        </row>
        <row r="14">
          <cell r="W14">
            <v>5000</v>
          </cell>
          <cell r="X14">
            <v>6375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U27">
            <v>1</v>
          </cell>
          <cell r="V27">
            <v>14752</v>
          </cell>
        </row>
        <row r="29">
          <cell r="U29">
            <v>0</v>
          </cell>
          <cell r="V29">
            <v>2336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물량"/>
      <sheetName val="제조원가금액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25914.720000000001</v>
          </cell>
          <cell r="G10">
            <v>23696</v>
          </cell>
        </row>
        <row r="12">
          <cell r="F12">
            <v>20160</v>
          </cell>
          <cell r="G12">
            <v>10736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X10">
            <v>9902</v>
          </cell>
        </row>
        <row r="14">
          <cell r="X14">
            <v>14671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27">
          <cell r="V27">
            <v>14366</v>
          </cell>
        </row>
        <row r="29">
          <cell r="V29">
            <v>6048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25">
          <cell r="Y25">
            <v>7142</v>
          </cell>
        </row>
        <row r="27">
          <cell r="Y27">
            <v>5808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매출이익,매출이익률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7000</v>
          </cell>
          <cell r="I6">
            <v>8500</v>
          </cell>
          <cell r="J6">
            <v>9400</v>
          </cell>
          <cell r="K6">
            <v>8100</v>
          </cell>
          <cell r="L6">
            <v>8500</v>
          </cell>
          <cell r="M6">
            <v>9500</v>
          </cell>
          <cell r="N6">
            <v>10000</v>
          </cell>
          <cell r="O6">
            <v>11000</v>
          </cell>
          <cell r="P6">
            <v>11600</v>
          </cell>
          <cell r="Q6">
            <v>11600</v>
          </cell>
          <cell r="R6">
            <v>10800</v>
          </cell>
          <cell r="S6">
            <v>114000</v>
          </cell>
          <cell r="T6"/>
          <cell r="U6"/>
          <cell r="V6">
            <v>15000</v>
          </cell>
          <cell r="W6">
            <v>23500</v>
          </cell>
          <cell r="X6">
            <v>32900</v>
          </cell>
          <cell r="Y6">
            <v>41000</v>
          </cell>
          <cell r="Z6">
            <v>49500</v>
          </cell>
          <cell r="AA6">
            <v>59000</v>
          </cell>
          <cell r="AB6">
            <v>69000</v>
          </cell>
          <cell r="AC6">
            <v>80000</v>
          </cell>
          <cell r="AD6">
            <v>91600</v>
          </cell>
          <cell r="AE6">
            <v>103200</v>
          </cell>
          <cell r="AF6">
            <v>114000</v>
          </cell>
        </row>
        <row r="7">
          <cell r="G7">
            <v>7664843.438000001</v>
          </cell>
          <cell r="H7">
            <v>6724612.3420000011</v>
          </cell>
          <cell r="I7">
            <v>8197613.5220000008</v>
          </cell>
          <cell r="J7">
            <v>9270292.1250000019</v>
          </cell>
          <cell r="K7">
            <v>8182096.0099999998</v>
          </cell>
          <cell r="L7">
            <v>8768426.0300000012</v>
          </cell>
          <cell r="M7">
            <v>9997633.0600000005</v>
          </cell>
          <cell r="N7">
            <v>10755852.659999998</v>
          </cell>
          <cell r="O7">
            <v>12095400.806</v>
          </cell>
          <cell r="P7">
            <v>13010178.374</v>
          </cell>
          <cell r="Q7">
            <v>13245843.674000001</v>
          </cell>
          <cell r="R7">
            <v>12087608.564999999</v>
          </cell>
          <cell r="S7">
            <v>120000400.60599999</v>
          </cell>
          <cell r="T7">
            <v>1052635.0930350877</v>
          </cell>
          <cell r="U7"/>
          <cell r="V7">
            <v>14389455.780000001</v>
          </cell>
          <cell r="W7">
            <v>22587069.302000001</v>
          </cell>
          <cell r="X7">
            <v>31857361.427000001</v>
          </cell>
          <cell r="Y7">
            <v>40039457.436999999</v>
          </cell>
          <cell r="Z7">
            <v>48807883.467</v>
          </cell>
          <cell r="AA7">
            <v>58805516.527000003</v>
          </cell>
          <cell r="AB7">
            <v>69561369.187000006</v>
          </cell>
          <cell r="AC7">
            <v>81656769.993000001</v>
          </cell>
          <cell r="AD7">
            <v>94666948.366999999</v>
          </cell>
          <cell r="AE7">
            <v>107912792.04099999</v>
          </cell>
          <cell r="AF7">
            <v>120000400.60599999</v>
          </cell>
        </row>
        <row r="8">
          <cell r="G8">
            <v>958105.42975000013</v>
          </cell>
          <cell r="H8">
            <v>960658.90600000008</v>
          </cell>
          <cell r="I8">
            <v>964425.12023529422</v>
          </cell>
          <cell r="J8">
            <v>986201.28989361716</v>
          </cell>
          <cell r="K8">
            <v>1010135.3098765431</v>
          </cell>
          <cell r="L8">
            <v>1031579.5329411767</v>
          </cell>
          <cell r="M8">
            <v>1052382.4273684211</v>
          </cell>
          <cell r="N8">
            <v>1075585.2659999998</v>
          </cell>
          <cell r="O8">
            <v>1099581.8914545455</v>
          </cell>
          <cell r="P8">
            <v>1121567.1012068966</v>
          </cell>
          <cell r="Q8">
            <v>1141883.0753448275</v>
          </cell>
          <cell r="R8">
            <v>1119223.0152777776</v>
          </cell>
          <cell r="S8">
            <v>12521328.365349099</v>
          </cell>
          <cell r="T8">
            <v>109836.21373113245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7497045.0560000008</v>
          </cell>
          <cell r="H9">
            <v>6587018.6040000003</v>
          </cell>
          <cell r="I9">
            <v>8020259.3359999992</v>
          </cell>
          <cell r="J9">
            <v>9047355.0950000007</v>
          </cell>
          <cell r="K9">
            <v>7960224.5199999986</v>
          </cell>
          <cell r="L9">
            <v>8509567.8339999989</v>
          </cell>
          <cell r="M9">
            <v>9686395.1279999986</v>
          </cell>
          <cell r="N9">
            <v>10399756.106000002</v>
          </cell>
          <cell r="O9">
            <v>11655315.384</v>
          </cell>
          <cell r="P9">
            <v>12510523.375999996</v>
          </cell>
          <cell r="Q9">
            <v>12713703.596000001</v>
          </cell>
          <cell r="R9">
            <v>11610766.225000001</v>
          </cell>
          <cell r="S9">
            <v>116197930.25999999</v>
          </cell>
          <cell r="T9">
            <v>1019280.09</v>
          </cell>
          <cell r="U9"/>
          <cell r="V9">
            <v>14084063.66</v>
          </cell>
          <cell r="W9">
            <v>22104322.995999999</v>
          </cell>
          <cell r="X9">
            <v>31151678.090999998</v>
          </cell>
          <cell r="Y9">
            <v>39111902.610999994</v>
          </cell>
          <cell r="Z9">
            <v>47621470.444999993</v>
          </cell>
          <cell r="AA9">
            <v>57307865.572999991</v>
          </cell>
          <cell r="AB9">
            <v>67707621.67899999</v>
          </cell>
          <cell r="AC9">
            <v>79362937.062999994</v>
          </cell>
          <cell r="AD9">
            <v>91873460.438999996</v>
          </cell>
          <cell r="AE9">
            <v>104587164.035</v>
          </cell>
          <cell r="AF9">
            <v>116197930.25999999</v>
          </cell>
        </row>
        <row r="10">
          <cell r="G10">
            <v>937130.6320000001</v>
          </cell>
          <cell r="H10">
            <v>941002.65771428577</v>
          </cell>
          <cell r="I10">
            <v>943559.92188235279</v>
          </cell>
          <cell r="J10">
            <v>962484.5845744682</v>
          </cell>
          <cell r="K10">
            <v>982743.76790123433</v>
          </cell>
          <cell r="L10">
            <v>1001125.6275294117</v>
          </cell>
          <cell r="M10">
            <v>1019620.5397894736</v>
          </cell>
          <cell r="N10">
            <v>1039975.6106000002</v>
          </cell>
          <cell r="O10">
            <v>1059574.1258181818</v>
          </cell>
          <cell r="P10">
            <v>1078493.3944827584</v>
          </cell>
          <cell r="Q10">
            <v>1096008.9306896552</v>
          </cell>
          <cell r="R10">
            <v>1075070.9467592593</v>
          </cell>
          <cell r="S10">
            <v>12136790.739741081</v>
          </cell>
          <cell r="T10">
            <v>106463.07666439544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167798.38200000022</v>
          </cell>
          <cell r="H11">
            <v>137593.73800000083</v>
          </cell>
          <cell r="I11">
            <v>177354.18600000162</v>
          </cell>
          <cell r="J11">
            <v>222937.03000000119</v>
          </cell>
          <cell r="K11">
            <v>221871.49000000115</v>
          </cell>
          <cell r="L11">
            <v>258858.19600000232</v>
          </cell>
          <cell r="M11">
            <v>311237.93200000189</v>
          </cell>
          <cell r="N11">
            <v>356096.55399999581</v>
          </cell>
          <cell r="O11">
            <v>440085.42200000025</v>
          </cell>
          <cell r="P11">
            <v>499654.9980000034</v>
          </cell>
          <cell r="Q11">
            <v>532140.07799999975</v>
          </cell>
          <cell r="R11">
            <v>476842.33999999799</v>
          </cell>
          <cell r="S11">
            <v>3802470.3460000064</v>
          </cell>
          <cell r="T11">
            <v>33355.003035087779</v>
          </cell>
          <cell r="U11"/>
          <cell r="V11">
            <v>305392.12000000104</v>
          </cell>
          <cell r="W11">
            <v>482746.30600000173</v>
          </cell>
          <cell r="X11">
            <v>705683.33600000292</v>
          </cell>
          <cell r="Y11">
            <v>927554.82600000501</v>
          </cell>
          <cell r="Z11">
            <v>1186413.0220000073</v>
          </cell>
          <cell r="AA11">
            <v>1497650.9540000111</v>
          </cell>
          <cell r="AB11">
            <v>1853747.5080000162</v>
          </cell>
          <cell r="AC11">
            <v>2293832.9300000072</v>
          </cell>
          <cell r="AD11">
            <v>2793487.9280000031</v>
          </cell>
          <cell r="AE11">
            <v>3325628.0059999973</v>
          </cell>
          <cell r="AF11">
            <v>3802470.3460000008</v>
          </cell>
        </row>
        <row r="12">
          <cell r="G12">
            <v>20974.797750000027</v>
          </cell>
          <cell r="H12">
            <v>19656.248285714406</v>
          </cell>
          <cell r="I12">
            <v>20865.198352941366</v>
          </cell>
          <cell r="J12">
            <v>23716.705319149063</v>
          </cell>
          <cell r="K12">
            <v>27391.541975308784</v>
          </cell>
          <cell r="L12">
            <v>30453.905411764979</v>
          </cell>
          <cell r="M12">
            <v>32761.887578947564</v>
          </cell>
          <cell r="N12">
            <v>35609.655399999581</v>
          </cell>
          <cell r="O12">
            <v>40007.765636363656</v>
          </cell>
          <cell r="P12">
            <v>43073.706724138225</v>
          </cell>
          <cell r="Q12">
            <v>45874.144655172393</v>
          </cell>
          <cell r="R12">
            <v>44152.068518518332</v>
          </cell>
          <cell r="S12">
            <v>384537.62560801837</v>
          </cell>
          <cell r="T12">
            <v>3373.1370667370034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2.189195165658649E-2</v>
          </cell>
          <cell r="H13">
            <v>2.046121486299363E-2</v>
          </cell>
          <cell r="I13">
            <v>2.1634855744788989E-2</v>
          </cell>
          <cell r="J13">
            <v>2.4048544209171956E-2</v>
          </cell>
          <cell r="K13">
            <v>2.7116705759604152E-2</v>
          </cell>
          <cell r="L13">
            <v>2.9521626243336433E-2</v>
          </cell>
          <cell r="M13">
            <v>3.1131161759201619E-2</v>
          </cell>
          <cell r="N13">
            <v>3.3107236149141885E-2</v>
          </cell>
          <cell r="O13">
            <v>3.6384525743181087E-2</v>
          </cell>
          <cell r="P13">
            <v>3.8404930634812172E-2</v>
          </cell>
          <cell r="Q13">
            <v>4.0174117337993864E-2</v>
          </cell>
          <cell r="R13">
            <v>3.9448856855003399E-2</v>
          </cell>
          <cell r="S13">
            <v>3.1687147099489631E-2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162117.92599999998</v>
          </cell>
          <cell r="H14">
            <v>137838.93599999999</v>
          </cell>
          <cell r="I14">
            <v>142380.815</v>
          </cell>
          <cell r="J14">
            <v>162462.32500000001</v>
          </cell>
          <cell r="K14">
            <v>132151.32500000001</v>
          </cell>
          <cell r="L14">
            <v>133701.32500000001</v>
          </cell>
          <cell r="M14">
            <v>160201.32500000001</v>
          </cell>
          <cell r="N14">
            <v>130201.32500000001</v>
          </cell>
          <cell r="O14">
            <v>151849.35500000001</v>
          </cell>
          <cell r="P14">
            <v>161241.32500000001</v>
          </cell>
          <cell r="Q14">
            <v>145201.32500000001</v>
          </cell>
          <cell r="R14">
            <v>150901.32500000001</v>
          </cell>
          <cell r="S14">
            <v>1770248.6319999998</v>
          </cell>
          <cell r="T14">
            <v>15528.496771929822</v>
          </cell>
          <cell r="U14"/>
          <cell r="V14">
            <v>299956.86199999996</v>
          </cell>
          <cell r="W14">
            <v>442337.67699999997</v>
          </cell>
          <cell r="X14">
            <v>604800.00199999998</v>
          </cell>
          <cell r="Y14">
            <v>736951.32700000005</v>
          </cell>
          <cell r="Z14">
            <v>870652.652</v>
          </cell>
          <cell r="AA14">
            <v>1030853.9770000001</v>
          </cell>
          <cell r="AB14">
            <v>1161055.3020000001</v>
          </cell>
          <cell r="AC14">
            <v>1312904.6570000001</v>
          </cell>
          <cell r="AD14">
            <v>1474145.9820000003</v>
          </cell>
          <cell r="AE14">
            <v>1619347.3070000003</v>
          </cell>
          <cell r="AF14">
            <v>1770248.6320000002</v>
          </cell>
        </row>
        <row r="15">
          <cell r="D15">
            <v>11</v>
          </cell>
          <cell r="G15">
            <v>93613.635999999984</v>
          </cell>
          <cell r="H15">
            <v>93613.635999999984</v>
          </cell>
          <cell r="I15">
            <v>95152.545000000013</v>
          </cell>
          <cell r="J15">
            <v>95152.545000000013</v>
          </cell>
          <cell r="K15">
            <v>95152.545000000013</v>
          </cell>
          <cell r="L15">
            <v>95152.545000000013</v>
          </cell>
          <cell r="M15">
            <v>95152.545000000013</v>
          </cell>
          <cell r="N15">
            <v>95152.545000000013</v>
          </cell>
          <cell r="O15">
            <v>95152.545000000013</v>
          </cell>
          <cell r="P15">
            <v>95152.545000000013</v>
          </cell>
          <cell r="Q15">
            <v>95152.545000000013</v>
          </cell>
          <cell r="R15">
            <v>95152.545000000013</v>
          </cell>
          <cell r="S15">
            <v>1138752.7220000003</v>
          </cell>
          <cell r="T15">
            <v>9989.058964912283</v>
          </cell>
          <cell r="U15"/>
          <cell r="V15">
            <v>187227.27199999997</v>
          </cell>
          <cell r="W15">
            <v>282379.81699999998</v>
          </cell>
          <cell r="X15">
            <v>377532.36199999996</v>
          </cell>
          <cell r="Y15">
            <v>472684.90700000001</v>
          </cell>
          <cell r="Z15">
            <v>567837.45200000005</v>
          </cell>
          <cell r="AA15">
            <v>662989.99700000009</v>
          </cell>
          <cell r="AB15">
            <v>758142.54200000013</v>
          </cell>
          <cell r="AC15">
            <v>853295.08700000017</v>
          </cell>
          <cell r="AD15">
            <v>948447.63200000022</v>
          </cell>
          <cell r="AE15">
            <v>1043600.1770000003</v>
          </cell>
          <cell r="AF15">
            <v>1138752.7220000003</v>
          </cell>
        </row>
        <row r="16">
          <cell r="D16">
            <v>12</v>
          </cell>
          <cell r="G16">
            <v>68504.289999999994</v>
          </cell>
          <cell r="H16">
            <v>44225.3</v>
          </cell>
          <cell r="I16">
            <v>47228.27</v>
          </cell>
          <cell r="J16">
            <v>67309.78</v>
          </cell>
          <cell r="K16">
            <v>36998.78</v>
          </cell>
          <cell r="L16">
            <v>38548.78</v>
          </cell>
          <cell r="M16">
            <v>65048.78</v>
          </cell>
          <cell r="N16">
            <v>35048.78</v>
          </cell>
          <cell r="O16">
            <v>56696.81</v>
          </cell>
          <cell r="P16">
            <v>66088.78</v>
          </cell>
          <cell r="Q16">
            <v>50048.78</v>
          </cell>
          <cell r="R16">
            <v>55748.78</v>
          </cell>
          <cell r="S16">
            <v>631495.91</v>
          </cell>
          <cell r="T16">
            <v>5539.4378070175435</v>
          </cell>
          <cell r="U16"/>
          <cell r="V16">
            <v>112729.59</v>
          </cell>
          <cell r="W16">
            <v>159957.85999999999</v>
          </cell>
          <cell r="X16">
            <v>227267.63999999998</v>
          </cell>
          <cell r="Y16">
            <v>264266.42</v>
          </cell>
          <cell r="Z16">
            <v>302815.19999999995</v>
          </cell>
          <cell r="AA16">
            <v>367863.98</v>
          </cell>
          <cell r="AB16">
            <v>402912.76</v>
          </cell>
          <cell r="AC16">
            <v>459609.57</v>
          </cell>
          <cell r="AD16">
            <v>525698.35</v>
          </cell>
          <cell r="AE16">
            <v>575747.13</v>
          </cell>
          <cell r="AF16">
            <v>631495.91</v>
          </cell>
        </row>
        <row r="17">
          <cell r="G17">
            <v>5680.4560000002384</v>
          </cell>
          <cell r="H17">
            <v>-245.19799999915995</v>
          </cell>
          <cell r="I17">
            <v>34973.371000001614</v>
          </cell>
          <cell r="J17">
            <v>60474.70500000118</v>
          </cell>
          <cell r="K17">
            <v>89720.165000001143</v>
          </cell>
          <cell r="L17">
            <v>125156.87100000231</v>
          </cell>
          <cell r="M17">
            <v>151036.60700000188</v>
          </cell>
          <cell r="N17">
            <v>225895.2289999958</v>
          </cell>
          <cell r="O17">
            <v>288236.06700000027</v>
          </cell>
          <cell r="P17">
            <v>338413.67300000339</v>
          </cell>
          <cell r="Q17">
            <v>386938.75299999974</v>
          </cell>
          <cell r="R17">
            <v>325941.01499999798</v>
          </cell>
          <cell r="S17">
            <v>2032221.7140000064</v>
          </cell>
          <cell r="T17">
            <v>17826.506263157953</v>
          </cell>
          <cell r="U17"/>
          <cell r="V17">
            <v>5435.2580000010785</v>
          </cell>
          <cell r="W17">
            <v>40408.629000001762</v>
          </cell>
          <cell r="X17">
            <v>100883.33400000294</v>
          </cell>
          <cell r="Y17">
            <v>190603.49900000496</v>
          </cell>
          <cell r="Z17">
            <v>315760.37000000733</v>
          </cell>
          <cell r="AA17">
            <v>466796.97700001101</v>
          </cell>
          <cell r="AB17">
            <v>692692.20600001607</v>
          </cell>
          <cell r="AC17">
            <v>980928.27300000703</v>
          </cell>
          <cell r="AD17">
            <v>1319341.9460000028</v>
          </cell>
          <cell r="AE17">
            <v>1706280.698999997</v>
          </cell>
          <cell r="AF17">
            <v>2032221.7140000006</v>
          </cell>
        </row>
        <row r="18">
          <cell r="G18">
            <v>7.4110528753114997E-4</v>
          </cell>
          <cell r="H18">
            <v>-3.6462771016215097E-5</v>
          </cell>
          <cell r="I18">
            <v>4.2662868780216703E-3</v>
          </cell>
          <cell r="J18">
            <v>6.5234950727079887E-3</v>
          </cell>
          <cell r="K18">
            <v>1.0965425593924452E-2</v>
          </cell>
          <cell r="L18">
            <v>1.4273584628734366E-2</v>
          </cell>
          <cell r="M18">
            <v>1.510723649223448E-2</v>
          </cell>
          <cell r="N18">
            <v>2.1002075441222699E-2</v>
          </cell>
          <cell r="O18">
            <v>2.3830220397245451E-2</v>
          </cell>
          <cell r="P18">
            <v>2.6011455283065237E-2</v>
          </cell>
          <cell r="Q18">
            <v>2.9212088148036504E-2</v>
          </cell>
          <cell r="R18">
            <v>2.69648883190815E-2</v>
          </cell>
          <cell r="S18">
            <v>1.6935124414062964E-2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D19">
            <v>15</v>
          </cell>
          <cell r="G19">
            <v>5186.2629999999999</v>
          </cell>
          <cell r="H19">
            <v>5186.2629999999999</v>
          </cell>
          <cell r="I19">
            <v>5186.2629999999999</v>
          </cell>
          <cell r="J19">
            <v>5186.2629999999999</v>
          </cell>
          <cell r="K19">
            <v>5186.2629999999999</v>
          </cell>
          <cell r="L19">
            <v>5186.2629999999999</v>
          </cell>
          <cell r="M19">
            <v>5186.2629999999999</v>
          </cell>
          <cell r="N19">
            <v>5186.2629999999999</v>
          </cell>
          <cell r="O19">
            <v>5186.2629999999999</v>
          </cell>
          <cell r="P19">
            <v>5186.2629999999999</v>
          </cell>
          <cell r="Q19">
            <v>5186.2629999999999</v>
          </cell>
          <cell r="R19">
            <v>5186.2629999999999</v>
          </cell>
          <cell r="S19">
            <v>62235.155999999995</v>
          </cell>
          <cell r="T19">
            <v>545.92242105263153</v>
          </cell>
          <cell r="U19"/>
          <cell r="V19">
            <v>10372.526</v>
          </cell>
          <cell r="W19">
            <v>15558.789000000001</v>
          </cell>
          <cell r="X19">
            <v>20745.052</v>
          </cell>
          <cell r="Y19">
            <v>25931.314999999999</v>
          </cell>
          <cell r="Z19">
            <v>31117.577999999998</v>
          </cell>
          <cell r="AA19">
            <v>36303.841</v>
          </cell>
          <cell r="AB19">
            <v>41490.103999999999</v>
          </cell>
          <cell r="AC19">
            <v>46676.366999999998</v>
          </cell>
          <cell r="AD19">
            <v>51862.63</v>
          </cell>
          <cell r="AE19">
            <v>57048.892999999996</v>
          </cell>
          <cell r="AF19">
            <v>62235.155999999995</v>
          </cell>
        </row>
        <row r="20">
          <cell r="G20">
            <v>5186.2629999999999</v>
          </cell>
          <cell r="H20">
            <v>5186.2629999999999</v>
          </cell>
          <cell r="I20">
            <v>5186.2629999999999</v>
          </cell>
          <cell r="J20">
            <v>5186.2629999999999</v>
          </cell>
          <cell r="K20">
            <v>5186.2629999999999</v>
          </cell>
          <cell r="L20">
            <v>5186.2629999999999</v>
          </cell>
          <cell r="M20">
            <v>5186.2629999999999</v>
          </cell>
          <cell r="N20">
            <v>5186.2629999999999</v>
          </cell>
          <cell r="O20">
            <v>5186.2629999999999</v>
          </cell>
          <cell r="P20">
            <v>5186.2629999999999</v>
          </cell>
          <cell r="Q20">
            <v>5186.2629999999999</v>
          </cell>
          <cell r="R20">
            <v>5186.2629999999999</v>
          </cell>
          <cell r="S20">
            <v>62235.155999999995</v>
          </cell>
          <cell r="T20">
            <v>545.92242105263153</v>
          </cell>
          <cell r="U20"/>
          <cell r="V20">
            <v>10372.526</v>
          </cell>
          <cell r="W20">
            <v>15558.789000000001</v>
          </cell>
          <cell r="X20">
            <v>20745.052</v>
          </cell>
          <cell r="Y20">
            <v>25931.314999999999</v>
          </cell>
          <cell r="Z20">
            <v>31117.577999999998</v>
          </cell>
          <cell r="AA20">
            <v>36303.841</v>
          </cell>
          <cell r="AB20">
            <v>41490.103999999999</v>
          </cell>
          <cell r="AC20">
            <v>46676.366999999998</v>
          </cell>
          <cell r="AD20">
            <v>51862.63</v>
          </cell>
          <cell r="AE20">
            <v>57048.892999999996</v>
          </cell>
          <cell r="AF20">
            <v>62235.155999999995</v>
          </cell>
        </row>
        <row r="21">
          <cell r="G21">
            <v>494.1930000002385</v>
          </cell>
          <cell r="H21">
            <v>-5431.4609999991599</v>
          </cell>
          <cell r="I21">
            <v>29787.108000001615</v>
          </cell>
          <cell r="J21">
            <v>55288.442000001181</v>
          </cell>
          <cell r="K21">
            <v>84533.902000001137</v>
          </cell>
          <cell r="L21">
            <v>119970.60800000231</v>
          </cell>
          <cell r="M21">
            <v>145850.34400000187</v>
          </cell>
          <cell r="N21">
            <v>220708.96599999579</v>
          </cell>
          <cell r="O21">
            <v>283049.80400000029</v>
          </cell>
          <cell r="P21">
            <v>333227.41000000341</v>
          </cell>
          <cell r="Q21">
            <v>381752.48999999976</v>
          </cell>
          <cell r="R21">
            <v>320754.751999998</v>
          </cell>
          <cell r="S21">
            <v>1969986.5580000065</v>
          </cell>
          <cell r="T21">
            <v>17280.583842105319</v>
          </cell>
          <cell r="U21"/>
          <cell r="V21">
            <v>-4937.2679999989214</v>
          </cell>
          <cell r="W21">
            <v>24849.840000001761</v>
          </cell>
          <cell r="X21">
            <v>80138.282000002946</v>
          </cell>
          <cell r="Y21">
            <v>164672.18400000496</v>
          </cell>
          <cell r="Z21">
            <v>284642.79200000735</v>
          </cell>
          <cell r="AA21">
            <v>430493.136000011</v>
          </cell>
          <cell r="AB21">
            <v>651202.10200001602</v>
          </cell>
          <cell r="AC21">
            <v>934251.90600000706</v>
          </cell>
          <cell r="AD21">
            <v>1267479.3160000029</v>
          </cell>
          <cell r="AE21">
            <v>1649231.8059999971</v>
          </cell>
          <cell r="AF21">
            <v>1969986.5580000007</v>
          </cell>
        </row>
        <row r="22">
          <cell r="G22">
            <v>6.4475289547360801E-5</v>
          </cell>
          <cell r="H22">
            <v>-8.0769875254753517E-4</v>
          </cell>
          <cell r="I22">
            <v>3.6336316563426313E-3</v>
          </cell>
          <cell r="J22">
            <v>5.9640452808277788E-3</v>
          </cell>
          <cell r="K22">
            <v>1.0331570528711156E-2</v>
          </cell>
          <cell r="L22">
            <v>1.3682114394252612E-2</v>
          </cell>
          <cell r="M22">
            <v>1.4588487407438603E-2</v>
          </cell>
          <cell r="N22">
            <v>2.0519894886696581E-2</v>
          </cell>
          <cell r="O22">
            <v>2.3401440641767874E-2</v>
          </cell>
          <cell r="P22">
            <v>2.5612824084405857E-2</v>
          </cell>
          <cell r="Q22">
            <v>2.8820549252693811E-2</v>
          </cell>
          <cell r="R22">
            <v>2.6535832152006653E-2</v>
          </cell>
          <cell r="S22">
            <v>1.6416499845430581E-2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D23">
            <v>19</v>
          </cell>
          <cell r="G23">
            <v>46711.785891015665</v>
          </cell>
          <cell r="H23">
            <v>31064.681835606094</v>
          </cell>
          <cell r="I23">
            <v>32500.88350237425</v>
          </cell>
          <cell r="J23">
            <v>53262.669134276592</v>
          </cell>
          <cell r="K23">
            <v>40928.836279637973</v>
          </cell>
          <cell r="L23">
            <v>36973.36228764063</v>
          </cell>
          <cell r="M23">
            <v>39636.337685581108</v>
          </cell>
          <cell r="N23">
            <v>38609.148357060745</v>
          </cell>
          <cell r="O23">
            <v>34777.95497231694</v>
          </cell>
          <cell r="P23">
            <v>35414.757381865682</v>
          </cell>
          <cell r="Q23">
            <v>35208.407481104048</v>
          </cell>
          <cell r="R23">
            <v>44414.015062429309</v>
          </cell>
          <cell r="S23">
            <v>469502.83987090905</v>
          </cell>
          <cell r="T23">
            <v>4118.4459637799046</v>
          </cell>
          <cell r="U23"/>
          <cell r="V23">
            <v>77776.467726621762</v>
          </cell>
          <cell r="W23">
            <v>110277.35122899601</v>
          </cell>
          <cell r="X23">
            <v>163540.0203632726</v>
          </cell>
          <cell r="Y23">
            <v>204468.85664291057</v>
          </cell>
          <cell r="Z23">
            <v>241442.2189305512</v>
          </cell>
          <cell r="AA23">
            <v>281078.55661613232</v>
          </cell>
          <cell r="AB23">
            <v>319687.70497319306</v>
          </cell>
          <cell r="AC23">
            <v>354465.65994550998</v>
          </cell>
          <cell r="AD23">
            <v>389880.41732737568</v>
          </cell>
          <cell r="AE23">
            <v>425088.82480847975</v>
          </cell>
          <cell r="AF23">
            <v>469502.83987090905</v>
          </cell>
        </row>
        <row r="24">
          <cell r="G24">
            <v>-46217.592891015425</v>
          </cell>
          <cell r="H24">
            <v>-36496.142835605257</v>
          </cell>
          <cell r="I24">
            <v>-2713.7755023726349</v>
          </cell>
          <cell r="J24">
            <v>2025.7728657245898</v>
          </cell>
          <cell r="K24">
            <v>43605.065720363164</v>
          </cell>
          <cell r="L24">
            <v>82997.245712361677</v>
          </cell>
          <cell r="M24">
            <v>106214.00631442077</v>
          </cell>
          <cell r="N24">
            <v>182099.81764293506</v>
          </cell>
          <cell r="O24">
            <v>248271.84902768335</v>
          </cell>
          <cell r="P24">
            <v>297812.65261813771</v>
          </cell>
          <cell r="Q24">
            <v>346544.08251889574</v>
          </cell>
          <cell r="R24">
            <v>276340.7369375687</v>
          </cell>
          <cell r="S24">
            <v>1500483.7181290977</v>
          </cell>
          <cell r="T24">
            <v>13162.137878325419</v>
          </cell>
          <cell r="U24"/>
          <cell r="V24">
            <v>-82713.735726620682</v>
          </cell>
          <cell r="W24">
            <v>-85427.511228994248</v>
          </cell>
          <cell r="X24">
            <v>-83401.738363269658</v>
          </cell>
          <cell r="Y24">
            <v>-39796.672642905614</v>
          </cell>
          <cell r="Z24">
            <v>43200.57306945615</v>
          </cell>
          <cell r="AA24">
            <v>149414.57938387868</v>
          </cell>
          <cell r="AB24">
            <v>331514.39702682296</v>
          </cell>
          <cell r="AC24">
            <v>579786.24605449708</v>
          </cell>
          <cell r="AD24">
            <v>877598.89867262729</v>
          </cell>
          <cell r="AE24">
            <v>1224142.9811915173</v>
          </cell>
          <cell r="AF24">
            <v>1500483.7181290917</v>
          </cell>
        </row>
        <row r="25">
          <cell r="G25">
            <v>-6.0298156465769968E-3</v>
          </cell>
          <cell r="H25">
            <v>-5.4272485876488089E-3</v>
          </cell>
          <cell r="I25">
            <v>-3.3104457719184419E-4</v>
          </cell>
          <cell r="J25">
            <v>2.1852308842150854E-4</v>
          </cell>
          <cell r="K25">
            <v>5.329327065713956E-3</v>
          </cell>
          <cell r="L25">
            <v>9.4654668270448602E-3</v>
          </cell>
          <cell r="M25">
            <v>1.0623915248437889E-2</v>
          </cell>
          <cell r="N25">
            <v>1.6930300497713872E-2</v>
          </cell>
          <cell r="O25">
            <v>2.0526136587762062E-2</v>
          </cell>
          <cell r="P25">
            <v>2.2890743236333871E-2</v>
          </cell>
          <cell r="Q25">
            <v>2.6162477154937299E-2</v>
          </cell>
          <cell r="R25">
            <v>2.2861489553667451E-2</v>
          </cell>
          <cell r="S25">
            <v>1.2503989241299866E-2</v>
          </cell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</row>
        <row r="26">
          <cell r="G26">
            <v>214015.97489101565</v>
          </cell>
          <cell r="H26">
            <v>174089.88083560608</v>
          </cell>
          <cell r="I26">
            <v>180067.96150237427</v>
          </cell>
          <cell r="J26">
            <v>220911.25713427662</v>
          </cell>
          <cell r="K26">
            <v>178266.42427963798</v>
          </cell>
          <cell r="L26">
            <v>175860.95028764065</v>
          </cell>
          <cell r="M26">
            <v>205023.92568558111</v>
          </cell>
          <cell r="N26">
            <v>173996.73635706076</v>
          </cell>
          <cell r="O26">
            <v>191813.57297231696</v>
          </cell>
          <cell r="P26">
            <v>201842.34538186569</v>
          </cell>
          <cell r="Q26">
            <v>185595.99548110407</v>
          </cell>
          <cell r="R26">
            <v>200501.60306242932</v>
          </cell>
          <cell r="S26">
            <v>2301986.6278709089</v>
          </cell>
          <cell r="T26">
            <v>20192.86515676236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</row>
        <row r="27"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</row>
        <row r="28">
          <cell r="S28"/>
        </row>
        <row r="29">
          <cell r="D29">
            <v>25</v>
          </cell>
          <cell r="G29">
            <v>8000</v>
          </cell>
          <cell r="H29">
            <v>7000</v>
          </cell>
          <cell r="I29">
            <v>8500</v>
          </cell>
          <cell r="J29">
            <v>9400</v>
          </cell>
          <cell r="K29">
            <v>8100</v>
          </cell>
          <cell r="L29">
            <v>8500</v>
          </cell>
          <cell r="M29">
            <v>9500</v>
          </cell>
          <cell r="N29">
            <v>10000</v>
          </cell>
          <cell r="O29">
            <v>11000</v>
          </cell>
          <cell r="P29">
            <v>11600</v>
          </cell>
          <cell r="Q29">
            <v>11600</v>
          </cell>
          <cell r="R29">
            <v>10800</v>
          </cell>
          <cell r="S29">
            <v>114000</v>
          </cell>
          <cell r="T29"/>
          <cell r="U29"/>
          <cell r="V29">
            <v>15000</v>
          </cell>
          <cell r="W29">
            <v>23500</v>
          </cell>
          <cell r="X29">
            <v>32900</v>
          </cell>
          <cell r="Y29">
            <v>41000</v>
          </cell>
          <cell r="Z29">
            <v>49500</v>
          </cell>
          <cell r="AA29">
            <v>59000</v>
          </cell>
          <cell r="AB29">
            <v>69000</v>
          </cell>
          <cell r="AC29">
            <v>80000</v>
          </cell>
          <cell r="AD29">
            <v>91600</v>
          </cell>
          <cell r="AE29">
            <v>103200</v>
          </cell>
          <cell r="AF29">
            <v>114000</v>
          </cell>
        </row>
        <row r="30">
          <cell r="D30">
            <v>26</v>
          </cell>
          <cell r="G30">
            <v>743250</v>
          </cell>
          <cell r="H30">
            <v>742142.85714285716</v>
          </cell>
          <cell r="I30">
            <v>745617.6470588235</v>
          </cell>
          <cell r="J30">
            <v>766053.19148936169</v>
          </cell>
          <cell r="K30">
            <v>784722.22222222213</v>
          </cell>
          <cell r="L30">
            <v>802811.76470588229</v>
          </cell>
          <cell r="M30">
            <v>822568.42105263157</v>
          </cell>
          <cell r="N30">
            <v>844000</v>
          </cell>
          <cell r="O30">
            <v>861454.54545454553</v>
          </cell>
          <cell r="P30">
            <v>880801.72413793101</v>
          </cell>
          <cell r="Q30">
            <v>899637.93103448278</v>
          </cell>
          <cell r="R30">
            <v>880185.18518518517</v>
          </cell>
          <cell r="S30">
            <v>822362.28070175438</v>
          </cell>
          <cell r="T30"/>
          <cell r="U30"/>
          <cell r="V30">
            <v>742733.33333333337</v>
          </cell>
          <cell r="W30">
            <v>743776.59574468085</v>
          </cell>
          <cell r="X30">
            <v>750141.33738601825</v>
          </cell>
          <cell r="Y30">
            <v>756973.17073170736</v>
          </cell>
          <cell r="Z30">
            <v>764844.44444444438</v>
          </cell>
          <cell r="AA30">
            <v>774138.98305084754</v>
          </cell>
          <cell r="AB30">
            <v>784263.76811594202</v>
          </cell>
          <cell r="AC30">
            <v>794877.5</v>
          </cell>
          <cell r="AD30">
            <v>805758.73362445412</v>
          </cell>
          <cell r="AE30">
            <v>816311.04651162785</v>
          </cell>
          <cell r="AF30">
            <v>822362.28070175438</v>
          </cell>
        </row>
        <row r="31">
          <cell r="D31">
            <v>27</v>
          </cell>
          <cell r="G31">
            <v>5946000</v>
          </cell>
          <cell r="H31">
            <v>5195000</v>
          </cell>
          <cell r="I31">
            <v>6337750</v>
          </cell>
          <cell r="J31">
            <v>7200900</v>
          </cell>
          <cell r="K31">
            <v>6356250</v>
          </cell>
          <cell r="L31">
            <v>6823900</v>
          </cell>
          <cell r="M31">
            <v>7814400</v>
          </cell>
          <cell r="N31">
            <v>8440000</v>
          </cell>
          <cell r="O31">
            <v>9476000</v>
          </cell>
          <cell r="P31">
            <v>10217300</v>
          </cell>
          <cell r="Q31">
            <v>10435800</v>
          </cell>
          <cell r="R31">
            <v>9506000</v>
          </cell>
          <cell r="S31">
            <v>93749300</v>
          </cell>
          <cell r="T31"/>
          <cell r="U31"/>
          <cell r="V31">
            <v>11141000</v>
          </cell>
          <cell r="W31">
            <v>17478750</v>
          </cell>
          <cell r="X31">
            <v>24679650</v>
          </cell>
          <cell r="Y31">
            <v>31035900</v>
          </cell>
          <cell r="Z31">
            <v>37859800</v>
          </cell>
          <cell r="AA31">
            <v>45674200</v>
          </cell>
          <cell r="AB31">
            <v>54114200</v>
          </cell>
          <cell r="AC31">
            <v>63590200</v>
          </cell>
          <cell r="AD31">
            <v>73807500</v>
          </cell>
          <cell r="AE31">
            <v>84243300</v>
          </cell>
          <cell r="AF31">
            <v>93749300</v>
          </cell>
        </row>
        <row r="32">
          <cell r="D32">
            <v>28</v>
          </cell>
          <cell r="G32">
            <v>1718843.438000001</v>
          </cell>
          <cell r="H32">
            <v>1529612.3420000011</v>
          </cell>
          <cell r="I32">
            <v>1859863.5220000008</v>
          </cell>
          <cell r="J32">
            <v>2069392.1250000019</v>
          </cell>
          <cell r="K32">
            <v>1825846.0099999998</v>
          </cell>
          <cell r="L32">
            <v>1944526.0300000012</v>
          </cell>
          <cell r="M32">
            <v>2183233.0600000005</v>
          </cell>
          <cell r="N32">
            <v>2315852.6599999983</v>
          </cell>
          <cell r="O32">
            <v>2619400.8059999999</v>
          </cell>
          <cell r="P32">
            <v>2792878.3739999998</v>
          </cell>
          <cell r="Q32">
            <v>2810043.6740000006</v>
          </cell>
          <cell r="R32">
            <v>2581608.5649999995</v>
          </cell>
          <cell r="S32">
            <v>26251100.606000006</v>
          </cell>
          <cell r="T32"/>
          <cell r="U32"/>
          <cell r="V32">
            <v>3248455.7800000021</v>
          </cell>
          <cell r="W32">
            <v>5108319.3020000029</v>
          </cell>
          <cell r="X32">
            <v>7177711.4270000048</v>
          </cell>
          <cell r="Y32">
            <v>9003557.4370000046</v>
          </cell>
          <cell r="Z32">
            <v>10948083.467000006</v>
          </cell>
          <cell r="AA32">
            <v>13131316.527000006</v>
          </cell>
          <cell r="AB32">
            <v>15447169.187000005</v>
          </cell>
          <cell r="AC32">
            <v>18066569.993000004</v>
          </cell>
          <cell r="AD32">
            <v>20859448.367000006</v>
          </cell>
          <cell r="AE32">
            <v>23669492.041000009</v>
          </cell>
          <cell r="AF32">
            <v>26251100.606000006</v>
          </cell>
        </row>
        <row r="33">
          <cell r="G33">
            <v>7664843.438000001</v>
          </cell>
          <cell r="H33">
            <v>6724612.3420000011</v>
          </cell>
          <cell r="I33">
            <v>8197613.5220000008</v>
          </cell>
          <cell r="J33">
            <v>9270292.1250000019</v>
          </cell>
          <cell r="K33">
            <v>8182096.0099999998</v>
          </cell>
          <cell r="L33">
            <v>8768426.0300000012</v>
          </cell>
          <cell r="M33">
            <v>9997633.0600000005</v>
          </cell>
          <cell r="N33">
            <v>10755852.659999998</v>
          </cell>
          <cell r="O33">
            <v>12095400.806</v>
          </cell>
          <cell r="P33">
            <v>13010178.374</v>
          </cell>
          <cell r="Q33">
            <v>13245843.674000001</v>
          </cell>
          <cell r="R33">
            <v>12087608.564999999</v>
          </cell>
          <cell r="S33">
            <v>120000400.60599999</v>
          </cell>
          <cell r="T33"/>
          <cell r="U33"/>
          <cell r="V33">
            <v>14389455.780000001</v>
          </cell>
          <cell r="W33">
            <v>22587069.302000001</v>
          </cell>
          <cell r="X33">
            <v>31857361.427000005</v>
          </cell>
          <cell r="Y33">
            <v>40039457.437000006</v>
          </cell>
          <cell r="Z33">
            <v>48807883.467000008</v>
          </cell>
          <cell r="AA33">
            <v>58805516.52700001</v>
          </cell>
          <cell r="AB33">
            <v>69561369.187000006</v>
          </cell>
          <cell r="AC33">
            <v>81656769.993000001</v>
          </cell>
          <cell r="AD33">
            <v>94666948.367000014</v>
          </cell>
          <cell r="AE33">
            <v>107912792.04100001</v>
          </cell>
          <cell r="AF33">
            <v>120000400.60600001</v>
          </cell>
        </row>
        <row r="34">
          <cell r="D34">
            <v>30</v>
          </cell>
          <cell r="G34">
            <v>5848200</v>
          </cell>
          <cell r="H34">
            <v>5121500</v>
          </cell>
          <cell r="I34">
            <v>6228300</v>
          </cell>
          <cell r="J34">
            <v>7056700</v>
          </cell>
          <cell r="K34">
            <v>6207750</v>
          </cell>
          <cell r="L34">
            <v>6644300</v>
          </cell>
          <cell r="M34">
            <v>7589800</v>
          </cell>
          <cell r="N34">
            <v>8177200</v>
          </cell>
          <cell r="O34">
            <v>9145000</v>
          </cell>
          <cell r="P34">
            <v>9834400</v>
          </cell>
          <cell r="Q34">
            <v>10031500</v>
          </cell>
          <cell r="R34">
            <v>9149200</v>
          </cell>
          <cell r="S34">
            <v>91033850</v>
          </cell>
          <cell r="T34"/>
          <cell r="U34"/>
          <cell r="V34">
            <v>10969700</v>
          </cell>
          <cell r="W34">
            <v>17198000</v>
          </cell>
          <cell r="X34">
            <v>24254700</v>
          </cell>
          <cell r="Y34">
            <v>30462450</v>
          </cell>
          <cell r="Z34">
            <v>37106750</v>
          </cell>
          <cell r="AA34">
            <v>44696550</v>
          </cell>
          <cell r="AB34">
            <v>52873750</v>
          </cell>
          <cell r="AC34">
            <v>62018750</v>
          </cell>
          <cell r="AD34">
            <v>71853150</v>
          </cell>
          <cell r="AE34">
            <v>81884650</v>
          </cell>
          <cell r="AF34">
            <v>91033850</v>
          </cell>
        </row>
        <row r="35">
          <cell r="D35">
            <v>31</v>
          </cell>
          <cell r="G35">
            <v>1648845.0560000008</v>
          </cell>
          <cell r="H35">
            <v>1465518.6040000003</v>
          </cell>
          <cell r="I35">
            <v>1791959.3359999992</v>
          </cell>
          <cell r="J35">
            <v>1990655.0950000007</v>
          </cell>
          <cell r="K35">
            <v>1752474.5199999986</v>
          </cell>
          <cell r="L35">
            <v>1865267.8339999989</v>
          </cell>
          <cell r="M35">
            <v>2096595.1279999986</v>
          </cell>
          <cell r="N35">
            <v>2222556.1060000025</v>
          </cell>
          <cell r="O35">
            <v>2510315.3839999996</v>
          </cell>
          <cell r="P35">
            <v>2676123.3759999964</v>
          </cell>
          <cell r="Q35">
            <v>2682203.5960000008</v>
          </cell>
          <cell r="R35">
            <v>2461566.2250000015</v>
          </cell>
          <cell r="S35">
            <v>25164080.259999998</v>
          </cell>
          <cell r="T35"/>
          <cell r="U35"/>
          <cell r="V35">
            <v>3114363.6600000011</v>
          </cell>
          <cell r="W35">
            <v>4906322.9960000003</v>
          </cell>
          <cell r="X35">
            <v>6896978.0910000009</v>
          </cell>
          <cell r="Y35">
            <v>8649452.6109999996</v>
          </cell>
          <cell r="Z35">
            <v>10514720.444999998</v>
          </cell>
          <cell r="AA35">
            <v>12611315.572999997</v>
          </cell>
          <cell r="AB35">
            <v>14833871.679</v>
          </cell>
          <cell r="AC35">
            <v>17344187.063000001</v>
          </cell>
          <cell r="AD35">
            <v>20020310.438999996</v>
          </cell>
          <cell r="AE35">
            <v>22702514.034999996</v>
          </cell>
          <cell r="AF35">
            <v>25164080.259999998</v>
          </cell>
        </row>
        <row r="36">
          <cell r="G36">
            <v>7497045.0560000008</v>
          </cell>
          <cell r="H36">
            <v>6587018.6040000003</v>
          </cell>
          <cell r="I36">
            <v>8020259.3359999992</v>
          </cell>
          <cell r="J36">
            <v>9047355.0950000007</v>
          </cell>
          <cell r="K36">
            <v>7960224.5199999986</v>
          </cell>
          <cell r="L36">
            <v>8509567.8339999989</v>
          </cell>
          <cell r="M36">
            <v>9686395.1279999986</v>
          </cell>
          <cell r="N36">
            <v>10399756.106000002</v>
          </cell>
          <cell r="O36">
            <v>11655315.384</v>
          </cell>
          <cell r="P36">
            <v>12510523.375999996</v>
          </cell>
          <cell r="Q36">
            <v>12713703.596000001</v>
          </cell>
          <cell r="R36">
            <v>11610766.225000001</v>
          </cell>
          <cell r="S36">
            <v>116197930.25999999</v>
          </cell>
          <cell r="T36"/>
          <cell r="U36"/>
          <cell r="V36">
            <v>14084063.66</v>
          </cell>
          <cell r="W36">
            <v>22104322.995999999</v>
          </cell>
          <cell r="X36">
            <v>31151678.091000002</v>
          </cell>
          <cell r="Y36">
            <v>39111902.611000001</v>
          </cell>
          <cell r="Z36">
            <v>47621470.445</v>
          </cell>
          <cell r="AA36">
            <v>57307865.572999999</v>
          </cell>
          <cell r="AB36">
            <v>67707621.679000005</v>
          </cell>
          <cell r="AC36">
            <v>79362937.062999994</v>
          </cell>
          <cell r="AD36">
            <v>91873460.438999996</v>
          </cell>
          <cell r="AE36">
            <v>104587164.035</v>
          </cell>
          <cell r="AF36">
            <v>116197930.25999999</v>
          </cell>
        </row>
        <row r="37">
          <cell r="G37">
            <v>97800</v>
          </cell>
          <cell r="H37">
            <v>73500</v>
          </cell>
          <cell r="I37">
            <v>109450</v>
          </cell>
          <cell r="J37">
            <v>144200</v>
          </cell>
          <cell r="K37">
            <v>148500</v>
          </cell>
          <cell r="L37">
            <v>179600</v>
          </cell>
          <cell r="M37">
            <v>224600</v>
          </cell>
          <cell r="N37">
            <v>262800</v>
          </cell>
          <cell r="O37">
            <v>331000</v>
          </cell>
          <cell r="P37">
            <v>382900</v>
          </cell>
          <cell r="Q37">
            <v>404300</v>
          </cell>
          <cell r="R37">
            <v>356800</v>
          </cell>
          <cell r="S37">
            <v>2715450</v>
          </cell>
          <cell r="T37"/>
          <cell r="U37"/>
          <cell r="V37">
            <v>171300</v>
          </cell>
          <cell r="W37">
            <v>280750</v>
          </cell>
          <cell r="X37">
            <v>424950</v>
          </cell>
          <cell r="Y37">
            <v>573450</v>
          </cell>
          <cell r="Z37">
            <v>753050</v>
          </cell>
          <cell r="AA37">
            <v>977650</v>
          </cell>
          <cell r="AB37">
            <v>1240450</v>
          </cell>
          <cell r="AC37">
            <v>1571450</v>
          </cell>
          <cell r="AD37">
            <v>1954350</v>
          </cell>
          <cell r="AE37">
            <v>2358650</v>
          </cell>
          <cell r="AF37">
            <v>2715450</v>
          </cell>
        </row>
        <row r="38">
          <cell r="G38">
            <v>1.644803229061554E-2</v>
          </cell>
          <cell r="H38">
            <v>1.4148219441770934E-2</v>
          </cell>
          <cell r="I38">
            <v>1.7269535718512089E-2</v>
          </cell>
          <cell r="J38">
            <v>2.0025274618450471E-2</v>
          </cell>
          <cell r="K38">
            <v>2.3362831858407079E-2</v>
          </cell>
          <cell r="L38">
            <v>2.631926024707279E-2</v>
          </cell>
          <cell r="M38">
            <v>2.8741809991809992E-2</v>
          </cell>
          <cell r="N38">
            <v>3.113744075829384E-2</v>
          </cell>
          <cell r="O38">
            <v>3.4930350358801182E-2</v>
          </cell>
          <cell r="P38">
            <v>3.7475654037759487E-2</v>
          </cell>
          <cell r="Q38">
            <v>3.8741639356829373E-2</v>
          </cell>
          <cell r="R38">
            <v>3.7534188933305283E-2</v>
          </cell>
          <cell r="S38">
            <v>2.8965016272121499E-2</v>
          </cell>
          <cell r="T38"/>
          <cell r="U38"/>
          <cell r="V38">
            <v>1.5375639529665201E-2</v>
          </cell>
          <cell r="W38">
            <v>1.6062361438890081E-2</v>
          </cell>
          <cell r="X38">
            <v>1.7218639648455308E-2</v>
          </cell>
          <cell r="Y38">
            <v>1.8476989550810514E-2</v>
          </cell>
          <cell r="Z38">
            <v>1.9890490705180692E-2</v>
          </cell>
          <cell r="AA38">
            <v>2.1404863139365331E-2</v>
          </cell>
          <cell r="AB38">
            <v>2.2922818779544E-2</v>
          </cell>
          <cell r="AC38">
            <v>2.47121411789867E-2</v>
          </cell>
          <cell r="AD38">
            <v>2.6479016360126003E-2</v>
          </cell>
          <cell r="AE38">
            <v>2.7998072250256103E-2</v>
          </cell>
          <cell r="AF38">
            <v>2.8965016272121499E-2</v>
          </cell>
        </row>
        <row r="39">
          <cell r="G39">
            <v>69998.382000000216</v>
          </cell>
          <cell r="H39">
            <v>64093.738000000827</v>
          </cell>
          <cell r="I39">
            <v>67904.186000001617</v>
          </cell>
          <cell r="J39">
            <v>78737.030000001192</v>
          </cell>
          <cell r="K39">
            <v>73371.490000001155</v>
          </cell>
          <cell r="L39">
            <v>79258.196000002325</v>
          </cell>
          <cell r="M39">
            <v>86637.932000001892</v>
          </cell>
          <cell r="N39">
            <v>93296.553999995813</v>
          </cell>
          <cell r="O39">
            <v>109085.42200000025</v>
          </cell>
          <cell r="P39">
            <v>116754.9980000034</v>
          </cell>
          <cell r="Q39">
            <v>127840.07799999975</v>
          </cell>
          <cell r="R39">
            <v>120042.33999999799</v>
          </cell>
          <cell r="S39">
            <v>1087020.3460000083</v>
          </cell>
          <cell r="T39"/>
          <cell r="U39"/>
          <cell r="V39">
            <v>134092.12000000104</v>
          </cell>
          <cell r="W39">
            <v>201996.30600000266</v>
          </cell>
          <cell r="X39">
            <v>280733.33600000385</v>
          </cell>
          <cell r="Y39">
            <v>354104.82600000501</v>
          </cell>
          <cell r="Z39">
            <v>433363.02200000733</v>
          </cell>
          <cell r="AA39">
            <v>520000.95400000922</v>
          </cell>
          <cell r="AB39">
            <v>613297.50800000504</v>
          </cell>
          <cell r="AC39">
            <v>722382.93000000343</v>
          </cell>
          <cell r="AD39">
            <v>839137.92800001055</v>
          </cell>
          <cell r="AE39">
            <v>966978.00600001216</v>
          </cell>
          <cell r="AF39">
            <v>1087020.3460000083</v>
          </cell>
        </row>
        <row r="40">
          <cell r="G40">
            <v>4.0724117422496847E-2</v>
          </cell>
          <cell r="H40">
            <v>4.1901948774940509E-2</v>
          </cell>
          <cell r="I40">
            <v>3.6510305835226541E-2</v>
          </cell>
          <cell r="J40">
            <v>3.8048385827312028E-2</v>
          </cell>
          <cell r="K40">
            <v>4.0184927753026206E-2</v>
          </cell>
          <cell r="L40">
            <v>4.0759647737912914E-2</v>
          </cell>
          <cell r="M40">
            <v>3.9683318097061916E-2</v>
          </cell>
          <cell r="N40">
            <v>4.0286049113329982E-2</v>
          </cell>
          <cell r="O40">
            <v>4.1645181504918673E-2</v>
          </cell>
          <cell r="P40">
            <v>4.1804540823159889E-2</v>
          </cell>
          <cell r="Q40">
            <v>4.5493982596371461E-2</v>
          </cell>
          <cell r="R40">
            <v>4.6499047774889148E-2</v>
          </cell>
          <cell r="S40">
            <v>4.1408562723330412E-2</v>
          </cell>
          <cell r="T40"/>
          <cell r="U40"/>
          <cell r="V40">
            <v>4.1278727211118436E-2</v>
          </cell>
          <cell r="W40">
            <v>3.9542615498000942E-2</v>
          </cell>
          <cell r="X40">
            <v>3.9111817026243854E-2</v>
          </cell>
          <cell r="Y40">
            <v>3.9329434890348534E-2</v>
          </cell>
          <cell r="Z40">
            <v>3.9583459817991093E-2</v>
          </cell>
          <cell r="AA40">
            <v>3.9600062410407005E-2</v>
          </cell>
          <cell r="AB40">
            <v>3.9702906116684644E-2</v>
          </cell>
          <cell r="AC40">
            <v>3.9984508973197171E-2</v>
          </cell>
          <cell r="AD40">
            <v>4.0228193633708005E-2</v>
          </cell>
          <cell r="AE40">
            <v>4.0853348450614169E-2</v>
          </cell>
          <cell r="AF40">
            <v>4.1408562723330412E-2</v>
          </cell>
        </row>
        <row r="41">
          <cell r="G41">
            <v>167798.38200000022</v>
          </cell>
          <cell r="H41">
            <v>137593.73800000083</v>
          </cell>
          <cell r="I41">
            <v>177354.18600000162</v>
          </cell>
          <cell r="J41">
            <v>222937.03000000119</v>
          </cell>
          <cell r="K41">
            <v>221871.49000000115</v>
          </cell>
          <cell r="L41">
            <v>258858.19600000232</v>
          </cell>
          <cell r="M41">
            <v>311237.93200000189</v>
          </cell>
          <cell r="N41">
            <v>356096.55399999581</v>
          </cell>
          <cell r="O41">
            <v>440085.42200000025</v>
          </cell>
          <cell r="P41">
            <v>499654.9980000034</v>
          </cell>
          <cell r="Q41">
            <v>532140.07799999975</v>
          </cell>
          <cell r="R41">
            <v>476842.33999999799</v>
          </cell>
          <cell r="S41">
            <v>3802470.3460000083</v>
          </cell>
          <cell r="T41"/>
          <cell r="U41"/>
          <cell r="V41">
            <v>305392.12000000104</v>
          </cell>
          <cell r="W41">
            <v>482746.30600000266</v>
          </cell>
          <cell r="X41">
            <v>705683.33600000385</v>
          </cell>
          <cell r="Y41">
            <v>927554.82600000501</v>
          </cell>
          <cell r="Z41">
            <v>1186413.0220000073</v>
          </cell>
          <cell r="AA41">
            <v>1497650.9540000092</v>
          </cell>
          <cell r="AB41">
            <v>1853747.508000005</v>
          </cell>
          <cell r="AC41">
            <v>2293832.9300000034</v>
          </cell>
          <cell r="AD41">
            <v>2793487.9280000106</v>
          </cell>
          <cell r="AE41">
            <v>3325628.0060000122</v>
          </cell>
          <cell r="AF41">
            <v>3802470.3460000083</v>
          </cell>
        </row>
        <row r="42">
          <cell r="G42">
            <v>2.189195165658649E-2</v>
          </cell>
          <cell r="H42">
            <v>2.046121486299363E-2</v>
          </cell>
          <cell r="I42">
            <v>2.1634855744788989E-2</v>
          </cell>
          <cell r="J42">
            <v>2.4048544209171956E-2</v>
          </cell>
          <cell r="K42">
            <v>2.7116705759604152E-2</v>
          </cell>
          <cell r="L42">
            <v>2.9521626243336433E-2</v>
          </cell>
          <cell r="M42">
            <v>3.1131161759201619E-2</v>
          </cell>
          <cell r="N42">
            <v>3.3107236149141885E-2</v>
          </cell>
          <cell r="O42">
            <v>3.6384525743181087E-2</v>
          </cell>
          <cell r="P42">
            <v>3.8404930634812172E-2</v>
          </cell>
          <cell r="Q42">
            <v>4.0174117337993864E-2</v>
          </cell>
          <cell r="R42">
            <v>3.9448856855003399E-2</v>
          </cell>
          <cell r="S42">
            <v>3.1687147099489645E-2</v>
          </cell>
          <cell r="T42"/>
          <cell r="U42"/>
          <cell r="V42">
            <v>2.122332662674203E-2</v>
          </cell>
          <cell r="W42">
            <v>2.1372684501271586E-2</v>
          </cell>
          <cell r="X42">
            <v>2.2151342873045269E-2</v>
          </cell>
          <cell r="Y42">
            <v>2.3166018856760586E-2</v>
          </cell>
          <cell r="Z42">
            <v>2.4307815412691784E-2</v>
          </cell>
          <cell r="AA42">
            <v>2.5467864963185496E-2</v>
          </cell>
          <cell r="AB42">
            <v>2.6649094600432952E-2</v>
          </cell>
          <cell r="AC42">
            <v>2.8091154354949889E-2</v>
          </cell>
          <cell r="AD42">
            <v>2.9508587486842382E-2</v>
          </cell>
          <cell r="AE42">
            <v>3.0817736647352101E-2</v>
          </cell>
          <cell r="AF42">
            <v>3.1687147099489645E-2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/>
      <sheetData sheetId="1">
        <row r="8">
          <cell r="G8">
            <v>4969.8379999999997</v>
          </cell>
        </row>
      </sheetData>
      <sheetData sheetId="2">
        <row r="8">
          <cell r="G8">
            <v>4982.9359999999997</v>
          </cell>
        </row>
      </sheetData>
      <sheetData sheetId="3">
        <row r="8">
          <cell r="F8">
            <v>8500</v>
          </cell>
          <cell r="G8">
            <v>3925.4639999999999</v>
          </cell>
          <cell r="Q8">
            <v>13878.237999999999</v>
          </cell>
        </row>
        <row r="9">
          <cell r="G9">
            <v>3168489.34</v>
          </cell>
          <cell r="J9">
            <v>849302.55600000033</v>
          </cell>
          <cell r="Q9">
            <v>11069948.215</v>
          </cell>
          <cell r="T9">
            <v>2924433.5320000001</v>
          </cell>
        </row>
        <row r="10">
          <cell r="F10">
            <v>745617.6470588235</v>
          </cell>
          <cell r="G10">
            <v>807163.01053837198</v>
          </cell>
        </row>
        <row r="11">
          <cell r="G11">
            <v>3128520.6839999999</v>
          </cell>
          <cell r="J11">
            <v>825997.57600000035</v>
          </cell>
          <cell r="Q11">
            <v>10846902.950999999</v>
          </cell>
          <cell r="T11">
            <v>2815583.847000001</v>
          </cell>
        </row>
        <row r="15">
          <cell r="F15">
            <v>1.7269535718512089E-2</v>
          </cell>
          <cell r="G15">
            <v>1.2614420220836205E-2</v>
          </cell>
        </row>
        <row r="19">
          <cell r="M19">
            <v>91121.53</v>
          </cell>
          <cell r="W19">
            <v>301557.51199999999</v>
          </cell>
        </row>
        <row r="37">
          <cell r="M37">
            <v>-73336.445000000007</v>
          </cell>
          <cell r="W37">
            <v>2630.9889999999723</v>
          </cell>
        </row>
        <row r="40">
          <cell r="M40">
            <v>4725.183</v>
          </cell>
          <cell r="W40">
            <v>14188.882000000001</v>
          </cell>
        </row>
        <row r="43">
          <cell r="M43">
            <v>39402.466999999997</v>
          </cell>
          <cell r="W43">
            <v>132271.18799999999</v>
          </cell>
        </row>
      </sheetData>
      <sheetData sheetId="4">
        <row r="8">
          <cell r="F8">
            <v>9400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/>
      <sheetData sheetId="1"/>
      <sheetData sheetId="2"/>
      <sheetData sheetId="3">
        <row r="8">
          <cell r="G8">
            <v>15762.77</v>
          </cell>
          <cell r="Q8">
            <v>34222.794999999998</v>
          </cell>
        </row>
        <row r="9">
          <cell r="G9">
            <v>11603618.745999999</v>
          </cell>
          <cell r="J9">
            <v>931609.94199999981</v>
          </cell>
          <cell r="Q9">
            <v>25453031.050999999</v>
          </cell>
          <cell r="T9">
            <v>2839312.4410000006</v>
          </cell>
        </row>
        <row r="10">
          <cell r="G10">
            <v>736140.83983969816</v>
          </cell>
        </row>
        <row r="11">
          <cell r="G11">
            <v>11586393.280999999</v>
          </cell>
          <cell r="J11">
            <v>911990.84300000034</v>
          </cell>
          <cell r="Q11">
            <v>25205806.313999999</v>
          </cell>
          <cell r="T11">
            <v>2754121.0790000018</v>
          </cell>
        </row>
        <row r="15">
          <cell r="G15">
            <v>1.4844907762880278E-3</v>
          </cell>
        </row>
        <row r="19">
          <cell r="M19">
            <v>93738.437000000005</v>
          </cell>
          <cell r="W19">
            <v>283915.67700000003</v>
          </cell>
        </row>
        <row r="37">
          <cell r="M37">
            <v>56241.519000000008</v>
          </cell>
          <cell r="W37">
            <v>137488.16500000001</v>
          </cell>
        </row>
        <row r="40">
          <cell r="M40">
            <v>5734.9560000000001</v>
          </cell>
          <cell r="W40">
            <v>17323.643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584065.5</v>
          </cell>
        </row>
        <row r="85">
          <cell r="Q85">
            <v>101365.57033456974</v>
          </cell>
          <cell r="R85">
            <v>104417.29342223541</v>
          </cell>
        </row>
        <row r="89">
          <cell r="Q89">
            <v>82032.394619111175</v>
          </cell>
          <cell r="R89">
            <v>85546.564400739313</v>
          </cell>
        </row>
      </sheetData>
      <sheetData sheetId="1">
        <row r="85">
          <cell r="Q85">
            <v>99277.65499249057</v>
          </cell>
          <cell r="R85">
            <v>101450.70361833034</v>
          </cell>
        </row>
        <row r="89">
          <cell r="Q89">
            <v>83104.286031103868</v>
          </cell>
          <cell r="R89">
            <v>87081.110955122713</v>
          </cell>
        </row>
      </sheetData>
      <sheetData sheetId="2">
        <row r="85">
          <cell r="Q85">
            <v>101658.69153292435</v>
          </cell>
          <cell r="R85">
            <v>106780.07280979137</v>
          </cell>
        </row>
        <row r="89">
          <cell r="Q89">
            <v>81373.424647372027</v>
          </cell>
          <cell r="R89">
            <v>84814.664718217726</v>
          </cell>
        </row>
      </sheetData>
      <sheetData sheetId="3"/>
      <sheetData sheetId="4"/>
      <sheetData sheetId="5"/>
      <sheetData sheetId="6">
        <row r="85">
          <cell r="Q85">
            <v>105586.09316083047</v>
          </cell>
          <cell r="R85">
            <v>105472.148179251</v>
          </cell>
        </row>
        <row r="89">
          <cell r="Q89">
            <v>81317.032796109328</v>
          </cell>
          <cell r="R89">
            <v>83903.183686458273</v>
          </cell>
        </row>
      </sheetData>
      <sheetData sheetId="7">
        <row r="85">
          <cell r="Q85">
            <v>98305.941520833323</v>
          </cell>
          <cell r="R85">
            <v>103543.19502529426</v>
          </cell>
        </row>
        <row r="86">
          <cell r="H86">
            <v>685696.8656411696</v>
          </cell>
          <cell r="I86">
            <v>771501.79299999936</v>
          </cell>
        </row>
        <row r="89">
          <cell r="Q89">
            <v>80939.298352985512</v>
          </cell>
          <cell r="R89">
            <v>86169.154997359001</v>
          </cell>
        </row>
        <row r="92">
          <cell r="H92">
            <v>50151.311485336279</v>
          </cell>
          <cell r="I92">
            <v>10088.311850670259</v>
          </cell>
        </row>
      </sheetData>
      <sheetData sheetId="8">
        <row r="85">
          <cell r="Q85">
            <v>101413.42693402717</v>
          </cell>
          <cell r="R85">
            <v>101507.43672421556</v>
          </cell>
        </row>
        <row r="86">
          <cell r="H86">
            <v>168332.99267891809</v>
          </cell>
          <cell r="I86">
            <v>-74324.90399999998</v>
          </cell>
        </row>
        <row r="89">
          <cell r="Q89">
            <v>87078.045863417065</v>
          </cell>
          <cell r="R89">
            <v>89229.200610210974</v>
          </cell>
        </row>
        <row r="92">
          <cell r="H92">
            <v>-385646.46518490452</v>
          </cell>
          <cell r="I92">
            <v>-620960.82033538481</v>
          </cell>
        </row>
      </sheetData>
      <sheetData sheetId="9">
        <row r="85">
          <cell r="Q85">
            <v>96038.367147058816</v>
          </cell>
          <cell r="R85">
            <v>98571.075082173062</v>
          </cell>
        </row>
        <row r="86">
          <cell r="H86">
            <v>-188114.54439076153</v>
          </cell>
          <cell r="I86">
            <v>-344083.91499999975</v>
          </cell>
        </row>
        <row r="89">
          <cell r="Q89">
            <v>80464.268045806704</v>
          </cell>
          <cell r="R89">
            <v>88049.840970350386</v>
          </cell>
        </row>
        <row r="92">
          <cell r="H92">
            <v>-403578.09716763475</v>
          </cell>
          <cell r="I92">
            <v>-538629.41601872863</v>
          </cell>
        </row>
      </sheetData>
      <sheetData sheetId="10">
        <row r="85">
          <cell r="Q85">
            <v>100253.06812413792</v>
          </cell>
          <cell r="R85">
            <v>96521.491089492105</v>
          </cell>
        </row>
        <row r="86">
          <cell r="H86">
            <v>-56954.854874022938</v>
          </cell>
          <cell r="I86">
            <v>-203341.41599999982</v>
          </cell>
        </row>
        <row r="89">
          <cell r="Q89">
            <v>82130.186801786229</v>
          </cell>
          <cell r="R89">
            <v>83823.450295681483</v>
          </cell>
        </row>
        <row r="92">
          <cell r="H92">
            <v>-248334.97770797907</v>
          </cell>
          <cell r="I92">
            <v>-396068.61336602992</v>
          </cell>
        </row>
      </sheetData>
      <sheetData sheetId="11">
        <row r="85">
          <cell r="Q85">
            <v>109085.25894814814</v>
          </cell>
          <cell r="R85">
            <v>118267.08805441225</v>
          </cell>
        </row>
        <row r="86">
          <cell r="H86">
            <v>413200.18015289877</v>
          </cell>
          <cell r="I86">
            <v>803498.72999999952</v>
          </cell>
        </row>
        <row r="89">
          <cell r="Q89">
            <v>86475.047811057419</v>
          </cell>
          <cell r="R89">
            <v>93165.109932175939</v>
          </cell>
        </row>
        <row r="92">
          <cell r="H92">
            <v>-14019.291609696287</v>
          </cell>
          <cell r="I92">
            <v>224713.16113655909</v>
          </cell>
        </row>
      </sheetData>
      <sheetData sheetId="12">
        <row r="85">
          <cell r="Q85">
            <v>101546.87435870369</v>
          </cell>
          <cell r="R85">
            <v>104152.51624249948</v>
          </cell>
        </row>
        <row r="86">
          <cell r="H86">
            <v>560038.60476996016</v>
          </cell>
          <cell r="I86">
            <v>388209.63300000026</v>
          </cell>
        </row>
        <row r="89">
          <cell r="Q89">
            <v>78514.669955556266</v>
          </cell>
          <cell r="R89">
            <v>81713.448992171601</v>
          </cell>
        </row>
        <row r="92">
          <cell r="H92">
            <v>162692.893030848</v>
          </cell>
          <cell r="I92">
            <v>15745.055780260125</v>
          </cell>
        </row>
      </sheetData>
      <sheetData sheetId="13">
        <row r="85">
          <cell r="Q85">
            <v>98137.045372173918</v>
          </cell>
          <cell r="R85">
            <v>97989.904282410789</v>
          </cell>
        </row>
        <row r="86">
          <cell r="H86">
            <v>-5487.534336737328</v>
          </cell>
          <cell r="I86">
            <v>-118296.77900000007</v>
          </cell>
        </row>
        <row r="89">
          <cell r="Q89">
            <v>79403.266729809839</v>
          </cell>
          <cell r="R89">
            <v>80125.772560957776</v>
          </cell>
        </row>
        <row r="92">
          <cell r="H92">
            <v>-166038.42068148204</v>
          </cell>
          <cell r="I92">
            <v>-247704.4531644744</v>
          </cell>
        </row>
      </sheetData>
      <sheetData sheetId="14">
        <row r="85">
          <cell r="Q85">
            <v>102107.95568017241</v>
          </cell>
          <cell r="R85">
            <v>106061.66328600406</v>
          </cell>
        </row>
        <row r="86">
          <cell r="H86">
            <v>376722.93624311424</v>
          </cell>
          <cell r="I86">
            <v>-43912.336999999883</v>
          </cell>
        </row>
        <row r="89">
          <cell r="Q89">
            <v>83962.521518892667</v>
          </cell>
          <cell r="R89">
            <v>86251.93817476886</v>
          </cell>
        </row>
        <row r="92">
          <cell r="H92">
            <v>-51952.886047449661</v>
          </cell>
          <cell r="I92">
            <v>-320603.78443648043</v>
          </cell>
        </row>
      </sheetData>
      <sheetData sheetId="15">
        <row r="85">
          <cell r="Q85">
            <v>98025.061476190473</v>
          </cell>
          <cell r="R85">
            <v>102785.71856736101</v>
          </cell>
        </row>
        <row r="86">
          <cell r="H86">
            <v>-13598.35569609818</v>
          </cell>
          <cell r="I86">
            <v>-84369.340000000157</v>
          </cell>
        </row>
        <row r="89">
          <cell r="Q89">
            <v>77137.139937909422</v>
          </cell>
          <cell r="R89">
            <v>79902.01049003446</v>
          </cell>
        </row>
        <row r="92">
          <cell r="H92">
            <v>-157624.17949087353</v>
          </cell>
          <cell r="I92">
            <v>-188037.22029610001</v>
          </cell>
        </row>
      </sheetData>
      <sheetData sheetId="16">
        <row r="85">
          <cell r="Q85">
            <v>97753.662455638594</v>
          </cell>
          <cell r="R85">
            <v>97776.604643890241</v>
          </cell>
        </row>
        <row r="86">
          <cell r="H86">
            <v>11632.544337552637</v>
          </cell>
          <cell r="I86">
            <v>8068.2650000000285</v>
          </cell>
        </row>
        <row r="89">
          <cell r="Q89">
            <v>78433.754739017997</v>
          </cell>
          <cell r="R89">
            <v>75377.939449613012</v>
          </cell>
        </row>
        <row r="92">
          <cell r="H92">
            <v>-189750.57310299174</v>
          </cell>
          <cell r="I92">
            <v>-192117.89492252882</v>
          </cell>
        </row>
      </sheetData>
      <sheetData sheetId="17">
        <row r="85">
          <cell r="Q85">
            <v>90794.374378390232</v>
          </cell>
          <cell r="R85">
            <v>87669.114349775788</v>
          </cell>
        </row>
        <row r="86">
          <cell r="H86">
            <v>-105144.05571410772</v>
          </cell>
          <cell r="I86">
            <v>-288358.80499999999</v>
          </cell>
        </row>
        <row r="89">
          <cell r="Q89">
            <v>72444.719861546066</v>
          </cell>
          <cell r="R89">
            <v>72463.590855917326</v>
          </cell>
        </row>
        <row r="92">
          <cell r="H92">
            <v>-240192.6518853812</v>
          </cell>
          <cell r="I92">
            <v>-363491.62257550145</v>
          </cell>
        </row>
      </sheetData>
      <sheetData sheetId="18">
        <row r="85">
          <cell r="Q85">
            <v>104606.22639999999</v>
          </cell>
          <cell r="R85">
            <v>108595.31924207367</v>
          </cell>
        </row>
        <row r="86">
          <cell r="H86">
            <v>-45619.205818315975</v>
          </cell>
          <cell r="I86">
            <v>190635.80599999992</v>
          </cell>
        </row>
        <row r="89">
          <cell r="Q89">
            <v>86731.872419828593</v>
          </cell>
          <cell r="R89">
            <v>87650.179930039361</v>
          </cell>
        </row>
        <row r="92">
          <cell r="H92">
            <v>-224711.24472134846</v>
          </cell>
          <cell r="I92">
            <v>-77975.619148928847</v>
          </cell>
        </row>
      </sheetData>
      <sheetData sheetId="19">
        <row r="85">
          <cell r="Q85">
            <v>97573.903809523792</v>
          </cell>
          <cell r="R85">
            <v>100440.22411301669</v>
          </cell>
        </row>
        <row r="86">
          <cell r="H86">
            <v>-40189.479023987107</v>
          </cell>
          <cell r="I86">
            <v>63776.526000000391</v>
          </cell>
        </row>
        <row r="89">
          <cell r="Q89">
            <v>80288.768089856821</v>
          </cell>
          <cell r="R89">
            <v>84516.778250788702</v>
          </cell>
        </row>
        <row r="92">
          <cell r="H92">
            <v>-300104.55457179074</v>
          </cell>
          <cell r="I92">
            <v>-320144.94717889838</v>
          </cell>
        </row>
      </sheetData>
      <sheetData sheetId="20">
        <row r="85">
          <cell r="Q85">
            <v>101936.04999999999</v>
          </cell>
          <cell r="R85">
            <v>99588.55339550077</v>
          </cell>
        </row>
        <row r="86">
          <cell r="H86">
            <v>-7366.5347260105555</v>
          </cell>
          <cell r="I86">
            <v>47117.149000000107</v>
          </cell>
        </row>
        <row r="89">
          <cell r="Q89">
            <v>79008.263087481959</v>
          </cell>
          <cell r="R89">
            <v>80739.722986144028</v>
          </cell>
        </row>
        <row r="92">
          <cell r="H92">
            <v>-145062.5574433736</v>
          </cell>
          <cell r="I92">
            <v>-146291.10102209903</v>
          </cell>
        </row>
      </sheetData>
      <sheetData sheetId="21">
        <row r="85">
          <cell r="Q85">
            <v>112585.16526315788</v>
          </cell>
          <cell r="R85">
            <v>110612.75472943248</v>
          </cell>
        </row>
        <row r="86">
          <cell r="H86">
            <v>92945.305255337094</v>
          </cell>
          <cell r="I86">
            <v>72134.082000000126</v>
          </cell>
        </row>
        <row r="89">
          <cell r="Q89">
            <v>75074.638534525904</v>
          </cell>
          <cell r="R89">
            <v>74463.293988591497</v>
          </cell>
        </row>
        <row r="92">
          <cell r="H92">
            <v>22975.992265868161</v>
          </cell>
          <cell r="I92">
            <v>4820.398106559529</v>
          </cell>
        </row>
      </sheetData>
      <sheetData sheetId="22">
        <row r="85">
          <cell r="Q85">
            <v>113253.12829096583</v>
          </cell>
          <cell r="R85">
            <v>127207.1827009159</v>
          </cell>
        </row>
        <row r="86">
          <cell r="H86">
            <v>108731.29436399786</v>
          </cell>
          <cell r="I86">
            <v>75887.510999999955</v>
          </cell>
        </row>
        <row r="89">
          <cell r="Q89">
            <v>73525.343073861688</v>
          </cell>
          <cell r="R89">
            <v>81814.754218029077</v>
          </cell>
        </row>
        <row r="92">
          <cell r="H92">
            <v>32104.998483228512</v>
          </cell>
          <cell r="I92">
            <v>14055.768162002365</v>
          </cell>
        </row>
      </sheetData>
      <sheetData sheetId="23">
        <row r="85">
          <cell r="Q85">
            <v>121468.61411764707</v>
          </cell>
          <cell r="R85">
            <v>126270.59210526315</v>
          </cell>
        </row>
        <row r="86">
          <cell r="H86">
            <v>142022.49247052288</v>
          </cell>
          <cell r="I86">
            <v>17473.470999999779</v>
          </cell>
        </row>
        <row r="89">
          <cell r="Q89">
            <v>94781.113143953698</v>
          </cell>
          <cell r="R89">
            <v>98427.658810633046</v>
          </cell>
        </row>
        <row r="92">
          <cell r="H92">
            <v>-1487.4822739159281</v>
          </cell>
          <cell r="I92">
            <v>-84429.468586321425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99077.049464891184</v>
          </cell>
        </row>
        <row r="89">
          <cell r="Q89">
            <v>80839.180380884747</v>
          </cell>
        </row>
      </sheetData>
      <sheetData sheetId="1">
        <row r="85">
          <cell r="Q85">
            <v>95841.129284234747</v>
          </cell>
        </row>
        <row r="89">
          <cell r="Q89">
            <v>82402.305649578571</v>
          </cell>
        </row>
      </sheetData>
      <sheetData sheetId="2">
        <row r="85">
          <cell r="Q85">
            <v>99826.054972744867</v>
          </cell>
        </row>
        <row r="89">
          <cell r="Q89">
            <v>79584.765232735343</v>
          </cell>
        </row>
      </sheetData>
      <sheetData sheetId="3"/>
      <sheetData sheetId="4"/>
      <sheetData sheetId="5"/>
      <sheetData sheetId="6">
        <row r="85">
          <cell r="Q85">
            <v>102812.83467689531</v>
          </cell>
        </row>
        <row r="89">
          <cell r="Q89">
            <v>81030.270831711008</v>
          </cell>
        </row>
      </sheetData>
      <sheetData sheetId="7">
        <row r="85">
          <cell r="Q85">
            <v>96121.690380731321</v>
          </cell>
        </row>
        <row r="86">
          <cell r="H86">
            <v>544257.04600000067</v>
          </cell>
        </row>
        <row r="89">
          <cell r="Q89">
            <v>81579.544237701717</v>
          </cell>
        </row>
        <row r="92">
          <cell r="H92">
            <v>-75049.96624834917</v>
          </cell>
        </row>
      </sheetData>
      <sheetData sheetId="8">
        <row r="85">
          <cell r="Q85">
            <v>97415.809292946622</v>
          </cell>
        </row>
        <row r="86">
          <cell r="H86">
            <v>-78653.321000000171</v>
          </cell>
        </row>
        <row r="89">
          <cell r="Q89">
            <v>85798.573999428248</v>
          </cell>
        </row>
        <row r="92">
          <cell r="H92">
            <v>-502929.09411320946</v>
          </cell>
        </row>
      </sheetData>
      <sheetData sheetId="9">
        <row r="85">
          <cell r="Q85">
            <v>91899.080570157705</v>
          </cell>
        </row>
        <row r="86">
          <cell r="H86">
            <v>-297596.21599999955</v>
          </cell>
        </row>
        <row r="89">
          <cell r="Q89">
            <v>79518.799373357586</v>
          </cell>
        </row>
        <row r="92">
          <cell r="H92">
            <v>-474783.91498342995</v>
          </cell>
        </row>
      </sheetData>
      <sheetData sheetId="10">
        <row r="85">
          <cell r="Q85">
            <v>94978.776921816083</v>
          </cell>
        </row>
        <row r="86">
          <cell r="H86">
            <v>-115343.76400000036</v>
          </cell>
        </row>
        <row r="89">
          <cell r="Q89">
            <v>79532.123812254256</v>
          </cell>
        </row>
        <row r="92">
          <cell r="H92">
            <v>-259459.80198481836</v>
          </cell>
        </row>
      </sheetData>
      <sheetData sheetId="11">
        <row r="85">
          <cell r="Q85">
            <v>106515.44711856921</v>
          </cell>
        </row>
        <row r="86">
          <cell r="H86">
            <v>563566.59099999955</v>
          </cell>
        </row>
        <row r="89">
          <cell r="Q89">
            <v>82661.996307929687</v>
          </cell>
        </row>
        <row r="92">
          <cell r="H92">
            <v>179560.71360816329</v>
          </cell>
        </row>
      </sheetData>
      <sheetData sheetId="12">
        <row r="85">
          <cell r="Q85">
            <v>96386.473584077263</v>
          </cell>
        </row>
        <row r="86">
          <cell r="H86">
            <v>259019.18299999947</v>
          </cell>
        </row>
        <row r="89">
          <cell r="Q89">
            <v>77069.977433217849</v>
          </cell>
        </row>
        <row r="92">
          <cell r="H92">
            <v>-52035.949956670607</v>
          </cell>
        </row>
      </sheetData>
      <sheetData sheetId="13">
        <row r="85">
          <cell r="Q85">
            <v>93571.632300844765</v>
          </cell>
        </row>
        <row r="86">
          <cell r="H86">
            <v>-82619.59099999984</v>
          </cell>
        </row>
        <row r="89">
          <cell r="Q89">
            <v>77226.543101099087</v>
          </cell>
        </row>
        <row r="92">
          <cell r="H92">
            <v>-218122.16092202062</v>
          </cell>
        </row>
      </sheetData>
      <sheetData sheetId="14">
        <row r="85">
          <cell r="Q85">
            <v>101422.90801023132</v>
          </cell>
        </row>
        <row r="86">
          <cell r="H86">
            <v>367070.68999999989</v>
          </cell>
        </row>
        <row r="89">
          <cell r="Q89">
            <v>84140.343276994085</v>
          </cell>
        </row>
        <row r="92">
          <cell r="H92">
            <v>-11926.383918280655</v>
          </cell>
        </row>
      </sheetData>
      <sheetData sheetId="15">
        <row r="85">
          <cell r="Q85">
            <v>94928.650831253442</v>
          </cell>
        </row>
        <row r="86">
          <cell r="H86">
            <v>47353.37299999973</v>
          </cell>
        </row>
        <row r="89">
          <cell r="Q89">
            <v>73681.733598409541</v>
          </cell>
        </row>
        <row r="92">
          <cell r="H92">
            <v>-101542.39695368445</v>
          </cell>
        </row>
      </sheetData>
      <sheetData sheetId="16">
        <row r="85">
          <cell r="Q85">
            <v>99494.948861976038</v>
          </cell>
        </row>
        <row r="86">
          <cell r="H86">
            <v>205708.44400000045</v>
          </cell>
        </row>
        <row r="89">
          <cell r="Q89">
            <v>75101.481314328383</v>
          </cell>
        </row>
        <row r="92">
          <cell r="H92">
            <v>-4816.5666829801048</v>
          </cell>
        </row>
      </sheetData>
      <sheetData sheetId="17">
        <row r="85">
          <cell r="Q85">
            <v>92529.815468698231</v>
          </cell>
        </row>
        <row r="86">
          <cell r="H86">
            <v>10470.323999999571</v>
          </cell>
        </row>
        <row r="89">
          <cell r="Q89">
            <v>75856.146406094747</v>
          </cell>
        </row>
        <row r="92">
          <cell r="H92">
            <v>-184357.58004346088</v>
          </cell>
        </row>
      </sheetData>
      <sheetData sheetId="18">
        <row r="85">
          <cell r="Q85">
            <v>106237.20433586797</v>
          </cell>
        </row>
        <row r="86">
          <cell r="H86">
            <v>244355.2669999997</v>
          </cell>
        </row>
        <row r="89">
          <cell r="Q89">
            <v>84747.177369832905</v>
          </cell>
        </row>
        <row r="92">
          <cell r="H92">
            <v>19943.563352297992</v>
          </cell>
        </row>
      </sheetData>
      <sheetData sheetId="19">
        <row r="85">
          <cell r="Q85">
            <v>100656.63479669753</v>
          </cell>
        </row>
        <row r="86">
          <cell r="H86">
            <v>180485.99900000036</v>
          </cell>
        </row>
        <row r="89">
          <cell r="Q89">
            <v>85238.065071260338</v>
          </cell>
        </row>
        <row r="92">
          <cell r="H92">
            <v>-196415.18663159339</v>
          </cell>
        </row>
      </sheetData>
      <sheetData sheetId="20">
        <row r="85">
          <cell r="Q85">
            <v>96441.96464999301</v>
          </cell>
        </row>
        <row r="86">
          <cell r="H86">
            <v>458991.99899999931</v>
          </cell>
        </row>
        <row r="89">
          <cell r="Q89">
            <v>74930.600246660775</v>
          </cell>
        </row>
        <row r="92">
          <cell r="H92">
            <v>194571.57739758235</v>
          </cell>
        </row>
      </sheetData>
      <sheetData sheetId="21">
        <row r="85">
          <cell r="Q85">
            <v>111258.59411322017</v>
          </cell>
        </row>
        <row r="86">
          <cell r="H86">
            <v>199822.53199999998</v>
          </cell>
        </row>
        <row r="89">
          <cell r="Q89">
            <v>74140.042143991974</v>
          </cell>
        </row>
        <row r="92">
          <cell r="H92">
            <v>117870.04325542985</v>
          </cell>
        </row>
      </sheetData>
      <sheetData sheetId="22">
        <row r="85">
          <cell r="Q85">
            <v>105044.32302581139</v>
          </cell>
        </row>
        <row r="86">
          <cell r="H86">
            <v>-76211.322000000102</v>
          </cell>
        </row>
        <row r="89">
          <cell r="Q89">
            <v>74215.891983985013</v>
          </cell>
        </row>
        <row r="92">
          <cell r="H92">
            <v>-118071.59427006605</v>
          </cell>
        </row>
      </sheetData>
      <sheetData sheetId="23">
        <row r="85">
          <cell r="Q85">
            <v>120747.76826117099</v>
          </cell>
        </row>
        <row r="86">
          <cell r="H86">
            <v>227320.39100000006</v>
          </cell>
        </row>
        <row r="89">
          <cell r="Q89">
            <v>89839.101594504333</v>
          </cell>
        </row>
        <row r="92">
          <cell r="H92">
            <v>92729.755991967657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170009</v>
          </cell>
        </row>
      </sheetData>
      <sheetData sheetId="1">
        <row r="5">
          <cell r="T5">
            <v>66767</v>
          </cell>
        </row>
        <row r="85">
          <cell r="Q85">
            <v>102553.1111077759</v>
          </cell>
        </row>
      </sheetData>
      <sheetData sheetId="2">
        <row r="5">
          <cell r="T5">
            <v>73925</v>
          </cell>
        </row>
        <row r="85">
          <cell r="Q85">
            <v>106159.44104159619</v>
          </cell>
        </row>
      </sheetData>
      <sheetData sheetId="3" refreshError="1"/>
      <sheetData sheetId="4" refreshError="1"/>
      <sheetData sheetId="5">
        <row r="5">
          <cell r="T5">
            <v>29317</v>
          </cell>
        </row>
        <row r="85">
          <cell r="Q85">
            <v>105358.92304806084</v>
          </cell>
        </row>
      </sheetData>
      <sheetData sheetId="6">
        <row r="5">
          <cell r="T5">
            <v>29129</v>
          </cell>
        </row>
        <row r="85">
          <cell r="Q85">
            <v>104538.95660681794</v>
          </cell>
        </row>
      </sheetData>
      <sheetData sheetId="7">
        <row r="5">
          <cell r="T5">
            <v>21471</v>
          </cell>
        </row>
        <row r="85">
          <cell r="Q85">
            <v>103435.4711479867</v>
          </cell>
        </row>
      </sheetData>
      <sheetData sheetId="8">
        <row r="5">
          <cell r="T5">
            <v>8475</v>
          </cell>
        </row>
        <row r="85">
          <cell r="Q85">
            <v>97714.336283185839</v>
          </cell>
        </row>
      </sheetData>
      <sheetData sheetId="9">
        <row r="5">
          <cell r="T5">
            <v>7692</v>
          </cell>
        </row>
        <row r="85">
          <cell r="Q85">
            <v>97917.06539261571</v>
          </cell>
        </row>
      </sheetData>
      <sheetData sheetId="10">
        <row r="5">
          <cell r="T5">
            <v>19626</v>
          </cell>
        </row>
        <row r="85">
          <cell r="Q85">
            <v>116262.34841536736</v>
          </cell>
        </row>
      </sheetData>
      <sheetData sheetId="11">
        <row r="5">
          <cell r="T5">
            <v>11794</v>
          </cell>
        </row>
        <row r="85">
          <cell r="Q85">
            <v>102387.1036120061</v>
          </cell>
        </row>
      </sheetData>
      <sheetData sheetId="12">
        <row r="5">
          <cell r="T5">
            <v>5282</v>
          </cell>
        </row>
        <row r="85">
          <cell r="Q85">
            <v>102457.72434683831</v>
          </cell>
        </row>
      </sheetData>
      <sheetData sheetId="13">
        <row r="5">
          <cell r="T5">
            <v>10532</v>
          </cell>
        </row>
        <row r="85">
          <cell r="Q85">
            <v>108553.54158754273</v>
          </cell>
        </row>
      </sheetData>
      <sheetData sheetId="14">
        <row r="5">
          <cell r="T5">
            <v>3393</v>
          </cell>
        </row>
        <row r="85">
          <cell r="Q85">
            <v>106264.98673740053</v>
          </cell>
        </row>
      </sheetData>
      <sheetData sheetId="15">
        <row r="5">
          <cell r="T5">
            <v>9434</v>
          </cell>
        </row>
        <row r="85">
          <cell r="Q85">
            <v>94257.875768496931</v>
          </cell>
        </row>
      </sheetData>
      <sheetData sheetId="16">
        <row r="5">
          <cell r="T5">
            <v>4393</v>
          </cell>
        </row>
        <row r="85">
          <cell r="Q85">
            <v>86438.61347598453</v>
          </cell>
        </row>
      </sheetData>
      <sheetData sheetId="17">
        <row r="5">
          <cell r="T5">
            <v>9471</v>
          </cell>
        </row>
        <row r="85">
          <cell r="Q85">
            <v>110288.24833702882</v>
          </cell>
        </row>
      </sheetData>
      <sheetData sheetId="18">
        <row r="5">
          <cell r="T5">
            <v>15899</v>
          </cell>
        </row>
        <row r="85">
          <cell r="Q85">
            <v>102211.66802943581</v>
          </cell>
        </row>
      </sheetData>
      <sheetData sheetId="19">
        <row r="5">
          <cell r="T5">
            <v>6723</v>
          </cell>
        </row>
        <row r="85">
          <cell r="Q85">
            <v>95309.541573702212</v>
          </cell>
        </row>
      </sheetData>
      <sheetData sheetId="20">
        <row r="5">
          <cell r="T5">
            <v>1991</v>
          </cell>
        </row>
        <row r="85">
          <cell r="Q85">
            <v>108945.32194876946</v>
          </cell>
        </row>
      </sheetData>
      <sheetData sheetId="21">
        <row r="5">
          <cell r="T5">
            <v>1475</v>
          </cell>
        </row>
        <row r="85">
          <cell r="Q85">
            <v>128431.79661016951</v>
          </cell>
        </row>
      </sheetData>
      <sheetData sheetId="22">
        <row r="5">
          <cell r="T5">
            <v>3229</v>
          </cell>
        </row>
        <row r="85">
          <cell r="Q85">
            <v>129027.91978940848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영업계획"/>
      <sheetName val="재료비"/>
      <sheetName val="월별원가"/>
      <sheetName val="제조운반비"/>
      <sheetName val="인별예산"/>
      <sheetName val="제조4"/>
      <sheetName val="판매4"/>
      <sheetName val="제조6"/>
      <sheetName val="판매6"/>
      <sheetName val="계정통제"/>
      <sheetName val="본사산출"/>
    </sheetNames>
    <sheetDataSet>
      <sheetData sheetId="0"/>
      <sheetData sheetId="1">
        <row r="5">
          <cell r="G5" t="str">
            <v>1월</v>
          </cell>
        </row>
        <row r="6">
          <cell r="I6">
            <v>164075</v>
          </cell>
        </row>
        <row r="7">
          <cell r="I7">
            <v>104488.80633608306</v>
          </cell>
        </row>
        <row r="10">
          <cell r="I10">
            <v>98605.77975960511</v>
          </cell>
        </row>
        <row r="21">
          <cell r="I21">
            <v>258500</v>
          </cell>
        </row>
        <row r="22">
          <cell r="I22">
            <v>102249.90009937296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본사"/>
      <sheetName val="2019공장"/>
      <sheetName val="2019raw"/>
      <sheetName val="2020본사"/>
      <sheetName val="2020공장"/>
      <sheetName val="2020raw"/>
      <sheetName val="2021본사"/>
      <sheetName val="2021공장"/>
      <sheetName val="2021raw"/>
      <sheetName val="2022본사"/>
      <sheetName val="2022공장"/>
      <sheetName val="2022raw"/>
      <sheetName val="계획대비"/>
      <sheetName val="1군판가 차이분석(계획대비)"/>
      <sheetName val="1군판가 차이분석 (2)"/>
      <sheetName val="합계(내한영향차이)"/>
      <sheetName val="Sheet2"/>
      <sheetName val="합계"/>
      <sheetName val="수도권"/>
      <sheetName val="영남권"/>
      <sheetName val="중부권"/>
      <sheetName val="부산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2026raw"/>
      <sheetName val="Sheet1"/>
      <sheetName val="19년 정리"/>
      <sheetName val="20년 정리"/>
      <sheetName val="21년 정리"/>
      <sheetName val="22년 정리"/>
      <sheetName val="23년 정리"/>
      <sheetName val="한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C2" t="str">
            <v>1월</v>
          </cell>
        </row>
        <row r="44">
          <cell r="D44">
            <v>0.72177917899365862</v>
          </cell>
          <cell r="E44">
            <v>0.74727692892742237</v>
          </cell>
        </row>
        <row r="93">
          <cell r="D93">
            <v>97667.596405363292</v>
          </cell>
          <cell r="E93">
            <v>98676.778845599969</v>
          </cell>
        </row>
        <row r="94">
          <cell r="D94">
            <v>107321.91111828959</v>
          </cell>
          <cell r="E94">
            <v>104231.92478669074</v>
          </cell>
        </row>
        <row r="95">
          <cell r="D95">
            <v>104606.76316734462</v>
          </cell>
          <cell r="E95">
            <v>102799.58381374025</v>
          </cell>
        </row>
      </sheetData>
      <sheetData sheetId="18"/>
      <sheetData sheetId="19"/>
      <sheetData sheetId="20"/>
      <sheetData sheetId="21"/>
      <sheetData sheetId="22">
        <row r="2">
          <cell r="C2" t="str">
            <v>1월</v>
          </cell>
        </row>
      </sheetData>
      <sheetData sheetId="23">
        <row r="2">
          <cell r="C2" t="str">
            <v>1월</v>
          </cell>
        </row>
      </sheetData>
      <sheetData sheetId="24">
        <row r="2">
          <cell r="C2" t="str">
            <v>1월</v>
          </cell>
        </row>
      </sheetData>
      <sheetData sheetId="25">
        <row r="2">
          <cell r="C2" t="str">
            <v>1월</v>
          </cell>
        </row>
      </sheetData>
      <sheetData sheetId="26">
        <row r="2">
          <cell r="C2" t="str">
            <v>1월</v>
          </cell>
        </row>
      </sheetData>
      <sheetData sheetId="27">
        <row r="2">
          <cell r="C2" t="str">
            <v>1월</v>
          </cell>
        </row>
      </sheetData>
      <sheetData sheetId="28">
        <row r="2">
          <cell r="C2" t="str">
            <v>1월</v>
          </cell>
        </row>
      </sheetData>
      <sheetData sheetId="29">
        <row r="2">
          <cell r="C2" t="str">
            <v>1월</v>
          </cell>
        </row>
      </sheetData>
      <sheetData sheetId="30">
        <row r="2">
          <cell r="C2" t="str">
            <v>1월</v>
          </cell>
        </row>
      </sheetData>
      <sheetData sheetId="31">
        <row r="2">
          <cell r="C2" t="str">
            <v>1월</v>
          </cell>
        </row>
      </sheetData>
      <sheetData sheetId="32">
        <row r="2">
          <cell r="C2" t="str">
            <v>1월</v>
          </cell>
        </row>
      </sheetData>
      <sheetData sheetId="33">
        <row r="2">
          <cell r="C2" t="str">
            <v>1월</v>
          </cell>
        </row>
      </sheetData>
      <sheetData sheetId="34">
        <row r="2">
          <cell r="C2" t="str">
            <v>1월</v>
          </cell>
        </row>
      </sheetData>
      <sheetData sheetId="35">
        <row r="2">
          <cell r="C2" t="str">
            <v>1월</v>
          </cell>
        </row>
      </sheetData>
      <sheetData sheetId="36">
        <row r="2">
          <cell r="C2" t="str">
            <v>1월</v>
          </cell>
        </row>
      </sheetData>
      <sheetData sheetId="37">
        <row r="2">
          <cell r="C2" t="str">
            <v>1월</v>
          </cell>
        </row>
      </sheetData>
      <sheetData sheetId="38">
        <row r="2">
          <cell r="C2" t="str">
            <v>1월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예산대비 차이"/>
      <sheetName val="Sheet1"/>
      <sheetName val="MS"/>
      <sheetName val="규격물량"/>
      <sheetName val="규격단가(실단가)"/>
      <sheetName val="규격단가(예산안)"/>
      <sheetName val="재료비(합계)"/>
      <sheetName val="재료비(1군)"/>
      <sheetName val="재료비(중소개인)"/>
      <sheetName val="재료비(관수)"/>
      <sheetName val="26년계획(강도)"/>
      <sheetName val="지역수요"/>
    </sheetNames>
    <sheetDataSet>
      <sheetData sheetId="0" refreshError="1"/>
      <sheetData sheetId="1">
        <row r="15">
          <cell r="M15">
            <v>28.796612420329421</v>
          </cell>
        </row>
        <row r="16">
          <cell r="M16">
            <v>26.449441467157669</v>
          </cell>
        </row>
        <row r="18">
          <cell r="M18">
            <v>27.920467357399371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구분"/>
      <sheetName val="규격"/>
      <sheetName val="평균강도집계"/>
      <sheetName val="생산량"/>
      <sheetName val="규격조정"/>
      <sheetName val="물차제외raw"/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  <sheetName val="합계RAW"/>
      <sheetName val="수도권RAW"/>
      <sheetName val="영남권RAW"/>
      <sheetName val="중부권RAW"/>
      <sheetName val="안양RAW"/>
      <sheetName val="인천RAW"/>
      <sheetName val="파주RAW"/>
      <sheetName val="김포RAW"/>
      <sheetName val="부산RAW"/>
      <sheetName val="서부산RAW"/>
      <sheetName val="김해RAW"/>
      <sheetName val="정관RAW"/>
      <sheetName val="양산RAW"/>
      <sheetName val="창원RAW"/>
      <sheetName val="대구RAW"/>
      <sheetName val="울산RAW"/>
      <sheetName val="아산RAW"/>
      <sheetName val="전주RAW"/>
      <sheetName val="군산RAW"/>
      <sheetName val="원주RAW"/>
      <sheetName val="제주RAW"/>
    </sheetNames>
    <sheetDataSet>
      <sheetData sheetId="0"/>
      <sheetData sheetId="1"/>
      <sheetData sheetId="2">
        <row r="27">
          <cell r="R27">
            <v>31.840642756413956</v>
          </cell>
          <cell r="S27">
            <v>30.285880576743338</v>
          </cell>
        </row>
        <row r="49">
          <cell r="R49">
            <v>26.769608346511674</v>
          </cell>
          <cell r="S49">
            <v>26.594936708860761</v>
          </cell>
        </row>
        <row r="71">
          <cell r="S71">
            <v>29.307163258411386</v>
          </cell>
        </row>
      </sheetData>
      <sheetData sheetId="3"/>
      <sheetData sheetId="4"/>
      <sheetData sheetId="5"/>
      <sheetData sheetId="6">
        <row r="82">
          <cell r="R82">
            <v>30.387781700500145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년10월~12월"/>
      <sheetName val="25년1월"/>
      <sheetName val="25년2월"/>
      <sheetName val="25년3월"/>
      <sheetName val="25년4월"/>
      <sheetName val="25년5월"/>
      <sheetName val="25년6월"/>
      <sheetName val="25년7월"/>
      <sheetName val="25년8월"/>
      <sheetName val="25년9월"/>
      <sheetName val="25년10월"/>
      <sheetName val="25년11월"/>
      <sheetName val="25년12월"/>
      <sheetName val="갑지"/>
      <sheetName val="25년 정산액"/>
      <sheetName val="2025년 소급분"/>
      <sheetName val="2025년 소급분(공장별)"/>
      <sheetName val="26년1월"/>
      <sheetName val="26년2월"/>
      <sheetName val="26년3월"/>
      <sheetName val="2026년 소급분"/>
      <sheetName val="2026년 소급분(공장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3">
          <cell r="K43">
            <v>8714400</v>
          </cell>
        </row>
      </sheetData>
      <sheetData sheetId="18">
        <row r="52">
          <cell r="K52">
            <v>5963300</v>
          </cell>
        </row>
      </sheetData>
      <sheetData sheetId="19">
        <row r="67">
          <cell r="K67">
            <v>10241200</v>
          </cell>
        </row>
      </sheetData>
      <sheetData sheetId="20"/>
      <sheetData sheetId="21">
        <row r="6">
          <cell r="D6">
            <v>638.74257734567652</v>
          </cell>
        </row>
        <row r="7">
          <cell r="D7">
            <v>441.37567049848712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/>
  </sheetViews>
  <sheetFormatPr defaultRowHeight="16.5" x14ac:dyDescent="0.3"/>
  <cols>
    <col min="13" max="13" width="15.75" customWidth="1"/>
  </cols>
  <sheetData>
    <row r="6" spans="1:13" x14ac:dyDescent="0.3">
      <c r="A6" s="666" t="s">
        <v>204</v>
      </c>
      <c r="B6" s="667"/>
      <c r="C6" s="667"/>
      <c r="D6" s="667"/>
      <c r="E6" s="667"/>
      <c r="F6" s="667"/>
      <c r="G6" s="667"/>
      <c r="H6" s="667"/>
      <c r="I6" s="667"/>
      <c r="J6" s="667"/>
      <c r="K6" s="667"/>
      <c r="L6" s="667"/>
      <c r="M6" s="668"/>
    </row>
    <row r="7" spans="1:13" x14ac:dyDescent="0.3">
      <c r="A7" s="669"/>
      <c r="B7" s="670"/>
      <c r="C7" s="670"/>
      <c r="D7" s="670"/>
      <c r="E7" s="670"/>
      <c r="F7" s="670"/>
      <c r="G7" s="670"/>
      <c r="H7" s="670"/>
      <c r="I7" s="670"/>
      <c r="J7" s="670"/>
      <c r="K7" s="670"/>
      <c r="L7" s="670"/>
      <c r="M7" s="671"/>
    </row>
    <row r="8" spans="1:13" x14ac:dyDescent="0.3">
      <c r="A8" s="669"/>
      <c r="B8" s="670"/>
      <c r="C8" s="670"/>
      <c r="D8" s="670"/>
      <c r="E8" s="670"/>
      <c r="F8" s="670"/>
      <c r="G8" s="670"/>
      <c r="H8" s="670"/>
      <c r="I8" s="670"/>
      <c r="J8" s="670"/>
      <c r="K8" s="670"/>
      <c r="L8" s="670"/>
      <c r="M8" s="671"/>
    </row>
    <row r="9" spans="1:13" x14ac:dyDescent="0.3">
      <c r="A9" s="669"/>
      <c r="B9" s="670"/>
      <c r="C9" s="670"/>
      <c r="D9" s="670"/>
      <c r="E9" s="670"/>
      <c r="F9" s="670"/>
      <c r="G9" s="670"/>
      <c r="H9" s="670"/>
      <c r="I9" s="670"/>
      <c r="J9" s="670"/>
      <c r="K9" s="670"/>
      <c r="L9" s="670"/>
      <c r="M9" s="671"/>
    </row>
    <row r="10" spans="1:13" x14ac:dyDescent="0.3">
      <c r="A10" s="669"/>
      <c r="B10" s="670"/>
      <c r="C10" s="670"/>
      <c r="D10" s="670"/>
      <c r="E10" s="670"/>
      <c r="F10" s="670"/>
      <c r="G10" s="670"/>
      <c r="H10" s="670"/>
      <c r="I10" s="670"/>
      <c r="J10" s="670"/>
      <c r="K10" s="670"/>
      <c r="L10" s="670"/>
      <c r="M10" s="671"/>
    </row>
    <row r="11" spans="1:13" x14ac:dyDescent="0.3">
      <c r="A11" s="669"/>
      <c r="B11" s="670"/>
      <c r="C11" s="670"/>
      <c r="D11" s="670"/>
      <c r="E11" s="670"/>
      <c r="F11" s="670"/>
      <c r="G11" s="670"/>
      <c r="H11" s="670"/>
      <c r="I11" s="670"/>
      <c r="J11" s="670"/>
      <c r="K11" s="670"/>
      <c r="L11" s="670"/>
      <c r="M11" s="671"/>
    </row>
    <row r="12" spans="1:13" x14ac:dyDescent="0.3">
      <c r="A12" s="669"/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</row>
    <row r="13" spans="1:13" x14ac:dyDescent="0.3">
      <c r="A13" s="669"/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</row>
    <row r="14" spans="1:13" x14ac:dyDescent="0.3">
      <c r="A14" s="672"/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</row>
    <row r="24" spans="1:13" x14ac:dyDescent="0.3">
      <c r="A24" s="675" t="s">
        <v>167</v>
      </c>
      <c r="B24" s="675"/>
      <c r="C24" s="675"/>
      <c r="D24" s="675"/>
      <c r="E24" s="675"/>
      <c r="F24" s="675"/>
      <c r="G24" s="675"/>
      <c r="H24" s="675"/>
      <c r="I24" s="675"/>
      <c r="J24" s="675"/>
      <c r="K24" s="675"/>
      <c r="L24" s="675"/>
      <c r="M24" s="675"/>
    </row>
    <row r="25" spans="1:13" x14ac:dyDescent="0.3">
      <c r="A25" s="675"/>
      <c r="B25" s="675"/>
      <c r="C25" s="675"/>
      <c r="D25" s="675"/>
      <c r="E25" s="675"/>
      <c r="F25" s="675"/>
      <c r="G25" s="675"/>
      <c r="H25" s="675"/>
      <c r="I25" s="675"/>
      <c r="J25" s="675"/>
      <c r="K25" s="675"/>
      <c r="L25" s="675"/>
      <c r="M25" s="675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topLeftCell="A4" zoomScale="70" zoomScaleNormal="70" zoomScaleSheetLayoutView="70" workbookViewId="0">
      <selection activeCell="K20" sqref="K20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27" width="9.125" customWidth="1"/>
    <col min="28" max="28" width="11.375" bestFit="1" customWidth="1"/>
    <col min="29" max="37" width="9.125" customWidth="1"/>
  </cols>
  <sheetData>
    <row r="1" spans="1:29" ht="20.100000000000001" customHeight="1" x14ac:dyDescent="0.3"/>
    <row r="2" spans="1:29" ht="20.100000000000001" customHeight="1" x14ac:dyDescent="0.3"/>
    <row r="3" spans="1:29" ht="20.100000000000001" customHeight="1" x14ac:dyDescent="0.3">
      <c r="C3" s="2" t="s">
        <v>217</v>
      </c>
    </row>
    <row r="4" spans="1:29" ht="20.100000000000001" customHeight="1" x14ac:dyDescent="0.3">
      <c r="H4" s="211"/>
      <c r="X4" s="3" t="s">
        <v>99</v>
      </c>
    </row>
    <row r="5" spans="1:29" ht="27" customHeight="1" thickBot="1" x14ac:dyDescent="0.35">
      <c r="C5" s="678" t="s">
        <v>61</v>
      </c>
      <c r="D5" s="679"/>
      <c r="E5" s="526" t="s">
        <v>206</v>
      </c>
      <c r="F5" s="527"/>
      <c r="G5" s="527"/>
      <c r="H5" s="527"/>
      <c r="I5" s="528"/>
      <c r="J5" s="527" t="s">
        <v>207</v>
      </c>
      <c r="K5" s="527"/>
      <c r="L5" s="527"/>
      <c r="M5" s="527"/>
      <c r="N5" s="528"/>
      <c r="O5" s="114"/>
      <c r="P5" s="678" t="s">
        <v>218</v>
      </c>
      <c r="Q5" s="679"/>
      <c r="R5" s="679"/>
      <c r="S5" s="679"/>
      <c r="T5" s="679"/>
      <c r="U5" s="679"/>
      <c r="V5" s="679"/>
      <c r="W5" s="679"/>
      <c r="X5" s="682"/>
    </row>
    <row r="6" spans="1:29" ht="27" customHeight="1" thickTop="1" x14ac:dyDescent="0.3">
      <c r="C6" s="680"/>
      <c r="D6" s="681"/>
      <c r="E6" s="529" t="s">
        <v>62</v>
      </c>
      <c r="F6" s="530" t="s">
        <v>63</v>
      </c>
      <c r="G6" s="531" t="s">
        <v>64</v>
      </c>
      <c r="H6" s="532" t="s">
        <v>65</v>
      </c>
      <c r="I6" s="533" t="s">
        <v>66</v>
      </c>
      <c r="J6" s="529" t="s">
        <v>62</v>
      </c>
      <c r="K6" s="530" t="s">
        <v>63</v>
      </c>
      <c r="L6" s="531" t="s">
        <v>64</v>
      </c>
      <c r="M6" s="532" t="s">
        <v>65</v>
      </c>
      <c r="N6" s="533" t="s">
        <v>66</v>
      </c>
      <c r="O6" s="114"/>
      <c r="P6" s="680"/>
      <c r="Q6" s="681"/>
      <c r="R6" s="681"/>
      <c r="S6" s="681"/>
      <c r="T6" s="681"/>
      <c r="U6" s="681"/>
      <c r="V6" s="681"/>
      <c r="W6" s="681"/>
      <c r="X6" s="683"/>
    </row>
    <row r="7" spans="1:29" ht="21.75" customHeight="1" x14ac:dyDescent="0.3">
      <c r="A7" s="211"/>
      <c r="B7" s="211"/>
      <c r="C7" s="83" t="s">
        <v>0</v>
      </c>
      <c r="D7" s="84" t="s">
        <v>40</v>
      </c>
      <c r="E7" s="291">
        <f>+'[1]3월'!$Z$7/1000</f>
        <v>258.5</v>
      </c>
      <c r="F7" s="292">
        <f>+'[2]3월'!$Z$7/1000</f>
        <v>238.27699999999999</v>
      </c>
      <c r="G7" s="267">
        <f t="shared" ref="G7:G30" si="0">+F7-E7</f>
        <v>-20.223000000000013</v>
      </c>
      <c r="H7" s="268">
        <f>+'[3]3월'!$Z$7/1000</f>
        <v>265.92700000000002</v>
      </c>
      <c r="I7" s="269">
        <f t="shared" ref="I7:I30" si="1">+F7-H7</f>
        <v>-27.650000000000034</v>
      </c>
      <c r="J7" s="291">
        <f>+'[1]3월누계'!$Z$7/1000</f>
        <v>624.49980000000005</v>
      </c>
      <c r="K7" s="292">
        <f>+'[2]3월누계'!$Z$7/1000</f>
        <v>584.40650000000005</v>
      </c>
      <c r="L7" s="267">
        <f t="shared" ref="L7" si="2">+K7-J7</f>
        <v>-40.093299999999999</v>
      </c>
      <c r="M7" s="268">
        <f>+'[3]3월누계'!$Z$7/1000</f>
        <v>654.58550000000002</v>
      </c>
      <c r="N7" s="269">
        <f t="shared" ref="N7" si="3">+K7-M7</f>
        <v>-70.178999999999974</v>
      </c>
      <c r="O7" s="82"/>
      <c r="P7" s="519"/>
      <c r="Q7" s="520" t="s">
        <v>83</v>
      </c>
      <c r="R7" s="520"/>
      <c r="S7" s="521"/>
      <c r="T7" s="521"/>
      <c r="U7" s="521"/>
      <c r="V7" s="521"/>
      <c r="W7" s="521"/>
      <c r="X7" s="522"/>
      <c r="Y7" s="211"/>
    </row>
    <row r="8" spans="1:29" ht="21.75" customHeight="1" x14ac:dyDescent="0.3">
      <c r="B8" s="211"/>
      <c r="C8" s="83"/>
      <c r="D8" s="87" t="s">
        <v>1</v>
      </c>
      <c r="E8" s="293">
        <f>+'[1]3월'!$AE$7/1000</f>
        <v>67.358803916083914</v>
      </c>
      <c r="F8" s="294">
        <f>+'[2]3월'!$AN$7/1000</f>
        <v>71.063000000000002</v>
      </c>
      <c r="G8" s="270">
        <f t="shared" si="0"/>
        <v>3.7041960839160879</v>
      </c>
      <c r="H8" s="271">
        <f>+'[3]3월'!$AN$7/1000</f>
        <v>61.210999999999999</v>
      </c>
      <c r="I8" s="272">
        <f t="shared" si="1"/>
        <v>9.8520000000000039</v>
      </c>
      <c r="J8" s="293">
        <f>+'[1]3월누계'!$AE$7/1000</f>
        <v>202.41263114219112</v>
      </c>
      <c r="K8" s="294">
        <f>+'[2]3월누계'!$AN$7/1000</f>
        <v>177.23</v>
      </c>
      <c r="L8" s="270">
        <f t="shared" ref="L8:L30" si="4">+K8-J8</f>
        <v>-25.182631142191127</v>
      </c>
      <c r="M8" s="271">
        <f>+'[3]3월누계'!$AN$7/1000</f>
        <v>167.4</v>
      </c>
      <c r="N8" s="272">
        <f t="shared" ref="N8:N30" si="5">+K8-M8</f>
        <v>9.8299999999999841</v>
      </c>
      <c r="O8" s="82"/>
      <c r="P8" s="85"/>
      <c r="Q8" s="197" t="s">
        <v>55</v>
      </c>
      <c r="R8" s="198"/>
      <c r="S8" s="199" t="s">
        <v>12</v>
      </c>
      <c r="T8" s="200" t="s">
        <v>67</v>
      </c>
      <c r="U8" s="201" t="s">
        <v>56</v>
      </c>
      <c r="V8" s="200" t="s">
        <v>39</v>
      </c>
      <c r="W8" s="202" t="s">
        <v>57</v>
      </c>
      <c r="X8" s="86"/>
      <c r="Y8" s="211"/>
    </row>
    <row r="9" spans="1:29" ht="21.75" customHeight="1" x14ac:dyDescent="0.3">
      <c r="B9" s="211"/>
      <c r="C9" s="90" t="s">
        <v>2</v>
      </c>
      <c r="D9" s="91" t="s">
        <v>40</v>
      </c>
      <c r="E9" s="295">
        <f>+'[1]3월'!$Z$8/1000</f>
        <v>26431.599175687912</v>
      </c>
      <c r="F9" s="296">
        <f>+'[2]3월'!$Z$8/1000</f>
        <v>24485.298609000001</v>
      </c>
      <c r="G9" s="297">
        <f t="shared" si="0"/>
        <v>-1946.3005666879108</v>
      </c>
      <c r="H9" s="298">
        <f>+'[3]3월'!$Z$8/1000</f>
        <v>25879.147625000005</v>
      </c>
      <c r="I9" s="299">
        <f t="shared" si="1"/>
        <v>-1393.8490160000038</v>
      </c>
      <c r="J9" s="295">
        <f>+'[1]3월누계'!$Z$8/1000</f>
        <v>63302.77840082474</v>
      </c>
      <c r="K9" s="296">
        <f>+'[2]3월누계'!$Z$8/1000</f>
        <v>61012.999813000009</v>
      </c>
      <c r="L9" s="297">
        <f t="shared" si="4"/>
        <v>-2289.7785878247305</v>
      </c>
      <c r="M9" s="298">
        <f>+'[3]3월누계'!$Z$8/1000</f>
        <v>64876.307427999986</v>
      </c>
      <c r="N9" s="299">
        <f t="shared" si="5"/>
        <v>-3863.3076149999761</v>
      </c>
      <c r="O9" s="82"/>
      <c r="P9" s="85"/>
      <c r="Q9" s="88" t="s">
        <v>51</v>
      </c>
      <c r="R9" s="162" t="s">
        <v>16</v>
      </c>
      <c r="S9" s="175">
        <f>+[4]수도권!$T$5/1000</f>
        <v>102</v>
      </c>
      <c r="T9" s="89">
        <f>+[4]수도권!$U$5/1000</f>
        <v>99.251000000000005</v>
      </c>
      <c r="U9" s="267">
        <f>+T9-S9</f>
        <v>-2.7489999999999952</v>
      </c>
      <c r="V9" s="268">
        <f>+[5]수도권!$T$5/1000</f>
        <v>93.47</v>
      </c>
      <c r="W9" s="269">
        <f>+T9-V9</f>
        <v>5.7810000000000059</v>
      </c>
      <c r="X9" s="86"/>
      <c r="Y9" s="211"/>
    </row>
    <row r="10" spans="1:29" ht="21.75" customHeight="1" x14ac:dyDescent="0.3">
      <c r="B10" s="211"/>
      <c r="C10" s="83"/>
      <c r="D10" s="87" t="s">
        <v>1</v>
      </c>
      <c r="E10" s="293">
        <f>+'[1]3월'!$AE$8/1000</f>
        <v>1207.5320681118881</v>
      </c>
      <c r="F10" s="294">
        <f>+'[2]3월'!$AN$8/1000</f>
        <v>1365.4241999999999</v>
      </c>
      <c r="G10" s="270">
        <f t="shared" si="0"/>
        <v>157.89213188811186</v>
      </c>
      <c r="H10" s="271">
        <f>+'[3]3월'!$AN$8/1000</f>
        <v>1283.4169999999999</v>
      </c>
      <c r="I10" s="272">
        <f t="shared" si="1"/>
        <v>82.007200000000012</v>
      </c>
      <c r="J10" s="293">
        <f>+'[1]3월누계'!$AE$8/1000</f>
        <v>3668.2883135431239</v>
      </c>
      <c r="K10" s="294">
        <f>+'[2]3월누계'!$AN$8/1000</f>
        <v>3539.703</v>
      </c>
      <c r="L10" s="270">
        <f t="shared" si="4"/>
        <v>-128.5853135431239</v>
      </c>
      <c r="M10" s="271">
        <f>+'[3]3월누계'!$AN$8/1000</f>
        <v>3577.7485000000001</v>
      </c>
      <c r="N10" s="272">
        <f t="shared" si="5"/>
        <v>-38.045500000000175</v>
      </c>
      <c r="O10" s="82"/>
      <c r="P10" s="85"/>
      <c r="Q10" s="92"/>
      <c r="R10" s="163" t="s">
        <v>17</v>
      </c>
      <c r="S10" s="176">
        <f>+[4]영남권!$T$5/1000</f>
        <v>110</v>
      </c>
      <c r="T10" s="93">
        <f>+[4]영남권!$U$5/1000</f>
        <v>90.495000000000005</v>
      </c>
      <c r="U10" s="270">
        <f t="shared" ref="U10:U20" si="6">+T10-S10</f>
        <v>-19.504999999999995</v>
      </c>
      <c r="V10" s="271">
        <f>+[5]영남권!$T$5/1000</f>
        <v>117.33799999999999</v>
      </c>
      <c r="W10" s="272">
        <f t="shared" ref="W10:W20" si="7">+T10-V10</f>
        <v>-26.842999999999989</v>
      </c>
      <c r="X10" s="86"/>
      <c r="Y10" s="211"/>
    </row>
    <row r="11" spans="1:29" ht="21.75" customHeight="1" x14ac:dyDescent="0.3">
      <c r="B11" s="211"/>
      <c r="C11" s="83"/>
      <c r="D11" s="97" t="s">
        <v>4</v>
      </c>
      <c r="E11" s="300">
        <f>+'[1]3월'!$E$8/1000-E9-E33-E10</f>
        <v>123.53333333333671</v>
      </c>
      <c r="F11" s="301">
        <f>+('[2]3월'!$BJ$8+'[2]3월'!$BA$8+'[2]3월'!$AP$8+'[2]3월'!$AH$8)/1000</f>
        <v>241.14623900000001</v>
      </c>
      <c r="G11" s="273">
        <f t="shared" si="0"/>
        <v>117.61290566666329</v>
      </c>
      <c r="H11" s="274">
        <f>+'[3]3월'!$F$8/1000-H9-H33-H10</f>
        <v>141.06232699999737</v>
      </c>
      <c r="I11" s="275">
        <f t="shared" si="1"/>
        <v>100.08391200000264</v>
      </c>
      <c r="J11" s="300">
        <f>+'[1]3월누계'!$E$8/1000-J9-J33-J10</f>
        <v>365.90000000000691</v>
      </c>
      <c r="K11" s="301">
        <f>+('[2]3월누계'!$BJ$8+'[2]3월누계'!$BA$8+'[2]3월누계'!$AP$8+'[2]3월누계'!$AH$8)/1000</f>
        <v>350.47234299999997</v>
      </c>
      <c r="L11" s="273">
        <f t="shared" si="4"/>
        <v>-15.427657000006946</v>
      </c>
      <c r="M11" s="274">
        <f>+'[3]3월누계'!$F$8/1000-M9-M33-M10</f>
        <v>472.83429400000159</v>
      </c>
      <c r="N11" s="275">
        <f t="shared" si="5"/>
        <v>-122.36195100000162</v>
      </c>
      <c r="O11" s="82"/>
      <c r="P11" s="85"/>
      <c r="Q11" s="92"/>
      <c r="R11" s="164" t="s">
        <v>104</v>
      </c>
      <c r="S11" s="177">
        <f>+[4]중부권!$T$5/1000</f>
        <v>46.5</v>
      </c>
      <c r="T11" s="94">
        <f>+[4]중부권!$U$5/1000</f>
        <v>48.530999999999999</v>
      </c>
      <c r="U11" s="273">
        <f t="shared" si="6"/>
        <v>2.0309999999999988</v>
      </c>
      <c r="V11" s="274">
        <f>+[5]중부권!$T$5/1000</f>
        <v>55.119</v>
      </c>
      <c r="W11" s="275">
        <f t="shared" si="7"/>
        <v>-6.588000000000001</v>
      </c>
      <c r="X11" s="86"/>
      <c r="Y11" s="211"/>
    </row>
    <row r="12" spans="1:29" ht="21.75" customHeight="1" x14ac:dyDescent="0.3">
      <c r="B12" s="211"/>
      <c r="C12" s="98" t="s">
        <v>8</v>
      </c>
      <c r="D12" s="99"/>
      <c r="E12" s="300">
        <f>SUM(E9:E11)</f>
        <v>27762.664577133135</v>
      </c>
      <c r="F12" s="301">
        <f>SUM(F9:F11)</f>
        <v>26091.869048000004</v>
      </c>
      <c r="G12" s="273">
        <f t="shared" si="0"/>
        <v>-1670.7955291331309</v>
      </c>
      <c r="H12" s="274">
        <f>SUM(H9:H11)</f>
        <v>27303.626952000002</v>
      </c>
      <c r="I12" s="275">
        <f t="shared" si="1"/>
        <v>-1211.7579039999982</v>
      </c>
      <c r="J12" s="300">
        <f>SUM(J9:J11)</f>
        <v>67336.966714367867</v>
      </c>
      <c r="K12" s="301">
        <f>SUM(K9:K11)</f>
        <v>64903.175156000012</v>
      </c>
      <c r="L12" s="273">
        <f t="shared" si="4"/>
        <v>-2433.791558367855</v>
      </c>
      <c r="M12" s="274">
        <f>SUM(M9:M11)</f>
        <v>68926.890221999987</v>
      </c>
      <c r="N12" s="275">
        <f t="shared" si="5"/>
        <v>-4023.7150659999752</v>
      </c>
      <c r="O12" s="82"/>
      <c r="P12" s="85"/>
      <c r="Q12" s="95" t="s">
        <v>58</v>
      </c>
      <c r="R12" s="165"/>
      <c r="S12" s="178">
        <f>SUM(S9:S11)</f>
        <v>258.5</v>
      </c>
      <c r="T12" s="96">
        <f>SUM(T9:T11)</f>
        <v>238.27700000000002</v>
      </c>
      <c r="U12" s="276">
        <f t="shared" si="6"/>
        <v>-20.222999999999985</v>
      </c>
      <c r="V12" s="277">
        <f>SUM(V9:V11)</f>
        <v>265.92700000000002</v>
      </c>
      <c r="W12" s="278">
        <f t="shared" si="7"/>
        <v>-27.650000000000006</v>
      </c>
      <c r="X12" s="86"/>
      <c r="AA12" s="460"/>
      <c r="AB12" s="460"/>
      <c r="AC12" s="211"/>
    </row>
    <row r="13" spans="1:29" ht="21.75" customHeight="1" x14ac:dyDescent="0.3">
      <c r="B13" s="211"/>
      <c r="C13" s="83" t="s">
        <v>5</v>
      </c>
      <c r="D13" s="91" t="s">
        <v>40</v>
      </c>
      <c r="E13" s="295">
        <f>+('[1]3월'!$Z$10+'[1]3월'!$Z$19)/1000</f>
        <v>23656.081237294919</v>
      </c>
      <c r="F13" s="296">
        <f>+('[2]3월'!$Z$10+'[2]3월'!$Z$19)/1000</f>
        <v>22378.737045999995</v>
      </c>
      <c r="G13" s="297">
        <f t="shared" si="0"/>
        <v>-1277.3441912949238</v>
      </c>
      <c r="H13" s="298">
        <f>+('[3]3월'!$Z$10+'[3]3월'!$Z$19)/1000</f>
        <v>23517.883232</v>
      </c>
      <c r="I13" s="299">
        <f t="shared" si="1"/>
        <v>-1139.1461860000054</v>
      </c>
      <c r="J13" s="295">
        <f>+('[1]3월누계'!$Z$10+'[1]3월누계'!$Z$19)/1000</f>
        <v>59117.457231491324</v>
      </c>
      <c r="K13" s="296">
        <f>+('[2]3월누계'!$Z$10+'[2]3월누계'!$Z$19)/1000</f>
        <v>57534.950698999994</v>
      </c>
      <c r="L13" s="297">
        <f t="shared" si="4"/>
        <v>-1582.5065324913303</v>
      </c>
      <c r="M13" s="298">
        <f>+('[3]3월누계'!$Z$10+'[3]3월누계'!$Z$19)/1000</f>
        <v>60218.07583799999</v>
      </c>
      <c r="N13" s="299">
        <f t="shared" si="5"/>
        <v>-2683.1251389999961</v>
      </c>
      <c r="O13" s="82"/>
      <c r="P13" s="85"/>
      <c r="Q13" s="88" t="s">
        <v>59</v>
      </c>
      <c r="R13" s="162" t="s">
        <v>16</v>
      </c>
      <c r="S13" s="175">
        <f>+[4]수도권!$T$61</f>
        <v>100185.21521878584</v>
      </c>
      <c r="T13" s="89">
        <f>+[4]수도권!$U$61</f>
        <v>98854.893882140779</v>
      </c>
      <c r="U13" s="267">
        <f t="shared" si="6"/>
        <v>-1330.3213366450655</v>
      </c>
      <c r="V13" s="268">
        <f>+[5]수도권!$Q$85</f>
        <v>93007.035524840423</v>
      </c>
      <c r="W13" s="269">
        <f t="shared" si="7"/>
        <v>5847.8583573003561</v>
      </c>
      <c r="X13" s="86"/>
      <c r="AA13" s="460"/>
      <c r="AB13" s="460"/>
      <c r="AC13" s="211"/>
    </row>
    <row r="14" spans="1:29" ht="21.75" customHeight="1" x14ac:dyDescent="0.3">
      <c r="A14" s="211"/>
      <c r="B14" s="211"/>
      <c r="C14" s="83"/>
      <c r="D14" s="87" t="s">
        <v>1</v>
      </c>
      <c r="E14" s="293">
        <f>+('[1]3월'!$AE$10+'[1]3월'!$AE$19)/1000</f>
        <v>1207.5406667825191</v>
      </c>
      <c r="F14" s="294">
        <f>+('[2]3월'!$AN$10+'[2]3월'!$AN$19)/1000</f>
        <v>1411.2819259999999</v>
      </c>
      <c r="G14" s="270">
        <f t="shared" si="0"/>
        <v>203.74125921748077</v>
      </c>
      <c r="H14" s="271">
        <f>+('[3]3월'!$AN$10+'[3]3월'!$AN$19)/1000</f>
        <v>1364.75044101</v>
      </c>
      <c r="I14" s="272">
        <f t="shared" si="1"/>
        <v>46.531484989999853</v>
      </c>
      <c r="J14" s="293">
        <f>+('[1]3월누계'!$AE$10+'[1]3월누계'!$AE$19)/1000</f>
        <v>3770.6352923424365</v>
      </c>
      <c r="K14" s="294">
        <f>+('[2]3월누계'!$AN$10+'[2]3월누계'!$AN$19)/1000</f>
        <v>3815.9292989999999</v>
      </c>
      <c r="L14" s="270">
        <f t="shared" si="4"/>
        <v>45.294006657563386</v>
      </c>
      <c r="M14" s="271">
        <f>+('[3]3월누계'!$AN$10+'[3]3월누계'!$AN$19)/1000</f>
        <v>3941.0664880099994</v>
      </c>
      <c r="N14" s="272">
        <f t="shared" si="5"/>
        <v>-125.13718900999947</v>
      </c>
      <c r="O14" s="82"/>
      <c r="P14" s="85"/>
      <c r="Q14" s="92"/>
      <c r="R14" s="163" t="s">
        <v>17</v>
      </c>
      <c r="S14" s="176">
        <f>+[4]영남권!$T$61</f>
        <v>103621.40963537958</v>
      </c>
      <c r="T14" s="93">
        <f>+[4]영남권!$U$61</f>
        <v>106535.27852367536</v>
      </c>
      <c r="U14" s="270">
        <f t="shared" si="6"/>
        <v>2913.8688882957795</v>
      </c>
      <c r="V14" s="271">
        <f>+[5]영남권!$Q$85</f>
        <v>98256.721109491045</v>
      </c>
      <c r="W14" s="272">
        <f t="shared" si="7"/>
        <v>8278.5574141843099</v>
      </c>
      <c r="X14" s="86"/>
      <c r="Y14" s="211"/>
      <c r="AB14" s="460"/>
      <c r="AC14" s="211"/>
    </row>
    <row r="15" spans="1:29" ht="21.75" customHeight="1" x14ac:dyDescent="0.3">
      <c r="C15" s="83"/>
      <c r="D15" s="97" t="s">
        <v>4</v>
      </c>
      <c r="E15" s="300">
        <f>+('[1]3월'!$AL$10+'[1]3월'!$AL$19+'[1]3월'!$AV$10+'[1]3월'!$AV$19)/1000</f>
        <v>-312.16935899999999</v>
      </c>
      <c r="F15" s="301">
        <f>+('[2]3월'!$AH$10+'[2]3월'!$AH$19+'[2]3월'!$AP$10+'[2]3월'!$AP$19+'[2]3월'!$BA$10+'[2]3월'!$BA$19+'[2]3월'!$BJ$10+'[2]3월'!$BJ$19)/1000</f>
        <v>-127.22809500000001</v>
      </c>
      <c r="G15" s="273">
        <f t="shared" si="0"/>
        <v>184.94126399999999</v>
      </c>
      <c r="H15" s="274">
        <f>+('[3]3월'!$F$10+'[3]3월'!$F$19)/1000-H13-H14-('[3]3월'!$AO$10+'[3]3월'!$AO$19)/1000</f>
        <v>22.176475999989634</v>
      </c>
      <c r="I15" s="275">
        <f t="shared" si="1"/>
        <v>-149.40457099998963</v>
      </c>
      <c r="J15" s="300">
        <f>+('[1]3월누계'!$AL$10+'[1]3월누계'!$AL$19+'[1]3월누계'!$AV$10+'[1]3월누계'!$AV$19)/1000</f>
        <v>-273.59543299999996</v>
      </c>
      <c r="K15" s="301">
        <f>+('[2]3월누계'!$AH$10+'[2]3월누계'!$AH$19+'[2]3월누계'!$AP$10+'[2]3월누계'!$AP$19+'[2]3월누계'!$BA$10+'[2]3월누계'!$BA$19+'[2]3월누계'!$BJ$10+'[2]3월누계'!$BJ$19)/1000</f>
        <v>-449.81201299999998</v>
      </c>
      <c r="L15" s="273">
        <f t="shared" si="4"/>
        <v>-176.21658000000002</v>
      </c>
      <c r="M15" s="274">
        <f>+('[3]3월누계'!$F$10+'[3]3월누계'!$F$19)/1000-M13-M14-('[3]3월누계'!$AO$10+'[3]3월누계'!$AO$19)/1000</f>
        <v>381.60008800000651</v>
      </c>
      <c r="N15" s="275">
        <f t="shared" si="5"/>
        <v>-831.41210100000649</v>
      </c>
      <c r="O15" s="82"/>
      <c r="P15" s="85"/>
      <c r="Q15" s="92"/>
      <c r="R15" s="164" t="s">
        <v>103</v>
      </c>
      <c r="S15" s="177">
        <f>+[4]중부권!$T$61</f>
        <v>103534.45512860215</v>
      </c>
      <c r="T15" s="94">
        <f>+[4]중부권!$U$61</f>
        <v>103857.20377525681</v>
      </c>
      <c r="U15" s="273">
        <f t="shared" si="6"/>
        <v>322.74864665466885</v>
      </c>
      <c r="V15" s="274">
        <f>+[5]중부권!$Q$85</f>
        <v>102574.0157361422</v>
      </c>
      <c r="W15" s="275">
        <f t="shared" si="7"/>
        <v>1283.1880391146115</v>
      </c>
      <c r="X15" s="86"/>
      <c r="AB15" s="460"/>
    </row>
    <row r="16" spans="1:29" ht="21.75" customHeight="1" x14ac:dyDescent="0.3">
      <c r="C16" s="83" t="s">
        <v>8</v>
      </c>
      <c r="D16" s="102"/>
      <c r="E16" s="293">
        <f>SUM(E13:E15)</f>
        <v>24551.452545077438</v>
      </c>
      <c r="F16" s="294">
        <f>SUM(F13:F15)</f>
        <v>23662.790876999996</v>
      </c>
      <c r="G16" s="270">
        <f t="shared" si="0"/>
        <v>-888.6616680774423</v>
      </c>
      <c r="H16" s="271">
        <f>SUM(H13:H15)</f>
        <v>24904.810149009991</v>
      </c>
      <c r="I16" s="272">
        <f t="shared" si="1"/>
        <v>-1242.0192720099949</v>
      </c>
      <c r="J16" s="293">
        <f>SUM(J13:J15)</f>
        <v>62614.497090833756</v>
      </c>
      <c r="K16" s="294">
        <f>SUM(K13:K15)</f>
        <v>60901.067984999994</v>
      </c>
      <c r="L16" s="270">
        <f t="shared" si="4"/>
        <v>-1713.4291058337622</v>
      </c>
      <c r="M16" s="271">
        <f>SUM(M13:M15)</f>
        <v>64540.742414009997</v>
      </c>
      <c r="N16" s="272">
        <f t="shared" si="5"/>
        <v>-3639.6744290100032</v>
      </c>
      <c r="O16" s="82"/>
      <c r="P16" s="85"/>
      <c r="Q16" s="95" t="s">
        <v>58</v>
      </c>
      <c r="R16" s="165"/>
      <c r="S16" s="178">
        <f>+[4]합계!$T$61</f>
        <v>102249.90009937297</v>
      </c>
      <c r="T16" s="96">
        <f>+[4]합계!$U$61</f>
        <v>102799.58381374026</v>
      </c>
      <c r="U16" s="276">
        <f>+T16-S16</f>
        <v>549.68371436728921</v>
      </c>
      <c r="V16" s="277">
        <f>+[5]합계!$Q$85</f>
        <v>97314.828773584901</v>
      </c>
      <c r="W16" s="278">
        <f>+T16-V16</f>
        <v>5484.7550401553599</v>
      </c>
      <c r="X16" s="86"/>
    </row>
    <row r="17" spans="2:27" ht="21.75" customHeight="1" x14ac:dyDescent="0.3">
      <c r="C17" s="90" t="s">
        <v>15</v>
      </c>
      <c r="D17" s="91" t="s">
        <v>40</v>
      </c>
      <c r="E17" s="295">
        <f t="shared" ref="E17:F19" si="8">+E9-E13</f>
        <v>2775.5179383929935</v>
      </c>
      <c r="F17" s="296">
        <f t="shared" si="8"/>
        <v>2106.5615630000066</v>
      </c>
      <c r="G17" s="297">
        <f t="shared" si="0"/>
        <v>-668.95637539298696</v>
      </c>
      <c r="H17" s="298">
        <f>+H9-H13</f>
        <v>2361.2643930000049</v>
      </c>
      <c r="I17" s="299">
        <f t="shared" si="1"/>
        <v>-254.70282999999836</v>
      </c>
      <c r="J17" s="295">
        <f t="shared" ref="J17:K17" si="9">+J9-J13</f>
        <v>4185.321169333416</v>
      </c>
      <c r="K17" s="296">
        <f t="shared" si="9"/>
        <v>3478.0491140000158</v>
      </c>
      <c r="L17" s="297">
        <f t="shared" si="4"/>
        <v>-707.2720553334002</v>
      </c>
      <c r="M17" s="298">
        <f>+M9-M13</f>
        <v>4658.2315899999958</v>
      </c>
      <c r="N17" s="299">
        <f t="shared" si="5"/>
        <v>-1180.1824759999799</v>
      </c>
      <c r="O17" s="82"/>
      <c r="P17" s="85"/>
      <c r="Q17" s="159" t="s">
        <v>60</v>
      </c>
      <c r="R17" s="166" t="s">
        <v>16</v>
      </c>
      <c r="S17" s="179">
        <f>+[4]수도권!$Q$90</f>
        <v>17861.213678101049</v>
      </c>
      <c r="T17" s="100">
        <f>+[4]수도권!$R$90</f>
        <v>14219.626921056566</v>
      </c>
      <c r="U17" s="279">
        <f t="shared" si="6"/>
        <v>-3641.5867570444825</v>
      </c>
      <c r="V17" s="280">
        <f>+[5]수도권!$Q$90</f>
        <v>12300.180224258656</v>
      </c>
      <c r="W17" s="281">
        <f t="shared" si="7"/>
        <v>1919.4466967979097</v>
      </c>
      <c r="X17" s="86"/>
    </row>
    <row r="18" spans="2:27" ht="21.75" customHeight="1" x14ac:dyDescent="0.3">
      <c r="C18" s="83"/>
      <c r="D18" s="87" t="s">
        <v>1</v>
      </c>
      <c r="E18" s="293">
        <f t="shared" si="8"/>
        <v>-8.5986706310450245E-3</v>
      </c>
      <c r="F18" s="294">
        <f t="shared" si="8"/>
        <v>-45.857725999999957</v>
      </c>
      <c r="G18" s="270">
        <f t="shared" si="0"/>
        <v>-45.849127329368912</v>
      </c>
      <c r="H18" s="271">
        <f>+H10-H14</f>
        <v>-81.333441010000115</v>
      </c>
      <c r="I18" s="272">
        <f t="shared" si="1"/>
        <v>35.475715010000158</v>
      </c>
      <c r="J18" s="293">
        <f t="shared" ref="J18:K18" si="10">+J10-J14</f>
        <v>-102.34697879931264</v>
      </c>
      <c r="K18" s="294">
        <f t="shared" si="10"/>
        <v>-276.22629899999993</v>
      </c>
      <c r="L18" s="270">
        <f t="shared" si="4"/>
        <v>-173.87932020068729</v>
      </c>
      <c r="M18" s="271">
        <f>+M10-M14</f>
        <v>-363.31798800999923</v>
      </c>
      <c r="N18" s="272">
        <f t="shared" si="5"/>
        <v>87.0916890099993</v>
      </c>
      <c r="O18" s="82"/>
      <c r="P18" s="85"/>
      <c r="Q18" s="160"/>
      <c r="R18" s="167" t="s">
        <v>17</v>
      </c>
      <c r="S18" s="180">
        <f>+[4]영남권!$Q$90</f>
        <v>23276.341161182281</v>
      </c>
      <c r="T18" s="101">
        <f>+[4]영남권!$R$90</f>
        <v>22651.542888062933</v>
      </c>
      <c r="U18" s="282">
        <f t="shared" si="6"/>
        <v>-624.79827311934787</v>
      </c>
      <c r="V18" s="283">
        <f>+[5]영남권!$Q$90</f>
        <v>20424.307027803457</v>
      </c>
      <c r="W18" s="284">
        <f t="shared" si="7"/>
        <v>2227.2358602594759</v>
      </c>
      <c r="X18" s="86"/>
    </row>
    <row r="19" spans="2:27" ht="21.75" customHeight="1" x14ac:dyDescent="0.3">
      <c r="C19" s="83"/>
      <c r="D19" s="97" t="s">
        <v>4</v>
      </c>
      <c r="E19" s="300">
        <f t="shared" si="8"/>
        <v>435.7026923333367</v>
      </c>
      <c r="F19" s="301">
        <f t="shared" si="8"/>
        <v>368.37433400000003</v>
      </c>
      <c r="G19" s="273">
        <f t="shared" si="0"/>
        <v>-67.328358333336666</v>
      </c>
      <c r="H19" s="274">
        <f>+H11-H15</f>
        <v>118.88585100000773</v>
      </c>
      <c r="I19" s="275">
        <f t="shared" si="1"/>
        <v>249.4884829999923</v>
      </c>
      <c r="J19" s="300">
        <f t="shared" ref="J19:K19" si="11">+J11-J15</f>
        <v>639.49543300000687</v>
      </c>
      <c r="K19" s="301">
        <f t="shared" si="11"/>
        <v>800.28435599999989</v>
      </c>
      <c r="L19" s="273">
        <f t="shared" si="4"/>
        <v>160.78892299999302</v>
      </c>
      <c r="M19" s="274">
        <f>+M11-M15</f>
        <v>91.234205999995083</v>
      </c>
      <c r="N19" s="275">
        <f t="shared" si="5"/>
        <v>709.05015000000481</v>
      </c>
      <c r="O19" s="82"/>
      <c r="P19" s="85"/>
      <c r="Q19" s="160"/>
      <c r="R19" s="168" t="s">
        <v>103</v>
      </c>
      <c r="S19" s="181">
        <f>+[4]중부권!$Q$90</f>
        <v>23262.909246058683</v>
      </c>
      <c r="T19" s="103">
        <f>+[4]중부권!$R$90</f>
        <v>22157.104484914948</v>
      </c>
      <c r="U19" s="285">
        <f t="shared" si="6"/>
        <v>-1105.804761143736</v>
      </c>
      <c r="V19" s="286">
        <f>+[5]중부권!$Q$90</f>
        <v>21953.416121547692</v>
      </c>
      <c r="W19" s="287">
        <f t="shared" si="7"/>
        <v>203.68836336725508</v>
      </c>
      <c r="X19" s="86"/>
    </row>
    <row r="20" spans="2:27" ht="21.75" customHeight="1" x14ac:dyDescent="0.3">
      <c r="C20" s="98" t="s">
        <v>8</v>
      </c>
      <c r="D20" s="99"/>
      <c r="E20" s="300">
        <f>SUM(E17:E19)</f>
        <v>3211.2120320556996</v>
      </c>
      <c r="F20" s="301">
        <f>SUM(F17:F19)</f>
        <v>2429.0781710000065</v>
      </c>
      <c r="G20" s="273">
        <f t="shared" si="0"/>
        <v>-782.13386105569316</v>
      </c>
      <c r="H20" s="274">
        <f>SUM(H17:H19)</f>
        <v>2398.8168029900125</v>
      </c>
      <c r="I20" s="275">
        <f t="shared" si="1"/>
        <v>30.26136800999393</v>
      </c>
      <c r="J20" s="300">
        <f>SUM(J17:J19)</f>
        <v>4722.4696235341107</v>
      </c>
      <c r="K20" s="301">
        <f>SUM(K17:K19)</f>
        <v>4002.107171000016</v>
      </c>
      <c r="L20" s="273">
        <f t="shared" si="4"/>
        <v>-720.3624525340947</v>
      </c>
      <c r="M20" s="274">
        <f>SUM(M17:M19)</f>
        <v>4386.1478079899916</v>
      </c>
      <c r="N20" s="275">
        <f t="shared" si="5"/>
        <v>-384.04063698997561</v>
      </c>
      <c r="O20" s="82"/>
      <c r="P20" s="85"/>
      <c r="Q20" s="161" t="s">
        <v>58</v>
      </c>
      <c r="R20" s="169"/>
      <c r="S20" s="182">
        <f>+[4]합계!$Q$90</f>
        <v>21137.201558367844</v>
      </c>
      <c r="T20" s="104">
        <f>+[4]합계!$R$90</f>
        <v>19049.612927725524</v>
      </c>
      <c r="U20" s="288">
        <f t="shared" si="6"/>
        <v>-2087.5886306423199</v>
      </c>
      <c r="V20" s="289">
        <f>+[5]합계!$Q$90</f>
        <v>17907.066270726078</v>
      </c>
      <c r="W20" s="290">
        <f t="shared" si="7"/>
        <v>1142.546656999446</v>
      </c>
      <c r="X20" s="86"/>
    </row>
    <row r="21" spans="2:27" ht="21.75" customHeight="1" x14ac:dyDescent="0.3">
      <c r="C21" s="90" t="s">
        <v>6</v>
      </c>
      <c r="D21" s="91" t="s">
        <v>40</v>
      </c>
      <c r="E21" s="295">
        <f>+('[1]3월'!$Z$13+'[1]3월'!$Z$20+'[1]3월'!$Z$22)/1000</f>
        <v>1997.8486699445152</v>
      </c>
      <c r="F21" s="296">
        <f>+('[2]3월'!$Z$13+'[2]3월'!$Z$20+'[2]3월'!$Z$22)/1000</f>
        <v>1986.6689956025809</v>
      </c>
      <c r="G21" s="297">
        <f t="shared" si="0"/>
        <v>-11.179674341934287</v>
      </c>
      <c r="H21" s="298">
        <f>+('[3]3월'!$Z$13+'[3]3월'!$Z$20+'[3]3월'!$Z$22)/1000</f>
        <v>2007.1221381556425</v>
      </c>
      <c r="I21" s="299">
        <f t="shared" si="1"/>
        <v>-20.453142553061525</v>
      </c>
      <c r="J21" s="295">
        <f>+('[1]3월누계'!$Z$13+'[1]3월누계'!$Z$20+'[1]3월누계'!$Z$22)/1000</f>
        <v>6445.8993559569699</v>
      </c>
      <c r="K21" s="296">
        <f>+('[2]3월누계'!$Z$13+'[2]3월누계'!$Z$20+'[2]3월누계'!$Z$22)/1000</f>
        <v>6705.0813800154247</v>
      </c>
      <c r="L21" s="297">
        <f t="shared" si="4"/>
        <v>259.18202405845477</v>
      </c>
      <c r="M21" s="298">
        <f>+('[3]3월누계'!$Z$13+'[3]3월누계'!$Z$20+'[3]3월누계'!$Z$22)/1000</f>
        <v>6253.0665331031214</v>
      </c>
      <c r="N21" s="299">
        <f t="shared" si="5"/>
        <v>452.01484691230326</v>
      </c>
      <c r="O21" s="82"/>
      <c r="P21" s="85"/>
      <c r="Q21" s="133" t="s">
        <v>87</v>
      </c>
      <c r="R21" s="138"/>
      <c r="S21" s="66"/>
      <c r="T21" s="139"/>
      <c r="U21" s="66"/>
      <c r="V21" s="523"/>
      <c r="W21" s="523"/>
      <c r="X21" s="86"/>
    </row>
    <row r="22" spans="2:27" ht="21.75" customHeight="1" x14ac:dyDescent="0.3">
      <c r="C22" s="83"/>
      <c r="D22" s="87" t="s">
        <v>1</v>
      </c>
      <c r="E22" s="293">
        <f>+('[1]3월'!$AE$13+'[1]3월'!$AE$20+'[1]3월'!$AE$22)/1000</f>
        <v>49.430094019377762</v>
      </c>
      <c r="F22" s="294">
        <f>+('[2]3월'!$AN$13+'[2]3월'!$AN$20+'[2]3월'!$AN$22)/1000</f>
        <v>48.928915393009319</v>
      </c>
      <c r="G22" s="270">
        <f t="shared" si="0"/>
        <v>-0.50117862636844279</v>
      </c>
      <c r="H22" s="271">
        <f>+('[3]3월'!$AN$13+'[3]3월'!$AN$20+'[3]3월'!$AN$22)/1000</f>
        <v>45.482029841646856</v>
      </c>
      <c r="I22" s="272">
        <f t="shared" si="1"/>
        <v>3.4468855513624632</v>
      </c>
      <c r="J22" s="293">
        <f>+('[1]3월누계'!$AE$13+'[1]3월누계'!$AE$20+'[1]3월누계'!$AE$22)/1000</f>
        <v>152.90765274852805</v>
      </c>
      <c r="K22" s="294">
        <f>+('[2]3월누계'!$AN$13+'[2]3월누계'!$AN$20+'[2]3월누계'!$AN$22)/1000</f>
        <v>155.83803898046045</v>
      </c>
      <c r="L22" s="270">
        <f t="shared" si="4"/>
        <v>2.9303862319324026</v>
      </c>
      <c r="M22" s="271">
        <f>+('[3]3월누계'!$AN$13+'[3]3월누계'!$AN$20+'[3]3월누계'!$AN$22)/1000</f>
        <v>141.72707398244327</v>
      </c>
      <c r="N22" s="272">
        <f t="shared" si="5"/>
        <v>14.110964998017181</v>
      </c>
      <c r="O22" s="82"/>
      <c r="P22" s="85"/>
      <c r="Q22" s="513" t="s">
        <v>11</v>
      </c>
      <c r="R22" s="514"/>
      <c r="S22" s="515" t="s">
        <v>12</v>
      </c>
      <c r="T22" s="516" t="s">
        <v>13</v>
      </c>
      <c r="U22" s="517" t="s">
        <v>91</v>
      </c>
      <c r="V22" s="516" t="s">
        <v>14</v>
      </c>
      <c r="W22" s="518" t="s">
        <v>92</v>
      </c>
      <c r="X22" s="86"/>
    </row>
    <row r="23" spans="2:27" ht="21.75" customHeight="1" x14ac:dyDescent="0.3">
      <c r="C23" s="83"/>
      <c r="D23" s="97" t="s">
        <v>4</v>
      </c>
      <c r="E23" s="300">
        <f>+('[1]3월'!$AL$13+'[1]3월'!$AV$13+'[1]3월'!$AL$20+'[1]3월'!$AV$20+'[1]3월'!$AL$22+'[1]3월'!$AV$22)/1000</f>
        <v>38.376883999999997</v>
      </c>
      <c r="F23" s="301">
        <f>+('[2]3월'!$F$13+'[2]3월'!$F$20+'[2]3월'!$F$22)/1000-F21-F22-('[2]3월'!$AO$13+'[2]3월'!$AO$20+'[2]3월'!$AO$22)/1000</f>
        <v>-168.39279300000018</v>
      </c>
      <c r="G23" s="273">
        <f t="shared" si="0"/>
        <v>-206.76967700000017</v>
      </c>
      <c r="H23" s="274">
        <f>+('[3]3월'!$F$13+'[3]3월'!$F$20+'[3]3월'!$F$22)/1000-H21-H22-('[3]3월'!$AO$13+'[3]3월'!$AO$20+'[3]3월'!$AO$22)/1000</f>
        <v>537.35407600000019</v>
      </c>
      <c r="I23" s="275">
        <f t="shared" si="1"/>
        <v>-705.7468690000004</v>
      </c>
      <c r="J23" s="300">
        <f>+('[1]3월누계'!$AL$13+'[1]3월누계'!$AV$13+'[1]3월누계'!$AL$20+'[1]3월누계'!$AV$20+'[1]3월누계'!$AL$22+'[1]3월누계'!$AV$22)/1000</f>
        <v>157.14700199999999</v>
      </c>
      <c r="K23" s="301">
        <f>+('[2]3월누계'!$F$13+'[2]3월누계'!$F$20+'[2]3월누계'!$F$22)/1000-K21-K22-('[2]3월누계'!$AO$13+'[2]3월누계'!$AO$20+'[2]3월누계'!$AO$22)/1000</f>
        <v>-48.200134000000673</v>
      </c>
      <c r="L23" s="273">
        <f t="shared" si="4"/>
        <v>-205.34713600000066</v>
      </c>
      <c r="M23" s="274">
        <f>+('[3]3월누계'!$F$13+'[3]3월누계'!$F$20+'[3]3월누계'!$F$22)/1000-M21-M22-('[3]3월누계'!$AO$13+'[3]3월누계'!$AO$20+'[3]3월누계'!$AO$22)/1000</f>
        <v>1094.3862759100007</v>
      </c>
      <c r="N23" s="275">
        <f t="shared" si="5"/>
        <v>-1142.5864099100013</v>
      </c>
      <c r="O23" s="82"/>
      <c r="P23" s="85"/>
      <c r="Q23" s="543" t="s">
        <v>88</v>
      </c>
      <c r="R23" s="544" t="s">
        <v>89</v>
      </c>
      <c r="S23" s="189">
        <f>+[6]원가손익!$W$10+[7]원가손익!$U$27+[8]손익!$F$10</f>
        <v>42198.803916083918</v>
      </c>
      <c r="T23" s="195">
        <f>+[6]원가손익!$X$10+[7]원가손익!$V$27+[8]손익!$G$10</f>
        <v>51616</v>
      </c>
      <c r="U23" s="192">
        <f>+T23-S23</f>
        <v>9417.196083916082</v>
      </c>
      <c r="V23" s="173">
        <f>+[9]원가손익!$X$10+[10]원가손익!$V$27+[11]손익!$Y$25</f>
        <v>31410</v>
      </c>
      <c r="W23" s="170">
        <f>+T23-V23</f>
        <v>20206</v>
      </c>
      <c r="X23" s="86"/>
    </row>
    <row r="24" spans="2:27" ht="21.75" customHeight="1" x14ac:dyDescent="0.3">
      <c r="C24" s="98" t="s">
        <v>8</v>
      </c>
      <c r="D24" s="99"/>
      <c r="E24" s="300">
        <f>SUM(E21:E23)</f>
        <v>2085.655647963893</v>
      </c>
      <c r="F24" s="301">
        <f>SUM(F21:F23)</f>
        <v>1867.2051179955899</v>
      </c>
      <c r="G24" s="273">
        <f t="shared" si="0"/>
        <v>-218.45052996830304</v>
      </c>
      <c r="H24" s="274">
        <f>SUM(H21:H23)</f>
        <v>2589.9582439972892</v>
      </c>
      <c r="I24" s="275">
        <f t="shared" si="1"/>
        <v>-722.75312600169923</v>
      </c>
      <c r="J24" s="300">
        <f>SUM(J21:J23)</f>
        <v>6755.9540107054972</v>
      </c>
      <c r="K24" s="301">
        <f>SUM(K21:K23)</f>
        <v>6812.7192849958847</v>
      </c>
      <c r="L24" s="273">
        <f t="shared" si="4"/>
        <v>56.765274290387424</v>
      </c>
      <c r="M24" s="274">
        <f>SUM(M21:M23)</f>
        <v>7489.179882995566</v>
      </c>
      <c r="N24" s="275">
        <f t="shared" si="5"/>
        <v>-676.46059799968134</v>
      </c>
      <c r="O24" s="82"/>
      <c r="P24" s="85"/>
      <c r="Q24" s="545"/>
      <c r="R24" s="546" t="s">
        <v>90</v>
      </c>
      <c r="S24" s="191">
        <f>+[6]원가손익!$W$14+[7]원가손익!$U$29+[8]손익!$F$12</f>
        <v>25160</v>
      </c>
      <c r="T24" s="130">
        <f>+[6]원가손익!$X$14+[7]원가손익!$V$29+[8]손익!$G$12</f>
        <v>19447</v>
      </c>
      <c r="U24" s="194">
        <f>+T24-S24</f>
        <v>-5713</v>
      </c>
      <c r="V24" s="65">
        <f>+[9]원가손익!$X$14+[10]원가손익!$V$29+[11]손익!$Y$27</f>
        <v>26527</v>
      </c>
      <c r="W24" s="172">
        <f>+T24-V24</f>
        <v>-7080</v>
      </c>
      <c r="X24" s="86"/>
    </row>
    <row r="25" spans="2:27" ht="21.75" customHeight="1" x14ac:dyDescent="0.3">
      <c r="C25" s="83" t="s">
        <v>7</v>
      </c>
      <c r="D25" s="91" t="s">
        <v>40</v>
      </c>
      <c r="E25" s="295">
        <f>+E17-E21</f>
        <v>777.66926844847831</v>
      </c>
      <c r="F25" s="302">
        <f>+F17-F21</f>
        <v>119.89256739742564</v>
      </c>
      <c r="G25" s="297">
        <f t="shared" si="0"/>
        <v>-657.77670105105267</v>
      </c>
      <c r="H25" s="298">
        <f>+H17-H21</f>
        <v>354.14225484436247</v>
      </c>
      <c r="I25" s="299">
        <f t="shared" si="1"/>
        <v>-234.24968744693683</v>
      </c>
      <c r="J25" s="295">
        <f>+J17-J21</f>
        <v>-2260.5781866235538</v>
      </c>
      <c r="K25" s="302">
        <f>+K17-K21</f>
        <v>-3227.0322660154088</v>
      </c>
      <c r="L25" s="297">
        <f t="shared" si="4"/>
        <v>-966.45407939185498</v>
      </c>
      <c r="M25" s="298">
        <f>+M17-M21</f>
        <v>-1594.8349431031256</v>
      </c>
      <c r="N25" s="299">
        <f t="shared" si="5"/>
        <v>-1632.1973229122832</v>
      </c>
      <c r="O25" s="82"/>
      <c r="P25" s="85"/>
      <c r="Q25" s="511" t="s">
        <v>98</v>
      </c>
      <c r="R25" s="512"/>
      <c r="S25" s="191">
        <f>SUM(S23:S24)</f>
        <v>67358.803916083911</v>
      </c>
      <c r="T25" s="130">
        <f>SUM(T23:T24)</f>
        <v>71063</v>
      </c>
      <c r="U25" s="194">
        <f>+T25-S25</f>
        <v>3704.1960839160893</v>
      </c>
      <c r="V25" s="65">
        <f>SUM(V23:V24)</f>
        <v>57937</v>
      </c>
      <c r="W25" s="172">
        <f>+T25-V25</f>
        <v>13126</v>
      </c>
      <c r="X25" s="86"/>
    </row>
    <row r="26" spans="2:27" ht="21.75" customHeight="1" x14ac:dyDescent="0.3">
      <c r="C26" s="83"/>
      <c r="D26" s="105" t="s">
        <v>10</v>
      </c>
      <c r="E26" s="183">
        <f>+E25/E9</f>
        <v>2.9421952991924433E-2</v>
      </c>
      <c r="F26" s="187">
        <f>+F25/F9</f>
        <v>4.896512364907693E-3</v>
      </c>
      <c r="G26" s="185">
        <f t="shared" si="0"/>
        <v>-2.452544062701674E-2</v>
      </c>
      <c r="H26" s="106">
        <f>+H25/H9</f>
        <v>1.3684463645249691E-2</v>
      </c>
      <c r="I26" s="107">
        <f t="shared" si="1"/>
        <v>-8.7879512803419983E-3</v>
      </c>
      <c r="J26" s="183">
        <f>+J25/J9</f>
        <v>-3.5710568220400606E-2</v>
      </c>
      <c r="K26" s="187">
        <f>+K25/K9</f>
        <v>-5.2890896627046796E-2</v>
      </c>
      <c r="L26" s="185">
        <f t="shared" si="4"/>
        <v>-1.7180328406646191E-2</v>
      </c>
      <c r="M26" s="106">
        <f>+M25/M9</f>
        <v>-2.4582702165549117E-2</v>
      </c>
      <c r="N26" s="107">
        <f t="shared" si="5"/>
        <v>-2.8308194461497679E-2</v>
      </c>
      <c r="O26" s="82"/>
      <c r="P26" s="85"/>
      <c r="Q26" s="133" t="s">
        <v>110</v>
      </c>
      <c r="R26" s="523"/>
      <c r="S26" s="523"/>
      <c r="T26" s="523"/>
      <c r="U26" s="523"/>
      <c r="V26" s="523"/>
      <c r="W26" s="523"/>
      <c r="X26" s="86"/>
    </row>
    <row r="27" spans="2:27" ht="21.75" customHeight="1" x14ac:dyDescent="0.3">
      <c r="C27" s="83"/>
      <c r="D27" s="87" t="s">
        <v>1</v>
      </c>
      <c r="E27" s="293">
        <f>+E18-E22</f>
        <v>-49.438692690008807</v>
      </c>
      <c r="F27" s="294">
        <f>+F18-F22</f>
        <v>-94.786641393009276</v>
      </c>
      <c r="G27" s="270">
        <f t="shared" si="0"/>
        <v>-45.347948703000469</v>
      </c>
      <c r="H27" s="271">
        <f>+H18-H22</f>
        <v>-126.81547085164698</v>
      </c>
      <c r="I27" s="272">
        <f t="shared" si="1"/>
        <v>32.028829458637702</v>
      </c>
      <c r="J27" s="293">
        <f>+J18-J22</f>
        <v>-255.25463154784069</v>
      </c>
      <c r="K27" s="294">
        <f>+K18-K22</f>
        <v>-432.06433798046038</v>
      </c>
      <c r="L27" s="270">
        <f t="shared" si="4"/>
        <v>-176.80970643261969</v>
      </c>
      <c r="M27" s="271">
        <f>+M18-M22</f>
        <v>-505.04506199244247</v>
      </c>
      <c r="N27" s="272">
        <f t="shared" si="5"/>
        <v>72.98072401198209</v>
      </c>
      <c r="O27" s="82"/>
      <c r="P27" s="85"/>
      <c r="Q27" s="513" t="s">
        <v>11</v>
      </c>
      <c r="R27" s="514"/>
      <c r="S27" s="515" t="s">
        <v>12</v>
      </c>
      <c r="T27" s="516" t="s">
        <v>13</v>
      </c>
      <c r="U27" s="517" t="s">
        <v>91</v>
      </c>
      <c r="V27" s="516" t="s">
        <v>14</v>
      </c>
      <c r="W27" s="518" t="s">
        <v>92</v>
      </c>
      <c r="X27" s="86"/>
    </row>
    <row r="28" spans="2:27" ht="21.75" customHeight="1" x14ac:dyDescent="0.3">
      <c r="B28" s="80"/>
      <c r="C28" s="83"/>
      <c r="D28" s="97" t="s">
        <v>4</v>
      </c>
      <c r="E28" s="300">
        <f>+E19-E23</f>
        <v>397.32580833333668</v>
      </c>
      <c r="F28" s="301">
        <f>+F19-F23</f>
        <v>536.76712700000019</v>
      </c>
      <c r="G28" s="273">
        <f t="shared" si="0"/>
        <v>139.44131866666351</v>
      </c>
      <c r="H28" s="274">
        <f>+H19-H23</f>
        <v>-418.46822499999246</v>
      </c>
      <c r="I28" s="275">
        <f t="shared" si="1"/>
        <v>955.23535199999264</v>
      </c>
      <c r="J28" s="300">
        <f>+J19-J23</f>
        <v>482.34843100000688</v>
      </c>
      <c r="K28" s="301">
        <f>+K19-K23</f>
        <v>848.48449000000051</v>
      </c>
      <c r="L28" s="273">
        <f t="shared" si="4"/>
        <v>366.13605899999362</v>
      </c>
      <c r="M28" s="274">
        <f>+M19-M23</f>
        <v>-1003.1520699100056</v>
      </c>
      <c r="N28" s="275">
        <f t="shared" si="5"/>
        <v>1851.6365599100061</v>
      </c>
      <c r="O28" s="82"/>
      <c r="P28" s="85"/>
      <c r="Q28" s="590" t="s">
        <v>102</v>
      </c>
      <c r="R28" s="591"/>
      <c r="S28" s="215">
        <f>+'사업장별(당월)'!T32</f>
        <v>32.447923666666668</v>
      </c>
      <c r="T28" s="216">
        <f>+'사업장별(당월)'!U32</f>
        <v>26.803492999999996</v>
      </c>
      <c r="U28" s="217">
        <f>+T28-S28</f>
        <v>-5.6444306666666719</v>
      </c>
      <c r="V28" s="218">
        <f>+'사업장별(당월)'!W32</f>
        <v>46.568992000000001</v>
      </c>
      <c r="W28" s="219">
        <f>+T28-V28</f>
        <v>-19.765499000000005</v>
      </c>
      <c r="X28" s="86"/>
    </row>
    <row r="29" spans="2:27" ht="21.75" customHeight="1" x14ac:dyDescent="0.3">
      <c r="C29" s="83" t="s">
        <v>8</v>
      </c>
      <c r="D29" s="102"/>
      <c r="E29" s="293">
        <f>+E25+E27+E28</f>
        <v>1125.5563840918062</v>
      </c>
      <c r="F29" s="303">
        <f>+F25+F27+F28</f>
        <v>561.87305300441653</v>
      </c>
      <c r="G29" s="270">
        <f t="shared" si="0"/>
        <v>-563.68333108738966</v>
      </c>
      <c r="H29" s="271">
        <f>+H25+H27+H28</f>
        <v>-191.14144100727697</v>
      </c>
      <c r="I29" s="272">
        <f t="shared" si="1"/>
        <v>753.0144940116935</v>
      </c>
      <c r="J29" s="293">
        <f>+J25+J27+J28</f>
        <v>-2033.4843871713877</v>
      </c>
      <c r="K29" s="303">
        <f>+K25+K27+K28</f>
        <v>-2810.6121139958686</v>
      </c>
      <c r="L29" s="270">
        <f t="shared" si="4"/>
        <v>-777.12772682448099</v>
      </c>
      <c r="M29" s="271">
        <f>+M25+M27+M28</f>
        <v>-3103.0320750055735</v>
      </c>
      <c r="N29" s="272">
        <f t="shared" si="5"/>
        <v>292.41996100970482</v>
      </c>
      <c r="O29" s="82"/>
      <c r="P29" s="85"/>
      <c r="Q29" s="592" t="s">
        <v>44</v>
      </c>
      <c r="R29" s="593"/>
      <c r="S29" s="156">
        <f>+'사업장별(당월)'!T33</f>
        <v>76.544098666666656</v>
      </c>
      <c r="T29" s="225">
        <f>+'사업장별(당월)'!U33</f>
        <v>192.611896</v>
      </c>
      <c r="U29" s="157">
        <f>+T29-S29</f>
        <v>116.06779733333335</v>
      </c>
      <c r="V29" s="226">
        <f>+'사업장별(당월)'!W33</f>
        <v>76.003664999999998</v>
      </c>
      <c r="W29" s="158">
        <f>+T29-V29</f>
        <v>116.608231</v>
      </c>
      <c r="X29" s="86"/>
    </row>
    <row r="30" spans="2:27" ht="21.75" customHeight="1" thickBot="1" x14ac:dyDescent="0.35">
      <c r="B30" s="211"/>
      <c r="C30" s="108"/>
      <c r="D30" s="109" t="s">
        <v>9</v>
      </c>
      <c r="E30" s="184">
        <f>+E29/E12</f>
        <v>4.0542087772759271E-2</v>
      </c>
      <c r="F30" s="188">
        <f>+F29/F12</f>
        <v>2.1534411811233785E-2</v>
      </c>
      <c r="G30" s="186">
        <f t="shared" si="0"/>
        <v>-1.9007675961525486E-2</v>
      </c>
      <c r="H30" s="110">
        <f>+H29/H12</f>
        <v>-7.0005879198139194E-3</v>
      </c>
      <c r="I30" s="111">
        <f t="shared" si="1"/>
        <v>2.8534999731047703E-2</v>
      </c>
      <c r="J30" s="184">
        <f>+J29/J12</f>
        <v>-3.0198633624188741E-2</v>
      </c>
      <c r="K30" s="188">
        <f>+K29/K12</f>
        <v>-4.3304693603053099E-2</v>
      </c>
      <c r="L30" s="186">
        <f t="shared" si="4"/>
        <v>-1.3106059978864357E-2</v>
      </c>
      <c r="M30" s="110">
        <f>+M29/M12</f>
        <v>-4.501917996026393E-2</v>
      </c>
      <c r="N30" s="111">
        <f t="shared" si="5"/>
        <v>1.7144863572108315E-3</v>
      </c>
      <c r="O30" s="82"/>
      <c r="P30" s="85"/>
      <c r="Q30" s="594" t="s">
        <v>29</v>
      </c>
      <c r="R30" s="595"/>
      <c r="S30" s="232">
        <f>+'사업장별(당월)'!T34</f>
        <v>-1289.5108579445152</v>
      </c>
      <c r="T30" s="233">
        <f>+'사업장별(당월)'!U34</f>
        <v>-1294.5632226025809</v>
      </c>
      <c r="U30" s="234">
        <f>+T30-S30</f>
        <v>-5.0523646580656987</v>
      </c>
      <c r="V30" s="235">
        <f>+'사업장별(당월)'!W34</f>
        <v>-1338.7444811556422</v>
      </c>
      <c r="W30" s="236">
        <f>+T30-V30</f>
        <v>44.181258553061298</v>
      </c>
      <c r="X30" s="86"/>
      <c r="Z30" s="211"/>
      <c r="AA30" s="211"/>
    </row>
    <row r="31" spans="2:27" ht="21.75" customHeight="1" thickTop="1" thickBot="1" x14ac:dyDescent="0.35">
      <c r="B31" s="211"/>
      <c r="C31" s="542" t="s">
        <v>173</v>
      </c>
      <c r="O31" s="82"/>
      <c r="P31" s="85"/>
      <c r="Q31" s="596" t="s">
        <v>101</v>
      </c>
      <c r="R31" s="597"/>
      <c r="S31" s="227">
        <f>+S32-S28-S29-S30</f>
        <v>288.3337860000089</v>
      </c>
      <c r="T31" s="228">
        <f>+T32-T28-T29-T30</f>
        <v>317.35173799999905</v>
      </c>
      <c r="U31" s="229">
        <f>+T31-S31</f>
        <v>29.017951999990146</v>
      </c>
      <c r="V31" s="230">
        <f>+V32-V28-V29-V30</f>
        <v>-541.04088199999455</v>
      </c>
      <c r="W31" s="231">
        <f>+T31-V31</f>
        <v>858.3926199999936</v>
      </c>
      <c r="X31" s="86"/>
    </row>
    <row r="32" spans="2:27" ht="21.75" customHeight="1" thickTop="1" x14ac:dyDescent="0.3">
      <c r="B32" s="211"/>
      <c r="C32" s="534" t="s">
        <v>169</v>
      </c>
      <c r="D32" s="536"/>
      <c r="E32" s="537">
        <f>+IFERROR(HLOOKUP($E$5,[12]손익!$G$5:$AI$54,2,),)</f>
        <v>8500</v>
      </c>
      <c r="F32" s="541">
        <f>+'[2]3월'!$AO$7</f>
        <v>3925.4639999999999</v>
      </c>
      <c r="G32" s="538">
        <f t="shared" ref="G32:G33" si="12">+F32-E32</f>
        <v>-4574.5360000000001</v>
      </c>
      <c r="H32" s="539">
        <f>+'[3]3월'!$AO$7</f>
        <v>15762.77</v>
      </c>
      <c r="I32" s="540">
        <f t="shared" ref="I32:I33" si="13">+F32-H32</f>
        <v>-11837.306</v>
      </c>
      <c r="J32" s="537">
        <f>+'[1]3월누계'!$AA$7</f>
        <v>23500</v>
      </c>
      <c r="K32" s="541">
        <f>+'[2]3월누계'!$AO$7</f>
        <v>13878.237999999999</v>
      </c>
      <c r="L32" s="538">
        <f t="shared" ref="L32:L33" si="14">+K32-J32</f>
        <v>-9621.7620000000006</v>
      </c>
      <c r="M32" s="539">
        <f>+'[3]3월누계'!$AO$7</f>
        <v>34222.794999999998</v>
      </c>
      <c r="N32" s="540">
        <f t="shared" ref="N32:N33" si="15">+K32-M32</f>
        <v>-20344.557000000001</v>
      </c>
      <c r="O32" s="82"/>
      <c r="P32" s="85"/>
      <c r="Q32" s="676" t="s">
        <v>100</v>
      </c>
      <c r="R32" s="677"/>
      <c r="S32" s="220">
        <f>+'사업장별(당월)'!T40</f>
        <v>-892.1850496111731</v>
      </c>
      <c r="T32" s="221">
        <f>+'사업장별(당월)'!U40</f>
        <v>-757.79609560258189</v>
      </c>
      <c r="U32" s="222">
        <f>+T32-S32</f>
        <v>134.38895400859121</v>
      </c>
      <c r="V32" s="223">
        <f>+'사업장별(당월)'!W40</f>
        <v>-1757.2127061556369</v>
      </c>
      <c r="W32" s="224">
        <f>+T32-V32</f>
        <v>999.41661055305497</v>
      </c>
      <c r="X32" s="86"/>
      <c r="Z32" s="211"/>
      <c r="AA32" s="211"/>
    </row>
    <row r="33" spans="2:31" ht="21.75" customHeight="1" x14ac:dyDescent="0.3">
      <c r="B33" s="211"/>
      <c r="C33" s="534" t="s">
        <v>170</v>
      </c>
      <c r="D33" s="535"/>
      <c r="E33" s="293">
        <f>+IFERROR(HLOOKUP($E$5,[12]손익!$G$5:$AI$54,3,),)/1000</f>
        <v>8197.6135220000015</v>
      </c>
      <c r="F33" s="294">
        <f>+'[2]3월'!$AO$8/1000</f>
        <v>4017.7918960000002</v>
      </c>
      <c r="G33" s="270">
        <f t="shared" si="12"/>
        <v>-4179.8216260000008</v>
      </c>
      <c r="H33" s="271">
        <f>+'[3]3월'!$AO$8/1000</f>
        <v>12535.228687999999</v>
      </c>
      <c r="I33" s="272">
        <f t="shared" si="13"/>
        <v>-8517.4367919999986</v>
      </c>
      <c r="J33" s="293">
        <f>+'[1]3월누계'!$AA$8/1000</f>
        <v>22587.069302</v>
      </c>
      <c r="K33" s="294">
        <f>+'[2]3월누계'!$AO$8/1000</f>
        <v>13994.381746999999</v>
      </c>
      <c r="L33" s="270">
        <f t="shared" si="14"/>
        <v>-8592.6875550000004</v>
      </c>
      <c r="M33" s="271">
        <f>+'[3]3월누계'!$AO$8/1000</f>
        <v>28292.343492</v>
      </c>
      <c r="N33" s="272">
        <f t="shared" si="15"/>
        <v>-14297.961745000001</v>
      </c>
      <c r="O33" s="82"/>
      <c r="P33" s="85"/>
      <c r="X33" s="86"/>
      <c r="Z33" s="211"/>
      <c r="AA33" s="211"/>
    </row>
    <row r="34" spans="2:31" ht="21.75" customHeight="1" x14ac:dyDescent="0.3">
      <c r="B34" s="211"/>
      <c r="C34" s="534" t="s">
        <v>171</v>
      </c>
      <c r="D34" s="598"/>
      <c r="E34" s="291">
        <f>+IFERROR(HLOOKUP($E$5,[12]손익!$G$5:$AI$54,7,),)/1000</f>
        <v>177.35418600000162</v>
      </c>
      <c r="F34" s="292">
        <f>+'[2]3월'!$AO$12/1000</f>
        <v>63.273635999999939</v>
      </c>
      <c r="G34" s="267">
        <f>+F34-E34</f>
        <v>-114.08055000000168</v>
      </c>
      <c r="H34" s="268">
        <f>+'[3]3월'!$AO$12/1000</f>
        <v>36.844563999999316</v>
      </c>
      <c r="I34" s="269">
        <f>+F34-H34</f>
        <v>26.429072000000623</v>
      </c>
      <c r="J34" s="291">
        <f>+'[1]3월누계'!$AA$12/1000</f>
        <v>482.74630600000171</v>
      </c>
      <c r="K34" s="292">
        <f>+'[2]3월누계'!$AO$12/1000</f>
        <v>331.89494899999909</v>
      </c>
      <c r="L34" s="267">
        <f>+K34-J34</f>
        <v>-150.85135700000262</v>
      </c>
      <c r="M34" s="268">
        <f>+'[3]3월누계'!$AO$12/1000</f>
        <v>332.41609899999946</v>
      </c>
      <c r="N34" s="269">
        <f>+K34-M34</f>
        <v>-0.52115000000037526</v>
      </c>
      <c r="O34" s="82"/>
      <c r="P34" s="85"/>
      <c r="Q34" s="133" t="s">
        <v>84</v>
      </c>
      <c r="R34" s="138"/>
      <c r="S34" s="66"/>
      <c r="T34" s="139"/>
      <c r="U34" s="66"/>
      <c r="V34" s="523"/>
      <c r="W34" s="523"/>
      <c r="X34" s="86"/>
      <c r="Z34" s="211"/>
      <c r="AA34" s="211"/>
    </row>
    <row r="35" spans="2:31" ht="21.75" customHeight="1" x14ac:dyDescent="0.3">
      <c r="B35" s="211"/>
      <c r="C35" s="599" t="s">
        <v>180</v>
      </c>
      <c r="D35" s="600"/>
      <c r="E35" s="601">
        <f>+E34/E33</f>
        <v>2.1634855744788989E-2</v>
      </c>
      <c r="F35" s="602">
        <f t="shared" ref="F35" si="16">+F34/F33</f>
        <v>1.5748360701059051E-2</v>
      </c>
      <c r="G35" s="603">
        <f t="shared" ref="G35:G37" si="17">+F35-E35</f>
        <v>-5.8864950437299383E-3</v>
      </c>
      <c r="H35" s="604">
        <f>+H34/H33</f>
        <v>2.9392813579277332E-3</v>
      </c>
      <c r="I35" s="605">
        <f>+I34/I33</f>
        <v>-3.1029372621613261E-3</v>
      </c>
      <c r="J35" s="601">
        <f>+J34/J33</f>
        <v>2.1372684501271545E-2</v>
      </c>
      <c r="K35" s="602">
        <f t="shared" ref="K35" si="18">+K34/K33</f>
        <v>2.3716299512205889E-2</v>
      </c>
      <c r="L35" s="603">
        <f>+K35-J35</f>
        <v>2.343615010934344E-3</v>
      </c>
      <c r="M35" s="604">
        <f>+M34/M33</f>
        <v>1.1749330665874112E-2</v>
      </c>
      <c r="N35" s="605">
        <f>+K35-M35</f>
        <v>1.1966968846331777E-2</v>
      </c>
      <c r="O35" s="82"/>
      <c r="P35" s="85"/>
      <c r="Q35" s="203" t="s">
        <v>11</v>
      </c>
      <c r="R35" s="204"/>
      <c r="S35" s="205" t="s">
        <v>12</v>
      </c>
      <c r="T35" s="206" t="s">
        <v>13</v>
      </c>
      <c r="U35" s="207" t="s">
        <v>91</v>
      </c>
      <c r="V35" s="206" t="s">
        <v>14</v>
      </c>
      <c r="W35" s="208" t="s">
        <v>92</v>
      </c>
      <c r="X35" s="86"/>
      <c r="Z35" s="211"/>
      <c r="AA35" s="211"/>
      <c r="AD35" s="81"/>
      <c r="AE35" s="211"/>
    </row>
    <row r="36" spans="2:31" ht="21.75" customHeight="1" x14ac:dyDescent="0.3">
      <c r="B36" s="211"/>
      <c r="C36" s="534" t="s">
        <v>172</v>
      </c>
      <c r="D36" s="598"/>
      <c r="E36" s="291">
        <f>+IFERROR(HLOOKUP($E$5,[12]손익!$G$5:$AI$54,20,),)/1000</f>
        <v>-2.7137755023726351</v>
      </c>
      <c r="F36" s="292">
        <f>+'[2]3월'!$AO$26/1000</f>
        <v>1.3609009999999397</v>
      </c>
      <c r="G36" s="267">
        <f t="shared" si="17"/>
        <v>4.0746765023725748</v>
      </c>
      <c r="H36" s="268">
        <f>+'[3]3월'!$AO$26/1000</f>
        <v>-118.8703480000007</v>
      </c>
      <c r="I36" s="269">
        <f>+F36-H36</f>
        <v>120.23124900000064</v>
      </c>
      <c r="J36" s="291">
        <f>+'[1]3월누계'!$AA$26/1000</f>
        <v>-85.427511228994248</v>
      </c>
      <c r="K36" s="292">
        <f>+'[2]3월누계'!$AO$26/1000</f>
        <v>-118.75362200000087</v>
      </c>
      <c r="L36" s="267">
        <f>+K36-J36</f>
        <v>-33.326110771006626</v>
      </c>
      <c r="M36" s="268">
        <f>+'[3]3월누계'!$AO$26/1000</f>
        <v>-106.3113860000006</v>
      </c>
      <c r="N36" s="269">
        <f>+K36-M36</f>
        <v>-12.442236000000278</v>
      </c>
      <c r="O36" s="82"/>
      <c r="P36" s="85"/>
      <c r="Q36" s="134" t="s">
        <v>85</v>
      </c>
      <c r="R36" s="135"/>
      <c r="S36" s="189">
        <f>+'[13]3월'!$F$10</f>
        <v>745617.6470588235</v>
      </c>
      <c r="T36" s="195">
        <f>+'[13]3월'!$G$10</f>
        <v>807163.01053837198</v>
      </c>
      <c r="U36" s="192">
        <f>+T36-S36</f>
        <v>61545.363479548483</v>
      </c>
      <c r="V36" s="173">
        <f>+'[14]3월'!$G$10</f>
        <v>736140.83983969816</v>
      </c>
      <c r="W36" s="170">
        <f>+T36-V36</f>
        <v>71022.170698673814</v>
      </c>
      <c r="X36" s="86"/>
      <c r="AA36" s="211"/>
    </row>
    <row r="37" spans="2:31" ht="20.100000000000001" customHeight="1" thickBot="1" x14ac:dyDescent="0.35">
      <c r="C37" s="599" t="s">
        <v>180</v>
      </c>
      <c r="D37" s="600"/>
      <c r="E37" s="601">
        <f>+E36/E33</f>
        <v>-3.3104457719184419E-4</v>
      </c>
      <c r="F37" s="607">
        <f t="shared" ref="F37" si="19">+F36/F33</f>
        <v>3.3871863830349557E-4</v>
      </c>
      <c r="G37" s="603">
        <f t="shared" si="17"/>
        <v>6.6976321549533976E-4</v>
      </c>
      <c r="H37" s="604">
        <f>+H36/H33</f>
        <v>-9.4829022236982037E-3</v>
      </c>
      <c r="I37" s="605">
        <f>+F37-H37</f>
        <v>9.8216208620016988E-3</v>
      </c>
      <c r="J37" s="601">
        <f>+J36/J33</f>
        <v>-3.782142343780296E-3</v>
      </c>
      <c r="K37" s="607">
        <f t="shared" ref="K37" si="20">+K36/K33</f>
        <v>-8.4858069578856738E-3</v>
      </c>
      <c r="L37" s="603">
        <f>+K37-J37</f>
        <v>-4.7036646141053774E-3</v>
      </c>
      <c r="M37" s="604">
        <f>+M36/M33</f>
        <v>-3.7576026895778858E-3</v>
      </c>
      <c r="N37" s="605">
        <f>+K37-M37</f>
        <v>-4.7282042683077881E-3</v>
      </c>
      <c r="P37" s="524"/>
      <c r="Q37" s="136" t="s">
        <v>86</v>
      </c>
      <c r="R37" s="137"/>
      <c r="S37" s="190">
        <f>+'[13]3월'!$F$15</f>
        <v>1.7269535718512089E-2</v>
      </c>
      <c r="T37" s="196">
        <f>+'[13]3월'!$G$15</f>
        <v>1.2614420220836205E-2</v>
      </c>
      <c r="U37" s="193">
        <f>+T37-S37</f>
        <v>-4.6551154976758845E-3</v>
      </c>
      <c r="V37" s="174">
        <f>+'[14]3월'!$G$15</f>
        <v>1.4844907762880278E-3</v>
      </c>
      <c r="W37" s="171">
        <f>+T37-V37</f>
        <v>1.1129929444548176E-2</v>
      </c>
      <c r="X37" s="525"/>
    </row>
    <row r="38" spans="2:31" ht="17.25" thickTop="1" x14ac:dyDescent="0.3">
      <c r="N38" s="213"/>
      <c r="O38" s="213"/>
      <c r="P38" s="523"/>
      <c r="Q38" s="523"/>
      <c r="R38" s="523"/>
      <c r="S38" s="523"/>
      <c r="T38" s="523"/>
      <c r="U38" s="523"/>
      <c r="V38" s="523"/>
      <c r="W38" s="523"/>
      <c r="X38" s="523"/>
    </row>
    <row r="39" spans="2:31" x14ac:dyDescent="0.3">
      <c r="E39" s="454">
        <f>+'[1]3월'!$E$26/1000</f>
        <v>1122.8426085894378</v>
      </c>
      <c r="F39" s="460">
        <f>+'[2]3월'!$F$26/1000</f>
        <v>563.2339540044095</v>
      </c>
      <c r="G39" s="460"/>
      <c r="H39" s="460">
        <f>+'[3]3월'!$F$26/1000</f>
        <v>-310.01178900728377</v>
      </c>
      <c r="I39" s="460"/>
      <c r="J39" s="606">
        <f>+'[1]3월누계'!$E$26/1000</f>
        <v>-2118.9118984003831</v>
      </c>
      <c r="K39" s="606">
        <f>+'[2]3월누계'!$F$26/1000</f>
        <v>-2929.3657359958729</v>
      </c>
      <c r="L39" s="606"/>
      <c r="M39" s="606">
        <f>+'[3]3월누계'!$F$26/1000</f>
        <v>-3209.3434610055715</v>
      </c>
      <c r="P39" s="523"/>
      <c r="Q39" s="523"/>
      <c r="R39" s="523"/>
      <c r="S39" s="523"/>
      <c r="T39" s="523"/>
      <c r="U39" s="523"/>
      <c r="V39" s="523"/>
      <c r="W39" s="523"/>
      <c r="X39" s="523"/>
    </row>
    <row r="40" spans="2:31" x14ac:dyDescent="0.3">
      <c r="E40" s="214">
        <f>+(E29+E36)-E39</f>
        <v>-4.0927261579781771E-12</v>
      </c>
      <c r="F40" s="214">
        <f>+(F29+F36)-F39</f>
        <v>6.9348971010185778E-12</v>
      </c>
      <c r="G40" s="212"/>
      <c r="H40" s="214">
        <f>+(H29+H36)-H39</f>
        <v>6.0822458181064576E-12</v>
      </c>
      <c r="I40" s="212"/>
      <c r="J40" s="214">
        <f>+(J29+J36)-J39</f>
        <v>0</v>
      </c>
      <c r="K40" s="214">
        <f>+(K29+K36)-K39</f>
        <v>0</v>
      </c>
      <c r="L40" s="212"/>
      <c r="M40" s="214">
        <f>+(M29+M36)-M39</f>
        <v>0</v>
      </c>
      <c r="N40" s="212"/>
      <c r="O40" s="81"/>
      <c r="P40" s="81"/>
    </row>
    <row r="42" spans="2:31" x14ac:dyDescent="0.3">
      <c r="E42" s="80"/>
      <c r="F42" s="80"/>
      <c r="G42" s="80"/>
    </row>
  </sheetData>
  <mergeCells count="3">
    <mergeCell ref="Q32:R32"/>
    <mergeCell ref="C5:D6"/>
    <mergeCell ref="P5:X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0" zoomScale="85" zoomScaleNormal="85" zoomScaleSheetLayoutView="85" workbookViewId="0">
      <selection activeCell="U17" sqref="U1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2"/>
      <c r="K1" s="4"/>
      <c r="L1" s="4"/>
      <c r="P1" s="4"/>
      <c r="Q1" s="4"/>
    </row>
    <row r="2" spans="1:32" ht="18" customHeight="1" x14ac:dyDescent="0.3">
      <c r="H2" s="5"/>
    </row>
    <row r="3" spans="1:32" ht="26.25" x14ac:dyDescent="0.3">
      <c r="H3" s="2" t="s">
        <v>205</v>
      </c>
    </row>
    <row r="4" spans="1:32" ht="18" customHeight="1" x14ac:dyDescent="0.3">
      <c r="H4" s="5"/>
    </row>
    <row r="5" spans="1:32" ht="18" customHeight="1" x14ac:dyDescent="0.3">
      <c r="H5" s="684" t="s">
        <v>11</v>
      </c>
      <c r="I5" s="685"/>
      <c r="J5" s="508" t="s">
        <v>206</v>
      </c>
      <c r="K5" s="509"/>
      <c r="L5" s="509"/>
      <c r="M5" s="509"/>
      <c r="N5" s="509"/>
      <c r="O5" s="509"/>
      <c r="P5" s="509"/>
      <c r="Q5" s="509"/>
      <c r="R5" s="509"/>
      <c r="S5" s="510"/>
      <c r="T5" s="508" t="s">
        <v>207</v>
      </c>
      <c r="U5" s="509"/>
      <c r="V5" s="509"/>
      <c r="W5" s="509"/>
      <c r="X5" s="509"/>
      <c r="Y5" s="509"/>
      <c r="Z5" s="509"/>
      <c r="AA5" s="509"/>
      <c r="AB5" s="509"/>
      <c r="AC5" s="510"/>
    </row>
    <row r="6" spans="1:32" s="6" customFormat="1" ht="19.5" customHeight="1" x14ac:dyDescent="0.3">
      <c r="G6" s="304"/>
      <c r="H6" s="684"/>
      <c r="I6" s="685"/>
      <c r="J6" s="145" t="s">
        <v>97</v>
      </c>
      <c r="K6" s="146"/>
      <c r="L6" s="146"/>
      <c r="M6" s="146"/>
      <c r="N6" s="147"/>
      <c r="O6" s="145" t="s">
        <v>166</v>
      </c>
      <c r="P6" s="146"/>
      <c r="Q6" s="146"/>
      <c r="R6" s="146"/>
      <c r="S6" s="147"/>
      <c r="T6" s="145" t="s">
        <v>97</v>
      </c>
      <c r="U6" s="146"/>
      <c r="V6" s="146"/>
      <c r="W6" s="146"/>
      <c r="X6" s="147"/>
      <c r="Y6" s="145" t="s">
        <v>97</v>
      </c>
      <c r="Z6" s="146"/>
      <c r="AA6" s="146"/>
      <c r="AB6" s="146"/>
      <c r="AC6" s="147"/>
    </row>
    <row r="7" spans="1:32" s="6" customFormat="1" ht="19.5" customHeight="1" x14ac:dyDescent="0.3">
      <c r="A7" s="6" t="s">
        <v>168</v>
      </c>
      <c r="G7" s="304"/>
      <c r="H7" s="686"/>
      <c r="I7" s="687"/>
      <c r="J7" s="148" t="s">
        <v>12</v>
      </c>
      <c r="K7" s="149" t="s">
        <v>13</v>
      </c>
      <c r="L7" s="150" t="s">
        <v>28</v>
      </c>
      <c r="M7" s="149" t="s">
        <v>14</v>
      </c>
      <c r="N7" s="151" t="s">
        <v>28</v>
      </c>
      <c r="O7" s="148" t="s">
        <v>12</v>
      </c>
      <c r="P7" s="149" t="s">
        <v>13</v>
      </c>
      <c r="Q7" s="150" t="s">
        <v>28</v>
      </c>
      <c r="R7" s="149" t="s">
        <v>14</v>
      </c>
      <c r="S7" s="151" t="s">
        <v>28</v>
      </c>
      <c r="T7" s="148" t="s">
        <v>12</v>
      </c>
      <c r="U7" s="149" t="s">
        <v>13</v>
      </c>
      <c r="V7" s="150" t="s">
        <v>28</v>
      </c>
      <c r="W7" s="149" t="s">
        <v>14</v>
      </c>
      <c r="X7" s="151" t="s">
        <v>28</v>
      </c>
      <c r="Y7" s="148" t="s">
        <v>12</v>
      </c>
      <c r="Z7" s="149" t="s">
        <v>13</v>
      </c>
      <c r="AA7" s="150" t="s">
        <v>28</v>
      </c>
      <c r="AB7" s="149" t="s">
        <v>14</v>
      </c>
      <c r="AC7" s="151" t="s">
        <v>28</v>
      </c>
    </row>
    <row r="8" spans="1:32" s="6" customFormat="1" ht="22.5" customHeight="1" x14ac:dyDescent="0.3">
      <c r="B8" s="6" t="s">
        <v>18</v>
      </c>
      <c r="G8" s="305"/>
      <c r="H8" s="67" t="s">
        <v>40</v>
      </c>
      <c r="I8" s="68" t="s">
        <v>18</v>
      </c>
      <c r="J8" s="30">
        <f>+[4]안양!$H$86/1000</f>
        <v>399.94343519167501</v>
      </c>
      <c r="K8" s="31">
        <f>+[4]안양!$I$86/1000</f>
        <v>386.86275700000039</v>
      </c>
      <c r="L8" s="35">
        <f>+K8-J8</f>
        <v>-13.080678191674622</v>
      </c>
      <c r="M8" s="36">
        <f>+[5]안양!$H$86/1000</f>
        <v>190.61490200000023</v>
      </c>
      <c r="N8" s="34">
        <f>+K8-M8</f>
        <v>196.24785500000016</v>
      </c>
      <c r="O8" s="30">
        <f>+[4]안양!$H$92/1000</f>
        <v>218.84603356467002</v>
      </c>
      <c r="P8" s="31">
        <f>+[4]안양!$I$92/1000</f>
        <v>170.98330548992365</v>
      </c>
      <c r="Q8" s="35">
        <f>+P8-O8</f>
        <v>-47.862728074746371</v>
      </c>
      <c r="R8" s="36">
        <f>+[5]안양!$H$92/1000</f>
        <v>12.112095766655285</v>
      </c>
      <c r="S8" s="34">
        <f>+P8-R8</f>
        <v>158.87120972326838</v>
      </c>
      <c r="T8" s="30">
        <f>+[15]안양!$H$86/1000</f>
        <v>685.69686564116955</v>
      </c>
      <c r="U8" s="31">
        <f>+[15]안양!$I$86/1000</f>
        <v>771.50179299999934</v>
      </c>
      <c r="V8" s="35">
        <f>+U8-T8</f>
        <v>85.804927358829786</v>
      </c>
      <c r="W8" s="36">
        <f>+[16]안양!$H$86/1000</f>
        <v>544.25704600000063</v>
      </c>
      <c r="X8" s="34">
        <f>+U8-W8</f>
        <v>227.24474699999871</v>
      </c>
      <c r="Y8" s="30">
        <f>+[15]안양!$H$92/1000</f>
        <v>50.151311485336279</v>
      </c>
      <c r="Z8" s="31">
        <f>+[15]안양!$I$92/1000</f>
        <v>10.088311850670259</v>
      </c>
      <c r="AA8" s="35">
        <f>+Z8-Y8</f>
        <v>-40.062999634666021</v>
      </c>
      <c r="AB8" s="36">
        <f>+[16]안양!$H$92/1000</f>
        <v>-75.049966248349165</v>
      </c>
      <c r="AC8" s="34">
        <f>+Z8-AB8</f>
        <v>85.138278099019431</v>
      </c>
    </row>
    <row r="9" spans="1:32" s="6" customFormat="1" ht="22.5" customHeight="1" x14ac:dyDescent="0.3">
      <c r="B9" s="6" t="s">
        <v>19</v>
      </c>
      <c r="G9" s="306"/>
      <c r="H9" s="69" t="s">
        <v>41</v>
      </c>
      <c r="I9" s="70" t="s">
        <v>19</v>
      </c>
      <c r="J9" s="40">
        <f>+[4]인천!$H$86/1000</f>
        <v>233.65111015531531</v>
      </c>
      <c r="K9" s="41">
        <f>+[4]인천!$I$86/1000</f>
        <v>34.480905000000348</v>
      </c>
      <c r="L9" s="42">
        <f t="shared" ref="L9:L28" si="0">+K9-J9</f>
        <v>-199.17020515531496</v>
      </c>
      <c r="M9" s="43">
        <f>+[5]인천!$H$86/1000</f>
        <v>97.876781000000676</v>
      </c>
      <c r="N9" s="44">
        <f t="shared" ref="N9:N28" si="1">+K9-M9</f>
        <v>-63.395876000000328</v>
      </c>
      <c r="O9" s="40">
        <f>+[4]인천!$H$92/1000</f>
        <v>62.81783435827878</v>
      </c>
      <c r="P9" s="41">
        <f>+[4]인천!$I$92/1000</f>
        <v>-128.18975761810012</v>
      </c>
      <c r="Q9" s="42">
        <f t="shared" ref="Q9:Q28" si="2">+P9-O9</f>
        <v>-191.0075919763789</v>
      </c>
      <c r="R9" s="43">
        <f>+[5]인천!$H$92/1000</f>
        <v>-59.939543251113193</v>
      </c>
      <c r="S9" s="44">
        <f t="shared" ref="S9:S28" si="3">+P9-R9</f>
        <v>-68.250214366986924</v>
      </c>
      <c r="T9" s="40">
        <f>+[15]인천!$H$86/1000</f>
        <v>168.33299267891809</v>
      </c>
      <c r="U9" s="41">
        <f>+[15]인천!$I$86/1000</f>
        <v>-74.324903999999975</v>
      </c>
      <c r="V9" s="42">
        <f t="shared" ref="V9:V24" si="4">+U9-T9</f>
        <v>-242.65789667891806</v>
      </c>
      <c r="W9" s="43">
        <f>+[16]인천!$H$86/1000</f>
        <v>-78.653321000000176</v>
      </c>
      <c r="X9" s="44">
        <f t="shared" ref="X9:X24" si="5">+U9-W9</f>
        <v>4.3284170000002007</v>
      </c>
      <c r="Y9" s="40">
        <f>+[15]인천!$H$92/1000</f>
        <v>-385.64646518490451</v>
      </c>
      <c r="Z9" s="41">
        <f>+[15]인천!$I$92/1000</f>
        <v>-620.96082033538482</v>
      </c>
      <c r="AA9" s="42">
        <f t="shared" ref="AA9:AA24" si="6">+Z9-Y9</f>
        <v>-235.31435515048031</v>
      </c>
      <c r="AB9" s="43">
        <f>+[16]인천!$H$92/1000</f>
        <v>-502.92909411320949</v>
      </c>
      <c r="AC9" s="44">
        <f t="shared" ref="AC9:AC24" si="7">+Z9-AB9</f>
        <v>-118.03172622217534</v>
      </c>
    </row>
    <row r="10" spans="1:32" s="6" customFormat="1" ht="22.5" customHeight="1" x14ac:dyDescent="0.3">
      <c r="B10" s="6" t="s">
        <v>20</v>
      </c>
      <c r="G10" s="306"/>
      <c r="H10" s="69"/>
      <c r="I10" s="70" t="s">
        <v>20</v>
      </c>
      <c r="J10" s="40">
        <f>+[4]파주!$H$86/1000</f>
        <v>20.418977350833824</v>
      </c>
      <c r="K10" s="41">
        <f>+[4]파주!$I$86/1000</f>
        <v>-80.522035000000102</v>
      </c>
      <c r="L10" s="42">
        <f t="shared" si="0"/>
        <v>-100.94101235083393</v>
      </c>
      <c r="M10" s="43">
        <f>+[5]파주!$H$86/1000</f>
        <v>-148.31220099999993</v>
      </c>
      <c r="N10" s="44">
        <f t="shared" si="1"/>
        <v>67.790165999999829</v>
      </c>
      <c r="O10" s="40">
        <f>+[4]파주!$H$92/1000</f>
        <v>-49.282803043778024</v>
      </c>
      <c r="P10" s="41">
        <f>+[4]파주!$I$92/1000</f>
        <v>-136.91396211773537</v>
      </c>
      <c r="Q10" s="42">
        <f t="shared" si="2"/>
        <v>-87.631159073957349</v>
      </c>
      <c r="R10" s="43">
        <f>+[5]파주!$H$92/1000</f>
        <v>-194.0447369745113</v>
      </c>
      <c r="S10" s="44">
        <f t="shared" si="3"/>
        <v>57.130774856775929</v>
      </c>
      <c r="T10" s="40">
        <f>+[15]파주!$H$86/1000</f>
        <v>-188.11454439076152</v>
      </c>
      <c r="U10" s="41">
        <f>+[15]파주!$I$86/1000</f>
        <v>-344.08391499999976</v>
      </c>
      <c r="V10" s="42">
        <f t="shared" si="4"/>
        <v>-155.96937060923824</v>
      </c>
      <c r="W10" s="43">
        <f>+[16]파주!$H$86/1000</f>
        <v>-297.59621599999957</v>
      </c>
      <c r="X10" s="44">
        <f t="shared" si="5"/>
        <v>-46.487699000000191</v>
      </c>
      <c r="Y10" s="40">
        <f>+[15]파주!$H$92/1000</f>
        <v>-403.57809716763478</v>
      </c>
      <c r="Z10" s="41">
        <f>+[15]파주!$I$92/1000</f>
        <v>-538.62941601872865</v>
      </c>
      <c r="AA10" s="42">
        <f t="shared" si="6"/>
        <v>-135.05131885109387</v>
      </c>
      <c r="AB10" s="43">
        <f>+[16]파주!$H$92/1000</f>
        <v>-474.78391498342995</v>
      </c>
      <c r="AC10" s="44">
        <f t="shared" si="7"/>
        <v>-63.845501035298696</v>
      </c>
    </row>
    <row r="11" spans="1:32" s="6" customFormat="1" ht="22.5" customHeight="1" x14ac:dyDescent="0.3">
      <c r="B11" s="6" t="s">
        <v>107</v>
      </c>
      <c r="G11" s="306"/>
      <c r="H11" s="69"/>
      <c r="I11" s="70" t="s">
        <v>106</v>
      </c>
      <c r="J11" s="40">
        <f>+[4]김포!$H$86/1000</f>
        <v>39.479854551813901</v>
      </c>
      <c r="K11" s="41">
        <f>+[4]김포!$I$86/1000</f>
        <v>17.58935699999989</v>
      </c>
      <c r="L11" s="42">
        <f t="shared" si="0"/>
        <v>-21.890497551814011</v>
      </c>
      <c r="M11" s="43">
        <f>+[5]김포!$H$86/1000</f>
        <v>38.862012000000114</v>
      </c>
      <c r="N11" s="44">
        <f t="shared" si="1"/>
        <v>-21.272655000000224</v>
      </c>
      <c r="O11" s="40">
        <f>+[4]김포!$H$92/1000</f>
        <v>-21.860145013221764</v>
      </c>
      <c r="P11" s="41">
        <f>+[4]김포!$I$92/1000</f>
        <v>-51.451572609000507</v>
      </c>
      <c r="Q11" s="42">
        <f t="shared" si="2"/>
        <v>-29.591427595778743</v>
      </c>
      <c r="R11" s="43">
        <f>+[5]김포!$H$92/1000</f>
        <v>-16.745468719633543</v>
      </c>
      <c r="S11" s="44">
        <f t="shared" si="3"/>
        <v>-34.706103889366965</v>
      </c>
      <c r="T11" s="40">
        <f>+[15]김포!$H$86/1000</f>
        <v>-56.954854874022935</v>
      </c>
      <c r="U11" s="41">
        <f>+[15]김포!$I$86/1000</f>
        <v>-203.34141599999981</v>
      </c>
      <c r="V11" s="42">
        <f t="shared" si="4"/>
        <v>-146.38656112597687</v>
      </c>
      <c r="W11" s="43">
        <f>+[16]김포!$H$86/1000</f>
        <v>-115.34376400000036</v>
      </c>
      <c r="X11" s="44">
        <f t="shared" si="5"/>
        <v>-87.997651999999448</v>
      </c>
      <c r="Y11" s="40">
        <f>+[15]김포!$H$92/1000</f>
        <v>-248.33497770797908</v>
      </c>
      <c r="Z11" s="41">
        <f>+[15]김포!$I$92/1000</f>
        <v>-396.06861336602992</v>
      </c>
      <c r="AA11" s="42">
        <f t="shared" si="6"/>
        <v>-147.73363565805084</v>
      </c>
      <c r="AB11" s="43">
        <f>+[16]김포!$H$92/1000</f>
        <v>-259.45980198481834</v>
      </c>
      <c r="AC11" s="44">
        <f t="shared" si="7"/>
        <v>-136.60881138121158</v>
      </c>
    </row>
    <row r="12" spans="1:32" s="6" customFormat="1" ht="22.5" customHeight="1" x14ac:dyDescent="0.3">
      <c r="B12" s="6" t="s">
        <v>21</v>
      </c>
      <c r="G12" s="304"/>
      <c r="H12" s="69"/>
      <c r="I12" s="71" t="s">
        <v>21</v>
      </c>
      <c r="J12" s="57">
        <f>+[4]부산!$H$86/1000</f>
        <v>252.02689735001675</v>
      </c>
      <c r="K12" s="58">
        <f>+[4]부산!$I$86/1000</f>
        <v>323.34981799999991</v>
      </c>
      <c r="L12" s="59">
        <f t="shared" si="0"/>
        <v>71.322920649983161</v>
      </c>
      <c r="M12" s="60">
        <f>+[5]부산!$H$86/1000</f>
        <v>403.32277399999981</v>
      </c>
      <c r="N12" s="61">
        <f t="shared" si="1"/>
        <v>-79.972955999999897</v>
      </c>
      <c r="O12" s="57">
        <f>+[4]부산!$H$92/1000</f>
        <v>138.95241784327976</v>
      </c>
      <c r="P12" s="58">
        <f>+[4]부산!$I$92/1000</f>
        <v>180.50518547224624</v>
      </c>
      <c r="Q12" s="59">
        <f t="shared" si="2"/>
        <v>41.552767628966478</v>
      </c>
      <c r="R12" s="60">
        <f>+[5]부산!$H$92/1000</f>
        <v>267.0305768557559</v>
      </c>
      <c r="S12" s="61">
        <f t="shared" si="3"/>
        <v>-86.525391383509657</v>
      </c>
      <c r="T12" s="57">
        <f>+[15]부산!$H$86/1000</f>
        <v>413.20018015289878</v>
      </c>
      <c r="U12" s="58">
        <f>+[15]부산!$I$86/1000</f>
        <v>803.49872999999957</v>
      </c>
      <c r="V12" s="59">
        <f t="shared" si="4"/>
        <v>390.29854984710079</v>
      </c>
      <c r="W12" s="60">
        <f>+[16]부산!$H$86/1000</f>
        <v>563.56659099999956</v>
      </c>
      <c r="X12" s="61">
        <f t="shared" si="5"/>
        <v>239.93213900000001</v>
      </c>
      <c r="Y12" s="57">
        <f>+[15]부산!$H$92/1000</f>
        <v>-14.019291609696287</v>
      </c>
      <c r="Z12" s="58">
        <f>+[15]부산!$I$92/1000</f>
        <v>224.71316113655911</v>
      </c>
      <c r="AA12" s="59">
        <f t="shared" si="6"/>
        <v>238.7324527462554</v>
      </c>
      <c r="AB12" s="60">
        <f>+[16]부산!$H$92/1000</f>
        <v>179.5607136081633</v>
      </c>
      <c r="AC12" s="61">
        <f t="shared" si="7"/>
        <v>45.152447528395811</v>
      </c>
      <c r="AD12" s="457"/>
      <c r="AE12" s="81"/>
    </row>
    <row r="13" spans="1:32" s="6" customFormat="1" ht="22.5" customHeight="1" x14ac:dyDescent="0.3">
      <c r="B13" s="6" t="s">
        <v>22</v>
      </c>
      <c r="G13" s="304"/>
      <c r="H13" s="69"/>
      <c r="I13" s="70" t="s">
        <v>22</v>
      </c>
      <c r="J13" s="40">
        <f>+[4]서부산!$H$86/1000</f>
        <v>303.00484843381031</v>
      </c>
      <c r="K13" s="41">
        <f>+[4]서부산!$I$86/1000</f>
        <v>209.67642899999996</v>
      </c>
      <c r="L13" s="42">
        <f t="shared" si="0"/>
        <v>-93.328419433810353</v>
      </c>
      <c r="M13" s="43">
        <f>+[5]서부산!$H$86/1000</f>
        <v>146.35765599999988</v>
      </c>
      <c r="N13" s="44">
        <f t="shared" si="1"/>
        <v>63.318773000000078</v>
      </c>
      <c r="O13" s="40">
        <f>+[4]서부산!$H$92/1000</f>
        <v>197.26031149961071</v>
      </c>
      <c r="P13" s="41">
        <f>+[4]서부산!$I$92/1000</f>
        <v>96.379504516139022</v>
      </c>
      <c r="Q13" s="42">
        <f t="shared" si="2"/>
        <v>-100.88080698347169</v>
      </c>
      <c r="R13" s="43">
        <f>+[5]서부산!$H$92/1000</f>
        <v>55.998328665013283</v>
      </c>
      <c r="S13" s="44">
        <f t="shared" si="3"/>
        <v>40.381175851125739</v>
      </c>
      <c r="T13" s="40">
        <f>+[15]서부산!$H$86/1000</f>
        <v>560.03860476996022</v>
      </c>
      <c r="U13" s="41">
        <f>+[15]서부산!$I$86/1000</f>
        <v>388.20963300000028</v>
      </c>
      <c r="V13" s="42">
        <f t="shared" si="4"/>
        <v>-171.82897176995994</v>
      </c>
      <c r="W13" s="43">
        <f>+[16]서부산!$H$86/1000</f>
        <v>259.01918299999949</v>
      </c>
      <c r="X13" s="44">
        <f t="shared" si="5"/>
        <v>129.19045000000079</v>
      </c>
      <c r="Y13" s="40">
        <f>+[15]서부산!$H$92/1000</f>
        <v>162.69289303084801</v>
      </c>
      <c r="Z13" s="41">
        <f>+[15]서부산!$I$92/1000</f>
        <v>15.745055780260126</v>
      </c>
      <c r="AA13" s="42">
        <f t="shared" si="6"/>
        <v>-146.9478372505879</v>
      </c>
      <c r="AB13" s="43">
        <f>+[16]서부산!$H$92/1000</f>
        <v>-52.035949956670606</v>
      </c>
      <c r="AC13" s="44">
        <f t="shared" si="7"/>
        <v>67.781005736930737</v>
      </c>
    </row>
    <row r="14" spans="1:32" s="6" customFormat="1" ht="22.5" customHeight="1" x14ac:dyDescent="0.3">
      <c r="B14" s="6" t="s">
        <v>23</v>
      </c>
      <c r="G14" s="304"/>
      <c r="H14" s="69"/>
      <c r="I14" s="70" t="s">
        <v>23</v>
      </c>
      <c r="J14" s="40">
        <f>+[4]김해!$H$86/1000</f>
        <v>66.063918531079523</v>
      </c>
      <c r="K14" s="41">
        <f>+[4]김해!$I$86/1000</f>
        <v>13.214120999999931</v>
      </c>
      <c r="L14" s="42">
        <f t="shared" si="0"/>
        <v>-52.849797531079588</v>
      </c>
      <c r="M14" s="43">
        <f>+[5]김해!$H$86/1000</f>
        <v>55.355958000000193</v>
      </c>
      <c r="N14" s="44">
        <f t="shared" si="1"/>
        <v>-42.141837000000265</v>
      </c>
      <c r="O14" s="40">
        <f>+[4]김해!$H$92/1000</f>
        <v>19.755570757114825</v>
      </c>
      <c r="P14" s="41">
        <f>+[4]김해!$I$92/1000</f>
        <v>-26.756561581524721</v>
      </c>
      <c r="Q14" s="42">
        <f t="shared" si="2"/>
        <v>-46.512132338639546</v>
      </c>
      <c r="R14" s="43">
        <f>+[5]김해!$H$92/1000</f>
        <v>-5.6537430659171664</v>
      </c>
      <c r="S14" s="44">
        <f t="shared" si="3"/>
        <v>-21.102818515607556</v>
      </c>
      <c r="T14" s="40">
        <f>+[15]김해!$H$86/1000</f>
        <v>-5.4875343367373279</v>
      </c>
      <c r="U14" s="41">
        <f>+[15]김해!$I$86/1000</f>
        <v>-118.29677900000007</v>
      </c>
      <c r="V14" s="42">
        <f t="shared" si="4"/>
        <v>-112.80924466326275</v>
      </c>
      <c r="W14" s="43">
        <f>+[16]김해!$H$86/1000</f>
        <v>-82.619590999999843</v>
      </c>
      <c r="X14" s="44">
        <f t="shared" si="5"/>
        <v>-35.677188000000228</v>
      </c>
      <c r="Y14" s="40">
        <f>+[15]김해!$H$92/1000</f>
        <v>-166.03842068148202</v>
      </c>
      <c r="Z14" s="41">
        <f>+[15]김해!$I$92/1000</f>
        <v>-247.70445316447439</v>
      </c>
      <c r="AA14" s="42">
        <f t="shared" si="6"/>
        <v>-81.666032482992364</v>
      </c>
      <c r="AB14" s="43">
        <f>+[16]김해!$H$92/1000</f>
        <v>-218.12216092202061</v>
      </c>
      <c r="AC14" s="44">
        <f t="shared" si="7"/>
        <v>-29.582292242453775</v>
      </c>
      <c r="AF14" s="453"/>
    </row>
    <row r="15" spans="1:32" s="6" customFormat="1" ht="22.5" customHeight="1" x14ac:dyDescent="0.3">
      <c r="B15" s="6" t="s">
        <v>24</v>
      </c>
      <c r="G15" s="304"/>
      <c r="H15" s="69"/>
      <c r="I15" s="70" t="s">
        <v>24</v>
      </c>
      <c r="J15" s="40">
        <f>+[4]정관!$H$86/1000</f>
        <v>240.64451978824383</v>
      </c>
      <c r="K15" s="41">
        <f>+[4]정관!$I$86/1000</f>
        <v>69.741612000000018</v>
      </c>
      <c r="L15" s="42">
        <f t="shared" si="0"/>
        <v>-170.90290778824379</v>
      </c>
      <c r="M15" s="43">
        <f>+[5]정관!$H$86/1000</f>
        <v>121.85080299999993</v>
      </c>
      <c r="N15" s="44">
        <f t="shared" si="1"/>
        <v>-52.10919099999991</v>
      </c>
      <c r="O15" s="40">
        <f>+[4]정관!$H$92/1000</f>
        <v>127.56804771293173</v>
      </c>
      <c r="P15" s="41">
        <f>+[4]정관!$I$92/1000</f>
        <v>-7.0220417298213578</v>
      </c>
      <c r="Q15" s="42">
        <f t="shared" si="2"/>
        <v>-134.59008944275308</v>
      </c>
      <c r="R15" s="43">
        <f>+[5]정관!$H$92/1000</f>
        <v>18.216995769663395</v>
      </c>
      <c r="S15" s="44">
        <f t="shared" si="3"/>
        <v>-25.239037499484752</v>
      </c>
      <c r="T15" s="40">
        <f>+[15]정관!$H$86/1000</f>
        <v>376.72293624311425</v>
      </c>
      <c r="U15" s="41">
        <f>+[15]정관!$I$86/1000</f>
        <v>-43.91233699999988</v>
      </c>
      <c r="V15" s="42">
        <f t="shared" si="4"/>
        <v>-420.63527324311411</v>
      </c>
      <c r="W15" s="43">
        <f>+[16]정관!$H$86/1000</f>
        <v>367.0706899999999</v>
      </c>
      <c r="X15" s="44">
        <f t="shared" si="5"/>
        <v>-410.98302699999977</v>
      </c>
      <c r="Y15" s="40">
        <f>+[15]정관!$H$92/1000</f>
        <v>-51.95288604744966</v>
      </c>
      <c r="Z15" s="41">
        <f>+[15]정관!$I$92/1000</f>
        <v>-320.60378443648045</v>
      </c>
      <c r="AA15" s="42">
        <f t="shared" si="6"/>
        <v>-268.65089838903077</v>
      </c>
      <c r="AB15" s="43">
        <f>+[16]정관!$H$92/1000</f>
        <v>-11.926383918280655</v>
      </c>
      <c r="AC15" s="44">
        <f t="shared" si="7"/>
        <v>-308.67740051819982</v>
      </c>
      <c r="AF15" s="453"/>
    </row>
    <row r="16" spans="1:32" s="6" customFormat="1" ht="22.5" customHeight="1" x14ac:dyDescent="0.3">
      <c r="B16" s="6" t="s">
        <v>25</v>
      </c>
      <c r="G16" s="304"/>
      <c r="H16" s="69"/>
      <c r="I16" s="70" t="s">
        <v>25</v>
      </c>
      <c r="J16" s="40">
        <f>+[4]양산!$H$86/1000</f>
        <v>57.547751213437046</v>
      </c>
      <c r="K16" s="41">
        <f>+[4]양산!$I$86/1000</f>
        <v>10.974981000000016</v>
      </c>
      <c r="L16" s="42">
        <f t="shared" si="0"/>
        <v>-46.572770213437032</v>
      </c>
      <c r="M16" s="43">
        <f>+[5]양산!$H$86/1000</f>
        <v>64.674860999999893</v>
      </c>
      <c r="N16" s="44">
        <f t="shared" si="1"/>
        <v>-53.699879999999879</v>
      </c>
      <c r="O16" s="40">
        <f>+[4]양산!$H$92/1000</f>
        <v>11.451931292802685</v>
      </c>
      <c r="P16" s="41">
        <f>+[4]양산!$I$92/1000</f>
        <v>-16.827522974362175</v>
      </c>
      <c r="Q16" s="42">
        <f t="shared" si="2"/>
        <v>-28.279454267164859</v>
      </c>
      <c r="R16" s="43">
        <f>+[5]양산!$H$92/1000</f>
        <v>15.847566908189089</v>
      </c>
      <c r="S16" s="44">
        <f t="shared" si="3"/>
        <v>-32.675089882551262</v>
      </c>
      <c r="T16" s="40">
        <f>+[15]양산!$H$86/1000</f>
        <v>-13.59835569609818</v>
      </c>
      <c r="U16" s="41">
        <f>+[15]양산!$I$86/1000</f>
        <v>-84.36934000000015</v>
      </c>
      <c r="V16" s="42">
        <f t="shared" si="4"/>
        <v>-70.770984303901969</v>
      </c>
      <c r="W16" s="43">
        <f>+[16]양산!$H$86/1000</f>
        <v>47.353372999999728</v>
      </c>
      <c r="X16" s="44">
        <f t="shared" si="5"/>
        <v>-131.72271299999989</v>
      </c>
      <c r="Y16" s="40">
        <f>+[15]양산!$H$92/1000</f>
        <v>-157.62417949087353</v>
      </c>
      <c r="Z16" s="41">
        <f>+[15]양산!$I$92/1000</f>
        <v>-188.0372202961</v>
      </c>
      <c r="AA16" s="42">
        <f t="shared" si="6"/>
        <v>-30.413040805226473</v>
      </c>
      <c r="AB16" s="43">
        <f>+[16]양산!$H$92/1000</f>
        <v>-101.54239695368446</v>
      </c>
      <c r="AC16" s="44">
        <f t="shared" si="7"/>
        <v>-86.494823342415543</v>
      </c>
      <c r="AF16" s="453"/>
    </row>
    <row r="17" spans="2:30" s="6" customFormat="1" ht="22.5" customHeight="1" x14ac:dyDescent="0.3">
      <c r="B17" s="6" t="s">
        <v>26</v>
      </c>
      <c r="G17" s="304"/>
      <c r="H17" s="69"/>
      <c r="I17" s="70" t="s">
        <v>26</v>
      </c>
      <c r="J17" s="40">
        <f>+[4]창원!$H$86/1000</f>
        <v>52.912265161370151</v>
      </c>
      <c r="K17" s="41">
        <f>+[4]창원!$I$86/1000</f>
        <v>26.963159999999895</v>
      </c>
      <c r="L17" s="42">
        <f t="shared" si="0"/>
        <v>-25.949105161370255</v>
      </c>
      <c r="M17" s="43">
        <f>+[5]창원!$H$86/1000</f>
        <v>89.749104000000017</v>
      </c>
      <c r="N17" s="44">
        <f t="shared" si="1"/>
        <v>-62.785944000000121</v>
      </c>
      <c r="O17" s="40">
        <f>+[4]창원!$H$92/1000</f>
        <v>-6.1678758880441089</v>
      </c>
      <c r="P17" s="41">
        <f>+[4]창원!$I$92/1000</f>
        <v>-19.972216977584953</v>
      </c>
      <c r="Q17" s="42">
        <f t="shared" si="2"/>
        <v>-13.804341089540845</v>
      </c>
      <c r="R17" s="43">
        <f>+[5]창원!$H$92/1000</f>
        <v>32.900834709629052</v>
      </c>
      <c r="S17" s="44">
        <f t="shared" si="3"/>
        <v>-52.873051687214002</v>
      </c>
      <c r="T17" s="40">
        <f>+[15]창원!$H$86/1000</f>
        <v>11.632544337552638</v>
      </c>
      <c r="U17" s="41">
        <f>+[15]창원!$I$86/1000</f>
        <v>8.0682650000000287</v>
      </c>
      <c r="V17" s="42">
        <f t="shared" si="4"/>
        <v>-3.564279337552609</v>
      </c>
      <c r="W17" s="43">
        <f>+[16]창원!$H$86/1000</f>
        <v>205.70844400000044</v>
      </c>
      <c r="X17" s="44">
        <f t="shared" si="5"/>
        <v>-197.64017900000042</v>
      </c>
      <c r="Y17" s="40">
        <f>+[15]창원!$H$92/1000</f>
        <v>-189.75057310299172</v>
      </c>
      <c r="Z17" s="41">
        <f>+[15]창원!$I$92/1000</f>
        <v>-192.11789492252882</v>
      </c>
      <c r="AA17" s="42">
        <f t="shared" si="6"/>
        <v>-2.3673218195370964</v>
      </c>
      <c r="AB17" s="43">
        <f>+[16]창원!$H$92/1000</f>
        <v>-4.8165666829801044</v>
      </c>
      <c r="AC17" s="44">
        <f t="shared" si="7"/>
        <v>-187.30132823954872</v>
      </c>
    </row>
    <row r="18" spans="2:30" s="6" customFormat="1" ht="22.5" customHeight="1" x14ac:dyDescent="0.3">
      <c r="B18" s="6" t="s">
        <v>69</v>
      </c>
      <c r="G18" s="304"/>
      <c r="H18" s="69"/>
      <c r="I18" s="70" t="s">
        <v>69</v>
      </c>
      <c r="J18" s="40">
        <f>+[4]대구!$H$86/1000</f>
        <v>-30.554162447771638</v>
      </c>
      <c r="K18" s="41">
        <f>+[4]대구!$I$86/1000</f>
        <v>-105.448241</v>
      </c>
      <c r="L18" s="42">
        <f t="shared" si="0"/>
        <v>-74.894078552228365</v>
      </c>
      <c r="M18" s="43">
        <f>+[5]대구!$H$86/1000</f>
        <v>-23.079406999999978</v>
      </c>
      <c r="N18" s="44">
        <f t="shared" si="1"/>
        <v>-82.368834000000021</v>
      </c>
      <c r="O18" s="40">
        <f>+[4]대구!$H$92/1000</f>
        <v>-65.214340244650401</v>
      </c>
      <c r="P18" s="41">
        <f>+[4]대구!$I$92/1000</f>
        <v>-120.28844749555357</v>
      </c>
      <c r="Q18" s="42">
        <f t="shared" si="2"/>
        <v>-55.074107250903168</v>
      </c>
      <c r="R18" s="43">
        <f>+[5]대구!$H$92/1000</f>
        <v>-75.428819290175213</v>
      </c>
      <c r="S18" s="44">
        <f t="shared" si="3"/>
        <v>-44.859628205378357</v>
      </c>
      <c r="T18" s="40">
        <f>+[15]대구!$H$86/1000</f>
        <v>-105.14405571410772</v>
      </c>
      <c r="U18" s="41">
        <f>+[15]대구!$I$86/1000</f>
        <v>-288.35880500000002</v>
      </c>
      <c r="V18" s="42">
        <f t="shared" si="4"/>
        <v>-183.21474928589231</v>
      </c>
      <c r="W18" s="43">
        <f>+[16]대구!$H$86/1000</f>
        <v>10.470323999999572</v>
      </c>
      <c r="X18" s="44">
        <f t="shared" si="5"/>
        <v>-298.82912899999957</v>
      </c>
      <c r="Y18" s="40">
        <f>+[15]대구!$H$92/1000</f>
        <v>-240.1926518853812</v>
      </c>
      <c r="Z18" s="41">
        <f>+[15]대구!$I$92/1000</f>
        <v>-363.49162257550142</v>
      </c>
      <c r="AA18" s="42">
        <f t="shared" si="6"/>
        <v>-123.29897069012023</v>
      </c>
      <c r="AB18" s="43">
        <f>+[16]대구!$H$92/1000</f>
        <v>-184.35758004346087</v>
      </c>
      <c r="AC18" s="44">
        <f t="shared" si="7"/>
        <v>-179.13404253204055</v>
      </c>
    </row>
    <row r="19" spans="2:30" s="6" customFormat="1" ht="22.5" customHeight="1" x14ac:dyDescent="0.3">
      <c r="B19" s="6" t="s">
        <v>70</v>
      </c>
      <c r="G19" s="306"/>
      <c r="H19" s="69"/>
      <c r="I19" s="72" t="s">
        <v>70</v>
      </c>
      <c r="J19" s="7">
        <f>+[4]울산!$H$86/1000</f>
        <v>82.08701340255395</v>
      </c>
      <c r="K19" s="8">
        <f>+[4]울산!$I$86/1000</f>
        <v>95.170722000000268</v>
      </c>
      <c r="L19" s="9">
        <f t="shared" si="0"/>
        <v>13.083708597446318</v>
      </c>
      <c r="M19" s="10">
        <f>+[5]울산!$H$86/1000</f>
        <v>108.61425899999993</v>
      </c>
      <c r="N19" s="11">
        <f t="shared" si="1"/>
        <v>-13.443536999999665</v>
      </c>
      <c r="O19" s="7">
        <f>+[4]울산!$H$92/1000</f>
        <v>21.127885305707007</v>
      </c>
      <c r="P19" s="8">
        <f>+[4]울산!$I$92/1000</f>
        <v>26.150555137984718</v>
      </c>
      <c r="Q19" s="9">
        <f t="shared" si="2"/>
        <v>5.0226698322777104</v>
      </c>
      <c r="R19" s="10">
        <f>+[5]울산!$H$92/1000</f>
        <v>41.383614592542436</v>
      </c>
      <c r="S19" s="11">
        <f t="shared" si="3"/>
        <v>-15.233059454557718</v>
      </c>
      <c r="T19" s="7">
        <f>+[15]울산!$H$86/1000</f>
        <v>-45.619205818315976</v>
      </c>
      <c r="U19" s="8">
        <f>+[15]울산!$I$86/1000</f>
        <v>190.63580599999992</v>
      </c>
      <c r="V19" s="9">
        <f t="shared" si="4"/>
        <v>236.25501181831589</v>
      </c>
      <c r="W19" s="10">
        <f>+[16]울산!$H$86/1000</f>
        <v>244.35526699999971</v>
      </c>
      <c r="X19" s="11">
        <f t="shared" si="5"/>
        <v>-53.719460999999797</v>
      </c>
      <c r="Y19" s="7">
        <f>+[15]울산!$H$92/1000</f>
        <v>-224.71124472134846</v>
      </c>
      <c r="Z19" s="8">
        <f>+[15]울산!$I$92/1000</f>
        <v>-77.975619148928843</v>
      </c>
      <c r="AA19" s="9">
        <f t="shared" si="6"/>
        <v>146.73562557241962</v>
      </c>
      <c r="AB19" s="10">
        <f>+[16]울산!$H$92/1000</f>
        <v>19.943563352297993</v>
      </c>
      <c r="AC19" s="11">
        <f t="shared" si="7"/>
        <v>-97.919182501226828</v>
      </c>
    </row>
    <row r="20" spans="2:30" s="6" customFormat="1" ht="22.5" customHeight="1" x14ac:dyDescent="0.3">
      <c r="B20" s="6" t="s">
        <v>75</v>
      </c>
      <c r="G20" s="306"/>
      <c r="H20" s="69"/>
      <c r="I20" s="70" t="s">
        <v>27</v>
      </c>
      <c r="J20" s="40">
        <f>+[4]아산!$H$86/1000</f>
        <v>88.591761707101057</v>
      </c>
      <c r="K20" s="41">
        <f>+[4]아산!$I$86/1000</f>
        <v>69.207642000000234</v>
      </c>
      <c r="L20" s="42">
        <f t="shared" si="0"/>
        <v>-19.384119707100822</v>
      </c>
      <c r="M20" s="43">
        <f>+[5]아산!$H$86/1000</f>
        <v>139.57024699999997</v>
      </c>
      <c r="N20" s="44">
        <f t="shared" si="1"/>
        <v>-70.362604999999732</v>
      </c>
      <c r="O20" s="40">
        <f>+[4]아산!$H$92/1000</f>
        <v>-11.781820048654321</v>
      </c>
      <c r="P20" s="41">
        <f>+[4]아산!$I$92/1000</f>
        <v>-41.395151218046927</v>
      </c>
      <c r="Q20" s="42">
        <f t="shared" si="2"/>
        <v>-29.613331169392605</v>
      </c>
      <c r="R20" s="43">
        <f>+[5]아산!$H$92/1000</f>
        <v>21.119952963286284</v>
      </c>
      <c r="S20" s="44">
        <f t="shared" si="3"/>
        <v>-62.515104181333214</v>
      </c>
      <c r="T20" s="40">
        <f>+[15]아산!$H$86/1000</f>
        <v>-40.189479023987104</v>
      </c>
      <c r="U20" s="41">
        <f>+[15]아산!$I$86/1000</f>
        <v>63.776526000000388</v>
      </c>
      <c r="V20" s="42">
        <f t="shared" si="4"/>
        <v>103.96600502398749</v>
      </c>
      <c r="W20" s="43">
        <f>+[16]아산!$H$86/1000</f>
        <v>180.48599900000036</v>
      </c>
      <c r="X20" s="44">
        <f t="shared" si="5"/>
        <v>-116.70947299999997</v>
      </c>
      <c r="Y20" s="40">
        <f>+[15]아산!$H$92/1000</f>
        <v>-300.10455457179074</v>
      </c>
      <c r="Z20" s="41">
        <f>+[15]아산!$I$92/1000</f>
        <v>-320.14494717889841</v>
      </c>
      <c r="AA20" s="42">
        <f t="shared" si="6"/>
        <v>-20.040392607107663</v>
      </c>
      <c r="AB20" s="43">
        <f>+[16]아산!$H$92/1000</f>
        <v>-196.4151866315934</v>
      </c>
      <c r="AC20" s="44">
        <f t="shared" si="7"/>
        <v>-123.72976054730501</v>
      </c>
    </row>
    <row r="21" spans="2:30" s="6" customFormat="1" ht="22.5" customHeight="1" x14ac:dyDescent="0.3">
      <c r="B21" s="6" t="s">
        <v>71</v>
      </c>
      <c r="G21" s="306"/>
      <c r="H21" s="69"/>
      <c r="I21" s="70" t="s">
        <v>71</v>
      </c>
      <c r="J21" s="40">
        <f>+[4]전주!$H$86/1000</f>
        <v>64.392707815656223</v>
      </c>
      <c r="K21" s="41">
        <f>+[4]전주!$I$86/1000</f>
        <v>138.57817499999993</v>
      </c>
      <c r="L21" s="42">
        <f t="shared" si="0"/>
        <v>74.185467184343707</v>
      </c>
      <c r="M21" s="43">
        <f>+[5]전주!$H$86/1000</f>
        <v>206.1074329999999</v>
      </c>
      <c r="N21" s="44">
        <f t="shared" si="1"/>
        <v>-67.52925799999997</v>
      </c>
      <c r="O21" s="40">
        <f>+[4]전주!$H$92/1000</f>
        <v>16.189328416239636</v>
      </c>
      <c r="P21" s="41">
        <f>+[4]전주!$I$92/1000</f>
        <v>68.357512186780156</v>
      </c>
      <c r="Q21" s="42">
        <f t="shared" si="2"/>
        <v>52.168183770540523</v>
      </c>
      <c r="R21" s="43">
        <f>+[5]전주!$H$92/1000</f>
        <v>119.46098324308527</v>
      </c>
      <c r="S21" s="44">
        <f t="shared" si="3"/>
        <v>-51.103471056305111</v>
      </c>
      <c r="T21" s="40">
        <f>+[15]전주!$H$86/1000</f>
        <v>-7.3665347260105554</v>
      </c>
      <c r="U21" s="41">
        <f>+[15]전주!$I$86/1000</f>
        <v>47.117149000000104</v>
      </c>
      <c r="V21" s="42">
        <f t="shared" si="4"/>
        <v>54.483683726010661</v>
      </c>
      <c r="W21" s="43">
        <f>+[16]전주!$H$86/1000</f>
        <v>458.99199899999934</v>
      </c>
      <c r="X21" s="44">
        <f t="shared" si="5"/>
        <v>-411.87484999999924</v>
      </c>
      <c r="Y21" s="40">
        <f>+[15]전주!$H$92/1000</f>
        <v>-145.06255744337361</v>
      </c>
      <c r="Z21" s="41">
        <f>+[15]전주!$I$92/1000</f>
        <v>-146.29110102209904</v>
      </c>
      <c r="AA21" s="42">
        <f t="shared" si="6"/>
        <v>-1.2285435787254357</v>
      </c>
      <c r="AB21" s="43">
        <f>+[16]전주!$H$92/1000</f>
        <v>194.57157739758236</v>
      </c>
      <c r="AC21" s="44">
        <f t="shared" si="7"/>
        <v>-340.8626784196814</v>
      </c>
    </row>
    <row r="22" spans="2:30" s="6" customFormat="1" ht="22.5" customHeight="1" x14ac:dyDescent="0.3">
      <c r="B22" s="6" t="s">
        <v>72</v>
      </c>
      <c r="G22" s="306"/>
      <c r="H22" s="69"/>
      <c r="I22" s="70" t="s">
        <v>72</v>
      </c>
      <c r="J22" s="40">
        <f>+[4]군산!$H$86/1000</f>
        <v>75.349108752709071</v>
      </c>
      <c r="K22" s="41">
        <f>+[4]군산!$I$86/1000</f>
        <v>88.678597000000039</v>
      </c>
      <c r="L22" s="42">
        <f t="shared" si="0"/>
        <v>13.329488247290968</v>
      </c>
      <c r="M22" s="43">
        <f>+[5]군산!$H$86/1000</f>
        <v>131.89842700000003</v>
      </c>
      <c r="N22" s="44">
        <f t="shared" si="1"/>
        <v>-43.219829999999988</v>
      </c>
      <c r="O22" s="40">
        <f>+[4]군산!$H$92/1000</f>
        <v>52.160075463467358</v>
      </c>
      <c r="P22" s="41">
        <f>+[4]군산!$I$92/1000</f>
        <v>60.777331611625272</v>
      </c>
      <c r="Q22" s="42">
        <f t="shared" si="2"/>
        <v>8.6172561481579137</v>
      </c>
      <c r="R22" s="43">
        <f>+[5]군산!$H$92/1000</f>
        <v>100.59709471559086</v>
      </c>
      <c r="S22" s="44">
        <f t="shared" si="3"/>
        <v>-39.819763103965585</v>
      </c>
      <c r="T22" s="40">
        <f>+[15]군산!$H$86/1000</f>
        <v>92.94530525533709</v>
      </c>
      <c r="U22" s="41">
        <f>+[15]군산!$I$86/1000</f>
        <v>72.13408200000012</v>
      </c>
      <c r="V22" s="42">
        <f t="shared" si="4"/>
        <v>-20.811223255336969</v>
      </c>
      <c r="W22" s="43">
        <f>+[16]군산!$H$86/1000</f>
        <v>199.82253199999997</v>
      </c>
      <c r="X22" s="44">
        <f t="shared" si="5"/>
        <v>-127.68844999999985</v>
      </c>
      <c r="Y22" s="40">
        <f>+[15]군산!$H$92/1000</f>
        <v>22.975992265868161</v>
      </c>
      <c r="Z22" s="41">
        <f>+[15]군산!$I$92/1000</f>
        <v>4.8203981065595292</v>
      </c>
      <c r="AA22" s="42">
        <f t="shared" si="6"/>
        <v>-18.155594159308631</v>
      </c>
      <c r="AB22" s="43">
        <f>+[16]군산!$H$92/1000</f>
        <v>117.87004325542985</v>
      </c>
      <c r="AC22" s="44">
        <f t="shared" si="7"/>
        <v>-113.04964514887033</v>
      </c>
    </row>
    <row r="23" spans="2:30" s="6" customFormat="1" ht="22.5" customHeight="1" x14ac:dyDescent="0.3">
      <c r="B23" s="6" t="s">
        <v>73</v>
      </c>
      <c r="G23" s="306"/>
      <c r="H23" s="69"/>
      <c r="I23" s="70" t="s">
        <v>73</v>
      </c>
      <c r="J23" s="40">
        <f>+[4]원주!$H$86/1000</f>
        <v>57.095762757873075</v>
      </c>
      <c r="K23" s="41">
        <f>+[4]원주!$I$86/1000</f>
        <v>93.604435999999978</v>
      </c>
      <c r="L23" s="42">
        <f t="shared" si="0"/>
        <v>36.508673242126903</v>
      </c>
      <c r="M23" s="43">
        <f>+[5]원주!$H$86/1000</f>
        <v>-35.664611000000036</v>
      </c>
      <c r="N23" s="44">
        <f t="shared" si="1"/>
        <v>129.269047</v>
      </c>
      <c r="O23" s="40">
        <f>+[4]원주!$H$92/1000</f>
        <v>36.120174219671881</v>
      </c>
      <c r="P23" s="41">
        <f>+[4]원주!$I$92/1000</f>
        <v>69.57355794376511</v>
      </c>
      <c r="Q23" s="42">
        <f t="shared" si="2"/>
        <v>33.453383724093229</v>
      </c>
      <c r="R23" s="43">
        <f>+[5]원주!$H$92/1000</f>
        <v>-47.222317056987293</v>
      </c>
      <c r="S23" s="44">
        <f t="shared" si="3"/>
        <v>116.7958750007524</v>
      </c>
      <c r="T23" s="40">
        <f>+[15]원주!$H$86/1000</f>
        <v>108.73129436399786</v>
      </c>
      <c r="U23" s="41">
        <f>+[15]원주!$I$86/1000</f>
        <v>75.887510999999961</v>
      </c>
      <c r="V23" s="42">
        <f t="shared" si="4"/>
        <v>-32.8437833639979</v>
      </c>
      <c r="W23" s="43">
        <f>+[16]원주!$H$86/1000</f>
        <v>-76.211322000000095</v>
      </c>
      <c r="X23" s="44">
        <f t="shared" si="5"/>
        <v>152.09883300000007</v>
      </c>
      <c r="Y23" s="40">
        <f>+[15]원주!$H$92/1000</f>
        <v>32.104998483228513</v>
      </c>
      <c r="Z23" s="41">
        <f>+[15]원주!$I$92/1000</f>
        <v>14.055768162002366</v>
      </c>
      <c r="AA23" s="42">
        <f t="shared" si="6"/>
        <v>-18.049230321226148</v>
      </c>
      <c r="AB23" s="43">
        <f>+[16]원주!$H$92/1000</f>
        <v>-118.07159427006606</v>
      </c>
      <c r="AC23" s="44">
        <f t="shared" si="7"/>
        <v>132.12736243206842</v>
      </c>
    </row>
    <row r="24" spans="2:30" s="6" customFormat="1" ht="22.5" customHeight="1" x14ac:dyDescent="0.3">
      <c r="B24" s="6" t="s">
        <v>74</v>
      </c>
      <c r="F24" s="79"/>
      <c r="G24" s="304"/>
      <c r="H24" s="69"/>
      <c r="I24" s="70" t="s">
        <v>74</v>
      </c>
      <c r="J24" s="40">
        <f>+[4]제주!$H$86/1000</f>
        <v>64.524356677264393</v>
      </c>
      <c r="K24" s="41">
        <f>+[4]제주!$I$86/1000</f>
        <v>22.33335399999995</v>
      </c>
      <c r="L24" s="42">
        <f t="shared" si="0"/>
        <v>-42.191002677264443</v>
      </c>
      <c r="M24" s="43">
        <f>+[5]제주!$H$86/1000</f>
        <v>105.08773800000002</v>
      </c>
      <c r="N24" s="44">
        <f t="shared" si="1"/>
        <v>-82.754384000000073</v>
      </c>
      <c r="O24" s="40">
        <f>+[4]제주!$H$92/1000</f>
        <v>29.726642253040641</v>
      </c>
      <c r="P24" s="41">
        <f>+[4]제주!$I$92/1000</f>
        <v>-4.0171506393147354</v>
      </c>
      <c r="Q24" s="42">
        <f t="shared" si="2"/>
        <v>-33.743792892355373</v>
      </c>
      <c r="R24" s="43">
        <f>+[5]제주!$H$92/1000</f>
        <v>68.508839013285098</v>
      </c>
      <c r="S24" s="44">
        <f t="shared" si="3"/>
        <v>-72.525989652599833</v>
      </c>
      <c r="T24" s="40">
        <f>+[15]제주!$H$86/1000</f>
        <v>142.02249247052288</v>
      </c>
      <c r="U24" s="41">
        <f>+[15]제주!$I$86/1000</f>
        <v>17.47347099999978</v>
      </c>
      <c r="V24" s="42">
        <f t="shared" si="4"/>
        <v>-124.5490214705231</v>
      </c>
      <c r="W24" s="43">
        <f>+[16]제주!$H$86/1000</f>
        <v>227.32039100000006</v>
      </c>
      <c r="X24" s="44">
        <f t="shared" si="5"/>
        <v>-209.84692000000027</v>
      </c>
      <c r="Y24" s="40">
        <f>+[15]제주!$H$92/1000</f>
        <v>-1.4874822739159281</v>
      </c>
      <c r="Z24" s="41">
        <f>+[15]제주!$I$92/1000</f>
        <v>-84.42946858632142</v>
      </c>
      <c r="AA24" s="42">
        <f t="shared" si="6"/>
        <v>-82.94198631240549</v>
      </c>
      <c r="AB24" s="43">
        <f>+[16]제주!$H$92/1000</f>
        <v>92.72975599196765</v>
      </c>
      <c r="AC24" s="44">
        <f t="shared" si="7"/>
        <v>-177.15922457828907</v>
      </c>
    </row>
    <row r="25" spans="2:30" s="6" customFormat="1" ht="22.5" customHeight="1" x14ac:dyDescent="0.3">
      <c r="F25" s="463"/>
      <c r="G25" s="307"/>
      <c r="H25" s="69"/>
      <c r="I25" s="73" t="s">
        <v>42</v>
      </c>
      <c r="J25" s="20">
        <f>SUM(J8:J11)</f>
        <v>693.49337724963812</v>
      </c>
      <c r="K25" s="17">
        <f>SUM(K8:K11)</f>
        <v>358.4109840000005</v>
      </c>
      <c r="L25" s="18">
        <f t="shared" si="0"/>
        <v>-335.08239324963762</v>
      </c>
      <c r="M25" s="22">
        <f>SUM(M8:M11)</f>
        <v>179.04149400000105</v>
      </c>
      <c r="N25" s="19">
        <f t="shared" si="1"/>
        <v>179.36948999999944</v>
      </c>
      <c r="O25" s="20">
        <f>SUM(O8:O11)</f>
        <v>210.520919865949</v>
      </c>
      <c r="P25" s="17">
        <f>SUM(P8:P11)</f>
        <v>-145.57198685491232</v>
      </c>
      <c r="Q25" s="18">
        <f t="shared" si="2"/>
        <v>-356.09290672086132</v>
      </c>
      <c r="R25" s="22">
        <f>SUM(R8:R11)</f>
        <v>-258.61765317860272</v>
      </c>
      <c r="S25" s="19">
        <f t="shared" si="3"/>
        <v>113.0456663236904</v>
      </c>
      <c r="T25" s="20">
        <f>SUM(T8:T11)</f>
        <v>608.96045905530332</v>
      </c>
      <c r="U25" s="17">
        <f>SUM(U8:U11)</f>
        <v>149.75155799999982</v>
      </c>
      <c r="V25" s="18">
        <f>+U25-T25</f>
        <v>-459.2089010553035</v>
      </c>
      <c r="W25" s="22">
        <f>SUM(W8:W11)</f>
        <v>52.663745000000517</v>
      </c>
      <c r="X25" s="19">
        <f>+U25-W25</f>
        <v>97.087812999999301</v>
      </c>
      <c r="Y25" s="20">
        <f>SUM(Y8:Y11)</f>
        <v>-987.40822857518208</v>
      </c>
      <c r="Z25" s="17">
        <f>SUM(Z8:Z11)</f>
        <v>-1545.5705378694731</v>
      </c>
      <c r="AA25" s="18">
        <f>+Z25-Y25</f>
        <v>-558.16230929429105</v>
      </c>
      <c r="AB25" s="22">
        <f>SUM(AB8:AB11)</f>
        <v>-1312.2227773298068</v>
      </c>
      <c r="AC25" s="19">
        <f>+Z25-AB25</f>
        <v>-233.3477605396663</v>
      </c>
    </row>
    <row r="26" spans="2:30" s="6" customFormat="1" ht="22.5" customHeight="1" x14ac:dyDescent="0.3">
      <c r="F26" s="463"/>
      <c r="G26" s="304"/>
      <c r="H26" s="69"/>
      <c r="I26" s="73" t="s">
        <v>43</v>
      </c>
      <c r="J26" s="20">
        <f>SUM(J12:J19)</f>
        <v>1023.7330514327398</v>
      </c>
      <c r="K26" s="17">
        <f>SUM(K12:K19)</f>
        <v>643.64260200000012</v>
      </c>
      <c r="L26" s="18">
        <f t="shared" si="0"/>
        <v>-380.09044943273966</v>
      </c>
      <c r="M26" s="22">
        <f>SUM(M12:M19)</f>
        <v>966.84600799999964</v>
      </c>
      <c r="N26" s="19">
        <f t="shared" si="1"/>
        <v>-323.20340599999952</v>
      </c>
      <c r="O26" s="20">
        <f>SUM(O12:O19)</f>
        <v>444.73394827875217</v>
      </c>
      <c r="P26" s="17">
        <f>SUM(P12:P19)</f>
        <v>112.1684543675232</v>
      </c>
      <c r="Q26" s="18">
        <f t="shared" si="2"/>
        <v>-332.56549391122894</v>
      </c>
      <c r="R26" s="22">
        <f>SUM(R12:R19)</f>
        <v>350.29535514470075</v>
      </c>
      <c r="S26" s="19">
        <f t="shared" si="3"/>
        <v>-238.12690077717755</v>
      </c>
      <c r="T26" s="20">
        <f>SUM(T12:T19)</f>
        <v>1191.7451139382665</v>
      </c>
      <c r="U26" s="17">
        <f>SUM(U12:U19)</f>
        <v>855.47517299999947</v>
      </c>
      <c r="V26" s="18">
        <f>+U26-T26</f>
        <v>-336.26994093826704</v>
      </c>
      <c r="W26" s="22">
        <f>SUM(W12:W19)</f>
        <v>1614.9242809999987</v>
      </c>
      <c r="X26" s="19">
        <f>+U26-W26</f>
        <v>-759.44910799999923</v>
      </c>
      <c r="Y26" s="20">
        <f>SUM(Y12:Y19)</f>
        <v>-881.59635450837482</v>
      </c>
      <c r="Z26" s="17">
        <f>SUM(Z12:Z19)</f>
        <v>-1149.4723776271949</v>
      </c>
      <c r="AA26" s="18">
        <f>+Z26-Y26</f>
        <v>-267.87602311882006</v>
      </c>
      <c r="AB26" s="22">
        <f>SUM(AB12:AB19)</f>
        <v>-373.29676151663597</v>
      </c>
      <c r="AC26" s="19">
        <f>+Z26-AB26</f>
        <v>-776.17561611055885</v>
      </c>
    </row>
    <row r="27" spans="2:30" s="6" customFormat="1" ht="22.5" customHeight="1" x14ac:dyDescent="0.3">
      <c r="F27" s="463"/>
      <c r="G27" s="304"/>
      <c r="H27" s="69"/>
      <c r="I27" s="73" t="s">
        <v>104</v>
      </c>
      <c r="J27" s="20">
        <f>SUM(J20:J24)</f>
        <v>349.95369771060382</v>
      </c>
      <c r="K27" s="17">
        <f>SUM(K20:K24)</f>
        <v>412.4022040000001</v>
      </c>
      <c r="L27" s="18">
        <f t="shared" si="0"/>
        <v>62.448506289396278</v>
      </c>
      <c r="M27" s="22">
        <f>SUM(M20:M24)</f>
        <v>546.99923399999989</v>
      </c>
      <c r="N27" s="19">
        <f t="shared" si="1"/>
        <v>-134.59702999999979</v>
      </c>
      <c r="O27" s="20">
        <f>SUM(O20:O24)</f>
        <v>122.41440030376519</v>
      </c>
      <c r="P27" s="17">
        <f>SUM(P20:P24)</f>
        <v>153.29609988480888</v>
      </c>
      <c r="Q27" s="18">
        <f t="shared" si="2"/>
        <v>30.881699581043691</v>
      </c>
      <c r="R27" s="22">
        <f>SUM(R20:R24)</f>
        <v>262.46455287826018</v>
      </c>
      <c r="S27" s="19">
        <f t="shared" si="3"/>
        <v>-109.1684529934513</v>
      </c>
      <c r="T27" s="20">
        <f>SUM(T20:T24)</f>
        <v>296.14307833986015</v>
      </c>
      <c r="U27" s="17">
        <f>SUM(U20:U24)</f>
        <v>276.38873900000033</v>
      </c>
      <c r="V27" s="18">
        <f>+U27-T27</f>
        <v>-19.754339339859825</v>
      </c>
      <c r="W27" s="22">
        <f>SUM(W20:W24)</f>
        <v>990.40959899999973</v>
      </c>
      <c r="X27" s="19">
        <f>+U27-W27</f>
        <v>-714.0208599999994</v>
      </c>
      <c r="Y27" s="20">
        <f>SUM(Y20:Y24)</f>
        <v>-391.57360353998354</v>
      </c>
      <c r="Z27" s="17">
        <f>SUM(Z20:Z24)</f>
        <v>-531.98935051875696</v>
      </c>
      <c r="AA27" s="18">
        <f>+Z27-Y27</f>
        <v>-140.41574697877343</v>
      </c>
      <c r="AB27" s="22">
        <f>SUM(AB20:AB24)</f>
        <v>90.684595743320401</v>
      </c>
      <c r="AC27" s="19">
        <f>+Z27-AB27</f>
        <v>-622.67394626207738</v>
      </c>
    </row>
    <row r="28" spans="2:30" s="1" customFormat="1" ht="22.5" customHeight="1" x14ac:dyDescent="0.3">
      <c r="B28" s="23"/>
      <c r="F28" s="452"/>
      <c r="G28" s="306"/>
      <c r="H28" s="501" t="s">
        <v>93</v>
      </c>
      <c r="I28" s="502"/>
      <c r="J28" s="503">
        <f>SUM(J25:J27)</f>
        <v>2067.1801263929819</v>
      </c>
      <c r="K28" s="504">
        <f>SUM(K25:K27)</f>
        <v>1414.4557900000009</v>
      </c>
      <c r="L28" s="505">
        <f t="shared" si="0"/>
        <v>-652.72433639298106</v>
      </c>
      <c r="M28" s="506">
        <f>SUM(M25:M27)</f>
        <v>1692.8867360000006</v>
      </c>
      <c r="N28" s="507">
        <f t="shared" si="1"/>
        <v>-278.43094599999972</v>
      </c>
      <c r="O28" s="503">
        <f>SUM(O25:O27)</f>
        <v>777.66926844846637</v>
      </c>
      <c r="P28" s="504">
        <f>SUM(P25:P27)</f>
        <v>119.89256739741975</v>
      </c>
      <c r="Q28" s="505">
        <f t="shared" si="2"/>
        <v>-657.77670105104664</v>
      </c>
      <c r="R28" s="506">
        <f>SUM(R25:R27)</f>
        <v>354.14225484435821</v>
      </c>
      <c r="S28" s="507">
        <f t="shared" si="3"/>
        <v>-234.24968744693845</v>
      </c>
      <c r="T28" s="503">
        <f>SUM(T25:T27)</f>
        <v>2096.8486513334301</v>
      </c>
      <c r="U28" s="504">
        <f>SUM(U25:U27)</f>
        <v>1281.6154699999997</v>
      </c>
      <c r="V28" s="505">
        <f>+U28-T28</f>
        <v>-815.23318133343037</v>
      </c>
      <c r="W28" s="506">
        <f>SUM(W25:W27)</f>
        <v>2657.9976249999991</v>
      </c>
      <c r="X28" s="507">
        <f>+U28-W28</f>
        <v>-1376.3821549999993</v>
      </c>
      <c r="Y28" s="503">
        <f>SUM(Y25:Y27)</f>
        <v>-2260.5781866235407</v>
      </c>
      <c r="Z28" s="504">
        <f>SUM(Z25:Z27)</f>
        <v>-3227.0322660154247</v>
      </c>
      <c r="AA28" s="505">
        <f>+Z28-Y28</f>
        <v>-966.45407939188408</v>
      </c>
      <c r="AB28" s="506">
        <f>SUM(AB25:AB27)</f>
        <v>-1594.8349431031224</v>
      </c>
      <c r="AC28" s="507">
        <f>+Z28-AB28</f>
        <v>-1632.1973229123023</v>
      </c>
      <c r="AD28" s="23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R80"/>
  <sheetViews>
    <sheetView showGridLines="0" showZeros="0" tabSelected="1" topLeftCell="F17" zoomScale="85" zoomScaleNormal="85" zoomScaleSheetLayoutView="85" workbookViewId="0">
      <selection activeCell="AF31" sqref="AF3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3" ht="18" customHeight="1" x14ac:dyDescent="0.3">
      <c r="H1" s="2"/>
      <c r="K1" s="4"/>
      <c r="L1" s="4"/>
      <c r="P1" s="4"/>
      <c r="Q1" s="4"/>
    </row>
    <row r="2" spans="1:43" ht="18" customHeight="1" x14ac:dyDescent="0.3">
      <c r="H2" s="5"/>
      <c r="AD2" s="3"/>
      <c r="AG2" s="3"/>
    </row>
    <row r="3" spans="1:43" ht="26.25" x14ac:dyDescent="0.3">
      <c r="H3" s="2" t="s">
        <v>209</v>
      </c>
      <c r="AD3" s="3"/>
      <c r="AG3" s="3"/>
    </row>
    <row r="4" spans="1:43" ht="18" customHeight="1" x14ac:dyDescent="0.3">
      <c r="H4" s="5"/>
      <c r="AD4" s="3"/>
      <c r="AG4" s="3" t="s">
        <v>76</v>
      </c>
    </row>
    <row r="5" spans="1:43" s="6" customFormat="1" ht="19.5" customHeight="1" x14ac:dyDescent="0.3">
      <c r="G5" s="304"/>
      <c r="H5" s="688" t="s">
        <v>35</v>
      </c>
      <c r="I5" s="689"/>
      <c r="J5" s="145" t="s">
        <v>51</v>
      </c>
      <c r="K5" s="146"/>
      <c r="L5" s="146"/>
      <c r="M5" s="146"/>
      <c r="N5" s="147"/>
      <c r="O5" s="145" t="s">
        <v>52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I5" s="636" t="s">
        <v>191</v>
      </c>
      <c r="AJ5" s="636"/>
      <c r="AK5" s="636"/>
      <c r="AL5" s="636"/>
    </row>
    <row r="6" spans="1:43" s="6" customFormat="1" ht="19.5" customHeight="1" x14ac:dyDescent="0.3">
      <c r="A6" s="6" t="s">
        <v>208</v>
      </c>
      <c r="G6" s="304"/>
      <c r="H6" s="690"/>
      <c r="I6" s="687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I6" s="608" t="s">
        <v>192</v>
      </c>
      <c r="AJ6" s="608" t="s">
        <v>36</v>
      </c>
      <c r="AK6" s="608" t="s">
        <v>193</v>
      </c>
      <c r="AL6" s="608" t="s">
        <v>38</v>
      </c>
      <c r="AO6" s="661" t="s">
        <v>181</v>
      </c>
      <c r="AP6" s="661" t="s">
        <v>38</v>
      </c>
    </row>
    <row r="7" spans="1:43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+IFERROR(HLOOKUP($B7,'[1]3월'!$D$6:$BN$259,2,),)/1000</f>
        <v>39</v>
      </c>
      <c r="K7" s="31">
        <f>+IFERROR(HLOOKUP($B7,'[2]3월'!$F$6:$CP$99,2,),)/1000</f>
        <v>42.206000000000003</v>
      </c>
      <c r="L7" s="32">
        <f t="shared" ref="L7:L26" si="0">+K7-J7</f>
        <v>3.2060000000000031</v>
      </c>
      <c r="M7" s="33">
        <f>+IFERROR(HLOOKUP($B7,'[3]3월'!$F$6:$CC$57,2,),)/1000</f>
        <v>38.107999999999997</v>
      </c>
      <c r="N7" s="34">
        <f>+K7-M7</f>
        <v>4.0980000000000061</v>
      </c>
      <c r="O7" s="30">
        <f>+IFERROR(HLOOKUP($B7,'[1]3월'!$D$6:$BN$259,3,),)/1000</f>
        <v>3831.7190799999998</v>
      </c>
      <c r="P7" s="31">
        <f>+IFERROR(HLOOKUP($B7,'[2]3월'!$F$6:$CP$99,3,),)/1000</f>
        <v>4199.5077240000001</v>
      </c>
      <c r="Q7" s="32">
        <f>+P7-O7</f>
        <v>367.7886440000002</v>
      </c>
      <c r="R7" s="33">
        <f>+IFERROR(HLOOKUP($B7,'[3]3월'!$F$6:$CC$57,3,),)/1000</f>
        <v>3546.3356370000001</v>
      </c>
      <c r="S7" s="34">
        <f>+P7-R7</f>
        <v>653.17208699999992</v>
      </c>
      <c r="T7" s="30">
        <f>+IFERROR(HLOOKUP($B7,'[1]3월'!$D$6:$BN$259,16,),)/1000</f>
        <v>399.94343519167501</v>
      </c>
      <c r="U7" s="31">
        <f>+IFERROR(HLOOKUP($B7,'[2]3월'!$F$6:$CP$99,16,),)/1000</f>
        <v>386.86275700000039</v>
      </c>
      <c r="V7" s="35">
        <f>+U7-T7</f>
        <v>-13.080678191674622</v>
      </c>
      <c r="W7" s="36">
        <f>+IFERROR(HLOOKUP($B7,'[3]3월'!$F$6:$CC$57,16,),)/1000</f>
        <v>190.61490200000023</v>
      </c>
      <c r="X7" s="34">
        <f>+U7-W7</f>
        <v>196.24785500000016</v>
      </c>
      <c r="Y7" s="30">
        <f>+[4]안양!$Q$85</f>
        <v>98249.207179487188</v>
      </c>
      <c r="Z7" s="31">
        <f>+[4]안양!$R$85</f>
        <v>99500.254087096633</v>
      </c>
      <c r="AA7" s="37">
        <f>+[5]안양!$Q$85</f>
        <v>93013.190757102799</v>
      </c>
      <c r="AB7" s="38">
        <f>+[4]안양!$Q$89</f>
        <v>79596.721101210598</v>
      </c>
      <c r="AC7" s="31">
        <f>+[4]안양!$R$89</f>
        <v>82719.119158712492</v>
      </c>
      <c r="AD7" s="39">
        <f>+[5]안양!$Q$89</f>
        <v>80028.848877739641</v>
      </c>
      <c r="AE7" s="38">
        <f>+Y7-AB7</f>
        <v>18652.48607827659</v>
      </c>
      <c r="AF7" s="31">
        <f>+Z7-AC7</f>
        <v>16781.134928384141</v>
      </c>
      <c r="AG7" s="39">
        <f>+AA7-AD7</f>
        <v>12984.341879363157</v>
      </c>
      <c r="AH7" s="15"/>
      <c r="AI7" s="637" t="str">
        <f t="shared" ref="AI7:AI26" si="1">+I7</f>
        <v>안양</v>
      </c>
      <c r="AJ7" s="463">
        <f t="shared" ref="AJ7:AJ27" si="2">+J7/$J$27</f>
        <v>0.15087040618955513</v>
      </c>
      <c r="AK7" s="463">
        <f t="shared" ref="AK7:AK27" si="3">+K7/$K$27</f>
        <v>0.17712997897405122</v>
      </c>
      <c r="AL7" s="463">
        <f>+AK7-AJ7</f>
        <v>2.6259572784496088E-2</v>
      </c>
      <c r="AM7" s="453">
        <f t="shared" ref="AM7:AM26" si="4">+Y7*AL7</f>
        <v>2579.9822069487795</v>
      </c>
      <c r="AO7" s="463">
        <f>+[17]안양!$T$5/[17]합계!$T$5</f>
        <v>0.17133798798887118</v>
      </c>
      <c r="AP7" s="463">
        <f>+AK7-AO7</f>
        <v>5.7919909851800455E-3</v>
      </c>
      <c r="AQ7" s="453">
        <f>+[17]안양!$Q$85*AP7</f>
        <v>605.48869426681745</v>
      </c>
    </row>
    <row r="8" spans="1:43" s="6" customFormat="1" ht="22.5" customHeight="1" x14ac:dyDescent="0.3">
      <c r="B8" s="6" t="s">
        <v>19</v>
      </c>
      <c r="G8" s="306" t="str">
        <f t="shared" ref="G8:G26" si="5">+I8</f>
        <v>인천</v>
      </c>
      <c r="H8" s="69" t="s">
        <v>41</v>
      </c>
      <c r="I8" s="70" t="s">
        <v>19</v>
      </c>
      <c r="J8" s="40">
        <f>+IFERROR(HLOOKUP($B8,'[1]3월'!$D$6:$BN$259,2,),)/1000</f>
        <v>35</v>
      </c>
      <c r="K8" s="41">
        <f>+IFERROR(HLOOKUP($B8,'[2]3월'!$F$6:$CP$99,2,),)/1000</f>
        <v>31.686499999999999</v>
      </c>
      <c r="L8" s="42">
        <f t="shared" si="0"/>
        <v>-3.3135000000000012</v>
      </c>
      <c r="M8" s="43">
        <f>+IFERROR(HLOOKUP($B8,'[3]3월'!$F$6:$CC$57,2,),)/1000</f>
        <v>32.762999999999998</v>
      </c>
      <c r="N8" s="44">
        <f t="shared" ref="N8:N26" si="6">+K8-M8</f>
        <v>-1.0764999999999993</v>
      </c>
      <c r="O8" s="40">
        <f>+IFERROR(HLOOKUP($B8,'[1]3월'!$D$6:$BN$259,3,),)/1000</f>
        <v>3614.547290516156</v>
      </c>
      <c r="P8" s="41">
        <f>+IFERROR(HLOOKUP($B8,'[2]3월'!$F$6:$CP$99,3,),)/1000</f>
        <v>3164.435982</v>
      </c>
      <c r="Q8" s="42">
        <f t="shared" ref="Q8:Q26" si="7">+P8-O8</f>
        <v>-450.11130851615599</v>
      </c>
      <c r="R8" s="43">
        <f>+IFERROR(HLOOKUP($B8,'[3]3월'!$F$6:$CC$57,3,),)/1000</f>
        <v>3135.3549370000005</v>
      </c>
      <c r="S8" s="44">
        <f t="shared" ref="S8:S26" si="8">+P8-R8</f>
        <v>29.081044999999449</v>
      </c>
      <c r="T8" s="40">
        <f>+IFERROR(HLOOKUP($B8,'[1]3월'!$D$6:$BN$259,16,),)/1000</f>
        <v>233.65111015531531</v>
      </c>
      <c r="U8" s="41">
        <f>+IFERROR(HLOOKUP($B8,'[2]3월'!$F$6:$CP$99,16,),)/1000</f>
        <v>34.480905000000348</v>
      </c>
      <c r="V8" s="42">
        <f t="shared" ref="V8:V26" si="9">+U8-T8</f>
        <v>-199.17020515531496</v>
      </c>
      <c r="W8" s="43">
        <f>+IFERROR(HLOOKUP($B8,'[3]3월'!$F$6:$CC$57,16,),)/1000</f>
        <v>97.876781000000676</v>
      </c>
      <c r="X8" s="44">
        <f t="shared" ref="X8:X26" si="10">+U8-W8</f>
        <v>-63.395876000000328</v>
      </c>
      <c r="Y8" s="40">
        <f>+[4]인천!$Q$85</f>
        <v>103272.77972903302</v>
      </c>
      <c r="Z8" s="41">
        <f>+[4]인천!$R$85</f>
        <v>100098.24132570476</v>
      </c>
      <c r="AA8" s="45">
        <f>+[5]인천!$Q$85</f>
        <v>95722.432365145243</v>
      </c>
      <c r="AB8" s="46">
        <f>+[4]인천!$Q$89</f>
        <v>86782.692753166863</v>
      </c>
      <c r="AC8" s="41">
        <f>+[4]인천!$R$89</f>
        <v>88307.175986024973</v>
      </c>
      <c r="AD8" s="47">
        <f>+[5]인천!$Q$89</f>
        <v>84108.984324573539</v>
      </c>
      <c r="AE8" s="46">
        <f t="shared" ref="AE8:AE27" si="11">+Y8-AB8</f>
        <v>16490.086975866157</v>
      </c>
      <c r="AF8" s="41">
        <f t="shared" ref="AF8:AF27" si="12">+Z8-AC8</f>
        <v>11791.065339679786</v>
      </c>
      <c r="AG8" s="47">
        <f t="shared" ref="AG8:AG27" si="13">+AA8-AD8</f>
        <v>11613.448040571704</v>
      </c>
      <c r="AH8" s="15"/>
      <c r="AI8" s="638" t="str">
        <f t="shared" si="1"/>
        <v>인천</v>
      </c>
      <c r="AJ8" s="463">
        <f t="shared" si="2"/>
        <v>0.13539651837524178</v>
      </c>
      <c r="AK8" s="463">
        <f t="shared" si="3"/>
        <v>0.13298178170784422</v>
      </c>
      <c r="AL8" s="463">
        <f t="shared" ref="AL8:AL27" si="14">+AK8-AJ8</f>
        <v>-2.4147366673975545E-3</v>
      </c>
      <c r="AM8" s="453">
        <f t="shared" si="4"/>
        <v>-249.37656795576692</v>
      </c>
      <c r="AO8" s="463">
        <f>+[17]인천!$T$5/[17]합계!$T$5</f>
        <v>0.12629331388338264</v>
      </c>
      <c r="AP8" s="463">
        <f t="shared" ref="AP8:AP27" si="15">+AK8-AO8</f>
        <v>6.6884678244615858E-3</v>
      </c>
      <c r="AQ8" s="453">
        <f>+[17]인천!$Q$85*AP8</f>
        <v>691.82482068133368</v>
      </c>
    </row>
    <row r="9" spans="1:43" s="6" customFormat="1" ht="22.5" customHeight="1" x14ac:dyDescent="0.3">
      <c r="B9" s="6" t="s">
        <v>20</v>
      </c>
      <c r="G9" s="306" t="str">
        <f t="shared" si="5"/>
        <v>파주</v>
      </c>
      <c r="H9" s="69"/>
      <c r="I9" s="70" t="s">
        <v>20</v>
      </c>
      <c r="J9" s="40">
        <f>+IFERROR(HLOOKUP($B9,'[1]3월'!$D$6:$BN$259,2,),)/1000</f>
        <v>15</v>
      </c>
      <c r="K9" s="41">
        <f>+IFERROR(HLOOKUP($B9,'[2]3월'!$F$6:$CP$99,2,),)/1000</f>
        <v>11.21</v>
      </c>
      <c r="L9" s="42">
        <f t="shared" si="0"/>
        <v>-3.7899999999999991</v>
      </c>
      <c r="M9" s="43">
        <f>+IFERROR(HLOOKUP($B9,'[3]3월'!$F$6:$CC$57,2,),)/1000</f>
        <v>10.788</v>
      </c>
      <c r="N9" s="44">
        <f t="shared" si="6"/>
        <v>0.4220000000000006</v>
      </c>
      <c r="O9" s="40">
        <f>+IFERROR(HLOOKUP($B9,'[1]3월'!$D$6:$BN$259,3,),)/1000</f>
        <v>1474.7734613999999</v>
      </c>
      <c r="P9" s="41">
        <f>+IFERROR(HLOOKUP($B9,'[2]3월'!$F$6:$CP$99,3,),)/1000</f>
        <v>1096.9933999999998</v>
      </c>
      <c r="Q9" s="42">
        <f t="shared" si="7"/>
        <v>-377.78006140000002</v>
      </c>
      <c r="R9" s="43">
        <f>+IFERROR(HLOOKUP($B9,'[3]3월'!$F$6:$CC$57,3,),)/1000</f>
        <v>908.57351500000004</v>
      </c>
      <c r="S9" s="44">
        <f t="shared" si="8"/>
        <v>188.41988499999979</v>
      </c>
      <c r="T9" s="40">
        <f>+IFERROR(HLOOKUP($B9,'[1]3월'!$D$6:$BN$259,16,),)/1000</f>
        <v>20.418977350833824</v>
      </c>
      <c r="U9" s="41">
        <f>+IFERROR(HLOOKUP($B9,'[2]3월'!$F$6:$CP$99,16,),)/1000</f>
        <v>-80.522035000000102</v>
      </c>
      <c r="V9" s="42">
        <f t="shared" si="9"/>
        <v>-100.94101235083393</v>
      </c>
      <c r="W9" s="43">
        <f>+IFERROR(HLOOKUP($B9,'[3]3월'!$F$6:$CC$57,16,),)/1000</f>
        <v>-148.31220099999993</v>
      </c>
      <c r="X9" s="44">
        <f t="shared" si="10"/>
        <v>67.790165999999829</v>
      </c>
      <c r="Y9" s="40">
        <f>+[4]파주!$Q$85</f>
        <v>98318.230759999991</v>
      </c>
      <c r="Z9" s="41">
        <f>+[4]파주!$R$85</f>
        <v>97858.465655664579</v>
      </c>
      <c r="AA9" s="45">
        <f>+[5]파주!$Q$85</f>
        <v>84220.755932517626</v>
      </c>
      <c r="AB9" s="46">
        <f>+[4]파주!$Q$89</f>
        <v>80311.25092549996</v>
      </c>
      <c r="AC9" s="41">
        <f>+[4]파주!$R$89</f>
        <v>87277.202765388036</v>
      </c>
      <c r="AD9" s="47">
        <f>+[5]파주!$Q$89</f>
        <v>77980.047923618826</v>
      </c>
      <c r="AE9" s="46">
        <f t="shared" si="11"/>
        <v>18006.979834500031</v>
      </c>
      <c r="AF9" s="41">
        <f t="shared" si="12"/>
        <v>10581.262890276543</v>
      </c>
      <c r="AG9" s="47">
        <f t="shared" si="13"/>
        <v>6240.7080088988005</v>
      </c>
      <c r="AH9" s="15"/>
      <c r="AI9" s="638" t="str">
        <f t="shared" si="1"/>
        <v>파주</v>
      </c>
      <c r="AJ9" s="463">
        <f t="shared" si="2"/>
        <v>5.8027079303675046E-2</v>
      </c>
      <c r="AK9" s="463">
        <f t="shared" si="3"/>
        <v>4.7046085018696733E-2</v>
      </c>
      <c r="AL9" s="463">
        <f t="shared" si="14"/>
        <v>-1.0980994284978313E-2</v>
      </c>
      <c r="AM9" s="453">
        <f t="shared" si="4"/>
        <v>-1079.6319300847388</v>
      </c>
      <c r="AO9" s="463">
        <f>+[17]파주!$T$5/[17]합계!$T$5</f>
        <v>4.9850302042833028E-2</v>
      </c>
      <c r="AP9" s="463">
        <f t="shared" si="15"/>
        <v>-2.8042170241362949E-3</v>
      </c>
      <c r="AQ9" s="453">
        <f>+[17]파주!$Q$85*AP9</f>
        <v>-274.01220530748856</v>
      </c>
    </row>
    <row r="10" spans="1:43" s="6" customFormat="1" ht="22.5" customHeight="1" x14ac:dyDescent="0.3">
      <c r="B10" s="6" t="s">
        <v>107</v>
      </c>
      <c r="G10" s="306" t="str">
        <f t="shared" si="5"/>
        <v>김포</v>
      </c>
      <c r="H10" s="69"/>
      <c r="I10" s="70" t="s">
        <v>106</v>
      </c>
      <c r="J10" s="40">
        <f>+IFERROR(HLOOKUP($B10,'[1]3월'!$D$6:$BN$259,2,),)/1000</f>
        <v>13</v>
      </c>
      <c r="K10" s="41">
        <f>+IFERROR(HLOOKUP($B10,'[2]3월'!$F$6:$CP$99,2,),)/1000</f>
        <v>14.1485</v>
      </c>
      <c r="L10" s="42">
        <f t="shared" si="0"/>
        <v>1.1485000000000003</v>
      </c>
      <c r="M10" s="43">
        <f>+IFERROR(HLOOKUP($B10,'[3]3월'!$F$6:$CC$57,2,),)/1000</f>
        <v>11.811</v>
      </c>
      <c r="N10" s="44">
        <f t="shared" si="6"/>
        <v>2.3375000000000004</v>
      </c>
      <c r="O10" s="40">
        <f>+IFERROR(HLOOKUP($B10,'[1]3월'!$D$6:$BN$259,3,),)/1000</f>
        <v>1297.8521203999999</v>
      </c>
      <c r="P10" s="41">
        <f>+IFERROR(HLOOKUP($B10,'[2]3월'!$F$6:$CP$99,3,),)/1000</f>
        <v>1343.0547239999999</v>
      </c>
      <c r="Q10" s="42">
        <f t="shared" si="7"/>
        <v>45.202603599999975</v>
      </c>
      <c r="R10" s="43">
        <f>+IFERROR(HLOOKUP($B10,'[3]3월'!$F$6:$CC$57,3,),)/1000</f>
        <v>1104.7601700000002</v>
      </c>
      <c r="S10" s="44">
        <f t="shared" si="8"/>
        <v>238.29455399999961</v>
      </c>
      <c r="T10" s="40">
        <f>+IFERROR(HLOOKUP($B10,'[1]3월'!$D$6:$BN$259,16,),)/1000</f>
        <v>39.479854551813901</v>
      </c>
      <c r="U10" s="41">
        <f>+IFERROR(HLOOKUP($B10,'[2]3월'!$F$6:$CP$99,16,),)/1000</f>
        <v>17.58935699999989</v>
      </c>
      <c r="V10" s="42">
        <f t="shared" si="9"/>
        <v>-21.890497551814011</v>
      </c>
      <c r="W10" s="43">
        <f>+IFERROR(HLOOKUP($B10,'[3]3월'!$F$6:$CC$57,16,),)/1000</f>
        <v>38.862012000000114</v>
      </c>
      <c r="X10" s="44">
        <f t="shared" si="10"/>
        <v>-21.272655000000224</v>
      </c>
      <c r="Y10" s="40">
        <f>+[4]김포!$Q$85</f>
        <v>99834.778492307698</v>
      </c>
      <c r="Z10" s="41">
        <f>+[4]김포!$R$85</f>
        <v>94963.24080445501</v>
      </c>
      <c r="AA10" s="45">
        <f>+[5]김포!$Q$85</f>
        <v>93540.988217080943</v>
      </c>
      <c r="AB10" s="46">
        <f>+[4]김포!$Q$89</f>
        <v>80824.078766099774</v>
      </c>
      <c r="AC10" s="41">
        <f>+[4]김포!$R$89</f>
        <v>80146.74302131735</v>
      </c>
      <c r="AD10" s="47">
        <f>+[5]김포!$Q$89</f>
        <v>75925.280811903329</v>
      </c>
      <c r="AE10" s="46">
        <f t="shared" si="11"/>
        <v>19010.699726207924</v>
      </c>
      <c r="AF10" s="41">
        <f t="shared" si="12"/>
        <v>14816.49778313766</v>
      </c>
      <c r="AG10" s="47">
        <f t="shared" si="13"/>
        <v>17615.707405177614</v>
      </c>
      <c r="AH10" s="15"/>
      <c r="AI10" s="638" t="str">
        <f t="shared" si="1"/>
        <v>김포</v>
      </c>
      <c r="AJ10" s="463">
        <f t="shared" si="2"/>
        <v>5.0290135396518373E-2</v>
      </c>
      <c r="AK10" s="463">
        <f t="shared" si="3"/>
        <v>5.9378370551920669E-2</v>
      </c>
      <c r="AL10" s="463">
        <f t="shared" si="14"/>
        <v>9.0882351554022953E-3</v>
      </c>
      <c r="AM10" s="453">
        <f t="shared" si="4"/>
        <v>907.32194362559176</v>
      </c>
      <c r="AO10" s="463">
        <f>+[17]김포!$T$5/[17]합계!$T$5</f>
        <v>4.5244663517813762E-2</v>
      </c>
      <c r="AP10" s="463">
        <f t="shared" si="15"/>
        <v>1.4133707034106907E-2</v>
      </c>
      <c r="AQ10" s="453">
        <f>+[17]김포!$Q$85*AP10</f>
        <v>1383.9311158987186</v>
      </c>
    </row>
    <row r="11" spans="1:43" s="6" customFormat="1" ht="22.5" customHeight="1" x14ac:dyDescent="0.3">
      <c r="B11" s="6" t="s">
        <v>21</v>
      </c>
      <c r="G11" s="304" t="str">
        <f t="shared" si="5"/>
        <v>부산</v>
      </c>
      <c r="H11" s="69"/>
      <c r="I11" s="71" t="s">
        <v>21</v>
      </c>
      <c r="J11" s="57">
        <f>+IFERROR(HLOOKUP($B11,'[1]3월'!$D$6:$BN$259,2,),)/1000</f>
        <v>20</v>
      </c>
      <c r="K11" s="58">
        <f>+IFERROR(HLOOKUP($B11,'[2]3월'!$F$6:$CP$99,2,),)/1000</f>
        <v>21.736999999999998</v>
      </c>
      <c r="L11" s="59">
        <f t="shared" si="0"/>
        <v>1.7369999999999983</v>
      </c>
      <c r="M11" s="60">
        <f>+IFERROR(HLOOKUP($B11,'[3]3월'!$F$6:$CC$57,2,),)/1000</f>
        <v>23.72</v>
      </c>
      <c r="N11" s="61">
        <f t="shared" si="6"/>
        <v>-1.9830000000000005</v>
      </c>
      <c r="O11" s="57">
        <f>+IFERROR(HLOOKUP($B11,'[1]3월'!$D$6:$BN$259,3,),)/1000</f>
        <v>2226.0191053999997</v>
      </c>
      <c r="P11" s="58">
        <f>+IFERROR(HLOOKUP($B11,'[2]3월'!$F$6:$CP$99,3,),)/1000</f>
        <v>2591.1932999999999</v>
      </c>
      <c r="Q11" s="59">
        <f t="shared" si="7"/>
        <v>365.17419460000019</v>
      </c>
      <c r="R11" s="60">
        <f>+IFERROR(HLOOKUP($B11,'[3]3월'!$F$6:$CC$57,3,),)/1000</f>
        <v>2548.5624199999997</v>
      </c>
      <c r="S11" s="61">
        <f t="shared" si="8"/>
        <v>42.630880000000161</v>
      </c>
      <c r="T11" s="57">
        <f>+IFERROR(HLOOKUP($B11,'[1]3월'!$D$6:$BN$259,16,),)/1000</f>
        <v>252.02689735001675</v>
      </c>
      <c r="U11" s="58">
        <f>+IFERROR(HLOOKUP($B11,'[2]3월'!$F$6:$CP$99,16,),)/1000</f>
        <v>323.34981799999991</v>
      </c>
      <c r="V11" s="59">
        <f t="shared" si="9"/>
        <v>71.322920649983161</v>
      </c>
      <c r="W11" s="60">
        <f>+IFERROR(HLOOKUP($B11,'[3]3월'!$F$6:$CC$57,16,),)/1000</f>
        <v>403.32277399999981</v>
      </c>
      <c r="X11" s="61">
        <f t="shared" si="10"/>
        <v>-79.972955999999897</v>
      </c>
      <c r="Y11" s="57">
        <f>+[4]부산!$Q$85</f>
        <v>111300.95526999999</v>
      </c>
      <c r="Z11" s="58">
        <f>+[4]부산!$R$85</f>
        <v>119206.57404425633</v>
      </c>
      <c r="AA11" s="62">
        <f>+[5]부산!$Q$85</f>
        <v>107443.60961214165</v>
      </c>
      <c r="AB11" s="63">
        <f>+[4]부산!$Q$89</f>
        <v>85361.194948332472</v>
      </c>
      <c r="AC11" s="58">
        <f>+[4]부산!$R$89</f>
        <v>93223.68145661868</v>
      </c>
      <c r="AD11" s="64">
        <f>+[5]부산!$Q$89</f>
        <v>80237.381064690038</v>
      </c>
      <c r="AE11" s="63">
        <f t="shared" si="11"/>
        <v>25939.76032166752</v>
      </c>
      <c r="AF11" s="58">
        <f t="shared" si="12"/>
        <v>25982.892587637645</v>
      </c>
      <c r="AG11" s="64">
        <f t="shared" si="13"/>
        <v>27206.22854745161</v>
      </c>
      <c r="AH11" s="15"/>
      <c r="AI11" s="638" t="str">
        <f t="shared" si="1"/>
        <v>부산</v>
      </c>
      <c r="AJ11" s="463">
        <f t="shared" si="2"/>
        <v>7.7369439071566737E-2</v>
      </c>
      <c r="AK11" s="463">
        <f t="shared" si="3"/>
        <v>9.122575825614726E-2</v>
      </c>
      <c r="AL11" s="463">
        <f t="shared" si="14"/>
        <v>1.3856319184580523E-2</v>
      </c>
      <c r="AM11" s="453">
        <f t="shared" si="4"/>
        <v>1542.2215617698396</v>
      </c>
      <c r="AO11" s="463">
        <f>+[17]부산!$T$5/[17]합계!$T$5</f>
        <v>0.11544094724396943</v>
      </c>
      <c r="AP11" s="463">
        <f t="shared" si="15"/>
        <v>-2.421518898782217E-2</v>
      </c>
      <c r="AQ11" s="453">
        <f>+[17]부산!$Q$85*AP11</f>
        <v>-2815.3147390461481</v>
      </c>
    </row>
    <row r="12" spans="1:43" s="6" customFormat="1" ht="22.5" customHeight="1" x14ac:dyDescent="0.3">
      <c r="B12" s="6" t="s">
        <v>22</v>
      </c>
      <c r="G12" s="304" t="str">
        <f t="shared" si="5"/>
        <v>서부산</v>
      </c>
      <c r="H12" s="69"/>
      <c r="I12" s="70" t="s">
        <v>22</v>
      </c>
      <c r="J12" s="40">
        <f>+IFERROR(HLOOKUP($B12,'[1]3월'!$D$6:$BN$259,2,),)/1000</f>
        <v>20</v>
      </c>
      <c r="K12" s="41">
        <f>+IFERROR(HLOOKUP($B12,'[2]3월'!$F$6:$CP$99,2,),)/1000</f>
        <v>20.056000000000001</v>
      </c>
      <c r="L12" s="42">
        <f t="shared" si="0"/>
        <v>5.6000000000000938E-2</v>
      </c>
      <c r="M12" s="43">
        <f>+IFERROR(HLOOKUP($B12,'[3]3월'!$F$6:$CC$57,2,),)/1000</f>
        <v>17.535</v>
      </c>
      <c r="N12" s="44">
        <f t="shared" si="6"/>
        <v>2.5210000000000008</v>
      </c>
      <c r="O12" s="40">
        <f>+IFERROR(HLOOKUP($B12,'[1]3월'!$D$6:$BN$259,3,),)/1000</f>
        <v>2081.7195934399997</v>
      </c>
      <c r="P12" s="41">
        <f>+IFERROR(HLOOKUP($B12,'[2]3월'!$F$6:$CP$99,3,),)/1000</f>
        <v>2055.1995999999999</v>
      </c>
      <c r="Q12" s="42">
        <f t="shared" si="7"/>
        <v>-26.51999343999978</v>
      </c>
      <c r="R12" s="43">
        <f>+IFERROR(HLOOKUP($B12,'[3]3월'!$F$6:$CC$57,3,),)/1000</f>
        <v>1689.652018</v>
      </c>
      <c r="S12" s="44">
        <f t="shared" si="8"/>
        <v>365.54758199999992</v>
      </c>
      <c r="T12" s="40">
        <f>+IFERROR(HLOOKUP($B12,'[1]3월'!$D$6:$BN$259,16,),)/1000</f>
        <v>303.00484843381031</v>
      </c>
      <c r="U12" s="41">
        <f>+IFERROR(HLOOKUP($B12,'[2]3월'!$F$6:$CP$99,16,),)/1000</f>
        <v>209.67642899999996</v>
      </c>
      <c r="V12" s="42">
        <f t="shared" si="9"/>
        <v>-93.328419433810353</v>
      </c>
      <c r="W12" s="43">
        <f>+IFERROR(HLOOKUP($B12,'[3]3월'!$F$6:$CC$57,16,),)/1000</f>
        <v>146.35765599999988</v>
      </c>
      <c r="X12" s="44">
        <f t="shared" si="10"/>
        <v>63.318773000000078</v>
      </c>
      <c r="Y12" s="40">
        <f>+[4]서부산!$Q$85</f>
        <v>104085.97967199997</v>
      </c>
      <c r="Z12" s="41">
        <f>+[4]서부산!$R$85</f>
        <v>102473.05544475469</v>
      </c>
      <c r="AA12" s="45">
        <f>+[5]서부산!$Q$85</f>
        <v>96358.82623324779</v>
      </c>
      <c r="AB12" s="46">
        <f>+[4]서부산!$Q$89</f>
        <v>77887.255889198335</v>
      </c>
      <c r="AC12" s="41">
        <f>+[4]서부산!$R$89</f>
        <v>81377.048763462299</v>
      </c>
      <c r="AD12" s="47">
        <f>+[5]서부산!$Q$89</f>
        <v>75437.947313292141</v>
      </c>
      <c r="AE12" s="46">
        <f t="shared" si="11"/>
        <v>26198.723782801637</v>
      </c>
      <c r="AF12" s="41">
        <f t="shared" si="12"/>
        <v>21096.006681292391</v>
      </c>
      <c r="AG12" s="47">
        <f t="shared" si="13"/>
        <v>20920.878919955649</v>
      </c>
      <c r="AH12" s="15"/>
      <c r="AI12" s="638" t="str">
        <f t="shared" si="1"/>
        <v>서부산</v>
      </c>
      <c r="AJ12" s="463">
        <f t="shared" si="2"/>
        <v>7.7369439071566737E-2</v>
      </c>
      <c r="AK12" s="463">
        <f t="shared" si="3"/>
        <v>8.4170943901425654E-2</v>
      </c>
      <c r="AL12" s="463">
        <f t="shared" si="14"/>
        <v>6.8015048298589176E-3</v>
      </c>
      <c r="AM12" s="453">
        <f t="shared" si="4"/>
        <v>707.94129345970498</v>
      </c>
      <c r="AO12" s="463">
        <f>+[17]서부산!$T$5/[17]합계!$T$5</f>
        <v>6.937279791069885E-2</v>
      </c>
      <c r="AP12" s="463">
        <f t="shared" si="15"/>
        <v>1.4798145990726805E-2</v>
      </c>
      <c r="AQ12" s="453">
        <f>+[17]서부산!$Q$85*AP12</f>
        <v>1515.139306818138</v>
      </c>
    </row>
    <row r="13" spans="1:43" s="6" customFormat="1" ht="22.5" customHeight="1" x14ac:dyDescent="0.3">
      <c r="B13" s="6" t="s">
        <v>23</v>
      </c>
      <c r="G13" s="304" t="str">
        <f t="shared" si="5"/>
        <v>김해</v>
      </c>
      <c r="H13" s="69"/>
      <c r="I13" s="70" t="s">
        <v>23</v>
      </c>
      <c r="J13" s="40">
        <f>+IFERROR(HLOOKUP($B13,'[1]3월'!$D$6:$BN$259,2,),)/1000</f>
        <v>9</v>
      </c>
      <c r="K13" s="41">
        <f>+IFERROR(HLOOKUP($B13,'[2]3월'!$F$6:$CP$99,2,),)/1000</f>
        <v>7.2515000000000001</v>
      </c>
      <c r="L13" s="42">
        <f t="shared" si="0"/>
        <v>-1.7484999999999999</v>
      </c>
      <c r="M13" s="43">
        <f>+IFERROR(HLOOKUP($B13,'[3]3월'!$F$6:$CC$57,2,),)/1000</f>
        <v>12.503</v>
      </c>
      <c r="N13" s="44">
        <f t="shared" si="6"/>
        <v>-5.2515000000000001</v>
      </c>
      <c r="O13" s="40">
        <f>+IFERROR(HLOOKUP($B13,'[1]3월'!$D$6:$BN$259,3,),)/1000</f>
        <v>911.64042791999998</v>
      </c>
      <c r="P13" s="41">
        <f>+IFERROR(HLOOKUP($B13,'[2]3월'!$F$6:$CP$99,3,),)/1000</f>
        <v>725.06584999999995</v>
      </c>
      <c r="Q13" s="42">
        <f t="shared" si="7"/>
        <v>-186.57457792000002</v>
      </c>
      <c r="R13" s="43">
        <f>+IFERROR(HLOOKUP($B13,'[3]3월'!$F$6:$CC$57,3,),)/1000</f>
        <v>1140.8359</v>
      </c>
      <c r="S13" s="44">
        <f t="shared" si="8"/>
        <v>-415.77005000000008</v>
      </c>
      <c r="T13" s="40">
        <f>+IFERROR(HLOOKUP($B13,'[1]3월'!$D$6:$BN$259,16,),)/1000</f>
        <v>66.063918531079523</v>
      </c>
      <c r="U13" s="41">
        <f>+IFERROR(HLOOKUP($B13,'[2]3월'!$F$6:$CP$99,16,),)/1000</f>
        <v>13.214120999999931</v>
      </c>
      <c r="V13" s="42">
        <f t="shared" si="9"/>
        <v>-52.849797531079588</v>
      </c>
      <c r="W13" s="43">
        <f>+IFERROR(HLOOKUP($B13,'[3]3월'!$F$6:$CC$57,16,),)/1000</f>
        <v>55.355958000000193</v>
      </c>
      <c r="X13" s="44">
        <f t="shared" si="10"/>
        <v>-42.141837000000265</v>
      </c>
      <c r="Y13" s="40">
        <f>+[4]김해!$Q$85</f>
        <v>101293.38087999998</v>
      </c>
      <c r="Z13" s="41">
        <f>+[4]김해!$R$85</f>
        <v>99988.395504378408</v>
      </c>
      <c r="AA13" s="45">
        <f>+[5]김해!$Q$85</f>
        <v>91228.592092574749</v>
      </c>
      <c r="AB13" s="46">
        <f>+[4]김해!$Q$89</f>
        <v>78336.698796299796</v>
      </c>
      <c r="AC13" s="41">
        <f>+[4]김해!$R$89</f>
        <v>80812.247121285254</v>
      </c>
      <c r="AD13" s="47">
        <f>+[5]김해!$Q$89</f>
        <v>75407.765509482488</v>
      </c>
      <c r="AE13" s="46">
        <f t="shared" si="11"/>
        <v>22956.682083700187</v>
      </c>
      <c r="AF13" s="41">
        <f t="shared" si="12"/>
        <v>19176.148383093154</v>
      </c>
      <c r="AG13" s="47">
        <f t="shared" si="13"/>
        <v>15820.826583092261</v>
      </c>
      <c r="AH13" s="15"/>
      <c r="AI13" s="638" t="str">
        <f t="shared" si="1"/>
        <v>김해</v>
      </c>
      <c r="AJ13" s="463">
        <f t="shared" si="2"/>
        <v>3.4816247582205029E-2</v>
      </c>
      <c r="AK13" s="463">
        <f t="shared" si="3"/>
        <v>3.0433067396349628E-2</v>
      </c>
      <c r="AL13" s="463">
        <f t="shared" si="14"/>
        <v>-4.3831801858554009E-3</v>
      </c>
      <c r="AM13" s="453">
        <f t="shared" si="4"/>
        <v>-443.98714003152025</v>
      </c>
      <c r="AO13" s="463">
        <f>+[17]김해!$T$5/[17]합계!$T$5</f>
        <v>3.1068943408878353E-2</v>
      </c>
      <c r="AP13" s="463">
        <f t="shared" si="15"/>
        <v>-6.3587601252872508E-4</v>
      </c>
      <c r="AQ13" s="453">
        <f>+[17]김해!$Q$85*AP13</f>
        <v>-65.150409210434816</v>
      </c>
    </row>
    <row r="14" spans="1:43" s="6" customFormat="1" ht="22.5" customHeight="1" x14ac:dyDescent="0.3">
      <c r="B14" s="6" t="s">
        <v>24</v>
      </c>
      <c r="G14" s="304" t="str">
        <f t="shared" si="5"/>
        <v>정관</v>
      </c>
      <c r="H14" s="69"/>
      <c r="I14" s="70" t="s">
        <v>24</v>
      </c>
      <c r="J14" s="40">
        <f>+IFERROR(HLOOKUP($B14,'[1]3월'!$D$6:$BN$259,2,),)/1000</f>
        <v>21</v>
      </c>
      <c r="K14" s="41">
        <f>+IFERROR(HLOOKUP($B14,'[2]3월'!$F$6:$CP$99,2,),)/1000</f>
        <v>12.903</v>
      </c>
      <c r="L14" s="42">
        <f t="shared" si="0"/>
        <v>-8.0969999999999995</v>
      </c>
      <c r="M14" s="43">
        <f>+IFERROR(HLOOKUP($B14,'[3]3월'!$F$6:$CC$57,2,),)/1000</f>
        <v>19.809999999999999</v>
      </c>
      <c r="N14" s="44">
        <f t="shared" si="6"/>
        <v>-6.9069999999999983</v>
      </c>
      <c r="O14" s="40">
        <f>+IFERROR(HLOOKUP($B14,'[1]3월'!$D$6:$BN$259,3,),)/1000</f>
        <v>2226.0583317200003</v>
      </c>
      <c r="P14" s="41">
        <f>+IFERROR(HLOOKUP($B14,'[2]3월'!$F$6:$CP$99,3,),)/1000</f>
        <v>1392.4882</v>
      </c>
      <c r="Q14" s="42">
        <f t="shared" si="7"/>
        <v>-833.57013172000029</v>
      </c>
      <c r="R14" s="43">
        <f>+IFERROR(HLOOKUP($B14,'[3]3월'!$F$6:$CC$57,3,),)/1000</f>
        <v>1937.8748899999998</v>
      </c>
      <c r="S14" s="44">
        <f t="shared" si="8"/>
        <v>-545.38668999999982</v>
      </c>
      <c r="T14" s="40">
        <f>+IFERROR(HLOOKUP($B14,'[1]3월'!$D$6:$BN$259,16,),)/1000</f>
        <v>240.64451978824383</v>
      </c>
      <c r="U14" s="41">
        <f>+IFERROR(HLOOKUP($B14,'[2]3월'!$F$6:$CP$99,16,),)/1000</f>
        <v>69.741612000000018</v>
      </c>
      <c r="V14" s="42">
        <f t="shared" si="9"/>
        <v>-170.90290778824379</v>
      </c>
      <c r="W14" s="43">
        <f>+IFERROR(HLOOKUP($B14,'[3]3월'!$F$6:$CC$57,16,),)/1000</f>
        <v>121.85080299999993</v>
      </c>
      <c r="X14" s="44">
        <f t="shared" si="10"/>
        <v>-52.10919099999991</v>
      </c>
      <c r="Y14" s="40">
        <f>+[4]정관!$Q$85</f>
        <v>106002.7777009524</v>
      </c>
      <c r="Z14" s="41">
        <f>+[4]정관!$R$85</f>
        <v>107919.72409517167</v>
      </c>
      <c r="AA14" s="45">
        <f>+[5]정관!$Q$85</f>
        <v>97823.063604240277</v>
      </c>
      <c r="AB14" s="46">
        <f>+[4]정관!$Q$89</f>
        <v>83788.686959713246</v>
      </c>
      <c r="AC14" s="41">
        <f>+[4]정관!$R$89</f>
        <v>84591.565992404881</v>
      </c>
      <c r="AD14" s="47">
        <f>+[5]정관!$Q$89</f>
        <v>82325.942185450505</v>
      </c>
      <c r="AE14" s="46">
        <f t="shared" si="11"/>
        <v>22214.090741239153</v>
      </c>
      <c r="AF14" s="41">
        <f t="shared" si="12"/>
        <v>23328.158102766785</v>
      </c>
      <c r="AG14" s="47">
        <f t="shared" si="13"/>
        <v>15497.121418789771</v>
      </c>
      <c r="AH14" s="15"/>
      <c r="AI14" s="638" t="str">
        <f t="shared" si="1"/>
        <v>정관</v>
      </c>
      <c r="AJ14" s="463">
        <f t="shared" si="2"/>
        <v>8.1237911025145063E-2</v>
      </c>
      <c r="AK14" s="463">
        <f t="shared" si="3"/>
        <v>5.4151260927408025E-2</v>
      </c>
      <c r="AL14" s="463">
        <f t="shared" si="14"/>
        <v>-2.7086650097737038E-2</v>
      </c>
      <c r="AM14" s="453">
        <f t="shared" si="4"/>
        <v>-2871.2601489739</v>
      </c>
      <c r="AO14" s="463">
        <f>+[17]정관!$T$5/[17]합계!$T$5</f>
        <v>6.194966148850943E-2</v>
      </c>
      <c r="AP14" s="463">
        <f t="shared" si="15"/>
        <v>-7.7984005611014054E-3</v>
      </c>
      <c r="AQ14" s="453">
        <f>+[17]정관!$Q$85*AP14</f>
        <v>-846.54399962583796</v>
      </c>
    </row>
    <row r="15" spans="1:43" s="6" customFormat="1" ht="22.5" customHeight="1" x14ac:dyDescent="0.3">
      <c r="B15" s="6" t="s">
        <v>25</v>
      </c>
      <c r="G15" s="304" t="str">
        <f t="shared" si="5"/>
        <v>양산</v>
      </c>
      <c r="H15" s="69"/>
      <c r="I15" s="70" t="s">
        <v>25</v>
      </c>
      <c r="J15" s="40">
        <f>+IFERROR(HLOOKUP($B15,'[1]3월'!$D$6:$BN$259,2,),)/1000</f>
        <v>9</v>
      </c>
      <c r="K15" s="41">
        <f>+IFERROR(HLOOKUP($B15,'[2]3월'!$F$6:$CP$99,2,),)/1000</f>
        <v>4.7720000000000002</v>
      </c>
      <c r="L15" s="42">
        <f t="shared" si="0"/>
        <v>-4.2279999999999998</v>
      </c>
      <c r="M15" s="43">
        <f>+IFERROR(HLOOKUP($B15,'[3]3월'!$F$6:$CC$57,2,),)/1000</f>
        <v>9.625</v>
      </c>
      <c r="N15" s="44">
        <f t="shared" si="6"/>
        <v>-4.8529999999999998</v>
      </c>
      <c r="O15" s="40">
        <f>+IFERROR(HLOOKUP($B15,'[1]3월'!$D$6:$BN$259,3,),)/1000</f>
        <v>907.45653900000013</v>
      </c>
      <c r="P15" s="41">
        <f>+IFERROR(HLOOKUP($B15,'[2]3월'!$F$6:$CP$99,3,),)/1000</f>
        <v>504.33580000000001</v>
      </c>
      <c r="Q15" s="42">
        <f t="shared" si="7"/>
        <v>-403.12073900000013</v>
      </c>
      <c r="R15" s="43">
        <f>+IFERROR(HLOOKUP($B15,'[3]3월'!$F$6:$CC$57,3,),)/1000</f>
        <v>913.03397699999994</v>
      </c>
      <c r="S15" s="44">
        <f t="shared" si="8"/>
        <v>-408.69817699999993</v>
      </c>
      <c r="T15" s="40">
        <f>+IFERROR(HLOOKUP($B15,'[1]3월'!$D$6:$BN$259,16,),)/1000</f>
        <v>57.547751213437046</v>
      </c>
      <c r="U15" s="41">
        <f>+IFERROR(HLOOKUP($B15,'[2]3월'!$F$6:$CP$99,16,),)/1000</f>
        <v>10.974981000000016</v>
      </c>
      <c r="V15" s="42">
        <f t="shared" si="9"/>
        <v>-46.572770213437032</v>
      </c>
      <c r="W15" s="43">
        <f>+IFERROR(HLOOKUP($B15,'[3]3월'!$F$6:$CC$57,16,),)/1000</f>
        <v>64.674860999999893</v>
      </c>
      <c r="X15" s="44">
        <f t="shared" si="10"/>
        <v>-53.699879999999879</v>
      </c>
      <c r="Y15" s="40">
        <f>+[4]양산!$Q$85</f>
        <v>100828.50433333335</v>
      </c>
      <c r="Z15" s="41">
        <f>+[4]양산!$R$85</f>
        <v>105686.46269907795</v>
      </c>
      <c r="AA15" s="45">
        <f>+[5]양산!$Q$85</f>
        <v>94860.672935064926</v>
      </c>
      <c r="AB15" s="46">
        <f>+[4]양산!$Q$89</f>
        <v>77145.46926023539</v>
      </c>
      <c r="AC15" s="41">
        <f>+[4]양산!$R$89</f>
        <v>78262.687133277446</v>
      </c>
      <c r="AD15" s="47">
        <f>+[5]양산!$Q$89</f>
        <v>72164.360519480513</v>
      </c>
      <c r="AE15" s="46">
        <f t="shared" si="11"/>
        <v>23683.035073097955</v>
      </c>
      <c r="AF15" s="41">
        <f t="shared" si="12"/>
        <v>27423.775565800504</v>
      </c>
      <c r="AG15" s="47">
        <f t="shared" si="13"/>
        <v>22696.312415584413</v>
      </c>
      <c r="AH15" s="15"/>
      <c r="AI15" s="638" t="str">
        <f t="shared" si="1"/>
        <v>양산</v>
      </c>
      <c r="AJ15" s="463">
        <f t="shared" si="2"/>
        <v>3.4816247582205029E-2</v>
      </c>
      <c r="AK15" s="463">
        <f t="shared" si="3"/>
        <v>2.0027111303231114E-2</v>
      </c>
      <c r="AL15" s="463">
        <f t="shared" si="14"/>
        <v>-1.4789136278973915E-2</v>
      </c>
      <c r="AM15" s="453">
        <f t="shared" si="4"/>
        <v>-1491.1664913907787</v>
      </c>
      <c r="AO15" s="463">
        <f>+[17]양산!$T$5/[17]합계!$T$5</f>
        <v>1.9957766941750141E-2</v>
      </c>
      <c r="AP15" s="463">
        <f t="shared" si="15"/>
        <v>6.9344361480972588E-5</v>
      </c>
      <c r="AQ15" s="453">
        <f>+[17]양산!$Q$85*AP15</f>
        <v>7.3688776530890596</v>
      </c>
    </row>
    <row r="16" spans="1:43" s="6" customFormat="1" ht="22.5" customHeight="1" x14ac:dyDescent="0.3">
      <c r="B16" s="6" t="s">
        <v>26</v>
      </c>
      <c r="G16" s="304" t="str">
        <f t="shared" si="5"/>
        <v>창원</v>
      </c>
      <c r="H16" s="69"/>
      <c r="I16" s="70" t="s">
        <v>26</v>
      </c>
      <c r="J16" s="40">
        <f>+IFERROR(HLOOKUP($B16,'[1]3월'!$D$6:$BN$259,2,),)/1000</f>
        <v>12</v>
      </c>
      <c r="K16" s="41">
        <f>+IFERROR(HLOOKUP($B16,'[2]3월'!$F$6:$CP$99,2,),)/1000</f>
        <v>8.6479999999999997</v>
      </c>
      <c r="L16" s="42">
        <f t="shared" si="0"/>
        <v>-3.3520000000000003</v>
      </c>
      <c r="M16" s="43">
        <f>+IFERROR(HLOOKUP($B16,'[3]3월'!$F$6:$CC$57,2,),)/1000</f>
        <v>10.865</v>
      </c>
      <c r="N16" s="44">
        <f t="shared" si="6"/>
        <v>-2.2170000000000005</v>
      </c>
      <c r="O16" s="40">
        <f>+IFERROR(HLOOKUP($B16,'[1]3월'!$D$6:$BN$259,3,),)/1000</f>
        <v>1163.0698925117524</v>
      </c>
      <c r="P16" s="41">
        <f>+IFERROR(HLOOKUP($B16,'[2]3월'!$F$6:$CP$99,3,),)/1000</f>
        <v>851.40499999999997</v>
      </c>
      <c r="Q16" s="42">
        <f t="shared" si="7"/>
        <v>-311.66489251175244</v>
      </c>
      <c r="R16" s="43">
        <f>+IFERROR(HLOOKUP($B16,'[3]3월'!$F$6:$CC$57,3,),)/1000</f>
        <v>1063.0202300000001</v>
      </c>
      <c r="S16" s="44">
        <f t="shared" si="8"/>
        <v>-211.61523000000011</v>
      </c>
      <c r="T16" s="40">
        <f>+IFERROR(HLOOKUP($B16,'[1]3월'!$D$6:$BN$259,16,),)/1000</f>
        <v>52.912265161370151</v>
      </c>
      <c r="U16" s="41">
        <f>+IFERROR(HLOOKUP($B16,'[2]3월'!$F$6:$CP$99,16,),)/1000</f>
        <v>26.963159999999895</v>
      </c>
      <c r="V16" s="42">
        <f t="shared" si="9"/>
        <v>-25.949105161370255</v>
      </c>
      <c r="W16" s="43">
        <f>+IFERROR(HLOOKUP($B16,'[3]3월'!$F$6:$CC$57,16,),)/1000</f>
        <v>89.749104000000017</v>
      </c>
      <c r="X16" s="44">
        <f t="shared" si="10"/>
        <v>-62.785944000000121</v>
      </c>
      <c r="Y16" s="40">
        <f>+[4]창원!$Q$85</f>
        <v>96922.491042646026</v>
      </c>
      <c r="Z16" s="41">
        <f>+[4]창원!$R$85</f>
        <v>98451.086956521729</v>
      </c>
      <c r="AA16" s="45">
        <f>+[5]창원!$Q$85</f>
        <v>97838.953520478593</v>
      </c>
      <c r="AB16" s="46">
        <f>+[4]창원!$Q$89</f>
        <v>77259.402010680002</v>
      </c>
      <c r="AC16" s="41">
        <f>+[4]창원!$R$89</f>
        <v>74459.444842738216</v>
      </c>
      <c r="AD16" s="47">
        <f>+[5]창원!$Q$89</f>
        <v>73565.780487804877</v>
      </c>
      <c r="AE16" s="46">
        <f t="shared" si="11"/>
        <v>19663.089031966025</v>
      </c>
      <c r="AF16" s="41">
        <f t="shared" si="12"/>
        <v>23991.642113783513</v>
      </c>
      <c r="AG16" s="47">
        <f t="shared" si="13"/>
        <v>24273.173032673716</v>
      </c>
      <c r="AH16" s="15"/>
      <c r="AI16" s="638" t="str">
        <f t="shared" si="1"/>
        <v>창원</v>
      </c>
      <c r="AJ16" s="463">
        <f t="shared" si="2"/>
        <v>4.6421663442940041E-2</v>
      </c>
      <c r="AK16" s="463">
        <f t="shared" si="3"/>
        <v>3.6293893241899133E-2</v>
      </c>
      <c r="AL16" s="463">
        <f t="shared" si="14"/>
        <v>-1.0127770201040907E-2</v>
      </c>
      <c r="AM16" s="453">
        <f t="shared" si="4"/>
        <v>-981.60871659236466</v>
      </c>
      <c r="AO16" s="463">
        <f>+[17]창원!$T$5/[17]합계!$T$5</f>
        <v>5.5491179878712306E-2</v>
      </c>
      <c r="AP16" s="463">
        <f t="shared" si="15"/>
        <v>-1.9197286636813173E-2</v>
      </c>
      <c r="AQ16" s="453">
        <f>+[17]창원!$Q$85*AP16</f>
        <v>-1809.4954589049623</v>
      </c>
    </row>
    <row r="17" spans="2:43" s="6" customFormat="1" ht="22.5" customHeight="1" x14ac:dyDescent="0.3">
      <c r="B17" s="6" t="s">
        <v>77</v>
      </c>
      <c r="G17" s="304" t="str">
        <f t="shared" si="5"/>
        <v>대구</v>
      </c>
      <c r="H17" s="69"/>
      <c r="I17" s="70" t="s">
        <v>69</v>
      </c>
      <c r="J17" s="40">
        <f>+IFERROR(HLOOKUP($B17,'[1]3월'!$D$6:$BN$259,2,),)/1000</f>
        <v>7.5</v>
      </c>
      <c r="K17" s="41">
        <f>+IFERROR(HLOOKUP($B17,'[2]3월'!$F$6:$CP$99,2,),)/1000</f>
        <v>3.1665000000000001</v>
      </c>
      <c r="L17" s="42">
        <f t="shared" si="0"/>
        <v>-4.3334999999999999</v>
      </c>
      <c r="M17" s="43">
        <f>+IFERROR(HLOOKUP($B17,'[3]3월'!$F$6:$CC$57,2,),)/1000</f>
        <v>11.223000000000001</v>
      </c>
      <c r="N17" s="44">
        <f t="shared" si="6"/>
        <v>-8.0564999999999998</v>
      </c>
      <c r="O17" s="40">
        <f>+IFERROR(HLOOKUP($B17,'[1]3월'!$D$6:$BN$259,3,),)/1000</f>
        <v>682.33095839999987</v>
      </c>
      <c r="P17" s="41">
        <f>+IFERROR(HLOOKUP($B17,'[2]3월'!$F$6:$CP$99,3,),)/1000</f>
        <v>269.20047999999997</v>
      </c>
      <c r="Q17" s="42">
        <f t="shared" si="7"/>
        <v>-413.1304783999999</v>
      </c>
      <c r="R17" s="43">
        <f>+IFERROR(HLOOKUP($B17,'[3]3월'!$F$6:$CC$57,3,),)/1000</f>
        <v>978.89495999999997</v>
      </c>
      <c r="S17" s="44">
        <f t="shared" si="8"/>
        <v>-709.69448</v>
      </c>
      <c r="T17" s="40">
        <f>+IFERROR(HLOOKUP($B17,'[1]3월'!$D$6:$BN$259,16,),)/1000</f>
        <v>-30.554162447771638</v>
      </c>
      <c r="U17" s="41">
        <f>+IFERROR(HLOOKUP($B17,'[2]3월'!$F$6:$CP$99,16,),)/1000</f>
        <v>-105.448241</v>
      </c>
      <c r="V17" s="42">
        <f t="shared" si="9"/>
        <v>-74.894078552228365</v>
      </c>
      <c r="W17" s="43">
        <f>+IFERROR(HLOOKUP($B17,'[3]3월'!$F$6:$CC$57,16,),)/1000</f>
        <v>-23.079406999999978</v>
      </c>
      <c r="X17" s="44">
        <f t="shared" si="10"/>
        <v>-82.368834000000021</v>
      </c>
      <c r="Y17" s="40">
        <f>+[4]대구!$Q$85</f>
        <v>90977.461119999993</v>
      </c>
      <c r="Z17" s="41">
        <f>+[4]대구!$R$85</f>
        <v>85015.152376440848</v>
      </c>
      <c r="AA17" s="45">
        <f>+[5]대구!$Q$85</f>
        <v>87222.21865811279</v>
      </c>
      <c r="AB17" s="46">
        <f>+[4]대구!$Q$89</f>
        <v>71227.888321506747</v>
      </c>
      <c r="AC17" s="41">
        <f>+[4]대구!$R$89</f>
        <v>71587.356702984369</v>
      </c>
      <c r="AD17" s="47">
        <f>+[5]대구!$Q$89</f>
        <v>74076.489084914909</v>
      </c>
      <c r="AE17" s="46">
        <f t="shared" si="11"/>
        <v>19749.572798493246</v>
      </c>
      <c r="AF17" s="41">
        <f t="shared" si="12"/>
        <v>13427.79567345648</v>
      </c>
      <c r="AG17" s="47">
        <f t="shared" si="13"/>
        <v>13145.729573197881</v>
      </c>
      <c r="AH17" s="15"/>
      <c r="AI17" s="638" t="str">
        <f t="shared" si="1"/>
        <v>대구</v>
      </c>
      <c r="AJ17" s="463">
        <f t="shared" si="2"/>
        <v>2.9013539651837523E-2</v>
      </c>
      <c r="AK17" s="463">
        <f t="shared" si="3"/>
        <v>1.3289155059027939E-2</v>
      </c>
      <c r="AL17" s="463">
        <f t="shared" si="14"/>
        <v>-1.5724384592809584E-2</v>
      </c>
      <c r="AM17" s="453">
        <f t="shared" si="4"/>
        <v>-1430.5645879282608</v>
      </c>
      <c r="AO17" s="463">
        <f>+[17]대구!$T$5/[17]합계!$T$5</f>
        <v>2.5839808480727491E-2</v>
      </c>
      <c r="AP17" s="463">
        <f t="shared" si="15"/>
        <v>-1.2550653421699552E-2</v>
      </c>
      <c r="AQ17" s="453">
        <f>+[17]대구!$Q$85*AP17</f>
        <v>-1084.8610799893302</v>
      </c>
    </row>
    <row r="18" spans="2:43" s="6" customFormat="1" ht="22.5" customHeight="1" x14ac:dyDescent="0.3">
      <c r="B18" s="6" t="s">
        <v>78</v>
      </c>
      <c r="G18" s="306" t="str">
        <f t="shared" si="5"/>
        <v>울산</v>
      </c>
      <c r="H18" s="69"/>
      <c r="I18" s="72" t="s">
        <v>70</v>
      </c>
      <c r="J18" s="7">
        <f>+IFERROR(HLOOKUP($B18,'[1]3월'!$D$6:$BN$259,2,),)/1000</f>
        <v>11.5</v>
      </c>
      <c r="K18" s="8">
        <f>+IFERROR(HLOOKUP($B18,'[2]3월'!$F$6:$CP$99,2,),)/1000</f>
        <v>11.961</v>
      </c>
      <c r="L18" s="9">
        <f t="shared" si="0"/>
        <v>0.4610000000000003</v>
      </c>
      <c r="M18" s="10">
        <f>+IFERROR(HLOOKUP($B18,'[3]3월'!$F$6:$CC$57,2,),)/1000</f>
        <v>12.057</v>
      </c>
      <c r="N18" s="11">
        <f t="shared" si="6"/>
        <v>-9.6000000000000085E-2</v>
      </c>
      <c r="O18" s="7">
        <f>+IFERROR(HLOOKUP($B18,'[1]3월'!$D$6:$BN$259,3,),)/1000</f>
        <v>1200.0602114999999</v>
      </c>
      <c r="P18" s="8">
        <f>+IFERROR(HLOOKUP($B18,'[2]3월'!$F$6:$CP$99,3,),)/1000</f>
        <v>1252.0218</v>
      </c>
      <c r="Q18" s="9">
        <f t="shared" si="7"/>
        <v>51.961588500000062</v>
      </c>
      <c r="R18" s="10">
        <f>+IFERROR(HLOOKUP($B18,'[3]3월'!$F$6:$CC$57,3,),)/1000</f>
        <v>1257.1628999999998</v>
      </c>
      <c r="S18" s="11">
        <f t="shared" si="8"/>
        <v>-5.1410999999998239</v>
      </c>
      <c r="T18" s="7">
        <f>+IFERROR(HLOOKUP($B18,'[1]3월'!$D$6:$BN$259,16,),)/1000</f>
        <v>82.08701340255395</v>
      </c>
      <c r="U18" s="8">
        <f>+IFERROR(HLOOKUP($B18,'[2]3월'!$F$6:$CP$99,16,),)/1000</f>
        <v>95.170722000000268</v>
      </c>
      <c r="V18" s="9">
        <f t="shared" si="9"/>
        <v>13.083708597446318</v>
      </c>
      <c r="W18" s="10">
        <f>+IFERROR(HLOOKUP($B18,'[3]3월'!$F$6:$CC$57,16,),)/1000</f>
        <v>108.61425899999993</v>
      </c>
      <c r="X18" s="11">
        <f t="shared" si="10"/>
        <v>-13.443536999999665</v>
      </c>
      <c r="Y18" s="7">
        <f>+[4]울산!$Q$85</f>
        <v>104353.06186956521</v>
      </c>
      <c r="Z18" s="8">
        <f>+[4]울산!$R$85</f>
        <v>104675.3448708302</v>
      </c>
      <c r="AA18" s="12">
        <f>+[5]울산!$Q$85</f>
        <v>104268.30057228166</v>
      </c>
      <c r="AB18" s="13">
        <f>+[4]울산!$Q$89</f>
        <v>82849.094800767838</v>
      </c>
      <c r="AC18" s="8">
        <f>+[4]울산!$R$89</f>
        <v>84513.551741418196</v>
      </c>
      <c r="AD18" s="14">
        <f>+[5]울산!$Q$89</f>
        <v>83859.971925465827</v>
      </c>
      <c r="AE18" s="13">
        <f t="shared" si="11"/>
        <v>21503.96706879737</v>
      </c>
      <c r="AF18" s="8">
        <f t="shared" si="12"/>
        <v>20161.793129412006</v>
      </c>
      <c r="AG18" s="14">
        <f t="shared" si="13"/>
        <v>20408.328646815833</v>
      </c>
      <c r="AH18" s="15"/>
      <c r="AI18" s="638" t="str">
        <f t="shared" si="1"/>
        <v>울산</v>
      </c>
      <c r="AJ18" s="463">
        <f t="shared" si="2"/>
        <v>4.4487427466150871E-2</v>
      </c>
      <c r="AK18" s="463">
        <f t="shared" si="3"/>
        <v>5.0197878939217802E-2</v>
      </c>
      <c r="AL18" s="463">
        <f t="shared" si="14"/>
        <v>5.7104514730669312E-3</v>
      </c>
      <c r="AM18" s="453">
        <f t="shared" si="4"/>
        <v>595.90309587210322</v>
      </c>
      <c r="AO18" s="463">
        <f>+[17]울산!$T$5/[17]합계!$T$5</f>
        <v>5.5708815415654464E-2</v>
      </c>
      <c r="AP18" s="463">
        <f t="shared" si="15"/>
        <v>-5.510936476436662E-3</v>
      </c>
      <c r="AQ18" s="453">
        <f>+[17]울산!$Q$85*AP18</f>
        <v>-607.79153068283722</v>
      </c>
    </row>
    <row r="19" spans="2:43" s="6" customFormat="1" ht="22.5" customHeight="1" x14ac:dyDescent="0.3">
      <c r="B19" s="6" t="s">
        <v>75</v>
      </c>
      <c r="G19" s="306" t="str">
        <f t="shared" si="5"/>
        <v>아산</v>
      </c>
      <c r="H19" s="69"/>
      <c r="I19" s="70" t="s">
        <v>27</v>
      </c>
      <c r="J19" s="40">
        <f>+IFERROR(HLOOKUP($B19,'[1]3월'!$D$6:$BN$259,2,),)/1000</f>
        <v>22</v>
      </c>
      <c r="K19" s="41">
        <f>+IFERROR(HLOOKUP($B19,'[2]3월'!$F$6:$CP$99,2,),)/1000</f>
        <v>22.192</v>
      </c>
      <c r="L19" s="42">
        <f t="shared" si="0"/>
        <v>0.19200000000000017</v>
      </c>
      <c r="M19" s="43">
        <f>+IFERROR(HLOOKUP($B19,'[3]3월'!$F$6:$CC$57,2,),)/1000</f>
        <v>23.404</v>
      </c>
      <c r="N19" s="44">
        <f t="shared" si="6"/>
        <v>-1.2119999999999997</v>
      </c>
      <c r="O19" s="40">
        <f>+IFERROR(HLOOKUP($B19,'[1]3월'!$D$6:$BN$259,3,),)/1000</f>
        <v>2123.7376399999998</v>
      </c>
      <c r="P19" s="41">
        <f>+IFERROR(HLOOKUP($B19,'[2]3월'!$F$6:$CP$99,3,),)/1000</f>
        <v>2151.5585720000004</v>
      </c>
      <c r="Q19" s="42">
        <f t="shared" si="7"/>
        <v>27.820932000000539</v>
      </c>
      <c r="R19" s="43">
        <f>+IFERROR(HLOOKUP($B19,'[3]3월'!$F$6:$CC$57,3,),)/1000</f>
        <v>2354.182644</v>
      </c>
      <c r="S19" s="44">
        <f t="shared" si="8"/>
        <v>-202.62407199999961</v>
      </c>
      <c r="T19" s="40">
        <f>+IFERROR(HLOOKUP($B19,'[1]3월'!$D$6:$BN$259,16,),)/1000</f>
        <v>88.591761707101057</v>
      </c>
      <c r="U19" s="41">
        <f>+IFERROR(HLOOKUP($B19,'[2]3월'!$F$6:$CP$99,16,),)/1000</f>
        <v>69.207642000000234</v>
      </c>
      <c r="V19" s="42">
        <f t="shared" si="9"/>
        <v>-19.384119707100822</v>
      </c>
      <c r="W19" s="43">
        <f>+IFERROR(HLOOKUP($B19,'[3]3월'!$F$6:$CC$57,16,),)/1000</f>
        <v>139.57024699999997</v>
      </c>
      <c r="X19" s="44">
        <f t="shared" si="10"/>
        <v>-70.362604999999732</v>
      </c>
      <c r="Y19" s="40">
        <f>+[4]아산!$Q$85</f>
        <v>96533.529090909069</v>
      </c>
      <c r="Z19" s="41">
        <f>+[4]아산!$R$85</f>
        <v>96951.990447007949</v>
      </c>
      <c r="AA19" s="45">
        <f>+[5]아산!$Q$85</f>
        <v>100519.80923712048</v>
      </c>
      <c r="AB19" s="46">
        <f>+[4]아산!$Q$89</f>
        <v>80262.720661040847</v>
      </c>
      <c r="AC19" s="41">
        <f>+[4]아산!$R$89</f>
        <v>82536.64209815397</v>
      </c>
      <c r="AD19" s="47">
        <f>+[5]아산!$Q$89</f>
        <v>84239.872335854234</v>
      </c>
      <c r="AE19" s="46">
        <f t="shared" si="11"/>
        <v>16270.808429868222</v>
      </c>
      <c r="AF19" s="41">
        <f t="shared" si="12"/>
        <v>14415.348348853979</v>
      </c>
      <c r="AG19" s="47">
        <f t="shared" si="13"/>
        <v>16279.93690126625</v>
      </c>
      <c r="AH19" s="15"/>
      <c r="AI19" s="638" t="str">
        <f t="shared" si="1"/>
        <v>아산</v>
      </c>
      <c r="AJ19" s="463">
        <f t="shared" si="2"/>
        <v>8.5106382978723402E-2</v>
      </c>
      <c r="AK19" s="463">
        <f t="shared" si="3"/>
        <v>9.3135300511589456E-2</v>
      </c>
      <c r="AL19" s="463">
        <f t="shared" si="14"/>
        <v>8.0289175328660534E-3</v>
      </c>
      <c r="AM19" s="453">
        <f t="shared" si="4"/>
        <v>775.05974422743509</v>
      </c>
      <c r="AO19" s="463">
        <f>+[17]아산!$T$5/[17]합계!$T$5</f>
        <v>9.3518578428200855E-2</v>
      </c>
      <c r="AP19" s="463">
        <f t="shared" si="15"/>
        <v>-3.8327791661139921E-4</v>
      </c>
      <c r="AQ19" s="453">
        <f>+[17]아산!$Q$85*AP19</f>
        <v>-39.175475175698118</v>
      </c>
    </row>
    <row r="20" spans="2:43" s="6" customFormat="1" ht="22.5" customHeight="1" x14ac:dyDescent="0.3">
      <c r="B20" s="6" t="s">
        <v>71</v>
      </c>
      <c r="G20" s="306" t="str">
        <f t="shared" si="5"/>
        <v>전주</v>
      </c>
      <c r="H20" s="69"/>
      <c r="I20" s="70" t="s">
        <v>71</v>
      </c>
      <c r="J20" s="40">
        <f>+IFERROR(HLOOKUP($B20,'[1]3월'!$D$6:$BN$259,2,),)/1000</f>
        <v>10</v>
      </c>
      <c r="K20" s="41">
        <f>+IFERROR(HLOOKUP($B20,'[2]3월'!$F$6:$CP$99,2,),)/1000</f>
        <v>13.624000000000001</v>
      </c>
      <c r="L20" s="42">
        <f t="shared" si="0"/>
        <v>3.6240000000000006</v>
      </c>
      <c r="M20" s="43">
        <f>+IFERROR(HLOOKUP($B20,'[3]3월'!$F$6:$CC$57,2,),)/1000</f>
        <v>17.8155</v>
      </c>
      <c r="N20" s="44">
        <f t="shared" si="6"/>
        <v>-4.1914999999999996</v>
      </c>
      <c r="O20" s="40">
        <f>+IFERROR(HLOOKUP($B20,'[1]3월'!$D$6:$BN$259,3,),)/1000</f>
        <v>1019.9031399999999</v>
      </c>
      <c r="P20" s="41">
        <f>+IFERROR(HLOOKUP($B20,'[2]3월'!$F$6:$CP$99,3,),)/1000</f>
        <v>1366.0041000000001</v>
      </c>
      <c r="Q20" s="42">
        <f t="shared" si="7"/>
        <v>346.10096000000021</v>
      </c>
      <c r="R20" s="43">
        <f>+IFERROR(HLOOKUP($B20,'[3]3월'!$F$6:$CC$57,3,),)/1000</f>
        <v>1722.0857900000001</v>
      </c>
      <c r="S20" s="44">
        <f t="shared" si="8"/>
        <v>-356.08168999999998</v>
      </c>
      <c r="T20" s="40">
        <f>+IFERROR(HLOOKUP($B20,'[1]3월'!$D$6:$BN$259,16,),)/1000</f>
        <v>64.392707815656223</v>
      </c>
      <c r="U20" s="41">
        <f>+IFERROR(HLOOKUP($B20,'[2]3월'!$F$6:$CP$99,16,),)/1000</f>
        <v>138.57817499999993</v>
      </c>
      <c r="V20" s="42">
        <f t="shared" si="9"/>
        <v>74.185467184343707</v>
      </c>
      <c r="W20" s="43">
        <f>+IFERROR(HLOOKUP($B20,'[3]3월'!$F$6:$CC$57,16,),)/1000</f>
        <v>206.1074329999999</v>
      </c>
      <c r="X20" s="44">
        <f t="shared" si="10"/>
        <v>-67.52925799999997</v>
      </c>
      <c r="Y20" s="40">
        <f>+[4]전주!$Q$85</f>
        <v>101990.31399999998</v>
      </c>
      <c r="Z20" s="41">
        <f>+[4]전주!$R$85</f>
        <v>100264.54051673519</v>
      </c>
      <c r="AA20" s="45">
        <f>+[5]전주!$Q$85</f>
        <v>96662.220538295296</v>
      </c>
      <c r="AB20" s="46">
        <f>+[4]전주!$Q$89</f>
        <v>78111.504007323238</v>
      </c>
      <c r="AC20" s="41">
        <f>+[4]전주!$R$89</f>
        <v>78560.188270698767</v>
      </c>
      <c r="AD20" s="47">
        <f>+[5]전주!$Q$89</f>
        <v>75942.79123097194</v>
      </c>
      <c r="AE20" s="46">
        <f t="shared" si="11"/>
        <v>23878.809992676746</v>
      </c>
      <c r="AF20" s="41">
        <f t="shared" si="12"/>
        <v>21704.352246036418</v>
      </c>
      <c r="AG20" s="47">
        <f t="shared" si="13"/>
        <v>20719.429307323357</v>
      </c>
      <c r="AH20" s="15"/>
      <c r="AI20" s="638" t="str">
        <f t="shared" si="1"/>
        <v>전주</v>
      </c>
      <c r="AJ20" s="463">
        <f t="shared" si="2"/>
        <v>3.8684719535783368E-2</v>
      </c>
      <c r="AK20" s="463">
        <f t="shared" si="3"/>
        <v>5.7177150962954885E-2</v>
      </c>
      <c r="AL20" s="463">
        <f t="shared" si="14"/>
        <v>1.8492431427171517E-2</v>
      </c>
      <c r="AM20" s="453">
        <f t="shared" si="4"/>
        <v>1886.0488878806909</v>
      </c>
      <c r="AO20" s="463">
        <f>+[17]전주!$T$5/[17]합계!$T$5</f>
        <v>3.9544965266544711E-2</v>
      </c>
      <c r="AP20" s="463">
        <f t="shared" si="15"/>
        <v>1.7632185696410174E-2</v>
      </c>
      <c r="AQ20" s="453">
        <f>+[17]전주!$Q$85*AP20</f>
        <v>1680.5155356672431</v>
      </c>
    </row>
    <row r="21" spans="2:43" s="6" customFormat="1" ht="22.5" customHeight="1" x14ac:dyDescent="0.3">
      <c r="B21" s="6" t="s">
        <v>72</v>
      </c>
      <c r="G21" s="306" t="str">
        <f t="shared" si="5"/>
        <v>군산</v>
      </c>
      <c r="H21" s="69"/>
      <c r="I21" s="70" t="s">
        <v>72</v>
      </c>
      <c r="J21" s="40">
        <f>+IFERROR(HLOOKUP($B21,'[1]3월'!$D$6:$BN$259,2,),)/1000</f>
        <v>4.5</v>
      </c>
      <c r="K21" s="41">
        <f>+IFERROR(HLOOKUP($B21,'[2]3월'!$F$6:$CP$99,2,),)/1000</f>
        <v>5.0359999999999996</v>
      </c>
      <c r="L21" s="42">
        <f t="shared" si="0"/>
        <v>0.53599999999999959</v>
      </c>
      <c r="M21" s="43">
        <f>+IFERROR(HLOOKUP($B21,'[3]3월'!$F$6:$CC$57,2,),)/1000</f>
        <v>5.4375</v>
      </c>
      <c r="N21" s="44">
        <f t="shared" si="6"/>
        <v>-0.40150000000000041</v>
      </c>
      <c r="O21" s="40">
        <f>+IFERROR(HLOOKUP($B21,'[1]3월'!$D$6:$BN$259,3,),)/1000</f>
        <v>490.64128199999999</v>
      </c>
      <c r="P21" s="41">
        <f>+IFERROR(HLOOKUP($B21,'[2]3월'!$F$6:$CP$99,3,),)/1000</f>
        <v>542.76393000000007</v>
      </c>
      <c r="Q21" s="42">
        <f t="shared" si="7"/>
        <v>52.122648000000083</v>
      </c>
      <c r="R21" s="43">
        <f>+IFERROR(HLOOKUP($B21,'[3]3월'!$F$6:$CC$57,3,),)/1000</f>
        <v>622.10950000000003</v>
      </c>
      <c r="S21" s="44">
        <f t="shared" si="8"/>
        <v>-79.345569999999952</v>
      </c>
      <c r="T21" s="40">
        <f>+IFERROR(HLOOKUP($B21,'[1]3월'!$D$6:$BN$259,16,),)/1000</f>
        <v>75.349108752709071</v>
      </c>
      <c r="U21" s="41">
        <f>+IFERROR(HLOOKUP($B21,'[2]3월'!$F$6:$CP$99,16,),)/1000</f>
        <v>88.678597000000039</v>
      </c>
      <c r="V21" s="42">
        <f t="shared" si="9"/>
        <v>13.329488247290968</v>
      </c>
      <c r="W21" s="43">
        <f>+IFERROR(HLOOKUP($B21,'[3]3월'!$F$6:$CC$57,16,),)/1000</f>
        <v>131.89842700000003</v>
      </c>
      <c r="X21" s="44">
        <f t="shared" si="10"/>
        <v>-43.219829999999988</v>
      </c>
      <c r="Y21" s="40">
        <f>+[4]군산!$Q$85</f>
        <v>109031.39600000001</v>
      </c>
      <c r="Z21" s="41">
        <f>+[4]군산!$R$85</f>
        <v>107776.79308975379</v>
      </c>
      <c r="AA21" s="45">
        <f>+[5]군산!$Q$85</f>
        <v>114410.94252873563</v>
      </c>
      <c r="AB21" s="46">
        <f>+[4]군산!$Q$89</f>
        <v>73107.153906805412</v>
      </c>
      <c r="AC21" s="41">
        <f>+[4]군산!$R$89</f>
        <v>73736.204130262107</v>
      </c>
      <c r="AD21" s="47">
        <f>+[5]군산!$Q$89</f>
        <v>74829.890022988489</v>
      </c>
      <c r="AE21" s="46">
        <f t="shared" si="11"/>
        <v>35924.242093194596</v>
      </c>
      <c r="AF21" s="41">
        <f t="shared" si="12"/>
        <v>34040.588959491681</v>
      </c>
      <c r="AG21" s="47">
        <f t="shared" si="13"/>
        <v>39581.052505747139</v>
      </c>
      <c r="AH21" s="15"/>
      <c r="AI21" s="638" t="str">
        <f t="shared" si="1"/>
        <v>군산</v>
      </c>
      <c r="AJ21" s="463">
        <f t="shared" si="2"/>
        <v>1.7408123791102514E-2</v>
      </c>
      <c r="AK21" s="463">
        <f t="shared" si="3"/>
        <v>2.1135065491004166E-2</v>
      </c>
      <c r="AL21" s="463">
        <f t="shared" si="14"/>
        <v>3.7269416999016515E-3</v>
      </c>
      <c r="AM21" s="453">
        <f t="shared" si="4"/>
        <v>406.35365635089016</v>
      </c>
      <c r="AO21" s="463">
        <f>+[17]군산!$T$5/[17]합계!$T$5</f>
        <v>1.17111447041039E-2</v>
      </c>
      <c r="AP21" s="463">
        <f t="shared" si="15"/>
        <v>9.423920786900266E-3</v>
      </c>
      <c r="AQ21" s="453">
        <f>+[17]군산!$Q$85*AP21</f>
        <v>1026.6920841485503</v>
      </c>
    </row>
    <row r="22" spans="2:43" s="6" customFormat="1" ht="22.5" customHeight="1" x14ac:dyDescent="0.3">
      <c r="B22" s="6" t="s">
        <v>73</v>
      </c>
      <c r="G22" s="306" t="str">
        <f t="shared" si="5"/>
        <v>원주</v>
      </c>
      <c r="H22" s="69"/>
      <c r="I22" s="70" t="s">
        <v>73</v>
      </c>
      <c r="J22" s="40">
        <f>+IFERROR(HLOOKUP($B22,'[1]3월'!$D$6:$BN$259,2,),)/1000</f>
        <v>4</v>
      </c>
      <c r="K22" s="41">
        <f>+IFERROR(HLOOKUP($B22,'[2]3월'!$F$6:$CP$99,2,),)/1000</f>
        <v>3.6444999999999999</v>
      </c>
      <c r="L22" s="42">
        <f t="shared" si="0"/>
        <v>-0.35550000000000015</v>
      </c>
      <c r="M22" s="43">
        <f>+IFERROR(HLOOKUP($B22,'[3]3월'!$F$6:$CC$57,2,),)/1000</f>
        <v>2.4634999999999998</v>
      </c>
      <c r="N22" s="44">
        <f t="shared" si="6"/>
        <v>1.181</v>
      </c>
      <c r="O22" s="40">
        <f>+IFERROR(HLOOKUP($B22,'[1]3월'!$D$6:$BN$259,3,),)/1000</f>
        <v>443.80848148000007</v>
      </c>
      <c r="P22" s="41">
        <f>+IFERROR(HLOOKUP($B22,'[2]3월'!$F$6:$CP$99,3,),)/1000</f>
        <v>467.47320000000002</v>
      </c>
      <c r="Q22" s="42">
        <f t="shared" si="7"/>
        <v>23.664718519999951</v>
      </c>
      <c r="R22" s="43">
        <f>+IFERROR(HLOOKUP($B22,'[3]3월'!$F$6:$CC$57,3,),)/1000</f>
        <v>229.70775399999999</v>
      </c>
      <c r="S22" s="44">
        <f t="shared" si="8"/>
        <v>237.76544600000003</v>
      </c>
      <c r="T22" s="40">
        <f>+IFERROR(HLOOKUP($B22,'[1]3월'!$D$6:$BN$259,16,),)/1000</f>
        <v>57.095762757873075</v>
      </c>
      <c r="U22" s="41">
        <f>+IFERROR(HLOOKUP($B22,'[2]3월'!$F$6:$CP$99,16,),)/1000</f>
        <v>93.604435999999978</v>
      </c>
      <c r="V22" s="42">
        <f t="shared" si="9"/>
        <v>36.508673242126903</v>
      </c>
      <c r="W22" s="43">
        <f>+IFERROR(HLOOKUP($B22,'[3]3월'!$F$6:$CC$57,16,),)/1000</f>
        <v>-35.664611000000036</v>
      </c>
      <c r="X22" s="44">
        <f t="shared" si="10"/>
        <v>129.269047</v>
      </c>
      <c r="Y22" s="40">
        <f>+[4]원주!$Q$85</f>
        <v>110952.12037000002</v>
      </c>
      <c r="Z22" s="41">
        <f>+[4]원주!$R$85</f>
        <v>128270.06868131869</v>
      </c>
      <c r="AA22" s="45">
        <f>+[5]원주!$Q$85</f>
        <v>93244.470874771665</v>
      </c>
      <c r="AB22" s="46">
        <f>+[4]원주!$Q$89</f>
        <v>72014.762909698416</v>
      </c>
      <c r="AC22" s="41">
        <f>+[4]원주!$R$89</f>
        <v>80707.768131868128</v>
      </c>
      <c r="AD22" s="47">
        <f>+[5]원주!$Q$89</f>
        <v>72003.515323726402</v>
      </c>
      <c r="AE22" s="46">
        <f t="shared" si="11"/>
        <v>38937.357460301602</v>
      </c>
      <c r="AF22" s="41">
        <f t="shared" si="12"/>
        <v>47562.300549450563</v>
      </c>
      <c r="AG22" s="47">
        <f t="shared" si="13"/>
        <v>21240.955551045263</v>
      </c>
      <c r="AH22" s="15"/>
      <c r="AI22" s="638" t="str">
        <f t="shared" si="1"/>
        <v>원주</v>
      </c>
      <c r="AJ22" s="463">
        <f t="shared" si="2"/>
        <v>1.5473887814313346E-2</v>
      </c>
      <c r="AK22" s="463">
        <f t="shared" si="3"/>
        <v>1.5295223626283695E-2</v>
      </c>
      <c r="AL22" s="463">
        <f t="shared" si="14"/>
        <v>-1.7866418802965113E-4</v>
      </c>
      <c r="AM22" s="453">
        <f t="shared" si="4"/>
        <v>-19.823170496074169</v>
      </c>
      <c r="AO22" s="463">
        <f>+[17]원주!$T$5/[17]합계!$T$5</f>
        <v>8.6760112699915889E-3</v>
      </c>
      <c r="AP22" s="463">
        <f t="shared" si="15"/>
        <v>6.6192123562921062E-3</v>
      </c>
      <c r="AQ22" s="453">
        <f>+[17]원주!$Q$85*AP22</f>
        <v>850.1173350628286</v>
      </c>
    </row>
    <row r="23" spans="2:43" s="6" customFormat="1" ht="22.5" customHeight="1" x14ac:dyDescent="0.3">
      <c r="B23" s="6" t="s">
        <v>74</v>
      </c>
      <c r="F23" s="79">
        <f>+K27-J27</f>
        <v>-20.223000000000013</v>
      </c>
      <c r="G23" s="304" t="str">
        <f t="shared" si="5"/>
        <v>제주</v>
      </c>
      <c r="H23" s="69"/>
      <c r="I23" s="70" t="s">
        <v>74</v>
      </c>
      <c r="J23" s="40">
        <f>+IFERROR(HLOOKUP($B23,'[1]3월'!$D$6:$BN$259,2,),)/1000</f>
        <v>6</v>
      </c>
      <c r="K23" s="41">
        <f>+IFERROR(HLOOKUP($B23,'[2]3월'!$F$6:$CP$99,2,),)/1000</f>
        <v>4.0345000000000004</v>
      </c>
      <c r="L23" s="42">
        <f t="shared" si="0"/>
        <v>-1.9654999999999996</v>
      </c>
      <c r="M23" s="43">
        <f>+IFERROR(HLOOKUP($B23,'[3]3월'!$F$6:$CC$57,2,),)/1000</f>
        <v>5.9984999999999999</v>
      </c>
      <c r="N23" s="44">
        <f t="shared" si="6"/>
        <v>-1.9639999999999995</v>
      </c>
      <c r="O23" s="40">
        <f>+IFERROR(HLOOKUP($B23,'[1]3월'!$D$6:$BN$259,3,),)/1000</f>
        <v>736.26162000000011</v>
      </c>
      <c r="P23" s="41">
        <f>+IFERROR(HLOOKUP($B23,'[2]3월'!$F$6:$CP$99,3,),)/1000</f>
        <v>512.596947</v>
      </c>
      <c r="Q23" s="42">
        <f t="shared" si="7"/>
        <v>-223.66467300000011</v>
      </c>
      <c r="R23" s="43">
        <f>+IFERROR(HLOOKUP($B23,'[3]3월'!$F$6:$CC$57,3,),)/1000</f>
        <v>727.00038300000006</v>
      </c>
      <c r="S23" s="44">
        <f t="shared" si="8"/>
        <v>-214.40343600000006</v>
      </c>
      <c r="T23" s="40">
        <f>+IFERROR(HLOOKUP($B23,'[1]3월'!$D$6:$BN$259,16,),)/1000</f>
        <v>64.524356677264393</v>
      </c>
      <c r="U23" s="41">
        <f>+IFERROR(HLOOKUP($B23,'[2]3월'!$F$6:$CP$99,16,),)/1000</f>
        <v>22.33335399999995</v>
      </c>
      <c r="V23" s="42">
        <f t="shared" si="9"/>
        <v>-42.191002677264443</v>
      </c>
      <c r="W23" s="43">
        <f>+IFERROR(HLOOKUP($B23,'[3]3월'!$F$6:$CC$57,16,),)/1000</f>
        <v>105.08773800000002</v>
      </c>
      <c r="X23" s="44">
        <f t="shared" si="10"/>
        <v>-82.754384000000073</v>
      </c>
      <c r="Y23" s="40">
        <f>+[4]제주!$Q$85</f>
        <v>122710.27000000002</v>
      </c>
      <c r="Z23" s="41">
        <f>+[4]제주!$R$85</f>
        <v>127053.40116495227</v>
      </c>
      <c r="AA23" s="45">
        <f>+[5]제주!$Q$85</f>
        <v>121197.02975743936</v>
      </c>
      <c r="AB23" s="46">
        <f>+[4]제주!$Q$89</f>
        <v>94781.790783786928</v>
      </c>
      <c r="AC23" s="41">
        <f>+[4]제주!$R$89</f>
        <v>98534.104349981426</v>
      </c>
      <c r="AD23" s="47">
        <f>+[5]제주!$Q$89</f>
        <v>89275.847961990497</v>
      </c>
      <c r="AE23" s="46">
        <f t="shared" si="11"/>
        <v>27928.479216213091</v>
      </c>
      <c r="AF23" s="41">
        <f t="shared" si="12"/>
        <v>28519.296814970847</v>
      </c>
      <c r="AG23" s="47">
        <f t="shared" si="13"/>
        <v>31921.181795448865</v>
      </c>
      <c r="AH23" s="15"/>
      <c r="AI23" s="638" t="str">
        <f t="shared" si="1"/>
        <v>제주</v>
      </c>
      <c r="AJ23" s="463">
        <f t="shared" si="2"/>
        <v>2.321083172147002E-2</v>
      </c>
      <c r="AK23" s="463">
        <f t="shared" si="3"/>
        <v>1.6931974130948435E-2</v>
      </c>
      <c r="AL23" s="463">
        <f t="shared" si="14"/>
        <v>-6.2788575905215853E-3</v>
      </c>
      <c r="AM23" s="453">
        <f t="shared" si="4"/>
        <v>-770.48031022445332</v>
      </c>
      <c r="AO23" s="463">
        <f>+[17]제주!$T$5/[17]합계!$T$5</f>
        <v>1.8993112129357857E-2</v>
      </c>
      <c r="AP23" s="463">
        <f t="shared" si="15"/>
        <v>-2.0611379984094222E-3</v>
      </c>
      <c r="AQ23" s="453">
        <f>+[17]제주!$Q$85*AP23</f>
        <v>-265.94434833367285</v>
      </c>
    </row>
    <row r="24" spans="2:43" s="6" customFormat="1" ht="22.5" customHeight="1" x14ac:dyDescent="0.3">
      <c r="F24" s="463">
        <f>+K24/J24</f>
        <v>0.97304901960784307</v>
      </c>
      <c r="G24" s="307" t="str">
        <f t="shared" si="5"/>
        <v>수도권</v>
      </c>
      <c r="H24" s="69"/>
      <c r="I24" s="73" t="s">
        <v>42</v>
      </c>
      <c r="J24" s="20">
        <f>SUM(J7:J10)</f>
        <v>102</v>
      </c>
      <c r="K24" s="17">
        <f>SUM(K7:K10)</f>
        <v>99.250999999999991</v>
      </c>
      <c r="L24" s="18">
        <f t="shared" si="0"/>
        <v>-2.7490000000000094</v>
      </c>
      <c r="M24" s="22">
        <f>SUM(M7:M10)</f>
        <v>93.47</v>
      </c>
      <c r="N24" s="19">
        <f t="shared" si="6"/>
        <v>5.7809999999999917</v>
      </c>
      <c r="O24" s="20">
        <f>SUM(O7:O10)</f>
        <v>10218.891952316157</v>
      </c>
      <c r="P24" s="17">
        <f>SUM(P7:P10)</f>
        <v>9803.991829999999</v>
      </c>
      <c r="Q24" s="18">
        <f t="shared" si="7"/>
        <v>-414.90012231615765</v>
      </c>
      <c r="R24" s="22">
        <f>SUM(R7:R10)</f>
        <v>8695.0242589999998</v>
      </c>
      <c r="S24" s="19">
        <f t="shared" si="8"/>
        <v>1108.9675709999992</v>
      </c>
      <c r="T24" s="20">
        <f>SUM(T7:T10)</f>
        <v>693.49337724963812</v>
      </c>
      <c r="U24" s="17">
        <f>SUM(U7:U10)</f>
        <v>358.4109840000005</v>
      </c>
      <c r="V24" s="18">
        <f t="shared" si="9"/>
        <v>-335.08239324963762</v>
      </c>
      <c r="W24" s="22">
        <f>SUM(W7:W10)</f>
        <v>179.04149400000105</v>
      </c>
      <c r="X24" s="19">
        <f t="shared" si="10"/>
        <v>179.36948999999944</v>
      </c>
      <c r="Y24" s="20">
        <f>+[4]수도권!$Q$85</f>
        <v>100185.21521878584</v>
      </c>
      <c r="Z24" s="17">
        <f>+[4]수도권!$R$85</f>
        <v>98854.893882140779</v>
      </c>
      <c r="AA24" s="21">
        <f>+[5]수도권!$Q$85</f>
        <v>93007.035524840423</v>
      </c>
      <c r="AB24" s="25">
        <f>+[4]수도권!$Q$89</f>
        <v>82324.001540684796</v>
      </c>
      <c r="AC24" s="17">
        <f>+[4]수도권!$R$89</f>
        <v>84635.266961084213</v>
      </c>
      <c r="AD24" s="26">
        <f>+[5]수도권!$Q$89</f>
        <v>80706.855300581767</v>
      </c>
      <c r="AE24" s="25">
        <f t="shared" si="11"/>
        <v>17861.213678101049</v>
      </c>
      <c r="AF24" s="17">
        <f t="shared" si="12"/>
        <v>14219.626921056566</v>
      </c>
      <c r="AG24" s="26">
        <f t="shared" si="13"/>
        <v>12300.180224258656</v>
      </c>
      <c r="AH24" s="15"/>
      <c r="AI24" s="638" t="str">
        <f t="shared" si="1"/>
        <v>수도권</v>
      </c>
      <c r="AJ24" s="463">
        <f t="shared" si="2"/>
        <v>0.39458413926499031</v>
      </c>
      <c r="AK24" s="463">
        <f t="shared" si="3"/>
        <v>0.4165362162525128</v>
      </c>
      <c r="AL24" s="463">
        <f t="shared" si="14"/>
        <v>2.1952076987522495E-2</v>
      </c>
      <c r="AM24" s="453">
        <f t="shared" si="4"/>
        <v>2199.2735574942972</v>
      </c>
      <c r="AO24" s="463">
        <f>+[17]수도권!$T$5/[17]합계!$T$5</f>
        <v>0.39272626743290062</v>
      </c>
      <c r="AP24" s="463">
        <f t="shared" si="15"/>
        <v>2.3809948819612181E-2</v>
      </c>
      <c r="AQ24" s="453">
        <f>+[17]수도권!$Q$85*AP24</f>
        <v>2441.7843267681455</v>
      </c>
    </row>
    <row r="25" spans="2:43" s="6" customFormat="1" ht="22.5" customHeight="1" x14ac:dyDescent="0.3">
      <c r="F25" s="463">
        <f>+K25/J25</f>
        <v>0.82268181818181807</v>
      </c>
      <c r="G25" s="304" t="str">
        <f t="shared" si="5"/>
        <v>영남권</v>
      </c>
      <c r="H25" s="69"/>
      <c r="I25" s="73" t="s">
        <v>43</v>
      </c>
      <c r="J25" s="20">
        <f>SUM(J11:J18)</f>
        <v>110</v>
      </c>
      <c r="K25" s="17">
        <f>SUM(K11:K18)</f>
        <v>90.49499999999999</v>
      </c>
      <c r="L25" s="18">
        <f t="shared" si="0"/>
        <v>-19.50500000000001</v>
      </c>
      <c r="M25" s="22">
        <f>SUM(M11:M18)</f>
        <v>117.33799999999999</v>
      </c>
      <c r="N25" s="19">
        <f t="shared" si="6"/>
        <v>-26.843000000000004</v>
      </c>
      <c r="O25" s="20">
        <f>SUM(O11:O18)</f>
        <v>11398.355059891752</v>
      </c>
      <c r="P25" s="17">
        <f>SUM(P11:P18)</f>
        <v>9640.9100299999991</v>
      </c>
      <c r="Q25" s="18">
        <f t="shared" si="7"/>
        <v>-1757.4450298917527</v>
      </c>
      <c r="R25" s="22">
        <f>SUM(R11:R18)</f>
        <v>11529.037294999998</v>
      </c>
      <c r="S25" s="19">
        <f t="shared" si="8"/>
        <v>-1888.1272649999992</v>
      </c>
      <c r="T25" s="20">
        <f>SUM(T11:T18)</f>
        <v>1023.7330514327398</v>
      </c>
      <c r="U25" s="17">
        <f>SUM(U11:U18)</f>
        <v>643.64260200000012</v>
      </c>
      <c r="V25" s="18">
        <f t="shared" si="9"/>
        <v>-380.09044943273966</v>
      </c>
      <c r="W25" s="22">
        <f>SUM(W11:W18)</f>
        <v>966.84600799999964</v>
      </c>
      <c r="X25" s="19">
        <f t="shared" si="10"/>
        <v>-323.20340599999952</v>
      </c>
      <c r="Y25" s="20">
        <f>+[4]영남권!$Q$85</f>
        <v>103621.40963537958</v>
      </c>
      <c r="Z25" s="17">
        <f>+[4]영남권!$R$85</f>
        <v>106535.27852367536</v>
      </c>
      <c r="AA25" s="21">
        <f>+[5]영남권!$Q$85</f>
        <v>98256.721109491045</v>
      </c>
      <c r="AB25" s="25">
        <f>+[4]영남권!$Q$89</f>
        <v>80345.068474197295</v>
      </c>
      <c r="AC25" s="17">
        <f>+[4]영남권!$R$89</f>
        <v>83883.735635612422</v>
      </c>
      <c r="AD25" s="26">
        <f>+[5]영남권!$Q$89</f>
        <v>77832.414081687588</v>
      </c>
      <c r="AE25" s="25">
        <f t="shared" si="11"/>
        <v>23276.341161182281</v>
      </c>
      <c r="AF25" s="17">
        <f t="shared" si="12"/>
        <v>22651.542888062933</v>
      </c>
      <c r="AG25" s="26">
        <f t="shared" si="13"/>
        <v>20424.307027803457</v>
      </c>
      <c r="AH25" s="15"/>
      <c r="AI25" s="639" t="str">
        <f t="shared" si="1"/>
        <v>영남권</v>
      </c>
      <c r="AJ25" s="463">
        <f t="shared" si="2"/>
        <v>0.42553191489361702</v>
      </c>
      <c r="AK25" s="463">
        <f t="shared" si="3"/>
        <v>0.37978906902470649</v>
      </c>
      <c r="AL25" s="463">
        <f t="shared" si="14"/>
        <v>-4.5742845868910531E-2</v>
      </c>
      <c r="AM25" s="453">
        <f t="shared" si="4"/>
        <v>-4739.9381696704086</v>
      </c>
      <c r="AO25" s="463">
        <f>+[17]영남권!$T$5/[17]합계!$T$5</f>
        <v>0.43482992076890048</v>
      </c>
      <c r="AP25" s="463">
        <f t="shared" si="15"/>
        <v>-5.5040851744193986E-2</v>
      </c>
      <c r="AQ25" s="453">
        <f>+[17]영남권!$Q$85*AP25</f>
        <v>-5843.1060556169987</v>
      </c>
    </row>
    <row r="26" spans="2:43" s="6" customFormat="1" ht="22.5" customHeight="1" x14ac:dyDescent="0.3">
      <c r="F26" s="463">
        <f>+K26/J26</f>
        <v>1.0436774193548388</v>
      </c>
      <c r="G26" s="304" t="str">
        <f t="shared" si="5"/>
        <v>중부권</v>
      </c>
      <c r="H26" s="69"/>
      <c r="I26" s="73" t="s">
        <v>105</v>
      </c>
      <c r="J26" s="20">
        <f>SUM(J19:J23)</f>
        <v>46.5</v>
      </c>
      <c r="K26" s="17">
        <f>SUM(K19:K23)</f>
        <v>48.531000000000006</v>
      </c>
      <c r="L26" s="18">
        <f t="shared" si="0"/>
        <v>2.0310000000000059</v>
      </c>
      <c r="M26" s="22">
        <f>SUM(M19:M23)</f>
        <v>55.118999999999993</v>
      </c>
      <c r="N26" s="19">
        <f t="shared" si="6"/>
        <v>-6.5879999999999868</v>
      </c>
      <c r="O26" s="20">
        <f>SUM(O19:O23)</f>
        <v>4814.3521634799999</v>
      </c>
      <c r="P26" s="17">
        <f>SUM(P19:P23)</f>
        <v>5040.3967490000005</v>
      </c>
      <c r="Q26" s="18">
        <f t="shared" si="7"/>
        <v>226.04458552000051</v>
      </c>
      <c r="R26" s="22">
        <f>SUM(R19:R23)</f>
        <v>5655.0860709999997</v>
      </c>
      <c r="S26" s="19">
        <f t="shared" si="8"/>
        <v>-614.68932199999927</v>
      </c>
      <c r="T26" s="20">
        <f>SUM(T19:T23)</f>
        <v>349.95369771060382</v>
      </c>
      <c r="U26" s="17">
        <f>SUM(U19:U23)</f>
        <v>412.4022040000001</v>
      </c>
      <c r="V26" s="18">
        <f t="shared" si="9"/>
        <v>62.448506289396278</v>
      </c>
      <c r="W26" s="22">
        <f>SUM(W19:W23)</f>
        <v>546.99923399999989</v>
      </c>
      <c r="X26" s="19">
        <f t="shared" si="10"/>
        <v>-134.59702999999979</v>
      </c>
      <c r="Y26" s="20">
        <f>+[4]중부권!$Q$85</f>
        <v>103534.45512860215</v>
      </c>
      <c r="Z26" s="17">
        <f>+[4]중부권!$R$85</f>
        <v>103857.20377525681</v>
      </c>
      <c r="AA26" s="21">
        <f>+[5]중부권!$Q$85</f>
        <v>102574.0157361422</v>
      </c>
      <c r="AB26" s="25">
        <f>+[4]중부권!$Q$89</f>
        <v>80271.545882543462</v>
      </c>
      <c r="AC26" s="17">
        <f>+[4]중부권!$R$89</f>
        <v>81700.099290341866</v>
      </c>
      <c r="AD26" s="26">
        <f>+[5]중부권!$Q$89</f>
        <v>80620.59961459451</v>
      </c>
      <c r="AE26" s="25">
        <f t="shared" si="11"/>
        <v>23262.909246058683</v>
      </c>
      <c r="AF26" s="17">
        <f t="shared" si="12"/>
        <v>22157.104484914948</v>
      </c>
      <c r="AG26" s="26">
        <f t="shared" si="13"/>
        <v>21953.416121547692</v>
      </c>
      <c r="AH26" s="15"/>
      <c r="AI26" s="639" t="str">
        <f t="shared" si="1"/>
        <v>중부권</v>
      </c>
      <c r="AJ26" s="463">
        <f t="shared" si="2"/>
        <v>0.17988394584139264</v>
      </c>
      <c r="AK26" s="463">
        <f t="shared" si="3"/>
        <v>0.20367471472278068</v>
      </c>
      <c r="AL26" s="463">
        <f t="shared" si="14"/>
        <v>2.3790768881388036E-2</v>
      </c>
      <c r="AM26" s="453">
        <f t="shared" si="4"/>
        <v>2463.1642932250138</v>
      </c>
      <c r="AO26" s="463">
        <f>+[17]중부권!$T$5/[17]합계!$T$5</f>
        <v>0.17244381179819893</v>
      </c>
      <c r="AP26" s="463">
        <f t="shared" si="15"/>
        <v>3.1230902924581749E-2</v>
      </c>
      <c r="AQ26" s="453">
        <f>+[17]중부권!$Q$85*AP26</f>
        <v>3290.4542979524667</v>
      </c>
    </row>
    <row r="27" spans="2:43" s="1" customFormat="1" ht="22.5" customHeight="1" x14ac:dyDescent="0.3">
      <c r="B27" s="23"/>
      <c r="F27" s="452">
        <f>+K27/M27</f>
        <v>0.89602409683860618</v>
      </c>
      <c r="G27" s="306">
        <f>+K27/J27</f>
        <v>0.92176789168278528</v>
      </c>
      <c r="H27" s="238" t="s">
        <v>93</v>
      </c>
      <c r="I27" s="239"/>
      <c r="J27" s="240">
        <f>SUM(J24:J26)</f>
        <v>258.5</v>
      </c>
      <c r="K27" s="241">
        <f>SUM(K24:K26)</f>
        <v>238.27699999999999</v>
      </c>
      <c r="L27" s="242">
        <f t="shared" ref="L27" si="16">+K27-J27</f>
        <v>-20.223000000000013</v>
      </c>
      <c r="M27" s="243">
        <f>SUM(M24:M26)</f>
        <v>265.92699999999996</v>
      </c>
      <c r="N27" s="244">
        <f t="shared" ref="N27" si="17">+K27-M27</f>
        <v>-27.649999999999977</v>
      </c>
      <c r="O27" s="240">
        <f>SUM(O24:O26)</f>
        <v>26431.599175687908</v>
      </c>
      <c r="P27" s="241">
        <f>SUM(P24:P26)</f>
        <v>24485.298608999998</v>
      </c>
      <c r="Q27" s="242">
        <f t="shared" ref="Q27" si="18">+P27-O27</f>
        <v>-1946.3005666879108</v>
      </c>
      <c r="R27" s="243">
        <f>SUM(R24:R26)</f>
        <v>25879.147624999998</v>
      </c>
      <c r="S27" s="244">
        <f t="shared" ref="S27" si="19">+P27-R27</f>
        <v>-1393.8490160000001</v>
      </c>
      <c r="T27" s="240">
        <f>SUM(T24:T26)</f>
        <v>2067.1801263929819</v>
      </c>
      <c r="U27" s="241">
        <f>SUM(U24:U26)</f>
        <v>1414.4557900000009</v>
      </c>
      <c r="V27" s="242">
        <f t="shared" ref="V27" si="20">+U27-T27</f>
        <v>-652.72433639298106</v>
      </c>
      <c r="W27" s="243">
        <f>SUM(W24:W26)</f>
        <v>1692.8867360000006</v>
      </c>
      <c r="X27" s="244">
        <f t="shared" ref="X27" si="21">+U27-W27</f>
        <v>-278.43094599999972</v>
      </c>
      <c r="Y27" s="641">
        <f>+[4]합계!$Q$85</f>
        <v>102249.90009937297</v>
      </c>
      <c r="Z27" s="642">
        <f>+[4]합계!$R$85</f>
        <v>102799.58381374026</v>
      </c>
      <c r="AA27" s="643">
        <f>+[5]합계!$Q$85</f>
        <v>97314.828773584901</v>
      </c>
      <c r="AB27" s="644">
        <f>+[4]합계!$Q$89</f>
        <v>81112.698541005127</v>
      </c>
      <c r="AC27" s="642">
        <f>+[4]합계!$R$89</f>
        <v>83749.970886014737</v>
      </c>
      <c r="AD27" s="645">
        <f>+[5]합계!$Q$89</f>
        <v>79407.762502858823</v>
      </c>
      <c r="AE27" s="644">
        <f t="shared" si="11"/>
        <v>21137.201558367844</v>
      </c>
      <c r="AF27" s="642">
        <f t="shared" si="12"/>
        <v>19049.612927725524</v>
      </c>
      <c r="AG27" s="645">
        <f t="shared" si="13"/>
        <v>17907.066270726078</v>
      </c>
      <c r="AH27" s="24"/>
      <c r="AI27" s="639" t="s">
        <v>8</v>
      </c>
      <c r="AJ27" s="463">
        <f t="shared" si="2"/>
        <v>1</v>
      </c>
      <c r="AK27" s="463">
        <f t="shared" si="3"/>
        <v>1</v>
      </c>
      <c r="AL27" s="463">
        <f t="shared" si="14"/>
        <v>0</v>
      </c>
      <c r="AM27" s="640">
        <f>SUM(AM7:AM23)</f>
        <v>62.933326457177941</v>
      </c>
      <c r="AO27" s="463">
        <f>+[17]합계!$T$5/[17]합계!$T$5</f>
        <v>1</v>
      </c>
      <c r="AP27" s="463">
        <f t="shared" si="15"/>
        <v>0</v>
      </c>
      <c r="AQ27" s="640">
        <f>SUM(AQ7:AQ23)</f>
        <v>-47.211476079691067</v>
      </c>
    </row>
    <row r="28" spans="2:43" s="6" customFormat="1" ht="22.5" customHeight="1" thickBot="1" x14ac:dyDescent="0.35">
      <c r="B28" s="6" t="s">
        <v>111</v>
      </c>
      <c r="E28" s="6" t="s">
        <v>179</v>
      </c>
      <c r="G28" s="304" t="s">
        <v>3</v>
      </c>
      <c r="H28" s="75" t="s">
        <v>45</v>
      </c>
      <c r="I28" s="68" t="s">
        <v>112</v>
      </c>
      <c r="J28" s="50">
        <f>+IFERROR(HLOOKUP($B29,'[1]3월'!$D$6:$BN$259,2,),)/1000</f>
        <v>21.283083916083918</v>
      </c>
      <c r="K28" s="51">
        <f>+IFERROR(HLOOKUP($C29,'[2]3월'!$F$6:$CP$99,2,),)/1000</f>
        <v>18.966999999999999</v>
      </c>
      <c r="L28" s="32">
        <f t="shared" ref="L28:L34" si="22">+K28-J28</f>
        <v>-2.3160839160839188</v>
      </c>
      <c r="M28" s="32">
        <f>+IFERROR(HLOOKUP($C29,'[3]3월'!$F$6:$CC$57,2,),)/1000</f>
        <v>23.849</v>
      </c>
      <c r="N28" s="52">
        <f>+K28-M28</f>
        <v>-4.8820000000000014</v>
      </c>
      <c r="O28" s="50">
        <f>+IFERROR(HLOOKUP($B29,'[1]3월'!$D$6:$BN$259,3,),)/1000</f>
        <v>607.00438811188803</v>
      </c>
      <c r="P28" s="51">
        <f>+IFERROR(HLOOKUP($C29,'[2]3월'!$F$6:$CP$99,3,),)/1000</f>
        <v>535.077</v>
      </c>
      <c r="Q28" s="32">
        <f t="shared" ref="Q28:Q37" si="23">+P28-O28</f>
        <v>-71.927388111888035</v>
      </c>
      <c r="R28" s="32">
        <f>+IFERROR(HLOOKUP($C29,'[3]3월'!$F$6:$CC$57,3,),)/1000</f>
        <v>728.01</v>
      </c>
      <c r="S28" s="52">
        <f t="shared" ref="S28:S37" si="24">+P28-R28</f>
        <v>-192.93299999999999</v>
      </c>
      <c r="T28" s="50">
        <f>+IFERROR(HLOOKUP($B29,'[1]3월'!$D$6:$BN$259,21,),)/1000</f>
        <v>23.690586488623364</v>
      </c>
      <c r="U28" s="51">
        <f>+IFERROR(HLOOKUP($C29,'[2]3월'!$F$6:$CP$99,21,),)/1000</f>
        <v>23.000138410835667</v>
      </c>
      <c r="V28" s="32">
        <f>+U28-T28</f>
        <v>-0.69044807778769623</v>
      </c>
      <c r="W28" s="32">
        <f>+IFERROR(HLOOKUP($C29,'[3]3월'!$F$6:$CC$57,21,),)/1000</f>
        <v>19.852408458908677</v>
      </c>
      <c r="X28" s="52">
        <f>+U28-W28</f>
        <v>3.1477299519269906</v>
      </c>
      <c r="Y28" s="449" t="s">
        <v>194</v>
      </c>
      <c r="Z28" s="210"/>
      <c r="AA28" s="210"/>
      <c r="AB28" s="210"/>
      <c r="AC28" s="210"/>
      <c r="AD28" s="210"/>
      <c r="AE28" s="609"/>
      <c r="AF28" s="609"/>
      <c r="AG28" s="610"/>
      <c r="AH28" s="15"/>
      <c r="AI28" s="16"/>
      <c r="AJ28" s="453"/>
      <c r="AK28" s="457"/>
    </row>
    <row r="29" spans="2:43" s="6" customFormat="1" ht="22.5" customHeight="1" thickTop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+IFERROR(HLOOKUP($B30,'[1]3월'!$D$6:$BN$259,2,),)/1000</f>
        <v>46.074719999999999</v>
      </c>
      <c r="K29" s="53">
        <f>+IFERROR(HLOOKUP($C30,'[2]3월'!$F$6:$CP$99,2,),)/1000</f>
        <v>34.432000000000002</v>
      </c>
      <c r="L29" s="42">
        <f t="shared" si="22"/>
        <v>-11.642719999999997</v>
      </c>
      <c r="M29" s="42">
        <f>+IFERROR(HLOOKUP($C30,'[3]3월'!$F$6:$CC$57,2,),)/1000</f>
        <v>32.472000000000001</v>
      </c>
      <c r="N29" s="54">
        <f>+K29-M29</f>
        <v>1.9600000000000009</v>
      </c>
      <c r="O29" s="48">
        <f>+IFERROR(HLOOKUP($B30,'[1]3월'!$D$6:$BN$259,3,),)/1000</f>
        <v>600.52768000000003</v>
      </c>
      <c r="P29" s="53">
        <f>+IFERROR(HLOOKUP($C30,'[2]3월'!$F$6:$CP$99,3,),)/1000</f>
        <v>479.11200000000002</v>
      </c>
      <c r="Q29" s="42">
        <f t="shared" si="23"/>
        <v>-121.41568000000001</v>
      </c>
      <c r="R29" s="42">
        <f>+IFERROR(HLOOKUP($C30,'[3]3월'!$F$6:$CC$57,3,),)/1000</f>
        <v>461.31200000000001</v>
      </c>
      <c r="S29" s="54">
        <f t="shared" si="24"/>
        <v>17.800000000000011</v>
      </c>
      <c r="T29" s="48">
        <f>+IFERROR(HLOOKUP($B30,'[1]3월'!$D$6:$BN$259,21,),)/1000</f>
        <v>80.719688654701343</v>
      </c>
      <c r="U29" s="53">
        <f>+IFERROR(HLOOKUP($C30,'[2]3월'!$F$6:$CP$99,21,),)/1000</f>
        <v>11.171777706154968</v>
      </c>
      <c r="V29" s="42">
        <f>+U29-T29</f>
        <v>-69.547910948546374</v>
      </c>
      <c r="W29" s="42">
        <f>+IFERROR(HLOOKUP($C30,'[3]3월'!$F$6:$CC$57,21,),)/1000</f>
        <v>165.97819515944457</v>
      </c>
      <c r="X29" s="54">
        <f>+U29-W29</f>
        <v>-154.80641745328961</v>
      </c>
      <c r="Y29" s="611" t="s">
        <v>11</v>
      </c>
      <c r="Z29" s="612" t="s">
        <v>36</v>
      </c>
      <c r="AA29" s="613" t="s">
        <v>37</v>
      </c>
      <c r="AB29" s="614" t="s">
        <v>38</v>
      </c>
      <c r="AC29" s="611" t="s">
        <v>181</v>
      </c>
      <c r="AD29" s="611" t="s">
        <v>38</v>
      </c>
      <c r="AE29" s="210" t="s">
        <v>197</v>
      </c>
      <c r="AF29" s="210"/>
      <c r="AG29" s="45"/>
      <c r="AH29" s="15"/>
      <c r="AI29" s="210" t="s">
        <v>198</v>
      </c>
      <c r="AJ29" s="453"/>
      <c r="AK29" s="457"/>
    </row>
    <row r="30" spans="2:43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+IFERROR(HLOOKUP($B31,'[1]3월'!$D$6:$BN$259,2,),)/1000</f>
        <v>1E-3</v>
      </c>
      <c r="K30" s="53">
        <f>+IFERROR(HLOOKUP($C31,'[2]3월'!$F$6:$CP$99,2,),)/1000</f>
        <v>17.664000000000001</v>
      </c>
      <c r="L30" s="42">
        <f t="shared" si="22"/>
        <v>17.663</v>
      </c>
      <c r="M30" s="42">
        <f>+IFERROR(HLOOKUP($C31,'[3]3월'!$F$6:$CC$57,2,),)/1000</f>
        <v>4.8899999999999997</v>
      </c>
      <c r="N30" s="54">
        <f>+K30-M30</f>
        <v>12.774000000000001</v>
      </c>
      <c r="O30" s="48">
        <f>+IFERROR(HLOOKUP($B31,'[1]3월'!$D$6:$BN$259,3,),)/1000</f>
        <v>0</v>
      </c>
      <c r="P30" s="53">
        <f>+IFERROR(HLOOKUP($C31,'[2]3월'!$F$6:$CP$99,3,),)/1000</f>
        <v>351.23520000000002</v>
      </c>
      <c r="Q30" s="42">
        <f t="shared" si="23"/>
        <v>351.23520000000002</v>
      </c>
      <c r="R30" s="42">
        <f>+IFERROR(HLOOKUP($C31,'[3]3월'!$F$6:$CC$57,3,),)/1000</f>
        <v>94.094999999999999</v>
      </c>
      <c r="S30" s="54">
        <f t="shared" si="24"/>
        <v>257.14020000000005</v>
      </c>
      <c r="T30" s="48">
        <f>+IFERROR(HLOOKUP($B31,'[1]3월'!$D$6:$BN$259,21,),)/1000</f>
        <v>-153.84896783333329</v>
      </c>
      <c r="U30" s="53">
        <f>+IFERROR(HLOOKUP($C31,'[2]3월'!$F$6:$CP$99,21,),)/1000</f>
        <v>-128.95855751000002</v>
      </c>
      <c r="V30" s="42">
        <f>+U30-T30</f>
        <v>24.890410323333271</v>
      </c>
      <c r="W30" s="42">
        <f>+IFERROR(HLOOKUP($C31,'[3]3월'!$F$6:$CC$57,21,),)/1000</f>
        <v>-312.64607446999997</v>
      </c>
      <c r="X30" s="54">
        <f>+U30-W30</f>
        <v>183.68751695999995</v>
      </c>
      <c r="Y30" s="615" t="s">
        <v>182</v>
      </c>
      <c r="Z30" s="616">
        <f>+[18]영업계획!$I$7</f>
        <v>104488.80633608306</v>
      </c>
      <c r="AA30" s="617">
        <f>+[19]합계!$E$94</f>
        <v>104231.92478669074</v>
      </c>
      <c r="AB30" s="37">
        <f>+AA30-Z30</f>
        <v>-256.88154939231754</v>
      </c>
      <c r="AC30" s="618">
        <f>+[19]합계!$D$94</f>
        <v>107321.91111828959</v>
      </c>
      <c r="AD30" s="618">
        <f>+AA30-AC30</f>
        <v>-3089.9863315988478</v>
      </c>
      <c r="AE30" s="210" t="s">
        <v>183</v>
      </c>
      <c r="AF30" s="210">
        <f>+(Z30-Z31)*AB36</f>
        <v>662.17813524556266</v>
      </c>
      <c r="AG30" s="45" t="s">
        <v>196</v>
      </c>
      <c r="AH30" s="15"/>
      <c r="AI30" s="210" t="s">
        <v>183</v>
      </c>
      <c r="AJ30" s="210">
        <f>+(AC30-AC31)*AD36</f>
        <v>246.16330233205079</v>
      </c>
      <c r="AK30" s="210" t="s">
        <v>196</v>
      </c>
      <c r="AL30" s="81"/>
      <c r="AN30" s="453"/>
    </row>
    <row r="31" spans="2:43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67.358803916083929</v>
      </c>
      <c r="K31" s="129">
        <f>SUM(K28:K30)</f>
        <v>71.063000000000002</v>
      </c>
      <c r="L31" s="127">
        <f t="shared" si="22"/>
        <v>3.7041960839160737</v>
      </c>
      <c r="M31" s="127">
        <f>SUM(M28:M30)</f>
        <v>61.210999999999999</v>
      </c>
      <c r="N31" s="128">
        <f>+K31-M31</f>
        <v>9.8520000000000039</v>
      </c>
      <c r="O31" s="125">
        <f>SUM(O28:O30)</f>
        <v>1207.5320681118881</v>
      </c>
      <c r="P31" s="129">
        <f>SUM(P28:P30)</f>
        <v>1365.4242000000002</v>
      </c>
      <c r="Q31" s="127">
        <f t="shared" si="23"/>
        <v>157.89213188811209</v>
      </c>
      <c r="R31" s="127">
        <f>SUM(R28:R30)</f>
        <v>1283.4170000000001</v>
      </c>
      <c r="S31" s="128">
        <f t="shared" si="24"/>
        <v>82.007200000000012</v>
      </c>
      <c r="T31" s="125">
        <f>SUM(T28:T30)</f>
        <v>-49.43869269000858</v>
      </c>
      <c r="U31" s="129">
        <f>SUM(U28:U30)</f>
        <v>-94.786641393009376</v>
      </c>
      <c r="V31" s="127">
        <f>+U31-T31</f>
        <v>-45.347948703000796</v>
      </c>
      <c r="W31" s="127">
        <f>SUM(W28:W30)</f>
        <v>-126.81547085164672</v>
      </c>
      <c r="X31" s="128">
        <f>+U31-W31</f>
        <v>32.028829458637347</v>
      </c>
      <c r="Y31" s="619" t="s">
        <v>184</v>
      </c>
      <c r="Z31" s="620">
        <f>+[18]영업계획!$I$10</f>
        <v>98605.77975960511</v>
      </c>
      <c r="AA31" s="621">
        <f>+[19]합계!$E$93</f>
        <v>98676.778845599969</v>
      </c>
      <c r="AB31" s="622">
        <f t="shared" ref="AB31:AB32" si="25">+AA31-Z31</f>
        <v>70.999085994859342</v>
      </c>
      <c r="AC31" s="623">
        <f>+[19]합계!$D$93</f>
        <v>97667.596405363292</v>
      </c>
      <c r="AD31" s="623">
        <f t="shared" ref="AD31:AD32" si="26">+AA31-AC31</f>
        <v>1009.1824402366765</v>
      </c>
      <c r="AE31" s="210" t="s">
        <v>185</v>
      </c>
      <c r="AF31" s="210">
        <f>+AB35*120*10</f>
        <v>1664.0350812144177</v>
      </c>
      <c r="AG31" s="45" t="s">
        <v>196</v>
      </c>
      <c r="AH31" s="15"/>
      <c r="AI31" s="210" t="s">
        <v>185</v>
      </c>
      <c r="AJ31" s="210">
        <f>+AD35*120*10</f>
        <v>-1296.7421305065116</v>
      </c>
      <c r="AK31" s="210" t="s">
        <v>196</v>
      </c>
      <c r="AL31" s="81"/>
      <c r="AM31" s="453"/>
      <c r="AN31" s="453"/>
    </row>
    <row r="32" spans="2:43" s="1" customFormat="1" ht="22.5" customHeight="1" x14ac:dyDescent="0.3">
      <c r="G32" s="308"/>
      <c r="H32" s="78" t="s">
        <v>49</v>
      </c>
      <c r="I32" s="77" t="s">
        <v>79</v>
      </c>
      <c r="J32" s="40"/>
      <c r="K32" s="41"/>
      <c r="L32" s="43">
        <f t="shared" si="22"/>
        <v>0</v>
      </c>
      <c r="M32" s="42"/>
      <c r="N32" s="54">
        <f>+K32-M32</f>
        <v>0</v>
      </c>
      <c r="O32" s="40">
        <f>(IFERROR(HLOOKUP($B33,'[1]3월'!$D$6:$BN$259,3,),)++IFERROR(HLOOKUP($C33,'[1]3월'!$D$6:$BN$259,3,),)+IFERROR(HLOOKUP($D33,'[1]3월'!$D$6:$BN$259,3,),))/1000</f>
        <v>41.666666666666671</v>
      </c>
      <c r="P32" s="41">
        <f>+IFERROR(HLOOKUP($E33,'[2]3월'!$F$6:$CP$99,3,),)/1000</f>
        <v>43.34</v>
      </c>
      <c r="Q32" s="43">
        <f t="shared" si="23"/>
        <v>1.673333333333332</v>
      </c>
      <c r="R32" s="42">
        <f>+IFERROR(HLOOKUP($E33,'[3]3월'!$F$6:$CC$57,3,),)/1000</f>
        <v>65.84</v>
      </c>
      <c r="S32" s="54">
        <f t="shared" si="24"/>
        <v>-22.5</v>
      </c>
      <c r="T32" s="40">
        <f>(IFERROR(HLOOKUP($B33,'[1]3월'!$D$6:$BN$259,21,),)++IFERROR(HLOOKUP($C33,'[1]3월'!$D$6:$BN$259,21,),)+IFERROR(HLOOKUP($D33,'[1]3월'!$D$6:$BN$259,21,),))/1000</f>
        <v>32.447923666666668</v>
      </c>
      <c r="U32" s="41">
        <f>+IFERROR(HLOOKUP($E33,'[2]3월'!$F$6:$CP$99,16,),)/1000</f>
        <v>26.803492999999996</v>
      </c>
      <c r="V32" s="43">
        <f t="shared" ref="V32:V38" si="27">+U32-T32</f>
        <v>-5.6444306666666719</v>
      </c>
      <c r="W32" s="42">
        <f>+IFERROR(HLOOKUP($E33,'[3]3월'!$F$6:$CC$57,16,),)/1000</f>
        <v>46.568992000000001</v>
      </c>
      <c r="X32" s="54">
        <f t="shared" ref="X32:X40" si="28">+U32-W32</f>
        <v>-19.765499000000005</v>
      </c>
      <c r="Y32" s="611" t="s">
        <v>136</v>
      </c>
      <c r="Z32" s="624">
        <f>+[18]영업계획!$I$22</f>
        <v>102249.90009937296</v>
      </c>
      <c r="AA32" s="625">
        <f>+[19]합계!$E$95</f>
        <v>102799.58381374025</v>
      </c>
      <c r="AB32" s="626">
        <f t="shared" si="25"/>
        <v>549.68371436728921</v>
      </c>
      <c r="AC32" s="627">
        <f>+[19]합계!$D$95</f>
        <v>104606.76316734462</v>
      </c>
      <c r="AD32" s="627">
        <f t="shared" si="26"/>
        <v>-1807.1793536043697</v>
      </c>
      <c r="AE32" s="210" t="s">
        <v>222</v>
      </c>
      <c r="AF32" s="210">
        <f>+AB32-AF30-AF31-AF34-AF33</f>
        <v>-1398.0871580513817</v>
      </c>
      <c r="AG32" s="45" t="s">
        <v>196</v>
      </c>
      <c r="AH32" s="24"/>
      <c r="AI32" s="210" t="s">
        <v>222</v>
      </c>
      <c r="AJ32" s="210">
        <f>+AD32-AJ30-AJ31-AJ34-AJ33</f>
        <v>-512.0221425030287</v>
      </c>
      <c r="AK32" s="210" t="s">
        <v>196</v>
      </c>
      <c r="AL32" s="458"/>
      <c r="AM32" s="455"/>
      <c r="AN32" s="455"/>
    </row>
    <row r="33" spans="2:44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29">+I32</f>
        <v>레미콘임대</v>
      </c>
      <c r="H33" s="78"/>
      <c r="I33" s="77" t="s">
        <v>44</v>
      </c>
      <c r="J33" s="40"/>
      <c r="K33" s="41"/>
      <c r="L33" s="43">
        <f t="shared" si="22"/>
        <v>0</v>
      </c>
      <c r="M33" s="42">
        <v>0</v>
      </c>
      <c r="N33" s="54">
        <f t="shared" ref="N33:N40" si="30">+K33-M33</f>
        <v>0</v>
      </c>
      <c r="O33" s="40">
        <f>(+IFERROR(HLOOKUP($B34,'[1]3월'!$D$6:$BN$259,3,),)+IFERROR(HLOOKUP($C34,'[1]3월'!$D$6:$BN$259,3,),))/1000</f>
        <v>80.096666666666678</v>
      </c>
      <c r="P33" s="41">
        <f>+IFERROR(HLOOKUP($E34,'[2]3월'!$F$6:$CP$99,3,),)/1000</f>
        <v>196.164939</v>
      </c>
      <c r="Q33" s="43">
        <f t="shared" si="23"/>
        <v>116.06827233333333</v>
      </c>
      <c r="R33" s="42">
        <f>+IFERROR(HLOOKUP($E34,'[3]3월'!$F$6:$CC$57,3,),)/1000</f>
        <v>73.542477000000005</v>
      </c>
      <c r="S33" s="54">
        <f t="shared" si="24"/>
        <v>122.622462</v>
      </c>
      <c r="T33" s="40">
        <f>(+IFERROR(HLOOKUP($B34,'[1]3월'!$D$6:$BN$259,21,),)+IFERROR(HLOOKUP($C34,'[1]3월'!$D$6:$BN$259,21,),))/1000</f>
        <v>76.544098666666656</v>
      </c>
      <c r="U33" s="41">
        <f>+IFERROR(HLOOKUP($E34,'[2]3월'!$F$6:$CP$99,16,),)/1000</f>
        <v>192.611896</v>
      </c>
      <c r="V33" s="43">
        <f t="shared" si="27"/>
        <v>116.06779733333335</v>
      </c>
      <c r="W33" s="42">
        <f>+IFERROR(HLOOKUP($E34,'[3]3월'!$F$6:$CC$57,16,),)/1000</f>
        <v>76.003664999999998</v>
      </c>
      <c r="X33" s="54">
        <f t="shared" si="28"/>
        <v>116.608231</v>
      </c>
      <c r="Y33" s="650" t="s">
        <v>182</v>
      </c>
      <c r="Z33" s="628">
        <f>+'[20]예산대비 차이'!$M$15</f>
        <v>28.796612420329421</v>
      </c>
      <c r="AA33" s="629">
        <f>+[21]평균강도집계!$S$27</f>
        <v>30.285880576743338</v>
      </c>
      <c r="AB33" s="630">
        <f>+AA33-Z33</f>
        <v>1.4892681564139174</v>
      </c>
      <c r="AC33" s="631">
        <f>+[21]평균강도집계!$R$27</f>
        <v>31.840642756413956</v>
      </c>
      <c r="AD33" s="631">
        <f>+AA33-AC33</f>
        <v>-1.5547621796706181</v>
      </c>
      <c r="AE33" s="210" t="s">
        <v>195</v>
      </c>
      <c r="AF33" s="79">
        <f>+-'[22]2026년 소급분(공장별)'!$D$7</f>
        <v>-441.37567049848712</v>
      </c>
      <c r="AG33" s="45" t="s">
        <v>196</v>
      </c>
      <c r="AI33" s="210" t="s">
        <v>195</v>
      </c>
      <c r="AJ33" s="79">
        <f>+'[22]2026년 소급분(공장별)'!$D$7-'[22]2026년 소급분(공장별)'!$D$6</f>
        <v>-197.3669068471894</v>
      </c>
      <c r="AK33" s="210" t="s">
        <v>196</v>
      </c>
      <c r="AL33" s="453"/>
      <c r="AM33" s="453"/>
      <c r="AN33" s="453"/>
    </row>
    <row r="34" spans="2:44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29"/>
        <v>임대</v>
      </c>
      <c r="H34" s="76"/>
      <c r="I34" s="77" t="s">
        <v>50</v>
      </c>
      <c r="J34" s="40"/>
      <c r="K34" s="41"/>
      <c r="L34" s="43">
        <f t="shared" si="22"/>
        <v>0</v>
      </c>
      <c r="M34" s="42"/>
      <c r="N34" s="54">
        <f t="shared" si="30"/>
        <v>0</v>
      </c>
      <c r="O34" s="40"/>
      <c r="P34" s="41"/>
      <c r="Q34" s="43">
        <f t="shared" si="23"/>
        <v>0</v>
      </c>
      <c r="R34" s="42"/>
      <c r="S34" s="54">
        <f t="shared" si="24"/>
        <v>0</v>
      </c>
      <c r="T34" s="40">
        <f>-'[1]3월'!$Z$22/1000</f>
        <v>-1289.5108579445152</v>
      </c>
      <c r="U34" s="41">
        <f>+-'[2]3월'!$Z$22/1000</f>
        <v>-1294.5632226025809</v>
      </c>
      <c r="V34" s="43">
        <f t="shared" si="27"/>
        <v>-5.0523646580656987</v>
      </c>
      <c r="W34" s="42">
        <f>+-'[3]3월'!$Z$22/1000</f>
        <v>-1338.7444811556422</v>
      </c>
      <c r="X34" s="54">
        <f t="shared" si="28"/>
        <v>44.181258553061298</v>
      </c>
      <c r="Y34" s="651" t="s">
        <v>184</v>
      </c>
      <c r="Z34" s="646">
        <f>+'[20]예산대비 차이'!$M$16</f>
        <v>26.449441467157669</v>
      </c>
      <c r="AA34" s="647">
        <f>+[21]평균강도집계!$S$49</f>
        <v>26.594936708860761</v>
      </c>
      <c r="AB34" s="648">
        <f t="shared" ref="AB34" si="31">+AA34-Z34</f>
        <v>0.14549524170309169</v>
      </c>
      <c r="AC34" s="649">
        <f>+[21]평균강도집계!$R$49</f>
        <v>26.769608346511674</v>
      </c>
      <c r="AD34" s="649">
        <f t="shared" ref="AD34" si="32">+AA34-AC34</f>
        <v>-0.17467163765091342</v>
      </c>
      <c r="AE34" s="210" t="s">
        <v>187</v>
      </c>
      <c r="AF34" s="210">
        <f>+AM27</f>
        <v>62.933326457177941</v>
      </c>
      <c r="AG34" s="45" t="s">
        <v>196</v>
      </c>
      <c r="AH34" s="15"/>
      <c r="AI34" s="210" t="s">
        <v>187</v>
      </c>
      <c r="AJ34" s="210">
        <f>+AQ27</f>
        <v>-47.211476079691067</v>
      </c>
      <c r="AK34" s="210" t="s">
        <v>196</v>
      </c>
      <c r="AM34" s="453"/>
      <c r="AN34" s="453"/>
    </row>
    <row r="35" spans="2:44" s="6" customFormat="1" ht="22.5" customHeight="1" x14ac:dyDescent="0.3">
      <c r="B35" s="6" t="s">
        <v>119</v>
      </c>
      <c r="D35"/>
      <c r="E35"/>
      <c r="F35"/>
      <c r="G35" s="304" t="str">
        <f t="shared" si="29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30"/>
        <v>0</v>
      </c>
      <c r="O35" s="40"/>
      <c r="P35" s="41"/>
      <c r="Q35" s="43">
        <f t="shared" si="23"/>
        <v>0</v>
      </c>
      <c r="R35" s="42"/>
      <c r="S35" s="54">
        <f t="shared" si="24"/>
        <v>0</v>
      </c>
      <c r="T35" s="40">
        <f>+'[1]3월'!$AT$26/1000</f>
        <v>360</v>
      </c>
      <c r="U35" s="41">
        <f>'[2]3월'!$BD$26/1000</f>
        <v>172.56279000000001</v>
      </c>
      <c r="V35" s="43">
        <f t="shared" si="27"/>
        <v>-187.43720999999999</v>
      </c>
      <c r="W35" s="42">
        <f>'[3]3월'!$BD$26/1000</f>
        <v>0</v>
      </c>
      <c r="X35" s="54">
        <f t="shared" si="28"/>
        <v>172.56279000000001</v>
      </c>
      <c r="Y35" s="611" t="s">
        <v>186</v>
      </c>
      <c r="Z35" s="652">
        <f>+'[20]예산대비 차이'!$M$18</f>
        <v>27.920467357399371</v>
      </c>
      <c r="AA35" s="653">
        <f>+[21]평균강도집계!$S$71</f>
        <v>29.307163258411386</v>
      </c>
      <c r="AB35" s="654">
        <f>+AA35-Z35</f>
        <v>1.3866959010120148</v>
      </c>
      <c r="AC35" s="655">
        <f>+[21]합계!$R$82</f>
        <v>30.387781700500145</v>
      </c>
      <c r="AD35" s="655">
        <f>+AA35-AC35</f>
        <v>-1.0806184420887597</v>
      </c>
      <c r="AE35" s="658" t="s">
        <v>189</v>
      </c>
      <c r="AF35" s="658">
        <f>+SUM(AF30:AF34)</f>
        <v>549.68371436728933</v>
      </c>
      <c r="AG35" s="245" t="s">
        <v>190</v>
      </c>
      <c r="AH35" s="15"/>
      <c r="AI35" s="658" t="s">
        <v>189</v>
      </c>
      <c r="AJ35" s="658">
        <f>+SUM(AJ30:AJ34)</f>
        <v>-1807.1793536043699</v>
      </c>
      <c r="AK35" s="658" t="s">
        <v>190</v>
      </c>
      <c r="AL35" s="81"/>
      <c r="AN35" s="453"/>
    </row>
    <row r="36" spans="2:44" s="6" customFormat="1" ht="22.5" customHeight="1" thickBot="1" x14ac:dyDescent="0.35">
      <c r="D36"/>
      <c r="E36"/>
      <c r="F36"/>
      <c r="G36" s="304" t="str">
        <f t="shared" si="29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30"/>
        <v>0</v>
      </c>
      <c r="O36" s="40"/>
      <c r="P36" s="41"/>
      <c r="Q36" s="43">
        <f t="shared" si="23"/>
        <v>0</v>
      </c>
      <c r="R36" s="42"/>
      <c r="S36" s="54">
        <f t="shared" si="24"/>
        <v>0</v>
      </c>
      <c r="T36" s="40"/>
      <c r="U36" s="41">
        <f>'[2]3월'!$BE$26/1000</f>
        <v>184.44025500000001</v>
      </c>
      <c r="V36" s="43">
        <f t="shared" si="27"/>
        <v>184.44025500000001</v>
      </c>
      <c r="W36" s="42">
        <f>'[3]3월'!$BE$26/1000</f>
        <v>-522.39605099999994</v>
      </c>
      <c r="X36" s="54">
        <f t="shared" si="28"/>
        <v>706.83630599999992</v>
      </c>
      <c r="Y36" s="619" t="s">
        <v>188</v>
      </c>
      <c r="Z36" s="632">
        <f>+[18]영업계획!$I$6/[18]영업계획!$I$21</f>
        <v>0.6347195357833656</v>
      </c>
      <c r="AA36" s="633">
        <f>+[19]합계!$E$44</f>
        <v>0.74727692892742237</v>
      </c>
      <c r="AB36" s="634">
        <f>+AA36-Z36</f>
        <v>0.11255739314405677</v>
      </c>
      <c r="AC36" s="635">
        <f>+[19]합계!$D$44</f>
        <v>0.72177917899365862</v>
      </c>
      <c r="AD36" s="635">
        <f>+AA36-AC36</f>
        <v>2.5497749933763747E-2</v>
      </c>
      <c r="AE36" s="210"/>
      <c r="AF36" s="210"/>
      <c r="AG36" s="45"/>
      <c r="AH36" s="15"/>
      <c r="AI36" s="16"/>
      <c r="AJ36" s="453"/>
      <c r="AK36" s="457"/>
      <c r="AL36" s="81"/>
    </row>
    <row r="37" spans="2:44" s="6" customFormat="1" ht="22.5" customHeight="1" thickTop="1" x14ac:dyDescent="0.3">
      <c r="D37"/>
      <c r="E37"/>
      <c r="F37"/>
      <c r="G37" s="304" t="str">
        <f t="shared" si="29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30"/>
        <v>0</v>
      </c>
      <c r="O37" s="40"/>
      <c r="P37" s="41"/>
      <c r="Q37" s="43">
        <f t="shared" si="23"/>
        <v>0</v>
      </c>
      <c r="R37" s="42">
        <f>+IFERROR(HLOOKUP($I$37,'[3]3월'!$F$6:$BJ$50,3,),)/1000</f>
        <v>0</v>
      </c>
      <c r="S37" s="54">
        <f t="shared" si="24"/>
        <v>0</v>
      </c>
      <c r="T37" s="40">
        <f>SUM('[1]3월'!$AM$26:$AQ$26)/1000</f>
        <v>-12.395303999999999</v>
      </c>
      <c r="U37" s="41">
        <f>+'[2]3월'!$BF$26/1000</f>
        <v>-0.88676800000000189</v>
      </c>
      <c r="V37" s="43">
        <f t="shared" si="27"/>
        <v>11.508535999999998</v>
      </c>
      <c r="W37" s="42">
        <f>+'[3]3월'!$BF$26/1000</f>
        <v>-7.5336610000000004</v>
      </c>
      <c r="X37" s="54">
        <f t="shared" si="28"/>
        <v>6.6468929999999986</v>
      </c>
      <c r="Y37" s="237" t="s">
        <v>219</v>
      </c>
      <c r="AE37" s="210"/>
      <c r="AF37" s="210"/>
      <c r="AG37" s="45"/>
      <c r="AH37" s="15"/>
      <c r="AI37" s="16"/>
      <c r="AJ37" s="453"/>
      <c r="AK37" s="457"/>
      <c r="AL37" s="657"/>
      <c r="AM37" s="657"/>
      <c r="AO37" s="453"/>
      <c r="AP37" s="453"/>
      <c r="AQ37" s="453"/>
    </row>
    <row r="38" spans="2:44" s="6" customFormat="1" ht="22.5" customHeight="1" x14ac:dyDescent="0.3">
      <c r="D38"/>
      <c r="E38"/>
      <c r="F38"/>
      <c r="G38" s="304" t="str">
        <f t="shared" si="29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+'[2]3월'!$BG$26/1000</f>
        <v>0</v>
      </c>
      <c r="V38" s="43">
        <f t="shared" si="27"/>
        <v>0</v>
      </c>
      <c r="W38" s="42"/>
      <c r="X38" s="54">
        <f t="shared" si="28"/>
        <v>0</v>
      </c>
      <c r="Y38" s="1" t="s">
        <v>203</v>
      </c>
      <c r="Z38" s="210">
        <f>+[4]합계!$S$15</f>
        <v>2403.8505364832672</v>
      </c>
      <c r="AA38" s="210" t="s">
        <v>199</v>
      </c>
      <c r="AB38" s="210"/>
      <c r="AC38" s="210"/>
      <c r="AD38" s="210"/>
      <c r="AH38" s="663"/>
      <c r="AI38" s="210" t="s">
        <v>197</v>
      </c>
      <c r="AJ38" s="210"/>
      <c r="AK38" s="210"/>
      <c r="AL38" s="665"/>
      <c r="AM38" s="657"/>
      <c r="AQ38" s="453"/>
    </row>
    <row r="39" spans="2:44" s="6" customFormat="1" ht="22.5" customHeight="1" x14ac:dyDescent="0.3">
      <c r="B39" t="s">
        <v>30</v>
      </c>
      <c r="D39"/>
      <c r="G39" s="304" t="str">
        <f t="shared" si="29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IFERROR(HLOOKUP($B39,'[1]3월'!$D$6:$BN$259,3,),)/1000</f>
        <v>1.77</v>
      </c>
      <c r="P39" s="41">
        <f>+('[2]3월'!$F$8-SUM('[2]3월'!$Z$8,'[2]3월'!$AH$8,'[2]3월'!$AN$8,'[2]3월'!$AO$8,'[2]3월'!$BA$8,'[2]3월'!$BD$8,'[2]3월'!$BE$8,'[2]3월'!$BF$8))/1000</f>
        <v>1.6413000000007452</v>
      </c>
      <c r="Q39" s="49">
        <f>+P39-O39</f>
        <v>-0.12869999999925485</v>
      </c>
      <c r="R39" s="55">
        <f>+('[3]3월'!$F$8-SUM('[3]3월'!$Z$8,'[3]3월'!$AH$8,'[3]3월'!$AN$8,'[3]3월'!$AO$8,'[3]3월'!$BA$8,'[3]3월'!$BD$8,'[3]3월'!$BE$8,'[3]3월'!$BF$8))/1000</f>
        <v>1.6798500000014902</v>
      </c>
      <c r="S39" s="56">
        <f>+P39-R39</f>
        <v>-3.8550000000745044E-2</v>
      </c>
      <c r="T39" s="40">
        <f>+('[1]3월'!$E$26-'[1]3월'!$Z$26-'[1]3월'!$AA$26-'[1]3월'!$AE$26-'[1]3월'!$AL$26-'[1]3월'!$AM$26-'[1]3월'!$AN$26-'[1]3월'!$AO$26-'[1]3월'!$AP$26-'[1]3월'!$AQ$26-'[1]3월'!$AS$26+'[1]3월'!$AS$26)/1000-T35</f>
        <v>-59.270909999991147</v>
      </c>
      <c r="U39" s="41">
        <f>+('[2]3월'!$F$26-SUM('[2]3월'!$Z$26,'[2]3월'!$AH$26,'[2]3월'!$AN$26,'[2]3월'!$AO$26,'[2]3월'!$BA$26,'[2]3월'!$BD$26,'[2]3월'!$BE$26,'[2]3월'!$BF$26))/1000-U38</f>
        <v>-38.764539000000923</v>
      </c>
      <c r="V39" s="43">
        <f>+U39-T39</f>
        <v>20.506370999990224</v>
      </c>
      <c r="W39" s="55">
        <f>+('[3]3월'!$F$26-SUM('[3]3월'!$Z$26,'[3]3월'!$AH$26,'[3]3월'!$AN$26,'[3]3월'!$AO$26,'[3]3월'!$BA$26,'[3]3월'!$BD$26,'[3]3월'!$BE$26,'[3]3월'!$BF$26))/1000</f>
        <v>-11.111169999994628</v>
      </c>
      <c r="X39" s="54">
        <f t="shared" si="28"/>
        <v>-27.653369000006293</v>
      </c>
      <c r="Y39" s="209" t="s">
        <v>221</v>
      </c>
      <c r="Z39" s="210"/>
      <c r="AA39" s="210"/>
      <c r="AC39" s="210"/>
      <c r="AD39" s="210"/>
      <c r="AH39" s="663"/>
      <c r="AI39" s="210" t="s">
        <v>200</v>
      </c>
      <c r="AJ39" s="210">
        <f>-[4]합계!$H$6</f>
        <v>-459.38570787756447</v>
      </c>
      <c r="AK39" s="210" t="s">
        <v>196</v>
      </c>
      <c r="AL39" s="665"/>
      <c r="AM39" s="657"/>
    </row>
    <row r="40" spans="2:44" s="6" customFormat="1" ht="22.5" customHeight="1" x14ac:dyDescent="0.3">
      <c r="G40" s="304" t="str">
        <f t="shared" si="29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30"/>
        <v>0</v>
      </c>
      <c r="O40" s="125">
        <f>SUM(O32:O39)</f>
        <v>123.53333333333335</v>
      </c>
      <c r="P40" s="126">
        <f>SUM(P32:P39)</f>
        <v>241.14623900000075</v>
      </c>
      <c r="Q40" s="130">
        <f>+P40-O40</f>
        <v>117.6129056666674</v>
      </c>
      <c r="R40" s="131">
        <f>SUM(R32:R39)</f>
        <v>141.06232700000149</v>
      </c>
      <c r="S40" s="132">
        <f>+P40-R40</f>
        <v>100.08391199999926</v>
      </c>
      <c r="T40" s="125">
        <f>SUM(T32:T39)</f>
        <v>-892.1850496111731</v>
      </c>
      <c r="U40" s="126">
        <f>SUM(U32:U39)</f>
        <v>-757.79609560258189</v>
      </c>
      <c r="V40" s="130">
        <f>+U40-T40</f>
        <v>134.38895400859121</v>
      </c>
      <c r="W40" s="131">
        <f>SUM(W32:W39)</f>
        <v>-1757.2127061556369</v>
      </c>
      <c r="X40" s="132">
        <f t="shared" si="28"/>
        <v>999.41661055305497</v>
      </c>
      <c r="Y40" s="210" t="s">
        <v>220</v>
      </c>
      <c r="Z40" s="210"/>
      <c r="AA40" s="210"/>
      <c r="AB40" s="210"/>
      <c r="AC40" s="210"/>
      <c r="AD40" s="210"/>
      <c r="AH40" s="563"/>
      <c r="AI40" s="210" t="s">
        <v>201</v>
      </c>
      <c r="AJ40" s="210">
        <f>([4]합계!$F$15-[4]합계!$E$15-AB35*10)*[4]합계!$G$15/1000</f>
        <v>301.87264887819754</v>
      </c>
      <c r="AK40" s="210" t="s">
        <v>196</v>
      </c>
      <c r="AL40" s="665"/>
      <c r="AM40" s="453">
        <f>+AB35*10</f>
        <v>13.866959010120148</v>
      </c>
    </row>
    <row r="41" spans="2:44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27762.664577133128</v>
      </c>
      <c r="P41" s="251">
        <f>+P27+P31+P40</f>
        <v>26091.869048</v>
      </c>
      <c r="Q41" s="252">
        <f>+P41-O41</f>
        <v>-1670.7955291331273</v>
      </c>
      <c r="R41" s="253">
        <f>+R27+R31+R40</f>
        <v>27303.626952000002</v>
      </c>
      <c r="S41" s="254">
        <f>+P41-R41</f>
        <v>-1211.7579040000019</v>
      </c>
      <c r="T41" s="250">
        <f>+T27+T31+T40</f>
        <v>1125.5563840918003</v>
      </c>
      <c r="U41" s="251">
        <f>+U27+U31+U40</f>
        <v>561.8730530044096</v>
      </c>
      <c r="V41" s="252">
        <f>+U41-T41</f>
        <v>-563.68333108739068</v>
      </c>
      <c r="W41" s="253">
        <f>+W27+W31+W40</f>
        <v>-191.14144100728299</v>
      </c>
      <c r="X41" s="254">
        <f>+U41-W41</f>
        <v>753.01449401169259</v>
      </c>
      <c r="Y41" s="209"/>
      <c r="Z41" s="210"/>
      <c r="AA41" s="210"/>
      <c r="AB41" s="210"/>
      <c r="AC41" s="210"/>
      <c r="AD41" s="210"/>
      <c r="AH41" s="664"/>
      <c r="AI41" s="210" t="s">
        <v>202</v>
      </c>
      <c r="AJ41" s="210">
        <f>[4]합계!$U$15-AJ39-AJ40</f>
        <v>1514.7612565461191</v>
      </c>
      <c r="AK41" s="210" t="s">
        <v>196</v>
      </c>
      <c r="AL41" s="665"/>
      <c r="AM41" s="453">
        <f>+AM40+[4]합계!$E$15</f>
        <v>390.71979246583004</v>
      </c>
    </row>
    <row r="42" spans="2:44" s="6" customFormat="1" ht="19.5" customHeight="1" x14ac:dyDescent="0.3">
      <c r="G42" s="309">
        <f>+P41/O41</f>
        <v>0.93981861775222808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L42" s="665"/>
      <c r="AM42" s="453">
        <f>+[4]합계!$F$15-AM41</f>
        <v>3.3502281616576965</v>
      </c>
      <c r="AO42" s="453"/>
    </row>
    <row r="43" spans="2:44" s="1" customFormat="1" ht="22.5" customHeight="1" x14ac:dyDescent="0.3">
      <c r="H43" s="547" t="s">
        <v>48</v>
      </c>
      <c r="I43" s="548"/>
      <c r="J43" s="140">
        <f>+IFERROR(HLOOKUP($B28,'[1]3월'!$D$6:$BN$259,2,),)</f>
        <v>8500</v>
      </c>
      <c r="K43" s="141">
        <f>+IFERROR(HLOOKUP($E28,'[2]3월'!$F$6:$CP$99,2,),)</f>
        <v>3925.4639999999999</v>
      </c>
      <c r="L43" s="142">
        <f>+K43-J43</f>
        <v>-4574.5360000000001</v>
      </c>
      <c r="M43" s="143">
        <f>+IFERROR(HLOOKUP($E28,'[3]3월'!$F$6:$CC$57,2,),)</f>
        <v>15762.77</v>
      </c>
      <c r="N43" s="144">
        <f>+K43-M43</f>
        <v>-11837.306</v>
      </c>
      <c r="O43" s="140">
        <f>+IFERROR(HLOOKUP($B28,'[1]3월'!$D$6:$BN$259,3,),)/1000</f>
        <v>8197.6135220000015</v>
      </c>
      <c r="P43" s="141">
        <f>+IFERROR(HLOOKUP($E28,'[2]3월'!$F$6:$CP$99,3,),)/1000</f>
        <v>4017.7918960000002</v>
      </c>
      <c r="Q43" s="142">
        <f>+P43-O43</f>
        <v>-4179.8216260000008</v>
      </c>
      <c r="R43" s="143">
        <f>+IFERROR(HLOOKUP($E28,'[3]3월'!$F$6:$CC$57,3,),)/1000</f>
        <v>12535.228687999999</v>
      </c>
      <c r="S43" s="144">
        <f>+P43-R43</f>
        <v>-8517.4367919999986</v>
      </c>
      <c r="T43" s="140">
        <f>+IFERROR(HLOOKUP($B28,'[1]3월'!$D$6:$BN$259,21,),)/1000</f>
        <v>-2.7137755023726351</v>
      </c>
      <c r="U43" s="141">
        <f>+IFERROR(HLOOKUP($E28,'[2]3월'!$F$6:$CP$99,21,),)/1000</f>
        <v>1.3609009999999397</v>
      </c>
      <c r="V43" s="142">
        <f>+U43-T43</f>
        <v>4.0746765023725748</v>
      </c>
      <c r="W43" s="143">
        <f>+IFERROR(HLOOKUP($E28,'[3]3월'!$F$6:$CC$57,16,),)/1000</f>
        <v>-118.8703480000007</v>
      </c>
      <c r="X43" s="144">
        <f>+U43-W43</f>
        <v>120.23124900000064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L43" s="657"/>
      <c r="AM43" s="657"/>
      <c r="AO43" s="455"/>
      <c r="AR43" s="264"/>
    </row>
    <row r="44" spans="2:44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35960.278099133131</v>
      </c>
      <c r="P44" s="251">
        <f>+P41+P43</f>
        <v>30109.660943999999</v>
      </c>
      <c r="Q44" s="252">
        <f>+P44-O44</f>
        <v>-5850.6171551331317</v>
      </c>
      <c r="R44" s="253">
        <f>+R41+R43</f>
        <v>39838.855640000002</v>
      </c>
      <c r="S44" s="254">
        <f>+P44-R44</f>
        <v>-9729.1946960000023</v>
      </c>
      <c r="T44" s="250">
        <f>+T41+T43</f>
        <v>1122.8426085894278</v>
      </c>
      <c r="U44" s="251">
        <f>+U41+U43</f>
        <v>563.2339540044095</v>
      </c>
      <c r="V44" s="252">
        <f>+U44-T44</f>
        <v>-559.60865458501826</v>
      </c>
      <c r="W44" s="253">
        <f>+W41+W43</f>
        <v>-310.01178900728371</v>
      </c>
      <c r="X44" s="254">
        <f>+U44-W44</f>
        <v>873.24574301169321</v>
      </c>
      <c r="Y44" s="620"/>
      <c r="Z44" s="662"/>
      <c r="AA44" s="662"/>
      <c r="AB44" s="662"/>
      <c r="AC44" s="662"/>
      <c r="AD44" s="662"/>
      <c r="AE44" s="662"/>
      <c r="AF44" s="662"/>
      <c r="AG44" s="622"/>
      <c r="AH44" s="23"/>
      <c r="AJ44" s="455"/>
      <c r="AK44" s="457"/>
      <c r="AO44" s="455"/>
    </row>
    <row r="45" spans="2:44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4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4" s="28" customFormat="1" ht="17.25" thickBot="1" x14ac:dyDescent="0.35">
      <c r="G47" s="310"/>
      <c r="AC47" s="29"/>
      <c r="AF47" s="29"/>
      <c r="AJ47" s="456"/>
    </row>
    <row r="48" spans="2:44" s="28" customFormat="1" x14ac:dyDescent="0.3">
      <c r="F48" s="266">
        <f>+K43/M43</f>
        <v>0.24903389442337862</v>
      </c>
      <c r="G48" s="306">
        <f>+K43/J43</f>
        <v>0.46181929411764705</v>
      </c>
      <c r="I48" s="691" t="s">
        <v>81</v>
      </c>
      <c r="J48" s="115">
        <f>+'[1]3월'!$Z$7/1000</f>
        <v>258.5</v>
      </c>
      <c r="K48" s="116">
        <f>+'[2]3월'!$AI$7/1000</f>
        <v>238.27699999999999</v>
      </c>
      <c r="L48" s="116"/>
      <c r="M48" s="116">
        <f>+'[3]3월'!$Z$7/1000</f>
        <v>265.92700000000002</v>
      </c>
      <c r="N48" s="116"/>
      <c r="O48" s="116">
        <f>+'[1]3월'!$E$8/1000</f>
        <v>35960.278099133138</v>
      </c>
      <c r="P48" s="116">
        <f>+'[2]3월'!$F$8/1000</f>
        <v>30109.660944000003</v>
      </c>
      <c r="Q48" s="116"/>
      <c r="R48" s="116">
        <f>+'[3]3월'!$F$8/1000</f>
        <v>39838.855640000002</v>
      </c>
      <c r="S48" s="116"/>
      <c r="T48" s="121">
        <f>+'[1]3월'!$E$26/1000</f>
        <v>1122.8426085894378</v>
      </c>
      <c r="U48" s="116">
        <f>+'[2]3월'!$F$26/1000</f>
        <v>563.2339540044095</v>
      </c>
      <c r="V48" s="116"/>
      <c r="W48" s="116">
        <f>+'[3]3월'!$F$26/1000</f>
        <v>-310.01178900728377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1.1609514629723416</v>
      </c>
      <c r="G49" s="306">
        <f>+K31/J31</f>
        <v>1.0549920109705448</v>
      </c>
      <c r="I49" s="691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1.0004441719502211E-11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19565.051055133124</v>
      </c>
      <c r="P51" s="460">
        <f>+P41-P43</f>
        <v>22074.077152000002</v>
      </c>
      <c r="Q51" s="460">
        <f>+P51-O51</f>
        <v>2509.0260968668772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195.65051055133125</v>
      </c>
      <c r="P52" s="460">
        <f>+P51/100</f>
        <v>220.74077152000001</v>
      </c>
      <c r="Q52" s="460">
        <f>+P52-O52</f>
        <v>25.090260968668758</v>
      </c>
      <c r="S52" t="s">
        <v>40</v>
      </c>
      <c r="T52" s="212">
        <f>(+T27+T34)/100</f>
        <v>7.7766926844846669</v>
      </c>
      <c r="U52" s="212">
        <f>(+U27+U34)/100</f>
        <v>1.1989256739741996</v>
      </c>
      <c r="V52" s="212">
        <f>+U52-T52</f>
        <v>-6.5777670105104669</v>
      </c>
      <c r="W52" s="211">
        <f>+U52/T52-1</f>
        <v>-0.84583090490817714</v>
      </c>
      <c r="AC52" s="29"/>
      <c r="AD52" s="28"/>
      <c r="AE52" s="28"/>
      <c r="AF52" s="29"/>
      <c r="AJ52" s="460"/>
    </row>
    <row r="53" spans="6:36" x14ac:dyDescent="0.3">
      <c r="Q53" s="211">
        <f>+P52/O52</f>
        <v>1.1282402018679427</v>
      </c>
      <c r="S53" t="s">
        <v>1</v>
      </c>
      <c r="T53" s="4">
        <f>+T31/100</f>
        <v>-0.49438692690008579</v>
      </c>
      <c r="U53" s="4">
        <f>+U31/100</f>
        <v>-0.94786641393009374</v>
      </c>
      <c r="V53" s="212">
        <f>+U53-T53</f>
        <v>-0.45347948703000796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1.0899202233333332</v>
      </c>
      <c r="U54" s="4">
        <f>(U32+U33)/100</f>
        <v>2.1941538899999999</v>
      </c>
      <c r="V54" s="265">
        <f>+U54-T54</f>
        <v>1.1042336666666668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2.8833378600001893</v>
      </c>
      <c r="U55" s="212">
        <f>((U48-U43)/100)-U52-U53-U54</f>
        <v>3.173517379999991</v>
      </c>
      <c r="V55" s="212">
        <f>+U55-T55</f>
        <v>0.29017951999980163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3.9732580833335227</v>
      </c>
      <c r="U56" s="212">
        <f>SUM(U54:U55)</f>
        <v>5.3676712699999909</v>
      </c>
      <c r="V56" s="212">
        <f>SUM(V54:V55)</f>
        <v>1.3944131866664684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11.255563840918104</v>
      </c>
      <c r="U57" s="212">
        <f>SUM(U52:U55)</f>
        <v>5.6187305300440968</v>
      </c>
      <c r="V57" s="212">
        <f>+U57-T57</f>
        <v>-5.6368333108740067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1.0899202233333332</v>
      </c>
      <c r="U60" s="265">
        <f>+(U32+U33)/100</f>
        <v>2.1941538899999999</v>
      </c>
      <c r="V60" s="212">
        <f>+U60-T60</f>
        <v>1.1042336666666668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33">+T35/100</f>
        <v>3.6</v>
      </c>
      <c r="U61" s="212">
        <f t="shared" si="33"/>
        <v>1.7256279000000001</v>
      </c>
      <c r="V61" s="212">
        <f>+U61-T61</f>
        <v>-1.8743721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33"/>
        <v>0</v>
      </c>
      <c r="U62" s="212">
        <f t="shared" si="33"/>
        <v>1.8444025500000001</v>
      </c>
      <c r="V62" s="212">
        <f>+U62-T62</f>
        <v>1.8444025500000001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33"/>
        <v>-0.12395304</v>
      </c>
      <c r="U63" s="212">
        <f t="shared" si="33"/>
        <v>-8.8676800000000184E-3</v>
      </c>
      <c r="V63" s="212">
        <f>+U63-T63</f>
        <v>0.11508535999999998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-0.5927090999999115</v>
      </c>
      <c r="U64" s="212">
        <f>+U39/100</f>
        <v>-0.38764539000000925</v>
      </c>
      <c r="V64" s="212">
        <f>+U64-T64</f>
        <v>0.20506370999990226</v>
      </c>
      <c r="AC64" s="212"/>
      <c r="AD64" s="212"/>
      <c r="AE64" s="212"/>
    </row>
    <row r="65" spans="20:31" x14ac:dyDescent="0.3">
      <c r="T65" s="4">
        <f>SUM(T60:T64)</f>
        <v>3.9732580833334215</v>
      </c>
      <c r="U65" s="4">
        <f>SUM(U60:U64)</f>
        <v>5.3676712699999909</v>
      </c>
      <c r="V65" s="4">
        <f>SUM(V60:V64)</f>
        <v>1.394413186666569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397.3258083333422</v>
      </c>
      <c r="U68" s="4">
        <f>SUM(U32:U33,U35,U37:U39)</f>
        <v>352.32687199999907</v>
      </c>
      <c r="V68" s="4">
        <f>+U68-T68</f>
        <v>-44.998936333343124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1128.2701595941728</v>
      </c>
      <c r="U70" s="460">
        <f>+U41-U43</f>
        <v>560.5121520044097</v>
      </c>
      <c r="V70" s="460"/>
      <c r="AC70" s="212"/>
      <c r="AE70" s="212"/>
    </row>
    <row r="71" spans="20:31" x14ac:dyDescent="0.3">
      <c r="T71" s="460">
        <f>+T70/100</f>
        <v>11.282701595941727</v>
      </c>
      <c r="U71" s="460">
        <f>+U70/100</f>
        <v>5.6051215200440971</v>
      </c>
      <c r="V71" s="460">
        <f>+U71-T71</f>
        <v>-5.6775800758976303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5561-3E2E-4676-938F-53896FB4585D}">
  <sheetPr>
    <tabColor theme="1" tint="0.34998626667073579"/>
    <pageSetUpPr fitToPage="1"/>
  </sheetPr>
  <dimension ref="A1:AS80"/>
  <sheetViews>
    <sheetView showGridLines="0" showZeros="0" topLeftCell="F1" zoomScale="85" zoomScaleNormal="85" zoomScaleSheetLayoutView="85" workbookViewId="0">
      <selection activeCell="U49" sqref="U4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6.75" bestFit="1" customWidth="1"/>
    <col min="7" max="7" width="9" style="3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45" ht="18" customHeight="1" x14ac:dyDescent="0.3">
      <c r="H1" s="2"/>
      <c r="K1" s="4"/>
      <c r="L1" s="4"/>
      <c r="P1" s="4"/>
      <c r="Q1" s="4"/>
    </row>
    <row r="2" spans="1:45" ht="18" customHeight="1" x14ac:dyDescent="0.3">
      <c r="H2" s="5"/>
      <c r="AD2" s="3"/>
      <c r="AG2" s="3"/>
    </row>
    <row r="3" spans="1:45" ht="26.25" x14ac:dyDescent="0.3">
      <c r="H3" s="2" t="s">
        <v>211</v>
      </c>
      <c r="AD3" s="3"/>
      <c r="AG3" s="3"/>
    </row>
    <row r="4" spans="1:45" ht="18" customHeight="1" x14ac:dyDescent="0.3">
      <c r="H4" s="5"/>
      <c r="AD4" s="3"/>
      <c r="AG4" s="3" t="s">
        <v>76</v>
      </c>
    </row>
    <row r="5" spans="1:45" s="6" customFormat="1" ht="19.5" customHeight="1" x14ac:dyDescent="0.3">
      <c r="G5" s="304"/>
      <c r="H5" s="688" t="s">
        <v>11</v>
      </c>
      <c r="I5" s="689"/>
      <c r="J5" s="145" t="s">
        <v>0</v>
      </c>
      <c r="K5" s="146"/>
      <c r="L5" s="146"/>
      <c r="M5" s="146"/>
      <c r="N5" s="147"/>
      <c r="O5" s="145" t="s">
        <v>2</v>
      </c>
      <c r="P5" s="146"/>
      <c r="Q5" s="146"/>
      <c r="R5" s="146"/>
      <c r="S5" s="147"/>
      <c r="T5" s="145" t="s">
        <v>97</v>
      </c>
      <c r="U5" s="146"/>
      <c r="V5" s="146"/>
      <c r="W5" s="146"/>
      <c r="X5" s="147"/>
      <c r="Y5" s="145" t="s">
        <v>53</v>
      </c>
      <c r="Z5" s="146"/>
      <c r="AA5" s="147"/>
      <c r="AB5" s="145" t="s">
        <v>34</v>
      </c>
      <c r="AC5" s="146"/>
      <c r="AD5" s="147"/>
      <c r="AE5" s="145" t="s">
        <v>54</v>
      </c>
      <c r="AF5" s="146"/>
      <c r="AG5" s="147"/>
      <c r="AO5"/>
      <c r="AP5"/>
      <c r="AQ5"/>
      <c r="AR5"/>
      <c r="AS5"/>
    </row>
    <row r="6" spans="1:45" s="6" customFormat="1" ht="19.5" customHeight="1" x14ac:dyDescent="0.3">
      <c r="A6" s="6" t="s">
        <v>210</v>
      </c>
      <c r="G6" s="304"/>
      <c r="H6" s="690"/>
      <c r="I6" s="687"/>
      <c r="J6" s="148" t="s">
        <v>36</v>
      </c>
      <c r="K6" s="149" t="s">
        <v>37</v>
      </c>
      <c r="L6" s="150" t="s">
        <v>38</v>
      </c>
      <c r="M6" s="149" t="s">
        <v>39</v>
      </c>
      <c r="N6" s="151" t="s">
        <v>38</v>
      </c>
      <c r="O6" s="148" t="s">
        <v>12</v>
      </c>
      <c r="P6" s="149" t="s">
        <v>13</v>
      </c>
      <c r="Q6" s="150" t="s">
        <v>28</v>
      </c>
      <c r="R6" s="149" t="s">
        <v>14</v>
      </c>
      <c r="S6" s="151" t="s">
        <v>28</v>
      </c>
      <c r="T6" s="148" t="s">
        <v>12</v>
      </c>
      <c r="U6" s="149" t="s">
        <v>13</v>
      </c>
      <c r="V6" s="150" t="s">
        <v>28</v>
      </c>
      <c r="W6" s="149" t="s">
        <v>14</v>
      </c>
      <c r="X6" s="151" t="s">
        <v>28</v>
      </c>
      <c r="Y6" s="152" t="s">
        <v>12</v>
      </c>
      <c r="Z6" s="153" t="s">
        <v>13</v>
      </c>
      <c r="AA6" s="154" t="s">
        <v>14</v>
      </c>
      <c r="AB6" s="155" t="s">
        <v>12</v>
      </c>
      <c r="AC6" s="153" t="s">
        <v>13</v>
      </c>
      <c r="AD6" s="151" t="s">
        <v>14</v>
      </c>
      <c r="AE6" s="155" t="s">
        <v>12</v>
      </c>
      <c r="AF6" s="153" t="s">
        <v>13</v>
      </c>
      <c r="AG6" s="151" t="s">
        <v>14</v>
      </c>
      <c r="AO6"/>
      <c r="AP6"/>
      <c r="AQ6"/>
      <c r="AR6"/>
      <c r="AS6"/>
    </row>
    <row r="7" spans="1:45" s="6" customFormat="1" ht="22.5" customHeight="1" x14ac:dyDescent="0.3">
      <c r="B7" s="6" t="s">
        <v>18</v>
      </c>
      <c r="G7" s="305" t="str">
        <f>+I7</f>
        <v>안양</v>
      </c>
      <c r="H7" s="67" t="s">
        <v>40</v>
      </c>
      <c r="I7" s="68" t="s">
        <v>18</v>
      </c>
      <c r="J7" s="30">
        <f>+IFERROR(HLOOKUP($B7,'[1]3월누계'!$D$6:$BN$259,2,),)/1000</f>
        <v>96</v>
      </c>
      <c r="K7" s="31">
        <f>+IFERROR(HLOOKUP($B7,'[2]3월누계'!$F$6:$CP$99,2,),)/1000</f>
        <v>102.197</v>
      </c>
      <c r="L7" s="32">
        <f t="shared" ref="L7:L34" si="0">+K7-J7</f>
        <v>6.1970000000000027</v>
      </c>
      <c r="M7" s="33">
        <f>+IFERROR(HLOOKUP($B7,'[3]3월누계'!$F$6:$CC$57,2,),)/1000</f>
        <v>100.21</v>
      </c>
      <c r="N7" s="34">
        <f>+K7-M7</f>
        <v>1.987000000000009</v>
      </c>
      <c r="O7" s="30">
        <f>+IFERROR(HLOOKUP($B7,'[1]3월누계'!$D$6:$BN$259,3,),)/1000</f>
        <v>9437.3703860000005</v>
      </c>
      <c r="P7" s="31">
        <f>+IFERROR(HLOOKUP($B7,'[2]3월누계'!$F$6:$CP$99,3,),)/1000</f>
        <v>10581.803902</v>
      </c>
      <c r="Q7" s="32">
        <f>+P7-O7</f>
        <v>1144.4335159999991</v>
      </c>
      <c r="R7" s="33">
        <f>+IFERROR(HLOOKUP($B7,'[3]3월누계'!$F$6:$CC$57,3,),)/1000</f>
        <v>9634.6382049999993</v>
      </c>
      <c r="S7" s="34">
        <f>+P7-R7</f>
        <v>947.16569700000036</v>
      </c>
      <c r="T7" s="30">
        <f>+IFERROR(HLOOKUP($B7,'[1]3월누계'!$D$6:$BN$259,16,),)/1000</f>
        <v>685.69686564116955</v>
      </c>
      <c r="U7" s="31">
        <f>+IFERROR(HLOOKUP($B7,'[2]3월누계'!$F$6:$CP$99,16,),)/1000</f>
        <v>771.50179299999934</v>
      </c>
      <c r="V7" s="35">
        <f>+U7-T7</f>
        <v>85.804927358829786</v>
      </c>
      <c r="W7" s="36">
        <f>+IFERROR(HLOOKUP($B7,'[3]3월누계'!$F$6:$CC$57,16,),)/1000</f>
        <v>544.25704600000063</v>
      </c>
      <c r="X7" s="34">
        <f>+U7-W7</f>
        <v>227.24474699999871</v>
      </c>
      <c r="Y7" s="30">
        <f>+[15]안양!$Q$85</f>
        <v>98305.941520833323</v>
      </c>
      <c r="Z7" s="31">
        <f>+[15]안양!$R$85</f>
        <v>103543.19502529426</v>
      </c>
      <c r="AA7" s="37">
        <f>+[16]안양!$Q$85</f>
        <v>96121.690380731321</v>
      </c>
      <c r="AB7" s="38">
        <f>+[15]안양!$Q$89</f>
        <v>80939.298352985512</v>
      </c>
      <c r="AC7" s="31">
        <f>+[15]안양!$R$89</f>
        <v>86169.154997359001</v>
      </c>
      <c r="AD7" s="39">
        <f>+[16]안양!$Q$89</f>
        <v>81579.544237701717</v>
      </c>
      <c r="AE7" s="38">
        <f>+Y7-AB7</f>
        <v>17366.643167847811</v>
      </c>
      <c r="AF7" s="31">
        <f>+Z7-AC7</f>
        <v>17374.040027935262</v>
      </c>
      <c r="AG7" s="39">
        <f>+AA7-AD7</f>
        <v>14542.146143029604</v>
      </c>
      <c r="AH7" s="15"/>
      <c r="AI7" s="16"/>
      <c r="AJ7" s="453"/>
      <c r="AK7" s="453"/>
      <c r="AO7"/>
      <c r="AP7"/>
      <c r="AQ7"/>
      <c r="AR7"/>
      <c r="AS7"/>
    </row>
    <row r="8" spans="1:45" s="6" customFormat="1" ht="22.5" customHeight="1" x14ac:dyDescent="0.3">
      <c r="B8" s="6" t="s">
        <v>19</v>
      </c>
      <c r="G8" s="306" t="str">
        <f t="shared" ref="G8:G26" si="1">+I8</f>
        <v>인천</v>
      </c>
      <c r="H8" s="69" t="s">
        <v>41</v>
      </c>
      <c r="I8" s="70" t="s">
        <v>19</v>
      </c>
      <c r="J8" s="40">
        <f>+IFERROR(HLOOKUP($B8,'[1]3월누계'!$D$6:$BN$259,2,),)/1000</f>
        <v>82</v>
      </c>
      <c r="K8" s="41">
        <f>+IFERROR(HLOOKUP($B8,'[2]3월누계'!$F$6:$CP$99,2,),)/1000</f>
        <v>75.026499999999999</v>
      </c>
      <c r="L8" s="42">
        <f t="shared" si="0"/>
        <v>-6.9735000000000014</v>
      </c>
      <c r="M8" s="43">
        <f>+IFERROR(HLOOKUP($B8,'[3]3월누계'!$F$6:$CC$57,2,),)/1000</f>
        <v>70.152000000000001</v>
      </c>
      <c r="N8" s="44">
        <f t="shared" ref="N8:N27" si="2">+K8-M8</f>
        <v>4.8744999999999976</v>
      </c>
      <c r="O8" s="40">
        <f>+IFERROR(HLOOKUP($B8,'[1]3월누계'!$D$6:$BN$259,3,),)/1000</f>
        <v>8315.9010085902282</v>
      </c>
      <c r="P8" s="41">
        <f>+IFERROR(HLOOKUP($B8,'[2]3월누계'!$F$6:$CP$99,3,),)/1000</f>
        <v>7605.9158459999999</v>
      </c>
      <c r="Q8" s="42">
        <f t="shared" ref="Q8:Q37" si="3">+P8-O8</f>
        <v>-709.98516259022836</v>
      </c>
      <c r="R8" s="43">
        <f>+IFERROR(HLOOKUP($B8,'[3]3월누계'!$F$6:$CC$57,3,),)/1000</f>
        <v>6832.7286490000006</v>
      </c>
      <c r="S8" s="44">
        <f t="shared" ref="S8:S37" si="4">+P8-R8</f>
        <v>773.18719699999929</v>
      </c>
      <c r="T8" s="40">
        <f>+IFERROR(HLOOKUP($B8,'[1]3월누계'!$D$6:$BN$259,16,),)/1000</f>
        <v>168.33299267891809</v>
      </c>
      <c r="U8" s="41">
        <f>+IFERROR(HLOOKUP($B8,'[2]3월누계'!$F$6:$CP$99,16,),)/1000</f>
        <v>-74.324903999999975</v>
      </c>
      <c r="V8" s="42">
        <f t="shared" ref="V8:V27" si="5">+U8-T8</f>
        <v>-242.65789667891806</v>
      </c>
      <c r="W8" s="43">
        <f>+IFERROR(HLOOKUP($B8,'[3]3월누계'!$F$6:$CC$57,16,),)/1000</f>
        <v>-78.653320999999238</v>
      </c>
      <c r="X8" s="44">
        <f t="shared" ref="X8:X27" si="6">+U8-W8</f>
        <v>4.3284169999992628</v>
      </c>
      <c r="Y8" s="40">
        <f>+[15]인천!$Q$85</f>
        <v>101413.42693402717</v>
      </c>
      <c r="Z8" s="41">
        <f>+[15]인천!$R$85</f>
        <v>101507.43672421556</v>
      </c>
      <c r="AA8" s="45">
        <f>+[16]인천!$Q$85</f>
        <v>97415.809292946622</v>
      </c>
      <c r="AB8" s="46">
        <f>+[15]인천!$Q$89</f>
        <v>87078.045863417065</v>
      </c>
      <c r="AC8" s="41">
        <f>+[15]인천!$R$89</f>
        <v>89229.200610210974</v>
      </c>
      <c r="AD8" s="47">
        <f>+[16]인천!$Q$89</f>
        <v>85798.573999428248</v>
      </c>
      <c r="AE8" s="46">
        <f t="shared" ref="AE8:AG27" si="7">+Y8-AB8</f>
        <v>14335.381070610107</v>
      </c>
      <c r="AF8" s="41">
        <f t="shared" si="7"/>
        <v>12278.236114004583</v>
      </c>
      <c r="AG8" s="47">
        <f t="shared" si="7"/>
        <v>11617.235293518374</v>
      </c>
      <c r="AH8" s="15"/>
      <c r="AI8" s="16"/>
      <c r="AJ8" s="453"/>
      <c r="AK8" s="453"/>
      <c r="AO8"/>
      <c r="AP8"/>
      <c r="AQ8"/>
      <c r="AR8"/>
      <c r="AS8"/>
    </row>
    <row r="9" spans="1:45" s="6" customFormat="1" ht="22.5" customHeight="1" x14ac:dyDescent="0.3">
      <c r="B9" s="6" t="s">
        <v>20</v>
      </c>
      <c r="G9" s="306" t="str">
        <f t="shared" si="1"/>
        <v>파주</v>
      </c>
      <c r="H9" s="69"/>
      <c r="I9" s="70" t="s">
        <v>20</v>
      </c>
      <c r="J9" s="40">
        <f>+IFERROR(HLOOKUP($B9,'[1]3월누계'!$D$6:$BN$259,2,),)/1000</f>
        <v>34</v>
      </c>
      <c r="K9" s="41">
        <f>+IFERROR(HLOOKUP($B9,'[2]3월누계'!$F$6:$CP$99,2,),)/1000</f>
        <v>27.135000000000002</v>
      </c>
      <c r="L9" s="42">
        <f t="shared" si="0"/>
        <v>-6.8649999999999984</v>
      </c>
      <c r="M9" s="43">
        <f>+IFERROR(HLOOKUP($B9,'[3]3월누계'!$F$6:$CC$57,2,),)/1000</f>
        <v>29.675999999999998</v>
      </c>
      <c r="N9" s="44">
        <f t="shared" si="2"/>
        <v>-2.5409999999999968</v>
      </c>
      <c r="O9" s="40">
        <f>+IFERROR(HLOOKUP($B9,'[1]3월누계'!$D$6:$BN$259,3,),)/1000</f>
        <v>3265.3044829999999</v>
      </c>
      <c r="P9" s="41">
        <f>+IFERROR(HLOOKUP($B9,'[2]3월누계'!$F$6:$CP$99,3,),)/1000</f>
        <v>2675.1105999999995</v>
      </c>
      <c r="Q9" s="42">
        <f t="shared" si="3"/>
        <v>-590.19388300000037</v>
      </c>
      <c r="R9" s="43">
        <f>+IFERROR(HLOOKUP($B9,'[3]3월누계'!$F$6:$CC$57,3,),)/1000</f>
        <v>2727.1971150000004</v>
      </c>
      <c r="S9" s="44">
        <f t="shared" si="4"/>
        <v>-52.086515000000873</v>
      </c>
      <c r="T9" s="40">
        <f>+IFERROR(HLOOKUP($B9,'[1]3월누계'!$D$6:$BN$259,16,),)/1000</f>
        <v>-188.11454439076158</v>
      </c>
      <c r="U9" s="41">
        <f>+IFERROR(HLOOKUP($B9,'[2]3월누계'!$F$6:$CP$99,16,),)/1000</f>
        <v>-344.08391500000022</v>
      </c>
      <c r="V9" s="42">
        <f t="shared" si="5"/>
        <v>-155.96937060923864</v>
      </c>
      <c r="W9" s="43">
        <f>+IFERROR(HLOOKUP($B9,'[3]3월누계'!$F$6:$CC$57,16,),)/1000</f>
        <v>-297.59621599999957</v>
      </c>
      <c r="X9" s="44">
        <f t="shared" si="6"/>
        <v>-46.487699000000646</v>
      </c>
      <c r="Y9" s="40">
        <f>+[15]파주!$Q$85</f>
        <v>96038.367147058816</v>
      </c>
      <c r="Z9" s="41">
        <f>+[15]파주!$R$85</f>
        <v>98571.075082173062</v>
      </c>
      <c r="AA9" s="45">
        <f>+[16]파주!$Q$85</f>
        <v>91899.080570157705</v>
      </c>
      <c r="AB9" s="46">
        <f>+[15]파주!$Q$89</f>
        <v>80464.268045806704</v>
      </c>
      <c r="AC9" s="41">
        <f>+[15]파주!$R$89</f>
        <v>88049.840970350386</v>
      </c>
      <c r="AD9" s="47">
        <f>+[16]파주!$Q$89</f>
        <v>79518.799373357586</v>
      </c>
      <c r="AE9" s="46">
        <f t="shared" si="7"/>
        <v>15574.099101252112</v>
      </c>
      <c r="AF9" s="41">
        <f t="shared" si="7"/>
        <v>10521.234111822676</v>
      </c>
      <c r="AG9" s="47">
        <f t="shared" si="7"/>
        <v>12380.281196800119</v>
      </c>
      <c r="AH9" s="15"/>
      <c r="AI9" s="16"/>
      <c r="AJ9" s="453"/>
      <c r="AK9" s="457"/>
      <c r="AO9"/>
      <c r="AP9"/>
      <c r="AQ9"/>
      <c r="AR9"/>
      <c r="AS9"/>
    </row>
    <row r="10" spans="1:45" s="6" customFormat="1" ht="22.5" customHeight="1" x14ac:dyDescent="0.3">
      <c r="B10" s="6" t="s">
        <v>107</v>
      </c>
      <c r="G10" s="306" t="str">
        <f t="shared" si="1"/>
        <v>김포</v>
      </c>
      <c r="H10" s="69"/>
      <c r="I10" s="70" t="s">
        <v>106</v>
      </c>
      <c r="J10" s="40">
        <f>+IFERROR(HLOOKUP($B10,'[1]3월누계'!$D$6:$BN$259,2,),)/1000</f>
        <v>29</v>
      </c>
      <c r="K10" s="41">
        <f>+IFERROR(HLOOKUP($B10,'[2]3월누계'!$F$6:$CP$99,2,),)/1000</f>
        <v>28.476500000000001</v>
      </c>
      <c r="L10" s="42">
        <f t="shared" si="0"/>
        <v>-0.52349999999999852</v>
      </c>
      <c r="M10" s="43">
        <f>+IFERROR(HLOOKUP($B10,'[3]3월누계'!$F$6:$CC$57,2,),)/1000</f>
        <v>24.6</v>
      </c>
      <c r="N10" s="44">
        <f t="shared" si="2"/>
        <v>3.8765000000000001</v>
      </c>
      <c r="O10" s="40">
        <f>+IFERROR(HLOOKUP($B10,'[1]3월누계'!$D$6:$BN$259,3,),)/1000</f>
        <v>2907.3389756000001</v>
      </c>
      <c r="P10" s="41">
        <f>+IFERROR(HLOOKUP($B10,'[2]3월누계'!$F$6:$CP$99,3,),)/1000</f>
        <v>2748.028159</v>
      </c>
      <c r="Q10" s="42">
        <f t="shared" si="3"/>
        <v>-159.31081660000018</v>
      </c>
      <c r="R10" s="43">
        <f>+IFERROR(HLOOKUP($B10,'[3]3월누계'!$F$6:$CC$57,3,),)/1000</f>
        <v>2335.9571720000004</v>
      </c>
      <c r="S10" s="44">
        <f t="shared" si="4"/>
        <v>412.0709869999996</v>
      </c>
      <c r="T10" s="40">
        <f>+IFERROR(HLOOKUP($B10,'[1]3월누계'!$D$6:$BN$259,16,),)/1000</f>
        <v>-56.954854874022935</v>
      </c>
      <c r="U10" s="41">
        <f>+IFERROR(HLOOKUP($B10,'[2]3월누계'!$F$6:$CP$99,16,),)/1000</f>
        <v>-203.34141599999984</v>
      </c>
      <c r="V10" s="42">
        <f t="shared" si="5"/>
        <v>-146.3865611259769</v>
      </c>
      <c r="W10" s="43">
        <f>+IFERROR(HLOOKUP($B10,'[3]3월누계'!$F$6:$CC$57,16,),)/1000</f>
        <v>-115.34376399999991</v>
      </c>
      <c r="X10" s="44">
        <f t="shared" si="6"/>
        <v>-87.997651999999931</v>
      </c>
      <c r="Y10" s="40">
        <f>+[15]김포!$Q$85</f>
        <v>100253.06812413792</v>
      </c>
      <c r="Z10" s="41">
        <f>+[15]김포!$R$85</f>
        <v>96521.491089492105</v>
      </c>
      <c r="AA10" s="45">
        <f>+[16]김포!$Q$85</f>
        <v>94978.776921816083</v>
      </c>
      <c r="AB10" s="46">
        <f>+[15]김포!$Q$89</f>
        <v>82130.186801786229</v>
      </c>
      <c r="AC10" s="41">
        <f>+[15]김포!$R$89</f>
        <v>83823.450295681483</v>
      </c>
      <c r="AD10" s="47">
        <f>+[16]김포!$Q$89</f>
        <v>79532.123812254256</v>
      </c>
      <c r="AE10" s="46">
        <f t="shared" si="7"/>
        <v>18122.881322351692</v>
      </c>
      <c r="AF10" s="41">
        <f t="shared" si="7"/>
        <v>12698.040793810622</v>
      </c>
      <c r="AG10" s="47">
        <f t="shared" si="7"/>
        <v>15446.653109561827</v>
      </c>
      <c r="AH10" s="15"/>
      <c r="AI10" s="16"/>
      <c r="AJ10" s="453"/>
      <c r="AK10" s="457"/>
      <c r="AO10"/>
      <c r="AP10"/>
      <c r="AQ10"/>
      <c r="AR10"/>
      <c r="AS10"/>
    </row>
    <row r="11" spans="1:45" s="6" customFormat="1" ht="22.5" customHeight="1" x14ac:dyDescent="0.3">
      <c r="B11" s="6" t="s">
        <v>21</v>
      </c>
      <c r="G11" s="304" t="str">
        <f t="shared" si="1"/>
        <v>부산</v>
      </c>
      <c r="H11" s="69"/>
      <c r="I11" s="71" t="s">
        <v>21</v>
      </c>
      <c r="J11" s="57">
        <f>+IFERROR(HLOOKUP($B11,'[1]3월누계'!$D$6:$BN$259,2,),)/1000</f>
        <v>54</v>
      </c>
      <c r="K11" s="58">
        <f>+IFERROR(HLOOKUP($B11,'[2]3월누계'!$F$6:$CP$99,2,),)/1000</f>
        <v>62.927</v>
      </c>
      <c r="L11" s="59">
        <f t="shared" si="0"/>
        <v>8.9269999999999996</v>
      </c>
      <c r="M11" s="60">
        <f>+IFERROR(HLOOKUP($B11,'[3]3월누계'!$F$6:$CC$57,2,),)/1000</f>
        <v>54.347999999999999</v>
      </c>
      <c r="N11" s="61">
        <f t="shared" si="2"/>
        <v>8.5790000000000006</v>
      </c>
      <c r="O11" s="57">
        <f>+IFERROR(HLOOKUP($B11,'[1]3월누계'!$D$6:$BN$259,3,),)/1000</f>
        <v>5890.6039831999997</v>
      </c>
      <c r="P11" s="58">
        <f>+IFERROR(HLOOKUP($B11,'[2]3월누계'!$F$6:$CP$99,3,),)/1000</f>
        <v>7442.1930499999999</v>
      </c>
      <c r="Q11" s="59">
        <f t="shared" si="3"/>
        <v>1551.5890668000002</v>
      </c>
      <c r="R11" s="60">
        <f>+IFERROR(HLOOKUP($B11,'[3]3월누계'!$F$6:$CC$57,3,),)/1000</f>
        <v>5788.9015199999994</v>
      </c>
      <c r="S11" s="61">
        <f t="shared" si="4"/>
        <v>1653.2915300000004</v>
      </c>
      <c r="T11" s="57">
        <f>+IFERROR(HLOOKUP($B11,'[1]3월누계'!$D$6:$BN$259,16,),)/1000</f>
        <v>413.20018015289878</v>
      </c>
      <c r="U11" s="58">
        <f>+IFERROR(HLOOKUP($B11,'[2]3월누계'!$F$6:$CP$99,16,),)/1000</f>
        <v>803.49872999999957</v>
      </c>
      <c r="V11" s="59">
        <f t="shared" si="5"/>
        <v>390.29854984710079</v>
      </c>
      <c r="W11" s="60">
        <f>+IFERROR(HLOOKUP($B11,'[3]3월누계'!$F$6:$CC$57,16,),)/1000</f>
        <v>563.56659099999956</v>
      </c>
      <c r="X11" s="61">
        <f t="shared" si="6"/>
        <v>239.93213900000001</v>
      </c>
      <c r="Y11" s="57">
        <f>+[15]부산!$Q$85</f>
        <v>109085.25894814814</v>
      </c>
      <c r="Z11" s="58">
        <f>+[15]부산!$R$85</f>
        <v>118267.08805441225</v>
      </c>
      <c r="AA11" s="62">
        <f>+[16]부산!$Q$85</f>
        <v>106515.44711856921</v>
      </c>
      <c r="AB11" s="63">
        <f>+[15]부산!$Q$89</f>
        <v>86475.047811057419</v>
      </c>
      <c r="AC11" s="58">
        <f>+[15]부산!$R$89</f>
        <v>93165.109932175939</v>
      </c>
      <c r="AD11" s="64">
        <f>+[16]부산!$Q$89</f>
        <v>82661.996307929687</v>
      </c>
      <c r="AE11" s="63">
        <f t="shared" si="7"/>
        <v>22610.211137090722</v>
      </c>
      <c r="AF11" s="58">
        <f t="shared" si="7"/>
        <v>25101.978122236309</v>
      </c>
      <c r="AG11" s="64">
        <f t="shared" si="7"/>
        <v>23853.450810639522</v>
      </c>
      <c r="AH11" s="15"/>
      <c r="AI11" s="16"/>
      <c r="AJ11" s="459"/>
      <c r="AK11" s="453"/>
      <c r="AL11" s="457"/>
      <c r="AM11" s="81"/>
      <c r="AO11"/>
      <c r="AP11"/>
      <c r="AQ11"/>
      <c r="AR11"/>
      <c r="AS11"/>
    </row>
    <row r="12" spans="1:45" s="6" customFormat="1" ht="22.5" customHeight="1" x14ac:dyDescent="0.3">
      <c r="B12" s="6" t="s">
        <v>22</v>
      </c>
      <c r="G12" s="304" t="str">
        <f t="shared" si="1"/>
        <v>서부산</v>
      </c>
      <c r="H12" s="69"/>
      <c r="I12" s="70" t="s">
        <v>22</v>
      </c>
      <c r="J12" s="40">
        <f>+IFERROR(HLOOKUP($B12,'[1]3월누계'!$D$6:$BN$259,2,),)/1000</f>
        <v>54</v>
      </c>
      <c r="K12" s="41">
        <f>+IFERROR(HLOOKUP($B12,'[2]3월누계'!$F$6:$CP$99,2,),)/1000</f>
        <v>48.33</v>
      </c>
      <c r="L12" s="42">
        <f t="shared" si="0"/>
        <v>-5.6700000000000017</v>
      </c>
      <c r="M12" s="43">
        <f>+IFERROR(HLOOKUP($B12,'[3]3월누계'!$F$6:$CC$57,2,),)/1000</f>
        <v>47.831000000000003</v>
      </c>
      <c r="N12" s="44">
        <f t="shared" si="2"/>
        <v>0.49899999999999523</v>
      </c>
      <c r="O12" s="40">
        <f>+IFERROR(HLOOKUP($B12,'[1]3월누계'!$D$6:$BN$259,3,),)/1000</f>
        <v>5483.5312153699997</v>
      </c>
      <c r="P12" s="41">
        <f>+IFERROR(HLOOKUP($B12,'[2]3월누계'!$F$6:$CP$99,3,),)/1000</f>
        <v>5033.8865099999994</v>
      </c>
      <c r="Q12" s="42">
        <f t="shared" si="3"/>
        <v>-449.64470537000034</v>
      </c>
      <c r="R12" s="43">
        <f>+IFERROR(HLOOKUP($B12,'[3]3월누계'!$F$6:$CC$57,3,),)/1000</f>
        <v>4610.261418</v>
      </c>
      <c r="S12" s="44">
        <f t="shared" si="4"/>
        <v>423.62509199999931</v>
      </c>
      <c r="T12" s="40">
        <f>+IFERROR(HLOOKUP($B12,'[1]3월누계'!$D$6:$BN$259,16,),)/1000</f>
        <v>560.03860476996022</v>
      </c>
      <c r="U12" s="41">
        <f>+IFERROR(HLOOKUP($B12,'[2]3월누계'!$F$6:$CP$99,16,),)/1000</f>
        <v>388.20963300000028</v>
      </c>
      <c r="V12" s="42">
        <f t="shared" si="5"/>
        <v>-171.82897176995994</v>
      </c>
      <c r="W12" s="43">
        <f>+IFERROR(HLOOKUP($B12,'[3]3월누계'!$F$6:$CC$57,16,),)/1000</f>
        <v>259.01918299999949</v>
      </c>
      <c r="X12" s="44">
        <f t="shared" si="6"/>
        <v>129.19045000000079</v>
      </c>
      <c r="Y12" s="40">
        <f>+[15]서부산!$Q$85</f>
        <v>101546.87435870369</v>
      </c>
      <c r="Z12" s="41">
        <f>+[15]서부산!$R$85</f>
        <v>104152.51624249948</v>
      </c>
      <c r="AA12" s="45">
        <f>+[16]서부산!$Q$85</f>
        <v>96386.473584077263</v>
      </c>
      <c r="AB12" s="46">
        <f>+[15]서부산!$Q$89</f>
        <v>78514.669955556266</v>
      </c>
      <c r="AC12" s="41">
        <f>+[15]서부산!$R$89</f>
        <v>81713.448992171601</v>
      </c>
      <c r="AD12" s="47">
        <f>+[16]서부산!$Q$89</f>
        <v>77069.977433217849</v>
      </c>
      <c r="AE12" s="46">
        <f t="shared" si="7"/>
        <v>23032.204403147422</v>
      </c>
      <c r="AF12" s="41">
        <f t="shared" si="7"/>
        <v>22439.067250327877</v>
      </c>
      <c r="AG12" s="47">
        <f t="shared" si="7"/>
        <v>19316.496150859413</v>
      </c>
      <c r="AH12" s="15"/>
      <c r="AI12" s="16"/>
      <c r="AJ12" s="453"/>
      <c r="AK12" s="457"/>
      <c r="AO12"/>
      <c r="AP12"/>
      <c r="AQ12"/>
      <c r="AR12"/>
      <c r="AS12"/>
    </row>
    <row r="13" spans="1:45" s="6" customFormat="1" ht="22.5" customHeight="1" x14ac:dyDescent="0.3">
      <c r="B13" s="6" t="s">
        <v>23</v>
      </c>
      <c r="G13" s="304" t="str">
        <f t="shared" si="1"/>
        <v>김해</v>
      </c>
      <c r="H13" s="69"/>
      <c r="I13" s="70" t="s">
        <v>23</v>
      </c>
      <c r="J13" s="40">
        <f>+IFERROR(HLOOKUP($B13,'[1]3월누계'!$D$6:$BN$259,2,),)/1000</f>
        <v>23</v>
      </c>
      <c r="K13" s="41">
        <f>+IFERROR(HLOOKUP($B13,'[2]3월누계'!$F$6:$CP$99,2,),)/1000</f>
        <v>17.081499999999998</v>
      </c>
      <c r="L13" s="42">
        <f t="shared" si="0"/>
        <v>-5.9185000000000016</v>
      </c>
      <c r="M13" s="43">
        <f>+IFERROR(HLOOKUP($B13,'[3]3월누계'!$F$6:$CC$57,2,),)/1000</f>
        <v>22.3</v>
      </c>
      <c r="N13" s="44">
        <f t="shared" si="2"/>
        <v>-5.2185000000000024</v>
      </c>
      <c r="O13" s="40">
        <f>+IFERROR(HLOOKUP($B13,'[1]3월누계'!$D$6:$BN$259,3,),)/1000</f>
        <v>2257.15204356</v>
      </c>
      <c r="P13" s="41">
        <f>+IFERROR(HLOOKUP($B13,'[2]3월누계'!$F$6:$CP$99,3,),)/1000</f>
        <v>1673.8145499999998</v>
      </c>
      <c r="Q13" s="42">
        <f t="shared" si="3"/>
        <v>-583.33749356000021</v>
      </c>
      <c r="R13" s="43">
        <f>+IFERROR(HLOOKUP($B13,'[3]3월누계'!$F$6:$CC$57,3,),)/1000</f>
        <v>2086.9458000000004</v>
      </c>
      <c r="S13" s="44">
        <f t="shared" si="4"/>
        <v>-413.13125000000059</v>
      </c>
      <c r="T13" s="40">
        <f>+IFERROR(HLOOKUP($B13,'[1]3월누계'!$D$6:$BN$259,16,),)/1000</f>
        <v>-5.4875343367373279</v>
      </c>
      <c r="U13" s="41">
        <f>+IFERROR(HLOOKUP($B13,'[2]3월누계'!$F$6:$CP$99,16,),)/1000</f>
        <v>-118.29677900000007</v>
      </c>
      <c r="V13" s="42">
        <f t="shared" si="5"/>
        <v>-112.80924466326275</v>
      </c>
      <c r="W13" s="43">
        <f>+IFERROR(HLOOKUP($B13,'[3]3월누계'!$F$6:$CC$57,16,),)/1000</f>
        <v>-82.619590999999843</v>
      </c>
      <c r="X13" s="44">
        <f t="shared" si="6"/>
        <v>-35.677188000000228</v>
      </c>
      <c r="Y13" s="40">
        <f>+[15]김해!$Q$85</f>
        <v>98137.045372173918</v>
      </c>
      <c r="Z13" s="41">
        <f>+[15]김해!$R$85</f>
        <v>97989.904282410789</v>
      </c>
      <c r="AA13" s="45">
        <f>+[16]김해!$Q$85</f>
        <v>93571.632300844765</v>
      </c>
      <c r="AB13" s="46">
        <f>+[15]김해!$Q$89</f>
        <v>79403.266729809839</v>
      </c>
      <c r="AC13" s="41">
        <f>+[15]김해!$R$89</f>
        <v>80125.772560957776</v>
      </c>
      <c r="AD13" s="47">
        <f>+[16]김해!$Q$89</f>
        <v>77226.543101099087</v>
      </c>
      <c r="AE13" s="46">
        <f t="shared" si="7"/>
        <v>18733.778642364079</v>
      </c>
      <c r="AF13" s="41">
        <f t="shared" si="7"/>
        <v>17864.131721453014</v>
      </c>
      <c r="AG13" s="47">
        <f t="shared" si="7"/>
        <v>16345.089199745678</v>
      </c>
      <c r="AH13" s="15"/>
      <c r="AI13" s="16"/>
      <c r="AJ13" s="453"/>
      <c r="AK13" s="457"/>
      <c r="AO13"/>
      <c r="AP13"/>
      <c r="AQ13"/>
      <c r="AR13"/>
      <c r="AS13"/>
    </row>
    <row r="14" spans="1:45" s="6" customFormat="1" ht="22.5" customHeight="1" x14ac:dyDescent="0.3">
      <c r="B14" s="6" t="s">
        <v>24</v>
      </c>
      <c r="G14" s="304" t="str">
        <f t="shared" si="1"/>
        <v>정관</v>
      </c>
      <c r="H14" s="69"/>
      <c r="I14" s="70" t="s">
        <v>24</v>
      </c>
      <c r="J14" s="40">
        <f>+IFERROR(HLOOKUP($B14,'[1]3월누계'!$D$6:$BN$259,2,),)/1000</f>
        <v>58</v>
      </c>
      <c r="K14" s="41">
        <f>+IFERROR(HLOOKUP($B14,'[2]3월누계'!$F$6:$CP$99,2,),)/1000</f>
        <v>33.524000000000001</v>
      </c>
      <c r="L14" s="42">
        <f t="shared" si="0"/>
        <v>-24.475999999999999</v>
      </c>
      <c r="M14" s="43">
        <f>+IFERROR(HLOOKUP($B14,'[3]3월누계'!$F$6:$CC$57,2,),)/1000</f>
        <v>54.343000000000004</v>
      </c>
      <c r="N14" s="44">
        <f t="shared" si="2"/>
        <v>-20.819000000000003</v>
      </c>
      <c r="O14" s="40">
        <f>+IFERROR(HLOOKUP($B14,'[1]3월누계'!$D$6:$BN$259,3,),)/1000</f>
        <v>5922.2614294499999</v>
      </c>
      <c r="P14" s="41">
        <f>+IFERROR(HLOOKUP($B14,'[2]3월누계'!$F$6:$CP$99,3,),)/1000</f>
        <v>3555.6112000000003</v>
      </c>
      <c r="Q14" s="42">
        <f t="shared" si="3"/>
        <v>-2366.6502294499996</v>
      </c>
      <c r="R14" s="43">
        <f>+IFERROR(HLOOKUP($B14,'[3]3월누계'!$F$6:$CC$57,3,),)/1000</f>
        <v>5511.6250899999995</v>
      </c>
      <c r="S14" s="44">
        <f t="shared" si="4"/>
        <v>-1956.0138899999993</v>
      </c>
      <c r="T14" s="40">
        <f>+IFERROR(HLOOKUP($B14,'[1]3월누계'!$D$6:$BN$259,16,),)/1000</f>
        <v>376.72293624311425</v>
      </c>
      <c r="U14" s="41">
        <f>+IFERROR(HLOOKUP($B14,'[2]3월누계'!$F$6:$CP$99,16,),)/1000</f>
        <v>-43.912336999999852</v>
      </c>
      <c r="V14" s="42">
        <f t="shared" si="5"/>
        <v>-420.63527324311411</v>
      </c>
      <c r="W14" s="43">
        <f>+IFERROR(HLOOKUP($B14,'[3]3월누계'!$F$6:$CC$57,16,),)/1000</f>
        <v>367.0706899999999</v>
      </c>
      <c r="X14" s="44">
        <f t="shared" si="6"/>
        <v>-410.98302699999977</v>
      </c>
      <c r="Y14" s="40">
        <f>+[15]정관!$Q$85</f>
        <v>102107.95568017241</v>
      </c>
      <c r="Z14" s="41">
        <f>+[15]정관!$R$85</f>
        <v>106061.66328600406</v>
      </c>
      <c r="AA14" s="45">
        <f>+[16]정관!$Q$85</f>
        <v>101422.90801023132</v>
      </c>
      <c r="AB14" s="46">
        <f>+[15]정관!$Q$89</f>
        <v>83962.521518892667</v>
      </c>
      <c r="AC14" s="41">
        <f>+[15]정관!$R$89</f>
        <v>86251.93817476886</v>
      </c>
      <c r="AD14" s="47">
        <f>+[16]정관!$Q$89</f>
        <v>84140.343276994085</v>
      </c>
      <c r="AE14" s="46">
        <f t="shared" si="7"/>
        <v>18145.434161279743</v>
      </c>
      <c r="AF14" s="41">
        <f t="shared" si="7"/>
        <v>19809.725111235195</v>
      </c>
      <c r="AG14" s="47">
        <f t="shared" si="7"/>
        <v>17282.564733237232</v>
      </c>
      <c r="AH14" s="15"/>
      <c r="AI14" s="16"/>
      <c r="AJ14" s="453"/>
      <c r="AK14" s="457"/>
      <c r="AO14"/>
      <c r="AP14"/>
      <c r="AQ14"/>
      <c r="AR14"/>
      <c r="AS14"/>
    </row>
    <row r="15" spans="1:45" s="6" customFormat="1" ht="22.5" customHeight="1" x14ac:dyDescent="0.3">
      <c r="B15" s="6" t="s">
        <v>25</v>
      </c>
      <c r="G15" s="304" t="str">
        <f t="shared" si="1"/>
        <v>양산</v>
      </c>
      <c r="H15" s="69"/>
      <c r="I15" s="70" t="s">
        <v>25</v>
      </c>
      <c r="J15" s="40">
        <f>+IFERROR(HLOOKUP($B15,'[1]3월누계'!$D$6:$BN$259,2,),)/1000</f>
        <v>21</v>
      </c>
      <c r="K15" s="41">
        <f>+IFERROR(HLOOKUP($B15,'[2]3월누계'!$F$6:$CP$99,2,),)/1000</f>
        <v>13.346</v>
      </c>
      <c r="L15" s="42">
        <f t="shared" si="0"/>
        <v>-7.6539999999999999</v>
      </c>
      <c r="M15" s="43">
        <f>+IFERROR(HLOOKUP($B15,'[3]3월누계'!$F$6:$CC$57,2,),)/1000</f>
        <v>23.638999999999999</v>
      </c>
      <c r="N15" s="44">
        <f t="shared" si="2"/>
        <v>-10.292999999999999</v>
      </c>
      <c r="O15" s="40">
        <f>+IFERROR(HLOOKUP($B15,'[1]3월누계'!$D$6:$BN$259,3,),)/1000</f>
        <v>2058.5262910000001</v>
      </c>
      <c r="P15" s="41">
        <f>+IFERROR(HLOOKUP($B15,'[2]3월누계'!$F$6:$CP$99,3,),)/1000</f>
        <v>1371.7782</v>
      </c>
      <c r="Q15" s="42">
        <f t="shared" si="3"/>
        <v>-686.74809100000016</v>
      </c>
      <c r="R15" s="43">
        <f>+IFERROR(HLOOKUP($B15,'[3]3월누계'!$F$6:$CC$57,3,),)/1000</f>
        <v>2244.0183769999999</v>
      </c>
      <c r="S15" s="44">
        <f t="shared" si="4"/>
        <v>-872.2401769999999</v>
      </c>
      <c r="T15" s="40">
        <f>+IFERROR(HLOOKUP($B15,'[1]3월누계'!$D$6:$BN$259,16,),)/1000</f>
        <v>-13.598355696098196</v>
      </c>
      <c r="U15" s="41">
        <f>+IFERROR(HLOOKUP($B15,'[2]3월누계'!$F$6:$CP$99,16,),)/1000</f>
        <v>-84.369340000000165</v>
      </c>
      <c r="V15" s="42">
        <f t="shared" si="5"/>
        <v>-70.770984303901969</v>
      </c>
      <c r="W15" s="43">
        <f>+IFERROR(HLOOKUP($B15,'[3]3월누계'!$F$6:$CC$57,16,),)/1000</f>
        <v>47.353372999999728</v>
      </c>
      <c r="X15" s="44">
        <f t="shared" si="6"/>
        <v>-131.72271299999989</v>
      </c>
      <c r="Y15" s="40">
        <f>+[15]양산!$Q$85</f>
        <v>98025.061476190473</v>
      </c>
      <c r="Z15" s="41">
        <f>+[15]양산!$R$85</f>
        <v>102785.71856736101</v>
      </c>
      <c r="AA15" s="45">
        <f>+[16]양산!$Q$85</f>
        <v>94928.650831253442</v>
      </c>
      <c r="AB15" s="46">
        <f>+[15]양산!$Q$89</f>
        <v>77137.139937909422</v>
      </c>
      <c r="AC15" s="41">
        <f>+[15]양산!$R$89</f>
        <v>79902.01049003446</v>
      </c>
      <c r="AD15" s="47">
        <f>+[16]양산!$Q$89</f>
        <v>73681.733598409541</v>
      </c>
      <c r="AE15" s="46">
        <f t="shared" si="7"/>
        <v>20887.921538281051</v>
      </c>
      <c r="AF15" s="41">
        <f t="shared" si="7"/>
        <v>22883.708077326548</v>
      </c>
      <c r="AG15" s="47">
        <f t="shared" si="7"/>
        <v>21246.917232843902</v>
      </c>
      <c r="AH15" s="15"/>
      <c r="AI15" s="16"/>
      <c r="AJ15" s="453"/>
      <c r="AK15" s="457"/>
      <c r="AO15"/>
      <c r="AP15"/>
      <c r="AQ15"/>
      <c r="AR15"/>
      <c r="AS15"/>
    </row>
    <row r="16" spans="1:45" s="6" customFormat="1" ht="22.5" customHeight="1" x14ac:dyDescent="0.3">
      <c r="B16" s="6" t="s">
        <v>26</v>
      </c>
      <c r="G16" s="304" t="str">
        <f t="shared" si="1"/>
        <v>창원</v>
      </c>
      <c r="H16" s="69"/>
      <c r="I16" s="70" t="s">
        <v>26</v>
      </c>
      <c r="J16" s="40">
        <f>+IFERROR(HLOOKUP($B16,'[1]3월누계'!$D$6:$BN$259,2,),)/1000</f>
        <v>28.999999999999993</v>
      </c>
      <c r="K16" s="41">
        <f>+IFERROR(HLOOKUP($B16,'[2]3월누계'!$F$6:$CP$99,2,),)/1000</f>
        <v>25.582000000000001</v>
      </c>
      <c r="L16" s="42">
        <f t="shared" si="0"/>
        <v>-3.4179999999999922</v>
      </c>
      <c r="M16" s="43">
        <f>+IFERROR(HLOOKUP($B16,'[3]3월누계'!$F$6:$CC$57,2,),)/1000</f>
        <v>30.798999999999999</v>
      </c>
      <c r="N16" s="44">
        <f t="shared" si="2"/>
        <v>-5.2169999999999987</v>
      </c>
      <c r="O16" s="40">
        <f>+IFERROR(HLOOKUP($B16,'[1]3월누계'!$D$6:$BN$259,3,),)/1000</f>
        <v>2834.8562112135182</v>
      </c>
      <c r="P16" s="41">
        <f>+IFERROR(HLOOKUP($B16,'[2]3월누계'!$F$6:$CP$99,3,),)/1000</f>
        <v>2501.3211000000001</v>
      </c>
      <c r="Q16" s="42">
        <f t="shared" si="3"/>
        <v>-333.53511121351812</v>
      </c>
      <c r="R16" s="43">
        <f>+IFERROR(HLOOKUP($B16,'[3]3월누계'!$F$6:$CC$57,3,),)/1000</f>
        <v>3064.3449300000002</v>
      </c>
      <c r="S16" s="44">
        <f t="shared" si="4"/>
        <v>-563.02383000000009</v>
      </c>
      <c r="T16" s="40">
        <f>+IFERROR(HLOOKUP($B16,'[1]3월누계'!$D$6:$BN$259,16,),)/1000</f>
        <v>11.632544337552638</v>
      </c>
      <c r="U16" s="41">
        <f>+IFERROR(HLOOKUP($B16,'[2]3월누계'!$F$6:$CP$99,16,),)/1000</f>
        <v>8.0682650000000287</v>
      </c>
      <c r="V16" s="42">
        <f t="shared" si="5"/>
        <v>-3.564279337552609</v>
      </c>
      <c r="W16" s="43">
        <f>+IFERROR(HLOOKUP($B16,'[3]3월누계'!$F$6:$CC$57,16,),)/1000</f>
        <v>205.70844400000044</v>
      </c>
      <c r="X16" s="44">
        <f t="shared" si="6"/>
        <v>-197.64017900000042</v>
      </c>
      <c r="Y16" s="40">
        <f>+[15]창원!$Q$85</f>
        <v>97753.662455638594</v>
      </c>
      <c r="Z16" s="41">
        <f>+[15]창원!$R$85</f>
        <v>97776.604643890241</v>
      </c>
      <c r="AA16" s="45">
        <f>+[16]창원!$Q$85</f>
        <v>99494.948861976038</v>
      </c>
      <c r="AB16" s="46">
        <f>+[15]창원!$Q$89</f>
        <v>78433.754739017997</v>
      </c>
      <c r="AC16" s="41">
        <f>+[15]창원!$R$89</f>
        <v>75377.939449613012</v>
      </c>
      <c r="AD16" s="47">
        <f>+[16]창원!$Q$89</f>
        <v>75101.481314328383</v>
      </c>
      <c r="AE16" s="46">
        <f t="shared" si="7"/>
        <v>19319.907716620597</v>
      </c>
      <c r="AF16" s="41">
        <f t="shared" si="7"/>
        <v>22398.66519427723</v>
      </c>
      <c r="AG16" s="47">
        <f t="shared" si="7"/>
        <v>24393.467547647655</v>
      </c>
      <c r="AH16" s="15"/>
      <c r="AI16" s="16"/>
      <c r="AJ16" s="453"/>
      <c r="AK16" s="457"/>
      <c r="AO16"/>
      <c r="AP16"/>
      <c r="AQ16"/>
      <c r="AR16"/>
      <c r="AS16"/>
    </row>
    <row r="17" spans="2:45" s="6" customFormat="1" ht="22.5" customHeight="1" x14ac:dyDescent="0.3">
      <c r="B17" s="6" t="s">
        <v>69</v>
      </c>
      <c r="G17" s="304" t="str">
        <f t="shared" si="1"/>
        <v>대구</v>
      </c>
      <c r="H17" s="69"/>
      <c r="I17" s="70" t="s">
        <v>69</v>
      </c>
      <c r="J17" s="40">
        <f>+IFERROR(HLOOKUP($B17,'[1]3월누계'!$D$6:$BN$259,2,),)/1000</f>
        <v>20.5</v>
      </c>
      <c r="K17" s="41">
        <f>+IFERROR(HLOOKUP($B17,'[2]3월누계'!$F$6:$CP$99,2,),)/1000</f>
        <v>10.257999999999999</v>
      </c>
      <c r="L17" s="42">
        <f t="shared" si="0"/>
        <v>-10.242000000000001</v>
      </c>
      <c r="M17" s="43">
        <f>+IFERROR(HLOOKUP($B17,'[3]3월누계'!$F$6:$CC$57,2,),)/1000</f>
        <v>30.19</v>
      </c>
      <c r="N17" s="44">
        <f t="shared" si="2"/>
        <v>-19.932000000000002</v>
      </c>
      <c r="O17" s="40">
        <f>+IFERROR(HLOOKUP($B17,'[1]3월누계'!$D$6:$BN$259,3,),)/1000</f>
        <v>1861.2846747569997</v>
      </c>
      <c r="P17" s="41">
        <f>+IFERROR(HLOOKUP($B17,'[2]3월누계'!$F$6:$CP$99,3,),)/1000</f>
        <v>899.30977500000006</v>
      </c>
      <c r="Q17" s="42">
        <f t="shared" si="3"/>
        <v>-961.97489975699966</v>
      </c>
      <c r="R17" s="43">
        <f>+IFERROR(HLOOKUP($B17,'[3]3월누계'!$F$6:$CC$57,3,),)/1000</f>
        <v>2793.4751289999999</v>
      </c>
      <c r="S17" s="44">
        <f t="shared" si="4"/>
        <v>-1894.1653539999998</v>
      </c>
      <c r="T17" s="40">
        <f>+IFERROR(HLOOKUP($B17,'[1]3월누계'!$D$6:$BN$259,16,),)/1000</f>
        <v>-105.14405571410772</v>
      </c>
      <c r="U17" s="41">
        <f>+IFERROR(HLOOKUP($B17,'[2]3월누계'!$F$6:$CP$99,16,),)/1000</f>
        <v>-288.35880500000002</v>
      </c>
      <c r="V17" s="42">
        <f t="shared" si="5"/>
        <v>-183.21474928589231</v>
      </c>
      <c r="W17" s="43">
        <f>+IFERROR(HLOOKUP($B17,'[3]3월누계'!$F$6:$CC$57,16,),)/1000</f>
        <v>10.470323999999572</v>
      </c>
      <c r="X17" s="44">
        <f t="shared" si="6"/>
        <v>-298.82912899999957</v>
      </c>
      <c r="Y17" s="40">
        <f>+[15]대구!$Q$85</f>
        <v>90794.374378390232</v>
      </c>
      <c r="Z17" s="41">
        <f>+[15]대구!$R$85</f>
        <v>87669.114349775788</v>
      </c>
      <c r="AA17" s="45">
        <f>+[16]대구!$Q$85</f>
        <v>92529.815468698231</v>
      </c>
      <c r="AB17" s="46">
        <f>+[15]대구!$Q$89</f>
        <v>72444.719861546066</v>
      </c>
      <c r="AC17" s="41">
        <f>+[15]대구!$R$89</f>
        <v>72463.590855917326</v>
      </c>
      <c r="AD17" s="47">
        <f>+[16]대구!$Q$89</f>
        <v>75856.146406094747</v>
      </c>
      <c r="AE17" s="46">
        <f t="shared" si="7"/>
        <v>18349.654516844166</v>
      </c>
      <c r="AF17" s="41">
        <f t="shared" si="7"/>
        <v>15205.523493858462</v>
      </c>
      <c r="AG17" s="47">
        <f t="shared" si="7"/>
        <v>16673.669062603483</v>
      </c>
      <c r="AH17" s="15"/>
      <c r="AI17" s="16"/>
      <c r="AJ17" s="453"/>
      <c r="AK17" s="457"/>
      <c r="AO17"/>
      <c r="AP17"/>
      <c r="AQ17"/>
      <c r="AR17"/>
      <c r="AS17"/>
    </row>
    <row r="18" spans="2:45" s="6" customFormat="1" ht="22.5" customHeight="1" x14ac:dyDescent="0.3">
      <c r="B18" s="6" t="s">
        <v>70</v>
      </c>
      <c r="G18" s="306" t="str">
        <f t="shared" si="1"/>
        <v>울산</v>
      </c>
      <c r="H18" s="69"/>
      <c r="I18" s="72" t="s">
        <v>70</v>
      </c>
      <c r="J18" s="7">
        <f>+IFERROR(HLOOKUP($B18,'[1]3월누계'!$D$6:$BN$259,2,),)/1000</f>
        <v>24.5</v>
      </c>
      <c r="K18" s="8">
        <f>+IFERROR(HLOOKUP($B18,'[2]3월누계'!$F$6:$CP$99,2,),)/1000</f>
        <v>31.981999999999999</v>
      </c>
      <c r="L18" s="9">
        <f t="shared" si="0"/>
        <v>7.4819999999999993</v>
      </c>
      <c r="M18" s="10">
        <f>+IFERROR(HLOOKUP($B18,'[3]3월누계'!$F$6:$CC$57,2,),)/1000</f>
        <v>30.905000000000001</v>
      </c>
      <c r="N18" s="11">
        <f t="shared" si="2"/>
        <v>1.0769999999999982</v>
      </c>
      <c r="O18" s="7">
        <f>+IFERROR(HLOOKUP($B18,'[1]3월누계'!$D$6:$BN$259,3,),)/1000</f>
        <v>2562.8525467999998</v>
      </c>
      <c r="P18" s="8">
        <f>+IFERROR(HLOOKUP($B18,'[2]3월누계'!$F$6:$CP$99,3,),)/1000</f>
        <v>3473.0954999999999</v>
      </c>
      <c r="Q18" s="9">
        <f t="shared" si="3"/>
        <v>910.2429532000001</v>
      </c>
      <c r="R18" s="10">
        <f>+IFERROR(HLOOKUP($B18,'[3]3월누계'!$F$6:$CC$57,3,),)/1000</f>
        <v>3283.2608</v>
      </c>
      <c r="S18" s="11">
        <f t="shared" si="4"/>
        <v>189.83469999999988</v>
      </c>
      <c r="T18" s="7">
        <f>+IFERROR(HLOOKUP($B18,'[1]3월누계'!$D$6:$BN$259,16,),)/1000</f>
        <v>-45.619205818315976</v>
      </c>
      <c r="U18" s="8">
        <f>+IFERROR(HLOOKUP($B18,'[2]3월누계'!$F$6:$CP$99,16,),)/1000</f>
        <v>190.63580599999992</v>
      </c>
      <c r="V18" s="9">
        <f t="shared" si="5"/>
        <v>236.25501181831589</v>
      </c>
      <c r="W18" s="10">
        <f>+IFERROR(HLOOKUP($B18,'[3]3월누계'!$F$6:$CC$57,16,),)/1000</f>
        <v>244.35526699999971</v>
      </c>
      <c r="X18" s="11">
        <f t="shared" si="6"/>
        <v>-53.719460999999797</v>
      </c>
      <c r="Y18" s="7">
        <f>+[15]울산!$Q$85</f>
        <v>104606.22639999999</v>
      </c>
      <c r="Z18" s="8">
        <f>+[15]울산!$R$85</f>
        <v>108595.31924207367</v>
      </c>
      <c r="AA18" s="12">
        <f>+[16]울산!$Q$85</f>
        <v>106237.20433586797</v>
      </c>
      <c r="AB18" s="13">
        <f>+[15]울산!$Q$89</f>
        <v>86731.872419828593</v>
      </c>
      <c r="AC18" s="8">
        <f>+[15]울산!$R$89</f>
        <v>87650.179930039361</v>
      </c>
      <c r="AD18" s="14">
        <f>+[16]울산!$Q$89</f>
        <v>84747.177369832905</v>
      </c>
      <c r="AE18" s="13">
        <f t="shared" si="7"/>
        <v>17874.353980171392</v>
      </c>
      <c r="AF18" s="8">
        <f t="shared" si="7"/>
        <v>20945.139312034313</v>
      </c>
      <c r="AG18" s="14">
        <f t="shared" si="7"/>
        <v>21490.02696603506</v>
      </c>
      <c r="AH18" s="15"/>
      <c r="AI18" s="16"/>
      <c r="AJ18" s="453"/>
      <c r="AK18" s="457"/>
      <c r="AO18"/>
      <c r="AP18"/>
      <c r="AQ18"/>
      <c r="AR18"/>
      <c r="AS18"/>
    </row>
    <row r="19" spans="2:45" s="6" customFormat="1" ht="22.5" customHeight="1" x14ac:dyDescent="0.3">
      <c r="B19" s="6" t="s">
        <v>75</v>
      </c>
      <c r="G19" s="306" t="str">
        <f t="shared" si="1"/>
        <v>아산</v>
      </c>
      <c r="H19" s="69"/>
      <c r="I19" s="70" t="s">
        <v>27</v>
      </c>
      <c r="J19" s="40">
        <f>+IFERROR(HLOOKUP($B19,'[1]3월누계'!$D$6:$BN$259,2,),)/1000</f>
        <v>42</v>
      </c>
      <c r="K19" s="41">
        <f>+IFERROR(HLOOKUP($B19,'[2]3월누계'!$F$6:$CP$99,2,),)/1000</f>
        <v>52.594000000000001</v>
      </c>
      <c r="L19" s="42">
        <f t="shared" si="0"/>
        <v>10.594000000000001</v>
      </c>
      <c r="M19" s="43">
        <f>+IFERROR(HLOOKUP($B19,'[3]3월누계'!$F$6:$CC$57,2,),)/1000</f>
        <v>58.167000000000002</v>
      </c>
      <c r="N19" s="44">
        <f t="shared" si="2"/>
        <v>-5.5730000000000004</v>
      </c>
      <c r="O19" s="40">
        <f>+IFERROR(HLOOKUP($B19,'[1]3월누계'!$D$6:$BN$259,3,),)/1000</f>
        <v>4098.1039599999995</v>
      </c>
      <c r="P19" s="41">
        <f>+IFERROR(HLOOKUP($B19,'[2]3월누계'!$F$6:$CP$99,3,),)/1000</f>
        <v>5282.5531469999996</v>
      </c>
      <c r="Q19" s="42">
        <f t="shared" si="3"/>
        <v>1184.4491870000002</v>
      </c>
      <c r="R19" s="43">
        <f>+IFERROR(HLOOKUP($B19,'[3]3월누계'!$F$6:$CC$57,3,),)/1000</f>
        <v>5856.4909810000008</v>
      </c>
      <c r="S19" s="44">
        <f t="shared" si="4"/>
        <v>-573.9378340000012</v>
      </c>
      <c r="T19" s="40">
        <f>+IFERROR(HLOOKUP($B19,'[1]3월누계'!$D$6:$BN$259,16,),)/1000</f>
        <v>-40.18947902398714</v>
      </c>
      <c r="U19" s="41">
        <f>+IFERROR(HLOOKUP($B19,'[2]3월누계'!$F$6:$CP$99,16,),)/1000</f>
        <v>63.776526000000388</v>
      </c>
      <c r="V19" s="42">
        <f t="shared" si="5"/>
        <v>103.96600502398752</v>
      </c>
      <c r="W19" s="43">
        <f>+IFERROR(HLOOKUP($B19,'[3]3월누계'!$F$6:$CC$57,16,),)/1000</f>
        <v>180.48599900000036</v>
      </c>
      <c r="X19" s="44">
        <f t="shared" si="6"/>
        <v>-116.70947299999997</v>
      </c>
      <c r="Y19" s="40">
        <f>+[15]아산!$Q$85</f>
        <v>97573.903809523792</v>
      </c>
      <c r="Z19" s="41">
        <f>+[15]아산!$R$85</f>
        <v>100440.22411301669</v>
      </c>
      <c r="AA19" s="45">
        <f>+[16]아산!$Q$85</f>
        <v>100656.63479669753</v>
      </c>
      <c r="AB19" s="46">
        <f>+[15]아산!$Q$89</f>
        <v>80288.768089856821</v>
      </c>
      <c r="AC19" s="41">
        <f>+[15]아산!$R$89</f>
        <v>84516.778250788702</v>
      </c>
      <c r="AD19" s="47">
        <f>+[16]아산!$Q$89</f>
        <v>85238.065071260338</v>
      </c>
      <c r="AE19" s="46">
        <f t="shared" si="7"/>
        <v>17285.135719666971</v>
      </c>
      <c r="AF19" s="41">
        <f t="shared" si="7"/>
        <v>15923.445862227993</v>
      </c>
      <c r="AG19" s="47">
        <f t="shared" si="7"/>
        <v>15418.569725437192</v>
      </c>
      <c r="AH19" s="15"/>
      <c r="AI19" s="16"/>
      <c r="AJ19" s="453"/>
      <c r="AK19" s="457"/>
      <c r="AO19"/>
      <c r="AP19"/>
      <c r="AQ19"/>
      <c r="AR19"/>
      <c r="AS19"/>
    </row>
    <row r="20" spans="2:45" s="6" customFormat="1" ht="22.5" customHeight="1" x14ac:dyDescent="0.3">
      <c r="B20" s="6" t="s">
        <v>71</v>
      </c>
      <c r="G20" s="306" t="str">
        <f t="shared" si="1"/>
        <v>전주</v>
      </c>
      <c r="H20" s="69"/>
      <c r="I20" s="70" t="s">
        <v>71</v>
      </c>
      <c r="J20" s="40">
        <f>+IFERROR(HLOOKUP($B20,'[1]3월누계'!$D$6:$BN$259,2,),)/1000</f>
        <v>21</v>
      </c>
      <c r="K20" s="41">
        <f>+IFERROR(HLOOKUP($B20,'[2]3월누계'!$F$6:$CP$99,2,),)/1000</f>
        <v>28.5075</v>
      </c>
      <c r="L20" s="42">
        <f t="shared" si="0"/>
        <v>7.5075000000000003</v>
      </c>
      <c r="M20" s="43">
        <f>+IFERROR(HLOOKUP($B20,'[3]3월누계'!$F$6:$CC$57,2,),)/1000</f>
        <v>42.942</v>
      </c>
      <c r="N20" s="44">
        <f t="shared" si="2"/>
        <v>-14.4345</v>
      </c>
      <c r="O20" s="40">
        <f>+IFERROR(HLOOKUP($B20,'[1]3월누계'!$D$6:$BN$259,3,),)/1000</f>
        <v>2140.6570499999998</v>
      </c>
      <c r="P20" s="41">
        <f>+IFERROR(HLOOKUP($B20,'[2]3월누계'!$F$6:$CP$99,3,),)/1000</f>
        <v>2838.5854979999999</v>
      </c>
      <c r="Q20" s="42">
        <f t="shared" si="3"/>
        <v>697.92844800000012</v>
      </c>
      <c r="R20" s="43">
        <f>+IFERROR(HLOOKUP($B20,'[3]3월누계'!$F$6:$CC$57,3,),)/1000</f>
        <v>4141.4108459999998</v>
      </c>
      <c r="S20" s="44">
        <f t="shared" si="4"/>
        <v>-1302.8253479999998</v>
      </c>
      <c r="T20" s="40">
        <f>+IFERROR(HLOOKUP($B20,'[1]3월누계'!$D$6:$BN$259,16,),)/1000</f>
        <v>-7.3665347260105554</v>
      </c>
      <c r="U20" s="41">
        <f>+IFERROR(HLOOKUP($B20,'[2]3월누계'!$F$6:$CP$99,16,),)/1000</f>
        <v>47.117149000000104</v>
      </c>
      <c r="V20" s="42">
        <f t="shared" si="5"/>
        <v>54.483683726010661</v>
      </c>
      <c r="W20" s="43">
        <f>+IFERROR(HLOOKUP($B20,'[3]3월누계'!$F$6:$CC$57,16,),)/1000</f>
        <v>458.9919989999994</v>
      </c>
      <c r="X20" s="44">
        <f t="shared" si="6"/>
        <v>-411.8748499999993</v>
      </c>
      <c r="Y20" s="40">
        <f>+[15]전주!$Q$85</f>
        <v>101936.04999999999</v>
      </c>
      <c r="Z20" s="41">
        <f>+[15]전주!$R$85</f>
        <v>99588.55339550077</v>
      </c>
      <c r="AA20" s="45">
        <f>+[16]전주!$Q$85</f>
        <v>96441.96464999301</v>
      </c>
      <c r="AB20" s="46">
        <f>+[15]전주!$Q$89</f>
        <v>79008.263087481959</v>
      </c>
      <c r="AC20" s="41">
        <f>+[15]전주!$R$89</f>
        <v>80739.722986144028</v>
      </c>
      <c r="AD20" s="47">
        <f>+[16]전주!$Q$89</f>
        <v>74930.600246660775</v>
      </c>
      <c r="AE20" s="46">
        <f t="shared" si="7"/>
        <v>22927.78691251803</v>
      </c>
      <c r="AF20" s="41">
        <f t="shared" si="7"/>
        <v>18848.830409356742</v>
      </c>
      <c r="AG20" s="47">
        <f t="shared" si="7"/>
        <v>21511.364403332234</v>
      </c>
      <c r="AH20" s="15"/>
      <c r="AI20" s="16"/>
      <c r="AJ20" s="453"/>
      <c r="AK20" s="457"/>
      <c r="AO20"/>
      <c r="AP20"/>
      <c r="AQ20"/>
      <c r="AR20"/>
      <c r="AS20"/>
    </row>
    <row r="21" spans="2:45" s="6" customFormat="1" ht="22.5" customHeight="1" x14ac:dyDescent="0.3">
      <c r="B21" s="6" t="s">
        <v>72</v>
      </c>
      <c r="G21" s="306" t="str">
        <f t="shared" si="1"/>
        <v>군산</v>
      </c>
      <c r="H21" s="69"/>
      <c r="I21" s="70" t="s">
        <v>72</v>
      </c>
      <c r="J21" s="40">
        <f>+IFERROR(HLOOKUP($B21,'[1]3월누계'!$D$6:$BN$259,2,),)/1000</f>
        <v>9.5</v>
      </c>
      <c r="K21" s="41">
        <f>+IFERROR(HLOOKUP($B21,'[2]3월누계'!$F$6:$CP$99,2,),)/1000</f>
        <v>9.0945</v>
      </c>
      <c r="L21" s="42">
        <f t="shared" si="0"/>
        <v>-0.40549999999999997</v>
      </c>
      <c r="M21" s="43">
        <f>+IFERROR(HLOOKUP($B21,'[3]3월누계'!$F$6:$CC$57,2,),)/1000</f>
        <v>11.959</v>
      </c>
      <c r="N21" s="44">
        <f t="shared" si="2"/>
        <v>-2.8644999999999996</v>
      </c>
      <c r="O21" s="40">
        <f>+IFERROR(HLOOKUP($B21,'[1]3월누계'!$D$6:$BN$259,3,),)/1000</f>
        <v>1069.5590699999998</v>
      </c>
      <c r="P21" s="41">
        <f>+IFERROR(HLOOKUP($B21,'[2]3월누계'!$F$6:$CP$99,3,),)/1000</f>
        <v>1005.9239160000001</v>
      </c>
      <c r="Q21" s="42">
        <f t="shared" si="3"/>
        <v>-63.635153999999716</v>
      </c>
      <c r="R21" s="43">
        <f>+IFERROR(HLOOKUP($B21,'[3]3월누계'!$F$6:$CC$57,3,),)/1000</f>
        <v>1330.5415270000001</v>
      </c>
      <c r="S21" s="44">
        <f t="shared" si="4"/>
        <v>-324.61761100000001</v>
      </c>
      <c r="T21" s="40">
        <f>+IFERROR(HLOOKUP($B21,'[1]3월누계'!$D$6:$BN$259,16,),)/1000</f>
        <v>92.94530525533709</v>
      </c>
      <c r="U21" s="41">
        <f>+IFERROR(HLOOKUP($B21,'[2]3월누계'!$F$6:$CP$99,16,),)/1000</f>
        <v>72.13408200000012</v>
      </c>
      <c r="V21" s="42">
        <f t="shared" si="5"/>
        <v>-20.811223255336969</v>
      </c>
      <c r="W21" s="43">
        <f>+IFERROR(HLOOKUP($B21,'[3]3월누계'!$F$6:$CC$57,16,),)/1000</f>
        <v>199.82253199999997</v>
      </c>
      <c r="X21" s="44">
        <f t="shared" si="6"/>
        <v>-127.68844999999985</v>
      </c>
      <c r="Y21" s="40">
        <f>+[15]군산!$Q$85</f>
        <v>112585.16526315788</v>
      </c>
      <c r="Z21" s="41">
        <f>+[15]군산!$R$85</f>
        <v>110612.75472943248</v>
      </c>
      <c r="AA21" s="45">
        <f>+[16]군산!$Q$85</f>
        <v>111258.59411322017</v>
      </c>
      <c r="AB21" s="46">
        <f>+[15]군산!$Q$89</f>
        <v>75074.638534525904</v>
      </c>
      <c r="AC21" s="41">
        <f>+[15]군산!$R$89</f>
        <v>74463.293988591497</v>
      </c>
      <c r="AD21" s="47">
        <f>+[16]군산!$Q$89</f>
        <v>74140.042143991974</v>
      </c>
      <c r="AE21" s="46">
        <f t="shared" si="7"/>
        <v>37510.526728631972</v>
      </c>
      <c r="AF21" s="41">
        <f t="shared" si="7"/>
        <v>36149.460740840979</v>
      </c>
      <c r="AG21" s="47">
        <f t="shared" si="7"/>
        <v>37118.551969228196</v>
      </c>
      <c r="AH21" s="15"/>
      <c r="AI21" s="16"/>
      <c r="AJ21" s="453"/>
      <c r="AK21" s="457"/>
      <c r="AO21"/>
      <c r="AP21"/>
      <c r="AQ21"/>
      <c r="AR21"/>
      <c r="AS21"/>
    </row>
    <row r="22" spans="2:45" s="6" customFormat="1" ht="22.5" customHeight="1" x14ac:dyDescent="0.3">
      <c r="B22" s="6" t="s">
        <v>73</v>
      </c>
      <c r="G22" s="306" t="str">
        <f t="shared" si="1"/>
        <v>원주</v>
      </c>
      <c r="H22" s="69"/>
      <c r="I22" s="70" t="s">
        <v>73</v>
      </c>
      <c r="J22" s="40">
        <f>+IFERROR(HLOOKUP($B22,'[1]3월누계'!$D$6:$BN$259,2,),)/1000</f>
        <v>9.9997999999999987</v>
      </c>
      <c r="K22" s="41">
        <f>+IFERROR(HLOOKUP($B22,'[2]3월누계'!$F$6:$CP$99,2,),)/1000</f>
        <v>7.2649999999999997</v>
      </c>
      <c r="L22" s="42">
        <f t="shared" si="0"/>
        <v>-2.734799999999999</v>
      </c>
      <c r="M22" s="43">
        <f>+IFERROR(HLOOKUP($B22,'[3]3월누계'!$F$6:$CC$57,2,),)/1000</f>
        <v>5.8695000000000004</v>
      </c>
      <c r="N22" s="44">
        <f t="shared" si="2"/>
        <v>1.3954999999999993</v>
      </c>
      <c r="O22" s="40">
        <f>+IFERROR(HLOOKUP($B22,'[1]3월누계'!$D$6:$BN$259,3,),)/1000</f>
        <v>1132.508632284</v>
      </c>
      <c r="P22" s="41">
        <f>+IFERROR(HLOOKUP($B22,'[2]3월누계'!$F$6:$CP$99,3,),)/1000</f>
        <v>924.15789999999993</v>
      </c>
      <c r="Q22" s="42">
        <f t="shared" si="3"/>
        <v>-208.35073228400006</v>
      </c>
      <c r="R22" s="43">
        <f>+IFERROR(HLOOKUP($B22,'[3]3월누계'!$F$6:$CC$57,3,),)/1000</f>
        <v>616.55765399999996</v>
      </c>
      <c r="S22" s="44">
        <f t="shared" si="4"/>
        <v>307.60024599999997</v>
      </c>
      <c r="T22" s="40">
        <f>+IFERROR(HLOOKUP($B22,'[1]3월누계'!$D$6:$BN$259,16,),)/1000</f>
        <v>108.73129436399786</v>
      </c>
      <c r="U22" s="41">
        <f>+IFERROR(HLOOKUP($B22,'[2]3월누계'!$F$6:$CP$99,16,),)/1000</f>
        <v>75.887510999999833</v>
      </c>
      <c r="V22" s="42">
        <f t="shared" si="5"/>
        <v>-32.843783363998028</v>
      </c>
      <c r="W22" s="43">
        <f>+IFERROR(HLOOKUP($B22,'[3]3월누계'!$F$6:$CC$57,16,),)/1000</f>
        <v>-76.211322000000095</v>
      </c>
      <c r="X22" s="44">
        <f t="shared" si="6"/>
        <v>152.09883299999993</v>
      </c>
      <c r="Y22" s="40">
        <f>+[15]원주!$Q$85</f>
        <v>113253.12829096583</v>
      </c>
      <c r="Z22" s="41">
        <f>+[15]원주!$R$85</f>
        <v>127207.1827009159</v>
      </c>
      <c r="AA22" s="45">
        <f>+[16]원주!$Q$85</f>
        <v>105044.32302581139</v>
      </c>
      <c r="AB22" s="46">
        <f>+[15]원주!$Q$89</f>
        <v>73525.343073861688</v>
      </c>
      <c r="AC22" s="41">
        <f>+[15]원주!$R$89</f>
        <v>81814.754218029077</v>
      </c>
      <c r="AD22" s="47">
        <f>+[16]원주!$Q$89</f>
        <v>74215.891983985013</v>
      </c>
      <c r="AE22" s="46">
        <f t="shared" si="7"/>
        <v>39727.785217104145</v>
      </c>
      <c r="AF22" s="41">
        <f t="shared" si="7"/>
        <v>45392.428482886826</v>
      </c>
      <c r="AG22" s="47">
        <f t="shared" si="7"/>
        <v>30828.431041826378</v>
      </c>
      <c r="AH22" s="15"/>
      <c r="AI22" s="16"/>
      <c r="AJ22" s="453"/>
      <c r="AK22" s="457"/>
      <c r="AO22"/>
      <c r="AP22"/>
      <c r="AQ22"/>
      <c r="AR22"/>
      <c r="AS22"/>
    </row>
    <row r="23" spans="2:45" s="6" customFormat="1" ht="22.5" customHeight="1" x14ac:dyDescent="0.3">
      <c r="B23" s="6" t="s">
        <v>74</v>
      </c>
      <c r="F23" s="79">
        <f>+K27-J27</f>
        <v>-40.093299999999999</v>
      </c>
      <c r="G23" s="304" t="str">
        <f t="shared" si="1"/>
        <v>제주</v>
      </c>
      <c r="H23" s="69"/>
      <c r="I23" s="70" t="s">
        <v>74</v>
      </c>
      <c r="J23" s="40">
        <f>+IFERROR(HLOOKUP($B23,'[1]3월누계'!$D$6:$BN$259,2,),)/1000</f>
        <v>17</v>
      </c>
      <c r="K23" s="41">
        <f>+IFERROR(HLOOKUP($B23,'[2]3월누계'!$F$6:$CP$99,2,),)/1000</f>
        <v>11.08</v>
      </c>
      <c r="L23" s="42">
        <f t="shared" si="0"/>
        <v>-5.92</v>
      </c>
      <c r="M23" s="43">
        <f>+IFERROR(HLOOKUP($B23,'[3]3월누계'!$F$6:$CC$57,2,),)/1000</f>
        <v>16.655000000000001</v>
      </c>
      <c r="N23" s="44">
        <f t="shared" si="2"/>
        <v>-5.5750000000000011</v>
      </c>
      <c r="O23" s="40">
        <f>+IFERROR(HLOOKUP($B23,'[1]3월누계'!$D$6:$BN$259,3,),)/1000</f>
        <v>2064.9664400000001</v>
      </c>
      <c r="P23" s="41">
        <f>+IFERROR(HLOOKUP($B23,'[2]3월누계'!$F$6:$CP$99,3,),)/1000</f>
        <v>1399.9109599999999</v>
      </c>
      <c r="Q23" s="42">
        <f t="shared" si="3"/>
        <v>-665.05548000000022</v>
      </c>
      <c r="R23" s="43">
        <f>+IFERROR(HLOOKUP($B23,'[3]3월누계'!$F$6:$CC$57,3,),)/1000</f>
        <v>2017.9522149999998</v>
      </c>
      <c r="S23" s="44">
        <f t="shared" si="4"/>
        <v>-618.04125499999986</v>
      </c>
      <c r="T23" s="40">
        <f>+IFERROR(HLOOKUP($B23,'[1]3월누계'!$D$6:$BN$259,16,),)/1000</f>
        <v>142.02249247052288</v>
      </c>
      <c r="U23" s="41">
        <f>+IFERROR(HLOOKUP($B23,'[2]3월누계'!$F$6:$CP$99,16,),)/1000</f>
        <v>17.473471000000004</v>
      </c>
      <c r="V23" s="42">
        <f t="shared" si="5"/>
        <v>-124.54902147052287</v>
      </c>
      <c r="W23" s="43">
        <f>+IFERROR(HLOOKUP($B23,'[3]3월누계'!$F$6:$CC$57,16,),)/1000</f>
        <v>227.32039099999983</v>
      </c>
      <c r="X23" s="44">
        <f t="shared" si="6"/>
        <v>-209.84691999999984</v>
      </c>
      <c r="Y23" s="40">
        <f>+[15]제주!$Q$85</f>
        <v>121468.61411764707</v>
      </c>
      <c r="Z23" s="41">
        <f>+[15]제주!$R$85</f>
        <v>126270.59210526315</v>
      </c>
      <c r="AA23" s="45">
        <f>+[16]제주!$Q$85</f>
        <v>120747.76826117099</v>
      </c>
      <c r="AB23" s="46">
        <f>+[15]제주!$Q$89</f>
        <v>94781.113143953698</v>
      </c>
      <c r="AC23" s="41">
        <f>+[15]제주!$R$89</f>
        <v>98427.658810633046</v>
      </c>
      <c r="AD23" s="47">
        <f>+[16]제주!$Q$89</f>
        <v>89839.101594504333</v>
      </c>
      <c r="AE23" s="46">
        <f t="shared" si="7"/>
        <v>26687.500973693372</v>
      </c>
      <c r="AF23" s="41">
        <f t="shared" si="7"/>
        <v>27842.9332946301</v>
      </c>
      <c r="AG23" s="47">
        <f t="shared" si="7"/>
        <v>30908.666666666657</v>
      </c>
      <c r="AH23" s="15"/>
      <c r="AI23" s="16"/>
      <c r="AJ23" s="453"/>
      <c r="AK23" s="457"/>
      <c r="AO23"/>
      <c r="AP23"/>
      <c r="AQ23"/>
      <c r="AR23"/>
      <c r="AS23"/>
    </row>
    <row r="24" spans="2:45" s="6" customFormat="1" ht="22.5" customHeight="1" x14ac:dyDescent="0.3">
      <c r="F24" s="463">
        <f>+K24/J24</f>
        <v>0.96612033195020741</v>
      </c>
      <c r="G24" s="307" t="str">
        <f t="shared" si="1"/>
        <v>수도권</v>
      </c>
      <c r="H24" s="69"/>
      <c r="I24" s="73" t="s">
        <v>42</v>
      </c>
      <c r="J24" s="20">
        <f>SUM(J7:J10)</f>
        <v>241</v>
      </c>
      <c r="K24" s="17">
        <f>SUM(K7:K10)</f>
        <v>232.83499999999998</v>
      </c>
      <c r="L24" s="18">
        <f t="shared" si="0"/>
        <v>-8.1650000000000205</v>
      </c>
      <c r="M24" s="22">
        <f>SUM(M7:M10)</f>
        <v>224.63799999999998</v>
      </c>
      <c r="N24" s="19">
        <f t="shared" si="2"/>
        <v>8.1970000000000027</v>
      </c>
      <c r="O24" s="20">
        <f>SUM(O7:O10)</f>
        <v>23925.914853190228</v>
      </c>
      <c r="P24" s="17">
        <f>SUM(P7:P10)</f>
        <v>23610.858507000001</v>
      </c>
      <c r="Q24" s="18">
        <f t="shared" si="3"/>
        <v>-315.05634619022749</v>
      </c>
      <c r="R24" s="22">
        <f>SUM(R7:R10)</f>
        <v>21530.521140999997</v>
      </c>
      <c r="S24" s="19">
        <f t="shared" si="4"/>
        <v>2080.3373660000034</v>
      </c>
      <c r="T24" s="20">
        <f>SUM(T7:T10)</f>
        <v>608.9604590553032</v>
      </c>
      <c r="U24" s="17">
        <f>SUM(U7:U10)</f>
        <v>149.75155799999933</v>
      </c>
      <c r="V24" s="18">
        <f t="shared" si="5"/>
        <v>-459.20890105530384</v>
      </c>
      <c r="W24" s="22">
        <f>SUM(W7:W10)</f>
        <v>52.663745000001938</v>
      </c>
      <c r="X24" s="19">
        <f t="shared" si="6"/>
        <v>97.087812999997396</v>
      </c>
      <c r="Y24" s="20">
        <f>+[15]수도권!$Q$85</f>
        <v>99277.65499249057</v>
      </c>
      <c r="Z24" s="17">
        <f>+[15]수도권!$R$85</f>
        <v>101450.70361833034</v>
      </c>
      <c r="AA24" s="21">
        <f>+[16]수도권!$Q$85</f>
        <v>95841.129284234747</v>
      </c>
      <c r="AB24" s="25">
        <f>+[15]수도권!$Q$89</f>
        <v>83104.286031103868</v>
      </c>
      <c r="AC24" s="17">
        <f>+[15]수도권!$R$89</f>
        <v>87081.110955122713</v>
      </c>
      <c r="AD24" s="26">
        <f>+[16]수도권!$Q$89</f>
        <v>82402.305649578571</v>
      </c>
      <c r="AE24" s="25">
        <f t="shared" si="7"/>
        <v>16173.368961386703</v>
      </c>
      <c r="AF24" s="17">
        <f t="shared" si="7"/>
        <v>14369.59266320763</v>
      </c>
      <c r="AG24" s="26">
        <f t="shared" si="7"/>
        <v>13438.823634656175</v>
      </c>
      <c r="AH24" s="15"/>
      <c r="AI24" s="16"/>
      <c r="AJ24" s="453"/>
      <c r="AK24" s="457"/>
      <c r="AO24"/>
      <c r="AP24"/>
      <c r="AQ24"/>
      <c r="AR24"/>
      <c r="AS24"/>
    </row>
    <row r="25" spans="2:45" s="6" customFormat="1" ht="22.5" customHeight="1" x14ac:dyDescent="0.3">
      <c r="F25" s="463">
        <f>+K25/J25</f>
        <v>0.8557411971830986</v>
      </c>
      <c r="G25" s="304" t="str">
        <f t="shared" si="1"/>
        <v>영남권</v>
      </c>
      <c r="H25" s="69"/>
      <c r="I25" s="73" t="s">
        <v>43</v>
      </c>
      <c r="J25" s="20">
        <f>SUM(J11:J18)</f>
        <v>284</v>
      </c>
      <c r="K25" s="17">
        <f>SUM(K11:K18)</f>
        <v>243.03050000000002</v>
      </c>
      <c r="L25" s="18">
        <f t="shared" si="0"/>
        <v>-40.969499999999982</v>
      </c>
      <c r="M25" s="22">
        <f>SUM(M11:M18)</f>
        <v>294.35500000000002</v>
      </c>
      <c r="N25" s="19">
        <f t="shared" si="2"/>
        <v>-51.3245</v>
      </c>
      <c r="O25" s="20">
        <f>SUM(O11:O18)</f>
        <v>28871.068395350521</v>
      </c>
      <c r="P25" s="17">
        <f>SUM(P11:P18)</f>
        <v>25951.009884999999</v>
      </c>
      <c r="Q25" s="18">
        <f t="shared" si="3"/>
        <v>-2920.0585103505218</v>
      </c>
      <c r="R25" s="22">
        <f>SUM(R11:R18)</f>
        <v>29382.833063999995</v>
      </c>
      <c r="S25" s="19">
        <f t="shared" si="4"/>
        <v>-3431.8231789999954</v>
      </c>
      <c r="T25" s="20">
        <f>SUM(T11:T18)</f>
        <v>1191.7451139382665</v>
      </c>
      <c r="U25" s="17">
        <f>SUM(U11:U18)</f>
        <v>855.4751729999997</v>
      </c>
      <c r="V25" s="18">
        <f t="shared" si="5"/>
        <v>-336.26994093826681</v>
      </c>
      <c r="W25" s="22">
        <f>SUM(W11:W18)</f>
        <v>1614.9242809999987</v>
      </c>
      <c r="X25" s="19">
        <f t="shared" si="6"/>
        <v>-759.449107999999</v>
      </c>
      <c r="Y25" s="20">
        <f>+[15]영남권!$Q$85</f>
        <v>101658.69153292435</v>
      </c>
      <c r="Z25" s="17">
        <f>+[15]영남권!$R$85</f>
        <v>106780.07280979137</v>
      </c>
      <c r="AA25" s="21">
        <f>+[16]영남권!$Q$85</f>
        <v>99826.054972744867</v>
      </c>
      <c r="AB25" s="25">
        <f>+[15]영남권!$Q$89</f>
        <v>81373.424647372027</v>
      </c>
      <c r="AC25" s="17">
        <f>+[15]영남권!$R$89</f>
        <v>84814.664718217726</v>
      </c>
      <c r="AD25" s="26">
        <f>+[16]영남권!$Q$89</f>
        <v>79584.765232735343</v>
      </c>
      <c r="AE25" s="25">
        <f t="shared" si="7"/>
        <v>20285.266885552322</v>
      </c>
      <c r="AF25" s="17">
        <f t="shared" si="7"/>
        <v>21965.408091573641</v>
      </c>
      <c r="AG25" s="26">
        <f t="shared" si="7"/>
        <v>20241.289740009524</v>
      </c>
      <c r="AH25" s="15"/>
      <c r="AI25" s="16"/>
      <c r="AJ25" s="453"/>
      <c r="AK25" s="457"/>
      <c r="AO25"/>
      <c r="AP25"/>
      <c r="AQ25"/>
      <c r="AR25"/>
      <c r="AS25"/>
    </row>
    <row r="26" spans="2:45" s="6" customFormat="1" ht="22.5" customHeight="1" x14ac:dyDescent="0.3">
      <c r="F26" s="463">
        <f>+K26/J26</f>
        <v>1.0908665143045515</v>
      </c>
      <c r="G26" s="304" t="str">
        <f t="shared" si="1"/>
        <v>중부권</v>
      </c>
      <c r="H26" s="69"/>
      <c r="I26" s="73" t="s">
        <v>104</v>
      </c>
      <c r="J26" s="20">
        <f>SUM(J19:J23)</f>
        <v>99.499799999999993</v>
      </c>
      <c r="K26" s="17">
        <f>SUM(K19:K23)</f>
        <v>108.541</v>
      </c>
      <c r="L26" s="18">
        <f t="shared" si="0"/>
        <v>9.0412000000000035</v>
      </c>
      <c r="M26" s="22">
        <f>SUM(M19:M23)</f>
        <v>135.59250000000003</v>
      </c>
      <c r="N26" s="19">
        <f t="shared" si="2"/>
        <v>-27.051500000000033</v>
      </c>
      <c r="O26" s="20">
        <f>SUM(O19:O23)</f>
        <v>10505.795152283999</v>
      </c>
      <c r="P26" s="17">
        <f>SUM(P19:P23)</f>
        <v>11451.131420999998</v>
      </c>
      <c r="Q26" s="18">
        <f t="shared" si="3"/>
        <v>945.33626871599881</v>
      </c>
      <c r="R26" s="22">
        <f>SUM(R19:R23)</f>
        <v>13962.953223</v>
      </c>
      <c r="S26" s="19">
        <f t="shared" si="4"/>
        <v>-2511.8218020000022</v>
      </c>
      <c r="T26" s="20">
        <f>SUM(T19:T23)</f>
        <v>296.14307833986015</v>
      </c>
      <c r="U26" s="17">
        <f>SUM(U19:U23)</f>
        <v>276.38873900000044</v>
      </c>
      <c r="V26" s="18">
        <f t="shared" si="5"/>
        <v>-19.754339339859712</v>
      </c>
      <c r="W26" s="22">
        <f>SUM(W19:W23)</f>
        <v>990.4095989999995</v>
      </c>
      <c r="X26" s="19">
        <f t="shared" si="6"/>
        <v>-714.02085999999906</v>
      </c>
      <c r="Y26" s="20">
        <f>+[15]중부권!$Q$85</f>
        <v>105586.09316083047</v>
      </c>
      <c r="Z26" s="17">
        <f>+[15]중부권!$R$85</f>
        <v>105472.148179251</v>
      </c>
      <c r="AA26" s="21">
        <f>+[16]중부권!$Q$85</f>
        <v>102812.83467689531</v>
      </c>
      <c r="AB26" s="25">
        <f>+[15]중부권!$Q$89</f>
        <v>81317.032796109328</v>
      </c>
      <c r="AC26" s="17">
        <f>+[15]중부권!$R$89</f>
        <v>83903.183686458273</v>
      </c>
      <c r="AD26" s="26">
        <f>+[16]중부권!$Q$89</f>
        <v>81030.270831711008</v>
      </c>
      <c r="AE26" s="25">
        <f t="shared" si="7"/>
        <v>24269.060364721139</v>
      </c>
      <c r="AF26" s="17">
        <f t="shared" si="7"/>
        <v>21568.964492792729</v>
      </c>
      <c r="AG26" s="26">
        <f t="shared" si="7"/>
        <v>21782.563845184297</v>
      </c>
      <c r="AH26" s="15"/>
      <c r="AI26" s="16"/>
      <c r="AJ26" s="453"/>
      <c r="AK26" s="457"/>
      <c r="AO26"/>
      <c r="AP26"/>
      <c r="AQ26"/>
      <c r="AR26"/>
      <c r="AS26"/>
    </row>
    <row r="27" spans="2:45" s="1" customFormat="1" ht="22.5" customHeight="1" x14ac:dyDescent="0.3">
      <c r="B27" s="23"/>
      <c r="F27" s="452">
        <f>+K27/M27</f>
        <v>0.89278864258374213</v>
      </c>
      <c r="G27" s="306">
        <f>+K27/J27</f>
        <v>0.93579933892693001</v>
      </c>
      <c r="H27" s="238" t="s">
        <v>93</v>
      </c>
      <c r="I27" s="239"/>
      <c r="J27" s="240">
        <f>SUM(J24:J26)</f>
        <v>624.49980000000005</v>
      </c>
      <c r="K27" s="241">
        <f>SUM(K24:K26)</f>
        <v>584.40650000000005</v>
      </c>
      <c r="L27" s="242">
        <f t="shared" si="0"/>
        <v>-40.093299999999999</v>
      </c>
      <c r="M27" s="243">
        <f>SUM(M24:M26)</f>
        <v>654.58549999999991</v>
      </c>
      <c r="N27" s="244">
        <f t="shared" si="2"/>
        <v>-70.17899999999986</v>
      </c>
      <c r="O27" s="240">
        <f>SUM(O24:O26)</f>
        <v>63302.778400824754</v>
      </c>
      <c r="P27" s="241">
        <f>SUM(P24:P26)</f>
        <v>61012.999813000002</v>
      </c>
      <c r="Q27" s="242">
        <f t="shared" si="3"/>
        <v>-2289.7785878247523</v>
      </c>
      <c r="R27" s="243">
        <f>SUM(R24:R26)</f>
        <v>64876.307428</v>
      </c>
      <c r="S27" s="244">
        <f t="shared" si="4"/>
        <v>-3863.3076149999979</v>
      </c>
      <c r="T27" s="240">
        <f>SUM(T24:T26)</f>
        <v>2096.8486513334296</v>
      </c>
      <c r="U27" s="241">
        <f>SUM(U24:U26)</f>
        <v>1281.6154699999995</v>
      </c>
      <c r="V27" s="242">
        <f t="shared" si="5"/>
        <v>-815.23318133343014</v>
      </c>
      <c r="W27" s="243">
        <f>SUM(W24:W26)</f>
        <v>2657.997625</v>
      </c>
      <c r="X27" s="244">
        <f t="shared" si="6"/>
        <v>-1376.3821550000005</v>
      </c>
      <c r="Y27" s="240">
        <f>+[15]합계!$Q$85</f>
        <v>101365.57033456974</v>
      </c>
      <c r="Z27" s="241">
        <f>+[15]합계!$R$85</f>
        <v>104417.29342223541</v>
      </c>
      <c r="AA27" s="245">
        <f>+[16]합계!$Q$85</f>
        <v>99077.049464891184</v>
      </c>
      <c r="AB27" s="246">
        <f>+[15]합계!$Q$89</f>
        <v>82032.394619111175</v>
      </c>
      <c r="AC27" s="241">
        <f>+[15]합계!$R$89</f>
        <v>85546.564400739313</v>
      </c>
      <c r="AD27" s="247">
        <f>+[16]합계!$Q$89</f>
        <v>80839.180380884747</v>
      </c>
      <c r="AE27" s="246">
        <f t="shared" si="7"/>
        <v>19333.175715458565</v>
      </c>
      <c r="AF27" s="241">
        <f t="shared" si="7"/>
        <v>18870.729021496096</v>
      </c>
      <c r="AG27" s="247">
        <f t="shared" si="7"/>
        <v>18237.869084006437</v>
      </c>
      <c r="AH27" s="24"/>
      <c r="AI27" s="461">
        <f>+AF27-AE27</f>
        <v>-462.446693962469</v>
      </c>
      <c r="AJ27" s="462"/>
      <c r="AK27" s="457"/>
      <c r="AL27" s="23"/>
      <c r="AO27"/>
      <c r="AP27"/>
      <c r="AQ27"/>
      <c r="AR27"/>
      <c r="AS27"/>
    </row>
    <row r="28" spans="2:45" s="6" customFormat="1" ht="22.5" customHeight="1" x14ac:dyDescent="0.3">
      <c r="B28" s="6" t="s">
        <v>3</v>
      </c>
      <c r="E28" s="6" t="s">
        <v>179</v>
      </c>
      <c r="G28" s="304" t="s">
        <v>3</v>
      </c>
      <c r="H28" s="75" t="s">
        <v>1</v>
      </c>
      <c r="I28" s="68" t="s">
        <v>112</v>
      </c>
      <c r="J28" s="50">
        <f>+IFERROR(HLOOKUP($B29,'[1]3월누계'!$D$6:$BN$259,2,),)/1000</f>
        <v>59.218284475524477</v>
      </c>
      <c r="K28" s="51">
        <f>+IFERROR(HLOOKUP($C29,'[2]3월누계'!$F$6:$CP$99,2,),)/1000</f>
        <v>51.662999999999997</v>
      </c>
      <c r="L28" s="32">
        <f t="shared" si="0"/>
        <v>-7.5552844755244806</v>
      </c>
      <c r="M28" s="32">
        <f>+IFERROR(HLOOKUP($C29,'[3]3월누계'!$F$6:$CC$57,2,),)/1000</f>
        <v>69.001999999999995</v>
      </c>
      <c r="N28" s="52">
        <f>+K28-M28</f>
        <v>-17.338999999999999</v>
      </c>
      <c r="O28" s="50">
        <f>+IFERROR(HLOOKUP($B29,'[1]3월누계'!$D$6:$BN$259,3,),)/1000</f>
        <v>1687.1456902097902</v>
      </c>
      <c r="P28" s="51">
        <f>+IFERROR(HLOOKUP($C29,'[2]3월누계'!$F$6:$CP$99,3,),)/1000</f>
        <v>1475.5545</v>
      </c>
      <c r="Q28" s="32">
        <f t="shared" si="3"/>
        <v>-211.59119020979028</v>
      </c>
      <c r="R28" s="32">
        <f>+IFERROR(HLOOKUP($C29,'[3]3월누계'!$F$6:$CC$57,3,),)/1000</f>
        <v>1979.7384999999999</v>
      </c>
      <c r="S28" s="52">
        <f t="shared" si="4"/>
        <v>-504.18399999999997</v>
      </c>
      <c r="T28" s="50">
        <f>+IFERROR(HLOOKUP($B29,'[1]3월누계'!$D$6:$BN$259,21,),)/1000</f>
        <v>31.530341873332027</v>
      </c>
      <c r="U28" s="51">
        <f>+IFERROR(HLOOKUP($C29,'[2]3월누계'!$F$6:$CP$99,21,),)/1000</f>
        <v>49.67499493248566</v>
      </c>
      <c r="V28" s="32">
        <f>+U28-T28</f>
        <v>18.144653059153633</v>
      </c>
      <c r="W28" s="32">
        <f>+IFERROR(HLOOKUP($C29,'[3]3월누계'!$F$6:$CC$57,21,),)/1000</f>
        <v>22.44196273143444</v>
      </c>
      <c r="X28" s="52">
        <f>+U28-W28</f>
        <v>27.23303220105122</v>
      </c>
      <c r="Y28" s="258"/>
      <c r="Z28" s="259"/>
      <c r="AA28" s="259"/>
      <c r="AB28" s="259"/>
      <c r="AC28" s="259"/>
      <c r="AD28" s="259"/>
      <c r="AE28" s="259"/>
      <c r="AF28" s="259"/>
      <c r="AG28" s="260"/>
      <c r="AH28" s="15"/>
      <c r="AI28" s="16"/>
      <c r="AJ28" s="453"/>
      <c r="AK28" s="457"/>
      <c r="AO28"/>
      <c r="AP28"/>
      <c r="AQ28"/>
      <c r="AR28"/>
      <c r="AS28"/>
    </row>
    <row r="29" spans="2:45" s="6" customFormat="1" ht="22.5" customHeight="1" x14ac:dyDescent="0.3">
      <c r="B29" s="6" t="s">
        <v>112</v>
      </c>
      <c r="C29" s="68" t="s">
        <v>46</v>
      </c>
      <c r="G29" s="305" t="str">
        <f>+I28</f>
        <v>부산모래장</v>
      </c>
      <c r="H29" s="74"/>
      <c r="I29" s="70" t="s">
        <v>120</v>
      </c>
      <c r="J29" s="48">
        <f>+IFERROR(HLOOKUP($B30,'[1]3월누계'!$D$6:$BN$259,2,),)/1000</f>
        <v>124.97510666666666</v>
      </c>
      <c r="K29" s="53">
        <f>+IFERROR(HLOOKUP($C30,'[2]3월누계'!$F$6:$CP$99,2,),)/1000</f>
        <v>76.22</v>
      </c>
      <c r="L29" s="42">
        <f t="shared" si="0"/>
        <v>-48.755106666666663</v>
      </c>
      <c r="M29" s="42">
        <f>+IFERROR(HLOOKUP($C30,'[3]3월누계'!$F$6:$CC$57,2,),)/1000</f>
        <v>46.421999999999997</v>
      </c>
      <c r="N29" s="54">
        <f>+K29-M29</f>
        <v>29.798000000000002</v>
      </c>
      <c r="O29" s="48">
        <f>+IFERROR(HLOOKUP($B30,'[1]3월누계'!$D$6:$BN$259,3,),)/1000</f>
        <v>1613.4342633333333</v>
      </c>
      <c r="P29" s="53">
        <f>+IFERROR(HLOOKUP($C30,'[2]3월누계'!$F$6:$CP$99,3,),)/1000</f>
        <v>1081.8</v>
      </c>
      <c r="Q29" s="42">
        <f t="shared" si="3"/>
        <v>-531.63426333333337</v>
      </c>
      <c r="R29" s="42">
        <f>+IFERROR(HLOOKUP($C30,'[3]3월누계'!$F$6:$CC$57,3,),)/1000</f>
        <v>651.81399999999996</v>
      </c>
      <c r="S29" s="54">
        <f t="shared" si="4"/>
        <v>429.98599999999999</v>
      </c>
      <c r="T29" s="48">
        <f>+IFERROR(HLOOKUP($B30,'[1]3월누계'!$D$6:$BN$259,21,),)/1000</f>
        <v>120.9363527780238</v>
      </c>
      <c r="U29" s="53">
        <f>+IFERROR(HLOOKUP($C30,'[2]3월누계'!$F$6:$CP$99,21,),)/1000</f>
        <v>-126.0224407229462</v>
      </c>
      <c r="V29" s="42">
        <f>+U29-T29</f>
        <v>-246.95879350096999</v>
      </c>
      <c r="W29" s="42">
        <f>+IFERROR(HLOOKUP($C30,'[3]3월누계'!$F$6:$CC$57,21,),)/1000</f>
        <v>49.399872646122446</v>
      </c>
      <c r="X29" s="54">
        <f>+U29-W29</f>
        <v>-175.42231336906866</v>
      </c>
      <c r="Y29" s="464"/>
      <c r="Z29" s="210"/>
      <c r="AA29" s="210"/>
      <c r="AB29" s="311"/>
      <c r="AC29" s="210"/>
      <c r="AD29" s="210"/>
      <c r="AE29" s="210"/>
      <c r="AF29" s="210"/>
      <c r="AG29" s="45"/>
      <c r="AH29" s="15"/>
      <c r="AI29" s="210"/>
      <c r="AJ29" s="453"/>
      <c r="AK29" s="457"/>
    </row>
    <row r="30" spans="2:45" s="6" customFormat="1" ht="22.5" customHeight="1" x14ac:dyDescent="0.3">
      <c r="B30" s="6" t="s">
        <v>113</v>
      </c>
      <c r="C30" s="70" t="s">
        <v>47</v>
      </c>
      <c r="G30" s="305" t="str">
        <f>+I29</f>
        <v>서부산CR</v>
      </c>
      <c r="H30" s="74"/>
      <c r="I30" s="72" t="s">
        <v>121</v>
      </c>
      <c r="J30" s="48">
        <f>+IFERROR(HLOOKUP($B31,'[1]3월누계'!$D$6:$BN$259,2,),)/1000</f>
        <v>18.219239999999999</v>
      </c>
      <c r="K30" s="53">
        <f>+IFERROR(HLOOKUP($C31,'[2]3월누계'!$F$6:$CP$99,2,),)/1000</f>
        <v>49.347000000000001</v>
      </c>
      <c r="L30" s="42">
        <f t="shared" si="0"/>
        <v>31.127760000000002</v>
      </c>
      <c r="M30" s="42">
        <f>+IFERROR(HLOOKUP($C31,'[3]3월누계'!$F$6:$CC$57,2,),)/1000</f>
        <v>51.975999999999999</v>
      </c>
      <c r="N30" s="54">
        <f>+K30-M30</f>
        <v>-2.6289999999999978</v>
      </c>
      <c r="O30" s="48">
        <f>+IFERROR(HLOOKUP($B31,'[1]3월누계'!$D$6:$BN$259,3,),)/1000</f>
        <v>367.70835999999997</v>
      </c>
      <c r="P30" s="53">
        <f>+IFERROR(HLOOKUP($C31,'[2]3월누계'!$F$6:$CP$99,3,),)/1000</f>
        <v>982.34849999999994</v>
      </c>
      <c r="Q30" s="42">
        <f t="shared" si="3"/>
        <v>614.64013999999997</v>
      </c>
      <c r="R30" s="42">
        <f>+IFERROR(HLOOKUP($C31,'[3]3월누계'!$F$6:$CC$57,3,),)/1000</f>
        <v>946.19600000000003</v>
      </c>
      <c r="S30" s="54">
        <f t="shared" si="4"/>
        <v>36.152499999999918</v>
      </c>
      <c r="T30" s="48">
        <f>+IFERROR(HLOOKUP($B31,'[1]3월누계'!$D$6:$BN$259,21,),)/1000</f>
        <v>-407.72132619919677</v>
      </c>
      <c r="U30" s="53">
        <f>+IFERROR(HLOOKUP($C31,'[2]3월누계'!$F$6:$CP$99,21,),)/1000</f>
        <v>-355.71689219000012</v>
      </c>
      <c r="V30" s="42">
        <f>+U30-T30</f>
        <v>52.004434009196643</v>
      </c>
      <c r="W30" s="42">
        <f>+IFERROR(HLOOKUP($C31,'[3]3월누계'!$F$6:$CC$57,21,),)/1000</f>
        <v>-576.88689736999993</v>
      </c>
      <c r="X30" s="54">
        <f>+U30-W30</f>
        <v>221.17000517999981</v>
      </c>
      <c r="Y30" s="464"/>
      <c r="Z30" s="210"/>
      <c r="AA30" s="210"/>
      <c r="AB30" s="210"/>
      <c r="AC30" s="210"/>
      <c r="AD30" s="210"/>
      <c r="AE30" s="210"/>
      <c r="AF30" s="210"/>
      <c r="AG30" s="45"/>
      <c r="AH30" s="15"/>
      <c r="AI30" s="210"/>
      <c r="AJ30" s="210">
        <f>+(AC30-AC31)*AD36</f>
        <v>0</v>
      </c>
      <c r="AK30" s="210"/>
      <c r="AL30" s="81"/>
    </row>
    <row r="31" spans="2:45" s="6" customFormat="1" ht="22.5" customHeight="1" x14ac:dyDescent="0.3">
      <c r="B31" s="6" t="s">
        <v>108</v>
      </c>
      <c r="C31" s="72" t="s">
        <v>108</v>
      </c>
      <c r="G31" s="305" t="str">
        <f>+I30</f>
        <v>부산CR</v>
      </c>
      <c r="H31" s="123" t="s">
        <v>33</v>
      </c>
      <c r="I31" s="124"/>
      <c r="J31" s="125">
        <f>SUM(J28:J30)</f>
        <v>202.41263114219112</v>
      </c>
      <c r="K31" s="129">
        <f>SUM(K28:K30)</f>
        <v>177.23</v>
      </c>
      <c r="L31" s="127">
        <f t="shared" si="0"/>
        <v>-25.182631142191127</v>
      </c>
      <c r="M31" s="127">
        <f>SUM(M28:M30)</f>
        <v>167.39999999999998</v>
      </c>
      <c r="N31" s="128">
        <f>+K31-M31</f>
        <v>9.8300000000000125</v>
      </c>
      <c r="O31" s="125">
        <f>SUM(O28:O30)</f>
        <v>3668.2883135431234</v>
      </c>
      <c r="P31" s="129">
        <f>SUM(P28:P30)</f>
        <v>3539.703</v>
      </c>
      <c r="Q31" s="127">
        <f t="shared" si="3"/>
        <v>-128.58531354312345</v>
      </c>
      <c r="R31" s="127">
        <f>SUM(R28:R30)</f>
        <v>3577.7484999999997</v>
      </c>
      <c r="S31" s="128">
        <f t="shared" si="4"/>
        <v>-38.04549999999972</v>
      </c>
      <c r="T31" s="125">
        <f>SUM(T28:T30)</f>
        <v>-255.25463154784094</v>
      </c>
      <c r="U31" s="129">
        <f>SUM(U28:U30)</f>
        <v>-432.06433798046066</v>
      </c>
      <c r="V31" s="127">
        <f>+U31-T31</f>
        <v>-176.80970643261972</v>
      </c>
      <c r="W31" s="127">
        <f>SUM(W28:W30)</f>
        <v>-505.04506199244304</v>
      </c>
      <c r="X31" s="128">
        <f>+U31-W31</f>
        <v>72.980724011982375</v>
      </c>
      <c r="Y31" s="464"/>
      <c r="Z31" s="210"/>
      <c r="AA31" s="210"/>
      <c r="AB31" s="210"/>
      <c r="AC31" s="210"/>
      <c r="AD31" s="210"/>
      <c r="AE31" s="210"/>
      <c r="AF31" s="210"/>
      <c r="AG31" s="45"/>
      <c r="AH31" s="15"/>
      <c r="AI31" s="210"/>
      <c r="AJ31" s="210">
        <f>+AD35*120*10</f>
        <v>0</v>
      </c>
      <c r="AK31" s="210"/>
      <c r="AL31" s="81"/>
    </row>
    <row r="32" spans="2:45" s="1" customFormat="1" ht="22.5" customHeight="1" x14ac:dyDescent="0.3">
      <c r="G32" s="308"/>
      <c r="H32" s="78" t="s">
        <v>4</v>
      </c>
      <c r="I32" s="77" t="s">
        <v>79</v>
      </c>
      <c r="J32" s="40"/>
      <c r="K32" s="41"/>
      <c r="L32" s="43">
        <f t="shared" si="0"/>
        <v>0</v>
      </c>
      <c r="M32" s="42"/>
      <c r="N32" s="54">
        <f>+K32-M32</f>
        <v>0</v>
      </c>
      <c r="O32" s="40">
        <f>(IFERROR(HLOOKUP($B33,'[1]3월누계'!$D$6:$BN$259,3,),)++IFERROR(HLOOKUP($C33,'[1]3월누계'!$D$6:$BN$259,3,),)+IFERROR(HLOOKUP($D33,'[1]3월누계'!$D$6:$BN$259,3,),))/1000</f>
        <v>125</v>
      </c>
      <c r="P32" s="41">
        <f>+IFERROR(HLOOKUP($E33,'[2]3월누계'!$F$6:$CP$99,3,),)/1000</f>
        <v>130.02000000000001</v>
      </c>
      <c r="Q32" s="43">
        <f t="shared" si="3"/>
        <v>5.0200000000000102</v>
      </c>
      <c r="R32" s="42">
        <f>+IFERROR(HLOOKUP($E33,'[3]3월누계'!$F$6:$CC$57,3,),)/1000</f>
        <v>247.52</v>
      </c>
      <c r="S32" s="54">
        <f t="shared" si="4"/>
        <v>-117.5</v>
      </c>
      <c r="T32" s="40">
        <f>(IFERROR(HLOOKUP($B33,'[1]3월누계'!$D$6:$BN$259,21,),)++IFERROR(HLOOKUP($C33,'[1]3월누계'!$D$6:$BN$259,21,),)+IFERROR(HLOOKUP($D33,'[1]3월누계'!$D$6:$BN$259,21,),))/1000</f>
        <v>91.705319000000003</v>
      </c>
      <c r="U32" s="41">
        <f>+IFERROR(HLOOKUP($E33,'[2]3월누계'!$F$6:$CP$99,16,),)/1000</f>
        <v>73.947187999999997</v>
      </c>
      <c r="V32" s="43">
        <f t="shared" ref="V32:V38" si="8">+U32-T32</f>
        <v>-17.758131000000006</v>
      </c>
      <c r="W32" s="42">
        <f>+IFERROR(HLOOKUP($E33,'[3]3월누계'!$F$6:$CC$57,16,),)/1000</f>
        <v>191.40522099999998</v>
      </c>
      <c r="X32" s="54">
        <f t="shared" ref="X32:X40" si="9">+U32-W32</f>
        <v>-117.45803299999999</v>
      </c>
      <c r="Y32" s="464"/>
      <c r="Z32" s="210"/>
      <c r="AA32" s="210"/>
      <c r="AB32" s="210"/>
      <c r="AC32" s="210"/>
      <c r="AD32" s="210"/>
      <c r="AE32" s="210"/>
      <c r="AF32" s="210"/>
      <c r="AG32" s="45"/>
      <c r="AH32" s="24"/>
      <c r="AI32" s="210"/>
      <c r="AJ32" s="210"/>
      <c r="AK32" s="210"/>
      <c r="AL32" s="458"/>
      <c r="AM32" s="455"/>
    </row>
    <row r="33" spans="2:43" s="6" customFormat="1" ht="22.5" customHeight="1" x14ac:dyDescent="0.3">
      <c r="B33" s="6" t="s">
        <v>116</v>
      </c>
      <c r="C33" s="6" t="s">
        <v>115</v>
      </c>
      <c r="D33" t="s">
        <v>114</v>
      </c>
      <c r="E33" t="s">
        <v>80</v>
      </c>
      <c r="F33"/>
      <c r="G33" s="304" t="str">
        <f t="shared" ref="G33:G40" si="10">+I32</f>
        <v>레미콘임대</v>
      </c>
      <c r="H33" s="78"/>
      <c r="I33" s="77" t="s">
        <v>44</v>
      </c>
      <c r="J33" s="40"/>
      <c r="K33" s="41"/>
      <c r="L33" s="43">
        <f t="shared" si="0"/>
        <v>0</v>
      </c>
      <c r="M33" s="42">
        <v>0</v>
      </c>
      <c r="N33" s="54">
        <f t="shared" ref="N33:N40" si="11">+K33-M33</f>
        <v>0</v>
      </c>
      <c r="O33" s="40">
        <f>(+IFERROR(HLOOKUP($B34,'[1]3월누계'!$D$6:$BN$259,3,),)+IFERROR(HLOOKUP($C34,'[1]3월누계'!$D$6:$BN$259,3,),))/1000</f>
        <v>235.59</v>
      </c>
      <c r="P33" s="41">
        <f>+IFERROR(HLOOKUP($E34,'[2]3월누계'!$F$6:$CP$99,3,),)/1000</f>
        <v>215.52844300000001</v>
      </c>
      <c r="Q33" s="43">
        <f t="shared" si="3"/>
        <v>-20.061556999999993</v>
      </c>
      <c r="R33" s="42">
        <f>+IFERROR(HLOOKUP($E34,'[3]3월누계'!$F$6:$CC$57,3,),)/1000</f>
        <v>220.274744</v>
      </c>
      <c r="S33" s="54">
        <f t="shared" si="4"/>
        <v>-4.7463009999999883</v>
      </c>
      <c r="T33" s="40">
        <f>(+IFERROR(HLOOKUP($B34,'[1]3월누계'!$D$6:$BN$259,21,),)+IFERROR(HLOOKUP($C34,'[1]3월누계'!$D$6:$BN$259,21,),))/1000</f>
        <v>217.53944399999997</v>
      </c>
      <c r="U33" s="41">
        <f>+IFERROR(HLOOKUP($E34,'[2]3월누계'!$F$6:$CP$99,16,),)/1000</f>
        <v>197.516378</v>
      </c>
      <c r="V33" s="43">
        <f t="shared" si="8"/>
        <v>-20.023065999999972</v>
      </c>
      <c r="W33" s="42">
        <f>+IFERROR(HLOOKUP($E34,'[3]3월누계'!$F$6:$CC$57,16,),)/1000</f>
        <v>202.50428299999999</v>
      </c>
      <c r="X33" s="54">
        <f t="shared" si="9"/>
        <v>-4.9879049999999836</v>
      </c>
      <c r="Y33" s="464"/>
      <c r="Z33" s="210"/>
      <c r="AA33" s="210"/>
      <c r="AB33" s="210"/>
      <c r="AC33" s="210"/>
      <c r="AD33" s="210"/>
      <c r="AE33" s="210"/>
      <c r="AF33" s="210"/>
      <c r="AG33" s="45"/>
      <c r="AI33" s="210"/>
      <c r="AJ33" s="210"/>
      <c r="AK33" s="210"/>
    </row>
    <row r="34" spans="2:43" s="6" customFormat="1" ht="22.5" customHeight="1" x14ac:dyDescent="0.3">
      <c r="B34" s="6" t="s">
        <v>117</v>
      </c>
      <c r="C34" s="6" t="s">
        <v>118</v>
      </c>
      <c r="D34"/>
      <c r="E34" t="s">
        <v>31</v>
      </c>
      <c r="F34"/>
      <c r="G34" s="304" t="str">
        <f t="shared" si="10"/>
        <v>임대</v>
      </c>
      <c r="H34" s="76"/>
      <c r="I34" s="77" t="s">
        <v>29</v>
      </c>
      <c r="J34" s="40"/>
      <c r="K34" s="41"/>
      <c r="L34" s="43">
        <f t="shared" si="0"/>
        <v>0</v>
      </c>
      <c r="M34" s="42"/>
      <c r="N34" s="54">
        <f t="shared" si="11"/>
        <v>0</v>
      </c>
      <c r="O34" s="40"/>
      <c r="P34" s="41"/>
      <c r="Q34" s="43">
        <f t="shared" si="3"/>
        <v>0</v>
      </c>
      <c r="R34" s="42"/>
      <c r="S34" s="54">
        <f t="shared" si="4"/>
        <v>0</v>
      </c>
      <c r="T34" s="40">
        <f>-'[1]3월누계'!$Z$22/1000</f>
        <v>-4357.4268379569694</v>
      </c>
      <c r="U34" s="41">
        <f>+-'[2]3월누계'!$Z$22/1000</f>
        <v>-4508.647736015424</v>
      </c>
      <c r="V34" s="43">
        <f t="shared" si="8"/>
        <v>-151.22089805845462</v>
      </c>
      <c r="W34" s="42">
        <f>+-'[3]3월누계'!$Z$22/1000</f>
        <v>-4252.832568103122</v>
      </c>
      <c r="X34" s="54">
        <f t="shared" si="9"/>
        <v>-255.81516791230206</v>
      </c>
      <c r="Y34" s="464"/>
      <c r="Z34" s="210"/>
      <c r="AA34" s="210"/>
      <c r="AB34" s="210"/>
      <c r="AC34" s="210"/>
      <c r="AD34" s="210"/>
      <c r="AE34" s="210"/>
      <c r="AF34" s="210">
        <f>+AM27</f>
        <v>0</v>
      </c>
      <c r="AG34" s="45"/>
      <c r="AH34" s="15"/>
      <c r="AI34" s="210"/>
      <c r="AJ34" s="210">
        <f>+AQ27</f>
        <v>0</v>
      </c>
      <c r="AK34" s="210"/>
    </row>
    <row r="35" spans="2:43" s="6" customFormat="1" ht="22.5" customHeight="1" x14ac:dyDescent="0.3">
      <c r="B35" s="6" t="s">
        <v>119</v>
      </c>
      <c r="D35"/>
      <c r="E35"/>
      <c r="F35"/>
      <c r="G35" s="304" t="str">
        <f t="shared" si="10"/>
        <v>공통비</v>
      </c>
      <c r="H35" s="76"/>
      <c r="I35" s="77" t="s">
        <v>94</v>
      </c>
      <c r="J35" s="40"/>
      <c r="K35" s="41"/>
      <c r="L35" s="43"/>
      <c r="M35" s="42"/>
      <c r="N35" s="54">
        <f t="shared" si="11"/>
        <v>0</v>
      </c>
      <c r="O35" s="40"/>
      <c r="P35" s="41"/>
      <c r="Q35" s="43">
        <f t="shared" si="3"/>
        <v>0</v>
      </c>
      <c r="R35" s="42"/>
      <c r="S35" s="54">
        <f t="shared" si="4"/>
        <v>0</v>
      </c>
      <c r="T35" s="40">
        <f>+'[1]3월누계'!$AT$26/1000</f>
        <v>360</v>
      </c>
      <c r="U35" s="41">
        <f>'[2]3월누계'!$BD$26/1000</f>
        <v>533.64834999999994</v>
      </c>
      <c r="V35" s="43">
        <f t="shared" si="8"/>
        <v>173.64834999999994</v>
      </c>
      <c r="W35" s="42">
        <f>'[3]3월누계'!$BD$26/1000</f>
        <v>0</v>
      </c>
      <c r="X35" s="54">
        <f t="shared" si="9"/>
        <v>533.64834999999994</v>
      </c>
      <c r="Y35" s="464"/>
      <c r="Z35" s="210"/>
      <c r="AA35" s="210"/>
      <c r="AB35" s="210"/>
      <c r="AC35" s="210"/>
      <c r="AD35" s="210"/>
      <c r="AE35" s="659"/>
      <c r="AF35" s="659"/>
      <c r="AG35" s="660"/>
      <c r="AH35" s="15"/>
      <c r="AI35" s="659"/>
      <c r="AJ35" s="659"/>
      <c r="AK35" s="659"/>
      <c r="AL35" s="81"/>
    </row>
    <row r="36" spans="2:43" s="6" customFormat="1" ht="22.5" customHeight="1" x14ac:dyDescent="0.3">
      <c r="D36"/>
      <c r="E36"/>
      <c r="F36"/>
      <c r="G36" s="304" t="str">
        <f t="shared" si="10"/>
        <v>OPC 소급분</v>
      </c>
      <c r="H36" s="76"/>
      <c r="I36" s="77" t="s">
        <v>95</v>
      </c>
      <c r="J36" s="40"/>
      <c r="K36" s="41"/>
      <c r="L36" s="43"/>
      <c r="M36" s="42"/>
      <c r="N36" s="54">
        <f t="shared" si="11"/>
        <v>0</v>
      </c>
      <c r="O36" s="40"/>
      <c r="P36" s="41"/>
      <c r="Q36" s="43">
        <f t="shared" si="3"/>
        <v>0</v>
      </c>
      <c r="R36" s="42"/>
      <c r="S36" s="54">
        <f t="shared" si="4"/>
        <v>0</v>
      </c>
      <c r="T36" s="40"/>
      <c r="U36" s="41">
        <f>'[2]3월누계'!$BE$26/1000</f>
        <v>184.44025500000001</v>
      </c>
      <c r="V36" s="43">
        <f t="shared" si="8"/>
        <v>184.44025500000001</v>
      </c>
      <c r="W36" s="42">
        <f>'[3]3월누계'!$BE$26/1000</f>
        <v>-522.39605099999994</v>
      </c>
      <c r="X36" s="54">
        <f t="shared" si="9"/>
        <v>706.83630599999992</v>
      </c>
      <c r="Y36" s="464"/>
      <c r="Z36" s="210"/>
      <c r="AA36" s="210"/>
      <c r="AB36" s="210"/>
      <c r="AC36" s="210"/>
      <c r="AD36" s="210"/>
      <c r="AE36" s="210"/>
      <c r="AF36" s="210"/>
      <c r="AG36" s="45"/>
      <c r="AH36" s="15"/>
      <c r="AI36" s="16"/>
      <c r="AJ36" s="453"/>
      <c r="AK36" s="457"/>
      <c r="AL36" s="81"/>
    </row>
    <row r="37" spans="2:43" s="6" customFormat="1" ht="22.5" customHeight="1" x14ac:dyDescent="0.3">
      <c r="D37"/>
      <c r="E37"/>
      <c r="F37"/>
      <c r="G37" s="304" t="str">
        <f t="shared" si="10"/>
        <v>대손</v>
      </c>
      <c r="H37" s="76"/>
      <c r="I37" s="77" t="s">
        <v>109</v>
      </c>
      <c r="J37" s="40"/>
      <c r="K37" s="41"/>
      <c r="L37" s="43"/>
      <c r="M37" s="42">
        <f>SUM(M56:M61)</f>
        <v>0</v>
      </c>
      <c r="N37" s="54">
        <f t="shared" si="11"/>
        <v>0</v>
      </c>
      <c r="O37" s="40"/>
      <c r="P37" s="41"/>
      <c r="Q37" s="43">
        <f t="shared" si="3"/>
        <v>0</v>
      </c>
      <c r="R37" s="42">
        <f>+IFERROR(HLOOKUP($I$37,'[3]3월누계'!$F$6:$BJ$50,3,),)/1000</f>
        <v>0</v>
      </c>
      <c r="S37" s="54">
        <f t="shared" si="4"/>
        <v>0</v>
      </c>
      <c r="T37" s="40">
        <f>SUM('[1]3월누계'!$AM$26:$AQ$26)/1000</f>
        <v>-37.919465999999993</v>
      </c>
      <c r="U37" s="41">
        <f>+'[2]3월누계'!$BF$26/1000</f>
        <v>-69.589258000000001</v>
      </c>
      <c r="V37" s="43">
        <f t="shared" si="8"/>
        <v>-31.669792000000008</v>
      </c>
      <c r="W37" s="42">
        <f>+'[3]3월누계'!$BF$26/1000</f>
        <v>-72.190981999999991</v>
      </c>
      <c r="X37" s="54">
        <f t="shared" si="9"/>
        <v>2.6017239999999902</v>
      </c>
      <c r="Y37" s="464"/>
      <c r="AE37" s="210"/>
      <c r="AF37" s="210"/>
      <c r="AG37" s="45"/>
      <c r="AH37" s="15"/>
      <c r="AI37" s="16"/>
      <c r="AJ37" s="453"/>
      <c r="AK37" s="457"/>
      <c r="AL37" s="81"/>
      <c r="AM37" s="457"/>
      <c r="AO37" s="453"/>
      <c r="AP37" s="453"/>
      <c r="AQ37" s="453"/>
    </row>
    <row r="38" spans="2:43" s="6" customFormat="1" ht="22.5" customHeight="1" x14ac:dyDescent="0.3">
      <c r="D38"/>
      <c r="E38"/>
      <c r="F38"/>
      <c r="G38" s="304" t="str">
        <f t="shared" si="10"/>
        <v>미운영 공장</v>
      </c>
      <c r="H38" s="76"/>
      <c r="I38" s="77" t="s">
        <v>156</v>
      </c>
      <c r="J38" s="40"/>
      <c r="K38" s="41"/>
      <c r="L38" s="43"/>
      <c r="M38" s="42"/>
      <c r="N38" s="54"/>
      <c r="O38" s="40"/>
      <c r="P38" s="41"/>
      <c r="Q38" s="43"/>
      <c r="R38" s="42"/>
      <c r="S38" s="54"/>
      <c r="T38" s="40"/>
      <c r="U38" s="41">
        <f>+'[2]3월누계'!$BG$26/1000</f>
        <v>0</v>
      </c>
      <c r="V38" s="43">
        <f t="shared" si="8"/>
        <v>0</v>
      </c>
      <c r="W38" s="42"/>
      <c r="X38" s="54">
        <f t="shared" si="9"/>
        <v>0</v>
      </c>
      <c r="Y38" s="209"/>
      <c r="Z38" s="210"/>
      <c r="AA38" s="210"/>
      <c r="AB38" s="210"/>
      <c r="AC38" s="210"/>
      <c r="AD38" s="210"/>
      <c r="AE38" s="210"/>
      <c r="AF38" s="210"/>
      <c r="AG38" s="45"/>
      <c r="AH38" s="15"/>
      <c r="AI38" s="16"/>
      <c r="AJ38" s="453"/>
      <c r="AK38" s="453"/>
      <c r="AL38" s="81"/>
      <c r="AM38" s="453"/>
      <c r="AQ38" s="453"/>
    </row>
    <row r="39" spans="2:43" s="6" customFormat="1" ht="22.5" customHeight="1" x14ac:dyDescent="0.3">
      <c r="B39" t="s">
        <v>30</v>
      </c>
      <c r="D39"/>
      <c r="G39" s="304" t="str">
        <f t="shared" si="10"/>
        <v>퇴직위로금</v>
      </c>
      <c r="H39" s="76"/>
      <c r="I39" s="77" t="s">
        <v>4</v>
      </c>
      <c r="J39" s="40"/>
      <c r="K39" s="41"/>
      <c r="L39" s="49">
        <f>+K39-J39</f>
        <v>0</v>
      </c>
      <c r="M39" s="55"/>
      <c r="N39" s="56">
        <f>+K39-M39</f>
        <v>0</v>
      </c>
      <c r="O39" s="40">
        <f>IFERROR(HLOOKUP($B39,'[1]3월누계'!$D$6:$BN$259,3,),)/1000</f>
        <v>5.31</v>
      </c>
      <c r="P39" s="41">
        <f>+('[2]3월누계'!$F$8-SUM('[2]3월누계'!$Z$8,'[2]3월누계'!$AH$8,'[2]3월누계'!$AN$8,'[2]3월누계'!$AO$8,'[2]3월누계'!$BA$8,'[2]3월누계'!$BD$8,'[2]3월누계'!$BE$8,'[2]3월누계'!$BF$8))/1000</f>
        <v>4.9239000000059603</v>
      </c>
      <c r="Q39" s="49">
        <f>+P39-O39</f>
        <v>-0.38609999999403932</v>
      </c>
      <c r="R39" s="55">
        <f>+('[3]3월누계'!$F$8-SUM('[3]3월누계'!$Z$8,'[3]3월누계'!$AH$8,'[3]3월누계'!$AN$8,'[3]3월누계'!$AO$8,'[3]3월누계'!$BA$8,'[3]3월누계'!$BD$8,'[3]3월누계'!$BE$8,'[3]3월누계'!$BF$8))/1000</f>
        <v>5.0395499999970195</v>
      </c>
      <c r="S39" s="56">
        <f>+P39-R39</f>
        <v>-0.11564999999105918</v>
      </c>
      <c r="T39" s="40">
        <f>+('[1]3월누계'!$E$26-'[1]3월누계'!$Z$26-'[1]3월누계'!$AA$26-'[1]3월누계'!$AE$26-'[1]3월누계'!$AL$26-'[1]3월누계'!$AM$26-'[1]3월누계'!$AN$26-'[1]3월누계'!$AO$26-'[1]3월누계'!$AP$26-'[1]3월누계'!$AQ$26-'[1]3월누계'!$AS$26+'[1]3월누계'!$AS$26)/1000-T35</f>
        <v>-148.9768659999944</v>
      </c>
      <c r="U39" s="41">
        <f>+('[2]3월누계'!$F$26-SUM('[2]3월누계'!$Z$26,'[2]3월누계'!$AH$26,'[2]3월누계'!$AN$26,'[2]3월누계'!$AO$26,'[2]3월누계'!$BA$26,'[2]3월누계'!$BD$26,'[2]3월누계'!$BE$26,'[2]3월누계'!$BF$26))/1000-U38</f>
        <v>-71.47842299998598</v>
      </c>
      <c r="V39" s="43">
        <f>+U39-T39</f>
        <v>77.498443000008422</v>
      </c>
      <c r="W39" s="55">
        <f>+('[3]3월누계'!$F$26-SUM('[3]3월누계'!$Z$26,'[3]3월누계'!$AH$26,'[3]3월누계'!$AN$26,'[3]3월누계'!$AO$26,'[3]3월누계'!$BA$26,'[3]3월누계'!$BD$26,'[3]3월누계'!$BE$26,'[3]3월누계'!$BF$26))/1000</f>
        <v>-802.47454091000554</v>
      </c>
      <c r="X39" s="54">
        <f t="shared" si="9"/>
        <v>730.99611791001962</v>
      </c>
      <c r="Y39" s="656"/>
      <c r="Z39" s="210"/>
      <c r="AA39" s="210"/>
      <c r="AB39" s="210"/>
      <c r="AC39" s="210"/>
      <c r="AD39" s="210"/>
      <c r="AE39" s="210"/>
      <c r="AF39" s="210"/>
      <c r="AG39" s="45"/>
      <c r="AH39" s="15"/>
      <c r="AI39" s="16"/>
      <c r="AJ39" s="453">
        <f>-[4]합계!$H$6</f>
        <v>-459.38570787756447</v>
      </c>
      <c r="AK39" s="457"/>
    </row>
    <row r="40" spans="2:43" s="6" customFormat="1" ht="22.5" customHeight="1" x14ac:dyDescent="0.3">
      <c r="G40" s="304" t="str">
        <f t="shared" si="10"/>
        <v>기타</v>
      </c>
      <c r="H40" s="123" t="s">
        <v>96</v>
      </c>
      <c r="I40" s="124"/>
      <c r="J40" s="255">
        <f>SUM(J32:J39)</f>
        <v>0</v>
      </c>
      <c r="K40" s="256">
        <f>SUM(K32:K39)</f>
        <v>0</v>
      </c>
      <c r="L40" s="256">
        <f>+K40-J40</f>
        <v>0</v>
      </c>
      <c r="M40" s="256">
        <f>SUM(M32:M39)</f>
        <v>0</v>
      </c>
      <c r="N40" s="257">
        <f t="shared" si="11"/>
        <v>0</v>
      </c>
      <c r="O40" s="125">
        <f>SUM(O32:O39)</f>
        <v>365.90000000000003</v>
      </c>
      <c r="P40" s="126">
        <f>SUM(P32:P39)</f>
        <v>350.47234300000599</v>
      </c>
      <c r="Q40" s="130">
        <f>+P40-O40</f>
        <v>-15.427656999994042</v>
      </c>
      <c r="R40" s="131">
        <f>SUM(R32:R39)</f>
        <v>472.83429399999704</v>
      </c>
      <c r="S40" s="132">
        <f>+P40-R40</f>
        <v>-122.36195099999105</v>
      </c>
      <c r="T40" s="125">
        <f>SUM(T32:T39)</f>
        <v>-3875.0784069569636</v>
      </c>
      <c r="U40" s="126">
        <f>SUM(U32:U39)</f>
        <v>-3660.1632460154096</v>
      </c>
      <c r="V40" s="130">
        <f>+U40-T40</f>
        <v>214.91516094155395</v>
      </c>
      <c r="W40" s="131">
        <f>SUM(W32:W39)</f>
        <v>-5255.9846380131276</v>
      </c>
      <c r="X40" s="132">
        <f t="shared" si="9"/>
        <v>1595.8213919977179</v>
      </c>
      <c r="Y40" s="209"/>
      <c r="Z40" s="210"/>
      <c r="AA40" s="210"/>
      <c r="AB40" s="210"/>
      <c r="AC40" s="210"/>
      <c r="AD40" s="210"/>
      <c r="AE40" s="210"/>
      <c r="AF40" s="210"/>
      <c r="AG40" s="45"/>
      <c r="AH40" s="27"/>
      <c r="AJ40" s="453"/>
      <c r="AK40" s="457"/>
    </row>
    <row r="41" spans="2:43" s="1" customFormat="1" ht="22.5" customHeight="1" x14ac:dyDescent="0.3">
      <c r="D41" s="264"/>
      <c r="G41" s="308"/>
      <c r="H41" s="248" t="s">
        <v>32</v>
      </c>
      <c r="I41" s="249"/>
      <c r="J41" s="261"/>
      <c r="K41" s="262"/>
      <c r="L41" s="262"/>
      <c r="M41" s="262"/>
      <c r="N41" s="263"/>
      <c r="O41" s="250">
        <f>+O27+O31+O40</f>
        <v>67336.966714367867</v>
      </c>
      <c r="P41" s="251">
        <f>+P27+P31+P40</f>
        <v>64903.175156000012</v>
      </c>
      <c r="Q41" s="252">
        <f>+P41-O41</f>
        <v>-2433.791558367855</v>
      </c>
      <c r="R41" s="253">
        <f>+R27+R31+R40</f>
        <v>68926.890222000002</v>
      </c>
      <c r="S41" s="254">
        <f>+P41-R41</f>
        <v>-4023.7150659999897</v>
      </c>
      <c r="T41" s="250">
        <f>+T27+T31+T40</f>
        <v>-2033.4843871713749</v>
      </c>
      <c r="U41" s="251">
        <f>+U27+U31+U40</f>
        <v>-2810.6121139958709</v>
      </c>
      <c r="V41" s="252">
        <f>+U41-T41</f>
        <v>-777.12772682449599</v>
      </c>
      <c r="W41" s="253">
        <f>+W27+W31+W40</f>
        <v>-3103.0320750055707</v>
      </c>
      <c r="X41" s="254">
        <f>+U41-W41</f>
        <v>292.41996100969982</v>
      </c>
      <c r="Y41" s="209"/>
      <c r="Z41" s="210"/>
      <c r="AA41" s="210"/>
      <c r="AB41" s="210"/>
      <c r="AC41" s="210"/>
      <c r="AD41" s="210"/>
      <c r="AE41" s="210"/>
      <c r="AF41" s="210"/>
      <c r="AG41" s="45"/>
      <c r="AH41" s="23"/>
      <c r="AJ41" s="455">
        <f>[4]합계!$U$15-AJ39-AJ40</f>
        <v>1816.6339054243165</v>
      </c>
      <c r="AK41" s="457"/>
    </row>
    <row r="42" spans="2:43" s="6" customFormat="1" ht="19.5" customHeight="1" x14ac:dyDescent="0.3">
      <c r="G42" s="309">
        <f>+P41/O41</f>
        <v>0.96385653115781722</v>
      </c>
      <c r="Y42" s="209"/>
      <c r="Z42" s="210"/>
      <c r="AA42" s="210"/>
      <c r="AB42" s="210"/>
      <c r="AC42" s="210"/>
      <c r="AD42" s="210"/>
      <c r="AE42" s="210"/>
      <c r="AF42" s="210"/>
      <c r="AG42" s="45"/>
      <c r="AH42" s="27"/>
      <c r="AJ42" s="453"/>
      <c r="AK42" s="457"/>
      <c r="AO42" s="453"/>
    </row>
    <row r="43" spans="2:43" s="1" customFormat="1" ht="22.5" customHeight="1" x14ac:dyDescent="0.3">
      <c r="H43" s="547" t="s">
        <v>3</v>
      </c>
      <c r="I43" s="548"/>
      <c r="J43" s="140">
        <f>+IFERROR(HLOOKUP($B28,'[1]3월누계'!$D$6:$BN$259,2,),)</f>
        <v>23500</v>
      </c>
      <c r="K43" s="141">
        <f>+IFERROR(HLOOKUP($E28,'[2]3월누계'!$F$6:$CP$99,2,),)</f>
        <v>13878.237999999999</v>
      </c>
      <c r="L43" s="142">
        <f>+K43-J43</f>
        <v>-9621.7620000000006</v>
      </c>
      <c r="M43" s="143">
        <f>+IFERROR(HLOOKUP($E28,'[3]3월누계'!$F$6:$CC$57,2,),)</f>
        <v>34222.794999999998</v>
      </c>
      <c r="N43" s="144">
        <f>+K43-M43</f>
        <v>-20344.557000000001</v>
      </c>
      <c r="O43" s="140">
        <f>+IFERROR(HLOOKUP($B28,'[1]3월누계'!$D$6:$BN$259,3,),)/1000</f>
        <v>22587.069302</v>
      </c>
      <c r="P43" s="141">
        <f>+IFERROR(HLOOKUP($E28,'[2]3월누계'!$F$6:$CP$99,3,),)/1000</f>
        <v>13994.381746999999</v>
      </c>
      <c r="Q43" s="142">
        <f>+P43-O43</f>
        <v>-8592.6875550000004</v>
      </c>
      <c r="R43" s="143">
        <f>+IFERROR(HLOOKUP($E28,'[3]3월누계'!$F$6:$CC$57,3,),)/1000</f>
        <v>28292.343492</v>
      </c>
      <c r="S43" s="144">
        <f>+P43-R43</f>
        <v>-14297.961745000001</v>
      </c>
      <c r="T43" s="140">
        <f>+IFERROR(HLOOKUP($B28,'[1]3월누계'!$D$6:$BN$259,21,),)/1000</f>
        <v>-85.427511228994248</v>
      </c>
      <c r="U43" s="141">
        <f>+IFERROR(HLOOKUP($E28,'[2]3월누계'!$F$6:$CP$99,21,),)/1000</f>
        <v>-118.75362200000087</v>
      </c>
      <c r="V43" s="142">
        <f>+U43-T43</f>
        <v>-33.326110771006626</v>
      </c>
      <c r="W43" s="143">
        <f>+IFERROR(HLOOKUP($E28,'[3]3월누계'!$F$6:$CC$57,16,),)/1000</f>
        <v>-106.3113860000006</v>
      </c>
      <c r="X43" s="144">
        <f>+U43-W43</f>
        <v>-12.442236000000278</v>
      </c>
      <c r="Y43" s="209"/>
      <c r="Z43" s="210"/>
      <c r="AA43" s="210"/>
      <c r="AB43" s="210"/>
      <c r="AC43" s="210"/>
      <c r="AD43" s="210"/>
      <c r="AE43" s="210"/>
      <c r="AF43" s="210"/>
      <c r="AG43" s="45"/>
      <c r="AH43" s="23"/>
      <c r="AJ43" s="455"/>
      <c r="AK43" s="457"/>
      <c r="AO43" s="455"/>
    </row>
    <row r="44" spans="2:43" s="1" customFormat="1" ht="22.5" customHeight="1" x14ac:dyDescent="0.3">
      <c r="H44" s="248" t="s">
        <v>32</v>
      </c>
      <c r="I44" s="249"/>
      <c r="J44" s="261"/>
      <c r="K44" s="262"/>
      <c r="L44" s="262"/>
      <c r="M44" s="262"/>
      <c r="N44" s="263"/>
      <c r="O44" s="250">
        <f>+O41+O43</f>
        <v>89924.036016367871</v>
      </c>
      <c r="P44" s="251">
        <f>+P41+P43</f>
        <v>78897.556903000019</v>
      </c>
      <c r="Q44" s="252">
        <f>+P44-O44</f>
        <v>-11026.479113367852</v>
      </c>
      <c r="R44" s="253">
        <f>+R41+R43</f>
        <v>97219.233714000002</v>
      </c>
      <c r="S44" s="254">
        <f>+P44-R44</f>
        <v>-18321.676810999983</v>
      </c>
      <c r="T44" s="250">
        <f>+T41+T43</f>
        <v>-2118.911898400369</v>
      </c>
      <c r="U44" s="251">
        <f>+U41+U43</f>
        <v>-2929.365735995872</v>
      </c>
      <c r="V44" s="252">
        <f>+U44-T44</f>
        <v>-810.45383759550305</v>
      </c>
      <c r="W44" s="253">
        <f>+W41+W43</f>
        <v>-3209.3434610055715</v>
      </c>
      <c r="X44" s="254">
        <f>+U44-W44</f>
        <v>279.9777250096995</v>
      </c>
      <c r="Y44" s="620"/>
      <c r="Z44" s="662"/>
      <c r="AA44" s="662"/>
      <c r="AB44" s="662"/>
      <c r="AC44" s="662"/>
      <c r="AD44" s="662"/>
      <c r="AE44" s="662"/>
      <c r="AF44" s="662"/>
      <c r="AG44" s="622"/>
      <c r="AH44" s="23"/>
      <c r="AJ44" s="455"/>
      <c r="AK44" s="457"/>
      <c r="AO44" s="455"/>
    </row>
    <row r="45" spans="2:43" s="1" customFormat="1" ht="22.5" customHeight="1" x14ac:dyDescent="0.3">
      <c r="K45" s="452"/>
      <c r="L45" s="452"/>
      <c r="M45" s="452"/>
      <c r="AH45" s="23"/>
      <c r="AJ45" s="455"/>
      <c r="AK45" s="457"/>
      <c r="AO45" s="455"/>
    </row>
    <row r="46" spans="2:43" s="28" customFormat="1" x14ac:dyDescent="0.3">
      <c r="G46" s="306"/>
      <c r="P46" s="266"/>
      <c r="R46" s="266"/>
      <c r="T46" s="266"/>
      <c r="U46" s="266"/>
      <c r="AC46" s="29"/>
      <c r="AF46" s="29"/>
      <c r="AJ46" s="456"/>
      <c r="AK46" s="457"/>
    </row>
    <row r="47" spans="2:43" s="28" customFormat="1" ht="17.25" thickBot="1" x14ac:dyDescent="0.35">
      <c r="G47" s="310"/>
      <c r="AC47" s="29"/>
      <c r="AF47" s="29"/>
      <c r="AJ47" s="456"/>
    </row>
    <row r="48" spans="2:43" s="28" customFormat="1" x14ac:dyDescent="0.3">
      <c r="F48" s="266">
        <f>+K43/M43</f>
        <v>0.40552614127513548</v>
      </c>
      <c r="G48" s="306">
        <f>+K43/J43</f>
        <v>0.59056331914893612</v>
      </c>
      <c r="I48" s="691" t="s">
        <v>81</v>
      </c>
      <c r="J48" s="115">
        <f>+'[1]3월누계'!$Z$7/1000</f>
        <v>624.49980000000005</v>
      </c>
      <c r="K48" s="116">
        <f>+'[2]3월누계'!$AI$7/1000</f>
        <v>584.40650000000005</v>
      </c>
      <c r="L48" s="116"/>
      <c r="M48" s="116">
        <f>+'[3]3월누계'!$Z$7/1000</f>
        <v>654.58550000000002</v>
      </c>
      <c r="N48" s="116"/>
      <c r="O48" s="116">
        <f>+'[1]3월누계'!$E$8/1000</f>
        <v>89924.036016367871</v>
      </c>
      <c r="P48" s="116">
        <f>+'[2]3월누계'!$F$8/1000</f>
        <v>78897.556903000019</v>
      </c>
      <c r="Q48" s="116"/>
      <c r="R48" s="116">
        <f>+'[3]3월누계'!$F$8/1000</f>
        <v>97219.233713999987</v>
      </c>
      <c r="S48" s="116"/>
      <c r="T48" s="121">
        <f>+'[1]3월누계'!$E$26/1000</f>
        <v>-2118.9118984003831</v>
      </c>
      <c r="U48" s="116">
        <f>+'[2]3월누계'!$F$26/1000</f>
        <v>-2929.3657359958729</v>
      </c>
      <c r="V48" s="116"/>
      <c r="W48" s="116">
        <f>+'[3]3월누계'!$F$26/1000</f>
        <v>-3209.3434610055715</v>
      </c>
      <c r="X48" s="117"/>
      <c r="AC48" s="29"/>
      <c r="AF48" s="29"/>
      <c r="AJ48" s="456"/>
    </row>
    <row r="49" spans="6:36" s="28" customFormat="1" ht="17.25" thickBot="1" x14ac:dyDescent="0.35">
      <c r="F49" s="266">
        <f>+K31/M31</f>
        <v>1.0587216248506572</v>
      </c>
      <c r="G49" s="306">
        <f>+K31/J31</f>
        <v>0.87558764984137383</v>
      </c>
      <c r="I49" s="691"/>
      <c r="J49" s="120">
        <f>+J48-J27</f>
        <v>0</v>
      </c>
      <c r="K49" s="118">
        <f>+K48-K27</f>
        <v>0</v>
      </c>
      <c r="L49" s="118"/>
      <c r="M49" s="118">
        <f>+M48-M27</f>
        <v>0</v>
      </c>
      <c r="N49" s="118"/>
      <c r="O49" s="122">
        <f>+O48-O44</f>
        <v>0</v>
      </c>
      <c r="P49" s="122">
        <f>+P48-P44</f>
        <v>0</v>
      </c>
      <c r="Q49" s="118"/>
      <c r="R49" s="122">
        <f>+R48-R44</f>
        <v>0</v>
      </c>
      <c r="S49" s="118"/>
      <c r="T49" s="122">
        <f>+T48-T44</f>
        <v>-1.4097167877480388E-11</v>
      </c>
      <c r="U49" s="122">
        <f>+U48-U44</f>
        <v>0</v>
      </c>
      <c r="V49" s="118"/>
      <c r="W49" s="118">
        <f>+W48-W44</f>
        <v>0</v>
      </c>
      <c r="X49" s="119"/>
      <c r="AC49" s="29"/>
      <c r="AF49" s="29"/>
      <c r="AG49" s="28" t="s">
        <v>82</v>
      </c>
      <c r="AJ49" s="456"/>
    </row>
    <row r="50" spans="6:36" x14ac:dyDescent="0.3">
      <c r="T50" s="265"/>
      <c r="U50" s="265"/>
      <c r="V50" s="265"/>
    </row>
    <row r="51" spans="6:36" x14ac:dyDescent="0.3">
      <c r="O51" s="460">
        <f>+O41-O43</f>
        <v>44749.897412367864</v>
      </c>
      <c r="P51" s="460">
        <f>+P41-P43</f>
        <v>50908.793409000013</v>
      </c>
      <c r="Q51" s="460">
        <f>+P51-O51</f>
        <v>6158.895996632149</v>
      </c>
      <c r="T51" s="265"/>
      <c r="U51" s="265"/>
      <c r="V51" s="265"/>
      <c r="AC51" s="29"/>
      <c r="AD51" s="28"/>
      <c r="AE51" s="28"/>
      <c r="AF51" s="29"/>
    </row>
    <row r="52" spans="6:36" x14ac:dyDescent="0.3">
      <c r="O52" s="460">
        <f>+O51/100</f>
        <v>447.49897412367864</v>
      </c>
      <c r="P52" s="460">
        <f>+P51/100</f>
        <v>509.08793409000015</v>
      </c>
      <c r="Q52" s="460">
        <f>+P52-O52</f>
        <v>61.588959966321511</v>
      </c>
      <c r="S52" t="s">
        <v>40</v>
      </c>
      <c r="T52" s="212">
        <f>(+T27+T34)/100</f>
        <v>-22.605781866235397</v>
      </c>
      <c r="U52" s="212">
        <f>(+U27+U34)/100</f>
        <v>-32.270322660154243</v>
      </c>
      <c r="V52" s="212">
        <f>+U52-T52</f>
        <v>-9.6645407939188459</v>
      </c>
      <c r="W52" s="211">
        <f>+U52/T52-1</f>
        <v>0.42752517259109113</v>
      </c>
      <c r="AC52" s="29"/>
      <c r="AD52" s="28"/>
      <c r="AE52" s="28"/>
      <c r="AF52" s="29"/>
      <c r="AJ52" s="460"/>
    </row>
    <row r="53" spans="6:36" x14ac:dyDescent="0.3">
      <c r="Q53" s="211">
        <f>+P52/O52</f>
        <v>1.1376292763283513</v>
      </c>
      <c r="S53" t="s">
        <v>1</v>
      </c>
      <c r="T53" s="4">
        <f>+T31/100</f>
        <v>-2.5525463154784096</v>
      </c>
      <c r="U53" s="4">
        <f>+U31/100</f>
        <v>-4.3206433798046069</v>
      </c>
      <c r="V53" s="212">
        <f>+U53-T53</f>
        <v>-1.7680970643261973</v>
      </c>
      <c r="AC53" s="29"/>
      <c r="AD53" s="28"/>
      <c r="AE53" s="28"/>
      <c r="AF53" s="29"/>
    </row>
    <row r="54" spans="6:36" x14ac:dyDescent="0.3">
      <c r="S54" t="s">
        <v>44</v>
      </c>
      <c r="T54" s="4">
        <f>(T32+T33)/100</f>
        <v>3.0924476299999997</v>
      </c>
      <c r="U54" s="4">
        <f>(U32+U33)/100</f>
        <v>2.7146356600000003</v>
      </c>
      <c r="V54" s="265">
        <f>+U54-T54</f>
        <v>-0.37781196999999933</v>
      </c>
      <c r="AC54" s="29"/>
      <c r="AD54" s="28"/>
      <c r="AE54" s="28"/>
      <c r="AF54" s="29"/>
      <c r="AJ54" s="460"/>
    </row>
    <row r="55" spans="6:36" x14ac:dyDescent="0.3">
      <c r="S55" s="212" t="s">
        <v>4</v>
      </c>
      <c r="T55" s="212">
        <f>((T48-T43)/100)-T52-T53-T54</f>
        <v>1.7310366799999199</v>
      </c>
      <c r="U55" s="212">
        <f>((U48-U43)/100)-U52-U53-U54</f>
        <v>5.770209240000133</v>
      </c>
      <c r="V55" s="212">
        <f>+U55-T55</f>
        <v>4.0391725600002131</v>
      </c>
      <c r="AC55" s="29"/>
      <c r="AD55" s="28"/>
      <c r="AE55" s="28"/>
      <c r="AF55" s="29"/>
      <c r="AJ55" s="460"/>
    </row>
    <row r="56" spans="6:36" x14ac:dyDescent="0.3"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>
        <f>SUM(T54:T55)</f>
        <v>4.8234843099999196</v>
      </c>
      <c r="U56" s="212">
        <f>SUM(U54:U55)</f>
        <v>8.4848449000001338</v>
      </c>
      <c r="V56" s="212">
        <f>SUM(V54:V55)</f>
        <v>3.6613605900002137</v>
      </c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J56" s="460"/>
    </row>
    <row r="57" spans="6:36" x14ac:dyDescent="0.3"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>
        <f>SUM(T52:T55)</f>
        <v>-20.334843871713886</v>
      </c>
      <c r="U57" s="212">
        <f>SUM(U52:U55)</f>
        <v>-28.106121139958717</v>
      </c>
      <c r="V57" s="212">
        <f>+U57-T57</f>
        <v>-7.7712772682448303</v>
      </c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J57" s="460"/>
    </row>
    <row r="58" spans="6:36" x14ac:dyDescent="0.3">
      <c r="J58" s="212"/>
      <c r="K58" s="212"/>
      <c r="L58" s="212"/>
      <c r="M58" s="212"/>
      <c r="N58" s="212"/>
      <c r="O58" s="212"/>
      <c r="P58" s="212"/>
      <c r="Q58" s="212"/>
      <c r="R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J58" s="460"/>
    </row>
    <row r="59" spans="6:36" x14ac:dyDescent="0.3"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6:36" x14ac:dyDescent="0.3">
      <c r="J60" s="212"/>
      <c r="K60" s="212"/>
      <c r="L60" s="212"/>
      <c r="M60" s="212"/>
      <c r="N60" s="212"/>
      <c r="O60" s="212"/>
      <c r="P60" s="212"/>
      <c r="Q60" s="212"/>
      <c r="R60" s="212"/>
      <c r="S60" s="212" t="s">
        <v>44</v>
      </c>
      <c r="T60" s="265">
        <f>+(T32+T33)/100</f>
        <v>3.0924476299999997</v>
      </c>
      <c r="U60" s="265">
        <f>+(U32+U33)/100</f>
        <v>2.7146356600000003</v>
      </c>
      <c r="V60" s="212">
        <f>+U60-T60</f>
        <v>-0.37781196999999933</v>
      </c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J60" s="460"/>
    </row>
    <row r="61" spans="6:36" x14ac:dyDescent="0.3">
      <c r="J61" s="212"/>
      <c r="K61" s="212"/>
      <c r="L61" s="212"/>
      <c r="M61" s="212"/>
      <c r="N61" s="212"/>
      <c r="O61" s="212"/>
      <c r="P61" s="212"/>
      <c r="Q61" s="212"/>
      <c r="R61" s="212"/>
      <c r="S61" s="212" t="str">
        <f>+I35</f>
        <v>OPC 소급분</v>
      </c>
      <c r="T61" s="212">
        <f t="shared" ref="T61:U63" si="12">+T35/100</f>
        <v>3.6</v>
      </c>
      <c r="U61" s="212">
        <f t="shared" si="12"/>
        <v>5.336483499999999</v>
      </c>
      <c r="V61" s="212">
        <f>+U61-T61</f>
        <v>1.736483499999999</v>
      </c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J61" s="460"/>
    </row>
    <row r="62" spans="6:36" x14ac:dyDescent="0.3">
      <c r="S62" s="212" t="str">
        <f>+I36</f>
        <v>대손</v>
      </c>
      <c r="T62" s="212">
        <f t="shared" si="12"/>
        <v>0</v>
      </c>
      <c r="U62" s="212">
        <f t="shared" si="12"/>
        <v>1.8444025500000001</v>
      </c>
      <c r="V62" s="212">
        <f>+U62-T62</f>
        <v>1.8444025500000001</v>
      </c>
      <c r="AC62" s="212"/>
      <c r="AD62" s="212"/>
      <c r="AE62" s="212"/>
      <c r="AF62" s="212"/>
      <c r="AJ62" s="460"/>
    </row>
    <row r="63" spans="6:36" x14ac:dyDescent="0.3">
      <c r="S63" s="212" t="str">
        <f>+I37</f>
        <v>미운영 공장</v>
      </c>
      <c r="T63" s="212">
        <f t="shared" si="12"/>
        <v>-0.37919465999999991</v>
      </c>
      <c r="U63" s="212">
        <f t="shared" si="12"/>
        <v>-0.69589257999999998</v>
      </c>
      <c r="V63" s="212">
        <f>+U63-T63</f>
        <v>-0.31669792000000008</v>
      </c>
      <c r="AC63" s="212"/>
      <c r="AD63" s="212"/>
      <c r="AE63" s="212"/>
      <c r="AJ63" s="460"/>
    </row>
    <row r="64" spans="6:36" x14ac:dyDescent="0.3">
      <c r="S64" s="212" t="str">
        <f>+I39</f>
        <v>기타</v>
      </c>
      <c r="T64" s="212">
        <f>+T39/100</f>
        <v>-1.489768659999944</v>
      </c>
      <c r="U64" s="212">
        <f>+U39/100</f>
        <v>-0.7147842299998598</v>
      </c>
      <c r="V64" s="212">
        <f>+U64-T64</f>
        <v>0.77498443000008421</v>
      </c>
      <c r="AC64" s="212"/>
      <c r="AD64" s="212"/>
      <c r="AE64" s="212"/>
    </row>
    <row r="65" spans="20:31" x14ac:dyDescent="0.3">
      <c r="T65" s="4">
        <f>SUM(T60:T64)</f>
        <v>4.8234843100000564</v>
      </c>
      <c r="U65" s="4">
        <f>SUM(U60:U64)</f>
        <v>8.4848449000001391</v>
      </c>
      <c r="V65" s="4">
        <f>SUM(V60:V64)</f>
        <v>3.6613605900000836</v>
      </c>
      <c r="AC65" s="212"/>
      <c r="AE65" s="212"/>
    </row>
    <row r="66" spans="20:31" x14ac:dyDescent="0.3">
      <c r="AC66" s="212"/>
      <c r="AE66" s="212"/>
    </row>
    <row r="67" spans="20:31" x14ac:dyDescent="0.3">
      <c r="AC67" s="212"/>
      <c r="AE67" s="212"/>
    </row>
    <row r="68" spans="20:31" x14ac:dyDescent="0.3">
      <c r="T68" s="4">
        <f>SUM(T32:T33,T35,T37:T39)</f>
        <v>482.34843100000558</v>
      </c>
      <c r="U68" s="4">
        <f>SUM(U32:U33,U35,U37:U39)</f>
        <v>664.04423500001394</v>
      </c>
      <c r="V68" s="4">
        <f>+U68-T68</f>
        <v>181.69580400000837</v>
      </c>
      <c r="AC68" s="212"/>
      <c r="AE68" s="212"/>
    </row>
    <row r="69" spans="20:31" x14ac:dyDescent="0.3">
      <c r="AC69" s="212"/>
      <c r="AE69" s="212"/>
    </row>
    <row r="70" spans="20:31" x14ac:dyDescent="0.3">
      <c r="T70" s="460">
        <f>+T41-T43</f>
        <v>-1948.0568759423807</v>
      </c>
      <c r="U70" s="460">
        <f>+U41-U43</f>
        <v>-2691.8584919958698</v>
      </c>
      <c r="V70" s="460"/>
      <c r="AC70" s="212"/>
      <c r="AE70" s="212"/>
    </row>
    <row r="71" spans="20:31" x14ac:dyDescent="0.3">
      <c r="T71" s="460">
        <f>+T70/100</f>
        <v>-19.480568759423807</v>
      </c>
      <c r="U71" s="460">
        <f>+U70/100</f>
        <v>-26.918584919958697</v>
      </c>
      <c r="V71" s="460">
        <f>+U71-T71</f>
        <v>-7.4380161605348896</v>
      </c>
      <c r="AC71" s="212"/>
      <c r="AE71" s="212"/>
    </row>
    <row r="72" spans="20:31" x14ac:dyDescent="0.3">
      <c r="AC72" s="212"/>
      <c r="AE72" s="212"/>
    </row>
    <row r="73" spans="20:31" x14ac:dyDescent="0.3">
      <c r="AC73" s="212"/>
      <c r="AE73" s="212"/>
    </row>
    <row r="74" spans="20:31" x14ac:dyDescent="0.3">
      <c r="AC74" s="212"/>
      <c r="AE74" s="212"/>
    </row>
    <row r="75" spans="20:31" x14ac:dyDescent="0.3">
      <c r="AC75" s="212"/>
      <c r="AE75" s="212"/>
    </row>
    <row r="76" spans="20:31" x14ac:dyDescent="0.3">
      <c r="AC76" s="212"/>
      <c r="AE76" s="212"/>
    </row>
    <row r="77" spans="20:31" x14ac:dyDescent="0.3">
      <c r="AC77" s="212"/>
      <c r="AE77" s="212"/>
    </row>
    <row r="78" spans="20:31" x14ac:dyDescent="0.3">
      <c r="AC78" s="212"/>
      <c r="AE78" s="212"/>
    </row>
    <row r="79" spans="20:31" x14ac:dyDescent="0.3">
      <c r="AC79" s="212"/>
      <c r="AE79" s="212"/>
    </row>
    <row r="80" spans="20:31" x14ac:dyDescent="0.3">
      <c r="AC80" s="212"/>
    </row>
  </sheetData>
  <mergeCells count="2">
    <mergeCell ref="H5:I6"/>
    <mergeCell ref="I48:I49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D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M17" sqref="M17"/>
      <selection pane="topRight" activeCell="M17" sqref="M17"/>
      <selection pane="bottomLeft" activeCell="M17" sqref="M17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7" width="9.625" style="4" customWidth="1"/>
    <col min="8" max="10" width="8.625" style="4" customWidth="1"/>
    <col min="11" max="23" width="9.625" style="4" customWidth="1"/>
    <col min="24" max="16384" width="9" style="4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368" t="s">
        <v>212</v>
      </c>
      <c r="F4" s="368"/>
      <c r="I4" s="368"/>
      <c r="J4" s="368"/>
    </row>
    <row r="5" spans="4:26" ht="21.95" customHeight="1" x14ac:dyDescent="0.3">
      <c r="W5" s="367" t="s">
        <v>135</v>
      </c>
    </row>
    <row r="6" spans="4:26" ht="24" customHeight="1" thickBot="1" x14ac:dyDescent="0.35">
      <c r="D6" s="692" t="s">
        <v>11</v>
      </c>
      <c r="E6" s="366" t="s">
        <v>134</v>
      </c>
      <c r="F6" s="365"/>
      <c r="G6" s="364"/>
      <c r="H6" s="366" t="s">
        <v>133</v>
      </c>
      <c r="I6" s="365"/>
      <c r="J6" s="365"/>
      <c r="K6" s="364"/>
      <c r="L6" s="366" t="s">
        <v>132</v>
      </c>
      <c r="M6" s="365"/>
      <c r="N6" s="365"/>
      <c r="O6" s="364"/>
      <c r="P6" s="366" t="s">
        <v>131</v>
      </c>
      <c r="Q6" s="365"/>
      <c r="R6" s="365"/>
      <c r="S6" s="364"/>
      <c r="T6" s="366" t="s">
        <v>130</v>
      </c>
      <c r="U6" s="365"/>
      <c r="V6" s="365"/>
      <c r="W6" s="364"/>
    </row>
    <row r="7" spans="4:26" ht="24" customHeight="1" x14ac:dyDescent="0.3">
      <c r="D7" s="693"/>
      <c r="E7" s="362" t="s">
        <v>36</v>
      </c>
      <c r="F7" s="361" t="s">
        <v>37</v>
      </c>
      <c r="G7" s="363" t="s">
        <v>38</v>
      </c>
      <c r="H7" s="362" t="s">
        <v>12</v>
      </c>
      <c r="I7" s="361" t="s">
        <v>13</v>
      </c>
      <c r="J7" s="360" t="s">
        <v>38</v>
      </c>
      <c r="K7" s="359" t="s">
        <v>129</v>
      </c>
      <c r="L7" s="362" t="s">
        <v>12</v>
      </c>
      <c r="M7" s="361" t="s">
        <v>13</v>
      </c>
      <c r="N7" s="360" t="s">
        <v>38</v>
      </c>
      <c r="O7" s="359" t="s">
        <v>129</v>
      </c>
      <c r="P7" s="362" t="s">
        <v>12</v>
      </c>
      <c r="Q7" s="361" t="s">
        <v>13</v>
      </c>
      <c r="R7" s="360" t="s">
        <v>38</v>
      </c>
      <c r="S7" s="359" t="s">
        <v>129</v>
      </c>
      <c r="T7" s="362" t="s">
        <v>12</v>
      </c>
      <c r="U7" s="361" t="s">
        <v>13</v>
      </c>
      <c r="V7" s="360" t="s">
        <v>38</v>
      </c>
      <c r="W7" s="359" t="s">
        <v>129</v>
      </c>
    </row>
    <row r="8" spans="4:26" ht="24" customHeight="1" x14ac:dyDescent="0.3">
      <c r="D8" s="358" t="s">
        <v>32</v>
      </c>
      <c r="E8" s="356">
        <f>+[4]합계!$H$86/1000</f>
        <v>2067.1801263929924</v>
      </c>
      <c r="F8" s="355">
        <f>+[4]합계!$I$86/1000</f>
        <v>1414.4557900000093</v>
      </c>
      <c r="G8" s="354">
        <f t="shared" ref="G8:G28" si="0">+F8-E8</f>
        <v>-652.7243363929831</v>
      </c>
      <c r="H8" s="356">
        <f>+[4]합계!$T$5/1000</f>
        <v>258.5</v>
      </c>
      <c r="I8" s="355">
        <f>+[4]합계!$U$5/1000</f>
        <v>238.27699999999999</v>
      </c>
      <c r="J8" s="354">
        <f t="shared" ref="J8:J28" si="1">+I8-H8</f>
        <v>-20.223000000000013</v>
      </c>
      <c r="K8" s="357">
        <f>+[4]합계!$M$86/1000</f>
        <v>-248.28018461445882</v>
      </c>
      <c r="L8" s="356">
        <f>+[4]합계!$Q$85</f>
        <v>102249.90009937297</v>
      </c>
      <c r="M8" s="355">
        <f>+[4]합계!$R$85</f>
        <v>102799.58381374026</v>
      </c>
      <c r="N8" s="354">
        <f t="shared" ref="N8:N28" si="2">+M8-L8</f>
        <v>549.68371436728921</v>
      </c>
      <c r="O8" s="357">
        <f>+[4]합계!$K$86/1000</f>
        <v>130.67768362582157</v>
      </c>
      <c r="P8" s="356">
        <f>+[4]합계!$Q$50</f>
        <v>90234.889500386154</v>
      </c>
      <c r="Q8" s="355">
        <f>+[4]합계!$R$50</f>
        <v>92550.65598354848</v>
      </c>
      <c r="R8" s="354">
        <f t="shared" ref="R8:R28" si="3">+Q8-P8</f>
        <v>2315.766483162326</v>
      </c>
      <c r="S8" s="357">
        <f>+[4]합계!$L$56/1000</f>
        <v>-413.54589107944679</v>
      </c>
      <c r="T8" s="356">
        <f>+([4]합계!$H$80+[4]합계!$H$85)/1000</f>
        <v>1038.7001134451011</v>
      </c>
      <c r="U8" s="355">
        <f>+([4]합계!$I$80+[4]합계!$I$85)/1000</f>
        <v>1160.2760577699999</v>
      </c>
      <c r="V8" s="354">
        <f t="shared" ref="V8:V28" si="4">+U8-T8</f>
        <v>121.57594432489873</v>
      </c>
      <c r="W8" s="353">
        <f>+([4]합계!$L$80+[4]합계!$L$85)/1000</f>
        <v>-121.5759443248987</v>
      </c>
      <c r="Y8" s="4">
        <f t="shared" ref="Y8:Y28" si="5">+G8-K8-O8-S8-W8</f>
        <v>-4.2632564145606011E-13</v>
      </c>
      <c r="Z8" s="4">
        <f t="shared" ref="Z8:Z28" si="6">+Y8*1000000</f>
        <v>-4.2632564145606011E-7</v>
      </c>
    </row>
    <row r="9" spans="4:26" ht="24" customHeight="1" x14ac:dyDescent="0.3">
      <c r="D9" s="352" t="s">
        <v>16</v>
      </c>
      <c r="E9" s="351">
        <f>+[4]수도권!$H$86/1000</f>
        <v>693.4933772496388</v>
      </c>
      <c r="F9" s="350">
        <f>+[4]수도권!$I$86/1000</f>
        <v>358.4109840000001</v>
      </c>
      <c r="G9" s="349">
        <f t="shared" si="0"/>
        <v>-335.0823932496387</v>
      </c>
      <c r="H9" s="351">
        <f>+[4]수도권!$T$5/1000</f>
        <v>102</v>
      </c>
      <c r="I9" s="350">
        <f>+[4]수도권!$U$5/1000</f>
        <v>99.251000000000005</v>
      </c>
      <c r="J9" s="349">
        <f t="shared" si="1"/>
        <v>-2.7489999999999952</v>
      </c>
      <c r="K9" s="348">
        <f>+[4]수도권!$M$86/1000</f>
        <v>-32.247287572500674</v>
      </c>
      <c r="L9" s="351">
        <f>+[4]수도권!$Q$85</f>
        <v>100185.21521878584</v>
      </c>
      <c r="M9" s="350">
        <f>+[4]수도권!$R$85</f>
        <v>98854.893882140779</v>
      </c>
      <c r="N9" s="349">
        <f t="shared" si="2"/>
        <v>-1330.3213366450655</v>
      </c>
      <c r="O9" s="348">
        <f>+[4]수도권!$K$86/1000</f>
        <v>-131.31734946157104</v>
      </c>
      <c r="P9" s="351">
        <f>+[4]수도권!$Q$50</f>
        <v>90006.837118299183</v>
      </c>
      <c r="Q9" s="350">
        <f>+[4]수도권!$R$50</f>
        <v>91972.33976865263</v>
      </c>
      <c r="R9" s="349">
        <f t="shared" si="3"/>
        <v>1965.5026503534464</v>
      </c>
      <c r="S9" s="348">
        <f>+[4]수도권!$L$56/1000</f>
        <v>-193.99232958556871</v>
      </c>
      <c r="T9" s="351">
        <f>+([4]수도권!$H$80+[4]수도권!$H$85)/1000</f>
        <v>344.701189</v>
      </c>
      <c r="U9" s="350">
        <f>+([4]수도권!$I$80+[4]수도권!$I$85)/1000</f>
        <v>322.22661562999997</v>
      </c>
      <c r="V9" s="349">
        <f t="shared" si="4"/>
        <v>-22.47457337000003</v>
      </c>
      <c r="W9" s="348">
        <f>+([4]수도권!$L$80+[4]수도권!$L$85)/1000</f>
        <v>22.474573370000048</v>
      </c>
      <c r="Y9" s="4">
        <f t="shared" si="5"/>
        <v>1.6875389974302379E-12</v>
      </c>
      <c r="Z9" s="4">
        <f t="shared" si="6"/>
        <v>1.6875389974302379E-6</v>
      </c>
    </row>
    <row r="10" spans="4:26" ht="24" customHeight="1" x14ac:dyDescent="0.3">
      <c r="D10" s="347" t="s">
        <v>17</v>
      </c>
      <c r="E10" s="346">
        <f>+[4]영남권!$H$86/1000</f>
        <v>1023.7330514327407</v>
      </c>
      <c r="F10" s="345">
        <f>+[4]영남권!$I$86/1000</f>
        <v>643.64260200000183</v>
      </c>
      <c r="G10" s="344">
        <f t="shared" si="0"/>
        <v>-380.09044943273886</v>
      </c>
      <c r="H10" s="346">
        <f>+[4]영남권!$T$5/1000</f>
        <v>110</v>
      </c>
      <c r="I10" s="345">
        <f>+[4]영남권!$U$5/1000</f>
        <v>90.495000000000005</v>
      </c>
      <c r="J10" s="344">
        <f t="shared" si="1"/>
        <v>-19.504999999999995</v>
      </c>
      <c r="K10" s="343">
        <f>+[4]영남권!$M$86/1000</f>
        <v>-268.03555360050035</v>
      </c>
      <c r="L10" s="346">
        <f>+[4]영남권!$Q$85</f>
        <v>103621.40963537958</v>
      </c>
      <c r="M10" s="345">
        <f>+[4]영남권!$R$85</f>
        <v>106535.27852367536</v>
      </c>
      <c r="N10" s="344">
        <f t="shared" si="2"/>
        <v>2913.8688882957795</v>
      </c>
      <c r="O10" s="343">
        <f>+[4]영남권!$K$86/1000</f>
        <v>263.69056504632658</v>
      </c>
      <c r="P10" s="346">
        <f>+[4]영남권!$Q$50</f>
        <v>89879.52019162153</v>
      </c>
      <c r="Q10" s="345">
        <f>+[4]영남권!$R$50</f>
        <v>93974.292778311748</v>
      </c>
      <c r="R10" s="344">
        <f t="shared" si="3"/>
        <v>4094.7725866902183</v>
      </c>
      <c r="S10" s="343">
        <f>+[4]영남권!$L$56/1000</f>
        <v>-233.57902331920724</v>
      </c>
      <c r="T10" s="346">
        <f>+([4]영남권!$H$80+[4]영남권!$H$85)/1000</f>
        <v>487.87478738064249</v>
      </c>
      <c r="U10" s="345">
        <f>+([4]영남권!$I$80+[4]영남권!$I$85)/1000</f>
        <v>630.04122494000001</v>
      </c>
      <c r="V10" s="344">
        <f t="shared" si="4"/>
        <v>142.16643755935752</v>
      </c>
      <c r="W10" s="343">
        <f>+([4]영남권!$L$80+[4]영남권!$L$85)/1000</f>
        <v>-142.16643755935749</v>
      </c>
      <c r="Y10" s="4">
        <f t="shared" si="5"/>
        <v>-3.694822225952521E-13</v>
      </c>
      <c r="Z10" s="4">
        <f t="shared" si="6"/>
        <v>-3.694822225952521E-7</v>
      </c>
    </row>
    <row r="11" spans="4:26" ht="24" customHeight="1" x14ac:dyDescent="0.3">
      <c r="D11" s="342" t="s">
        <v>128</v>
      </c>
      <c r="E11" s="341">
        <f>+[4]중부권!$H$86/1000</f>
        <v>349.95369771060376</v>
      </c>
      <c r="F11" s="340">
        <f>+[4]중부권!$I$86/1000</f>
        <v>412.40220400000072</v>
      </c>
      <c r="G11" s="339">
        <f t="shared" si="0"/>
        <v>62.44850628939696</v>
      </c>
      <c r="H11" s="341">
        <f>+[4]중부권!$T$5/1000</f>
        <v>46.5</v>
      </c>
      <c r="I11" s="340">
        <f>+[4]중부권!$U$5/1000</f>
        <v>48.530999999999999</v>
      </c>
      <c r="J11" s="339">
        <f t="shared" si="1"/>
        <v>2.0309999999999988</v>
      </c>
      <c r="K11" s="338">
        <f>+[4]중부권!$M$86/1000</f>
        <v>24.246380799390607</v>
      </c>
      <c r="L11" s="341">
        <f>+[4]중부권!$Q$85</f>
        <v>103534.45512860215</v>
      </c>
      <c r="M11" s="340">
        <f>+[4]중부권!$R$85</f>
        <v>103857.20377525681</v>
      </c>
      <c r="N11" s="339">
        <f t="shared" si="2"/>
        <v>322.74864665466885</v>
      </c>
      <c r="O11" s="338">
        <f>+[4]중부권!$K$86/1000</f>
        <v>15.661862201887789</v>
      </c>
      <c r="P11" s="341">
        <f>+[4]중부권!$Q$50</f>
        <v>91575.792015159939</v>
      </c>
      <c r="Q11" s="340">
        <f>+[4]중부권!$R$50</f>
        <v>91072.191226606534</v>
      </c>
      <c r="R11" s="339">
        <f t="shared" si="3"/>
        <v>-503.60078855340544</v>
      </c>
      <c r="S11" s="338">
        <f>+[4]중부권!$L$56/1000</f>
        <v>24.424343423659678</v>
      </c>
      <c r="T11" s="341">
        <f>+([4]중부권!$H$80+[4]중부권!$H$85)/1000</f>
        <v>206.12413706445852</v>
      </c>
      <c r="U11" s="340">
        <f>+([4]중부권!$I$80+[4]중부권!$I$85)/1000</f>
        <v>208.00821719999996</v>
      </c>
      <c r="V11" s="339">
        <f t="shared" si="4"/>
        <v>1.8840801355414385</v>
      </c>
      <c r="W11" s="338">
        <f>+([4]중부권!$L$80+[4]중부권!$L$85)/1000</f>
        <v>-1.8840801355414751</v>
      </c>
      <c r="Y11" s="4">
        <f t="shared" si="5"/>
        <v>3.5993430458347575E-13</v>
      </c>
      <c r="Z11" s="4">
        <f t="shared" si="6"/>
        <v>3.5993430458347575E-7</v>
      </c>
    </row>
    <row r="12" spans="4:26" ht="24" customHeight="1" x14ac:dyDescent="0.3">
      <c r="D12" s="337" t="s">
        <v>18</v>
      </c>
      <c r="E12" s="335">
        <f>+[4]안양!$H$86/1000</f>
        <v>399.94343519167501</v>
      </c>
      <c r="F12" s="334">
        <f>+[4]안양!$I$86/1000</f>
        <v>386.86275700000039</v>
      </c>
      <c r="G12" s="336">
        <f t="shared" si="0"/>
        <v>-13.080678191674622</v>
      </c>
      <c r="H12" s="335">
        <f>+[4]안양!$T$5/1000</f>
        <v>39</v>
      </c>
      <c r="I12" s="334">
        <f>+[4]안양!$U$5/1000</f>
        <v>42.206000000000003</v>
      </c>
      <c r="J12" s="333">
        <f t="shared" si="1"/>
        <v>3.2060000000000031</v>
      </c>
      <c r="K12" s="332">
        <f>+[4]안양!$M$86/1000</f>
        <v>40.981760732172638</v>
      </c>
      <c r="L12" s="335">
        <f>+[4]안양!$Q$85</f>
        <v>98249.207179487188</v>
      </c>
      <c r="M12" s="334">
        <f>+[4]안양!$R$85</f>
        <v>99500.254087096633</v>
      </c>
      <c r="N12" s="333">
        <f t="shared" si="2"/>
        <v>1251.046907609445</v>
      </c>
      <c r="O12" s="332">
        <f>+[4]안양!$K$86/1000</f>
        <v>52.801685782564235</v>
      </c>
      <c r="P12" s="335">
        <f>+[4]안양!$Q$50</f>
        <v>85466.374761467014</v>
      </c>
      <c r="Q12" s="334">
        <f>+[4]안양!$R$50</f>
        <v>88032.36496056465</v>
      </c>
      <c r="R12" s="333">
        <f t="shared" si="3"/>
        <v>2565.9901990976359</v>
      </c>
      <c r="S12" s="332">
        <f>+[4]안양!$L$56/1000</f>
        <v>-108.21664663752259</v>
      </c>
      <c r="T12" s="335">
        <f>+([4]안양!$H$80+[4]안양!$H$85)/1000</f>
        <v>98.587029111111093</v>
      </c>
      <c r="U12" s="334">
        <f>+([4]안양!$I$80+[4]안양!$I$85)/1000</f>
        <v>97.234507179999994</v>
      </c>
      <c r="V12" s="333">
        <f t="shared" si="4"/>
        <v>-1.3525219311110988</v>
      </c>
      <c r="W12" s="332">
        <f>+([4]안양!$L$80+[4]안양!$L$85)/1000</f>
        <v>1.3525219311111041</v>
      </c>
      <c r="Y12" s="4">
        <f t="shared" si="5"/>
        <v>-1.9539925233402755E-14</v>
      </c>
      <c r="Z12" s="4">
        <f t="shared" si="6"/>
        <v>-1.9539925233402755E-8</v>
      </c>
    </row>
    <row r="13" spans="4:26" ht="24" customHeight="1" x14ac:dyDescent="0.3">
      <c r="D13" s="324" t="s">
        <v>19</v>
      </c>
      <c r="E13" s="321">
        <f>+[4]인천!$H$86/1000</f>
        <v>233.65111015531531</v>
      </c>
      <c r="F13" s="320">
        <f>+[4]인천!$I$86/1000</f>
        <v>34.480905000000348</v>
      </c>
      <c r="G13" s="322">
        <f t="shared" si="0"/>
        <v>-199.17020515531496</v>
      </c>
      <c r="H13" s="321">
        <f>+[4]인천!$T$5/1000</f>
        <v>35</v>
      </c>
      <c r="I13" s="320">
        <f>+[4]인천!$U$5/1000</f>
        <v>31.686499999999999</v>
      </c>
      <c r="J13" s="139">
        <f t="shared" si="1"/>
        <v>-3.3135000000000012</v>
      </c>
      <c r="K13" s="319">
        <f>+[4]인천!$M$86/1000</f>
        <v>-35.237873324826595</v>
      </c>
      <c r="L13" s="321">
        <f>+[4]인천!$Q$85</f>
        <v>103272.77972903302</v>
      </c>
      <c r="M13" s="320">
        <f>+[4]인천!$R$85</f>
        <v>100098.24132570476</v>
      </c>
      <c r="N13" s="139">
        <f t="shared" si="2"/>
        <v>-3174.5384033282608</v>
      </c>
      <c r="O13" s="319">
        <f>+[4]인천!$K$86/1000</f>
        <v>-99.04083637623674</v>
      </c>
      <c r="P13" s="321">
        <f>+[4]인천!$Q$50</f>
        <v>93696.330610309713</v>
      </c>
      <c r="Q13" s="320">
        <f>+[4]인천!$R$50</f>
        <v>95703.00629837974</v>
      </c>
      <c r="R13" s="139">
        <f t="shared" si="3"/>
        <v>2006.6756880700268</v>
      </c>
      <c r="S13" s="319">
        <f>+[4]인천!$L$56/1000</f>
        <v>-62.605284114251432</v>
      </c>
      <c r="T13" s="321">
        <f>+([4]인천!$H$80+[4]인천!$H$85)/1000</f>
        <v>101.524609</v>
      </c>
      <c r="U13" s="320">
        <f>+([4]인천!$I$80+[4]인천!$I$85)/1000</f>
        <v>103.81082034000001</v>
      </c>
      <c r="V13" s="139">
        <f t="shared" si="4"/>
        <v>2.2862113400000084</v>
      </c>
      <c r="W13" s="319">
        <f>+([4]인천!$L$80+[4]인천!$L$85)/1000</f>
        <v>-2.2862113400000084</v>
      </c>
      <c r="Y13" s="4">
        <f t="shared" si="5"/>
        <v>-1.7053025658242404E-13</v>
      </c>
      <c r="Z13" s="4">
        <f t="shared" si="6"/>
        <v>-1.7053025658242404E-7</v>
      </c>
    </row>
    <row r="14" spans="4:26" ht="24" customHeight="1" x14ac:dyDescent="0.3">
      <c r="D14" s="324" t="s">
        <v>20</v>
      </c>
      <c r="E14" s="321">
        <f>+[4]파주!$H$86/1000</f>
        <v>20.418977350833824</v>
      </c>
      <c r="F14" s="320">
        <f>+[4]파주!$I$86/1000</f>
        <v>-80.522035000000102</v>
      </c>
      <c r="G14" s="322">
        <f t="shared" si="0"/>
        <v>-100.94101235083393</v>
      </c>
      <c r="H14" s="321">
        <f>+[4]파주!$T$5/1000</f>
        <v>15</v>
      </c>
      <c r="I14" s="320">
        <f>+[4]파주!$U$5/1000</f>
        <v>11.21</v>
      </c>
      <c r="J14" s="139">
        <f t="shared" si="1"/>
        <v>-3.7899999999999991</v>
      </c>
      <c r="K14" s="319">
        <f>+[4]파주!$M$86/1000</f>
        <v>-25.731491894866224</v>
      </c>
      <c r="L14" s="321">
        <f>+[4]파주!$Q$85</f>
        <v>98318.230759999991</v>
      </c>
      <c r="M14" s="320">
        <f>+[4]파주!$R$85</f>
        <v>97858.465655664579</v>
      </c>
      <c r="N14" s="139">
        <f t="shared" si="2"/>
        <v>-459.76510433541262</v>
      </c>
      <c r="O14" s="319">
        <f>+[4]파주!$K$86/1000</f>
        <v>-5.1539668195999759</v>
      </c>
      <c r="P14" s="321">
        <f>+[4]파주!$Q$50</f>
        <v>91528.918914388836</v>
      </c>
      <c r="Q14" s="320">
        <f>+[4]파주!$R$50</f>
        <v>99423.891436217644</v>
      </c>
      <c r="R14" s="139">
        <f t="shared" si="3"/>
        <v>7894.9725218288077</v>
      </c>
      <c r="S14" s="319">
        <f>+[4]파주!$L$56/1000</f>
        <v>-88.502642479700924</v>
      </c>
      <c r="T14" s="321">
        <f>+([4]파주!$H$80+[4]파주!$H$85)/1000</f>
        <v>81.420700333333343</v>
      </c>
      <c r="U14" s="320">
        <f>+([4]파주!$I$80+[4]파주!$I$85)/1000</f>
        <v>62.973611489999996</v>
      </c>
      <c r="V14" s="139">
        <f t="shared" si="4"/>
        <v>-18.447088843333347</v>
      </c>
      <c r="W14" s="319">
        <f>+([4]파주!$L$80+[4]파주!$L$85)/1000</f>
        <v>18.44708884333334</v>
      </c>
      <c r="Y14" s="4">
        <f t="shared" si="5"/>
        <v>-1.4921397450962104E-13</v>
      </c>
      <c r="Z14" s="4">
        <f t="shared" si="6"/>
        <v>-1.4921397450962104E-7</v>
      </c>
    </row>
    <row r="15" spans="4:26" ht="24" customHeight="1" x14ac:dyDescent="0.3">
      <c r="D15" s="324" t="s">
        <v>106</v>
      </c>
      <c r="E15" s="321">
        <f>+[4]김포!$H$86/1000</f>
        <v>39.479854551813901</v>
      </c>
      <c r="F15" s="320">
        <f>+[4]김포!$I$86/1000</f>
        <v>17.58935699999989</v>
      </c>
      <c r="G15" s="322">
        <f t="shared" si="0"/>
        <v>-21.890497551814011</v>
      </c>
      <c r="H15" s="321">
        <f>+[4]김포!$T$5/1000</f>
        <v>13</v>
      </c>
      <c r="I15" s="320">
        <f>+[4]김포!$U$5/1000</f>
        <v>14.1485</v>
      </c>
      <c r="J15" s="139">
        <f t="shared" si="1"/>
        <v>1.1485000000000003</v>
      </c>
      <c r="K15" s="319">
        <f>+[4]김포!$M$86/1000</f>
        <v>8.7204234730946926</v>
      </c>
      <c r="L15" s="321">
        <f>+[4]김포!$Q$85</f>
        <v>99834.778492307698</v>
      </c>
      <c r="M15" s="320">
        <f>+[4]김포!$R$85</f>
        <v>94963.24080445501</v>
      </c>
      <c r="N15" s="139">
        <f t="shared" si="2"/>
        <v>-4871.5376878526877</v>
      </c>
      <c r="O15" s="319">
        <f>+[4]김포!$K$86/1000</f>
        <v>-68.671631016815411</v>
      </c>
      <c r="P15" s="321">
        <f>+[4]김포!$Q$50</f>
        <v>91938.724253279259</v>
      </c>
      <c r="Q15" s="331">
        <f>+[4]김포!$R$50</f>
        <v>89590.655127159233</v>
      </c>
      <c r="R15" s="139">
        <f t="shared" si="3"/>
        <v>-2348.0691261200263</v>
      </c>
      <c r="S15" s="319">
        <f>+[4]김포!$L$56/1000</f>
        <v>33.099536056350942</v>
      </c>
      <c r="T15" s="321">
        <f>+([4]김포!$H$80+[4]김포!$H$85)/1000</f>
        <v>63.168850555555558</v>
      </c>
      <c r="U15" s="320">
        <f>+([4]김포!$I$80+[4]김포!$I$85)/1000</f>
        <v>58.207676620000001</v>
      </c>
      <c r="V15" s="139">
        <f t="shared" si="4"/>
        <v>-4.9611739355555571</v>
      </c>
      <c r="W15" s="319">
        <f>+([4]김포!$L$80+[4]김포!$L$85)/1000</f>
        <v>4.9611739355555624</v>
      </c>
      <c r="Y15" s="4">
        <f t="shared" si="5"/>
        <v>2.007283228522283E-13</v>
      </c>
      <c r="Z15" s="4">
        <f t="shared" si="6"/>
        <v>2.007283228522283E-7</v>
      </c>
    </row>
    <row r="16" spans="4:26" ht="24" customHeight="1" x14ac:dyDescent="0.3">
      <c r="D16" s="330" t="s">
        <v>21</v>
      </c>
      <c r="E16" s="328">
        <f>+[4]부산!$H$86/1000</f>
        <v>252.02689735001675</v>
      </c>
      <c r="F16" s="327">
        <f>+[4]부산!$I$86/1000</f>
        <v>323.34981799999991</v>
      </c>
      <c r="G16" s="329">
        <f t="shared" si="0"/>
        <v>71.322920649983161</v>
      </c>
      <c r="H16" s="328">
        <f>+[4]부산!$T$5/1000</f>
        <v>20</v>
      </c>
      <c r="I16" s="327">
        <f>+[4]부산!$U$5/1000</f>
        <v>21.736999999999998</v>
      </c>
      <c r="J16" s="326">
        <f t="shared" si="1"/>
        <v>1.7369999999999983</v>
      </c>
      <c r="K16" s="325">
        <f>+[4]부산!$M$86/1000</f>
        <v>31.288480052798956</v>
      </c>
      <c r="L16" s="328">
        <f>+[4]부산!$Q$85</f>
        <v>111300.95526999999</v>
      </c>
      <c r="M16" s="327">
        <f>+[4]부산!$R$85</f>
        <v>119206.57404425633</v>
      </c>
      <c r="N16" s="326">
        <f t="shared" si="2"/>
        <v>7905.6187742563343</v>
      </c>
      <c r="O16" s="325">
        <f>+[4]부산!$K$86/1000</f>
        <v>171.84443529600995</v>
      </c>
      <c r="P16" s="328">
        <f>+[4]부산!$Q$50</f>
        <v>93288.01338583247</v>
      </c>
      <c r="Q16" s="327">
        <f>+[4]부산!$R$50</f>
        <v>99766.49914938616</v>
      </c>
      <c r="R16" s="326">
        <f t="shared" si="3"/>
        <v>6478.48576355369</v>
      </c>
      <c r="S16" s="325">
        <f>+[4]부산!$L$56/1000</f>
        <v>-68.957707082159232</v>
      </c>
      <c r="T16" s="328">
        <f>+([4]부산!$H$80+[4]부산!$H$85)/1000</f>
        <v>108.23194033333334</v>
      </c>
      <c r="U16" s="327">
        <f>+([4]부산!$I$80+[4]부산!$I$85)/1000</f>
        <v>171.08422795000004</v>
      </c>
      <c r="V16" s="326">
        <f t="shared" si="4"/>
        <v>62.8522876166667</v>
      </c>
      <c r="W16" s="325">
        <f>+([4]부산!$L$80+[4]부산!$L$85)/1000</f>
        <v>-62.852287616666651</v>
      </c>
      <c r="Y16" s="4">
        <f t="shared" si="5"/>
        <v>1.4921397450962104E-13</v>
      </c>
      <c r="Z16" s="4">
        <f t="shared" si="6"/>
        <v>1.4921397450962104E-7</v>
      </c>
    </row>
    <row r="17" spans="4:26" ht="24" customHeight="1" x14ac:dyDescent="0.3">
      <c r="D17" s="324" t="s">
        <v>22</v>
      </c>
      <c r="E17" s="321">
        <f>+[4]서부산!$H$86/1000</f>
        <v>303.00484843381031</v>
      </c>
      <c r="F17" s="320">
        <f>+[4]서부산!$I$86/1000</f>
        <v>209.67642899999996</v>
      </c>
      <c r="G17" s="322">
        <f t="shared" si="0"/>
        <v>-93.328419433810353</v>
      </c>
      <c r="H17" s="321">
        <f>+[4]서부산!$T$5/1000</f>
        <v>20</v>
      </c>
      <c r="I17" s="320">
        <f>+[4]서부산!$U$5/1000</f>
        <v>20.056000000000001</v>
      </c>
      <c r="J17" s="139">
        <f t="shared" si="1"/>
        <v>5.6000000000000938E-2</v>
      </c>
      <c r="K17" s="319">
        <f>+[4]서부산!$M$86/1000</f>
        <v>1.0439741918368919</v>
      </c>
      <c r="L17" s="321">
        <f>+[4]서부산!$Q$85</f>
        <v>104085.97967199997</v>
      </c>
      <c r="M17" s="320">
        <f>+[4]서부산!$R$85</f>
        <v>102473.05544475469</v>
      </c>
      <c r="N17" s="139">
        <f t="shared" si="2"/>
        <v>-1612.924227245283</v>
      </c>
      <c r="O17" s="319">
        <f>+[4]서부산!$K$86/1000</f>
        <v>-32.348808301631394</v>
      </c>
      <c r="P17" s="321">
        <f>+[4]서부산!$Q$50</f>
        <v>85443.583389198335</v>
      </c>
      <c r="Q17" s="320">
        <f>+[4]서부산!$R$50</f>
        <v>88750.280364978054</v>
      </c>
      <c r="R17" s="139">
        <f t="shared" si="3"/>
        <v>3306.6969757797197</v>
      </c>
      <c r="S17" s="319">
        <f>+[4]서부산!$L$56/1000</f>
        <v>-18.227570236238122</v>
      </c>
      <c r="T17" s="321">
        <f>+([4]서부산!$H$80+[4]서부산!$H$85)/1000</f>
        <v>69.84307722222222</v>
      </c>
      <c r="U17" s="320">
        <f>+([4]서부산!$I$80+[4]서부산!$I$85)/1000</f>
        <v>113.63909231000001</v>
      </c>
      <c r="V17" s="139">
        <f t="shared" si="4"/>
        <v>43.796015087777789</v>
      </c>
      <c r="W17" s="319">
        <f>+([4]서부산!$L$80+[4]서부산!$L$85)/1000</f>
        <v>-43.796015087777782</v>
      </c>
      <c r="Y17" s="4">
        <f t="shared" si="5"/>
        <v>0</v>
      </c>
      <c r="Z17" s="4">
        <f t="shared" si="6"/>
        <v>0</v>
      </c>
    </row>
    <row r="18" spans="4:26" ht="24" customHeight="1" x14ac:dyDescent="0.3">
      <c r="D18" s="324" t="s">
        <v>23</v>
      </c>
      <c r="E18" s="321">
        <f>+[4]김해!$H$86/1000</f>
        <v>66.063918531079523</v>
      </c>
      <c r="F18" s="320">
        <f>+[4]김해!$I$86/1000</f>
        <v>13.214120999999931</v>
      </c>
      <c r="G18" s="322">
        <f t="shared" si="0"/>
        <v>-52.849797531079588</v>
      </c>
      <c r="H18" s="321">
        <f>+[4]김해!$T$5/1000</f>
        <v>9</v>
      </c>
      <c r="I18" s="320">
        <f>+[4]김해!$U$5/1000</f>
        <v>7.2515000000000001</v>
      </c>
      <c r="J18" s="139">
        <f t="shared" si="1"/>
        <v>-1.7484999999999999</v>
      </c>
      <c r="K18" s="319">
        <f>+[4]김해!$M$86/1000</f>
        <v>-21.140150222849769</v>
      </c>
      <c r="L18" s="321">
        <f>+[4]김해!$Q$85</f>
        <v>101293.38087999998</v>
      </c>
      <c r="M18" s="320">
        <f>+[4]김해!$R$85</f>
        <v>99988.395504378408</v>
      </c>
      <c r="N18" s="139">
        <f t="shared" si="2"/>
        <v>-1304.9853756215743</v>
      </c>
      <c r="O18" s="319">
        <f>+[4]김해!$K$86/1000</f>
        <v>-9.4631014513198473</v>
      </c>
      <c r="P18" s="321">
        <f>+[4]김해!$Q$50</f>
        <v>89202.931796299788</v>
      </c>
      <c r="Q18" s="320">
        <f>+[4]김해!$R$50</f>
        <v>91576.631041853412</v>
      </c>
      <c r="R18" s="139">
        <f t="shared" si="3"/>
        <v>2373.6992455536238</v>
      </c>
      <c r="S18" s="319">
        <f>+[4]김해!$L$56/1000</f>
        <v>-13.779241669132068</v>
      </c>
      <c r="T18" s="321">
        <f>+([4]김해!$H$80+[4]김해!$H$85)/1000</f>
        <v>42.750123222222214</v>
      </c>
      <c r="U18" s="320">
        <f>+([4]김해!$I$80+[4]김해!$I$85)/1000</f>
        <v>51.217427409999999</v>
      </c>
      <c r="V18" s="139">
        <f t="shared" si="4"/>
        <v>8.4673041877777848</v>
      </c>
      <c r="W18" s="319">
        <f>+([4]김해!$L$80+[4]김해!$L$85)/1000</f>
        <v>-8.4673041877777777</v>
      </c>
      <c r="Y18" s="4">
        <f t="shared" si="5"/>
        <v>-1.2612133559741778E-13</v>
      </c>
      <c r="Z18" s="4">
        <f t="shared" si="6"/>
        <v>-1.2612133559741778E-7</v>
      </c>
    </row>
    <row r="19" spans="4:26" ht="24" customHeight="1" x14ac:dyDescent="0.3">
      <c r="D19" s="324" t="s">
        <v>24</v>
      </c>
      <c r="E19" s="321">
        <f>+[4]정관!$H$86/1000</f>
        <v>240.64451978824383</v>
      </c>
      <c r="F19" s="320">
        <f>+[4]정관!$I$86/1000</f>
        <v>69.741612000000018</v>
      </c>
      <c r="G19" s="322">
        <f t="shared" si="0"/>
        <v>-170.90290778824379</v>
      </c>
      <c r="H19" s="321">
        <f>+[4]정관!$T$5/1000</f>
        <v>21</v>
      </c>
      <c r="I19" s="320">
        <f>+[4]정관!$U$5/1000</f>
        <v>12.903</v>
      </c>
      <c r="J19" s="139">
        <f t="shared" si="1"/>
        <v>-8.0969999999999995</v>
      </c>
      <c r="K19" s="319">
        <f>+[4]정관!$M$86/1000</f>
        <v>-119.73567552681325</v>
      </c>
      <c r="L19" s="321">
        <f>+[4]정관!$Q$85</f>
        <v>106002.7777009524</v>
      </c>
      <c r="M19" s="320">
        <f>+[4]정관!$R$85</f>
        <v>107919.72409517167</v>
      </c>
      <c r="N19" s="139">
        <f t="shared" si="2"/>
        <v>1916.9463942192669</v>
      </c>
      <c r="O19" s="319">
        <f>+[4]정관!$K$86/1000</f>
        <v>24.734359324611201</v>
      </c>
      <c r="P19" s="321">
        <f>+[4]정관!$Q$50</f>
        <v>91215.118626379932</v>
      </c>
      <c r="Q19" s="320">
        <f>+[4]정관!$R$50</f>
        <v>96956.239711694958</v>
      </c>
      <c r="R19" s="139">
        <f t="shared" si="3"/>
        <v>5741.121085315026</v>
      </c>
      <c r="S19" s="319">
        <f>+[4]정관!$L$56/1000</f>
        <v>-65.846840253819707</v>
      </c>
      <c r="T19" s="321">
        <f>+([4]정관!$H$80+[4]정관!$H$85)/1000</f>
        <v>69.896320777777774</v>
      </c>
      <c r="U19" s="320">
        <f>+([4]정관!$I$80+[4]정관!$I$85)/1000</f>
        <v>79.951072109999998</v>
      </c>
      <c r="V19" s="139">
        <f t="shared" si="4"/>
        <v>10.054751332222224</v>
      </c>
      <c r="W19" s="319">
        <f>+([4]정관!$L$80+[4]정관!$L$85)/1000</f>
        <v>-10.054751332222217</v>
      </c>
      <c r="Y19" s="4">
        <f t="shared" si="5"/>
        <v>1.7763568394002505E-13</v>
      </c>
      <c r="Z19" s="4">
        <f t="shared" si="6"/>
        <v>1.7763568394002505E-7</v>
      </c>
    </row>
    <row r="20" spans="4:26" ht="24" customHeight="1" x14ac:dyDescent="0.3">
      <c r="D20" s="324" t="s">
        <v>25</v>
      </c>
      <c r="E20" s="321">
        <f>+[4]양산!$H$86/1000</f>
        <v>57.547751213437046</v>
      </c>
      <c r="F20" s="320">
        <f>+[4]양산!$I$86/1000</f>
        <v>10.974981000000016</v>
      </c>
      <c r="G20" s="322">
        <f t="shared" si="0"/>
        <v>-46.572770213437032</v>
      </c>
      <c r="H20" s="321">
        <f>+[4]양산!$T$5/1000</f>
        <v>9</v>
      </c>
      <c r="I20" s="320">
        <f>+[4]양산!$U$5/1000</f>
        <v>4.7720000000000002</v>
      </c>
      <c r="J20" s="139">
        <f t="shared" si="1"/>
        <v>-4.2279999999999998</v>
      </c>
      <c r="K20" s="319">
        <f>+[4]양산!$M$86/1000</f>
        <v>-47.249288972169218</v>
      </c>
      <c r="L20" s="321">
        <f>+[4]양산!$Q$85</f>
        <v>100828.50433333335</v>
      </c>
      <c r="M20" s="320">
        <f>+[4]양산!$R$85</f>
        <v>105686.46269907795</v>
      </c>
      <c r="N20" s="139">
        <f t="shared" si="2"/>
        <v>4857.9583657446055</v>
      </c>
      <c r="O20" s="319">
        <f>+[4]양산!$K$86/1000</f>
        <v>23.18217732133326</v>
      </c>
      <c r="P20" s="321">
        <f>+[4]양산!$Q$50</f>
        <v>89653.175815790964</v>
      </c>
      <c r="Q20" s="320">
        <f>+[4]양산!$R$50</f>
        <v>94756.811399832353</v>
      </c>
      <c r="R20" s="139">
        <f t="shared" si="3"/>
        <v>5103.6355840413889</v>
      </c>
      <c r="S20" s="319">
        <f>+[4]양산!$L$56/1000</f>
        <v>-24.023974347045492</v>
      </c>
      <c r="T20" s="321">
        <f>+([4]양산!$H$80+[4]양산!$H$85)/1000</f>
        <v>43.030205444444448</v>
      </c>
      <c r="U20" s="320">
        <f>+([4]양산!$I$80+[4]양산!$I$85)/1000</f>
        <v>41.511889660000001</v>
      </c>
      <c r="V20" s="139">
        <f t="shared" si="4"/>
        <v>-1.5183157844444466</v>
      </c>
      <c r="W20" s="319">
        <f>+([4]양산!$L$80+[4]양산!$L$85)/1000</f>
        <v>1.5183157844444444</v>
      </c>
      <c r="Y20" s="4">
        <f t="shared" si="5"/>
        <v>-2.6201263381153694E-14</v>
      </c>
      <c r="Z20" s="4">
        <f t="shared" si="6"/>
        <v>-2.6201263381153694E-8</v>
      </c>
    </row>
    <row r="21" spans="4:26" ht="24" customHeight="1" x14ac:dyDescent="0.3">
      <c r="D21" s="324" t="s">
        <v>26</v>
      </c>
      <c r="E21" s="321">
        <f>+[4]창원!$H$86/1000</f>
        <v>52.912265161370151</v>
      </c>
      <c r="F21" s="320">
        <f>+[4]창원!$I$86/1000</f>
        <v>26.963159999999895</v>
      </c>
      <c r="G21" s="322">
        <f t="shared" si="0"/>
        <v>-25.949105161370255</v>
      </c>
      <c r="H21" s="321">
        <f>+[4]창원!$T$5/1000</f>
        <v>12</v>
      </c>
      <c r="I21" s="320">
        <f>+[4]창원!$U$5/1000</f>
        <v>8.6479999999999997</v>
      </c>
      <c r="J21" s="139">
        <f t="shared" si="1"/>
        <v>-3.3520000000000003</v>
      </c>
      <c r="K21" s="319">
        <f>+[4]창원!$M$86/1000</f>
        <v>-31.123644971816741</v>
      </c>
      <c r="L21" s="321">
        <f>+[4]창원!$Q$85</f>
        <v>96922.491042646026</v>
      </c>
      <c r="M21" s="320">
        <f>+[4]창원!$R$85</f>
        <v>98451.086956521729</v>
      </c>
      <c r="N21" s="139">
        <f t="shared" si="2"/>
        <v>1528.5959138757025</v>
      </c>
      <c r="O21" s="319">
        <f>+[4]창원!$K$86/1000</f>
        <v>13.219297463197076</v>
      </c>
      <c r="P21" s="321">
        <f>+[4]창원!$Q$50</f>
        <v>87637.394094013333</v>
      </c>
      <c r="Q21" s="320">
        <f>+[4]창원!$R$50</f>
        <v>86921.026942645694</v>
      </c>
      <c r="R21" s="139">
        <f t="shared" si="3"/>
        <v>-716.36715136763814</v>
      </c>
      <c r="S21" s="319">
        <f>+[4]창원!$L$56/1000</f>
        <v>10.03569568502723</v>
      </c>
      <c r="T21" s="321">
        <f>+([4]창원!$H$80+[4]창원!$H$85)/1000</f>
        <v>58.508898222222228</v>
      </c>
      <c r="U21" s="320">
        <f>+([4]창원!$I$80+[4]창원!$I$85)/1000</f>
        <v>76.589351560000011</v>
      </c>
      <c r="V21" s="139">
        <f t="shared" si="4"/>
        <v>18.080453337777783</v>
      </c>
      <c r="W21" s="319">
        <f>+([4]창원!$L$80+[4]창원!$L$85)/1000</f>
        <v>-18.080453337777779</v>
      </c>
      <c r="Y21" s="4">
        <f t="shared" si="5"/>
        <v>-3.907985046680551E-14</v>
      </c>
      <c r="Z21" s="4">
        <f t="shared" si="6"/>
        <v>-3.907985046680551E-8</v>
      </c>
    </row>
    <row r="22" spans="4:26" ht="24" customHeight="1" x14ac:dyDescent="0.3">
      <c r="D22" s="324" t="s">
        <v>127</v>
      </c>
      <c r="E22" s="321">
        <f>+[4]대구!$H$86/1000</f>
        <v>-30.554162447771638</v>
      </c>
      <c r="F22" s="320">
        <f>+[4]대구!$I$86/1000</f>
        <v>-105.448241</v>
      </c>
      <c r="G22" s="322">
        <f t="shared" si="0"/>
        <v>-74.894078552228365</v>
      </c>
      <c r="H22" s="321">
        <f>+[4]대구!$T$5/1000</f>
        <v>7.5</v>
      </c>
      <c r="I22" s="320">
        <f>+[4]대구!$U$5/1000</f>
        <v>3.1665000000000001</v>
      </c>
      <c r="J22" s="139">
        <f t="shared" si="1"/>
        <v>-4.3334999999999999</v>
      </c>
      <c r="K22" s="319">
        <f>+[4]대구!$M$86/1000</f>
        <v>-13.121352641470439</v>
      </c>
      <c r="L22" s="321">
        <f>+[4]대구!$Q$85</f>
        <v>90977.461119999993</v>
      </c>
      <c r="M22" s="320">
        <f>+[4]대구!$R$85</f>
        <v>85015.152376440848</v>
      </c>
      <c r="N22" s="139">
        <f t="shared" si="2"/>
        <v>-5962.3087435591442</v>
      </c>
      <c r="O22" s="319">
        <f>+[4]대구!$K$86/1000</f>
        <v>-18.879650636480029</v>
      </c>
      <c r="P22" s="321">
        <f>+[4]대구!$Q$50</f>
        <v>87949.57312150675</v>
      </c>
      <c r="Q22" s="320">
        <f>+[4]대구!$R$50</f>
        <v>101926.37265119217</v>
      </c>
      <c r="R22" s="139">
        <f t="shared" si="3"/>
        <v>13976.799529685421</v>
      </c>
      <c r="S22" s="319">
        <f>+[4]대구!$L$56/1000</f>
        <v>-44.257544920748849</v>
      </c>
      <c r="T22" s="321">
        <f>+([4]대구!$H$80+[4]대구!$H$85)/1000</f>
        <v>53.263322436470887</v>
      </c>
      <c r="U22" s="320">
        <f>+([4]대구!$I$80+[4]대구!$I$85)/1000</f>
        <v>51.898852790000007</v>
      </c>
      <c r="V22" s="139">
        <f t="shared" si="4"/>
        <v>-1.3644696464708801</v>
      </c>
      <c r="W22" s="319">
        <f>+([4]대구!$L$80+[4]대구!$L$85)/1000</f>
        <v>1.364469646470891</v>
      </c>
      <c r="Y22" s="4">
        <f t="shared" si="5"/>
        <v>6.0174087934683484E-14</v>
      </c>
      <c r="Z22" s="4">
        <f t="shared" si="6"/>
        <v>6.0174087934683484E-8</v>
      </c>
    </row>
    <row r="23" spans="4:26" ht="24" customHeight="1" x14ac:dyDescent="0.3">
      <c r="D23" s="324" t="s">
        <v>126</v>
      </c>
      <c r="E23" s="321">
        <f>+[4]울산!$H$86/1000</f>
        <v>82.08701340255395</v>
      </c>
      <c r="F23" s="320">
        <f>+[4]울산!$I$86/1000</f>
        <v>95.170722000000268</v>
      </c>
      <c r="G23" s="322">
        <f t="shared" si="0"/>
        <v>13.083708597446318</v>
      </c>
      <c r="H23" s="321">
        <f>+[4]울산!$T$5/1000</f>
        <v>11.5</v>
      </c>
      <c r="I23" s="320">
        <f>+[4]울산!$U$5/1000</f>
        <v>11.961</v>
      </c>
      <c r="J23" s="139">
        <f t="shared" si="1"/>
        <v>0.4610000000000003</v>
      </c>
      <c r="K23" s="319">
        <f>+[4]울산!$M$86/1000</f>
        <v>4.9883372130779096</v>
      </c>
      <c r="L23" s="321">
        <f>+[4]울산!$Q$85</f>
        <v>104353.06186956521</v>
      </c>
      <c r="M23" s="320">
        <f>+[4]울산!$R$85</f>
        <v>104675.3448708302</v>
      </c>
      <c r="N23" s="139">
        <f t="shared" si="2"/>
        <v>322.2830012649938</v>
      </c>
      <c r="O23" s="319">
        <f>+[4]울산!$K$86/1000</f>
        <v>3.8548269781305908</v>
      </c>
      <c r="P23" s="321">
        <f>+[4]울산!$Q$50</f>
        <v>93532.373771782324</v>
      </c>
      <c r="Q23" s="320">
        <f>+[4]울산!$R$50</f>
        <v>93121.614465881576</v>
      </c>
      <c r="R23" s="139">
        <f t="shared" si="3"/>
        <v>-410.75930590074859</v>
      </c>
      <c r="S23" s="319">
        <f>+[4]울산!$L$56/1000</f>
        <v>6.0389558342885046</v>
      </c>
      <c r="T23" s="321">
        <f>+([4]울산!$H$80+[4]울산!$H$85)/1000</f>
        <v>42.350899721949396</v>
      </c>
      <c r="U23" s="320">
        <f>+([4]울산!$I$80+[4]울산!$I$85)/1000</f>
        <v>44.149311149999996</v>
      </c>
      <c r="V23" s="139">
        <f t="shared" si="4"/>
        <v>1.7984114280505992</v>
      </c>
      <c r="W23" s="319">
        <f>+([4]울산!$L$80+[4]울산!$L$85)/1000</f>
        <v>-1.7984114280506021</v>
      </c>
      <c r="Y23" s="4">
        <f t="shared" si="5"/>
        <v>-8.4154905266586866E-14</v>
      </c>
      <c r="Z23" s="4">
        <f t="shared" si="6"/>
        <v>-8.4154905266586866E-8</v>
      </c>
    </row>
    <row r="24" spans="4:26" ht="24" customHeight="1" x14ac:dyDescent="0.3">
      <c r="D24" s="330" t="s">
        <v>27</v>
      </c>
      <c r="E24" s="328">
        <f>+[4]아산!$H$86/1000</f>
        <v>88.591761707101057</v>
      </c>
      <c r="F24" s="327">
        <f>+[4]아산!$I$86/1000</f>
        <v>69.207642000000234</v>
      </c>
      <c r="G24" s="329">
        <f t="shared" si="0"/>
        <v>-19.384119707100822</v>
      </c>
      <c r="H24" s="328">
        <f>+[4]아산!$T$5/1000</f>
        <v>22</v>
      </c>
      <c r="I24" s="327">
        <f>+[4]아산!$U$5/1000</f>
        <v>22.192</v>
      </c>
      <c r="J24" s="326">
        <f t="shared" si="1"/>
        <v>0.19200000000000017</v>
      </c>
      <c r="K24" s="325">
        <f>+[4]아산!$M$86/1000</f>
        <v>1.4464710927165216</v>
      </c>
      <c r="L24" s="328">
        <f>+[4]아산!$Q$85</f>
        <v>96533.529090909069</v>
      </c>
      <c r="M24" s="327">
        <f>+[4]아산!$R$85</f>
        <v>96951.990447007949</v>
      </c>
      <c r="N24" s="326">
        <f t="shared" si="2"/>
        <v>418.46135609888006</v>
      </c>
      <c r="O24" s="325">
        <f>+[4]아산!$K$86/1000</f>
        <v>9.2864944145463468</v>
      </c>
      <c r="P24" s="328">
        <f>+[4]아산!$Q$50</f>
        <v>88999.825483010543</v>
      </c>
      <c r="Q24" s="327">
        <f>+[4]아산!$R$50</f>
        <v>90140.873750562809</v>
      </c>
      <c r="R24" s="326">
        <f t="shared" si="3"/>
        <v>1141.0482675522653</v>
      </c>
      <c r="S24" s="325">
        <f>+[4]아산!$L$56/1000</f>
        <v>-25.319020221029852</v>
      </c>
      <c r="T24" s="328">
        <f>+([4]아산!$H$80+[4]아산!$H$85)/1000</f>
        <v>77.14971766666666</v>
      </c>
      <c r="U24" s="327">
        <f>+([4]아산!$I$80+[4]아산!$I$85)/1000</f>
        <v>81.947782660000001</v>
      </c>
      <c r="V24" s="326">
        <f t="shared" si="4"/>
        <v>4.798064993333341</v>
      </c>
      <c r="W24" s="325">
        <f>+([4]아산!$L$80+[4]아산!$L$85)/1000</f>
        <v>-4.7980649933333375</v>
      </c>
      <c r="Y24" s="4">
        <f t="shared" si="5"/>
        <v>-5.0093262871087063E-13</v>
      </c>
      <c r="Z24" s="4">
        <f t="shared" si="6"/>
        <v>-5.0093262871087063E-7</v>
      </c>
    </row>
    <row r="25" spans="4:26" ht="24" customHeight="1" x14ac:dyDescent="0.3">
      <c r="D25" s="324" t="s">
        <v>125</v>
      </c>
      <c r="E25" s="321">
        <f>+[4]전주!$H$86/1000</f>
        <v>64.392707815656223</v>
      </c>
      <c r="F25" s="320">
        <f>+[4]전주!$I$86/1000</f>
        <v>138.57817499999993</v>
      </c>
      <c r="G25" s="322">
        <f t="shared" si="0"/>
        <v>74.185467184343707</v>
      </c>
      <c r="H25" s="321">
        <f>+[4]전주!$T$5/1000</f>
        <v>10</v>
      </c>
      <c r="I25" s="320">
        <f>+[4]전주!$U$5/1000</f>
        <v>13.624000000000001</v>
      </c>
      <c r="J25" s="139">
        <f t="shared" si="1"/>
        <v>3.6240000000000006</v>
      </c>
      <c r="K25" s="319">
        <f>+[4]전주!$M$86/1000</f>
        <v>45.190121018260484</v>
      </c>
      <c r="L25" s="321">
        <f>+[4]전주!$Q$85</f>
        <v>101990.31399999998</v>
      </c>
      <c r="M25" s="320">
        <f>+[4]전주!$R$85</f>
        <v>100264.54051673519</v>
      </c>
      <c r="N25" s="139">
        <f t="shared" si="2"/>
        <v>-1725.7734832647984</v>
      </c>
      <c r="O25" s="319">
        <f>+[4]전주!$K$86/1000</f>
        <v>-23.511937935999612</v>
      </c>
      <c r="P25" s="321">
        <f>+[4]전주!$Q$50</f>
        <v>89520.633807323233</v>
      </c>
      <c r="Q25" s="320">
        <f>+[4]전주!$R$50</f>
        <v>85717.388358778626</v>
      </c>
      <c r="R25" s="139">
        <f t="shared" si="3"/>
        <v>-3803.2454485446069</v>
      </c>
      <c r="S25" s="319">
        <f>+[4]전주!$L$56/1000</f>
        <v>51.815415790971784</v>
      </c>
      <c r="T25" s="321">
        <f>+([4]전주!$H$80+[4]전주!$H$85)/1000</f>
        <v>60.304094111111112</v>
      </c>
      <c r="U25" s="320">
        <f>+([4]전주!$I$80+[4]전주!$I$85)/1000</f>
        <v>59.612225799999997</v>
      </c>
      <c r="V25" s="139">
        <f t="shared" si="4"/>
        <v>-0.69186831111111502</v>
      </c>
      <c r="W25" s="319">
        <f>+([4]전주!$L$80+[4]전주!$L$85)/1000</f>
        <v>0.69186831111111202</v>
      </c>
      <c r="Y25" s="4">
        <f t="shared" si="5"/>
        <v>-6.0951244051921094E-14</v>
      </c>
      <c r="Z25" s="4">
        <f t="shared" si="6"/>
        <v>-6.0951244051921094E-8</v>
      </c>
    </row>
    <row r="26" spans="4:26" ht="24" customHeight="1" x14ac:dyDescent="0.3">
      <c r="D26" s="323" t="s">
        <v>124</v>
      </c>
      <c r="E26" s="321">
        <f>+[4]군산!$H$86/1000</f>
        <v>75.349108752709071</v>
      </c>
      <c r="F26" s="320">
        <f>+[4]군산!$I$86/1000</f>
        <v>88.678597000000039</v>
      </c>
      <c r="G26" s="322">
        <f t="shared" si="0"/>
        <v>13.329488247290968</v>
      </c>
      <c r="H26" s="321">
        <f>+[4]군산!$T$5/1000</f>
        <v>4.5</v>
      </c>
      <c r="I26" s="320">
        <f>+[4]군산!$U$5/1000</f>
        <v>5.0359999999999996</v>
      </c>
      <c r="J26" s="139">
        <f t="shared" si="1"/>
        <v>0.53599999999999959</v>
      </c>
      <c r="K26" s="319">
        <f>+[4]군산!$M$86/1000</f>
        <v>11.648579671285654</v>
      </c>
      <c r="L26" s="321">
        <f>+[4]군산!$Q$85</f>
        <v>109031.39600000001</v>
      </c>
      <c r="M26" s="320">
        <f>+[4]군산!$R$85</f>
        <v>107776.79308975379</v>
      </c>
      <c r="N26" s="139">
        <f t="shared" si="2"/>
        <v>-1254.6029102462198</v>
      </c>
      <c r="O26" s="319">
        <f>+[4]군산!$K$86/1000</f>
        <v>-6.3181802559999625</v>
      </c>
      <c r="P26" s="321">
        <f>+[4]군산!$Q$50</f>
        <v>87298.971240138737</v>
      </c>
      <c r="Q26" s="320">
        <f>+[4]군산!$R$50</f>
        <v>85724.162629070692</v>
      </c>
      <c r="R26" s="139">
        <f t="shared" si="3"/>
        <v>-1574.8086110680451</v>
      </c>
      <c r="S26" s="319">
        <f>+[4]군산!$L$56/1000</f>
        <v>7.9307383553385833</v>
      </c>
      <c r="T26" s="321">
        <f>+([4]군산!$H$80+[4]군산!$H$85)/1000</f>
        <v>22.446802666666667</v>
      </c>
      <c r="U26" s="320">
        <f>+([4]군산!$I$80+[4]군산!$I$85)/1000</f>
        <v>22.378452190000001</v>
      </c>
      <c r="V26" s="139">
        <f t="shared" si="4"/>
        <v>-6.8350476666665827E-2</v>
      </c>
      <c r="W26" s="319">
        <f>+([4]군산!$L$80+[4]군산!$L$85)/1000</f>
        <v>6.8350476666665771E-2</v>
      </c>
      <c r="Y26" s="4">
        <f t="shared" si="5"/>
        <v>2.6700863742235015E-14</v>
      </c>
      <c r="Z26" s="4">
        <f t="shared" si="6"/>
        <v>2.6700863742235015E-8</v>
      </c>
    </row>
    <row r="27" spans="4:26" ht="24" customHeight="1" x14ac:dyDescent="0.3">
      <c r="D27" s="323" t="s">
        <v>123</v>
      </c>
      <c r="E27" s="321">
        <f>+[4]원주!$H$86/1000</f>
        <v>57.095762757873075</v>
      </c>
      <c r="F27" s="320">
        <f>+[4]원주!$I$86/1000</f>
        <v>93.604435999999978</v>
      </c>
      <c r="G27" s="322">
        <f t="shared" si="0"/>
        <v>36.508673242126903</v>
      </c>
      <c r="H27" s="321">
        <f>+[4]원주!$T$5/1000</f>
        <v>4</v>
      </c>
      <c r="I27" s="320">
        <f>+[4]원주!$U$5/1000</f>
        <v>3.6444999999999999</v>
      </c>
      <c r="J27" s="139">
        <f t="shared" si="1"/>
        <v>-0.35550000000000015</v>
      </c>
      <c r="K27" s="319">
        <f>+[4]원주!$M$86/1000</f>
        <v>-6.7388726482085692</v>
      </c>
      <c r="L27" s="321">
        <f>+[4]원주!$Q$85</f>
        <v>110952.12037000002</v>
      </c>
      <c r="M27" s="320">
        <f>+[4]원주!$R$85</f>
        <v>128270.06868131869</v>
      </c>
      <c r="N27" s="139">
        <f t="shared" si="2"/>
        <v>17317.948311318672</v>
      </c>
      <c r="O27" s="319">
        <f>+[4]원주!$K$86/1000</f>
        <v>63.037331853199966</v>
      </c>
      <c r="P27" s="321">
        <f>+[4]원주!$Q$50</f>
        <v>92199.279680531748</v>
      </c>
      <c r="Q27" s="320">
        <f>+[4]원주!$R$50</f>
        <v>98271.045604395593</v>
      </c>
      <c r="R27" s="139">
        <f t="shared" si="3"/>
        <v>6071.7659238638444</v>
      </c>
      <c r="S27" s="319">
        <f>+[4]원주!$L$56/1000</f>
        <v>-22.101228942864523</v>
      </c>
      <c r="T27" s="321">
        <f>+([4]원주!$H$80+[4]원주!$H$85)/1000</f>
        <v>17.915599999999998</v>
      </c>
      <c r="U27" s="320">
        <f>+([4]원주!$I$80+[4]원주!$I$85)/1000</f>
        <v>15.604157019999999</v>
      </c>
      <c r="V27" s="139">
        <f t="shared" si="4"/>
        <v>-2.3114429799999989</v>
      </c>
      <c r="W27" s="319">
        <f>+([4]원주!$L$80+[4]원주!$L$85)/1000</f>
        <v>2.3114429799999989</v>
      </c>
      <c r="Y27" s="4">
        <f t="shared" si="5"/>
        <v>3.1974423109204508E-14</v>
      </c>
      <c r="Z27" s="4">
        <f t="shared" si="6"/>
        <v>3.1974423109204508E-8</v>
      </c>
    </row>
    <row r="28" spans="4:26" ht="24" customHeight="1" thickBot="1" x14ac:dyDescent="0.35">
      <c r="D28" s="318" t="s">
        <v>122</v>
      </c>
      <c r="E28" s="316">
        <f>+[4]제주!$H$86/1000</f>
        <v>64.524356677264393</v>
      </c>
      <c r="F28" s="315">
        <f>+[4]제주!$I$86/1000</f>
        <v>22.33335399999995</v>
      </c>
      <c r="G28" s="317">
        <f t="shared" si="0"/>
        <v>-42.191002677264443</v>
      </c>
      <c r="H28" s="316">
        <f>+[4]제주!$T$5/1000</f>
        <v>6</v>
      </c>
      <c r="I28" s="315">
        <f>+[4]제주!$U$5/1000</f>
        <v>4.0345000000000004</v>
      </c>
      <c r="J28" s="314">
        <f t="shared" si="1"/>
        <v>-1.9654999999999996</v>
      </c>
      <c r="K28" s="313">
        <f>+[4]제주!$M$86/1000</f>
        <v>-30.410307493133498</v>
      </c>
      <c r="L28" s="316">
        <f>+[4]제주!$Q$85</f>
        <v>122710.27000000002</v>
      </c>
      <c r="M28" s="315">
        <f>+[4]제주!$R$85</f>
        <v>127053.40116495227</v>
      </c>
      <c r="N28" s="314">
        <f t="shared" si="2"/>
        <v>4343.131164952254</v>
      </c>
      <c r="O28" s="313">
        <f>+[4]제주!$K$86/1000</f>
        <v>17.522362684999869</v>
      </c>
      <c r="P28" s="316">
        <f>+[4]제주!$Q$50</f>
        <v>107238.2234504536</v>
      </c>
      <c r="Q28" s="315">
        <f>+[4]제주!$R$50</f>
        <v>114462.26124674681</v>
      </c>
      <c r="R28" s="314">
        <f t="shared" si="3"/>
        <v>7224.0377962932107</v>
      </c>
      <c r="S28" s="313">
        <f>+[4]제주!$L$56/1000</f>
        <v>-29.145380959145008</v>
      </c>
      <c r="T28" s="316">
        <f>+([4]제주!$H$80+[4]제주!$H$85)/1000</f>
        <v>28.307922620014093</v>
      </c>
      <c r="U28" s="315">
        <f>+([4]제주!$I$80+[4]제주!$I$85)/1000</f>
        <v>28.465599529999999</v>
      </c>
      <c r="V28" s="314">
        <f t="shared" si="4"/>
        <v>0.15767690998590567</v>
      </c>
      <c r="W28" s="313">
        <f>+([4]제주!$L$80+[4]제주!$L$85)/1000</f>
        <v>-0.1576769099859037</v>
      </c>
      <c r="Y28" s="4">
        <f t="shared" si="5"/>
        <v>9.7505337137704373E-14</v>
      </c>
      <c r="Z28" s="4">
        <f t="shared" si="6"/>
        <v>9.7505337137704373E-8</v>
      </c>
    </row>
    <row r="29" spans="4:26" ht="24" customHeight="1" x14ac:dyDescent="0.3">
      <c r="Y29" s="450"/>
    </row>
    <row r="30" spans="4:26" ht="24" customHeight="1" x14ac:dyDescent="0.3">
      <c r="Y30" s="450"/>
    </row>
    <row r="31" spans="4:26" ht="24" customHeight="1" x14ac:dyDescent="0.3">
      <c r="Y31" s="450"/>
    </row>
    <row r="32" spans="4:26" ht="21.95" customHeight="1" x14ac:dyDescent="0.3">
      <c r="F32" s="312"/>
      <c r="Y32" s="450"/>
    </row>
    <row r="33" spans="25:25" ht="21.95" customHeight="1" x14ac:dyDescent="0.3"/>
    <row r="34" spans="25:25" ht="21.95" customHeight="1" x14ac:dyDescent="0.3">
      <c r="Y34" s="451"/>
    </row>
    <row r="35" spans="25:25" ht="21.95" customHeight="1" x14ac:dyDescent="0.3">
      <c r="Y35" s="4" t="s">
        <v>155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I10" sqref="I10"/>
      <selection pane="topRight" activeCell="I10" sqref="I10"/>
      <selection pane="bottomLeft" activeCell="I10" sqref="I10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215</v>
      </c>
      <c r="F4" s="368"/>
      <c r="I4" s="368"/>
    </row>
    <row r="5" spans="4:22" ht="21.95" customHeight="1" x14ac:dyDescent="0.3">
      <c r="V5" s="367" t="s">
        <v>141</v>
      </c>
    </row>
    <row r="6" spans="4:22" ht="24" customHeight="1" thickBot="1" x14ac:dyDescent="0.35">
      <c r="D6" s="692" t="s">
        <v>11</v>
      </c>
      <c r="E6" s="366" t="s">
        <v>53</v>
      </c>
      <c r="F6" s="365"/>
      <c r="G6" s="364"/>
      <c r="H6" s="366" t="s">
        <v>140</v>
      </c>
      <c r="I6" s="365"/>
      <c r="J6" s="364"/>
      <c r="K6" s="366" t="s">
        <v>139</v>
      </c>
      <c r="L6" s="365"/>
      <c r="M6" s="364"/>
      <c r="N6" s="366" t="s">
        <v>138</v>
      </c>
      <c r="O6" s="365"/>
      <c r="P6" s="364"/>
      <c r="Q6" s="366" t="s">
        <v>137</v>
      </c>
      <c r="R6" s="365"/>
      <c r="S6" s="364"/>
      <c r="T6" s="366" t="s">
        <v>54</v>
      </c>
      <c r="U6" s="365"/>
      <c r="V6" s="364"/>
    </row>
    <row r="7" spans="4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+[4]합계!$Q$85</f>
        <v>102249.90009937297</v>
      </c>
      <c r="F8" s="355">
        <f>+[4]합계!$R$85</f>
        <v>102799.58381374026</v>
      </c>
      <c r="G8" s="386">
        <f t="shared" ref="G8:G28" si="0">+F8-E8</f>
        <v>549.68371436728921</v>
      </c>
      <c r="H8" s="356">
        <f>+[4]합계!$Q$20</f>
        <v>61557.842525536122</v>
      </c>
      <c r="I8" s="355">
        <f>+[4]합계!$R$20</f>
        <v>63667.435084391873</v>
      </c>
      <c r="J8" s="386">
        <f t="shared" ref="J8:J28" si="1">+I8-H8</f>
        <v>2109.5925588557511</v>
      </c>
      <c r="K8" s="356">
        <f>+[4]합계!$Q$21</f>
        <v>19317.367620884859</v>
      </c>
      <c r="L8" s="355">
        <f>+[4]합계!$R$21</f>
        <v>19793.117656582817</v>
      </c>
      <c r="M8" s="386">
        <f t="shared" ref="M8:M28" si="2">+L8-K8</f>
        <v>475.75003569795808</v>
      </c>
      <c r="N8" s="356">
        <f>+[4]합계!$Q$22</f>
        <v>237.48839458413926</v>
      </c>
      <c r="O8" s="355">
        <f>+[4]합계!$R$22</f>
        <v>289.41814504004594</v>
      </c>
      <c r="P8" s="386">
        <f t="shared" ref="P8:P28" si="3">+O8-N8</f>
        <v>51.929750455906685</v>
      </c>
      <c r="Q8" s="356">
        <f t="shared" ref="Q8:Q28" si="4">H8+K8+N8</f>
        <v>81112.698541005127</v>
      </c>
      <c r="R8" s="355">
        <f t="shared" ref="R8:R28" si="5">I8+L8+O8</f>
        <v>83749.970886014737</v>
      </c>
      <c r="S8" s="386">
        <f t="shared" ref="S8:S28" si="6">+R8-Q8</f>
        <v>2637.2723450096091</v>
      </c>
      <c r="T8" s="356">
        <f t="shared" ref="T8:T28" si="7">+E8-Q8</f>
        <v>21137.201558367844</v>
      </c>
      <c r="U8" s="355">
        <f t="shared" ref="U8:U28" si="8">+F8-R8</f>
        <v>19049.612927725524</v>
      </c>
      <c r="V8" s="386">
        <f t="shared" ref="V8:V28" si="9">+U8-T8</f>
        <v>-2087.5886306423199</v>
      </c>
    </row>
    <row r="9" spans="4:22" ht="24" customHeight="1" x14ac:dyDescent="0.3">
      <c r="D9" s="352" t="s">
        <v>16</v>
      </c>
      <c r="E9" s="351">
        <f>+[4]수도권!$Q$85</f>
        <v>100185.21521878584</v>
      </c>
      <c r="F9" s="350">
        <f>+[4]수도권!$R$85</f>
        <v>98854.893882140779</v>
      </c>
      <c r="G9" s="385">
        <f t="shared" si="0"/>
        <v>-1330.3213366450655</v>
      </c>
      <c r="H9" s="351">
        <f>+[4]수도권!$Q$20</f>
        <v>62937.330847408273</v>
      </c>
      <c r="I9" s="350">
        <f>+[4]수도권!$R$20</f>
        <v>64695.014393371559</v>
      </c>
      <c r="J9" s="385">
        <f t="shared" si="1"/>
        <v>1757.6835459632857</v>
      </c>
      <c r="K9" s="351">
        <f>+[4]수도권!$Q$21</f>
        <v>19144.016281511827</v>
      </c>
      <c r="L9" s="350">
        <f>+[4]수도권!$R$21</f>
        <v>19667.851548730829</v>
      </c>
      <c r="M9" s="385">
        <f t="shared" si="2"/>
        <v>523.83526721900125</v>
      </c>
      <c r="N9" s="351">
        <f>+[4]수도권!$Q$22</f>
        <v>242.65441176470586</v>
      </c>
      <c r="O9" s="350">
        <f>+[4]수도권!$R$22</f>
        <v>272.40101898182849</v>
      </c>
      <c r="P9" s="385">
        <f t="shared" si="3"/>
        <v>29.74660721712263</v>
      </c>
      <c r="Q9" s="351">
        <f t="shared" si="4"/>
        <v>82324.001540684796</v>
      </c>
      <c r="R9" s="350">
        <f t="shared" si="5"/>
        <v>84635.266961084213</v>
      </c>
      <c r="S9" s="385">
        <f t="shared" si="6"/>
        <v>2311.2654203994171</v>
      </c>
      <c r="T9" s="351">
        <f t="shared" si="7"/>
        <v>17861.213678101049</v>
      </c>
      <c r="U9" s="350">
        <f t="shared" si="8"/>
        <v>14219.626921056566</v>
      </c>
      <c r="V9" s="385">
        <f t="shared" si="9"/>
        <v>-3641.5867570444825</v>
      </c>
    </row>
    <row r="10" spans="4:22" ht="24" customHeight="1" x14ac:dyDescent="0.3">
      <c r="D10" s="347" t="s">
        <v>17</v>
      </c>
      <c r="E10" s="346">
        <f>+[4]영남권!$Q$85</f>
        <v>103621.40963537958</v>
      </c>
      <c r="F10" s="345">
        <f>+[4]영남권!$R$85</f>
        <v>106535.27852367536</v>
      </c>
      <c r="G10" s="384">
        <f t="shared" si="0"/>
        <v>2913.8688882957795</v>
      </c>
      <c r="H10" s="346">
        <f>+[4]영남권!$Q$20</f>
        <v>60344.856078532102</v>
      </c>
      <c r="I10" s="345">
        <f>+[4]영남권!$R$20</f>
        <v>63018.067643257222</v>
      </c>
      <c r="J10" s="384">
        <f t="shared" si="1"/>
        <v>2673.2115647251194</v>
      </c>
      <c r="K10" s="346">
        <f>+[4]영남권!$Q$21</f>
        <v>19765.666941119736</v>
      </c>
      <c r="L10" s="345">
        <f>+[4]영남권!$R$21</f>
        <v>20542.375214043459</v>
      </c>
      <c r="M10" s="384">
        <f t="shared" si="2"/>
        <v>776.70827292372269</v>
      </c>
      <c r="N10" s="346">
        <f>+[4]영남권!$Q$22</f>
        <v>234.54545454545456</v>
      </c>
      <c r="O10" s="345">
        <f>+[4]영남권!$R$22</f>
        <v>323.29277831173556</v>
      </c>
      <c r="P10" s="384">
        <f t="shared" si="3"/>
        <v>88.747323766280999</v>
      </c>
      <c r="Q10" s="346">
        <f t="shared" si="4"/>
        <v>80345.068474197295</v>
      </c>
      <c r="R10" s="345">
        <f t="shared" si="5"/>
        <v>83883.735635612422</v>
      </c>
      <c r="S10" s="384">
        <f t="shared" si="6"/>
        <v>3538.6671614151273</v>
      </c>
      <c r="T10" s="346">
        <f t="shared" si="7"/>
        <v>23276.341161182281</v>
      </c>
      <c r="U10" s="345">
        <f t="shared" si="8"/>
        <v>22651.542888062933</v>
      </c>
      <c r="V10" s="384">
        <f t="shared" si="9"/>
        <v>-624.79827311934787</v>
      </c>
    </row>
    <row r="11" spans="4:22" ht="24" customHeight="1" x14ac:dyDescent="0.3">
      <c r="D11" s="342" t="s">
        <v>128</v>
      </c>
      <c r="E11" s="341">
        <f>+[4]중부권!$Q$85</f>
        <v>103534.45512860215</v>
      </c>
      <c r="F11" s="340">
        <f>+[4]중부권!$R$85</f>
        <v>103857.20377525681</v>
      </c>
      <c r="G11" s="383">
        <f t="shared" si="0"/>
        <v>322.74864665466885</v>
      </c>
      <c r="H11" s="341">
        <f>+[4]중부권!$Q$20</f>
        <v>61401.298446815279</v>
      </c>
      <c r="I11" s="340">
        <f>+[4]중부권!$R$20</f>
        <v>62788.474471876325</v>
      </c>
      <c r="J11" s="383">
        <f t="shared" si="1"/>
        <v>1387.1760250610459</v>
      </c>
      <c r="K11" s="341">
        <f>+[4]중부권!$Q$21</f>
        <v>18637.12915615828</v>
      </c>
      <c r="L11" s="340">
        <f>+[4]중부권!$R$21</f>
        <v>18650.763258453586</v>
      </c>
      <c r="M11" s="383">
        <f t="shared" si="2"/>
        <v>13.634102295305638</v>
      </c>
      <c r="N11" s="341">
        <f>+[4]중부권!$Q$22</f>
        <v>233.11827956989248</v>
      </c>
      <c r="O11" s="340">
        <f>+[4]중부권!$R$22</f>
        <v>260.8615600119478</v>
      </c>
      <c r="P11" s="383">
        <f t="shared" si="3"/>
        <v>27.743280442055323</v>
      </c>
      <c r="Q11" s="341">
        <f t="shared" si="4"/>
        <v>80271.545882543462</v>
      </c>
      <c r="R11" s="340">
        <f t="shared" si="5"/>
        <v>81700.099290341866</v>
      </c>
      <c r="S11" s="383">
        <f t="shared" si="6"/>
        <v>1428.5534077984048</v>
      </c>
      <c r="T11" s="341">
        <f t="shared" si="7"/>
        <v>23262.909246058683</v>
      </c>
      <c r="U11" s="340">
        <f t="shared" si="8"/>
        <v>22157.104484914948</v>
      </c>
      <c r="V11" s="383">
        <f t="shared" si="9"/>
        <v>-1105.804761143736</v>
      </c>
    </row>
    <row r="12" spans="4:22" ht="24" customHeight="1" x14ac:dyDescent="0.3">
      <c r="D12" s="382" t="s">
        <v>18</v>
      </c>
      <c r="E12" s="381">
        <f>+[4]안양!$Q$85</f>
        <v>98249.207179487188</v>
      </c>
      <c r="F12" s="380">
        <f>+[4]안양!$R$85</f>
        <v>99500.254087096633</v>
      </c>
      <c r="G12" s="379">
        <f t="shared" si="0"/>
        <v>1251.046907609445</v>
      </c>
      <c r="H12" s="381">
        <f>+[4]안양!$Q$20</f>
        <v>60976.333319547826</v>
      </c>
      <c r="I12" s="380">
        <f>+[4]안양!$R$20</f>
        <v>63239.671987873342</v>
      </c>
      <c r="J12" s="379">
        <f t="shared" si="1"/>
        <v>2263.3386683255158</v>
      </c>
      <c r="K12" s="381">
        <f>+[4]안양!$Q$21</f>
        <v>18428.080089355088</v>
      </c>
      <c r="L12" s="380">
        <f>+[4]안양!$R$21</f>
        <v>19301.059354349731</v>
      </c>
      <c r="M12" s="379">
        <f t="shared" si="2"/>
        <v>872.97926499464302</v>
      </c>
      <c r="N12" s="381">
        <f>+[4]안양!$Q$22</f>
        <v>192.30769230769232</v>
      </c>
      <c r="O12" s="380">
        <f>+[4]안양!$R$22</f>
        <v>178.38781648942469</v>
      </c>
      <c r="P12" s="379">
        <f t="shared" si="3"/>
        <v>-13.919875818267627</v>
      </c>
      <c r="Q12" s="381">
        <f t="shared" si="4"/>
        <v>79596.721101210598</v>
      </c>
      <c r="R12" s="380">
        <f t="shared" si="5"/>
        <v>82719.119158712492</v>
      </c>
      <c r="S12" s="379">
        <f t="shared" si="6"/>
        <v>3122.3980575018941</v>
      </c>
      <c r="T12" s="381">
        <f t="shared" si="7"/>
        <v>18652.48607827659</v>
      </c>
      <c r="U12" s="380">
        <f t="shared" si="8"/>
        <v>16781.134928384141</v>
      </c>
      <c r="V12" s="379">
        <f t="shared" si="9"/>
        <v>-1871.351149892449</v>
      </c>
    </row>
    <row r="13" spans="4:22" ht="24" customHeight="1" x14ac:dyDescent="0.3">
      <c r="D13" s="323" t="s">
        <v>19</v>
      </c>
      <c r="E13" s="374">
        <f>+[4]인천!$Q$85</f>
        <v>103272.77972903302</v>
      </c>
      <c r="F13" s="373">
        <f>+[4]인천!$R$85</f>
        <v>100098.24132570476</v>
      </c>
      <c r="G13" s="372">
        <f t="shared" si="0"/>
        <v>-3174.5384033282608</v>
      </c>
      <c r="H13" s="374">
        <f>+[4]인천!$Q$20</f>
        <v>66819.083379416275</v>
      </c>
      <c r="I13" s="373">
        <f>+[4]인천!$R$20</f>
        <v>68585.440806449042</v>
      </c>
      <c r="J13" s="372">
        <f t="shared" si="1"/>
        <v>1766.3574270327663</v>
      </c>
      <c r="K13" s="374">
        <f>+[4]인천!$Q$21</f>
        <v>19633.609373750591</v>
      </c>
      <c r="L13" s="373">
        <f>+[4]인천!$R$21</f>
        <v>19235.300639453817</v>
      </c>
      <c r="M13" s="372">
        <f t="shared" si="2"/>
        <v>-398.30873429677376</v>
      </c>
      <c r="N13" s="374">
        <f>+[4]인천!$Q$22</f>
        <v>330</v>
      </c>
      <c r="O13" s="373">
        <f>+[4]인천!$R$22</f>
        <v>486.43454012212129</v>
      </c>
      <c r="P13" s="372">
        <f t="shared" si="3"/>
        <v>156.43454012212129</v>
      </c>
      <c r="Q13" s="374">
        <f t="shared" si="4"/>
        <v>86782.692753166863</v>
      </c>
      <c r="R13" s="373">
        <f t="shared" si="5"/>
        <v>88307.175986024973</v>
      </c>
      <c r="S13" s="372">
        <f t="shared" si="6"/>
        <v>1524.4832328581106</v>
      </c>
      <c r="T13" s="374">
        <f t="shared" si="7"/>
        <v>16490.086975866157</v>
      </c>
      <c r="U13" s="373">
        <f t="shared" si="8"/>
        <v>11791.065339679786</v>
      </c>
      <c r="V13" s="372">
        <f t="shared" si="9"/>
        <v>-4699.0216361863713</v>
      </c>
    </row>
    <row r="14" spans="4:22" ht="24" customHeight="1" x14ac:dyDescent="0.3">
      <c r="D14" s="323" t="s">
        <v>20</v>
      </c>
      <c r="E14" s="374">
        <f>+[4]파주!$Q$85</f>
        <v>98318.230759999991</v>
      </c>
      <c r="F14" s="373">
        <f>+[4]파주!$R$85</f>
        <v>97858.465655664579</v>
      </c>
      <c r="G14" s="372">
        <f t="shared" si="0"/>
        <v>-459.76510433541262</v>
      </c>
      <c r="H14" s="374">
        <f>+[4]파주!$Q$20</f>
        <v>59951.166573648101</v>
      </c>
      <c r="I14" s="373">
        <f>+[4]파주!$R$20</f>
        <v>64122.543264942011</v>
      </c>
      <c r="J14" s="372">
        <f t="shared" si="1"/>
        <v>4171.37669129391</v>
      </c>
      <c r="K14" s="374">
        <f>+[4]파주!$Q$21</f>
        <v>20032.034351851849</v>
      </c>
      <c r="L14" s="373">
        <f>+[4]파주!$R$21</f>
        <v>22889.997234611954</v>
      </c>
      <c r="M14" s="372">
        <f t="shared" si="2"/>
        <v>2857.9628827601045</v>
      </c>
      <c r="N14" s="374">
        <f>+[4]파주!$Q$22</f>
        <v>328.05</v>
      </c>
      <c r="O14" s="373">
        <f>+[4]파주!$R$22</f>
        <v>264.66226583407672</v>
      </c>
      <c r="P14" s="372">
        <f t="shared" si="3"/>
        <v>-63.387734165923291</v>
      </c>
      <c r="Q14" s="374">
        <f t="shared" si="4"/>
        <v>80311.25092549996</v>
      </c>
      <c r="R14" s="373">
        <f t="shared" si="5"/>
        <v>87277.202765388036</v>
      </c>
      <c r="S14" s="372">
        <f t="shared" si="6"/>
        <v>6965.9518398880755</v>
      </c>
      <c r="T14" s="374">
        <f t="shared" si="7"/>
        <v>18006.979834500031</v>
      </c>
      <c r="U14" s="373">
        <f t="shared" si="8"/>
        <v>10581.262890276543</v>
      </c>
      <c r="V14" s="372">
        <f t="shared" si="9"/>
        <v>-7425.7169442234881</v>
      </c>
    </row>
    <row r="15" spans="4:22" ht="24" customHeight="1" x14ac:dyDescent="0.3">
      <c r="D15" s="323" t="s">
        <v>106</v>
      </c>
      <c r="E15" s="374">
        <f>+[4]김포!$Q$85</f>
        <v>99834.778492307698</v>
      </c>
      <c r="F15" s="373">
        <f>+[4]김포!$R$85</f>
        <v>94963.24080445501</v>
      </c>
      <c r="G15" s="372">
        <f t="shared" si="0"/>
        <v>-4871.5376878526877</v>
      </c>
      <c r="H15" s="374">
        <f>+[4]김포!$Q$20</f>
        <v>61815.0253914606</v>
      </c>
      <c r="I15" s="373">
        <f>+[4]김포!$R$20</f>
        <v>60898.890859433188</v>
      </c>
      <c r="J15" s="372">
        <f t="shared" si="1"/>
        <v>-916.13453202741221</v>
      </c>
      <c r="K15" s="374">
        <f>+[4]김포!$Q$21</f>
        <v>18949.053374639177</v>
      </c>
      <c r="L15" s="373">
        <f>+[4]김포!$R$21</f>
        <v>19161.415173979356</v>
      </c>
      <c r="M15" s="372">
        <f t="shared" si="2"/>
        <v>212.36179934017855</v>
      </c>
      <c r="N15" s="374">
        <f>+[4]김포!$Q$22</f>
        <v>60</v>
      </c>
      <c r="O15" s="373">
        <f>+[4]김포!$R$22</f>
        <v>86.436987904799068</v>
      </c>
      <c r="P15" s="372">
        <f t="shared" si="3"/>
        <v>26.436987904799068</v>
      </c>
      <c r="Q15" s="374">
        <f t="shared" si="4"/>
        <v>80824.078766099774</v>
      </c>
      <c r="R15" s="373">
        <f t="shared" si="5"/>
        <v>80146.74302131735</v>
      </c>
      <c r="S15" s="372">
        <f t="shared" si="6"/>
        <v>-677.33574478242372</v>
      </c>
      <c r="T15" s="374">
        <f t="shared" si="7"/>
        <v>19010.699726207924</v>
      </c>
      <c r="U15" s="373">
        <f t="shared" si="8"/>
        <v>14816.49778313766</v>
      </c>
      <c r="V15" s="372">
        <f t="shared" si="9"/>
        <v>-4194.201943070264</v>
      </c>
    </row>
    <row r="16" spans="4:22" ht="24" customHeight="1" x14ac:dyDescent="0.3">
      <c r="D16" s="378" t="s">
        <v>21</v>
      </c>
      <c r="E16" s="377">
        <f>+[4]부산!$Q$85</f>
        <v>111300.95526999999</v>
      </c>
      <c r="F16" s="376">
        <f>+[4]부산!$R$85</f>
        <v>119206.57404425633</v>
      </c>
      <c r="G16" s="375">
        <f t="shared" si="0"/>
        <v>7905.6187742563343</v>
      </c>
      <c r="H16" s="377">
        <f>+[4]부산!$Q$20</f>
        <v>63682.195295554702</v>
      </c>
      <c r="I16" s="376">
        <f>+[4]부산!$R$20</f>
        <v>70289.042438732809</v>
      </c>
      <c r="J16" s="375">
        <f t="shared" si="1"/>
        <v>6606.8471431781072</v>
      </c>
      <c r="K16" s="377">
        <f>+[4]부산!$Q$21</f>
        <v>21478.999652777777</v>
      </c>
      <c r="L16" s="376">
        <f>+[4]부산!$R$21</f>
        <v>22512.315370821645</v>
      </c>
      <c r="M16" s="375">
        <f t="shared" si="2"/>
        <v>1033.3157180438684</v>
      </c>
      <c r="N16" s="377">
        <f>+[4]부산!$Q$22</f>
        <v>200</v>
      </c>
      <c r="O16" s="376">
        <f>+[4]부산!$R$22</f>
        <v>422.32364706423289</v>
      </c>
      <c r="P16" s="375">
        <f t="shared" si="3"/>
        <v>222.32364706423289</v>
      </c>
      <c r="Q16" s="377">
        <f t="shared" si="4"/>
        <v>85361.194948332472</v>
      </c>
      <c r="R16" s="376">
        <f t="shared" si="5"/>
        <v>93223.68145661868</v>
      </c>
      <c r="S16" s="375">
        <f t="shared" si="6"/>
        <v>7862.4865082862088</v>
      </c>
      <c r="T16" s="377">
        <f t="shared" si="7"/>
        <v>25939.76032166752</v>
      </c>
      <c r="U16" s="376">
        <f t="shared" si="8"/>
        <v>25982.892587637645</v>
      </c>
      <c r="V16" s="375">
        <f t="shared" si="9"/>
        <v>43.132265970125445</v>
      </c>
    </row>
    <row r="17" spans="4:22" ht="24" customHeight="1" x14ac:dyDescent="0.3">
      <c r="D17" s="323" t="s">
        <v>22</v>
      </c>
      <c r="E17" s="374">
        <f>+[4]서부산!$Q$85</f>
        <v>104085.97967199997</v>
      </c>
      <c r="F17" s="373">
        <f>+[4]서부산!$R$85</f>
        <v>102473.05544475469</v>
      </c>
      <c r="G17" s="372">
        <f t="shared" si="0"/>
        <v>-1612.924227245283</v>
      </c>
      <c r="H17" s="374">
        <f>+[4]서부산!$Q$20</f>
        <v>60884.536481146482</v>
      </c>
      <c r="I17" s="373">
        <f>+[4]서부산!$R$20</f>
        <v>62663.777473075381</v>
      </c>
      <c r="J17" s="372">
        <f t="shared" si="1"/>
        <v>1779.2409919288984</v>
      </c>
      <c r="K17" s="374">
        <f>+[4]서부산!$Q$21</f>
        <v>16822.71940805186</v>
      </c>
      <c r="L17" s="373">
        <f>+[4]서부산!$R$21</f>
        <v>18474.604058635818</v>
      </c>
      <c r="M17" s="372">
        <f t="shared" si="2"/>
        <v>1651.8846505839574</v>
      </c>
      <c r="N17" s="374">
        <f>+[4]서부산!$Q$22</f>
        <v>180</v>
      </c>
      <c r="O17" s="373">
        <f>+[4]서부산!$R$22</f>
        <v>238.66723175109695</v>
      </c>
      <c r="P17" s="372">
        <f t="shared" si="3"/>
        <v>58.667231751096949</v>
      </c>
      <c r="Q17" s="374">
        <f t="shared" si="4"/>
        <v>77887.255889198335</v>
      </c>
      <c r="R17" s="373">
        <f t="shared" si="5"/>
        <v>81377.048763462299</v>
      </c>
      <c r="S17" s="372">
        <f t="shared" si="6"/>
        <v>3489.7928742639633</v>
      </c>
      <c r="T17" s="374">
        <f t="shared" si="7"/>
        <v>26198.723782801637</v>
      </c>
      <c r="U17" s="373">
        <f t="shared" si="8"/>
        <v>21096.006681292391</v>
      </c>
      <c r="V17" s="372">
        <f t="shared" si="9"/>
        <v>-5102.7171015092463</v>
      </c>
    </row>
    <row r="18" spans="4:22" ht="24" customHeight="1" x14ac:dyDescent="0.3">
      <c r="D18" s="323" t="s">
        <v>23</v>
      </c>
      <c r="E18" s="374">
        <f>+[4]김해!$Q$85</f>
        <v>101293.38087999998</v>
      </c>
      <c r="F18" s="373">
        <f>+[4]김해!$R$85</f>
        <v>99988.395504378408</v>
      </c>
      <c r="G18" s="372">
        <f t="shared" si="0"/>
        <v>-1304.9853756215743</v>
      </c>
      <c r="H18" s="374">
        <f>+[4]김해!$Q$20</f>
        <v>57092.128038608469</v>
      </c>
      <c r="I18" s="373">
        <f>+[4]김해!$R$20</f>
        <v>57735.150934289457</v>
      </c>
      <c r="J18" s="372">
        <f t="shared" si="1"/>
        <v>643.02289568098786</v>
      </c>
      <c r="K18" s="374">
        <f>+[4]김해!$Q$21</f>
        <v>20755.68186880244</v>
      </c>
      <c r="L18" s="373">
        <f>+[4]김해!$R$21</f>
        <v>22375.616906846859</v>
      </c>
      <c r="M18" s="372">
        <f t="shared" si="2"/>
        <v>1619.9350380444193</v>
      </c>
      <c r="N18" s="374">
        <f>+[4]김해!$Q$22</f>
        <v>488.88888888888886</v>
      </c>
      <c r="O18" s="373">
        <f>+[4]김해!$R$22</f>
        <v>701.47928014893466</v>
      </c>
      <c r="P18" s="372">
        <f t="shared" si="3"/>
        <v>212.59039126004581</v>
      </c>
      <c r="Q18" s="374">
        <f t="shared" si="4"/>
        <v>78336.698796299796</v>
      </c>
      <c r="R18" s="373">
        <f t="shared" si="5"/>
        <v>80812.247121285254</v>
      </c>
      <c r="S18" s="372">
        <f t="shared" si="6"/>
        <v>2475.5483249854587</v>
      </c>
      <c r="T18" s="374">
        <f t="shared" si="7"/>
        <v>22956.682083700187</v>
      </c>
      <c r="U18" s="373">
        <f t="shared" si="8"/>
        <v>19176.148383093154</v>
      </c>
      <c r="V18" s="372">
        <f t="shared" si="9"/>
        <v>-3780.5337006070331</v>
      </c>
    </row>
    <row r="19" spans="4:22" ht="24" customHeight="1" x14ac:dyDescent="0.3">
      <c r="D19" s="323" t="s">
        <v>24</v>
      </c>
      <c r="E19" s="374">
        <f>+[4]정관!$Q$85</f>
        <v>106002.7777009524</v>
      </c>
      <c r="F19" s="373">
        <f>+[4]정관!$R$85</f>
        <v>107919.72409517167</v>
      </c>
      <c r="G19" s="372">
        <f t="shared" si="0"/>
        <v>1916.9463942192669</v>
      </c>
      <c r="H19" s="374">
        <f>+[4]정관!$Q$20</f>
        <v>63171.069194145486</v>
      </c>
      <c r="I19" s="373">
        <f>+[4]정관!$R$20</f>
        <v>64178.26691467101</v>
      </c>
      <c r="J19" s="372">
        <f t="shared" si="1"/>
        <v>1007.1977205255243</v>
      </c>
      <c r="K19" s="374">
        <f>+[4]정관!$Q$21</f>
        <v>20365.236813186813</v>
      </c>
      <c r="L19" s="373">
        <f>+[4]정관!$R$21</f>
        <v>20063.839339688446</v>
      </c>
      <c r="M19" s="372">
        <f t="shared" si="2"/>
        <v>-301.39747349836762</v>
      </c>
      <c r="N19" s="374">
        <f>+[4]정관!$Q$22</f>
        <v>252.38095238095238</v>
      </c>
      <c r="O19" s="373">
        <f>+[4]정관!$R$22</f>
        <v>349.45973804541575</v>
      </c>
      <c r="P19" s="372">
        <f t="shared" si="3"/>
        <v>97.078785664463368</v>
      </c>
      <c r="Q19" s="374">
        <f t="shared" si="4"/>
        <v>83788.686959713246</v>
      </c>
      <c r="R19" s="373">
        <f t="shared" si="5"/>
        <v>84591.565992404881</v>
      </c>
      <c r="S19" s="372">
        <f t="shared" si="6"/>
        <v>802.87903269163508</v>
      </c>
      <c r="T19" s="374">
        <f t="shared" si="7"/>
        <v>22214.090741239153</v>
      </c>
      <c r="U19" s="373">
        <f t="shared" si="8"/>
        <v>23328.158102766785</v>
      </c>
      <c r="V19" s="372">
        <f t="shared" si="9"/>
        <v>1114.0673615276319</v>
      </c>
    </row>
    <row r="20" spans="4:22" ht="24" customHeight="1" x14ac:dyDescent="0.3">
      <c r="D20" s="323" t="s">
        <v>25</v>
      </c>
      <c r="E20" s="374">
        <f>+[4]양산!$Q$85</f>
        <v>100828.50433333335</v>
      </c>
      <c r="F20" s="373">
        <f>+[4]양산!$R$85</f>
        <v>105686.46269907795</v>
      </c>
      <c r="G20" s="372">
        <f t="shared" si="0"/>
        <v>4857.9583657446055</v>
      </c>
      <c r="H20" s="374">
        <f>+[4]양산!$Q$20</f>
        <v>56337.071041898409</v>
      </c>
      <c r="I20" s="373">
        <f>+[4]양산!$R$20</f>
        <v>54782.20766974015</v>
      </c>
      <c r="J20" s="372">
        <f t="shared" si="1"/>
        <v>-1554.8633721582592</v>
      </c>
      <c r="K20" s="374">
        <f>+[4]양산!$Q$21</f>
        <v>20719.509329448098</v>
      </c>
      <c r="L20" s="373">
        <f>+[4]양산!$R$21</f>
        <v>23403.075440067056</v>
      </c>
      <c r="M20" s="372">
        <f t="shared" si="2"/>
        <v>2683.5661106189582</v>
      </c>
      <c r="N20" s="374">
        <f>+[4]양산!$Q$22</f>
        <v>88.888888888888886</v>
      </c>
      <c r="O20" s="373">
        <f>+[4]양산!$R$22</f>
        <v>77.404023470243089</v>
      </c>
      <c r="P20" s="372">
        <f t="shared" si="3"/>
        <v>-11.484865418645796</v>
      </c>
      <c r="Q20" s="374">
        <f t="shared" si="4"/>
        <v>77145.46926023539</v>
      </c>
      <c r="R20" s="373">
        <f t="shared" si="5"/>
        <v>78262.687133277446</v>
      </c>
      <c r="S20" s="372">
        <f t="shared" si="6"/>
        <v>1117.2178730420565</v>
      </c>
      <c r="T20" s="374">
        <f t="shared" si="7"/>
        <v>23683.035073097955</v>
      </c>
      <c r="U20" s="373">
        <f t="shared" si="8"/>
        <v>27423.775565800504</v>
      </c>
      <c r="V20" s="372">
        <f t="shared" si="9"/>
        <v>3740.7404927025491</v>
      </c>
    </row>
    <row r="21" spans="4:22" ht="24" customHeight="1" x14ac:dyDescent="0.3">
      <c r="D21" s="323" t="s">
        <v>26</v>
      </c>
      <c r="E21" s="374">
        <f>+[4]창원!$Q$85</f>
        <v>96922.491042646026</v>
      </c>
      <c r="F21" s="373">
        <f>+[4]창원!$R$85</f>
        <v>98451.086956521729</v>
      </c>
      <c r="G21" s="372">
        <f t="shared" si="0"/>
        <v>1528.5959138757025</v>
      </c>
      <c r="H21" s="374">
        <f>+[4]창원!$Q$20</f>
        <v>58264.41072395254</v>
      </c>
      <c r="I21" s="373">
        <f>+[4]창원!$R$20</f>
        <v>56851.647664199816</v>
      </c>
      <c r="J21" s="372">
        <f t="shared" si="1"/>
        <v>-1412.7630597527241</v>
      </c>
      <c r="K21" s="374">
        <f>+[4]창원!$Q$21</f>
        <v>18869.991286727458</v>
      </c>
      <c r="L21" s="373">
        <f>+[4]창원!$R$21</f>
        <v>17517.293593894541</v>
      </c>
      <c r="M21" s="372">
        <f t="shared" si="2"/>
        <v>-1352.6976928329168</v>
      </c>
      <c r="N21" s="374">
        <f>+[4]창원!$Q$22</f>
        <v>125</v>
      </c>
      <c r="O21" s="373">
        <f>+[4]창원!$R$22</f>
        <v>90.503584643848285</v>
      </c>
      <c r="P21" s="372">
        <f t="shared" si="3"/>
        <v>-34.496415356151715</v>
      </c>
      <c r="Q21" s="374">
        <f t="shared" si="4"/>
        <v>77259.402010680002</v>
      </c>
      <c r="R21" s="373">
        <f t="shared" si="5"/>
        <v>74459.444842738216</v>
      </c>
      <c r="S21" s="372">
        <f t="shared" si="6"/>
        <v>-2799.9571679417859</v>
      </c>
      <c r="T21" s="374">
        <f t="shared" si="7"/>
        <v>19663.089031966025</v>
      </c>
      <c r="U21" s="373">
        <f t="shared" si="8"/>
        <v>23991.642113783513</v>
      </c>
      <c r="V21" s="372">
        <f t="shared" si="9"/>
        <v>4328.5530818174884</v>
      </c>
    </row>
    <row r="22" spans="4:22" ht="24" customHeight="1" x14ac:dyDescent="0.3">
      <c r="D22" s="323" t="s">
        <v>127</v>
      </c>
      <c r="E22" s="374">
        <f>+[4]대구!$Q$85</f>
        <v>90977.461119999993</v>
      </c>
      <c r="F22" s="373">
        <f>+[4]대구!$R$85</f>
        <v>85015.152376440848</v>
      </c>
      <c r="G22" s="372">
        <f t="shared" si="0"/>
        <v>-5962.3087435591442</v>
      </c>
      <c r="H22" s="374">
        <f>+[4]대구!$Q$20</f>
        <v>52889.987524058575</v>
      </c>
      <c r="I22" s="373">
        <f>+[4]대구!$R$20</f>
        <v>51700.94110216327</v>
      </c>
      <c r="J22" s="372">
        <f t="shared" si="1"/>
        <v>-1189.0464218953057</v>
      </c>
      <c r="K22" s="374">
        <f>+[4]대구!$Q$21</f>
        <v>17937.900797448168</v>
      </c>
      <c r="L22" s="373">
        <f>+[4]대구!$R$21</f>
        <v>19564.045160271595</v>
      </c>
      <c r="M22" s="372">
        <f t="shared" si="2"/>
        <v>1626.1443628234265</v>
      </c>
      <c r="N22" s="374">
        <f>+[4]대구!$Q$22</f>
        <v>400</v>
      </c>
      <c r="O22" s="373">
        <f>+[4]대구!$R$22</f>
        <v>322.37044054950258</v>
      </c>
      <c r="P22" s="372">
        <f t="shared" si="3"/>
        <v>-77.629559450497425</v>
      </c>
      <c r="Q22" s="374">
        <f t="shared" si="4"/>
        <v>71227.888321506747</v>
      </c>
      <c r="R22" s="373">
        <f t="shared" si="5"/>
        <v>71587.356702984369</v>
      </c>
      <c r="S22" s="372">
        <f t="shared" si="6"/>
        <v>359.46838147762173</v>
      </c>
      <c r="T22" s="374">
        <f t="shared" si="7"/>
        <v>19749.572798493246</v>
      </c>
      <c r="U22" s="373">
        <f t="shared" si="8"/>
        <v>13427.79567345648</v>
      </c>
      <c r="V22" s="372">
        <f t="shared" si="9"/>
        <v>-6321.7771250367659</v>
      </c>
    </row>
    <row r="23" spans="4:22" ht="24" customHeight="1" x14ac:dyDescent="0.3">
      <c r="D23" s="323" t="s">
        <v>126</v>
      </c>
      <c r="E23" s="374">
        <f>+[4]울산!$Q$85</f>
        <v>104353.06186956521</v>
      </c>
      <c r="F23" s="373">
        <f>+[4]울산!$R$85</f>
        <v>104675.3448708302</v>
      </c>
      <c r="G23" s="372">
        <f t="shared" si="0"/>
        <v>322.2830012649938</v>
      </c>
      <c r="H23" s="374">
        <f>+[4]울산!$Q$20</f>
        <v>61156.213320436575</v>
      </c>
      <c r="I23" s="373">
        <f>+[4]울산!$R$20</f>
        <v>63082.599265012948</v>
      </c>
      <c r="J23" s="372">
        <f t="shared" si="1"/>
        <v>1926.3859445763737</v>
      </c>
      <c r="K23" s="374">
        <f>+[4]울산!$Q$21</f>
        <v>21414.620610766044</v>
      </c>
      <c r="L23" s="373">
        <f>+[4]울산!$R$21</f>
        <v>21136.655057212061</v>
      </c>
      <c r="M23" s="372">
        <f t="shared" si="2"/>
        <v>-277.96555355398232</v>
      </c>
      <c r="N23" s="374">
        <f>+[4]울산!$Q$22</f>
        <v>278.26086956521738</v>
      </c>
      <c r="O23" s="373">
        <f>+[4]울산!$R$22</f>
        <v>294.29741919318468</v>
      </c>
      <c r="P23" s="372">
        <f t="shared" si="3"/>
        <v>16.036549627967304</v>
      </c>
      <c r="Q23" s="374">
        <f t="shared" si="4"/>
        <v>82849.094800767838</v>
      </c>
      <c r="R23" s="373">
        <f t="shared" si="5"/>
        <v>84513.551741418196</v>
      </c>
      <c r="S23" s="372">
        <f t="shared" si="6"/>
        <v>1664.4569406503579</v>
      </c>
      <c r="T23" s="374">
        <f t="shared" si="7"/>
        <v>21503.96706879737</v>
      </c>
      <c r="U23" s="373">
        <f t="shared" si="8"/>
        <v>20161.793129412006</v>
      </c>
      <c r="V23" s="372">
        <f t="shared" si="9"/>
        <v>-1342.1739393853641</v>
      </c>
    </row>
    <row r="24" spans="4:22" ht="24" customHeight="1" x14ac:dyDescent="0.3">
      <c r="D24" s="378" t="s">
        <v>27</v>
      </c>
      <c r="E24" s="377">
        <f>+[4]아산!$Q$85</f>
        <v>96533.529090909069</v>
      </c>
      <c r="F24" s="376">
        <f>+[4]아산!$R$85</f>
        <v>96951.990447007949</v>
      </c>
      <c r="G24" s="375">
        <f t="shared" si="0"/>
        <v>418.46135609888006</v>
      </c>
      <c r="H24" s="377">
        <f>+[4]아산!$Q$20</f>
        <v>58210.465843847167</v>
      </c>
      <c r="I24" s="376">
        <f>+[4]아산!$R$20</f>
        <v>60777.044574515981</v>
      </c>
      <c r="J24" s="375">
        <f t="shared" si="1"/>
        <v>2566.5787306688144</v>
      </c>
      <c r="K24" s="377">
        <f>+[4]아산!$Q$21</f>
        <v>21915.89118083004</v>
      </c>
      <c r="L24" s="376">
        <f>+[4]아산!$R$21</f>
        <v>21571.939036470059</v>
      </c>
      <c r="M24" s="375">
        <f t="shared" si="2"/>
        <v>-343.95214435998059</v>
      </c>
      <c r="N24" s="377">
        <f>+[4]아산!$Q$22</f>
        <v>136.36363636363635</v>
      </c>
      <c r="O24" s="376">
        <f>+[4]아산!$R$22</f>
        <v>187.65848716794238</v>
      </c>
      <c r="P24" s="375">
        <f t="shared" si="3"/>
        <v>51.294850804306037</v>
      </c>
      <c r="Q24" s="377">
        <f t="shared" si="4"/>
        <v>80262.720661040847</v>
      </c>
      <c r="R24" s="376">
        <f t="shared" si="5"/>
        <v>82536.64209815397</v>
      </c>
      <c r="S24" s="375">
        <f t="shared" si="6"/>
        <v>2273.9214371131238</v>
      </c>
      <c r="T24" s="377">
        <f t="shared" si="7"/>
        <v>16270.808429868222</v>
      </c>
      <c r="U24" s="376">
        <f t="shared" si="8"/>
        <v>14415.348348853979</v>
      </c>
      <c r="V24" s="375">
        <f t="shared" si="9"/>
        <v>-1855.4600810142438</v>
      </c>
    </row>
    <row r="25" spans="4:22" ht="24" customHeight="1" x14ac:dyDescent="0.3">
      <c r="D25" s="323" t="s">
        <v>125</v>
      </c>
      <c r="E25" s="374">
        <f>+[4]전주!$Q$85</f>
        <v>101990.31399999998</v>
      </c>
      <c r="F25" s="373">
        <f>+[4]전주!$R$85</f>
        <v>100264.54051673519</v>
      </c>
      <c r="G25" s="372">
        <f t="shared" si="0"/>
        <v>-1725.7734832647984</v>
      </c>
      <c r="H25" s="374">
        <f>+[4]전주!$Q$20</f>
        <v>62048.690816666669</v>
      </c>
      <c r="I25" s="373">
        <f>+[4]전주!$R$20</f>
        <v>61042.034130945387</v>
      </c>
      <c r="J25" s="372">
        <f t="shared" si="1"/>
        <v>-1006.656685721282</v>
      </c>
      <c r="K25" s="374">
        <f>+[4]전주!$Q$21</f>
        <v>15712.813190656569</v>
      </c>
      <c r="L25" s="373">
        <f>+[4]전주!$R$21</f>
        <v>17234.333602466235</v>
      </c>
      <c r="M25" s="372">
        <f t="shared" si="2"/>
        <v>1521.5204118096663</v>
      </c>
      <c r="N25" s="374">
        <f>+[4]전주!$Q$22</f>
        <v>350</v>
      </c>
      <c r="O25" s="373">
        <f>+[4]전주!$R$22</f>
        <v>283.82053728714033</v>
      </c>
      <c r="P25" s="372">
        <f t="shared" si="3"/>
        <v>-66.179462712859674</v>
      </c>
      <c r="Q25" s="374">
        <f t="shared" si="4"/>
        <v>78111.504007323238</v>
      </c>
      <c r="R25" s="373">
        <f t="shared" si="5"/>
        <v>78560.188270698767</v>
      </c>
      <c r="S25" s="372">
        <f t="shared" si="6"/>
        <v>448.68426337552955</v>
      </c>
      <c r="T25" s="374">
        <f t="shared" si="7"/>
        <v>23878.809992676746</v>
      </c>
      <c r="U25" s="373">
        <f t="shared" si="8"/>
        <v>21704.352246036418</v>
      </c>
      <c r="V25" s="372">
        <f t="shared" si="9"/>
        <v>-2174.457746640328</v>
      </c>
    </row>
    <row r="26" spans="4:22" ht="24" customHeight="1" x14ac:dyDescent="0.3">
      <c r="D26" s="323" t="s">
        <v>124</v>
      </c>
      <c r="E26" s="374">
        <f>+[4]군산!$Q$85</f>
        <v>109031.39600000001</v>
      </c>
      <c r="F26" s="373">
        <f>+[4]군산!$R$85</f>
        <v>107776.79308975379</v>
      </c>
      <c r="G26" s="372">
        <f t="shared" si="0"/>
        <v>-1254.6029102462198</v>
      </c>
      <c r="H26" s="374">
        <f>+[4]군산!$Q$20</f>
        <v>58740.195150166852</v>
      </c>
      <c r="I26" s="373">
        <f>+[4]군산!$R$20</f>
        <v>59027.821286735496</v>
      </c>
      <c r="J26" s="372">
        <f t="shared" si="1"/>
        <v>287.62613656864414</v>
      </c>
      <c r="K26" s="374">
        <f>+[4]군산!$Q$21</f>
        <v>14291.403201082994</v>
      </c>
      <c r="L26" s="373">
        <f>+[4]군산!$R$21</f>
        <v>14647.664416203337</v>
      </c>
      <c r="M26" s="372">
        <f t="shared" si="2"/>
        <v>356.26121512034297</v>
      </c>
      <c r="N26" s="374">
        <f>+[4]군산!$Q$22</f>
        <v>75.555555555555557</v>
      </c>
      <c r="O26" s="373">
        <f>+[4]군산!$R$22</f>
        <v>60.718427323272444</v>
      </c>
      <c r="P26" s="372">
        <f t="shared" si="3"/>
        <v>-14.837128232283114</v>
      </c>
      <c r="Q26" s="374">
        <f t="shared" si="4"/>
        <v>73107.153906805412</v>
      </c>
      <c r="R26" s="373">
        <f t="shared" si="5"/>
        <v>73736.204130262107</v>
      </c>
      <c r="S26" s="372">
        <f t="shared" si="6"/>
        <v>629.05022345669568</v>
      </c>
      <c r="T26" s="374">
        <f t="shared" si="7"/>
        <v>35924.242093194596</v>
      </c>
      <c r="U26" s="373">
        <f t="shared" si="8"/>
        <v>34040.588959491681</v>
      </c>
      <c r="V26" s="372">
        <f t="shared" si="9"/>
        <v>-1883.6531337029155</v>
      </c>
    </row>
    <row r="27" spans="4:22" ht="24" customHeight="1" x14ac:dyDescent="0.3">
      <c r="D27" s="323" t="s">
        <v>123</v>
      </c>
      <c r="E27" s="374">
        <f>+[4]원주!$Q$85</f>
        <v>110952.12037000002</v>
      </c>
      <c r="F27" s="373">
        <f>+[4]원주!$R$85</f>
        <v>128270.06868131869</v>
      </c>
      <c r="G27" s="372">
        <f t="shared" si="0"/>
        <v>17317.948311318672</v>
      </c>
      <c r="H27" s="374">
        <f>+[4]원주!$Q$20</f>
        <v>56848.758709677422</v>
      </c>
      <c r="I27" s="373">
        <f>+[4]원주!$R$20</f>
        <v>66088.832967032969</v>
      </c>
      <c r="J27" s="372">
        <f t="shared" si="1"/>
        <v>9240.0742573555472</v>
      </c>
      <c r="K27" s="374">
        <f>+[4]원주!$Q$21</f>
        <v>14791.004200021</v>
      </c>
      <c r="L27" s="373">
        <f>+[4]원주!$R$21</f>
        <v>13926.033241758243</v>
      </c>
      <c r="M27" s="372">
        <f t="shared" si="2"/>
        <v>-864.97095826275654</v>
      </c>
      <c r="N27" s="374">
        <f>+[4]원주!$Q$22</f>
        <v>375</v>
      </c>
      <c r="O27" s="373">
        <f>+[4]원주!$R$22</f>
        <v>692.90192307692314</v>
      </c>
      <c r="P27" s="372">
        <f t="shared" si="3"/>
        <v>317.90192307692314</v>
      </c>
      <c r="Q27" s="374">
        <f t="shared" si="4"/>
        <v>72014.762909698416</v>
      </c>
      <c r="R27" s="373">
        <f t="shared" si="5"/>
        <v>80707.768131868128</v>
      </c>
      <c r="S27" s="372">
        <f t="shared" si="6"/>
        <v>8693.0052221697115</v>
      </c>
      <c r="T27" s="374">
        <f t="shared" si="7"/>
        <v>38937.357460301602</v>
      </c>
      <c r="U27" s="373">
        <f t="shared" si="8"/>
        <v>47562.300549450563</v>
      </c>
      <c r="V27" s="372">
        <f t="shared" si="9"/>
        <v>8624.943089148961</v>
      </c>
    </row>
    <row r="28" spans="4:22" ht="24" customHeight="1" x14ac:dyDescent="0.3">
      <c r="D28" s="318" t="s">
        <v>122</v>
      </c>
      <c r="E28" s="371">
        <f>+[4]제주!$Q$85</f>
        <v>122710.27000000002</v>
      </c>
      <c r="F28" s="370">
        <f>+[4]제주!$R$85</f>
        <v>127053.40116495227</v>
      </c>
      <c r="G28" s="369">
        <f t="shared" si="0"/>
        <v>4343.131164952254</v>
      </c>
      <c r="H28" s="371">
        <f>+[4]제주!$Q$20</f>
        <v>77052.884671857624</v>
      </c>
      <c r="I28" s="370">
        <f>+[4]제주!$R$20</f>
        <v>81475.475523608882</v>
      </c>
      <c r="J28" s="369">
        <f t="shared" si="1"/>
        <v>4422.590851751258</v>
      </c>
      <c r="K28" s="371">
        <f>+[4]제주!$Q$21</f>
        <v>17312.239445262639</v>
      </c>
      <c r="L28" s="370">
        <f>+[4]제주!$R$21</f>
        <v>16612.281819308464</v>
      </c>
      <c r="M28" s="369">
        <f t="shared" si="2"/>
        <v>-699.95762595417546</v>
      </c>
      <c r="N28" s="371">
        <f>+[4]제주!$Q$22</f>
        <v>416.66666666666669</v>
      </c>
      <c r="O28" s="370">
        <f>+[4]제주!$R$22</f>
        <v>446.34700706407239</v>
      </c>
      <c r="P28" s="369">
        <f t="shared" si="3"/>
        <v>29.680340397405701</v>
      </c>
      <c r="Q28" s="371">
        <f t="shared" si="4"/>
        <v>94781.790783786928</v>
      </c>
      <c r="R28" s="370">
        <f t="shared" si="5"/>
        <v>98534.104349981426</v>
      </c>
      <c r="S28" s="369">
        <f t="shared" si="6"/>
        <v>3752.313566194498</v>
      </c>
      <c r="T28" s="371">
        <f t="shared" si="7"/>
        <v>27928.479216213091</v>
      </c>
      <c r="U28" s="370">
        <f t="shared" si="8"/>
        <v>28519.296814970847</v>
      </c>
      <c r="V28" s="369">
        <f t="shared" si="9"/>
        <v>590.81759875775606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D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I10" sqref="I10"/>
      <selection pane="topRight" activeCell="I10" sqref="I10"/>
      <selection pane="bottomLeft" activeCell="I10" sqref="I10"/>
      <selection pane="bottomRight" activeCell="F15" sqref="F15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214</v>
      </c>
      <c r="F4" s="368"/>
      <c r="I4" s="368"/>
    </row>
    <row r="5" spans="4:22" ht="21.95" customHeight="1" x14ac:dyDescent="0.3"/>
    <row r="6" spans="4:22" ht="24" customHeight="1" thickBot="1" x14ac:dyDescent="0.35">
      <c r="D6" s="692" t="s">
        <v>11</v>
      </c>
      <c r="E6" s="366" t="s">
        <v>147</v>
      </c>
      <c r="F6" s="365"/>
      <c r="G6" s="364"/>
      <c r="H6" s="366" t="s">
        <v>146</v>
      </c>
      <c r="I6" s="365"/>
      <c r="J6" s="364"/>
      <c r="K6" s="366" t="s">
        <v>145</v>
      </c>
      <c r="L6" s="365"/>
      <c r="M6" s="364"/>
      <c r="N6" s="366" t="s">
        <v>144</v>
      </c>
      <c r="O6" s="365"/>
      <c r="P6" s="364"/>
      <c r="Q6" s="366" t="s">
        <v>143</v>
      </c>
      <c r="R6" s="365"/>
      <c r="S6" s="364"/>
      <c r="T6" s="366" t="s">
        <v>142</v>
      </c>
      <c r="U6" s="365"/>
      <c r="V6" s="364"/>
    </row>
    <row r="7" spans="4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411">
        <f>+[4]합계!$G$9</f>
        <v>97496.758113411066</v>
      </c>
      <c r="F8" s="410">
        <f>+[4]합계!$H$9</f>
        <v>100485.23840360728</v>
      </c>
      <c r="G8" s="409">
        <f t="shared" ref="G8:G28" si="0">+F8-E8</f>
        <v>2988.4802901962103</v>
      </c>
      <c r="H8" s="411">
        <f>+[4]합계!$G$10</f>
        <v>91700.575784405795</v>
      </c>
      <c r="I8" s="410">
        <f>+[4]합계!$H$10</f>
        <v>96023.639589818384</v>
      </c>
      <c r="J8" s="409">
        <f t="shared" ref="J8:J28" si="1">+I8-H8</f>
        <v>4323.0638054125884</v>
      </c>
      <c r="K8" s="411">
        <f>+[4]합계!$G$12</f>
        <v>59582.232771882649</v>
      </c>
      <c r="L8" s="410">
        <f>+[4]합계!$H$12</f>
        <v>60165.87189868986</v>
      </c>
      <c r="M8" s="409">
        <f t="shared" ref="M8:M28" si="2">+L8-K8</f>
        <v>583.63912680721114</v>
      </c>
      <c r="N8" s="411">
        <f>+[4]합계!$G$13</f>
        <v>36039.36310741651</v>
      </c>
      <c r="O8" s="410">
        <f>+[4]합계!$H$13</f>
        <v>34915.146482738361</v>
      </c>
      <c r="P8" s="409">
        <f t="shared" ref="P8:P28" si="3">+O8-N8</f>
        <v>-1124.2166246781489</v>
      </c>
      <c r="Q8" s="411">
        <f>+[4]합계!$G$16</f>
        <v>12957.369525965174</v>
      </c>
      <c r="R8" s="410">
        <f>+[4]합계!$H$16</f>
        <v>12998.037074560843</v>
      </c>
      <c r="S8" s="409">
        <f t="shared" ref="S8:S28" si="4">+R8-Q8</f>
        <v>40.667548595669359</v>
      </c>
      <c r="T8" s="411">
        <f>+[4]합계!$G$17</f>
        <v>15626.485844941251</v>
      </c>
      <c r="U8" s="410">
        <f>+[4]합계!$H$17</f>
        <v>15221.419209520996</v>
      </c>
      <c r="V8" s="409">
        <f t="shared" ref="V8:V28" si="5">+U8-T8</f>
        <v>-405.0666354202549</v>
      </c>
    </row>
    <row r="9" spans="4:22" ht="24" customHeight="1" x14ac:dyDescent="0.3">
      <c r="D9" s="352" t="s">
        <v>16</v>
      </c>
      <c r="E9" s="408">
        <f>+[4]수도권!$G$9</f>
        <v>97000</v>
      </c>
      <c r="F9" s="407">
        <f>+[4]수도권!$H$9</f>
        <v>100361.33053516323</v>
      </c>
      <c r="G9" s="406">
        <f t="shared" si="0"/>
        <v>3361.3305351632298</v>
      </c>
      <c r="H9" s="408">
        <f>+[4]수도권!$G$10</f>
        <v>95767.241379310348</v>
      </c>
      <c r="I9" s="407">
        <f>+[4]수도권!$H$10</f>
        <v>98961.275674737903</v>
      </c>
      <c r="J9" s="406">
        <f t="shared" si="1"/>
        <v>3194.0342954275548</v>
      </c>
      <c r="K9" s="408">
        <f>+[4]수도권!$G$12</f>
        <v>60000.000000000007</v>
      </c>
      <c r="L9" s="407">
        <f>+[4]수도권!$H$12</f>
        <v>59414.335325755441</v>
      </c>
      <c r="M9" s="406">
        <f t="shared" si="2"/>
        <v>-585.66467424456641</v>
      </c>
      <c r="N9" s="408">
        <f>+[4]수도권!$G$13</f>
        <v>39844.62513078293</v>
      </c>
      <c r="O9" s="407">
        <f>+[4]수도권!$H$13</f>
        <v>37736.724243623241</v>
      </c>
      <c r="P9" s="406">
        <f t="shared" si="3"/>
        <v>-2107.9008871596889</v>
      </c>
      <c r="Q9" s="408">
        <f>+[4]수도권!$G$16</f>
        <v>14880.340885538188</v>
      </c>
      <c r="R9" s="407">
        <f>+[4]수도권!$H$16</f>
        <v>14732.759490751661</v>
      </c>
      <c r="S9" s="406">
        <f t="shared" si="4"/>
        <v>-147.58139478652629</v>
      </c>
      <c r="T9" s="408">
        <f>+[4]수도권!$G$17</f>
        <v>13717.343173736836</v>
      </c>
      <c r="U9" s="407">
        <f>+[4]수도권!$H$17</f>
        <v>13464.470029640581</v>
      </c>
      <c r="V9" s="406">
        <f t="shared" si="5"/>
        <v>-252.87314409625469</v>
      </c>
    </row>
    <row r="10" spans="4:22" ht="24" customHeight="1" x14ac:dyDescent="0.3">
      <c r="D10" s="347" t="s">
        <v>17</v>
      </c>
      <c r="E10" s="405">
        <f>+[4]영남권!$G$9</f>
        <v>97000.000000000015</v>
      </c>
      <c r="F10" s="404">
        <f>+[4]영남권!$H$9</f>
        <v>100000.00004748325</v>
      </c>
      <c r="G10" s="403">
        <f t="shared" si="0"/>
        <v>3000.0000474832341</v>
      </c>
      <c r="H10" s="405">
        <f>+[4]영남권!$G$10</f>
        <v>90510.543605391897</v>
      </c>
      <c r="I10" s="404">
        <f>+[4]영남권!$H$10</f>
        <v>94489.553776595334</v>
      </c>
      <c r="J10" s="403">
        <f t="shared" si="1"/>
        <v>3979.0101712034375</v>
      </c>
      <c r="K10" s="405">
        <f>+[4]영남권!$G$12</f>
        <v>58892.150105328386</v>
      </c>
      <c r="L10" s="404">
        <f>+[4]영남권!$H$12</f>
        <v>61152.660978983971</v>
      </c>
      <c r="M10" s="403">
        <f t="shared" si="2"/>
        <v>2260.5108736555849</v>
      </c>
      <c r="N10" s="405">
        <f>+[4]영남권!$G$13</f>
        <v>32441.094089129627</v>
      </c>
      <c r="O10" s="404">
        <f>+[4]영남권!$H$13</f>
        <v>33780.148612999605</v>
      </c>
      <c r="P10" s="403">
        <f t="shared" si="3"/>
        <v>1339.0545238699779</v>
      </c>
      <c r="Q10" s="405">
        <f>+[4]영남권!$G$16</f>
        <v>11052.632485287793</v>
      </c>
      <c r="R10" s="404">
        <f>+[4]영남권!$H$16</f>
        <v>11087.47015888685</v>
      </c>
      <c r="S10" s="403">
        <f t="shared" si="4"/>
        <v>34.83767359905687</v>
      </c>
      <c r="T10" s="405">
        <f>+[4]영남권!$G$17</f>
        <v>17859.750072179359</v>
      </c>
      <c r="U10" s="404">
        <f>+[4]영남권!$H$17</f>
        <v>17546.721159546105</v>
      </c>
      <c r="V10" s="403">
        <f t="shared" si="5"/>
        <v>-313.02891263325364</v>
      </c>
    </row>
    <row r="11" spans="4:22" ht="24" customHeight="1" x14ac:dyDescent="0.3">
      <c r="D11" s="342" t="s">
        <v>128</v>
      </c>
      <c r="E11" s="402">
        <f>+[4]중부권!$G$9</f>
        <v>99442.183663870281</v>
      </c>
      <c r="F11" s="401">
        <f>+[4]중부권!$H$9</f>
        <v>101408.92139306049</v>
      </c>
      <c r="G11" s="400">
        <f t="shared" si="0"/>
        <v>1966.7377291902085</v>
      </c>
      <c r="H11" s="402">
        <f>+[4]중부권!$G$10</f>
        <v>94500</v>
      </c>
      <c r="I11" s="401">
        <f>+[4]중부권!$H$10</f>
        <v>99865.793139381596</v>
      </c>
      <c r="J11" s="400">
        <f t="shared" si="1"/>
        <v>5365.7931393815961</v>
      </c>
      <c r="K11" s="402">
        <f>+[4]중부권!$G$12</f>
        <v>60365.564036217256</v>
      </c>
      <c r="L11" s="401">
        <f>+[4]중부권!$H$12</f>
        <v>60117.4665058342</v>
      </c>
      <c r="M11" s="400">
        <f t="shared" si="2"/>
        <v>-248.09753038305644</v>
      </c>
      <c r="N11" s="402">
        <f>+[4]중부권!$G$13</f>
        <v>37027.561041214278</v>
      </c>
      <c r="O11" s="401">
        <f>+[4]중부권!$H$13</f>
        <v>32087.23705950984</v>
      </c>
      <c r="P11" s="400">
        <f t="shared" si="3"/>
        <v>-4940.3239817044378</v>
      </c>
      <c r="Q11" s="402">
        <f>+[4]중부권!$G$16</f>
        <v>13029.619446873332</v>
      </c>
      <c r="R11" s="401">
        <f>+[4]중부권!$H$16</f>
        <v>12820.649436667783</v>
      </c>
      <c r="S11" s="400">
        <f t="shared" si="4"/>
        <v>-208.97001020554853</v>
      </c>
      <c r="T11" s="402">
        <f>+[4]중부권!$G$17</f>
        <v>14480.190190638266</v>
      </c>
      <c r="U11" s="401">
        <f>+[4]중부권!$H$17</f>
        <v>14434.870454502292</v>
      </c>
      <c r="V11" s="400">
        <f t="shared" si="5"/>
        <v>-45.319736135974381</v>
      </c>
    </row>
    <row r="12" spans="4:22" ht="24" customHeight="1" x14ac:dyDescent="0.3">
      <c r="D12" s="382" t="s">
        <v>18</v>
      </c>
      <c r="E12" s="399">
        <f>+[4]안양!$G$9</f>
        <v>97000</v>
      </c>
      <c r="F12" s="398">
        <f>+[4]안양!$H$9</f>
        <v>99730.6080919792</v>
      </c>
      <c r="G12" s="397">
        <f t="shared" si="0"/>
        <v>2730.6080919792003</v>
      </c>
      <c r="H12" s="399">
        <f>+[4]안양!$G$10</f>
        <v>0</v>
      </c>
      <c r="I12" s="398">
        <f>+[4]안양!$H$10</f>
        <v>100499.9951798533</v>
      </c>
      <c r="J12" s="397">
        <f t="shared" si="1"/>
        <v>100499.9951798533</v>
      </c>
      <c r="K12" s="399">
        <f>+[4]안양!$G$12</f>
        <v>60000</v>
      </c>
      <c r="L12" s="398">
        <f>+[4]안양!$H$12</f>
        <v>59815.80774582053</v>
      </c>
      <c r="M12" s="397">
        <f t="shared" si="2"/>
        <v>-184.19225417947018</v>
      </c>
      <c r="N12" s="399">
        <f>+[4]안양!$G$13</f>
        <v>38500</v>
      </c>
      <c r="O12" s="398">
        <f>+[4]안양!$H$13</f>
        <v>37298.559154196511</v>
      </c>
      <c r="P12" s="397">
        <f t="shared" si="3"/>
        <v>-1201.4408458034886</v>
      </c>
      <c r="Q12" s="399">
        <f>+[4]안양!$G$16</f>
        <v>14133.333333333332</v>
      </c>
      <c r="R12" s="398">
        <f>+[4]안양!$H$16</f>
        <v>14024.688813163839</v>
      </c>
      <c r="S12" s="397">
        <f t="shared" si="4"/>
        <v>-108.64452016949326</v>
      </c>
      <c r="T12" s="399">
        <f>+[4]안양!$G$17</f>
        <v>13548.387096774193</v>
      </c>
      <c r="U12" s="398">
        <f>+[4]안양!$H$17</f>
        <v>13582.347496324175</v>
      </c>
      <c r="V12" s="397">
        <f t="shared" si="5"/>
        <v>33.960399549981958</v>
      </c>
    </row>
    <row r="13" spans="4:22" ht="24" customHeight="1" x14ac:dyDescent="0.3">
      <c r="D13" s="323" t="s">
        <v>19</v>
      </c>
      <c r="E13" s="392">
        <f>+[4]인천!$G$9</f>
        <v>97000</v>
      </c>
      <c r="F13" s="391">
        <f>+[4]인천!$H$9</f>
        <v>101523.81741898452</v>
      </c>
      <c r="G13" s="390">
        <f t="shared" si="0"/>
        <v>4523.8174189845158</v>
      </c>
      <c r="H13" s="392">
        <f>+[4]인천!$G$10</f>
        <v>97000</v>
      </c>
      <c r="I13" s="391">
        <f>+[4]인천!$H$10</f>
        <v>99588.307650092873</v>
      </c>
      <c r="J13" s="390">
        <f t="shared" si="1"/>
        <v>2588.3076500928728</v>
      </c>
      <c r="K13" s="392">
        <f>+[4]인천!$G$12</f>
        <v>60000</v>
      </c>
      <c r="L13" s="391">
        <f>+[4]인천!$H$12</f>
        <v>58696.41630292272</v>
      </c>
      <c r="M13" s="390">
        <f t="shared" si="2"/>
        <v>-1303.5836970772798</v>
      </c>
      <c r="N13" s="392">
        <f>+[4]인천!$G$13</f>
        <v>39000</v>
      </c>
      <c r="O13" s="391">
        <f>+[4]인천!$H$13</f>
        <v>36537.920671764703</v>
      </c>
      <c r="P13" s="390">
        <f t="shared" si="3"/>
        <v>-2462.079328235297</v>
      </c>
      <c r="Q13" s="392">
        <f>+[4]인천!$G$16</f>
        <v>15333.333333333334</v>
      </c>
      <c r="R13" s="391">
        <f>+[4]인천!$H$16</f>
        <v>15352.114856540489</v>
      </c>
      <c r="S13" s="390">
        <f t="shared" si="4"/>
        <v>18.78152320715526</v>
      </c>
      <c r="T13" s="392">
        <f>+[4]인천!$G$17</f>
        <v>13953.501986654452</v>
      </c>
      <c r="U13" s="391">
        <f>+[4]인천!$H$17</f>
        <v>13657.670497595847</v>
      </c>
      <c r="V13" s="390">
        <f t="shared" si="5"/>
        <v>-295.83148905860435</v>
      </c>
    </row>
    <row r="14" spans="4:22" ht="24" customHeight="1" x14ac:dyDescent="0.3">
      <c r="D14" s="323" t="s">
        <v>20</v>
      </c>
      <c r="E14" s="392">
        <f>+[4]파주!$G$9</f>
        <v>97000.000000000029</v>
      </c>
      <c r="F14" s="391">
        <f>+[4]파주!$H$9</f>
        <v>100000.00000000004</v>
      </c>
      <c r="G14" s="390">
        <f t="shared" si="0"/>
        <v>3000.0000000000146</v>
      </c>
      <c r="H14" s="392">
        <f>+[4]파주!$G$10</f>
        <v>0</v>
      </c>
      <c r="I14" s="391">
        <f>+[4]파주!$H$10</f>
        <v>0</v>
      </c>
      <c r="J14" s="390">
        <f t="shared" si="1"/>
        <v>0</v>
      </c>
      <c r="K14" s="392">
        <f>+[4]파주!$G$12</f>
        <v>59999.999999999993</v>
      </c>
      <c r="L14" s="391">
        <f>+[4]파주!$H$12</f>
        <v>59506.693255523023</v>
      </c>
      <c r="M14" s="390">
        <f t="shared" si="2"/>
        <v>-493.30674447696947</v>
      </c>
      <c r="N14" s="392">
        <f>+[4]파주!$G$13</f>
        <v>41999.999999999993</v>
      </c>
      <c r="O14" s="391">
        <f>+[4]파주!$H$13</f>
        <v>39783.865088394705</v>
      </c>
      <c r="P14" s="390">
        <f t="shared" si="3"/>
        <v>-2216.1349116052879</v>
      </c>
      <c r="Q14" s="392">
        <f>+[4]파주!$G$16</f>
        <v>15666.666666666666</v>
      </c>
      <c r="R14" s="391">
        <f>+[4]파주!$H$16</f>
        <v>15771.796388991059</v>
      </c>
      <c r="S14" s="390">
        <f t="shared" si="4"/>
        <v>105.12972232439279</v>
      </c>
      <c r="T14" s="392">
        <f>+[4]파주!$G$17</f>
        <v>13225.806451612903</v>
      </c>
      <c r="U14" s="391">
        <f>+[4]파주!$H$17</f>
        <v>11691.12311302432</v>
      </c>
      <c r="V14" s="390">
        <f t="shared" si="5"/>
        <v>-1534.6833385885839</v>
      </c>
    </row>
    <row r="15" spans="4:22" ht="24" customHeight="1" x14ac:dyDescent="0.3">
      <c r="D15" s="323" t="s">
        <v>106</v>
      </c>
      <c r="E15" s="392">
        <f>+[4]김포!$G$9</f>
        <v>97000</v>
      </c>
      <c r="F15" s="391">
        <f>+[4]김포!$H$9</f>
        <v>100000.00000000003</v>
      </c>
      <c r="G15" s="390">
        <f t="shared" si="0"/>
        <v>3000.0000000000291</v>
      </c>
      <c r="H15" s="392">
        <f>+[4]김포!$G$10</f>
        <v>91500</v>
      </c>
      <c r="I15" s="391">
        <f>+[4]김포!$H$10</f>
        <v>94499.996603286432</v>
      </c>
      <c r="J15" s="390">
        <f t="shared" si="1"/>
        <v>2999.9966032864322</v>
      </c>
      <c r="K15" s="392">
        <f>+[4]김포!$G$12</f>
        <v>60000</v>
      </c>
      <c r="L15" s="391">
        <f>+[4]김포!$H$12</f>
        <v>59297.382337686802</v>
      </c>
      <c r="M15" s="390">
        <f t="shared" si="2"/>
        <v>-702.6176623131978</v>
      </c>
      <c r="N15" s="392">
        <f>+[4]김포!$G$13</f>
        <v>41500</v>
      </c>
      <c r="O15" s="391">
        <f>+[4]김포!$H$13</f>
        <v>39078.512286180208</v>
      </c>
      <c r="P15" s="390">
        <f t="shared" si="3"/>
        <v>-2421.4877138197917</v>
      </c>
      <c r="Q15" s="392">
        <f>+[4]김포!$G$16</f>
        <v>14968.674698795179</v>
      </c>
      <c r="R15" s="391">
        <f>+[4]김포!$H$16</f>
        <v>14612.675975938315</v>
      </c>
      <c r="S15" s="390">
        <f t="shared" si="4"/>
        <v>-355.99872285686433</v>
      </c>
      <c r="T15" s="392">
        <f>+[4]김포!$G$17</f>
        <v>14169.803896482232</v>
      </c>
      <c r="U15" s="391">
        <f>+[4]김포!$H$17</f>
        <v>14016.408898943117</v>
      </c>
      <c r="V15" s="390">
        <f t="shared" si="5"/>
        <v>-153.39499753911514</v>
      </c>
    </row>
    <row r="16" spans="4:22" ht="24" customHeight="1" x14ac:dyDescent="0.3">
      <c r="D16" s="378" t="s">
        <v>21</v>
      </c>
      <c r="E16" s="395">
        <f>+[4]부산!$G$9</f>
        <v>97000.000000000015</v>
      </c>
      <c r="F16" s="394">
        <f>+[4]부산!$H$9</f>
        <v>100000.00000000003</v>
      </c>
      <c r="G16" s="393">
        <f t="shared" si="0"/>
        <v>3000.0000000000146</v>
      </c>
      <c r="H16" s="395">
        <f>+[4]부산!$G$10</f>
        <v>89600.000000000015</v>
      </c>
      <c r="I16" s="394">
        <f>+[4]부산!$H$10</f>
        <v>94964.246261213761</v>
      </c>
      <c r="J16" s="393">
        <f t="shared" si="1"/>
        <v>5364.246261213746</v>
      </c>
      <c r="K16" s="395">
        <f>+[4]부산!$G$12</f>
        <v>0</v>
      </c>
      <c r="L16" s="394">
        <f>+[4]부산!$H$12</f>
        <v>0</v>
      </c>
      <c r="M16" s="393">
        <f t="shared" si="2"/>
        <v>0</v>
      </c>
      <c r="N16" s="395">
        <f>+[4]부산!$G$13</f>
        <v>34500</v>
      </c>
      <c r="O16" s="394">
        <f>+[4]부산!$H$13</f>
        <v>34767.96806397933</v>
      </c>
      <c r="P16" s="393">
        <f t="shared" si="3"/>
        <v>267.9680639793296</v>
      </c>
      <c r="Q16" s="395">
        <f>+[4]부산!$G$16</f>
        <v>11714.415686274509</v>
      </c>
      <c r="R16" s="394">
        <f>+[4]부산!$H$16</f>
        <v>11869.254225483828</v>
      </c>
      <c r="S16" s="393">
        <f t="shared" si="4"/>
        <v>154.8385392093187</v>
      </c>
      <c r="T16" s="395">
        <f>+[4]부산!$G$17</f>
        <v>18200.069930069931</v>
      </c>
      <c r="U16" s="394">
        <f>+[4]부산!$H$17</f>
        <v>17870.139917053155</v>
      </c>
      <c r="V16" s="393">
        <f t="shared" si="5"/>
        <v>-329.93001301677577</v>
      </c>
    </row>
    <row r="17" spans="4:25" ht="24" customHeight="1" x14ac:dyDescent="0.3">
      <c r="D17" s="323" t="s">
        <v>22</v>
      </c>
      <c r="E17" s="392">
        <f>+[4]서부산!$G$9</f>
        <v>96999.999999999985</v>
      </c>
      <c r="F17" s="391">
        <f>+[4]서부산!$H$9</f>
        <v>100000.00000000007</v>
      </c>
      <c r="G17" s="390">
        <f t="shared" si="0"/>
        <v>3000.0000000000873</v>
      </c>
      <c r="H17" s="392">
        <f>+[4]서부산!$G$10</f>
        <v>89100</v>
      </c>
      <c r="I17" s="391">
        <f>+[4]서부산!$H$10</f>
        <v>93178.891926994256</v>
      </c>
      <c r="J17" s="390">
        <f t="shared" si="1"/>
        <v>4078.8919269942562</v>
      </c>
      <c r="K17" s="392">
        <f>+[4]서부산!$G$12</f>
        <v>61000.000000000007</v>
      </c>
      <c r="L17" s="391">
        <f>+[4]서부산!$H$12</f>
        <v>63000.004617631617</v>
      </c>
      <c r="M17" s="390">
        <f t="shared" si="2"/>
        <v>2000.00461763161</v>
      </c>
      <c r="N17" s="392">
        <f>+[4]서부산!$G$13</f>
        <v>32500</v>
      </c>
      <c r="O17" s="391">
        <f>+[4]서부산!$H$13</f>
        <v>33214.563249472871</v>
      </c>
      <c r="P17" s="390">
        <f t="shared" si="3"/>
        <v>714.56324947287067</v>
      </c>
      <c r="Q17" s="392">
        <f>+[4]서부산!$G$16</f>
        <v>10666.666666666666</v>
      </c>
      <c r="R17" s="391">
        <f>+[4]서부산!$H$16</f>
        <v>10679.89623198677</v>
      </c>
      <c r="S17" s="390">
        <f t="shared" si="4"/>
        <v>13.229565320103575</v>
      </c>
      <c r="T17" s="392">
        <f>+[4]서부산!$G$17</f>
        <v>17845.689028998037</v>
      </c>
      <c r="U17" s="391">
        <f>+[4]서부산!$H$17</f>
        <v>16368.662859083841</v>
      </c>
      <c r="V17" s="390">
        <f t="shared" si="5"/>
        <v>-1477.0261699141956</v>
      </c>
    </row>
    <row r="18" spans="4:25" ht="24" customHeight="1" x14ac:dyDescent="0.3">
      <c r="D18" s="323" t="s">
        <v>23</v>
      </c>
      <c r="E18" s="392">
        <f>+[4]김해!$G$9</f>
        <v>96999.999999999985</v>
      </c>
      <c r="F18" s="391">
        <f>+[4]김해!$H$9</f>
        <v>99999.999999999942</v>
      </c>
      <c r="G18" s="390">
        <f t="shared" si="0"/>
        <v>2999.9999999999563</v>
      </c>
      <c r="H18" s="392">
        <f>+[4]김해!$G$10</f>
        <v>89100.000000000029</v>
      </c>
      <c r="I18" s="391">
        <f>+[4]김해!$H$10</f>
        <v>92889.509449334946</v>
      </c>
      <c r="J18" s="390">
        <f t="shared" si="1"/>
        <v>3789.509449334917</v>
      </c>
      <c r="K18" s="392">
        <f>+[4]김해!$G$12</f>
        <v>0</v>
      </c>
      <c r="L18" s="391">
        <f>+[4]김해!$H$12</f>
        <v>62001.319555262315</v>
      </c>
      <c r="M18" s="390">
        <f t="shared" si="2"/>
        <v>62001.319555262315</v>
      </c>
      <c r="N18" s="392">
        <f>+[4]김해!$G$13</f>
        <v>32500</v>
      </c>
      <c r="O18" s="391">
        <f>+[4]김해!$H$13</f>
        <v>32550.040428313259</v>
      </c>
      <c r="P18" s="390">
        <f t="shared" si="3"/>
        <v>50.040428313259326</v>
      </c>
      <c r="Q18" s="392">
        <f>+[4]김해!$G$16</f>
        <v>9000</v>
      </c>
      <c r="R18" s="391">
        <f>+[4]김해!$H$16</f>
        <v>9027.7525846702247</v>
      </c>
      <c r="S18" s="390">
        <f t="shared" si="4"/>
        <v>27.752584670224678</v>
      </c>
      <c r="T18" s="392">
        <f>+[4]김해!$G$17</f>
        <v>16710.977594439162</v>
      </c>
      <c r="U18" s="391">
        <f>+[4]김해!$H$17</f>
        <v>16908.399993921514</v>
      </c>
      <c r="V18" s="390">
        <f t="shared" si="5"/>
        <v>197.42239948235147</v>
      </c>
    </row>
    <row r="19" spans="4:25" ht="24" customHeight="1" x14ac:dyDescent="0.3">
      <c r="D19" s="323" t="s">
        <v>24</v>
      </c>
      <c r="E19" s="392">
        <f>+[4]정관!$G$9</f>
        <v>96999.999999999971</v>
      </c>
      <c r="F19" s="391">
        <f>+[4]정관!$H$9</f>
        <v>100000.00000000009</v>
      </c>
      <c r="G19" s="390">
        <f t="shared" si="0"/>
        <v>3000.0000000001164</v>
      </c>
      <c r="H19" s="392">
        <f>+[4]정관!$G$10</f>
        <v>0</v>
      </c>
      <c r="I19" s="391">
        <f>+[4]정관!$H$10</f>
        <v>94062.093581973153</v>
      </c>
      <c r="J19" s="390">
        <f t="shared" si="1"/>
        <v>94062.093581973153</v>
      </c>
      <c r="K19" s="392">
        <f>+[4]정관!$G$12</f>
        <v>59000</v>
      </c>
      <c r="L19" s="391">
        <f>+[4]정관!$H$12</f>
        <v>60985.449778906281</v>
      </c>
      <c r="M19" s="390">
        <f t="shared" si="2"/>
        <v>1985.4497789062807</v>
      </c>
      <c r="N19" s="392">
        <f>+[4]정관!$G$13</f>
        <v>32500</v>
      </c>
      <c r="O19" s="391">
        <f>+[4]정관!$H$13</f>
        <v>33644.819524117811</v>
      </c>
      <c r="P19" s="390">
        <f t="shared" si="3"/>
        <v>1144.8195241178109</v>
      </c>
      <c r="Q19" s="392">
        <f>+[4]정관!$G$16</f>
        <v>11335.244037538208</v>
      </c>
      <c r="R19" s="391">
        <f>+[4]정관!$H$16</f>
        <v>11134.070425785181</v>
      </c>
      <c r="S19" s="390">
        <f t="shared" si="4"/>
        <v>-201.17361175302722</v>
      </c>
      <c r="T19" s="392">
        <f>+[4]정관!$G$17</f>
        <v>18859.125422163881</v>
      </c>
      <c r="U19" s="391">
        <f>+[4]정관!$H$17</f>
        <v>18694.915490434207</v>
      </c>
      <c r="V19" s="390">
        <f t="shared" si="5"/>
        <v>-164.20993172967428</v>
      </c>
    </row>
    <row r="20" spans="4:25" ht="24" customHeight="1" x14ac:dyDescent="0.3">
      <c r="D20" s="323" t="s">
        <v>25</v>
      </c>
      <c r="E20" s="392">
        <f>+[4]양산!$G$9</f>
        <v>97000</v>
      </c>
      <c r="F20" s="391">
        <f>+[4]양산!$H$9</f>
        <v>100000.00000000001</v>
      </c>
      <c r="G20" s="390">
        <f t="shared" si="0"/>
        <v>3000.0000000000146</v>
      </c>
      <c r="H20" s="392">
        <f>+[4]양산!$G$10</f>
        <v>0</v>
      </c>
      <c r="I20" s="391">
        <f>+[4]양산!$H$10</f>
        <v>0</v>
      </c>
      <c r="J20" s="390">
        <f t="shared" si="1"/>
        <v>0</v>
      </c>
      <c r="K20" s="392">
        <f>+[4]양산!$G$12</f>
        <v>59000</v>
      </c>
      <c r="L20" s="391">
        <f>+[4]양산!$H$12</f>
        <v>60943.359678545494</v>
      </c>
      <c r="M20" s="390">
        <f t="shared" si="2"/>
        <v>1943.3596785454938</v>
      </c>
      <c r="N20" s="392">
        <f>+[4]양산!$G$13</f>
        <v>32000</v>
      </c>
      <c r="O20" s="391">
        <f>+[4]양산!$H$13</f>
        <v>33904.291158497908</v>
      </c>
      <c r="P20" s="390">
        <f t="shared" si="3"/>
        <v>1904.2911584979083</v>
      </c>
      <c r="Q20" s="392">
        <f>+[4]양산!$G$16</f>
        <v>9400</v>
      </c>
      <c r="R20" s="391">
        <f>+[4]양산!$H$16</f>
        <v>9100.9768355380947</v>
      </c>
      <c r="S20" s="390">
        <f t="shared" si="4"/>
        <v>-299.02316446190525</v>
      </c>
      <c r="T20" s="392">
        <f>+[4]양산!$G$17</f>
        <v>17692.180747278395</v>
      </c>
      <c r="U20" s="391">
        <f>+[4]양산!$H$17</f>
        <v>17340.165400812672</v>
      </c>
      <c r="V20" s="390">
        <f t="shared" si="5"/>
        <v>-352.01534646572327</v>
      </c>
    </row>
    <row r="21" spans="4:25" ht="24" customHeight="1" x14ac:dyDescent="0.3">
      <c r="D21" s="323" t="s">
        <v>26</v>
      </c>
      <c r="E21" s="392">
        <f>+[4]창원!$G$9</f>
        <v>97000</v>
      </c>
      <c r="F21" s="391">
        <f>+[4]창원!$H$9</f>
        <v>100000.00045310336</v>
      </c>
      <c r="G21" s="390">
        <f t="shared" si="0"/>
        <v>3000.0004531033628</v>
      </c>
      <c r="H21" s="392">
        <f>+[4]창원!$G$10</f>
        <v>100500</v>
      </c>
      <c r="I21" s="391">
        <f>+[4]창원!$H$10</f>
        <v>100500.05700604265</v>
      </c>
      <c r="J21" s="390">
        <f t="shared" si="1"/>
        <v>5.7006042654393241E-2</v>
      </c>
      <c r="K21" s="392">
        <f>+[4]창원!$G$12</f>
        <v>61000</v>
      </c>
      <c r="L21" s="391">
        <f>+[4]창원!$H$12</f>
        <v>63000.015393231261</v>
      </c>
      <c r="M21" s="390">
        <f t="shared" si="2"/>
        <v>2000.0153932312605</v>
      </c>
      <c r="N21" s="392">
        <f>+[4]창원!$G$13</f>
        <v>29500</v>
      </c>
      <c r="O21" s="391">
        <f>+[4]창원!$H$13</f>
        <v>30913.279543449793</v>
      </c>
      <c r="P21" s="390">
        <f t="shared" si="3"/>
        <v>1413.279543449793</v>
      </c>
      <c r="Q21" s="392">
        <f>+[4]창원!$G$16</f>
        <v>11466.666666666668</v>
      </c>
      <c r="R21" s="391">
        <f>+[4]창원!$H$16</f>
        <v>11326.881819015311</v>
      </c>
      <c r="S21" s="390">
        <f t="shared" si="4"/>
        <v>-139.78484765135727</v>
      </c>
      <c r="T21" s="392">
        <f>+[4]창원!$G$17</f>
        <v>17045.953769880103</v>
      </c>
      <c r="U21" s="391">
        <f>+[4]창원!$H$17</f>
        <v>16594.003631130821</v>
      </c>
      <c r="V21" s="390">
        <f t="shared" si="5"/>
        <v>-451.9501387492819</v>
      </c>
      <c r="Y21" s="396"/>
    </row>
    <row r="22" spans="4:25" ht="24" customHeight="1" x14ac:dyDescent="0.3">
      <c r="D22" s="323" t="s">
        <v>127</v>
      </c>
      <c r="E22" s="392">
        <f>+[4]대구!$G$9</f>
        <v>96999.999999999985</v>
      </c>
      <c r="F22" s="391">
        <f>+[4]대구!$H$9</f>
        <v>100000</v>
      </c>
      <c r="G22" s="390">
        <f t="shared" si="0"/>
        <v>3000.0000000000146</v>
      </c>
      <c r="H22" s="392">
        <f>+[4]대구!$G$10</f>
        <v>0</v>
      </c>
      <c r="I22" s="391">
        <f>+[4]대구!$H$10</f>
        <v>0</v>
      </c>
      <c r="J22" s="390">
        <f t="shared" si="1"/>
        <v>0</v>
      </c>
      <c r="K22" s="392">
        <f>+[4]대구!$G$12</f>
        <v>57200.000000000007</v>
      </c>
      <c r="L22" s="391">
        <f>+[4]대구!$H$12</f>
        <v>59058.543800455707</v>
      </c>
      <c r="M22" s="390">
        <f t="shared" si="2"/>
        <v>1858.5438004557</v>
      </c>
      <c r="N22" s="392">
        <f>+[4]대구!$G$13</f>
        <v>31000</v>
      </c>
      <c r="O22" s="391">
        <f>+[4]대구!$H$13</f>
        <v>31421.490704632786</v>
      </c>
      <c r="P22" s="390">
        <f t="shared" si="3"/>
        <v>421.49070463278622</v>
      </c>
      <c r="Q22" s="392">
        <f>+[4]대구!$G$16</f>
        <v>10933.333333333334</v>
      </c>
      <c r="R22" s="391">
        <f>+[4]대구!$H$16</f>
        <v>10700.395201129146</v>
      </c>
      <c r="S22" s="390">
        <f t="shared" si="4"/>
        <v>-232.93813220418815</v>
      </c>
      <c r="T22" s="392">
        <f>+[4]대구!$G$17</f>
        <v>14319.243604004449</v>
      </c>
      <c r="U22" s="391">
        <f>+[4]대구!$H$17</f>
        <v>14343.624817724258</v>
      </c>
      <c r="V22" s="390">
        <f t="shared" si="5"/>
        <v>24.381213719809239</v>
      </c>
    </row>
    <row r="23" spans="4:25" ht="24" customHeight="1" x14ac:dyDescent="0.3">
      <c r="D23" s="323" t="s">
        <v>126</v>
      </c>
      <c r="E23" s="392">
        <f>+[4]울산!$G$9</f>
        <v>97000.000000000029</v>
      </c>
      <c r="F23" s="391">
        <f>+[4]울산!$H$9</f>
        <v>99999.999999999927</v>
      </c>
      <c r="G23" s="390">
        <f t="shared" si="0"/>
        <v>2999.9999999998981</v>
      </c>
      <c r="H23" s="392">
        <f>+[4]울산!$G$10</f>
        <v>0</v>
      </c>
      <c r="I23" s="391">
        <f>+[4]울산!$H$10</f>
        <v>0</v>
      </c>
      <c r="J23" s="390">
        <f t="shared" si="1"/>
        <v>0</v>
      </c>
      <c r="K23" s="392">
        <f>+[4]울산!$G$12</f>
        <v>57200</v>
      </c>
      <c r="L23" s="391">
        <f>+[4]울산!$H$12</f>
        <v>59199.985594050057</v>
      </c>
      <c r="M23" s="390">
        <f t="shared" si="2"/>
        <v>1999.9855940500565</v>
      </c>
      <c r="N23" s="392">
        <f>+[4]울산!$G$13</f>
        <v>33500</v>
      </c>
      <c r="O23" s="391">
        <f>+[4]울산!$H$13</f>
        <v>35209.394783553136</v>
      </c>
      <c r="P23" s="390">
        <f t="shared" si="3"/>
        <v>1709.3947835531362</v>
      </c>
      <c r="Q23" s="392">
        <f>+[4]울산!$G$16</f>
        <v>12533.333333333336</v>
      </c>
      <c r="R23" s="391">
        <f>+[4]울산!$H$16</f>
        <v>12134.186011475804</v>
      </c>
      <c r="S23" s="390">
        <f t="shared" si="4"/>
        <v>-399.14732185753201</v>
      </c>
      <c r="T23" s="392">
        <f>+[4]울산!$G$17</f>
        <v>19929.543274649095</v>
      </c>
      <c r="U23" s="391">
        <f>+[4]울산!$H$17</f>
        <v>19822.599089390984</v>
      </c>
      <c r="V23" s="390">
        <f t="shared" si="5"/>
        <v>-106.94418525811125</v>
      </c>
    </row>
    <row r="24" spans="4:25" ht="24" customHeight="1" x14ac:dyDescent="0.3">
      <c r="D24" s="378" t="s">
        <v>27</v>
      </c>
      <c r="E24" s="395">
        <f>+[4]아산!$G$9</f>
        <v>97000.000000000029</v>
      </c>
      <c r="F24" s="394">
        <f>+[4]아산!$H$9</f>
        <v>99674.048287454687</v>
      </c>
      <c r="G24" s="393">
        <f t="shared" si="0"/>
        <v>2674.0482874546578</v>
      </c>
      <c r="H24" s="395">
        <f>+[4]아산!$G$10</f>
        <v>0</v>
      </c>
      <c r="I24" s="394">
        <f>+[4]아산!$H$10</f>
        <v>0</v>
      </c>
      <c r="J24" s="393">
        <f t="shared" si="1"/>
        <v>0</v>
      </c>
      <c r="K24" s="395">
        <f>+[4]아산!$G$12</f>
        <v>60000</v>
      </c>
      <c r="L24" s="394">
        <f>+[4]아산!$H$12</f>
        <v>59310.238593018978</v>
      </c>
      <c r="M24" s="393">
        <f t="shared" si="2"/>
        <v>-689.76140698102245</v>
      </c>
      <c r="N24" s="395">
        <f>+[4]아산!$G$13</f>
        <v>37500.000000000007</v>
      </c>
      <c r="O24" s="394">
        <f>+[4]아산!$H$13</f>
        <v>31522.7360419668</v>
      </c>
      <c r="P24" s="393">
        <f t="shared" si="3"/>
        <v>-5977.263958033207</v>
      </c>
      <c r="Q24" s="395">
        <f>+[4]아산!$G$16</f>
        <v>10853.333333333334</v>
      </c>
      <c r="R24" s="394">
        <f>+[4]아산!$H$16</f>
        <v>10852.832812933935</v>
      </c>
      <c r="S24" s="393">
        <f t="shared" si="4"/>
        <v>-0.50052039939873794</v>
      </c>
      <c r="T24" s="395">
        <f>+[4]아산!$G$17</f>
        <v>12554.838709677419</v>
      </c>
      <c r="U24" s="394">
        <f>+[4]아산!$H$17</f>
        <v>12476.922569293731</v>
      </c>
      <c r="V24" s="393">
        <f t="shared" si="5"/>
        <v>-77.916140383687889</v>
      </c>
    </row>
    <row r="25" spans="4:25" ht="24" customHeight="1" x14ac:dyDescent="0.3">
      <c r="D25" s="323" t="s">
        <v>125</v>
      </c>
      <c r="E25" s="392">
        <f>+[4]전주!$G$9</f>
        <v>97000</v>
      </c>
      <c r="F25" s="391">
        <f>+[4]전주!$H$9</f>
        <v>100000.00000000001</v>
      </c>
      <c r="G25" s="390">
        <f t="shared" si="0"/>
        <v>3000.0000000000146</v>
      </c>
      <c r="H25" s="392">
        <f>+[4]전주!$G$10</f>
        <v>94500</v>
      </c>
      <c r="I25" s="391">
        <f>+[4]전주!$H$10</f>
        <v>97498.680486985701</v>
      </c>
      <c r="J25" s="390">
        <f t="shared" si="1"/>
        <v>2998.6804869857006</v>
      </c>
      <c r="K25" s="392">
        <f>+[4]전주!$G$12</f>
        <v>60000</v>
      </c>
      <c r="L25" s="391">
        <f>+[4]전주!$H$12</f>
        <v>58930.851657210944</v>
      </c>
      <c r="M25" s="390">
        <f t="shared" si="2"/>
        <v>-1069.1483427890562</v>
      </c>
      <c r="N25" s="392">
        <f>+[4]전주!$G$13</f>
        <v>32499.999999999985</v>
      </c>
      <c r="O25" s="391">
        <f>+[4]전주!$H$13</f>
        <v>33868.99678647839</v>
      </c>
      <c r="P25" s="390">
        <f t="shared" si="3"/>
        <v>1368.9967864784048</v>
      </c>
      <c r="Q25" s="392">
        <f>+[4]전주!$G$16</f>
        <v>14733.333333333332</v>
      </c>
      <c r="R25" s="391">
        <f>+[4]전주!$H$16</f>
        <v>13716.318873030885</v>
      </c>
      <c r="S25" s="390">
        <f t="shared" si="4"/>
        <v>-1017.0144603024473</v>
      </c>
      <c r="T25" s="392">
        <f>+[4]전주!$G$17</f>
        <v>16000</v>
      </c>
      <c r="U25" s="391">
        <f>+[4]전주!$H$17</f>
        <v>15918.004514077464</v>
      </c>
      <c r="V25" s="390">
        <f t="shared" si="5"/>
        <v>-81.995485922536318</v>
      </c>
    </row>
    <row r="26" spans="4:25" ht="24" customHeight="1" x14ac:dyDescent="0.3">
      <c r="D26" s="323" t="s">
        <v>124</v>
      </c>
      <c r="E26" s="392">
        <f>+[4]군산!$G$9</f>
        <v>96999.999999999985</v>
      </c>
      <c r="F26" s="391">
        <f>+[4]군산!$H$9</f>
        <v>100000.00000000001</v>
      </c>
      <c r="G26" s="390">
        <f t="shared" si="0"/>
        <v>3000.0000000000291</v>
      </c>
      <c r="H26" s="392">
        <f>+[4]군산!$G$10</f>
        <v>0</v>
      </c>
      <c r="I26" s="391">
        <f>+[4]군산!$H$10</f>
        <v>93100.297083080033</v>
      </c>
      <c r="J26" s="390">
        <f t="shared" si="1"/>
        <v>93100.297083080033</v>
      </c>
      <c r="K26" s="392">
        <f>+[4]군산!$G$12</f>
        <v>60999.999999999985</v>
      </c>
      <c r="L26" s="391">
        <f>+[4]군산!$H$12</f>
        <v>63475.67725425402</v>
      </c>
      <c r="M26" s="390">
        <f t="shared" si="2"/>
        <v>2475.6772542540348</v>
      </c>
      <c r="N26" s="392">
        <f>+[4]군산!$G$13</f>
        <v>32500</v>
      </c>
      <c r="O26" s="391">
        <f>+[4]군산!$H$13</f>
        <v>23493.316281776457</v>
      </c>
      <c r="P26" s="390">
        <f t="shared" si="3"/>
        <v>-9006.6837182235431</v>
      </c>
      <c r="Q26" s="392">
        <f>+[4]군산!$G$16</f>
        <v>15133.333333333334</v>
      </c>
      <c r="R26" s="391">
        <f>+[4]군산!$H$16</f>
        <v>15140.106467721051</v>
      </c>
      <c r="S26" s="390">
        <f t="shared" si="4"/>
        <v>6.7731343877167092</v>
      </c>
      <c r="T26" s="392">
        <f>+[4]군산!$G$17</f>
        <v>15310.067420741874</v>
      </c>
      <c r="U26" s="391">
        <f>+[4]군산!$H$17</f>
        <v>15356.60373222662</v>
      </c>
      <c r="V26" s="390">
        <f t="shared" si="5"/>
        <v>46.536311484745966</v>
      </c>
    </row>
    <row r="27" spans="4:25" ht="24" customHeight="1" x14ac:dyDescent="0.3">
      <c r="D27" s="323" t="s">
        <v>123</v>
      </c>
      <c r="E27" s="392">
        <f>+[4]원주!$G$9</f>
        <v>97000</v>
      </c>
      <c r="F27" s="391">
        <f>+[4]원주!$H$9</f>
        <v>99999.999999999971</v>
      </c>
      <c r="G27" s="390">
        <f t="shared" si="0"/>
        <v>2999.9999999999709</v>
      </c>
      <c r="H27" s="392">
        <f>+[4]원주!$G$10</f>
        <v>0</v>
      </c>
      <c r="I27" s="391">
        <f>+[4]원주!$H$10</f>
        <v>0</v>
      </c>
      <c r="J27" s="390">
        <f t="shared" si="1"/>
        <v>0</v>
      </c>
      <c r="K27" s="392">
        <f>+[4]원주!$G$12</f>
        <v>60000</v>
      </c>
      <c r="L27" s="391">
        <f>+[4]원주!$H$12</f>
        <v>60237.241311265127</v>
      </c>
      <c r="M27" s="390">
        <f t="shared" si="2"/>
        <v>237.24131126512657</v>
      </c>
      <c r="N27" s="392">
        <f>+[4]원주!$G$13</f>
        <v>45000</v>
      </c>
      <c r="O27" s="391">
        <f>+[4]원주!$H$13</f>
        <v>45196.059836244065</v>
      </c>
      <c r="P27" s="390">
        <f t="shared" si="3"/>
        <v>196.05983624406508</v>
      </c>
      <c r="Q27" s="392">
        <f>+[4]원주!$G$16</f>
        <v>12466.666666666668</v>
      </c>
      <c r="R27" s="391">
        <f>+[4]원주!$H$16</f>
        <v>12747.04082058373</v>
      </c>
      <c r="S27" s="390">
        <f t="shared" si="4"/>
        <v>280.37415391706236</v>
      </c>
      <c r="T27" s="392">
        <f>+[4]원주!$G$17</f>
        <v>12387.096774193547</v>
      </c>
      <c r="U27" s="391">
        <f>+[4]원주!$H$17</f>
        <v>12385.647713826012</v>
      </c>
      <c r="V27" s="390">
        <f t="shared" si="5"/>
        <v>-1.4490603675349121</v>
      </c>
    </row>
    <row r="28" spans="4:25" ht="24" customHeight="1" x14ac:dyDescent="0.3">
      <c r="D28" s="318" t="s">
        <v>122</v>
      </c>
      <c r="E28" s="389">
        <f>+[4]제주!$G$9</f>
        <v>114000</v>
      </c>
      <c r="F28" s="388">
        <f>+[4]제주!$H$9</f>
        <v>117000.00192817187</v>
      </c>
      <c r="G28" s="387">
        <f t="shared" si="0"/>
        <v>3000.0019281718705</v>
      </c>
      <c r="H28" s="389">
        <f>+[4]제주!$G$10</f>
        <v>0</v>
      </c>
      <c r="I28" s="388">
        <f>+[4]제주!$H$10</f>
        <v>117000.00864999527</v>
      </c>
      <c r="J28" s="387">
        <f t="shared" si="1"/>
        <v>117000.00864999527</v>
      </c>
      <c r="K28" s="389">
        <f>+[4]제주!$G$12</f>
        <v>0</v>
      </c>
      <c r="L28" s="388">
        <f>+[4]제주!$H$12</f>
        <v>0</v>
      </c>
      <c r="M28" s="387">
        <f t="shared" si="2"/>
        <v>0</v>
      </c>
      <c r="N28" s="389">
        <f>+[4]제주!$G$13</f>
        <v>0</v>
      </c>
      <c r="O28" s="388">
        <f>+[4]제주!$H$13</f>
        <v>0</v>
      </c>
      <c r="P28" s="387">
        <f t="shared" si="3"/>
        <v>0</v>
      </c>
      <c r="Q28" s="389">
        <f>+[4]제주!$G$16</f>
        <v>18000</v>
      </c>
      <c r="R28" s="388">
        <f>+[4]제주!$H$16</f>
        <v>18072.292955013945</v>
      </c>
      <c r="S28" s="387">
        <f t="shared" si="4"/>
        <v>72.292955013945175</v>
      </c>
      <c r="T28" s="389">
        <f>+[4]제주!$G$17</f>
        <v>19016.691090978813</v>
      </c>
      <c r="U28" s="388">
        <f>+[4]제주!$H$17</f>
        <v>20256.194944465722</v>
      </c>
      <c r="V28" s="387">
        <f t="shared" si="5"/>
        <v>1239.5038534869091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D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I10" sqref="I10"/>
      <selection pane="topRight" activeCell="I10" sqref="I10"/>
      <selection pane="bottomLeft" activeCell="I10" sqref="I10"/>
      <selection pane="bottomRight" activeCell="E8" sqref="E8"/>
    </sheetView>
  </sheetViews>
  <sheetFormatPr defaultRowHeight="16.5" x14ac:dyDescent="0.3"/>
  <cols>
    <col min="1" max="3" width="5.625" style="4" customWidth="1"/>
    <col min="4" max="4" width="9.875" style="4" customWidth="1"/>
    <col min="5" max="22" width="9.625" style="4" customWidth="1"/>
    <col min="23" max="16384" width="9" style="4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368" t="s">
        <v>213</v>
      </c>
      <c r="F4" s="368"/>
      <c r="I4" s="368"/>
    </row>
    <row r="5" spans="4:22" ht="21.95" customHeight="1" x14ac:dyDescent="0.3">
      <c r="V5" s="367" t="s">
        <v>154</v>
      </c>
    </row>
    <row r="6" spans="4:22" ht="24" customHeight="1" thickBot="1" x14ac:dyDescent="0.35">
      <c r="D6" s="692" t="s">
        <v>11</v>
      </c>
      <c r="E6" s="366" t="s">
        <v>153</v>
      </c>
      <c r="F6" s="365"/>
      <c r="G6" s="364"/>
      <c r="H6" s="366" t="s">
        <v>152</v>
      </c>
      <c r="I6" s="365"/>
      <c r="J6" s="364"/>
      <c r="K6" s="366" t="s">
        <v>151</v>
      </c>
      <c r="L6" s="365"/>
      <c r="M6" s="364"/>
      <c r="N6" s="366" t="s">
        <v>150</v>
      </c>
      <c r="O6" s="365"/>
      <c r="P6" s="364"/>
      <c r="Q6" s="366" t="s">
        <v>149</v>
      </c>
      <c r="R6" s="365"/>
      <c r="S6" s="364"/>
      <c r="T6" s="366" t="s">
        <v>148</v>
      </c>
      <c r="U6" s="365"/>
      <c r="V6" s="364"/>
    </row>
    <row r="7" spans="4:22" ht="24" customHeight="1" x14ac:dyDescent="0.3">
      <c r="D7" s="693"/>
      <c r="E7" s="362" t="s">
        <v>36</v>
      </c>
      <c r="F7" s="361" t="s">
        <v>37</v>
      </c>
      <c r="G7" s="363" t="s">
        <v>28</v>
      </c>
      <c r="H7" s="362" t="s">
        <v>12</v>
      </c>
      <c r="I7" s="361" t="s">
        <v>13</v>
      </c>
      <c r="J7" s="363" t="s">
        <v>28</v>
      </c>
      <c r="K7" s="362" t="s">
        <v>12</v>
      </c>
      <c r="L7" s="361" t="s">
        <v>13</v>
      </c>
      <c r="M7" s="363" t="s">
        <v>28</v>
      </c>
      <c r="N7" s="362" t="s">
        <v>12</v>
      </c>
      <c r="O7" s="361" t="s">
        <v>13</v>
      </c>
      <c r="P7" s="363" t="s">
        <v>28</v>
      </c>
      <c r="Q7" s="362" t="s">
        <v>12</v>
      </c>
      <c r="R7" s="361" t="s">
        <v>13</v>
      </c>
      <c r="S7" s="363" t="s">
        <v>28</v>
      </c>
      <c r="T7" s="362" t="s">
        <v>12</v>
      </c>
      <c r="U7" s="361" t="s">
        <v>13</v>
      </c>
      <c r="V7" s="363" t="s">
        <v>28</v>
      </c>
    </row>
    <row r="8" spans="4:22" ht="24" customHeight="1" x14ac:dyDescent="0.3">
      <c r="D8" s="358" t="s">
        <v>136</v>
      </c>
      <c r="E8" s="356">
        <f>+[4]합계!$E$9</f>
        <v>291.22891989970196</v>
      </c>
      <c r="F8" s="355">
        <f>+[4]합계!$F$9</f>
        <v>272.24993382802853</v>
      </c>
      <c r="G8" s="386">
        <f t="shared" ref="G8:G28" si="0">+F8-E8</f>
        <v>-18.978986071673432</v>
      </c>
      <c r="H8" s="356">
        <f>+[4]합계!$E$15</f>
        <v>376.85283345570991</v>
      </c>
      <c r="I8" s="355">
        <f>+[4]합계!$F$15</f>
        <v>394.07002062748774</v>
      </c>
      <c r="J8" s="386">
        <f t="shared" ref="J8:J28" si="1">+I8-H8</f>
        <v>17.217187171777823</v>
      </c>
      <c r="K8" s="448">
        <f>+([4]합계!$E$10*0.4+[4]합계!$E$11+[4]합계!$E$12+[4]합계!$E$13+[4]합계!$E$14)/[4]합계!$E$15</f>
        <v>0.17842280167977603</v>
      </c>
      <c r="L8" s="447">
        <f>+([4]합계!$F$10*0.4+[4]합계!$F$11+[4]합계!$F$12+[4]합계!$F$13+[4]합계!$F$14)/[4]합계!$F$15</f>
        <v>0.22356766992417526</v>
      </c>
      <c r="M8" s="446">
        <f t="shared" ref="M8:M28" si="2">+L8-K8</f>
        <v>4.5144868244399228E-2</v>
      </c>
      <c r="N8" s="356">
        <f>+[4]합계!$E$16</f>
        <v>829.65557945946546</v>
      </c>
      <c r="O8" s="355">
        <f>+[4]합계!$F$16</f>
        <v>811.26876673276161</v>
      </c>
      <c r="P8" s="386">
        <f t="shared" ref="P8:P28" si="3">+O8-N8</f>
        <v>-18.386812726703852</v>
      </c>
      <c r="Q8" s="356">
        <f>+[4]합계!$E$17</f>
        <v>894.35508449616441</v>
      </c>
      <c r="R8" s="355">
        <f>+[4]합계!$F$17</f>
        <v>890.90212254115499</v>
      </c>
      <c r="S8" s="386">
        <f t="shared" ref="S8:S28" si="4">+R8-Q8</f>
        <v>-3.4529619550094139</v>
      </c>
      <c r="T8" s="356">
        <f>+[4]합계!$E$19</f>
        <v>3.2375479364774931</v>
      </c>
      <c r="U8" s="355">
        <f>+[4]합계!$F$19</f>
        <v>3.3007833188597471</v>
      </c>
      <c r="V8" s="386">
        <f t="shared" ref="V8:V28" si="5">+U8-T8</f>
        <v>6.3235382382254013E-2</v>
      </c>
    </row>
    <row r="9" spans="4:22" ht="24" customHeight="1" x14ac:dyDescent="0.3">
      <c r="D9" s="352" t="s">
        <v>16</v>
      </c>
      <c r="E9" s="351">
        <f>+[4]수도권!$E$9</f>
        <v>313.21234313725489</v>
      </c>
      <c r="F9" s="350">
        <f>+[4]수도권!$F$9</f>
        <v>291.28099740696462</v>
      </c>
      <c r="G9" s="385">
        <f t="shared" si="0"/>
        <v>-21.931345730290275</v>
      </c>
      <c r="H9" s="351">
        <f>+[4]수도권!$E$15</f>
        <v>392.17268529411763</v>
      </c>
      <c r="I9" s="350">
        <f>+[4]수도권!$F$15</f>
        <v>400.18590665073015</v>
      </c>
      <c r="J9" s="385">
        <f t="shared" si="1"/>
        <v>8.0132213566125188</v>
      </c>
      <c r="K9" s="445">
        <f>+([4]수도권!$E$10*0.4+[4]수도권!$E$11+[4]수도권!$E$12+[4]수도권!$E$13+[4]수도권!$E$14)/[4]수도권!$E$15</f>
        <v>0.1752418019313966</v>
      </c>
      <c r="L9" s="444">
        <f>+([4]수도권!$F$10*0.4+[4]수도권!$F$11+[4]수도권!$F$12+[4]수도권!$F$13+[4]수도권!$F$14)/[4]수도권!$F$15</f>
        <v>0.21694581917339761</v>
      </c>
      <c r="M9" s="443">
        <f t="shared" si="2"/>
        <v>4.1704017242001012E-2</v>
      </c>
      <c r="N9" s="351">
        <f>+[4]수도권!$E$16</f>
        <v>853.1006470588236</v>
      </c>
      <c r="O9" s="350">
        <f>+[4]수도권!$F$16</f>
        <v>840.82907346595664</v>
      </c>
      <c r="P9" s="385">
        <f t="shared" si="3"/>
        <v>-12.271573592866957</v>
      </c>
      <c r="Q9" s="351">
        <f>+[4]수도권!$E$17</f>
        <v>880.44334313725494</v>
      </c>
      <c r="R9" s="350">
        <f>+[4]수도권!$F$17</f>
        <v>860.42982869760715</v>
      </c>
      <c r="S9" s="385">
        <f t="shared" si="4"/>
        <v>-20.013514439647793</v>
      </c>
      <c r="T9" s="351">
        <f>+[4]수도권!$E$19</f>
        <v>3.3829379413921568</v>
      </c>
      <c r="U9" s="350">
        <f>+[4]수도권!$F$19</f>
        <v>3.4088377428438301</v>
      </c>
      <c r="V9" s="385">
        <f t="shared" si="5"/>
        <v>2.5899801451673365E-2</v>
      </c>
    </row>
    <row r="10" spans="4:22" ht="24" customHeight="1" x14ac:dyDescent="0.3">
      <c r="D10" s="347" t="s">
        <v>17</v>
      </c>
      <c r="E10" s="346">
        <f>+[4]영남권!$E$9</f>
        <v>254.74515473573501</v>
      </c>
      <c r="F10" s="345">
        <f>+[4]영남권!$F$9</f>
        <v>232.65903987008249</v>
      </c>
      <c r="G10" s="384">
        <f t="shared" si="0"/>
        <v>-22.086114865652519</v>
      </c>
      <c r="H10" s="346">
        <f>+[4]영남권!$E$15</f>
        <v>367.15762579404486</v>
      </c>
      <c r="I10" s="345">
        <f>+[4]영남권!$F$15</f>
        <v>394.81734696583038</v>
      </c>
      <c r="J10" s="384">
        <f t="shared" si="1"/>
        <v>27.65972117178552</v>
      </c>
      <c r="K10" s="442">
        <f>+([4]영남권!$E$10*0.4+[4]영남권!$E$11+[4]영남권!$E$12+[4]영남권!$E$13+[4]영남권!$E$14)/[4]영남권!$E$15</f>
        <v>0.21538721491070237</v>
      </c>
      <c r="L10" s="441">
        <f>+([4]영남권!$F$10*0.4+[4]영남권!$F$11+[4]영남권!$F$12+[4]영남권!$F$13+[4]영남권!$F$14)/[4]영남권!$F$15</f>
        <v>0.26064860586568184</v>
      </c>
      <c r="M10" s="440">
        <f t="shared" si="2"/>
        <v>4.5261390954979469E-2</v>
      </c>
      <c r="N10" s="346">
        <f>+[4]영남권!$E$16</f>
        <v>811.78637263883479</v>
      </c>
      <c r="O10" s="345">
        <f>+[4]영남권!$F$16</f>
        <v>793.61894519382679</v>
      </c>
      <c r="P10" s="384">
        <f t="shared" si="3"/>
        <v>-18.167427445008002</v>
      </c>
      <c r="Q10" s="346">
        <f>+[4]영남권!$E$17</f>
        <v>897.15996856598667</v>
      </c>
      <c r="R10" s="345">
        <f>+[4]영남권!$F$17</f>
        <v>884.19166141914957</v>
      </c>
      <c r="S10" s="384">
        <f t="shared" si="4"/>
        <v>-12.968307146837105</v>
      </c>
      <c r="T10" s="346">
        <f>+[4]영남권!$E$19</f>
        <v>3.2095315596130174</v>
      </c>
      <c r="U10" s="345">
        <f>+[4]영남권!$F$19</f>
        <v>3.2275621692683307</v>
      </c>
      <c r="V10" s="384">
        <f t="shared" si="5"/>
        <v>1.8030609655313334E-2</v>
      </c>
    </row>
    <row r="11" spans="4:22" ht="24" customHeight="1" x14ac:dyDescent="0.3">
      <c r="D11" s="342" t="s">
        <v>128</v>
      </c>
      <c r="E11" s="341">
        <f>+[4]중부권!$E$9</f>
        <v>329.31289834714221</v>
      </c>
      <c r="F11" s="340">
        <f>+[4]중부권!$F$9</f>
        <v>307.36961468343475</v>
      </c>
      <c r="G11" s="383">
        <f t="shared" si="0"/>
        <v>-21.943283663707462</v>
      </c>
      <c r="H11" s="341">
        <f>+[4]중부권!$E$15</f>
        <v>366.18289700980853</v>
      </c>
      <c r="I11" s="340">
        <f>+[4]중부권!$F$15</f>
        <v>380.23850116903043</v>
      </c>
      <c r="J11" s="383">
        <f t="shared" si="1"/>
        <v>14.0556041592219</v>
      </c>
      <c r="K11" s="439">
        <f>+([4]중부권!$E$10*0.4+[4]중부권!$E$11+[4]중부권!$E$12+[4]중부권!$E$13+[4]중부권!$E$14)/[4]중부권!$E$15</f>
        <v>9.8220259879762226E-2</v>
      </c>
      <c r="L11" s="438">
        <f>+([4]중부권!$F$10*0.4+[4]중부권!$F$11+[4]중부권!$F$12+[4]중부권!$F$13+[4]중부권!$F$14)/[4]중부권!$F$15</f>
        <v>0.16594675843848858</v>
      </c>
      <c r="M11" s="437">
        <f t="shared" si="2"/>
        <v>6.7726498558726353E-2</v>
      </c>
      <c r="N11" s="341">
        <f>+[4]중부권!$E$16</f>
        <v>820.49893118279556</v>
      </c>
      <c r="O11" s="340">
        <f>+[4]중부권!$F$16</f>
        <v>784.06225216038899</v>
      </c>
      <c r="P11" s="383">
        <f t="shared" si="3"/>
        <v>-36.436679022406565</v>
      </c>
      <c r="Q11" s="341">
        <f>+[4]중부권!$E$17</f>
        <v>918.23595268817212</v>
      </c>
      <c r="R11" s="340">
        <f>+[4]중부권!$F$17</f>
        <v>965.38701603683205</v>
      </c>
      <c r="S11" s="383">
        <f t="shared" si="4"/>
        <v>47.151063348659932</v>
      </c>
      <c r="T11" s="341">
        <f>+[4]중부권!$E$19</f>
        <v>2.9849032258064514</v>
      </c>
      <c r="U11" s="340">
        <f>+[4]중부권!$F$19</f>
        <v>3.2175632666934475</v>
      </c>
      <c r="V11" s="383">
        <f t="shared" si="5"/>
        <v>0.2326600408869961</v>
      </c>
    </row>
    <row r="12" spans="4:22" ht="24" customHeight="1" x14ac:dyDescent="0.3">
      <c r="D12" s="382" t="s">
        <v>18</v>
      </c>
      <c r="E12" s="335">
        <f>+[4]안양!$E$9</f>
        <v>319.16666666666657</v>
      </c>
      <c r="F12" s="334">
        <f>+[4]안양!$F$9</f>
        <v>301.8818606854407</v>
      </c>
      <c r="G12" s="336">
        <f t="shared" si="0"/>
        <v>-17.284805981225873</v>
      </c>
      <c r="H12" s="335">
        <f>+[4]안양!$E$15</f>
        <v>376.3461538461537</v>
      </c>
      <c r="I12" s="334">
        <f>+[4]안양!$F$15</f>
        <v>398.44111816394661</v>
      </c>
      <c r="J12" s="336">
        <f t="shared" si="1"/>
        <v>22.094964317792915</v>
      </c>
      <c r="K12" s="436">
        <f>+([4]안양!$E$10*0.4+[4]안양!$E$11+[4]안양!$E$12+[4]안양!$E$13+[4]안양!$E$14)/[4]안양!$E$15</f>
        <v>0.15193323113609269</v>
      </c>
      <c r="L12" s="435">
        <f>+([4]안양!$F$10*0.4+[4]안양!$F$11+[4]안양!$F$12+[4]안양!$F$13+[4]안양!$F$14)/[4]안양!$F$15</f>
        <v>0.19787202160510156</v>
      </c>
      <c r="M12" s="434">
        <f t="shared" si="2"/>
        <v>4.5938790469008867E-2</v>
      </c>
      <c r="N12" s="335">
        <f>+[4]안양!$E$16</f>
        <v>846.64102564102564</v>
      </c>
      <c r="O12" s="334">
        <f>+[4]안양!$F$16</f>
        <v>837.39582198432095</v>
      </c>
      <c r="P12" s="336">
        <f t="shared" si="3"/>
        <v>-9.2452036567046889</v>
      </c>
      <c r="Q12" s="335">
        <f>+[4]안양!$E$17</f>
        <v>880.85897435897436</v>
      </c>
      <c r="R12" s="334">
        <f>+[4]안양!$F$17</f>
        <v>838.93351175955002</v>
      </c>
      <c r="S12" s="336">
        <f t="shared" si="4"/>
        <v>-41.92546259942435</v>
      </c>
      <c r="T12" s="433">
        <f>+[4]안양!$E$19</f>
        <v>3.39</v>
      </c>
      <c r="U12" s="432">
        <f>+[4]안양!$F$19</f>
        <v>3.3807998389427074</v>
      </c>
      <c r="V12" s="431">
        <f t="shared" si="5"/>
        <v>-9.2001610572927106E-3</v>
      </c>
    </row>
    <row r="13" spans="4:22" ht="24" customHeight="1" x14ac:dyDescent="0.3">
      <c r="D13" s="323" t="s">
        <v>19</v>
      </c>
      <c r="E13" s="321">
        <f>+[4]인천!$E$9</f>
        <v>326.91428571428571</v>
      </c>
      <c r="F13" s="320">
        <f>+[4]인천!$F$9</f>
        <v>290.78986553840724</v>
      </c>
      <c r="G13" s="322">
        <f t="shared" si="0"/>
        <v>-36.12442017587847</v>
      </c>
      <c r="H13" s="321">
        <f>+[4]인천!$E$15</f>
        <v>424.57142857142856</v>
      </c>
      <c r="I13" s="320">
        <f>+[4]인천!$F$15</f>
        <v>413.03748481497507</v>
      </c>
      <c r="J13" s="322">
        <f t="shared" si="1"/>
        <v>-11.533943756453482</v>
      </c>
      <c r="K13" s="424">
        <f>+([4]인천!$E$10*0.4+[4]인천!$E$11+[4]인천!$E$12+[4]인천!$E$13+[4]인천!$E$14)/[4]인천!$E$15</f>
        <v>0.17550471063257064</v>
      </c>
      <c r="L13" s="423">
        <f>+([4]인천!$F$10*0.4+[4]인천!$F$11+[4]인천!$F$12+[4]인천!$F$13+[4]인천!$F$14)/[4]인천!$F$15</f>
        <v>0.21606977138106365</v>
      </c>
      <c r="M13" s="422">
        <f t="shared" si="2"/>
        <v>4.0565060748493004E-2</v>
      </c>
      <c r="N13" s="321">
        <f>+[4]인천!$E$16</f>
        <v>879.65714285714284</v>
      </c>
      <c r="O13" s="320">
        <f>+[4]인천!$F$16</f>
        <v>846.25052829463039</v>
      </c>
      <c r="P13" s="322">
        <f t="shared" si="3"/>
        <v>-33.406614562512459</v>
      </c>
      <c r="Q13" s="321">
        <f>+[4]인천!$E$17</f>
        <v>850.14285714285711</v>
      </c>
      <c r="R13" s="320">
        <f>+[4]인천!$F$17</f>
        <v>863.18215516771636</v>
      </c>
      <c r="S13" s="322">
        <f t="shared" si="4"/>
        <v>13.039298024859249</v>
      </c>
      <c r="T13" s="421">
        <f>+[4]인천!$E$19</f>
        <v>3.5834285714285716</v>
      </c>
      <c r="U13" s="420">
        <f>+[4]인천!$F$19</f>
        <v>3.6938928153597113</v>
      </c>
      <c r="V13" s="419">
        <f t="shared" si="5"/>
        <v>0.11046424393113963</v>
      </c>
    </row>
    <row r="14" spans="4:22" ht="24" customHeight="1" x14ac:dyDescent="0.3">
      <c r="D14" s="323" t="s">
        <v>20</v>
      </c>
      <c r="E14" s="321">
        <f>+[4]파주!$E$9</f>
        <v>295.2106</v>
      </c>
      <c r="F14" s="320">
        <f>+[4]파주!$F$9</f>
        <v>314.58858697591427</v>
      </c>
      <c r="G14" s="322">
        <f t="shared" si="0"/>
        <v>19.377986975914268</v>
      </c>
      <c r="H14" s="321">
        <f>+[4]파주!$E$15</f>
        <v>368.94092666666666</v>
      </c>
      <c r="I14" s="320">
        <f>+[4]파주!$F$15</f>
        <v>405.52356556645844</v>
      </c>
      <c r="J14" s="322">
        <f t="shared" si="1"/>
        <v>36.582638899791789</v>
      </c>
      <c r="K14" s="424">
        <f>+([4]파주!$E$10*0.4+[4]파주!$E$11+[4]파주!$E$12+[4]파주!$E$13+[4]파주!$E$14)/[4]파주!$E$15</f>
        <v>0.19984317633939555</v>
      </c>
      <c r="L14" s="423">
        <f>+([4]파주!$F$10*0.4+[4]파주!$F$11+[4]파주!$F$12+[4]파주!$F$13+[4]파주!$F$14)/[4]파주!$F$15</f>
        <v>0.22424092287589012</v>
      </c>
      <c r="M14" s="422">
        <f t="shared" si="2"/>
        <v>2.4397746536494569E-2</v>
      </c>
      <c r="N14" s="321">
        <f>+[4]파주!$E$16</f>
        <v>827.95106666666663</v>
      </c>
      <c r="O14" s="320">
        <f>+[4]파주!$F$16</f>
        <v>864.61239964317576</v>
      </c>
      <c r="P14" s="322">
        <f t="shared" si="3"/>
        <v>36.661332976509129</v>
      </c>
      <c r="Q14" s="321">
        <f>+[4]파주!$E$17</f>
        <v>907.4480666666667</v>
      </c>
      <c r="R14" s="320">
        <f>+[4]파주!$F$17</f>
        <v>838.23818019625367</v>
      </c>
      <c r="S14" s="322">
        <f t="shared" si="4"/>
        <v>-69.209886470413039</v>
      </c>
      <c r="T14" s="421">
        <f>+[4]파주!$E$19</f>
        <v>2.9519780014666672</v>
      </c>
      <c r="U14" s="420">
        <f>+[4]파주!$F$19</f>
        <v>3.0090677966101689</v>
      </c>
      <c r="V14" s="419">
        <f t="shared" si="5"/>
        <v>5.7089795143501654E-2</v>
      </c>
    </row>
    <row r="15" spans="4:22" ht="24" customHeight="1" x14ac:dyDescent="0.3">
      <c r="D15" s="323" t="s">
        <v>106</v>
      </c>
      <c r="E15" s="321">
        <f>+[4]김포!$E$9</f>
        <v>279.23076923076923</v>
      </c>
      <c r="F15" s="320">
        <f>+[4]김포!$F$9</f>
        <v>242.08193736033761</v>
      </c>
      <c r="G15" s="322">
        <f t="shared" si="0"/>
        <v>-37.148831870431621</v>
      </c>
      <c r="H15" s="321">
        <f>+[4]김포!$E$15</f>
        <v>379.23076923076923</v>
      </c>
      <c r="I15" s="320">
        <f>+[4]김포!$F$15</f>
        <v>372.72388394282257</v>
      </c>
      <c r="J15" s="322">
        <f t="shared" si="1"/>
        <v>-6.506885287946659</v>
      </c>
      <c r="K15" s="424">
        <f>+([4]김포!$E$10*0.4+[4]김포!$E$11+[4]김포!$E$12+[4]김포!$E$13+[4]김포!$E$14)/[4]김포!$E$15</f>
        <v>0.21622718052738338</v>
      </c>
      <c r="L15" s="423">
        <f>+([4]김포!$F$10*0.4+[4]김포!$F$11+[4]김포!$F$12+[4]김포!$F$13+[4]김포!$F$14)/[4]김포!$F$15</f>
        <v>0.27385306052562286</v>
      </c>
      <c r="M15" s="422">
        <f t="shared" si="2"/>
        <v>5.7625879998239482E-2</v>
      </c>
      <c r="N15" s="321">
        <f>+[4]김포!$E$16</f>
        <v>830</v>
      </c>
      <c r="O15" s="320">
        <f>+[4]김포!$F$16</f>
        <v>820.20004965771659</v>
      </c>
      <c r="P15" s="322">
        <f t="shared" si="3"/>
        <v>-9.7999503422834096</v>
      </c>
      <c r="Q15" s="321">
        <f>+[4]김포!$E$17</f>
        <v>929.61538461538464</v>
      </c>
      <c r="R15" s="320">
        <f>+[4]김포!$F$17</f>
        <v>936.37037562515468</v>
      </c>
      <c r="S15" s="322">
        <f t="shared" si="4"/>
        <v>6.7549910097700376</v>
      </c>
      <c r="T15" s="421">
        <f>+[4]김포!$E$19</f>
        <v>3.3192307692307694</v>
      </c>
      <c r="U15" s="420">
        <f>+[4]김포!$F$19</f>
        <v>3.1798389671194971</v>
      </c>
      <c r="V15" s="419">
        <f t="shared" si="5"/>
        <v>-0.13939180211127233</v>
      </c>
    </row>
    <row r="16" spans="4:22" ht="24" customHeight="1" x14ac:dyDescent="0.3">
      <c r="D16" s="378" t="s">
        <v>21</v>
      </c>
      <c r="E16" s="328">
        <f>+[4]부산!$E$9</f>
        <v>224.68</v>
      </c>
      <c r="F16" s="327">
        <f>+[4]부산!$F$9</f>
        <v>124.46701365580023</v>
      </c>
      <c r="G16" s="329">
        <f t="shared" si="0"/>
        <v>-100.21298634419978</v>
      </c>
      <c r="H16" s="328">
        <f>+[4]부산!$E$15</f>
        <v>387.36</v>
      </c>
      <c r="I16" s="327">
        <f>+[4]부산!$F$15</f>
        <v>451.22715113338541</v>
      </c>
      <c r="J16" s="329">
        <f t="shared" si="1"/>
        <v>63.867151133385391</v>
      </c>
      <c r="K16" s="430">
        <f>+([4]부산!$E$10*0.4+[4]부산!$E$11+[4]부산!$E$12+[4]부산!$E$13+[4]부산!$E$14)/[4]부산!$E$15</f>
        <v>0.2039859562164395</v>
      </c>
      <c r="L16" s="429">
        <f>+([4]부산!$F$10*0.4+[4]부산!$F$11+[4]부산!$F$12+[4]부산!$F$13+[4]부산!$F$14)/[4]부산!$F$15</f>
        <v>0.34363807998890084</v>
      </c>
      <c r="M16" s="428">
        <f t="shared" si="2"/>
        <v>0.13965212377246133</v>
      </c>
      <c r="N16" s="328">
        <f>+[4]부산!$E$16</f>
        <v>850.40000000000009</v>
      </c>
      <c r="O16" s="327">
        <f>+[4]부산!$F$16</f>
        <v>889.93424985056754</v>
      </c>
      <c r="P16" s="329">
        <f t="shared" si="3"/>
        <v>39.534249850567448</v>
      </c>
      <c r="Q16" s="328">
        <f>+[4]부산!$E$17</f>
        <v>870.19999999999993</v>
      </c>
      <c r="R16" s="327">
        <f>+[4]부산!$F$17</f>
        <v>824.82872775759813</v>
      </c>
      <c r="S16" s="329">
        <f t="shared" si="4"/>
        <v>-45.371272242401801</v>
      </c>
      <c r="T16" s="427">
        <f>+[4]부산!$E$19</f>
        <v>3.1242016400000008</v>
      </c>
      <c r="U16" s="426">
        <f>+[4]부산!$F$19</f>
        <v>3.4948972366545585</v>
      </c>
      <c r="V16" s="425">
        <f t="shared" si="5"/>
        <v>0.37069559665455776</v>
      </c>
    </row>
    <row r="17" spans="4:22" ht="24" customHeight="1" x14ac:dyDescent="0.3">
      <c r="D17" s="323" t="s">
        <v>22</v>
      </c>
      <c r="E17" s="321">
        <f>+[4]서부산!$E$9</f>
        <v>264.55146799999994</v>
      </c>
      <c r="F17" s="320">
        <f>+[4]서부산!$F$9</f>
        <v>282.00579128440347</v>
      </c>
      <c r="G17" s="322">
        <f t="shared" si="0"/>
        <v>17.454323284403529</v>
      </c>
      <c r="H17" s="321">
        <f>+[4]서부산!$E$15</f>
        <v>366.50675799999999</v>
      </c>
      <c r="I17" s="320">
        <f>+[4]서부산!$F$15</f>
        <v>381.51208516154747</v>
      </c>
      <c r="J17" s="322">
        <f t="shared" si="1"/>
        <v>15.005327161547484</v>
      </c>
      <c r="K17" s="424">
        <f>+([4]서부산!$E$10*0.4+[4]서부산!$E$11+[4]서부산!$E$12+[4]서부산!$E$13+[4]서부산!$E$14)/[4]서부산!$E$15</f>
        <v>0.17973614011231961</v>
      </c>
      <c r="L17" s="423">
        <f>+([4]서부산!$F$10*0.4+[4]서부산!$F$11+[4]서부산!$F$12+[4]서부산!$F$13+[4]서부산!$F$14)/[4]서부산!$F$15</f>
        <v>0.17037235127612521</v>
      </c>
      <c r="M17" s="422">
        <f t="shared" si="2"/>
        <v>-9.3637888361944033E-3</v>
      </c>
      <c r="N17" s="321">
        <f>+[4]서부산!$E$16</f>
        <v>824.47499999999991</v>
      </c>
      <c r="O17" s="320">
        <f>+[4]서부산!$F$16</f>
        <v>844.23613881132826</v>
      </c>
      <c r="P17" s="322">
        <f t="shared" si="3"/>
        <v>19.761138811328351</v>
      </c>
      <c r="Q17" s="321">
        <f>+[4]서부산!$E$17</f>
        <v>907.28499999999997</v>
      </c>
      <c r="R17" s="320">
        <f>+[4]서부산!$F$17</f>
        <v>889.54502393298765</v>
      </c>
      <c r="S17" s="322">
        <f t="shared" si="4"/>
        <v>-17.739976067012321</v>
      </c>
      <c r="T17" s="421">
        <f>+[4]서부산!$E$19</f>
        <v>3.3405</v>
      </c>
      <c r="U17" s="420">
        <f>+[4]서부산!$F$19</f>
        <v>3.4257907857997609</v>
      </c>
      <c r="V17" s="419">
        <f t="shared" si="5"/>
        <v>8.5290785799760904E-2</v>
      </c>
    </row>
    <row r="18" spans="4:22" ht="24" customHeight="1" x14ac:dyDescent="0.3">
      <c r="D18" s="323" t="s">
        <v>23</v>
      </c>
      <c r="E18" s="321">
        <f>+[4]김해!$E$9</f>
        <v>163.51404899135449</v>
      </c>
      <c r="F18" s="320">
        <f>+[4]김해!$F$9</f>
        <v>214.89072743570307</v>
      </c>
      <c r="G18" s="322">
        <f t="shared" si="0"/>
        <v>51.376678444348585</v>
      </c>
      <c r="H18" s="321">
        <f>+[4]김해!$E$15</f>
        <v>360</v>
      </c>
      <c r="I18" s="320">
        <f>+[4]김해!$F$15</f>
        <v>356.48765496793783</v>
      </c>
      <c r="J18" s="322">
        <f t="shared" si="1"/>
        <v>-3.5123450320621714</v>
      </c>
      <c r="K18" s="424">
        <f>+([4]김해!$E$10*0.4+[4]김해!$E$11+[4]김해!$E$12+[4]김해!$E$13+[4]김해!$E$14)/[4]김해!$E$15</f>
        <v>0.27070425072046111</v>
      </c>
      <c r="L18" s="423">
        <f>+([4]김해!$F$10*0.4+[4]김해!$F$11+[4]김해!$F$12+[4]김해!$F$13+[4]김해!$F$14)/[4]김해!$F$15</f>
        <v>0.22139905576182353</v>
      </c>
      <c r="M18" s="422">
        <f t="shared" si="2"/>
        <v>-4.9305194958637583E-2</v>
      </c>
      <c r="N18" s="321">
        <f>+[4]김해!$E$16</f>
        <v>796</v>
      </c>
      <c r="O18" s="320">
        <f>+[4]김해!$F$16</f>
        <v>773.63304143970277</v>
      </c>
      <c r="P18" s="322">
        <f t="shared" si="3"/>
        <v>-22.366958560297235</v>
      </c>
      <c r="Q18" s="321">
        <f>+[4]김해!$E$17</f>
        <v>914</v>
      </c>
      <c r="R18" s="320">
        <f>+[4]김해!$F$17</f>
        <v>907.48121078397651</v>
      </c>
      <c r="S18" s="322">
        <f t="shared" si="4"/>
        <v>-6.5187892160234924</v>
      </c>
      <c r="T18" s="421">
        <f>+[4]김해!$E$19</f>
        <v>3.4062000000000001</v>
      </c>
      <c r="U18" s="420">
        <f>+[4]김해!$F$19</f>
        <v>3.1718127284010218</v>
      </c>
      <c r="V18" s="419">
        <f t="shared" si="5"/>
        <v>-0.23438727159897832</v>
      </c>
    </row>
    <row r="19" spans="4:22" ht="24" customHeight="1" x14ac:dyDescent="0.3">
      <c r="D19" s="323" t="s">
        <v>24</v>
      </c>
      <c r="E19" s="321">
        <f>+[4]정관!$E$9</f>
        <v>310.65803428612662</v>
      </c>
      <c r="F19" s="320">
        <f>+[4]정관!$F$9</f>
        <v>265.46323413159706</v>
      </c>
      <c r="G19" s="322">
        <f t="shared" si="0"/>
        <v>-45.19480015452956</v>
      </c>
      <c r="H19" s="321">
        <f>+[4]정관!$E$15</f>
        <v>371.33088939737775</v>
      </c>
      <c r="I19" s="320">
        <f>+[4]정관!$F$15</f>
        <v>389.85239711694931</v>
      </c>
      <c r="J19" s="322">
        <f t="shared" si="1"/>
        <v>18.521507719571559</v>
      </c>
      <c r="K19" s="424">
        <f>+([4]정관!$E$10*0.4+[4]정관!$E$11+[4]정관!$E$12+[4]정관!$E$13+[4]정관!$E$14)/[4]정관!$E$15</f>
        <v>0.16339296525994751</v>
      </c>
      <c r="L19" s="423">
        <f>+([4]정관!$F$10*0.4+[4]정관!$F$11+[4]정관!$F$12+[4]정관!$F$13+[4]정관!$F$14)/[4]정관!$F$15</f>
        <v>0.22526828782802147</v>
      </c>
      <c r="M19" s="422">
        <f t="shared" si="2"/>
        <v>6.1875322568073959E-2</v>
      </c>
      <c r="N19" s="321">
        <f>+[4]정관!$E$16</f>
        <v>824.2404414989611</v>
      </c>
      <c r="O19" s="320">
        <f>+[4]정관!$F$16</f>
        <v>701.0620243354258</v>
      </c>
      <c r="P19" s="322">
        <f t="shared" si="3"/>
        <v>-123.1784171635353</v>
      </c>
      <c r="Q19" s="321">
        <f>+[4]정관!$E$17</f>
        <v>903.59289692157267</v>
      </c>
      <c r="R19" s="320">
        <f>+[4]정관!$F$17</f>
        <v>934.31295047663275</v>
      </c>
      <c r="S19" s="322">
        <f t="shared" si="4"/>
        <v>30.720053555060076</v>
      </c>
      <c r="T19" s="421">
        <f>+[4]정관!$E$19</f>
        <v>3.1563125598777106</v>
      </c>
      <c r="U19" s="420">
        <f>+[4]정관!$F$19</f>
        <v>3.2196388436797645</v>
      </c>
      <c r="V19" s="419">
        <f t="shared" si="5"/>
        <v>6.3326283802053851E-2</v>
      </c>
    </row>
    <row r="20" spans="4:22" ht="24" customHeight="1" x14ac:dyDescent="0.3">
      <c r="D20" s="323" t="s">
        <v>25</v>
      </c>
      <c r="E20" s="321">
        <f>+[4]양산!$E$9</f>
        <v>282</v>
      </c>
      <c r="F20" s="320">
        <f>+[4]양산!$F$9</f>
        <v>244.87279966471078</v>
      </c>
      <c r="G20" s="322">
        <f t="shared" si="0"/>
        <v>-37.127200335289217</v>
      </c>
      <c r="H20" s="321">
        <f>+[4]양산!$E$15</f>
        <v>350.66666666666669</v>
      </c>
      <c r="I20" s="320">
        <f>+[4]양산!$F$15</f>
        <v>360.61515926236376</v>
      </c>
      <c r="J20" s="322">
        <f t="shared" si="1"/>
        <v>9.9484925956970756</v>
      </c>
      <c r="K20" s="424">
        <f>+([4]양산!$E$10*0.4+[4]양산!$E$11+[4]양산!$E$12+[4]양산!$E$13+[4]양산!$E$14)/[4]양산!$E$15</f>
        <v>0.19581749049429653</v>
      </c>
      <c r="L20" s="423">
        <f>+([4]양산!$F$10*0.4+[4]양산!$F$11+[4]양산!$F$12+[4]양산!$F$13+[4]양산!$F$14)/[4]양산!$F$15</f>
        <v>0.32095810901128868</v>
      </c>
      <c r="M20" s="422">
        <f t="shared" si="2"/>
        <v>0.12514061851699215</v>
      </c>
      <c r="N20" s="321">
        <f>+[4]양산!$E$16</f>
        <v>790.33333333333337</v>
      </c>
      <c r="O20" s="320">
        <f>+[4]양산!$F$16</f>
        <v>725.5238893545685</v>
      </c>
      <c r="P20" s="322">
        <f t="shared" si="3"/>
        <v>-64.809443978764875</v>
      </c>
      <c r="Q20" s="321">
        <f>+[4]양산!$E$17</f>
        <v>894.66666666666674</v>
      </c>
      <c r="R20" s="320">
        <f>+[4]양산!$F$17</f>
        <v>906.63453478625331</v>
      </c>
      <c r="S20" s="322">
        <f t="shared" si="4"/>
        <v>11.967868119586569</v>
      </c>
      <c r="T20" s="421">
        <f>+[4]양산!$E$19</f>
        <v>3.0666666666666669</v>
      </c>
      <c r="U20" s="420">
        <f>+[4]양산!$F$19</f>
        <v>2.982254819782062</v>
      </c>
      <c r="V20" s="419">
        <f t="shared" si="5"/>
        <v>-8.4411846884604902E-2</v>
      </c>
    </row>
    <row r="21" spans="4:22" ht="24" customHeight="1" x14ac:dyDescent="0.3">
      <c r="D21" s="323" t="s">
        <v>26</v>
      </c>
      <c r="E21" s="321">
        <f>+[4]창원!$E$9</f>
        <v>228.375</v>
      </c>
      <c r="F21" s="320">
        <f>+[4]창원!$F$9</f>
        <v>255.20375346901008</v>
      </c>
      <c r="G21" s="322">
        <f t="shared" si="0"/>
        <v>26.828753469010081</v>
      </c>
      <c r="H21" s="321">
        <f>+[4]창원!$E$15</f>
        <v>351.91500000000002</v>
      </c>
      <c r="I21" s="320">
        <f>+[4]창원!$F$15</f>
        <v>359.53853145235877</v>
      </c>
      <c r="J21" s="322">
        <f t="shared" si="1"/>
        <v>7.6235314523587476</v>
      </c>
      <c r="K21" s="424">
        <f>+([4]창원!$E$10*0.4+[4]창원!$E$11+[4]창원!$E$12+[4]창원!$E$13+[4]창원!$E$14)/[4]창원!$E$15</f>
        <v>0.2610033672903968</v>
      </c>
      <c r="L21" s="423">
        <f>+([4]창원!$F$10*0.4+[4]창원!$F$11+[4]창원!$F$12+[4]창원!$F$13+[4]창원!$F$14)/[4]창원!$F$15</f>
        <v>0.28680572854525249</v>
      </c>
      <c r="M21" s="422">
        <f t="shared" si="2"/>
        <v>2.5802361254855688E-2</v>
      </c>
      <c r="N21" s="321">
        <f>+[4]창원!$E$16</f>
        <v>830.875</v>
      </c>
      <c r="O21" s="320">
        <f>+[4]창원!$F$16</f>
        <v>819.79070305272899</v>
      </c>
      <c r="P21" s="322">
        <f t="shared" si="3"/>
        <v>-11.084296947271014</v>
      </c>
      <c r="Q21" s="321">
        <f>+[4]창원!$E$17</f>
        <v>872.65</v>
      </c>
      <c r="R21" s="320">
        <f>+[4]창원!$F$17</f>
        <v>878.28746530989849</v>
      </c>
      <c r="S21" s="322">
        <f t="shared" si="4"/>
        <v>5.6374653098985164</v>
      </c>
      <c r="T21" s="421">
        <f>+[4]창원!$E$19</f>
        <v>3.0794999999999999</v>
      </c>
      <c r="U21" s="420">
        <f>+[4]창원!$F$19</f>
        <v>2.5816604995374655</v>
      </c>
      <c r="V21" s="419">
        <f t="shared" si="5"/>
        <v>-0.49783950046253445</v>
      </c>
    </row>
    <row r="22" spans="4:22" ht="24" customHeight="1" x14ac:dyDescent="0.3">
      <c r="D22" s="323" t="s">
        <v>127</v>
      </c>
      <c r="E22" s="321">
        <f>+[4]대구!$E$9</f>
        <v>255.33100000000002</v>
      </c>
      <c r="F22" s="320">
        <f>+[4]대구!$F$9</f>
        <v>227.0567029843676</v>
      </c>
      <c r="G22" s="322">
        <f t="shared" si="0"/>
        <v>-28.274297015632413</v>
      </c>
      <c r="H22" s="321">
        <f>+[4]대구!$E$15</f>
        <v>342.89</v>
      </c>
      <c r="I22" s="320">
        <f>+[4]대구!$F$15</f>
        <v>341.04977104058111</v>
      </c>
      <c r="J22" s="322">
        <f t="shared" si="1"/>
        <v>-1.8402289594188801</v>
      </c>
      <c r="K22" s="424">
        <f>+([4]대구!$E$10*0.4+[4]대구!$E$11+[4]대구!$E$12+[4]대구!$E$13+[4]대구!$E$14)/[4]대구!$E$15</f>
        <v>0.25535594505526554</v>
      </c>
      <c r="L22" s="423">
        <f>+([4]대구!$F$10*0.4+[4]대구!$F$11+[4]대구!$F$12+[4]대구!$F$13+[4]대구!$F$14)/[4]대구!$F$15</f>
        <v>0.33424173752824371</v>
      </c>
      <c r="M22" s="422">
        <f t="shared" si="2"/>
        <v>7.8885792472978167E-2</v>
      </c>
      <c r="N22" s="321">
        <f>+[4]대구!$E$16</f>
        <v>711.63889583915125</v>
      </c>
      <c r="O22" s="320">
        <f>+[4]대구!$F$16</f>
        <v>604.12126954050211</v>
      </c>
      <c r="P22" s="322">
        <f t="shared" si="3"/>
        <v>-107.51762629864913</v>
      </c>
      <c r="Q22" s="321">
        <f>+[4]대구!$E$17</f>
        <v>982.73942758739918</v>
      </c>
      <c r="R22" s="320">
        <f>+[4]대구!$F$17</f>
        <v>1007.0582662245382</v>
      </c>
      <c r="S22" s="322">
        <f t="shared" si="4"/>
        <v>24.318838637139038</v>
      </c>
      <c r="T22" s="421">
        <f>+[4]대구!$E$19</f>
        <v>3.0860099999999995</v>
      </c>
      <c r="U22" s="420">
        <f>+[4]대구!$F$19</f>
        <v>2.9532922785409754</v>
      </c>
      <c r="V22" s="419">
        <f t="shared" si="5"/>
        <v>-0.13271772145902405</v>
      </c>
    </row>
    <row r="23" spans="4:22" ht="24" customHeight="1" x14ac:dyDescent="0.3">
      <c r="D23" s="323" t="s">
        <v>126</v>
      </c>
      <c r="E23" s="321">
        <f>+[4]울산!$E$9</f>
        <v>265.0791304347826</v>
      </c>
      <c r="F23" s="320">
        <f>+[4]울산!$F$9</f>
        <v>302.26844316378538</v>
      </c>
      <c r="G23" s="322">
        <f t="shared" si="0"/>
        <v>37.189312729002779</v>
      </c>
      <c r="H23" s="321">
        <f>+[4]울산!$E$15</f>
        <v>375.77391304347827</v>
      </c>
      <c r="I23" s="320">
        <f>+[4]울산!$F$15</f>
        <v>396.53480080180429</v>
      </c>
      <c r="J23" s="322">
        <f t="shared" si="1"/>
        <v>20.760887758326021</v>
      </c>
      <c r="K23" s="424">
        <f>+([4]울산!$E$10*0.4+[4]울산!$E$11+[4]울산!$E$12+[4]울산!$E$13+[4]울산!$E$14)/[4]울산!$E$15</f>
        <v>0.29457814597121307</v>
      </c>
      <c r="L23" s="423">
        <f>+([4]울산!$F$10*0.4+[4]울산!$F$11+[4]울산!$F$12+[4]울산!$F$13+[4]울산!$F$14)/[4]울산!$F$15</f>
        <v>0.23772530796139388</v>
      </c>
      <c r="M23" s="422">
        <f t="shared" si="2"/>
        <v>-5.685283800981919E-2</v>
      </c>
      <c r="N23" s="321">
        <f>+[4]울산!$E$16</f>
        <v>774.36173913043478</v>
      </c>
      <c r="O23" s="320">
        <f>+[4]울산!$F$16</f>
        <v>704.07667251315479</v>
      </c>
      <c r="P23" s="322">
        <f t="shared" si="3"/>
        <v>-70.285066617279995</v>
      </c>
      <c r="Q23" s="321">
        <f>+[4]울산!$E$17</f>
        <v>873.22608695652195</v>
      </c>
      <c r="R23" s="320">
        <f>+[4]울산!$F$17</f>
        <v>877.76246554748161</v>
      </c>
      <c r="S23" s="322">
        <f t="shared" si="4"/>
        <v>4.5363785909596572</v>
      </c>
      <c r="T23" s="421">
        <f>+[4]울산!$E$19</f>
        <v>3.4014782608695651</v>
      </c>
      <c r="U23" s="420">
        <f>+[4]울산!$F$19</f>
        <v>3.089033659066232</v>
      </c>
      <c r="V23" s="419">
        <f t="shared" si="5"/>
        <v>-0.31244460180333311</v>
      </c>
    </row>
    <row r="24" spans="4:22" ht="24" customHeight="1" x14ac:dyDescent="0.3">
      <c r="D24" s="378" t="s">
        <v>27</v>
      </c>
      <c r="E24" s="328">
        <f>+[4]아산!$E$9</f>
        <v>341.92180787009602</v>
      </c>
      <c r="F24" s="327">
        <f>+[4]아산!$F$9</f>
        <v>335.60919180549303</v>
      </c>
      <c r="G24" s="329">
        <f t="shared" si="0"/>
        <v>-6.3126160646029916</v>
      </c>
      <c r="H24" s="328">
        <f>+[4]아산!$E$15</f>
        <v>374.68612322527707</v>
      </c>
      <c r="I24" s="327">
        <f>+[4]아산!$F$15</f>
        <v>396.30258532192704</v>
      </c>
      <c r="J24" s="329">
        <f t="shared" si="1"/>
        <v>21.616462096649968</v>
      </c>
      <c r="K24" s="430">
        <f>+([4]아산!$E$10*0.4+[4]아산!$E$11+[4]아산!$E$12+[4]아산!$E$13+[4]아산!$E$14)/[4]아산!$E$15</f>
        <v>8.7444699240921117E-2</v>
      </c>
      <c r="L24" s="429">
        <f>+([4]아산!$F$10*0.4+[4]아산!$F$11+[4]아산!$F$12+[4]아산!$F$13+[4]아산!$F$14)/[4]아산!$F$15</f>
        <v>0.15314912333244346</v>
      </c>
      <c r="M24" s="428">
        <f t="shared" si="2"/>
        <v>6.5704424091522343E-2</v>
      </c>
      <c r="N24" s="328">
        <f>+[4]아산!$E$16</f>
        <v>860.00001363636363</v>
      </c>
      <c r="O24" s="327">
        <f>+[4]아산!$F$16</f>
        <v>800.88338586222449</v>
      </c>
      <c r="P24" s="329">
        <f t="shared" si="3"/>
        <v>-59.116627774139147</v>
      </c>
      <c r="Q24" s="328">
        <f>+[4]아산!$E$17</f>
        <v>889.49599090909101</v>
      </c>
      <c r="R24" s="327">
        <f>+[4]아산!$F$17</f>
        <v>968.83475911751464</v>
      </c>
      <c r="S24" s="329">
        <f t="shared" si="4"/>
        <v>79.33876820842363</v>
      </c>
      <c r="T24" s="427">
        <f>+[4]아산!$E$19</f>
        <v>3.051181818181818</v>
      </c>
      <c r="U24" s="426">
        <f>+[4]아산!$F$19</f>
        <v>3.5436425033768599</v>
      </c>
      <c r="V24" s="425">
        <f t="shared" si="5"/>
        <v>0.49246068519504194</v>
      </c>
    </row>
    <row r="25" spans="4:22" ht="24" customHeight="1" x14ac:dyDescent="0.3">
      <c r="D25" s="323" t="s">
        <v>125</v>
      </c>
      <c r="E25" s="321">
        <f>+[4]전주!$E$9</f>
        <v>314.05300000000005</v>
      </c>
      <c r="F25" s="320">
        <f>+[4]전주!$F$9</f>
        <v>259.4132435408103</v>
      </c>
      <c r="G25" s="322">
        <f t="shared" si="0"/>
        <v>-54.639756459189755</v>
      </c>
      <c r="H25" s="321">
        <f>+[4]전주!$E$15</f>
        <v>355.00700000000006</v>
      </c>
      <c r="I25" s="320">
        <f>+[4]전주!$F$15</f>
        <v>350.70723209042865</v>
      </c>
      <c r="J25" s="322">
        <f t="shared" si="1"/>
        <v>-4.2997679095714147</v>
      </c>
      <c r="K25" s="424">
        <f>+([4]전주!$E$10*0.4+[4]전주!$E$11+[4]전주!$E$12+[4]전주!$E$13+[4]전주!$E$14)/[4]전주!$E$15</f>
        <v>0.1035278177613399</v>
      </c>
      <c r="L25" s="423">
        <f>+([4]전주!$F$10*0.4+[4]전주!$F$11+[4]전주!$F$12+[4]전주!$F$13+[4]전주!$F$14)/[4]전주!$F$15</f>
        <v>0.18652115659429416</v>
      </c>
      <c r="M25" s="422">
        <f t="shared" si="2"/>
        <v>8.2993338832954261E-2</v>
      </c>
      <c r="N25" s="321">
        <f>+[4]전주!$E$16</f>
        <v>740.096</v>
      </c>
      <c r="O25" s="320">
        <f>+[4]전주!$F$16</f>
        <v>691.99684380504993</v>
      </c>
      <c r="P25" s="322">
        <f t="shared" si="3"/>
        <v>-48.099156194950069</v>
      </c>
      <c r="Q25" s="321">
        <f>+[4]전주!$E$17</f>
        <v>1002.9019999999999</v>
      </c>
      <c r="R25" s="320">
        <f>+[4]전주!$F$17</f>
        <v>1052.19869348209</v>
      </c>
      <c r="S25" s="322">
        <f t="shared" si="4"/>
        <v>49.296693482090063</v>
      </c>
      <c r="T25" s="421">
        <f>+[4]전주!$E$19</f>
        <v>2.77</v>
      </c>
      <c r="U25" s="420">
        <f>+[4]전주!$F$19</f>
        <v>2.4132450088079849</v>
      </c>
      <c r="V25" s="419">
        <f t="shared" si="5"/>
        <v>-0.35675499119201515</v>
      </c>
    </row>
    <row r="26" spans="4:22" ht="24" customHeight="1" x14ac:dyDescent="0.3">
      <c r="D26" s="323" t="s">
        <v>124</v>
      </c>
      <c r="E26" s="321">
        <f>+[4]군산!$E$9</f>
        <v>270.66666666666669</v>
      </c>
      <c r="F26" s="320">
        <f>+[4]군산!$F$9</f>
        <v>250.94718427323264</v>
      </c>
      <c r="G26" s="322">
        <f t="shared" si="0"/>
        <v>-19.719482393434049</v>
      </c>
      <c r="H26" s="321">
        <f>+[4]군산!$E$15</f>
        <v>357.5333333333333</v>
      </c>
      <c r="I26" s="320">
        <f>+[4]군산!$F$15</f>
        <v>358.11737490071471</v>
      </c>
      <c r="J26" s="322">
        <f t="shared" si="1"/>
        <v>0.584041567381405</v>
      </c>
      <c r="K26" s="424">
        <f>+([4]군산!$E$10*0.4+[4]군산!$E$11+[4]군산!$E$12+[4]군산!$E$13+[4]군산!$E$14)/[4]군산!$E$15</f>
        <v>0.24296102927465973</v>
      </c>
      <c r="L26" s="423">
        <f>+([4]군산!$F$10*0.4+[4]군산!$F$11+[4]군산!$F$12+[4]군산!$F$13+[4]군산!$F$14)/[4]군산!$F$15</f>
        <v>0.27025568524747529</v>
      </c>
      <c r="M26" s="422">
        <f t="shared" si="2"/>
        <v>2.7294655972815551E-2</v>
      </c>
      <c r="N26" s="321">
        <f>+[4]군산!$E$16</f>
        <v>858</v>
      </c>
      <c r="O26" s="320">
        <f>+[4]군산!$F$16</f>
        <v>848.79567116759324</v>
      </c>
      <c r="P26" s="322">
        <f t="shared" si="3"/>
        <v>-9.2043288324067589</v>
      </c>
      <c r="Q26" s="321">
        <f>+[4]군산!$E$17</f>
        <v>818</v>
      </c>
      <c r="R26" s="320">
        <f>+[4]군산!$F$17</f>
        <v>815.30182684670388</v>
      </c>
      <c r="S26" s="322">
        <f t="shared" si="4"/>
        <v>-2.6981731532961248</v>
      </c>
      <c r="T26" s="421">
        <f>+[4]군산!$E$19</f>
        <v>2.8</v>
      </c>
      <c r="U26" s="420">
        <f>+[4]군산!$F$19</f>
        <v>2.8721703733121515</v>
      </c>
      <c r="V26" s="419">
        <f t="shared" si="5"/>
        <v>7.2170373312151703E-2</v>
      </c>
    </row>
    <row r="27" spans="4:22" ht="24" customHeight="1" x14ac:dyDescent="0.3">
      <c r="D27" s="323" t="s">
        <v>123</v>
      </c>
      <c r="E27" s="321">
        <f>+[4]원주!$E$9</f>
        <v>308.10000000000002</v>
      </c>
      <c r="F27" s="320">
        <f>+[4]원주!$F$9</f>
        <v>354.30303296703306</v>
      </c>
      <c r="G27" s="322">
        <f t="shared" si="0"/>
        <v>46.203032967033039</v>
      </c>
      <c r="H27" s="321">
        <f>+[4]원주!$E$15</f>
        <v>356.40000000000003</v>
      </c>
      <c r="I27" s="320">
        <f>+[4]원주!$F$15</f>
        <v>434.04973901098907</v>
      </c>
      <c r="J27" s="322">
        <f t="shared" si="1"/>
        <v>77.649739010989038</v>
      </c>
      <c r="K27" s="424">
        <f>+([4]원주!$E$10*0.4+[4]원주!$E$11+[4]원주!$E$12+[4]원주!$E$13+[4]원주!$E$14)/[4]원주!$E$15</f>
        <v>0.13552188552188549</v>
      </c>
      <c r="L27" s="423">
        <f>+([4]원주!$F$10*0.4+[4]원주!$F$11+[4]원주!$F$12+[4]원주!$F$13+[4]원주!$F$14)/[4]원주!$F$15</f>
        <v>0.18372711437556483</v>
      </c>
      <c r="M27" s="422">
        <f t="shared" si="2"/>
        <v>4.8205228853679338E-2</v>
      </c>
      <c r="N27" s="321">
        <f>+[4]원주!$E$16</f>
        <v>866.4</v>
      </c>
      <c r="O27" s="320">
        <f>+[4]원주!$F$16</f>
        <v>921.88461538461536</v>
      </c>
      <c r="P27" s="322">
        <f t="shared" si="3"/>
        <v>55.484615384615381</v>
      </c>
      <c r="Q27" s="321">
        <f>+[4]원주!$E$17</f>
        <v>880.5</v>
      </c>
      <c r="R27" s="320">
        <f>+[4]원주!$F$17</f>
        <v>806.77884615384608</v>
      </c>
      <c r="S27" s="322">
        <f t="shared" si="4"/>
        <v>-73.721153846153925</v>
      </c>
      <c r="T27" s="421">
        <f>+[4]원주!$E$19</f>
        <v>2.9860000000000002</v>
      </c>
      <c r="U27" s="420">
        <f>+[4]원주!$F$19</f>
        <v>4.0548489010989011</v>
      </c>
      <c r="V27" s="419">
        <f t="shared" si="5"/>
        <v>1.0688489010989008</v>
      </c>
    </row>
    <row r="28" spans="4:22" ht="24" customHeight="1" x14ac:dyDescent="0.3">
      <c r="D28" s="318" t="s">
        <v>122</v>
      </c>
      <c r="E28" s="316">
        <f>+[4]제주!$E$9</f>
        <v>366.6400000000001</v>
      </c>
      <c r="F28" s="415">
        <f>+[4]제주!$F$9</f>
        <v>341.93704796133369</v>
      </c>
      <c r="G28" s="317">
        <f t="shared" si="0"/>
        <v>-24.70295203866641</v>
      </c>
      <c r="H28" s="316">
        <f>+[4]제주!$E$15</f>
        <v>366.6400000000001</v>
      </c>
      <c r="I28" s="415">
        <f>+[4]제주!$F$15</f>
        <v>370.59165200148738</v>
      </c>
      <c r="J28" s="317">
        <f t="shared" si="1"/>
        <v>3.9516520014872754</v>
      </c>
      <c r="K28" s="418">
        <f>+([4]제주!$E$10*0.4+[4]제주!$E$11+[4]제주!$E$12+[4]제주!$E$13+[4]제주!$E$14)/[4]제주!$E$15</f>
        <v>0</v>
      </c>
      <c r="L28" s="417">
        <f>+([4]제주!$F$10*0.4+[4]제주!$F$11+[4]제주!$F$12+[4]제주!$F$13+[4]제주!$F$14)/[4]제주!$F$15</f>
        <v>3.092849381295687E-2</v>
      </c>
      <c r="M28" s="416">
        <f t="shared" si="2"/>
        <v>3.092849381295687E-2</v>
      </c>
      <c r="N28" s="316">
        <f>+[4]제주!$E$16</f>
        <v>750.94</v>
      </c>
      <c r="O28" s="415">
        <f>+[4]제주!$F$16</f>
        <v>797.20659313421743</v>
      </c>
      <c r="P28" s="317">
        <f t="shared" si="3"/>
        <v>46.266593134217374</v>
      </c>
      <c r="Q28" s="316">
        <f>+[4]제주!$E$17</f>
        <v>982.84</v>
      </c>
      <c r="R28" s="415">
        <f>+[4]제주!$F$17</f>
        <v>983.69562523237073</v>
      </c>
      <c r="S28" s="317">
        <f t="shared" si="4"/>
        <v>0.85562523237069854</v>
      </c>
      <c r="T28" s="414">
        <f>+[4]제주!$E$19</f>
        <v>3.238</v>
      </c>
      <c r="U28" s="413">
        <f>+[4]제주!$F$19</f>
        <v>3.8142892551741228</v>
      </c>
      <c r="V28" s="412">
        <f t="shared" si="5"/>
        <v>0.57628925517412277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Q56"/>
  <sheetViews>
    <sheetView showGridLines="0" topLeftCell="A4" zoomScale="70" zoomScaleNormal="70" workbookViewId="0">
      <pane ySplit="6" topLeftCell="A10" activePane="bottomLeft" state="frozenSplit"/>
      <selection activeCell="Q20" sqref="Q20"/>
      <selection pane="bottomLeft" activeCell="G10" sqref="G10"/>
    </sheetView>
  </sheetViews>
  <sheetFormatPr defaultRowHeight="16.5" x14ac:dyDescent="0.3"/>
  <cols>
    <col min="1" max="3" width="5.625" style="4" customWidth="1"/>
    <col min="4" max="5" width="13" style="4" customWidth="1"/>
    <col min="6" max="15" width="15.75" style="4" customWidth="1"/>
    <col min="16" max="17" width="3.25" style="465" customWidth="1"/>
    <col min="18" max="16384" width="9" style="4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68" t="s">
        <v>216</v>
      </c>
      <c r="F6" s="368"/>
      <c r="G6" s="368"/>
      <c r="H6" s="368"/>
      <c r="I6" s="368"/>
      <c r="J6" s="368"/>
      <c r="K6" s="368"/>
      <c r="L6" s="368"/>
      <c r="M6" s="368"/>
    </row>
    <row r="7" spans="4:17" ht="21.95" customHeight="1" x14ac:dyDescent="0.3">
      <c r="D7" s="466"/>
      <c r="O7" s="367" t="s">
        <v>157</v>
      </c>
    </row>
    <row r="8" spans="4:17" ht="25.5" customHeight="1" x14ac:dyDescent="0.3">
      <c r="D8" s="694" t="s">
        <v>11</v>
      </c>
      <c r="E8" s="695"/>
      <c r="F8" s="557" t="s">
        <v>206</v>
      </c>
      <c r="G8" s="112"/>
      <c r="H8" s="112"/>
      <c r="I8" s="112"/>
      <c r="J8" s="112"/>
      <c r="K8" s="585" t="s">
        <v>207</v>
      </c>
      <c r="L8" s="112"/>
      <c r="M8" s="112"/>
      <c r="N8" s="112"/>
      <c r="O8" s="113"/>
      <c r="P8" s="467"/>
      <c r="Q8" s="467"/>
    </row>
    <row r="9" spans="4:17" ht="25.5" customHeight="1" x14ac:dyDescent="0.3">
      <c r="D9" s="696"/>
      <c r="E9" s="697"/>
      <c r="F9" s="558" t="s">
        <v>36</v>
      </c>
      <c r="G9" s="468" t="s">
        <v>37</v>
      </c>
      <c r="H9" s="469" t="s">
        <v>56</v>
      </c>
      <c r="I9" s="468" t="s">
        <v>39</v>
      </c>
      <c r="J9" s="469" t="s">
        <v>57</v>
      </c>
      <c r="K9" s="468" t="s">
        <v>36</v>
      </c>
      <c r="L9" s="469" t="s">
        <v>37</v>
      </c>
      <c r="M9" s="468" t="s">
        <v>56</v>
      </c>
      <c r="N9" s="468" t="s">
        <v>39</v>
      </c>
      <c r="O9" s="470" t="s">
        <v>57</v>
      </c>
      <c r="P9" s="467"/>
      <c r="Q9" s="467"/>
    </row>
    <row r="10" spans="4:17" ht="25.5" customHeight="1" x14ac:dyDescent="0.3">
      <c r="D10" s="471" t="s">
        <v>88</v>
      </c>
      <c r="E10" s="472" t="s">
        <v>68</v>
      </c>
      <c r="F10" s="559">
        <f>+IFERROR(HLOOKUP($F$8,[12]손익!$G$5:$AF$55,[12]손익!$D29,),)</f>
        <v>8500</v>
      </c>
      <c r="G10" s="473">
        <f>+'[13]3월'!$G$8</f>
        <v>3925.4639999999999</v>
      </c>
      <c r="H10" s="474">
        <f>+G10-F10</f>
        <v>-4574.5360000000001</v>
      </c>
      <c r="I10" s="473">
        <f>+'[14]3월'!$G$8</f>
        <v>15762.77</v>
      </c>
      <c r="J10" s="474">
        <f>+G10-I10</f>
        <v>-11837.306</v>
      </c>
      <c r="K10" s="473">
        <f>+IFERROR(HLOOKUP($K$8,[12]손익!$G$5:$AF$55,[12]손익!$D29,),)</f>
        <v>23500</v>
      </c>
      <c r="L10" s="474">
        <f>+'[13]3월'!$Q$8</f>
        <v>13878.237999999999</v>
      </c>
      <c r="M10" s="473">
        <f>+L10-K10</f>
        <v>-9621.7620000000006</v>
      </c>
      <c r="N10" s="473">
        <f>+'[14]3월'!$Q$8</f>
        <v>34222.794999999998</v>
      </c>
      <c r="O10" s="560">
        <f>+L10-N10</f>
        <v>-20344.557000000001</v>
      </c>
      <c r="P10" s="475"/>
      <c r="Q10" s="475"/>
    </row>
    <row r="11" spans="4:17" ht="25.5" customHeight="1" x14ac:dyDescent="0.3">
      <c r="D11" s="476" t="s">
        <v>53</v>
      </c>
      <c r="E11" s="477" t="s">
        <v>158</v>
      </c>
      <c r="F11" s="561">
        <f>+IFERROR(HLOOKUP($F$8,[12]손익!$G$5:$AF$55,[12]손익!$D30,),)</f>
        <v>745617.6470588235</v>
      </c>
      <c r="G11" s="478">
        <f>+G12/G10*1000</f>
        <v>807163.01053837198</v>
      </c>
      <c r="H11" s="479">
        <f t="shared" ref="H11:H35" si="0">+G11-F11</f>
        <v>61545.363479548483</v>
      </c>
      <c r="I11" s="478">
        <f>+I12/I10*1000</f>
        <v>736140.83983969816</v>
      </c>
      <c r="J11" s="479">
        <f t="shared" ref="J11:J35" si="1">+G11-I11</f>
        <v>71022.170698673814</v>
      </c>
      <c r="K11" s="478">
        <f>+IFERROR(HLOOKUP($K$8,[12]손익!$G$5:$AF$55,[12]손익!$D30,),)</f>
        <v>743776.59574468085</v>
      </c>
      <c r="L11" s="479">
        <f>+L12/L10*1000</f>
        <v>797647.95898441866</v>
      </c>
      <c r="M11" s="478">
        <f t="shared" ref="M11:M35" si="2">+L11-K11</f>
        <v>53871.36323973781</v>
      </c>
      <c r="N11" s="478">
        <f>+N12/N10*1000</f>
        <v>743744.95277197543</v>
      </c>
      <c r="O11" s="562">
        <f t="shared" ref="O11:O35" si="3">+L11-N11</f>
        <v>53903.00621244323</v>
      </c>
      <c r="P11" s="475"/>
      <c r="Q11" s="475"/>
    </row>
    <row r="12" spans="4:17" ht="25.5" customHeight="1" x14ac:dyDescent="0.3">
      <c r="D12" s="480" t="s">
        <v>159</v>
      </c>
      <c r="E12" s="481" t="s">
        <v>158</v>
      </c>
      <c r="F12" s="563">
        <f>+IFERROR(HLOOKUP($F$8,[12]손익!$G$5:$AF$55,[12]손익!$D31,),)</f>
        <v>6337750</v>
      </c>
      <c r="G12" s="482">
        <f>+'[13]3월'!$G$9</f>
        <v>3168489.34</v>
      </c>
      <c r="H12" s="483">
        <f t="shared" si="0"/>
        <v>-3169260.66</v>
      </c>
      <c r="I12" s="482">
        <f>+'[14]3월'!$G$9</f>
        <v>11603618.745999999</v>
      </c>
      <c r="J12" s="483">
        <f t="shared" si="1"/>
        <v>-8435129.4059999995</v>
      </c>
      <c r="K12" s="482">
        <f>+IFERROR(HLOOKUP($K$8,[12]손익!$G$5:$AF$55,[12]손익!$D31,),)</f>
        <v>17478750</v>
      </c>
      <c r="L12" s="483">
        <f>+'[13]3월'!$Q$9</f>
        <v>11069948.215</v>
      </c>
      <c r="M12" s="482">
        <f t="shared" si="2"/>
        <v>-6408801.7850000001</v>
      </c>
      <c r="N12" s="482">
        <f>+'[14]3월'!$Q$9</f>
        <v>25453031.050999999</v>
      </c>
      <c r="O12" s="564">
        <f t="shared" si="3"/>
        <v>-14383082.835999999</v>
      </c>
      <c r="P12" s="475"/>
      <c r="Q12" s="475"/>
    </row>
    <row r="13" spans="4:17" ht="25.5" customHeight="1" x14ac:dyDescent="0.3">
      <c r="D13" s="480"/>
      <c r="E13" s="484" t="s">
        <v>160</v>
      </c>
      <c r="F13" s="565">
        <f>+IFERROR(HLOOKUP($F$8,[12]손익!$G$5:$AF$55,[12]손익!$D32,),)</f>
        <v>1859863.5220000008</v>
      </c>
      <c r="G13" s="485">
        <f>+'[13]3월'!$J$9</f>
        <v>849302.55600000033</v>
      </c>
      <c r="H13" s="486">
        <f t="shared" si="0"/>
        <v>-1010560.9660000005</v>
      </c>
      <c r="I13" s="485">
        <f>+'[14]3월'!$J$9</f>
        <v>931609.94199999981</v>
      </c>
      <c r="J13" s="486">
        <f t="shared" si="1"/>
        <v>-82307.385999999475</v>
      </c>
      <c r="K13" s="485">
        <f>+IFERROR(HLOOKUP($K$8,[12]손익!$G$5:$AF$55,[12]손익!$D32,),)</f>
        <v>5108319.3020000029</v>
      </c>
      <c r="L13" s="486">
        <f>+'[13]3월'!$T$9</f>
        <v>2924433.5320000001</v>
      </c>
      <c r="M13" s="485">
        <f t="shared" si="2"/>
        <v>-2183885.7700000028</v>
      </c>
      <c r="N13" s="485">
        <f>+'[14]3월'!$T$9</f>
        <v>2839312.4410000006</v>
      </c>
      <c r="O13" s="566">
        <f t="shared" si="3"/>
        <v>85121.090999999549</v>
      </c>
      <c r="P13" s="475"/>
      <c r="Q13" s="475"/>
    </row>
    <row r="14" spans="4:17" ht="25.5" customHeight="1" x14ac:dyDescent="0.3">
      <c r="D14" s="480"/>
      <c r="E14" s="487" t="s">
        <v>161</v>
      </c>
      <c r="F14" s="156">
        <f>SUM(F12:F13)</f>
        <v>8197613.5220000008</v>
      </c>
      <c r="G14" s="488">
        <f>SUM(G12:G13)</f>
        <v>4017791.8960000002</v>
      </c>
      <c r="H14" s="157">
        <f t="shared" si="0"/>
        <v>-4179821.6260000006</v>
      </c>
      <c r="I14" s="488">
        <f>SUM(I12:I13)</f>
        <v>12535228.687999999</v>
      </c>
      <c r="J14" s="157">
        <f t="shared" si="1"/>
        <v>-8517436.7919999994</v>
      </c>
      <c r="K14" s="488">
        <f>SUM(K12:K13)</f>
        <v>22587069.302000001</v>
      </c>
      <c r="L14" s="157">
        <f>SUM(L12:L13)</f>
        <v>13994381.747</v>
      </c>
      <c r="M14" s="488">
        <f t="shared" si="2"/>
        <v>-8592687.5550000016</v>
      </c>
      <c r="N14" s="488">
        <f>SUM(N12:N13)</f>
        <v>28292343.491999999</v>
      </c>
      <c r="O14" s="158">
        <f t="shared" si="3"/>
        <v>-14297961.744999999</v>
      </c>
      <c r="P14" s="475"/>
      <c r="Q14" s="475"/>
    </row>
    <row r="15" spans="4:17" ht="25.5" customHeight="1" x14ac:dyDescent="0.3">
      <c r="D15" s="471" t="s">
        <v>5</v>
      </c>
      <c r="E15" s="472" t="s">
        <v>158</v>
      </c>
      <c r="F15" s="559">
        <f>+IFERROR(HLOOKUP($F$8,[12]손익!$G$5:$AF$55,[12]손익!$D34,),)</f>
        <v>6228300</v>
      </c>
      <c r="G15" s="473">
        <f>+'[13]3월'!$G$11</f>
        <v>3128520.6839999999</v>
      </c>
      <c r="H15" s="474">
        <f t="shared" si="0"/>
        <v>-3099779.3160000001</v>
      </c>
      <c r="I15" s="473">
        <f>+'[14]3월'!$G$11</f>
        <v>11586393.280999999</v>
      </c>
      <c r="J15" s="474">
        <f t="shared" si="1"/>
        <v>-8457872.5969999991</v>
      </c>
      <c r="K15" s="473">
        <f>+IFERROR(HLOOKUP($K$8,[12]손익!$G$5:$AF$55,[12]손익!$D34,),)</f>
        <v>17198000</v>
      </c>
      <c r="L15" s="474">
        <f>+'[13]3월'!$Q$11</f>
        <v>10846902.950999999</v>
      </c>
      <c r="M15" s="473">
        <f t="shared" si="2"/>
        <v>-6351097.0490000006</v>
      </c>
      <c r="N15" s="473">
        <f>+'[14]3월'!$Q$11</f>
        <v>25205806.313999999</v>
      </c>
      <c r="O15" s="560">
        <f t="shared" si="3"/>
        <v>-14358903.363</v>
      </c>
      <c r="P15" s="475"/>
      <c r="Q15" s="475"/>
    </row>
    <row r="16" spans="4:17" ht="25.5" customHeight="1" x14ac:dyDescent="0.3">
      <c r="D16" s="480"/>
      <c r="E16" s="484" t="s">
        <v>160</v>
      </c>
      <c r="F16" s="565">
        <f>+IFERROR(HLOOKUP($F$8,[12]손익!$G$5:$AF$55,[12]손익!$D35,),)</f>
        <v>1791959.3359999992</v>
      </c>
      <c r="G16" s="485">
        <f>+'[13]3월'!$J$11</f>
        <v>825997.57600000035</v>
      </c>
      <c r="H16" s="486">
        <f t="shared" si="0"/>
        <v>-965961.75999999885</v>
      </c>
      <c r="I16" s="485">
        <f>+'[14]3월'!$J$11</f>
        <v>911990.84300000034</v>
      </c>
      <c r="J16" s="486">
        <f t="shared" si="1"/>
        <v>-85993.266999999993</v>
      </c>
      <c r="K16" s="485">
        <f>+IFERROR(HLOOKUP($K$8,[12]손익!$G$5:$AF$55,[12]손익!$D35,),)</f>
        <v>4906322.9960000003</v>
      </c>
      <c r="L16" s="486">
        <f>+'[13]3월'!$T$11</f>
        <v>2815583.847000001</v>
      </c>
      <c r="M16" s="485">
        <f t="shared" si="2"/>
        <v>-2090739.1489999993</v>
      </c>
      <c r="N16" s="485">
        <f>+'[14]3월'!$T$11</f>
        <v>2754121.0790000018</v>
      </c>
      <c r="O16" s="566">
        <f t="shared" si="3"/>
        <v>61462.767999999225</v>
      </c>
      <c r="P16" s="475"/>
      <c r="Q16" s="475"/>
    </row>
    <row r="17" spans="4:17" ht="25.5" customHeight="1" x14ac:dyDescent="0.3">
      <c r="D17" s="476"/>
      <c r="E17" s="489" t="s">
        <v>162</v>
      </c>
      <c r="F17" s="567">
        <f>SUM(F15:F16)</f>
        <v>8020259.3359999992</v>
      </c>
      <c r="G17" s="490">
        <f>SUM(G15:G16)</f>
        <v>3954518.2600000002</v>
      </c>
      <c r="H17" s="491">
        <f t="shared" si="0"/>
        <v>-4065741.075999999</v>
      </c>
      <c r="I17" s="490">
        <f>SUM(I15:I16)</f>
        <v>12498384.124</v>
      </c>
      <c r="J17" s="491">
        <f t="shared" si="1"/>
        <v>-8543865.8640000001</v>
      </c>
      <c r="K17" s="490">
        <f>SUM(K15:K16)</f>
        <v>22104322.995999999</v>
      </c>
      <c r="L17" s="491">
        <f>SUM(L15:L16)</f>
        <v>13662486.798</v>
      </c>
      <c r="M17" s="490">
        <f t="shared" si="2"/>
        <v>-8441836.1979999989</v>
      </c>
      <c r="N17" s="490">
        <f>SUM(N15:N16)</f>
        <v>27959927.392999999</v>
      </c>
      <c r="O17" s="568">
        <f t="shared" si="3"/>
        <v>-14297440.594999999</v>
      </c>
      <c r="P17" s="475"/>
      <c r="Q17" s="475"/>
    </row>
    <row r="18" spans="4:17" ht="25.5" customHeight="1" x14ac:dyDescent="0.3">
      <c r="D18" s="480" t="s">
        <v>15</v>
      </c>
      <c r="E18" s="481" t="s">
        <v>158</v>
      </c>
      <c r="F18" s="563">
        <f>+F12-F15</f>
        <v>109450</v>
      </c>
      <c r="G18" s="482">
        <f>+G12-G15</f>
        <v>39968.655999999959</v>
      </c>
      <c r="H18" s="483">
        <f t="shared" si="0"/>
        <v>-69481.344000000041</v>
      </c>
      <c r="I18" s="482">
        <f>+I12-I15</f>
        <v>17225.464999999851</v>
      </c>
      <c r="J18" s="483">
        <f t="shared" si="1"/>
        <v>22743.191000000108</v>
      </c>
      <c r="K18" s="482">
        <f>+K12-K15</f>
        <v>280750</v>
      </c>
      <c r="L18" s="483">
        <f>+L12-L15</f>
        <v>223045.26400000043</v>
      </c>
      <c r="M18" s="482">
        <f t="shared" si="2"/>
        <v>-57704.735999999568</v>
      </c>
      <c r="N18" s="482">
        <f>+N12-N15</f>
        <v>247224.73699999973</v>
      </c>
      <c r="O18" s="564">
        <f t="shared" si="3"/>
        <v>-24179.4729999993</v>
      </c>
      <c r="P18" s="475"/>
      <c r="Q18" s="475"/>
    </row>
    <row r="19" spans="4:17" ht="25.5" customHeight="1" x14ac:dyDescent="0.3">
      <c r="D19" s="480"/>
      <c r="E19" s="492" t="s">
        <v>9</v>
      </c>
      <c r="F19" s="569">
        <f>+F18/F12</f>
        <v>1.7269535718512089E-2</v>
      </c>
      <c r="G19" s="493">
        <f>+G18/G12</f>
        <v>1.2614420220836205E-2</v>
      </c>
      <c r="H19" s="494">
        <f t="shared" si="0"/>
        <v>-4.6551154976758845E-3</v>
      </c>
      <c r="I19" s="493">
        <f>+I18/I12</f>
        <v>1.4844907762880278E-3</v>
      </c>
      <c r="J19" s="494">
        <f t="shared" si="1"/>
        <v>1.1129929444548176E-2</v>
      </c>
      <c r="K19" s="493">
        <f>IFERROR(K18/K12,)</f>
        <v>1.6062361438890081E-2</v>
      </c>
      <c r="L19" s="494">
        <f>+L18/L12</f>
        <v>2.0148717922435236E-2</v>
      </c>
      <c r="M19" s="493">
        <f t="shared" si="2"/>
        <v>4.0863564835451546E-3</v>
      </c>
      <c r="N19" s="493">
        <f>+N18/N12</f>
        <v>9.7129782501988796E-3</v>
      </c>
      <c r="O19" s="570">
        <f t="shared" si="3"/>
        <v>1.0435739672236356E-2</v>
      </c>
      <c r="P19" s="475"/>
      <c r="Q19" s="475"/>
    </row>
    <row r="20" spans="4:17" ht="25.5" customHeight="1" x14ac:dyDescent="0.3">
      <c r="D20" s="480"/>
      <c r="E20" s="495" t="s">
        <v>160</v>
      </c>
      <c r="F20" s="156">
        <f>+F13-F16</f>
        <v>67904.186000001617</v>
      </c>
      <c r="G20" s="488">
        <f>+G13-G16</f>
        <v>23304.979999999981</v>
      </c>
      <c r="H20" s="157">
        <f t="shared" si="0"/>
        <v>-44599.206000001635</v>
      </c>
      <c r="I20" s="488">
        <f>+I13-I16</f>
        <v>19619.098999999464</v>
      </c>
      <c r="J20" s="157">
        <f t="shared" si="1"/>
        <v>3685.8810000005178</v>
      </c>
      <c r="K20" s="488">
        <f>+K13-K16</f>
        <v>201996.30600000266</v>
      </c>
      <c r="L20" s="157">
        <f>+L13-L16</f>
        <v>108849.68499999912</v>
      </c>
      <c r="M20" s="488">
        <f t="shared" si="2"/>
        <v>-93146.621000003535</v>
      </c>
      <c r="N20" s="488">
        <f>+N13-N16</f>
        <v>85191.3619999988</v>
      </c>
      <c r="O20" s="158">
        <f t="shared" si="3"/>
        <v>23658.323000000324</v>
      </c>
      <c r="P20" s="475"/>
      <c r="Q20" s="475"/>
    </row>
    <row r="21" spans="4:17" ht="25.5" customHeight="1" x14ac:dyDescent="0.3">
      <c r="D21" s="480"/>
      <c r="E21" s="496" t="s">
        <v>9</v>
      </c>
      <c r="F21" s="571">
        <f>+F20/F13</f>
        <v>3.6510305835226541E-2</v>
      </c>
      <c r="G21" s="497">
        <f>+G20/G13</f>
        <v>2.7440138776645778E-2</v>
      </c>
      <c r="H21" s="498">
        <f t="shared" si="0"/>
        <v>-9.0701670585807623E-3</v>
      </c>
      <c r="I21" s="497">
        <f>+I20/I13</f>
        <v>2.1059349106859863E-2</v>
      </c>
      <c r="J21" s="498">
        <f t="shared" si="1"/>
        <v>6.3807896697859155E-3</v>
      </c>
      <c r="K21" s="497">
        <f>IFERROR(K20/K13,)</f>
        <v>3.9542615498000942E-2</v>
      </c>
      <c r="L21" s="498">
        <f>+L20/L13</f>
        <v>3.7220775855882612E-2</v>
      </c>
      <c r="M21" s="497">
        <f t="shared" si="2"/>
        <v>-2.3218396421183299E-3</v>
      </c>
      <c r="N21" s="497">
        <f>+N20/N13</f>
        <v>3.0004222420127374E-2</v>
      </c>
      <c r="O21" s="572">
        <f t="shared" si="3"/>
        <v>7.216553435755238E-3</v>
      </c>
      <c r="P21" s="475"/>
      <c r="Q21" s="475"/>
    </row>
    <row r="22" spans="4:17" ht="25.5" customHeight="1" x14ac:dyDescent="0.3">
      <c r="D22" s="480"/>
      <c r="E22" s="487" t="s">
        <v>161</v>
      </c>
      <c r="F22" s="156">
        <f>SUM(F18,F20)</f>
        <v>177354.18600000162</v>
      </c>
      <c r="G22" s="488">
        <f>SUM(G18,G20)</f>
        <v>63273.63599999994</v>
      </c>
      <c r="H22" s="157">
        <f t="shared" si="0"/>
        <v>-114080.55000000168</v>
      </c>
      <c r="I22" s="488">
        <f>SUM(I18,I20)</f>
        <v>36844.563999999315</v>
      </c>
      <c r="J22" s="157">
        <f t="shared" si="1"/>
        <v>26429.072000000626</v>
      </c>
      <c r="K22" s="488">
        <f>SUM(K18,K20)</f>
        <v>482746.30600000266</v>
      </c>
      <c r="L22" s="157">
        <f>SUM(L18,L20)</f>
        <v>331894.94899999956</v>
      </c>
      <c r="M22" s="488">
        <f t="shared" si="2"/>
        <v>-150851.3570000031</v>
      </c>
      <c r="N22" s="488">
        <f>SUM(N18,N20)</f>
        <v>332416.09899999853</v>
      </c>
      <c r="O22" s="158">
        <f t="shared" si="3"/>
        <v>-521.14999999897555</v>
      </c>
      <c r="P22" s="475"/>
      <c r="Q22" s="475"/>
    </row>
    <row r="23" spans="4:17" ht="25.5" customHeight="1" x14ac:dyDescent="0.3">
      <c r="D23" s="480"/>
      <c r="E23" s="499" t="s">
        <v>9</v>
      </c>
      <c r="F23" s="569">
        <f>+F22/F14</f>
        <v>2.1634855744788989E-2</v>
      </c>
      <c r="G23" s="493">
        <f>+G22/G14</f>
        <v>1.5748360701059051E-2</v>
      </c>
      <c r="H23" s="494">
        <f t="shared" si="0"/>
        <v>-5.8864950437299383E-3</v>
      </c>
      <c r="I23" s="493">
        <f>+I22/I14</f>
        <v>2.9392813579277332E-3</v>
      </c>
      <c r="J23" s="494">
        <f t="shared" si="1"/>
        <v>1.2809079343131318E-2</v>
      </c>
      <c r="K23" s="493">
        <f>IFERROR(K22/K14,)</f>
        <v>2.1372684501271586E-2</v>
      </c>
      <c r="L23" s="494">
        <f>+L22/L14</f>
        <v>2.3716299512205923E-2</v>
      </c>
      <c r="M23" s="493">
        <f t="shared" si="2"/>
        <v>2.3436150109343371E-3</v>
      </c>
      <c r="N23" s="493">
        <f>+N22/N14</f>
        <v>1.174933066587408E-2</v>
      </c>
      <c r="O23" s="570">
        <f t="shared" si="3"/>
        <v>1.1966968846331843E-2</v>
      </c>
      <c r="P23" s="475"/>
      <c r="Q23" s="475"/>
    </row>
    <row r="24" spans="4:17" ht="25.5" customHeight="1" x14ac:dyDescent="0.3">
      <c r="D24" s="471" t="s">
        <v>163</v>
      </c>
      <c r="E24" s="472" t="s">
        <v>164</v>
      </c>
      <c r="F24" s="559">
        <f>+IFERROR(HLOOKUP($F$8,[12]손익!$G$5:$AF$55,[12]손익!$D15,),)</f>
        <v>95152.545000000013</v>
      </c>
      <c r="G24" s="473">
        <f>+'[13]3월'!$M$19</f>
        <v>91121.53</v>
      </c>
      <c r="H24" s="474">
        <f t="shared" si="0"/>
        <v>-4031.015000000014</v>
      </c>
      <c r="I24" s="473">
        <f>+'[14]3월'!$M$19</f>
        <v>93738.437000000005</v>
      </c>
      <c r="J24" s="474">
        <f t="shared" si="1"/>
        <v>-2616.9070000000065</v>
      </c>
      <c r="K24" s="473">
        <f>+IFERROR(HLOOKUP($K$8,[12]손익!$G$5:$AF$55,[12]손익!$D15,),)</f>
        <v>282379.81699999998</v>
      </c>
      <c r="L24" s="474">
        <f>+'[13]3월'!$W$19</f>
        <v>301557.51199999999</v>
      </c>
      <c r="M24" s="473">
        <f t="shared" si="2"/>
        <v>19177.695000000007</v>
      </c>
      <c r="N24" s="473">
        <f>+'[14]3월'!$W$19</f>
        <v>283915.67700000003</v>
      </c>
      <c r="O24" s="560">
        <f t="shared" si="3"/>
        <v>17641.834999999963</v>
      </c>
      <c r="P24" s="475"/>
      <c r="Q24" s="475"/>
    </row>
    <row r="25" spans="4:17" ht="25.5" customHeight="1" x14ac:dyDescent="0.3">
      <c r="D25" s="480"/>
      <c r="E25" s="484" t="s">
        <v>165</v>
      </c>
      <c r="F25" s="565">
        <f>+IFERROR(HLOOKUP($F$8,[12]손익!$G$5:$AF$55,[12]손익!$D16,),)</f>
        <v>47228.27</v>
      </c>
      <c r="G25" s="485">
        <f>+'[13]3월'!$M$37</f>
        <v>-73336.445000000007</v>
      </c>
      <c r="H25" s="486">
        <f t="shared" si="0"/>
        <v>-120564.715</v>
      </c>
      <c r="I25" s="485">
        <f>+'[14]3월'!$M$37</f>
        <v>56241.519000000008</v>
      </c>
      <c r="J25" s="486">
        <f t="shared" si="1"/>
        <v>-129577.96400000001</v>
      </c>
      <c r="K25" s="485">
        <f>+IFERROR(HLOOKUP($K$8,[12]손익!$G$5:$AF$55,[12]손익!$D16,),)</f>
        <v>159957.85999999999</v>
      </c>
      <c r="L25" s="486">
        <f>+'[13]3월'!$W$37</f>
        <v>2630.9889999999723</v>
      </c>
      <c r="M25" s="485">
        <f t="shared" si="2"/>
        <v>-157326.87100000001</v>
      </c>
      <c r="N25" s="485">
        <f>+'[14]3월'!$W$37</f>
        <v>137488.16500000001</v>
      </c>
      <c r="O25" s="566">
        <f t="shared" si="3"/>
        <v>-134857.17600000004</v>
      </c>
      <c r="P25" s="475"/>
      <c r="Q25" s="475"/>
    </row>
    <row r="26" spans="4:17" ht="25.5" customHeight="1" x14ac:dyDescent="0.3">
      <c r="D26" s="476"/>
      <c r="E26" s="489" t="s">
        <v>161</v>
      </c>
      <c r="F26" s="567">
        <f>SUM(F24:F25)</f>
        <v>142380.815</v>
      </c>
      <c r="G26" s="490">
        <f>SUM(G24:G25)</f>
        <v>17785.084999999992</v>
      </c>
      <c r="H26" s="491">
        <f t="shared" si="0"/>
        <v>-124595.73000000001</v>
      </c>
      <c r="I26" s="490">
        <f>SUM(I24:I25)</f>
        <v>149979.95600000001</v>
      </c>
      <c r="J26" s="491">
        <f t="shared" si="1"/>
        <v>-132194.87100000001</v>
      </c>
      <c r="K26" s="490">
        <f>SUM(K24:K25)</f>
        <v>442337.67699999997</v>
      </c>
      <c r="L26" s="491">
        <f>SUM(L24:L25)</f>
        <v>304188.50099999993</v>
      </c>
      <c r="M26" s="490">
        <f t="shared" si="2"/>
        <v>-138149.17600000004</v>
      </c>
      <c r="N26" s="490">
        <f>SUM(N24:N25)</f>
        <v>421403.84200000006</v>
      </c>
      <c r="O26" s="568">
        <f t="shared" si="3"/>
        <v>-117215.34100000013</v>
      </c>
      <c r="P26" s="475"/>
      <c r="Q26" s="475"/>
    </row>
    <row r="27" spans="4:17" ht="25.5" customHeight="1" x14ac:dyDescent="0.3">
      <c r="D27" s="549" t="s">
        <v>174</v>
      </c>
      <c r="E27" s="554"/>
      <c r="F27" s="573">
        <f>+F22-F26</f>
        <v>34973.371000001614</v>
      </c>
      <c r="G27" s="577">
        <f>+G22-G26</f>
        <v>45488.550999999949</v>
      </c>
      <c r="H27" s="581">
        <f t="shared" si="0"/>
        <v>10515.179999998334</v>
      </c>
      <c r="I27" s="577">
        <f>+I22-I26</f>
        <v>-113135.39200000069</v>
      </c>
      <c r="J27" s="581">
        <f t="shared" si="1"/>
        <v>158623.94300000064</v>
      </c>
      <c r="K27" s="577">
        <f>+K22-K26</f>
        <v>40408.629000002693</v>
      </c>
      <c r="L27" s="581">
        <f>+L22-L26</f>
        <v>27706.447999999626</v>
      </c>
      <c r="M27" s="577">
        <f t="shared" si="2"/>
        <v>-12702.181000003067</v>
      </c>
      <c r="N27" s="577">
        <f>+N22-N26</f>
        <v>-88987.74300000153</v>
      </c>
      <c r="O27" s="586">
        <f t="shared" si="3"/>
        <v>116694.19100000116</v>
      </c>
      <c r="P27" s="475"/>
      <c r="Q27" s="475"/>
    </row>
    <row r="28" spans="4:17" ht="25.5" customHeight="1" x14ac:dyDescent="0.3">
      <c r="D28" s="551"/>
      <c r="E28" s="555" t="s">
        <v>10</v>
      </c>
      <c r="F28" s="574">
        <f>+F27/F14</f>
        <v>4.2662868780216703E-3</v>
      </c>
      <c r="G28" s="578">
        <f>+G27/G14</f>
        <v>1.1321778772386659E-2</v>
      </c>
      <c r="H28" s="582">
        <f t="shared" si="0"/>
        <v>7.0554918943649889E-3</v>
      </c>
      <c r="I28" s="578">
        <f>+I27/I14</f>
        <v>-9.0253951336608188E-3</v>
      </c>
      <c r="J28" s="582">
        <f t="shared" si="1"/>
        <v>2.0347173906047476E-2</v>
      </c>
      <c r="K28" s="578">
        <f>IFERROR(K27/K14,)</f>
        <v>1.7890160276979653E-3</v>
      </c>
      <c r="L28" s="582">
        <f>+L27/L14</f>
        <v>1.9798265118742462E-3</v>
      </c>
      <c r="M28" s="578">
        <f t="shared" si="2"/>
        <v>1.9081048417628091E-4</v>
      </c>
      <c r="N28" s="578">
        <f>+N27/N14</f>
        <v>-3.1452941685500137E-3</v>
      </c>
      <c r="O28" s="587">
        <f t="shared" si="3"/>
        <v>5.1251206804242598E-3</v>
      </c>
      <c r="P28" s="475"/>
      <c r="Q28" s="475"/>
    </row>
    <row r="29" spans="4:17" ht="25.5" customHeight="1" x14ac:dyDescent="0.3">
      <c r="D29" s="549" t="s">
        <v>175</v>
      </c>
      <c r="E29" s="554"/>
      <c r="F29" s="573">
        <f>+IFERROR(HLOOKUP($F$8,[12]손익!$G$5:$AF$55,[12]손익!$D19,),)</f>
        <v>5186.2629999999999</v>
      </c>
      <c r="G29" s="577">
        <f>+'[13]3월'!$M$40</f>
        <v>4725.183</v>
      </c>
      <c r="H29" s="581">
        <f t="shared" si="0"/>
        <v>-461.07999999999993</v>
      </c>
      <c r="I29" s="577">
        <f>+'[14]3월'!$M$40</f>
        <v>5734.9560000000001</v>
      </c>
      <c r="J29" s="581">
        <f t="shared" si="1"/>
        <v>-1009.7730000000001</v>
      </c>
      <c r="K29" s="577">
        <f>+IFERROR(HLOOKUP($K$8,[12]손익!$G$5:$AF$55,[12]손익!$D19,),)</f>
        <v>15558.789000000001</v>
      </c>
      <c r="L29" s="581">
        <f>+'[13]3월'!$W$40</f>
        <v>14188.882000000001</v>
      </c>
      <c r="M29" s="577">
        <f t="shared" si="2"/>
        <v>-1369.9069999999992</v>
      </c>
      <c r="N29" s="577">
        <f>+'[14]3월'!$W$40</f>
        <v>17323.643</v>
      </c>
      <c r="O29" s="586">
        <f t="shared" si="3"/>
        <v>-3134.7609999999986</v>
      </c>
      <c r="P29" s="475"/>
      <c r="Q29" s="475"/>
    </row>
    <row r="30" spans="4:17" ht="25.5" customHeight="1" x14ac:dyDescent="0.3">
      <c r="D30" s="551"/>
      <c r="E30" s="556" t="s">
        <v>176</v>
      </c>
      <c r="F30" s="575">
        <f>+F29</f>
        <v>5186.2629999999999</v>
      </c>
      <c r="G30" s="579">
        <f>+G29</f>
        <v>4725.183</v>
      </c>
      <c r="H30" s="583">
        <f t="shared" si="0"/>
        <v>-461.07999999999993</v>
      </c>
      <c r="I30" s="579">
        <f>+I29</f>
        <v>5734.9560000000001</v>
      </c>
      <c r="J30" s="583">
        <f t="shared" si="1"/>
        <v>-1009.7730000000001</v>
      </c>
      <c r="K30" s="579">
        <f>+K29</f>
        <v>15558.789000000001</v>
      </c>
      <c r="L30" s="583">
        <f>+L29</f>
        <v>14188.882000000001</v>
      </c>
      <c r="M30" s="579">
        <f t="shared" si="2"/>
        <v>-1369.9069999999992</v>
      </c>
      <c r="N30" s="579">
        <f>+N29</f>
        <v>17323.643</v>
      </c>
      <c r="O30" s="588">
        <f t="shared" si="3"/>
        <v>-3134.7609999999986</v>
      </c>
      <c r="P30" s="475"/>
      <c r="Q30" s="475"/>
    </row>
    <row r="31" spans="4:17" ht="25.5" customHeight="1" x14ac:dyDescent="0.3">
      <c r="D31" s="549" t="s">
        <v>177</v>
      </c>
      <c r="E31" s="554"/>
      <c r="F31" s="573">
        <f>+F27-F29</f>
        <v>29787.108000001615</v>
      </c>
      <c r="G31" s="577">
        <f>+G27-G29</f>
        <v>40763.367999999951</v>
      </c>
      <c r="H31" s="581">
        <f t="shared" si="0"/>
        <v>10976.259999998336</v>
      </c>
      <c r="I31" s="577">
        <f>+I27-I29</f>
        <v>-118870.3480000007</v>
      </c>
      <c r="J31" s="581">
        <f t="shared" si="1"/>
        <v>159633.71600000066</v>
      </c>
      <c r="K31" s="577">
        <f>+K27-K29</f>
        <v>24849.840000002692</v>
      </c>
      <c r="L31" s="581">
        <f>+L27-L29</f>
        <v>13517.565999999624</v>
      </c>
      <c r="M31" s="577">
        <f t="shared" si="2"/>
        <v>-11332.274000003068</v>
      </c>
      <c r="N31" s="577">
        <f>+N27-N29</f>
        <v>-106311.38600000153</v>
      </c>
      <c r="O31" s="586">
        <f t="shared" si="3"/>
        <v>119828.95200000115</v>
      </c>
      <c r="P31" s="475"/>
      <c r="Q31" s="475"/>
    </row>
    <row r="32" spans="4:17" ht="25.5" customHeight="1" x14ac:dyDescent="0.3">
      <c r="D32" s="553"/>
      <c r="E32" s="555" t="s">
        <v>10</v>
      </c>
      <c r="F32" s="576">
        <f>+F31/F14</f>
        <v>3.6336316563426313E-3</v>
      </c>
      <c r="G32" s="580">
        <f>+G31/G14</f>
        <v>1.0145714127350101E-2</v>
      </c>
      <c r="H32" s="584">
        <f t="shared" si="0"/>
        <v>6.5120824710074698E-3</v>
      </c>
      <c r="I32" s="580">
        <f>+I31/I14</f>
        <v>-9.482902223698202E-3</v>
      </c>
      <c r="J32" s="584">
        <f t="shared" si="1"/>
        <v>1.9628616351048303E-2</v>
      </c>
      <c r="K32" s="580">
        <f>IFERROR(K31/K14,)</f>
        <v>1.1001799156742452E-3</v>
      </c>
      <c r="L32" s="584">
        <f>+L31/L14</f>
        <v>9.6592805915826966E-4</v>
      </c>
      <c r="M32" s="580">
        <f t="shared" si="2"/>
        <v>-1.3425185651597549E-4</v>
      </c>
      <c r="N32" s="580">
        <f>+N31/N14</f>
        <v>-3.7576026895779191E-3</v>
      </c>
      <c r="O32" s="589">
        <f t="shared" si="3"/>
        <v>4.7235307487361886E-3</v>
      </c>
      <c r="P32" s="475"/>
      <c r="Q32" s="475"/>
    </row>
    <row r="33" spans="4:17" ht="25.5" customHeight="1" x14ac:dyDescent="0.3">
      <c r="D33" s="549" t="s">
        <v>29</v>
      </c>
      <c r="E33" s="550"/>
      <c r="F33" s="573">
        <f>+IFERROR(HLOOKUP($F$8,[12]손익!$G$5:$AF$55,[12]손익!$D23,),)</f>
        <v>32500.88350237425</v>
      </c>
      <c r="G33" s="577">
        <f>+'[13]3월'!$M$43</f>
        <v>39402.466999999997</v>
      </c>
      <c r="H33" s="581">
        <f t="shared" si="0"/>
        <v>6901.5834976257465</v>
      </c>
      <c r="I33" s="577"/>
      <c r="J33" s="581">
        <f t="shared" si="1"/>
        <v>39402.466999999997</v>
      </c>
      <c r="K33" s="577">
        <f>+IFERROR(HLOOKUP($K$8,[12]손익!$G$5:$AF$55,[12]손익!$D23,),)</f>
        <v>110277.35122899601</v>
      </c>
      <c r="L33" s="581">
        <f>+'[13]3월'!$W$43</f>
        <v>132271.18799999999</v>
      </c>
      <c r="M33" s="577">
        <f t="shared" si="2"/>
        <v>21993.836771003989</v>
      </c>
      <c r="N33" s="577"/>
      <c r="O33" s="586">
        <f t="shared" si="3"/>
        <v>132271.18799999999</v>
      </c>
      <c r="P33" s="475"/>
      <c r="Q33" s="475"/>
    </row>
    <row r="34" spans="4:17" ht="25.5" customHeight="1" x14ac:dyDescent="0.3">
      <c r="D34" s="549" t="s">
        <v>178</v>
      </c>
      <c r="E34" s="550"/>
      <c r="F34" s="573">
        <f>+F31-F33</f>
        <v>-2713.7755023726349</v>
      </c>
      <c r="G34" s="577">
        <f>+G31-G33</f>
        <v>1360.9009999999544</v>
      </c>
      <c r="H34" s="581">
        <f t="shared" si="0"/>
        <v>4074.6765023725893</v>
      </c>
      <c r="I34" s="577">
        <f>+I31-I33</f>
        <v>-118870.3480000007</v>
      </c>
      <c r="J34" s="581">
        <f t="shared" si="1"/>
        <v>120231.24900000065</v>
      </c>
      <c r="K34" s="577">
        <f>+K31-K33</f>
        <v>-85427.511228993317</v>
      </c>
      <c r="L34" s="581">
        <f>+L31-L33</f>
        <v>-118753.62200000037</v>
      </c>
      <c r="M34" s="577">
        <f t="shared" si="2"/>
        <v>-33326.11077100705</v>
      </c>
      <c r="N34" s="577">
        <f>+N31-N33</f>
        <v>-106311.38600000153</v>
      </c>
      <c r="O34" s="586">
        <f t="shared" si="3"/>
        <v>-12442.23599999884</v>
      </c>
      <c r="P34" s="475"/>
      <c r="Q34" s="475"/>
    </row>
    <row r="35" spans="4:17" ht="25.5" customHeight="1" x14ac:dyDescent="0.3">
      <c r="D35" s="553"/>
      <c r="E35" s="552" t="s">
        <v>10</v>
      </c>
      <c r="F35" s="576">
        <f>+F34/F14</f>
        <v>-3.3104457719184419E-4</v>
      </c>
      <c r="G35" s="580">
        <f>+G34/G14</f>
        <v>3.387186383034992E-4</v>
      </c>
      <c r="H35" s="584">
        <f t="shared" si="0"/>
        <v>6.6976321549534344E-4</v>
      </c>
      <c r="I35" s="580">
        <f>+I34/I14</f>
        <v>-9.482902223698202E-3</v>
      </c>
      <c r="J35" s="584">
        <f t="shared" si="1"/>
        <v>9.8216208620017006E-3</v>
      </c>
      <c r="K35" s="580">
        <f>IFERROR(K34/K14,)</f>
        <v>-3.7821423437802543E-3</v>
      </c>
      <c r="L35" s="584">
        <f>+L34/L14</f>
        <v>-8.4858069578856374E-3</v>
      </c>
      <c r="M35" s="580">
        <f t="shared" si="2"/>
        <v>-4.7036646141053826E-3</v>
      </c>
      <c r="N35" s="580">
        <f>+N34/N14</f>
        <v>-3.7576026895779191E-3</v>
      </c>
      <c r="O35" s="589">
        <f t="shared" si="3"/>
        <v>-4.7282042683077178E-3</v>
      </c>
      <c r="P35" s="475"/>
      <c r="Q35" s="475"/>
    </row>
    <row r="36" spans="4:17" ht="21.95" customHeight="1" x14ac:dyDescent="0.3">
      <c r="P36" s="475"/>
      <c r="Q36" s="475"/>
    </row>
    <row r="37" spans="4:17" ht="21.95" customHeight="1" x14ac:dyDescent="0.3">
      <c r="P37" s="475"/>
      <c r="Q37" s="475"/>
    </row>
    <row r="38" spans="4:17" ht="21.95" customHeight="1" x14ac:dyDescent="0.3">
      <c r="P38" s="475"/>
      <c r="Q38" s="475"/>
    </row>
    <row r="39" spans="4:17" ht="21.95" customHeight="1" x14ac:dyDescent="0.3">
      <c r="F39" s="500"/>
      <c r="G39" s="500"/>
      <c r="I39" s="500"/>
      <c r="K39" s="500"/>
      <c r="L39" s="500"/>
      <c r="N39" s="81"/>
      <c r="P39" s="475"/>
      <c r="Q39" s="475"/>
    </row>
    <row r="40" spans="4:17" ht="21.95" customHeight="1" x14ac:dyDescent="0.3"/>
    <row r="41" spans="4:17" ht="21.95" customHeight="1" x14ac:dyDescent="0.3"/>
    <row r="42" spans="4:17" ht="21.95" customHeight="1" x14ac:dyDescent="0.3"/>
    <row r="43" spans="4:17" ht="21.95" customHeight="1" x14ac:dyDescent="0.3"/>
    <row r="44" spans="4:17" ht="21.95" customHeight="1" x14ac:dyDescent="0.3"/>
    <row r="45" spans="4:17" ht="21.95" customHeight="1" x14ac:dyDescent="0.3"/>
    <row r="46" spans="4:17" ht="21.95" customHeight="1" x14ac:dyDescent="0.3"/>
    <row r="47" spans="4:17" ht="21.95" customHeight="1" x14ac:dyDescent="0.3"/>
    <row r="48" spans="4:17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  <row r="56" ht="21.95" customHeight="1" x14ac:dyDescent="0.3"/>
  </sheetData>
  <mergeCells count="1">
    <mergeCell ref="D8:E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표지</vt:lpstr>
      <vt:lpstr>손익총괄</vt:lpstr>
      <vt:lpstr>레미콘 영업이익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2026-04-15T03:42:25Z</cp:lastPrinted>
  <dcterms:created xsi:type="dcterms:W3CDTF">2018-12-20T00:38:36Z</dcterms:created>
  <dcterms:modified xsi:type="dcterms:W3CDTF">2026-05-22T07:56:35Z</dcterms:modified>
</cp:coreProperties>
</file>