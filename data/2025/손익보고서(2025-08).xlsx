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2025년\원가손익\202508\00_보고서\"/>
    </mc:Choice>
  </mc:AlternateContent>
  <xr:revisionPtr revIDLastSave="0" documentId="13_ncr:1_{4510A272-66E7-4C70-B03A-53513DF189ED}" xr6:coauthVersionLast="36" xr6:coauthVersionMax="36" xr10:uidLastSave="{00000000-0000-0000-0000-000000000000}"/>
  <bookViews>
    <workbookView xWindow="480" yWindow="75" windowWidth="27975" windowHeight="12495" firstSheet="1" activeTab="3" xr2:uid="{00000000-000D-0000-FFFF-FFFF00000000}"/>
  </bookViews>
  <sheets>
    <sheet name="파워BI용" sheetId="35" r:id="rId1"/>
    <sheet name="표지" sheetId="24" r:id="rId2"/>
    <sheet name="손익총괄" sheetId="1" r:id="rId3"/>
    <sheet name="레미콘 영업이익" sheetId="37" r:id="rId4"/>
    <sheet name="사업장별(당월)" sheetId="2" r:id="rId5"/>
    <sheet name="사업장별(누계)" sheetId="31" r:id="rId6"/>
    <sheet name="사업장별(당월)_건자재제외" sheetId="32" r:id="rId7"/>
    <sheet name="사업장별(누계)_건자재제외" sheetId="33" r:id="rId8"/>
    <sheet name="영업이익" sheetId="25" r:id="rId9"/>
    <sheet name="공헌이익" sheetId="26" r:id="rId10"/>
    <sheet name="재료비단가" sheetId="27" r:id="rId11"/>
    <sheet name="원단위" sheetId="28" r:id="rId12"/>
    <sheet name="건자재" sheetId="34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ASSUMPTIONS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12" hidden="1">{"Header",#N/A,TRUE,"Summary";"ProjectInfo",#N/A,TRUE,"Total Value"}</definedName>
    <definedName name="edsd" localSheetId="9" hidden="1">{"Header",#N/A,TRUE,"Summary";"ProjectInfo",#N/A,TRUE,"Total Value"}</definedName>
    <definedName name="edsd" localSheetId="8" hidden="1">{"Header",#N/A,TRUE,"Summary";"ProjectInfo",#N/A,TRUE,"Total Value"}</definedName>
    <definedName name="edsd" localSheetId="11" hidden="1">{"Header",#N/A,TRUE,"Summary";"ProjectInfo",#N/A,TRUE,"Total Value"}</definedName>
    <definedName name="edsd" localSheetId="10" hidden="1">{"Header",#N/A,TRUE,"Summary";"ProjectInfo",#N/A,TRUE,"Total Value"}</definedName>
    <definedName name="edsd" hidden="1">{"Header",#N/A,TRUE,"Summary";"ProjectInfo",#N/A,TRUE,"Total Value"}</definedName>
    <definedName name="ff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12" hidden="1">{"Header",#N/A,TRUE,"Summary";"ProjectInfo",#N/A,TRUE,"Total Value"}</definedName>
    <definedName name="jijk" localSheetId="9" hidden="1">{"Header",#N/A,TRUE,"Summary";"ProjectInfo",#N/A,TRUE,"Total Value"}</definedName>
    <definedName name="jijk" localSheetId="8" hidden="1">{"Header",#N/A,TRUE,"Summary";"ProjectInfo",#N/A,TRUE,"Total Value"}</definedName>
    <definedName name="jijk" localSheetId="11" hidden="1">{"Header",#N/A,TRUE,"Summary";"ProjectInfo",#N/A,TRUE,"Total Value"}</definedName>
    <definedName name="jijk" localSheetId="10" hidden="1">{"Header",#N/A,TRUE,"Summary";"ProjectInfo",#N/A,TRUE,"Total Value"}</definedName>
    <definedName name="jijk" hidden="1">{"Header",#N/A,TRUE,"Summary";"ProjectInfo",#N/A,TRUE,"Total Value"}</definedName>
    <definedName name="jjjj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12">건자재!$D$6:$O$34</definedName>
    <definedName name="_xlnm.Print_Area" localSheetId="9">공헌이익!$D$4:$V$29</definedName>
    <definedName name="_xlnm.Print_Area" localSheetId="3">'레미콘 영업이익'!$H$3:$AC$28</definedName>
    <definedName name="_xlnm.Print_Area" localSheetId="5">'사업장별(누계)'!$H$3:$AG$43</definedName>
    <definedName name="_xlnm.Print_Area" localSheetId="7">'사업장별(누계)_건자재제외'!$H$3:$AG$42</definedName>
    <definedName name="_xlnm.Print_Area" localSheetId="4">'사업장별(당월)'!$H$3:$AG$43</definedName>
    <definedName name="_xlnm.Print_Area" localSheetId="6">'사업장별(당월)_건자재제외'!$H$3:$AG$42</definedName>
    <definedName name="_xlnm.Print_Area" localSheetId="2">손익총괄!$C$3:$X$36</definedName>
    <definedName name="_xlnm.Print_Area" localSheetId="8">영업이익!$D$4:$W$29</definedName>
    <definedName name="_xlnm.Print_Area" localSheetId="11">원단위!$D$4:$V$29</definedName>
    <definedName name="_xlnm.Print_Area" localSheetId="10">재료비단가!$D$4:$V$29</definedName>
    <definedName name="_xlnm.Print_Area" localSheetId="0">파워BI용!$A$1:$X$14</definedName>
    <definedName name="sad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12" hidden="1">{"Header",#N/A,TRUE,"Summary";"ProjectInfo",#N/A,TRUE,"Total Value"}</definedName>
    <definedName name="w" localSheetId="9" hidden="1">{"Header",#N/A,TRUE,"Summary";"ProjectInfo",#N/A,TRUE,"Total Value"}</definedName>
    <definedName name="w" localSheetId="8" hidden="1">{"Header",#N/A,TRUE,"Summary";"ProjectInfo",#N/A,TRUE,"Total Value"}</definedName>
    <definedName name="w" localSheetId="11" hidden="1">{"Header",#N/A,TRUE,"Summary";"ProjectInfo",#N/A,TRUE,"Total Value"}</definedName>
    <definedName name="w" localSheetId="10" hidden="1">{"Header",#N/A,TRUE,"Summary";"ProjectInfo",#N/A,TRUE,"Total Value"}</definedName>
    <definedName name="w" hidden="1">{"Header",#N/A,TRUE,"Summary";"ProjectInfo",#N/A,TRUE,"Total Value"}</definedName>
    <definedName name="wrn.iIMPRESSION._.DOC.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12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8" hidden="1">{"Header",#N/A,TRUE,"Summary";"ProjectInfo",#N/A,TRUE,"Total Value"}</definedName>
    <definedName name="wrn.SummaryReport." localSheetId="11" hidden="1">{"Header",#N/A,TRUE,"Summary";"ProjectInfo",#N/A,TRUE,"Total Value"}</definedName>
    <definedName name="wrn.SummaryReport." localSheetId="10" hidden="1">{"Header",#N/A,TRUE,"Summary";"ProjectInfo",#N/A,TRUE,"Total Value"}</definedName>
    <definedName name="wrn.SummaryReport." hidden="1">{"Header",#N/A,TRUE,"Summary";"ProjectInfo",#N/A,TRUE,"Total Value"}</definedName>
    <definedName name="ww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12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8" hidden="1">{"Header",#N/A,TRUE,"Summary";"ProjectInfo",#N/A,TRUE,"Total Value"}</definedName>
    <definedName name="ㅁㄴㄴㅇ" localSheetId="11" hidden="1">{"Header",#N/A,TRUE,"Summary";"ProjectInfo",#N/A,TRUE,"Total Value"}</definedName>
    <definedName name="ㅁㄴㄴㅇ" localSheetId="10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12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8" hidden="1">{"Header",#N/A,TRUE,"Summary";"ProjectInfo",#N/A,TRUE,"Total Value"}</definedName>
    <definedName name="ㅈㅇ" localSheetId="11" hidden="1">{"Header",#N/A,TRUE,"Summary";"ProjectInfo",#N/A,TRUE,"Total Value"}</definedName>
    <definedName name="ㅈㅇ" localSheetId="10" hidden="1">{"Header",#N/A,TRUE,"Summary";"ProjectInfo",#N/A,TRUE,"Total Value"}</definedName>
    <definedName name="ㅈㅇ" hidden="1">{"Header",#N/A,TRUE,"Summary";"ProjectInfo",#N/A,TRUE,"Total Value"}</definedName>
    <definedName name="차이분서II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AB24" i="37" l="1"/>
  <c r="W24" i="37"/>
  <c r="R24" i="37"/>
  <c r="P24" i="37"/>
  <c r="O24" i="37"/>
  <c r="M24" i="37"/>
  <c r="K24" i="37"/>
  <c r="J24" i="37"/>
  <c r="AB23" i="37"/>
  <c r="W23" i="37"/>
  <c r="R23" i="37"/>
  <c r="P23" i="37"/>
  <c r="O23" i="37"/>
  <c r="M23" i="37"/>
  <c r="K23" i="37"/>
  <c r="J23" i="37"/>
  <c r="AB22" i="37"/>
  <c r="W22" i="37"/>
  <c r="R22" i="37"/>
  <c r="P22" i="37"/>
  <c r="O22" i="37"/>
  <c r="M22" i="37"/>
  <c r="K22" i="37"/>
  <c r="J22" i="37"/>
  <c r="AB21" i="37"/>
  <c r="W21" i="37"/>
  <c r="R21" i="37"/>
  <c r="P21" i="37"/>
  <c r="O21" i="37"/>
  <c r="M21" i="37"/>
  <c r="K21" i="37"/>
  <c r="J21" i="37"/>
  <c r="AB20" i="37"/>
  <c r="W20" i="37"/>
  <c r="R20" i="37"/>
  <c r="P20" i="37"/>
  <c r="O20" i="37"/>
  <c r="M20" i="37"/>
  <c r="K20" i="37"/>
  <c r="J20" i="37"/>
  <c r="AB19" i="37"/>
  <c r="W19" i="37"/>
  <c r="R19" i="37"/>
  <c r="P19" i="37"/>
  <c r="O19" i="37"/>
  <c r="M19" i="37"/>
  <c r="K19" i="37"/>
  <c r="J19" i="37"/>
  <c r="AB18" i="37"/>
  <c r="W18" i="37"/>
  <c r="R18" i="37"/>
  <c r="P18" i="37"/>
  <c r="O18" i="37"/>
  <c r="M18" i="37"/>
  <c r="K18" i="37"/>
  <c r="J18" i="37"/>
  <c r="AB17" i="37"/>
  <c r="W17" i="37"/>
  <c r="R17" i="37"/>
  <c r="P17" i="37"/>
  <c r="O17" i="37"/>
  <c r="M17" i="37"/>
  <c r="K17" i="37"/>
  <c r="J17" i="37"/>
  <c r="AB16" i="37"/>
  <c r="W16" i="37"/>
  <c r="R16" i="37"/>
  <c r="P16" i="37"/>
  <c r="O16" i="37"/>
  <c r="M16" i="37"/>
  <c r="K16" i="37"/>
  <c r="J16" i="37"/>
  <c r="AB15" i="37"/>
  <c r="W15" i="37"/>
  <c r="R15" i="37"/>
  <c r="P15" i="37"/>
  <c r="O15" i="37"/>
  <c r="M15" i="37"/>
  <c r="K15" i="37"/>
  <c r="J15" i="37"/>
  <c r="AB14" i="37"/>
  <c r="W14" i="37"/>
  <c r="R14" i="37"/>
  <c r="P14" i="37"/>
  <c r="O14" i="37"/>
  <c r="M14" i="37"/>
  <c r="K14" i="37"/>
  <c r="J14" i="37"/>
  <c r="AB13" i="37"/>
  <c r="W13" i="37"/>
  <c r="R13" i="37"/>
  <c r="P13" i="37"/>
  <c r="O13" i="37"/>
  <c r="M13" i="37"/>
  <c r="K13" i="37"/>
  <c r="J13" i="37"/>
  <c r="AB12" i="37"/>
  <c r="W12" i="37"/>
  <c r="R12" i="37"/>
  <c r="P12" i="37"/>
  <c r="O12" i="37"/>
  <c r="M12" i="37"/>
  <c r="K12" i="37"/>
  <c r="J12" i="37"/>
  <c r="AB11" i="37"/>
  <c r="W11" i="37"/>
  <c r="R11" i="37"/>
  <c r="P11" i="37"/>
  <c r="O11" i="37"/>
  <c r="M11" i="37"/>
  <c r="K11" i="37"/>
  <c r="J11" i="37"/>
  <c r="AB10" i="37"/>
  <c r="W10" i="37"/>
  <c r="R10" i="37"/>
  <c r="P10" i="37"/>
  <c r="O10" i="37"/>
  <c r="M10" i="37"/>
  <c r="K10" i="37"/>
  <c r="J10" i="37"/>
  <c r="AB9" i="37"/>
  <c r="W9" i="37"/>
  <c r="R9" i="37"/>
  <c r="P9" i="37"/>
  <c r="O9" i="37"/>
  <c r="M9" i="37"/>
  <c r="K9" i="37"/>
  <c r="J9" i="37"/>
  <c r="AB8" i="37"/>
  <c r="W8" i="37"/>
  <c r="R8" i="37"/>
  <c r="P8" i="37"/>
  <c r="O8" i="37"/>
  <c r="M8" i="37"/>
  <c r="K8" i="37"/>
  <c r="J8" i="37"/>
  <c r="S24" i="37" l="1"/>
  <c r="S23" i="37"/>
  <c r="S22" i="37"/>
  <c r="S21" i="37"/>
  <c r="S19" i="37"/>
  <c r="S18" i="37"/>
  <c r="S16" i="37"/>
  <c r="S15" i="37"/>
  <c r="S11" i="37"/>
  <c r="S10" i="37"/>
  <c r="S9" i="37"/>
  <c r="O25" i="37"/>
  <c r="N23" i="37"/>
  <c r="N22" i="37"/>
  <c r="M27" i="37"/>
  <c r="N19" i="37"/>
  <c r="N17" i="37"/>
  <c r="N15" i="37"/>
  <c r="N13" i="37"/>
  <c r="N11" i="37"/>
  <c r="W25" i="37"/>
  <c r="N9" i="37" l="1"/>
  <c r="S12" i="37"/>
  <c r="N12" i="37"/>
  <c r="W26" i="37"/>
  <c r="L24" i="37"/>
  <c r="L18" i="37"/>
  <c r="L14" i="37"/>
  <c r="R25" i="37"/>
  <c r="J27" i="37"/>
  <c r="J25" i="37"/>
  <c r="Q17" i="37"/>
  <c r="L10" i="37"/>
  <c r="N16" i="37"/>
  <c r="N10" i="37"/>
  <c r="O26" i="37"/>
  <c r="O28" i="37" s="1"/>
  <c r="P26" i="37"/>
  <c r="AB25" i="37"/>
  <c r="R26" i="37"/>
  <c r="S20" i="37"/>
  <c r="L8" i="37"/>
  <c r="N14" i="37"/>
  <c r="AB26" i="37"/>
  <c r="L16" i="37"/>
  <c r="AB27" i="37"/>
  <c r="J26" i="37"/>
  <c r="L12" i="37"/>
  <c r="N24" i="37"/>
  <c r="S14" i="37"/>
  <c r="O27" i="37"/>
  <c r="N18" i="37"/>
  <c r="L20" i="37"/>
  <c r="N8" i="37"/>
  <c r="K27" i="37"/>
  <c r="L27" i="37" s="1"/>
  <c r="L22" i="37"/>
  <c r="S8" i="37"/>
  <c r="R27" i="37"/>
  <c r="P25" i="37"/>
  <c r="Q13" i="37"/>
  <c r="Q21" i="37"/>
  <c r="S13" i="37"/>
  <c r="S17" i="37"/>
  <c r="Q10" i="37"/>
  <c r="Q14" i="37"/>
  <c r="Q18" i="37"/>
  <c r="P27" i="37"/>
  <c r="Q11" i="37"/>
  <c r="Q19" i="37"/>
  <c r="Q23" i="37"/>
  <c r="Q9" i="37"/>
  <c r="Q22" i="37"/>
  <c r="Q15" i="37"/>
  <c r="Q8" i="37"/>
  <c r="Q12" i="37"/>
  <c r="Q16" i="37"/>
  <c r="Q20" i="37"/>
  <c r="Q24" i="37"/>
  <c r="K25" i="37"/>
  <c r="L9" i="37"/>
  <c r="L13" i="37"/>
  <c r="L17" i="37"/>
  <c r="L21" i="37"/>
  <c r="M25" i="37"/>
  <c r="N21" i="37"/>
  <c r="K26" i="37"/>
  <c r="M26" i="37"/>
  <c r="N20" i="37"/>
  <c r="L11" i="37"/>
  <c r="L15" i="37"/>
  <c r="L19" i="37"/>
  <c r="L23" i="37"/>
  <c r="W27" i="37"/>
  <c r="G13" i="35"/>
  <c r="G11" i="35"/>
  <c r="G9" i="35"/>
  <c r="G8" i="35"/>
  <c r="G6" i="35"/>
  <c r="G5" i="35"/>
  <c r="G4" i="35"/>
  <c r="G3" i="35"/>
  <c r="J28" i="37" l="1"/>
  <c r="W28" i="37"/>
  <c r="N27" i="37"/>
  <c r="AB28" i="37"/>
  <c r="S26" i="37"/>
  <c r="R28" i="37"/>
  <c r="Q26" i="37"/>
  <c r="S27" i="37"/>
  <c r="Q27" i="37"/>
  <c r="Q25" i="37"/>
  <c r="P28" i="37"/>
  <c r="S25" i="37"/>
  <c r="N26" i="37"/>
  <c r="L26" i="37"/>
  <c r="K28" i="37"/>
  <c r="N25" i="37"/>
  <c r="L25" i="37"/>
  <c r="M28" i="37"/>
  <c r="V28" i="1"/>
  <c r="V27" i="1"/>
  <c r="S28" i="37" l="1"/>
  <c r="Q28" i="37"/>
  <c r="L28" i="37"/>
  <c r="N28" i="37"/>
  <c r="T28" i="1"/>
  <c r="T27" i="1"/>
  <c r="S28" i="1"/>
  <c r="S27" i="1"/>
  <c r="W35" i="33" l="1"/>
  <c r="AD27" i="33"/>
  <c r="AA27" i="33"/>
  <c r="AD26" i="33"/>
  <c r="AA26" i="33"/>
  <c r="AD25" i="33"/>
  <c r="AA25" i="33"/>
  <c r="AD24" i="33"/>
  <c r="AA24" i="33"/>
  <c r="AD23" i="33"/>
  <c r="AA23" i="33"/>
  <c r="AD22" i="33"/>
  <c r="AA22" i="33"/>
  <c r="AD21" i="33"/>
  <c r="AA21" i="33"/>
  <c r="AD20" i="33"/>
  <c r="AA20" i="33"/>
  <c r="AD19" i="33"/>
  <c r="AA19" i="33"/>
  <c r="AD18" i="33"/>
  <c r="AA18" i="33"/>
  <c r="AD17" i="33"/>
  <c r="AA17" i="33"/>
  <c r="AD16" i="33"/>
  <c r="AA16" i="33"/>
  <c r="AD15" i="33"/>
  <c r="AA15" i="33"/>
  <c r="AD14" i="33"/>
  <c r="AA14" i="33"/>
  <c r="AD13" i="33"/>
  <c r="AA13" i="33"/>
  <c r="AD12" i="33"/>
  <c r="AA12" i="33"/>
  <c r="AD11" i="33"/>
  <c r="AA11" i="33"/>
  <c r="AD10" i="33"/>
  <c r="AA10" i="33"/>
  <c r="AD9" i="33"/>
  <c r="AA9" i="33"/>
  <c r="AD8" i="33"/>
  <c r="AA8" i="33"/>
  <c r="AD7" i="33"/>
  <c r="AA7" i="33"/>
  <c r="W45" i="33"/>
  <c r="U45" i="33"/>
  <c r="T45" i="33"/>
  <c r="R45" i="33"/>
  <c r="P45" i="33"/>
  <c r="O45" i="33"/>
  <c r="M45" i="33"/>
  <c r="J45" i="33"/>
  <c r="W39" i="33"/>
  <c r="T39" i="33"/>
  <c r="R39" i="33"/>
  <c r="P39" i="33"/>
  <c r="O39" i="33"/>
  <c r="U38" i="33"/>
  <c r="U39" i="33" s="1"/>
  <c r="W37" i="33"/>
  <c r="U37" i="33"/>
  <c r="T37" i="33"/>
  <c r="R37" i="33"/>
  <c r="W36" i="33"/>
  <c r="U36" i="33"/>
  <c r="U35" i="33"/>
  <c r="W34" i="33"/>
  <c r="U34" i="33"/>
  <c r="T34" i="33"/>
  <c r="W33" i="33"/>
  <c r="U33" i="33"/>
  <c r="T33" i="33"/>
  <c r="R33" i="33"/>
  <c r="P33" i="33"/>
  <c r="O33" i="33"/>
  <c r="W32" i="33"/>
  <c r="U32" i="33"/>
  <c r="U50" i="33" s="1"/>
  <c r="T32" i="33"/>
  <c r="T50" i="33" s="1"/>
  <c r="R32" i="33"/>
  <c r="P32" i="33"/>
  <c r="O32" i="33"/>
  <c r="W30" i="33"/>
  <c r="U30" i="33"/>
  <c r="T30" i="33"/>
  <c r="R30" i="33"/>
  <c r="P30" i="33"/>
  <c r="O30" i="33"/>
  <c r="M30" i="33"/>
  <c r="J30" i="33"/>
  <c r="W29" i="33"/>
  <c r="U29" i="33"/>
  <c r="T29" i="33"/>
  <c r="R29" i="33"/>
  <c r="P29" i="33"/>
  <c r="O29" i="33"/>
  <c r="M29" i="33"/>
  <c r="J29" i="33"/>
  <c r="W28" i="33"/>
  <c r="U28" i="33"/>
  <c r="T28" i="33"/>
  <c r="R28" i="33"/>
  <c r="P28" i="33"/>
  <c r="O28" i="33"/>
  <c r="M28" i="33"/>
  <c r="J28" i="33"/>
  <c r="W23" i="33"/>
  <c r="U23" i="33"/>
  <c r="T23" i="33"/>
  <c r="R23" i="33"/>
  <c r="P23" i="33"/>
  <c r="O23" i="33"/>
  <c r="M23" i="33"/>
  <c r="J23" i="33"/>
  <c r="W22" i="33"/>
  <c r="U22" i="33"/>
  <c r="T22" i="33"/>
  <c r="R22" i="33"/>
  <c r="P22" i="33"/>
  <c r="O22" i="33"/>
  <c r="M22" i="33"/>
  <c r="J22" i="33"/>
  <c r="W21" i="33"/>
  <c r="U21" i="33"/>
  <c r="T21" i="33"/>
  <c r="R21" i="33"/>
  <c r="P21" i="33"/>
  <c r="O21" i="33"/>
  <c r="M21" i="33"/>
  <c r="J21" i="33"/>
  <c r="W20" i="33"/>
  <c r="U20" i="33"/>
  <c r="T20" i="33"/>
  <c r="R20" i="33"/>
  <c r="P20" i="33"/>
  <c r="O20" i="33"/>
  <c r="M20" i="33"/>
  <c r="J20" i="33"/>
  <c r="W19" i="33"/>
  <c r="U19" i="33"/>
  <c r="T19" i="33"/>
  <c r="R19" i="33"/>
  <c r="P19" i="33"/>
  <c r="O19" i="33"/>
  <c r="M19" i="33"/>
  <c r="J19" i="33"/>
  <c r="W18" i="33"/>
  <c r="U18" i="33"/>
  <c r="T18" i="33"/>
  <c r="R18" i="33"/>
  <c r="P18" i="33"/>
  <c r="O18" i="33"/>
  <c r="M18" i="33"/>
  <c r="J18" i="33"/>
  <c r="W17" i="33"/>
  <c r="U17" i="33"/>
  <c r="T17" i="33"/>
  <c r="R17" i="33"/>
  <c r="P17" i="33"/>
  <c r="O17" i="33"/>
  <c r="M17" i="33"/>
  <c r="J17" i="33"/>
  <c r="W16" i="33"/>
  <c r="U16" i="33"/>
  <c r="T16" i="33"/>
  <c r="R16" i="33"/>
  <c r="P16" i="33"/>
  <c r="O16" i="33"/>
  <c r="M16" i="33"/>
  <c r="J16" i="33"/>
  <c r="W15" i="33"/>
  <c r="U15" i="33"/>
  <c r="T15" i="33"/>
  <c r="R15" i="33"/>
  <c r="P15" i="33"/>
  <c r="O15" i="33"/>
  <c r="M15" i="33"/>
  <c r="J15" i="33"/>
  <c r="W14" i="33"/>
  <c r="U14" i="33"/>
  <c r="T14" i="33"/>
  <c r="R14" i="33"/>
  <c r="P14" i="33"/>
  <c r="O14" i="33"/>
  <c r="M14" i="33"/>
  <c r="J14" i="33"/>
  <c r="W13" i="33"/>
  <c r="U13" i="33"/>
  <c r="T13" i="33"/>
  <c r="R13" i="33"/>
  <c r="P13" i="33"/>
  <c r="O13" i="33"/>
  <c r="M13" i="33"/>
  <c r="J13" i="33"/>
  <c r="W12" i="33"/>
  <c r="U12" i="33"/>
  <c r="T12" i="33"/>
  <c r="R12" i="33"/>
  <c r="P12" i="33"/>
  <c r="O12" i="33"/>
  <c r="M12" i="33"/>
  <c r="J12" i="33"/>
  <c r="W11" i="33"/>
  <c r="U11" i="33"/>
  <c r="T11" i="33"/>
  <c r="R11" i="33"/>
  <c r="P11" i="33"/>
  <c r="O11" i="33"/>
  <c r="M11" i="33"/>
  <c r="J11" i="33"/>
  <c r="W10" i="33"/>
  <c r="U10" i="33"/>
  <c r="T10" i="33"/>
  <c r="R10" i="33"/>
  <c r="P10" i="33"/>
  <c r="O10" i="33"/>
  <c r="M10" i="33"/>
  <c r="J10" i="33"/>
  <c r="W9" i="33"/>
  <c r="U9" i="33"/>
  <c r="T9" i="33"/>
  <c r="R9" i="33"/>
  <c r="P9" i="33"/>
  <c r="O9" i="33"/>
  <c r="M9" i="33"/>
  <c r="J9" i="33"/>
  <c r="W8" i="33"/>
  <c r="U8" i="33"/>
  <c r="T8" i="33"/>
  <c r="R8" i="33"/>
  <c r="P8" i="33"/>
  <c r="O8" i="33"/>
  <c r="M8" i="33"/>
  <c r="J8" i="33"/>
  <c r="W7" i="33"/>
  <c r="U7" i="33"/>
  <c r="T7" i="33"/>
  <c r="R7" i="33"/>
  <c r="P7" i="33"/>
  <c r="O7" i="33"/>
  <c r="M7" i="33"/>
  <c r="J7" i="33"/>
  <c r="W35" i="32"/>
  <c r="W45" i="32"/>
  <c r="U45" i="32"/>
  <c r="T45" i="32"/>
  <c r="R45" i="32"/>
  <c r="P45" i="32"/>
  <c r="O45" i="32"/>
  <c r="M45" i="32"/>
  <c r="J45" i="32"/>
  <c r="W39" i="32"/>
  <c r="T39" i="32"/>
  <c r="R39" i="32"/>
  <c r="P39" i="32"/>
  <c r="O39" i="32"/>
  <c r="U38" i="32"/>
  <c r="U39" i="32" s="1"/>
  <c r="W37" i="32"/>
  <c r="U37" i="32"/>
  <c r="T37" i="32"/>
  <c r="R37" i="32"/>
  <c r="W36" i="32"/>
  <c r="U36" i="32"/>
  <c r="U35" i="32"/>
  <c r="W34" i="32"/>
  <c r="U34" i="32"/>
  <c r="T34" i="32"/>
  <c r="W33" i="32"/>
  <c r="U33" i="32"/>
  <c r="T33" i="32"/>
  <c r="R33" i="32"/>
  <c r="P33" i="32"/>
  <c r="O33" i="32"/>
  <c r="W32" i="32"/>
  <c r="U32" i="32"/>
  <c r="U50" i="32" s="1"/>
  <c r="T32" i="32"/>
  <c r="T50" i="32" s="1"/>
  <c r="R32" i="32"/>
  <c r="P32" i="32"/>
  <c r="O32" i="32"/>
  <c r="W30" i="32"/>
  <c r="U30" i="32"/>
  <c r="T30" i="32"/>
  <c r="R30" i="32"/>
  <c r="P30" i="32"/>
  <c r="O30" i="32"/>
  <c r="M30" i="32"/>
  <c r="J30" i="32"/>
  <c r="W29" i="32"/>
  <c r="U29" i="32"/>
  <c r="T29" i="32"/>
  <c r="R29" i="32"/>
  <c r="P29" i="32"/>
  <c r="O29" i="32"/>
  <c r="M29" i="32"/>
  <c r="J29" i="32"/>
  <c r="W28" i="32"/>
  <c r="U28" i="32"/>
  <c r="T28" i="32"/>
  <c r="R28" i="32"/>
  <c r="P28" i="32"/>
  <c r="O28" i="32"/>
  <c r="M28" i="32"/>
  <c r="J28" i="32"/>
  <c r="W23" i="32"/>
  <c r="U23" i="32"/>
  <c r="T23" i="32"/>
  <c r="R23" i="32"/>
  <c r="P23" i="32"/>
  <c r="O23" i="32"/>
  <c r="M23" i="32"/>
  <c r="J23" i="32"/>
  <c r="W22" i="32"/>
  <c r="U22" i="32"/>
  <c r="T22" i="32"/>
  <c r="R22" i="32"/>
  <c r="P22" i="32"/>
  <c r="O22" i="32"/>
  <c r="M22" i="32"/>
  <c r="J22" i="32"/>
  <c r="W21" i="32"/>
  <c r="U21" i="32"/>
  <c r="T21" i="32"/>
  <c r="R21" i="32"/>
  <c r="P21" i="32"/>
  <c r="O21" i="32"/>
  <c r="M21" i="32"/>
  <c r="J21" i="32"/>
  <c r="W20" i="32"/>
  <c r="U20" i="32"/>
  <c r="T20" i="32"/>
  <c r="R20" i="32"/>
  <c r="P20" i="32"/>
  <c r="O20" i="32"/>
  <c r="M20" i="32"/>
  <c r="J20" i="32"/>
  <c r="W19" i="32"/>
  <c r="U19" i="32"/>
  <c r="T19" i="32"/>
  <c r="R19" i="32"/>
  <c r="P19" i="32"/>
  <c r="O19" i="32"/>
  <c r="M19" i="32"/>
  <c r="J19" i="32"/>
  <c r="W18" i="32"/>
  <c r="U18" i="32"/>
  <c r="T18" i="32"/>
  <c r="R18" i="32"/>
  <c r="P18" i="32"/>
  <c r="O18" i="32"/>
  <c r="M18" i="32"/>
  <c r="J18" i="32"/>
  <c r="W17" i="32"/>
  <c r="U17" i="32"/>
  <c r="T17" i="32"/>
  <c r="R17" i="32"/>
  <c r="P17" i="32"/>
  <c r="O17" i="32"/>
  <c r="M17" i="32"/>
  <c r="J17" i="32"/>
  <c r="W16" i="32"/>
  <c r="U16" i="32"/>
  <c r="T16" i="32"/>
  <c r="R16" i="32"/>
  <c r="P16" i="32"/>
  <c r="O16" i="32"/>
  <c r="M16" i="32"/>
  <c r="J16" i="32"/>
  <c r="W15" i="32"/>
  <c r="U15" i="32"/>
  <c r="T15" i="32"/>
  <c r="R15" i="32"/>
  <c r="P15" i="32"/>
  <c r="O15" i="32"/>
  <c r="M15" i="32"/>
  <c r="J15" i="32"/>
  <c r="W14" i="32"/>
  <c r="U14" i="32"/>
  <c r="T14" i="32"/>
  <c r="R14" i="32"/>
  <c r="P14" i="32"/>
  <c r="O14" i="32"/>
  <c r="M14" i="32"/>
  <c r="J14" i="32"/>
  <c r="W13" i="32"/>
  <c r="U13" i="32"/>
  <c r="T13" i="32"/>
  <c r="R13" i="32"/>
  <c r="P13" i="32"/>
  <c r="O13" i="32"/>
  <c r="M13" i="32"/>
  <c r="J13" i="32"/>
  <c r="W12" i="32"/>
  <c r="U12" i="32"/>
  <c r="T12" i="32"/>
  <c r="R12" i="32"/>
  <c r="P12" i="32"/>
  <c r="O12" i="32"/>
  <c r="M12" i="32"/>
  <c r="J12" i="32"/>
  <c r="W11" i="32"/>
  <c r="U11" i="32"/>
  <c r="T11" i="32"/>
  <c r="R11" i="32"/>
  <c r="P11" i="32"/>
  <c r="O11" i="32"/>
  <c r="M11" i="32"/>
  <c r="J11" i="32"/>
  <c r="W10" i="32"/>
  <c r="U10" i="32"/>
  <c r="T10" i="32"/>
  <c r="R10" i="32"/>
  <c r="P10" i="32"/>
  <c r="O10" i="32"/>
  <c r="M10" i="32"/>
  <c r="J10" i="32"/>
  <c r="W9" i="32"/>
  <c r="U9" i="32"/>
  <c r="T9" i="32"/>
  <c r="R9" i="32"/>
  <c r="P9" i="32"/>
  <c r="O9" i="32"/>
  <c r="M9" i="32"/>
  <c r="J9" i="32"/>
  <c r="W8" i="32"/>
  <c r="U8" i="32"/>
  <c r="T8" i="32"/>
  <c r="R8" i="32"/>
  <c r="P8" i="32"/>
  <c r="O8" i="32"/>
  <c r="M8" i="32"/>
  <c r="J8" i="32"/>
  <c r="W7" i="32"/>
  <c r="U7" i="32"/>
  <c r="T7" i="32"/>
  <c r="R7" i="32"/>
  <c r="P7" i="32"/>
  <c r="O7" i="32"/>
  <c r="M7" i="32"/>
  <c r="J7" i="32"/>
  <c r="AD27" i="32"/>
  <c r="AA27" i="32"/>
  <c r="AD26" i="32"/>
  <c r="AA26" i="32"/>
  <c r="AD25" i="32"/>
  <c r="AA25" i="32"/>
  <c r="AD24" i="32"/>
  <c r="AA24" i="32"/>
  <c r="AD23" i="32"/>
  <c r="AA23" i="32"/>
  <c r="AD22" i="32"/>
  <c r="AA22" i="32"/>
  <c r="AD21" i="32"/>
  <c r="AA21" i="32"/>
  <c r="AD20" i="32"/>
  <c r="AA20" i="32"/>
  <c r="AD19" i="32"/>
  <c r="AA19" i="32"/>
  <c r="AD18" i="32"/>
  <c r="AA18" i="32"/>
  <c r="AD17" i="32"/>
  <c r="AA17" i="32"/>
  <c r="AD16" i="32"/>
  <c r="AA16" i="32"/>
  <c r="AD15" i="32"/>
  <c r="AA15" i="32"/>
  <c r="AD14" i="32"/>
  <c r="AA14" i="32"/>
  <c r="AD13" i="32"/>
  <c r="AA13" i="32"/>
  <c r="AD12" i="32"/>
  <c r="AA12" i="32"/>
  <c r="AD11" i="32"/>
  <c r="AA11" i="32"/>
  <c r="AD10" i="32"/>
  <c r="AA10" i="32"/>
  <c r="AD9" i="32"/>
  <c r="AA9" i="32"/>
  <c r="AD8" i="32"/>
  <c r="AA8" i="32"/>
  <c r="AD7" i="32"/>
  <c r="AA7" i="32"/>
  <c r="W36" i="31"/>
  <c r="W36" i="2"/>
  <c r="V50" i="33" l="1"/>
  <c r="V50" i="32"/>
  <c r="AD27" i="31"/>
  <c r="AA27" i="31"/>
  <c r="AD26" i="31"/>
  <c r="AA26" i="31"/>
  <c r="AD25" i="31"/>
  <c r="AA25" i="31"/>
  <c r="AD24" i="31"/>
  <c r="AA24" i="31"/>
  <c r="AD23" i="31"/>
  <c r="AA23" i="31"/>
  <c r="AD22" i="31"/>
  <c r="AA22" i="31"/>
  <c r="AD21" i="31"/>
  <c r="AA21" i="31"/>
  <c r="AD20" i="31"/>
  <c r="AA20" i="31"/>
  <c r="AD19" i="31"/>
  <c r="AA19" i="31"/>
  <c r="AD18" i="31"/>
  <c r="AA18" i="31"/>
  <c r="AD17" i="31"/>
  <c r="AA17" i="31"/>
  <c r="AD16" i="31"/>
  <c r="AA16" i="31"/>
  <c r="AD15" i="31"/>
  <c r="AA15" i="31"/>
  <c r="AD14" i="31"/>
  <c r="AA14" i="31"/>
  <c r="AD13" i="31"/>
  <c r="AA13" i="31"/>
  <c r="AD12" i="31"/>
  <c r="AA12" i="31"/>
  <c r="AD11" i="31"/>
  <c r="AA11" i="31"/>
  <c r="AD10" i="31"/>
  <c r="AA10" i="31"/>
  <c r="AD9" i="31"/>
  <c r="AA9" i="31"/>
  <c r="AD8" i="31"/>
  <c r="AA8" i="31"/>
  <c r="AD7" i="31"/>
  <c r="AA7" i="31"/>
  <c r="W46" i="31"/>
  <c r="U46" i="31"/>
  <c r="T46" i="31"/>
  <c r="R46" i="31"/>
  <c r="P46" i="31"/>
  <c r="O46" i="31"/>
  <c r="M46" i="31"/>
  <c r="J46" i="31"/>
  <c r="W40" i="31"/>
  <c r="T40" i="31"/>
  <c r="R40" i="31"/>
  <c r="P40" i="31"/>
  <c r="O40" i="31"/>
  <c r="U39" i="31"/>
  <c r="U40" i="31" s="1"/>
  <c r="W38" i="31"/>
  <c r="U38" i="31"/>
  <c r="T38" i="31"/>
  <c r="R38" i="31"/>
  <c r="W37" i="31"/>
  <c r="U37" i="31"/>
  <c r="U36" i="31"/>
  <c r="W35" i="31"/>
  <c r="U35" i="31"/>
  <c r="T35" i="31"/>
  <c r="W34" i="31"/>
  <c r="U34" i="31"/>
  <c r="T34" i="31"/>
  <c r="R34" i="31"/>
  <c r="P34" i="31"/>
  <c r="O34" i="31"/>
  <c r="W33" i="31"/>
  <c r="U33" i="31"/>
  <c r="T33" i="31"/>
  <c r="R33" i="31"/>
  <c r="P33" i="31"/>
  <c r="O33" i="31"/>
  <c r="W31" i="31"/>
  <c r="U31" i="31"/>
  <c r="T31" i="31"/>
  <c r="R31" i="31"/>
  <c r="P31" i="31"/>
  <c r="O31" i="31"/>
  <c r="M31" i="31"/>
  <c r="J31" i="31"/>
  <c r="W30" i="31"/>
  <c r="U30" i="31"/>
  <c r="T30" i="31"/>
  <c r="R30" i="31"/>
  <c r="P30" i="31"/>
  <c r="O30" i="31"/>
  <c r="M30" i="31"/>
  <c r="J30" i="31"/>
  <c r="W29" i="31"/>
  <c r="U29" i="31"/>
  <c r="T29" i="31"/>
  <c r="R29" i="31"/>
  <c r="P29" i="31"/>
  <c r="O29" i="31"/>
  <c r="M29" i="31"/>
  <c r="J29" i="31"/>
  <c r="W28" i="31"/>
  <c r="U28" i="31"/>
  <c r="T28" i="31"/>
  <c r="R28" i="31"/>
  <c r="P28" i="31"/>
  <c r="O28" i="31"/>
  <c r="M28" i="31"/>
  <c r="J28" i="31"/>
  <c r="W23" i="31"/>
  <c r="U23" i="31"/>
  <c r="T23" i="31"/>
  <c r="R23" i="31"/>
  <c r="P23" i="31"/>
  <c r="O23" i="31"/>
  <c r="M23" i="31"/>
  <c r="J23" i="31"/>
  <c r="W22" i="31"/>
  <c r="U22" i="31"/>
  <c r="T22" i="31"/>
  <c r="R22" i="31"/>
  <c r="P22" i="31"/>
  <c r="O22" i="31"/>
  <c r="M22" i="31"/>
  <c r="J22" i="31"/>
  <c r="W21" i="31"/>
  <c r="U21" i="31"/>
  <c r="T21" i="31"/>
  <c r="R21" i="31"/>
  <c r="P21" i="31"/>
  <c r="O21" i="31"/>
  <c r="M21" i="31"/>
  <c r="J21" i="31"/>
  <c r="W20" i="31"/>
  <c r="U20" i="31"/>
  <c r="T20" i="31"/>
  <c r="R20" i="31"/>
  <c r="P20" i="31"/>
  <c r="O20" i="31"/>
  <c r="M20" i="31"/>
  <c r="J20" i="31"/>
  <c r="W19" i="31"/>
  <c r="U19" i="31"/>
  <c r="T19" i="31"/>
  <c r="R19" i="31"/>
  <c r="P19" i="31"/>
  <c r="O19" i="31"/>
  <c r="M19" i="31"/>
  <c r="J19" i="31"/>
  <c r="W18" i="31"/>
  <c r="U18" i="31"/>
  <c r="T18" i="31"/>
  <c r="R18" i="31"/>
  <c r="P18" i="31"/>
  <c r="O18" i="31"/>
  <c r="M18" i="31"/>
  <c r="J18" i="31"/>
  <c r="W17" i="31"/>
  <c r="U17" i="31"/>
  <c r="T17" i="31"/>
  <c r="R17" i="31"/>
  <c r="P17" i="31"/>
  <c r="O17" i="31"/>
  <c r="M17" i="31"/>
  <c r="J17" i="31"/>
  <c r="W16" i="31"/>
  <c r="U16" i="31"/>
  <c r="T16" i="31"/>
  <c r="R16" i="31"/>
  <c r="P16" i="31"/>
  <c r="O16" i="31"/>
  <c r="M16" i="31"/>
  <c r="J16" i="31"/>
  <c r="W15" i="31"/>
  <c r="U15" i="31"/>
  <c r="T15" i="31"/>
  <c r="R15" i="31"/>
  <c r="P15" i="31"/>
  <c r="O15" i="31"/>
  <c r="M15" i="31"/>
  <c r="J15" i="31"/>
  <c r="W14" i="31"/>
  <c r="U14" i="31"/>
  <c r="T14" i="31"/>
  <c r="R14" i="31"/>
  <c r="P14" i="31"/>
  <c r="O14" i="31"/>
  <c r="M14" i="31"/>
  <c r="J14" i="31"/>
  <c r="W13" i="31"/>
  <c r="U13" i="31"/>
  <c r="T13" i="31"/>
  <c r="R13" i="31"/>
  <c r="P13" i="31"/>
  <c r="O13" i="31"/>
  <c r="M13" i="31"/>
  <c r="J13" i="31"/>
  <c r="W12" i="31"/>
  <c r="U12" i="31"/>
  <c r="T12" i="31"/>
  <c r="R12" i="31"/>
  <c r="P12" i="31"/>
  <c r="O12" i="31"/>
  <c r="M12" i="31"/>
  <c r="J12" i="31"/>
  <c r="W11" i="31"/>
  <c r="U11" i="31"/>
  <c r="T11" i="31"/>
  <c r="R11" i="31"/>
  <c r="P11" i="31"/>
  <c r="O11" i="31"/>
  <c r="M11" i="31"/>
  <c r="J11" i="31"/>
  <c r="W10" i="31"/>
  <c r="U10" i="31"/>
  <c r="T10" i="31"/>
  <c r="R10" i="31"/>
  <c r="P10" i="31"/>
  <c r="O10" i="31"/>
  <c r="M10" i="31"/>
  <c r="J10" i="31"/>
  <c r="W9" i="31"/>
  <c r="U9" i="31"/>
  <c r="T9" i="31"/>
  <c r="R9" i="31"/>
  <c r="P9" i="31"/>
  <c r="O9" i="31"/>
  <c r="M9" i="31"/>
  <c r="J9" i="31"/>
  <c r="W8" i="31"/>
  <c r="U8" i="31"/>
  <c r="T8" i="31"/>
  <c r="R8" i="31"/>
  <c r="P8" i="31"/>
  <c r="O8" i="31"/>
  <c r="M8" i="31"/>
  <c r="J8" i="31"/>
  <c r="W7" i="31"/>
  <c r="U7" i="31"/>
  <c r="T7" i="31"/>
  <c r="R7" i="31"/>
  <c r="P7" i="31"/>
  <c r="O7" i="31"/>
  <c r="M7" i="31"/>
  <c r="J7" i="31"/>
  <c r="W46" i="2"/>
  <c r="U46" i="2"/>
  <c r="T46" i="2"/>
  <c r="R46" i="2"/>
  <c r="P46" i="2"/>
  <c r="O46" i="2"/>
  <c r="M46" i="2"/>
  <c r="J46" i="2"/>
  <c r="W40" i="2"/>
  <c r="T40" i="2"/>
  <c r="R40" i="2"/>
  <c r="P40" i="2"/>
  <c r="O40" i="2"/>
  <c r="U39" i="2"/>
  <c r="U40" i="2" s="1"/>
  <c r="W38" i="2"/>
  <c r="U38" i="2"/>
  <c r="T38" i="2"/>
  <c r="R38" i="2"/>
  <c r="W37" i="2"/>
  <c r="U37" i="2"/>
  <c r="U36" i="2"/>
  <c r="W35" i="2"/>
  <c r="U35" i="2"/>
  <c r="T35" i="2"/>
  <c r="W34" i="2"/>
  <c r="U34" i="2"/>
  <c r="T34" i="2"/>
  <c r="R34" i="2"/>
  <c r="P34" i="2"/>
  <c r="O34" i="2"/>
  <c r="W33" i="2"/>
  <c r="U33" i="2"/>
  <c r="T33" i="2"/>
  <c r="R33" i="2"/>
  <c r="P33" i="2"/>
  <c r="O33" i="2"/>
  <c r="W31" i="2"/>
  <c r="U31" i="2"/>
  <c r="T31" i="2"/>
  <c r="R31" i="2"/>
  <c r="P31" i="2"/>
  <c r="O31" i="2"/>
  <c r="M31" i="2"/>
  <c r="J31" i="2"/>
  <c r="W30" i="2"/>
  <c r="U30" i="2"/>
  <c r="T30" i="2"/>
  <c r="R30" i="2"/>
  <c r="P30" i="2"/>
  <c r="O30" i="2"/>
  <c r="M30" i="2"/>
  <c r="J30" i="2"/>
  <c r="W29" i="2"/>
  <c r="U29" i="2"/>
  <c r="T29" i="2"/>
  <c r="R29" i="2"/>
  <c r="P29" i="2"/>
  <c r="O29" i="2"/>
  <c r="M29" i="2"/>
  <c r="J29" i="2"/>
  <c r="W28" i="2"/>
  <c r="U28" i="2"/>
  <c r="T28" i="2"/>
  <c r="R28" i="2"/>
  <c r="P28" i="2"/>
  <c r="O28" i="2"/>
  <c r="M28" i="2"/>
  <c r="J28" i="2"/>
  <c r="W23" i="2"/>
  <c r="U23" i="2"/>
  <c r="T23" i="2"/>
  <c r="R23" i="2"/>
  <c r="P23" i="2"/>
  <c r="O23" i="2"/>
  <c r="M23" i="2"/>
  <c r="J23" i="2"/>
  <c r="W22" i="2"/>
  <c r="U22" i="2"/>
  <c r="T22" i="2"/>
  <c r="R22" i="2"/>
  <c r="P22" i="2"/>
  <c r="O22" i="2"/>
  <c r="M22" i="2"/>
  <c r="J22" i="2"/>
  <c r="W21" i="2"/>
  <c r="U21" i="2"/>
  <c r="T21" i="2"/>
  <c r="R21" i="2"/>
  <c r="P21" i="2"/>
  <c r="O21" i="2"/>
  <c r="M21" i="2"/>
  <c r="J21" i="2"/>
  <c r="W20" i="2"/>
  <c r="U20" i="2"/>
  <c r="T20" i="2"/>
  <c r="R20" i="2"/>
  <c r="P20" i="2"/>
  <c r="O20" i="2"/>
  <c r="M20" i="2"/>
  <c r="J20" i="2"/>
  <c r="W19" i="2"/>
  <c r="U19" i="2"/>
  <c r="T19" i="2"/>
  <c r="R19" i="2"/>
  <c r="P19" i="2"/>
  <c r="O19" i="2"/>
  <c r="M19" i="2"/>
  <c r="J19" i="2"/>
  <c r="W18" i="2"/>
  <c r="U18" i="2"/>
  <c r="T18" i="2"/>
  <c r="R18" i="2"/>
  <c r="P18" i="2"/>
  <c r="O18" i="2"/>
  <c r="M18" i="2"/>
  <c r="J18" i="2"/>
  <c r="W17" i="2"/>
  <c r="U17" i="2"/>
  <c r="T17" i="2"/>
  <c r="R17" i="2"/>
  <c r="P17" i="2"/>
  <c r="O17" i="2"/>
  <c r="M17" i="2"/>
  <c r="J17" i="2"/>
  <c r="W16" i="2"/>
  <c r="U16" i="2"/>
  <c r="T16" i="2"/>
  <c r="R16" i="2"/>
  <c r="P16" i="2"/>
  <c r="O16" i="2"/>
  <c r="M16" i="2"/>
  <c r="J16" i="2"/>
  <c r="W15" i="2"/>
  <c r="U15" i="2"/>
  <c r="T15" i="2"/>
  <c r="R15" i="2"/>
  <c r="P15" i="2"/>
  <c r="O15" i="2"/>
  <c r="M15" i="2"/>
  <c r="J15" i="2"/>
  <c r="W14" i="2"/>
  <c r="U14" i="2"/>
  <c r="T14" i="2"/>
  <c r="R14" i="2"/>
  <c r="P14" i="2"/>
  <c r="O14" i="2"/>
  <c r="M14" i="2"/>
  <c r="J14" i="2"/>
  <c r="W13" i="2"/>
  <c r="U13" i="2"/>
  <c r="T13" i="2"/>
  <c r="R13" i="2"/>
  <c r="P13" i="2"/>
  <c r="O13" i="2"/>
  <c r="M13" i="2"/>
  <c r="J13" i="2"/>
  <c r="W12" i="2"/>
  <c r="U12" i="2"/>
  <c r="T12" i="2"/>
  <c r="R12" i="2"/>
  <c r="P12" i="2"/>
  <c r="O12" i="2"/>
  <c r="M12" i="2"/>
  <c r="J12" i="2"/>
  <c r="W11" i="2"/>
  <c r="U11" i="2"/>
  <c r="T11" i="2"/>
  <c r="R11" i="2"/>
  <c r="P11" i="2"/>
  <c r="O11" i="2"/>
  <c r="M11" i="2"/>
  <c r="J11" i="2"/>
  <c r="W10" i="2"/>
  <c r="U10" i="2"/>
  <c r="T10" i="2"/>
  <c r="R10" i="2"/>
  <c r="P10" i="2"/>
  <c r="O10" i="2"/>
  <c r="M10" i="2"/>
  <c r="J10" i="2"/>
  <c r="W9" i="2"/>
  <c r="U9" i="2"/>
  <c r="T9" i="2"/>
  <c r="R9" i="2"/>
  <c r="P9" i="2"/>
  <c r="O9" i="2"/>
  <c r="M9" i="2"/>
  <c r="J9" i="2"/>
  <c r="W8" i="2"/>
  <c r="U8" i="2"/>
  <c r="T8" i="2"/>
  <c r="R8" i="2"/>
  <c r="P8" i="2"/>
  <c r="O8" i="2"/>
  <c r="M8" i="2"/>
  <c r="J8" i="2"/>
  <c r="W7" i="2"/>
  <c r="U7" i="2"/>
  <c r="T7" i="2"/>
  <c r="R7" i="2"/>
  <c r="P7" i="2"/>
  <c r="O7" i="2"/>
  <c r="M7" i="2"/>
  <c r="J7" i="2"/>
  <c r="AD27" i="2"/>
  <c r="AA27" i="2"/>
  <c r="AD26" i="2"/>
  <c r="AA26" i="2"/>
  <c r="AD25" i="2"/>
  <c r="AA25" i="2"/>
  <c r="AD24" i="2"/>
  <c r="AA24" i="2"/>
  <c r="AD23" i="2"/>
  <c r="AA23" i="2"/>
  <c r="AD22" i="2"/>
  <c r="AA22" i="2"/>
  <c r="AD21" i="2"/>
  <c r="AA21" i="2"/>
  <c r="AD20" i="2"/>
  <c r="AA20" i="2"/>
  <c r="AD19" i="2"/>
  <c r="AA19" i="2"/>
  <c r="AD18" i="2"/>
  <c r="AA18" i="2"/>
  <c r="AD17" i="2"/>
  <c r="AA17" i="2"/>
  <c r="AD16" i="2"/>
  <c r="AA16" i="2"/>
  <c r="AD15" i="2"/>
  <c r="AA15" i="2"/>
  <c r="AD14" i="2"/>
  <c r="AA14" i="2"/>
  <c r="AD13" i="2"/>
  <c r="AA13" i="2"/>
  <c r="AD12" i="2"/>
  <c r="AA12" i="2"/>
  <c r="AD11" i="2"/>
  <c r="AA11" i="2"/>
  <c r="AD10" i="2"/>
  <c r="AA10" i="2"/>
  <c r="AD9" i="2"/>
  <c r="AA9" i="2"/>
  <c r="AD8" i="2"/>
  <c r="AA8" i="2"/>
  <c r="AD7" i="2"/>
  <c r="AA7" i="2"/>
  <c r="V20" i="1"/>
  <c r="V19" i="1"/>
  <c r="V18" i="1"/>
  <c r="V17" i="1"/>
  <c r="V16" i="1"/>
  <c r="V15" i="1"/>
  <c r="V14" i="1"/>
  <c r="V13" i="1"/>
  <c r="V11" i="1"/>
  <c r="V10" i="1"/>
  <c r="V9" i="1"/>
  <c r="V24" i="1"/>
  <c r="T24" i="1"/>
  <c r="S24" i="1"/>
  <c r="V23" i="1"/>
  <c r="T23" i="1"/>
  <c r="S23" i="1"/>
  <c r="M38" i="1"/>
  <c r="K38" i="1"/>
  <c r="J38" i="1"/>
  <c r="H38" i="1"/>
  <c r="F38" i="1"/>
  <c r="E38" i="1"/>
  <c r="M27" i="1"/>
  <c r="K27" i="1"/>
  <c r="J27" i="1"/>
  <c r="H27" i="1"/>
  <c r="F27" i="1"/>
  <c r="E27" i="1"/>
  <c r="M26" i="1"/>
  <c r="K26" i="1"/>
  <c r="J26" i="1"/>
  <c r="H26" i="1"/>
  <c r="F26" i="1"/>
  <c r="E26" i="1"/>
  <c r="M25" i="1"/>
  <c r="K25" i="1"/>
  <c r="J25" i="1"/>
  <c r="H25" i="1"/>
  <c r="F25" i="1"/>
  <c r="E25" i="1"/>
  <c r="M17" i="1"/>
  <c r="K17" i="1"/>
  <c r="J17" i="1"/>
  <c r="H17" i="1"/>
  <c r="F17" i="1"/>
  <c r="E17" i="1"/>
  <c r="M16" i="1"/>
  <c r="K16" i="1"/>
  <c r="J16" i="1"/>
  <c r="H16" i="1"/>
  <c r="F16" i="1"/>
  <c r="E16" i="1"/>
  <c r="M15" i="1"/>
  <c r="K15" i="1"/>
  <c r="J15" i="1"/>
  <c r="H15" i="1"/>
  <c r="F15" i="1"/>
  <c r="E15" i="1"/>
  <c r="M12" i="1"/>
  <c r="K12" i="1"/>
  <c r="J12" i="1"/>
  <c r="H12" i="1"/>
  <c r="F12" i="1"/>
  <c r="E12" i="1"/>
  <c r="M11" i="1"/>
  <c r="M13" i="1" s="1"/>
  <c r="K11" i="1"/>
  <c r="J11" i="1"/>
  <c r="H11" i="1"/>
  <c r="F11" i="1"/>
  <c r="E11" i="1"/>
  <c r="M10" i="1"/>
  <c r="K10" i="1"/>
  <c r="J10" i="1"/>
  <c r="H10" i="1"/>
  <c r="F10" i="1"/>
  <c r="E10" i="1"/>
  <c r="M9" i="1"/>
  <c r="J9" i="1"/>
  <c r="H9" i="1"/>
  <c r="E9" i="1"/>
  <c r="M8" i="1"/>
  <c r="J8" i="1"/>
  <c r="H8" i="1"/>
  <c r="E8" i="1"/>
  <c r="M7" i="1"/>
  <c r="J7" i="1"/>
  <c r="H7" i="1"/>
  <c r="E7" i="1"/>
  <c r="F13" i="1" l="1"/>
  <c r="K13" i="1"/>
  <c r="F18" i="1"/>
  <c r="E28" i="1"/>
  <c r="E18" i="1"/>
  <c r="J13" i="1"/>
  <c r="E13" i="1"/>
  <c r="J28" i="1"/>
  <c r="H13" i="1"/>
  <c r="J18" i="1"/>
  <c r="M18" i="1"/>
  <c r="K28" i="1"/>
  <c r="F28" i="1"/>
  <c r="K18" i="1"/>
  <c r="M28" i="1"/>
  <c r="H28" i="1"/>
  <c r="H18" i="1"/>
  <c r="AX39" i="34"/>
  <c r="AX38" i="34"/>
  <c r="AX37" i="34"/>
  <c r="G36" i="34"/>
  <c r="G25" i="34"/>
  <c r="L25" i="34" s="1"/>
  <c r="G24" i="34"/>
  <c r="L24" i="34" s="1"/>
  <c r="G16" i="34"/>
  <c r="L16" i="34" s="1"/>
  <c r="G15" i="34"/>
  <c r="L15" i="34" s="1"/>
  <c r="G13" i="34"/>
  <c r="L13" i="34" s="1"/>
  <c r="G12" i="34"/>
  <c r="L12" i="34" s="1"/>
  <c r="G10" i="34"/>
  <c r="L10" i="34" s="1"/>
  <c r="AW39" i="34"/>
  <c r="AV39" i="34"/>
  <c r="AU39" i="34"/>
  <c r="AT39" i="34"/>
  <c r="AS39" i="34"/>
  <c r="AR39" i="34"/>
  <c r="AQ39" i="34"/>
  <c r="AW38" i="34"/>
  <c r="AV38" i="34"/>
  <c r="AU38" i="34"/>
  <c r="AT38" i="34"/>
  <c r="AS38" i="34"/>
  <c r="AR38" i="34"/>
  <c r="AQ38" i="34"/>
  <c r="AW37" i="34" l="1"/>
  <c r="AV37" i="34" l="1"/>
  <c r="G17" i="34"/>
  <c r="AP39" i="34"/>
  <c r="AO39" i="34"/>
  <c r="AN39" i="34"/>
  <c r="AM39" i="34"/>
  <c r="AL39" i="34"/>
  <c r="AK39" i="34"/>
  <c r="AJ39" i="34"/>
  <c r="AI39" i="34"/>
  <c r="AH39" i="34"/>
  <c r="AG39" i="34"/>
  <c r="AF39" i="34"/>
  <c r="AE39" i="34"/>
  <c r="AD39" i="34"/>
  <c r="AC39" i="34"/>
  <c r="AB39" i="34"/>
  <c r="AA39" i="34"/>
  <c r="Z39" i="34"/>
  <c r="Y39" i="34"/>
  <c r="X39" i="34"/>
  <c r="W39" i="34"/>
  <c r="V39" i="34"/>
  <c r="U39" i="34"/>
  <c r="T39" i="34"/>
  <c r="S39" i="34"/>
  <c r="AP38" i="34"/>
  <c r="AO38" i="34"/>
  <c r="AN38" i="34"/>
  <c r="AM38" i="34"/>
  <c r="AL38" i="34"/>
  <c r="AK38" i="34"/>
  <c r="AJ38" i="34"/>
  <c r="AI38" i="34"/>
  <c r="AH38" i="34"/>
  <c r="AG38" i="34"/>
  <c r="AF38" i="34"/>
  <c r="AE38" i="34"/>
  <c r="AD38" i="34"/>
  <c r="AC38" i="34"/>
  <c r="AB38" i="34"/>
  <c r="AA38" i="34"/>
  <c r="Z38" i="34"/>
  <c r="Y38" i="34"/>
  <c r="X38" i="34"/>
  <c r="W38" i="34"/>
  <c r="V38" i="34"/>
  <c r="U38" i="34"/>
  <c r="T38" i="34"/>
  <c r="S38" i="34"/>
  <c r="AU37" i="34"/>
  <c r="AT37" i="34"/>
  <c r="AS37" i="34"/>
  <c r="AR37" i="34"/>
  <c r="AQ37" i="34"/>
  <c r="AP37" i="34"/>
  <c r="AO37" i="34"/>
  <c r="AN37" i="34"/>
  <c r="AM37" i="34"/>
  <c r="AL37" i="34"/>
  <c r="AK37" i="34"/>
  <c r="AJ37" i="34"/>
  <c r="AI37" i="34"/>
  <c r="AH37" i="34"/>
  <c r="AG37" i="34"/>
  <c r="AF37" i="34"/>
  <c r="AE37" i="34"/>
  <c r="AD37" i="34"/>
  <c r="AC37" i="34"/>
  <c r="AB37" i="34"/>
  <c r="AA37" i="34"/>
  <c r="Z37" i="34"/>
  <c r="I36" i="34"/>
  <c r="F36" i="34"/>
  <c r="G26" i="34"/>
  <c r="I25" i="34"/>
  <c r="N25" i="34" s="1"/>
  <c r="F25" i="34"/>
  <c r="K25" i="34" s="1"/>
  <c r="I24" i="34"/>
  <c r="N24" i="34" s="1"/>
  <c r="F24" i="34"/>
  <c r="K24" i="34" s="1"/>
  <c r="I16" i="34"/>
  <c r="N16" i="34" s="1"/>
  <c r="F16" i="34"/>
  <c r="K16" i="34" s="1"/>
  <c r="I15" i="34"/>
  <c r="N15" i="34" s="1"/>
  <c r="F15" i="34"/>
  <c r="K15" i="34" s="1"/>
  <c r="I13" i="34"/>
  <c r="N13" i="34" s="1"/>
  <c r="F13" i="34"/>
  <c r="K13" i="34" s="1"/>
  <c r="I12" i="34"/>
  <c r="N12" i="34" s="1"/>
  <c r="F12" i="34"/>
  <c r="K12" i="34" s="1"/>
  <c r="I10" i="34"/>
  <c r="N10" i="34" s="1"/>
  <c r="F10" i="34"/>
  <c r="K10" i="34" s="1"/>
  <c r="I11" i="34" l="1"/>
  <c r="I17" i="34"/>
  <c r="I18" i="34"/>
  <c r="I19" i="34" s="1"/>
  <c r="F17" i="34"/>
  <c r="H25" i="34"/>
  <c r="I14" i="34"/>
  <c r="O10" i="34"/>
  <c r="N20" i="34"/>
  <c r="N21" i="34" s="1"/>
  <c r="K17" i="34"/>
  <c r="N17" i="34"/>
  <c r="I26" i="34"/>
  <c r="J26" i="34" s="1"/>
  <c r="N26" i="34"/>
  <c r="G11" i="34"/>
  <c r="J11" i="34" s="1"/>
  <c r="G14" i="34"/>
  <c r="J14" i="34" s="1"/>
  <c r="O25" i="34"/>
  <c r="F14" i="34"/>
  <c r="H16" i="34"/>
  <c r="F18" i="34"/>
  <c r="F19" i="34" s="1"/>
  <c r="G18" i="34"/>
  <c r="J18" i="34" s="1"/>
  <c r="L11" i="34"/>
  <c r="F26" i="34"/>
  <c r="H26" i="34" s="1"/>
  <c r="K14" i="34"/>
  <c r="K11" i="34"/>
  <c r="J17" i="34"/>
  <c r="F20" i="34"/>
  <c r="F21" i="34" s="1"/>
  <c r="H15" i="34"/>
  <c r="K26" i="34"/>
  <c r="F11" i="34"/>
  <c r="J25" i="34"/>
  <c r="N11" i="34"/>
  <c r="I20" i="34"/>
  <c r="I21" i="34" s="1"/>
  <c r="J15" i="34"/>
  <c r="J12" i="34"/>
  <c r="G20" i="34"/>
  <c r="G21" i="34" s="1"/>
  <c r="H13" i="34"/>
  <c r="H24" i="34"/>
  <c r="H10" i="34"/>
  <c r="J13" i="34"/>
  <c r="J16" i="34"/>
  <c r="J24" i="34"/>
  <c r="J10" i="34"/>
  <c r="O16" i="34"/>
  <c r="H12" i="34"/>
  <c r="M10" i="34"/>
  <c r="H17" i="34"/>
  <c r="O11" i="34" l="1"/>
  <c r="M25" i="34"/>
  <c r="G22" i="34"/>
  <c r="H14" i="34"/>
  <c r="H11" i="34"/>
  <c r="K20" i="34"/>
  <c r="K21" i="34" s="1"/>
  <c r="M13" i="34"/>
  <c r="L26" i="34"/>
  <c r="O26" i="34" s="1"/>
  <c r="G19" i="34"/>
  <c r="J19" i="34" s="1"/>
  <c r="O24" i="34"/>
  <c r="J21" i="34"/>
  <c r="I22" i="34"/>
  <c r="I27" i="34" s="1"/>
  <c r="H18" i="34"/>
  <c r="O12" i="34"/>
  <c r="M24" i="34"/>
  <c r="N18" i="34"/>
  <c r="M11" i="34"/>
  <c r="L14" i="34"/>
  <c r="N14" i="34"/>
  <c r="F22" i="34"/>
  <c r="H22" i="34" s="1"/>
  <c r="K18" i="34"/>
  <c r="L17" i="34"/>
  <c r="O17" i="34" s="1"/>
  <c r="M12" i="34"/>
  <c r="O13" i="34"/>
  <c r="L20" i="34"/>
  <c r="O20" i="34" s="1"/>
  <c r="M15" i="34"/>
  <c r="O15" i="34"/>
  <c r="J20" i="34"/>
  <c r="H21" i="34"/>
  <c r="M16" i="34"/>
  <c r="L18" i="34"/>
  <c r="H20" i="34"/>
  <c r="G27" i="34"/>
  <c r="G23" i="34"/>
  <c r="M26" i="34" l="1"/>
  <c r="H19" i="34"/>
  <c r="I23" i="34"/>
  <c r="J22" i="34"/>
  <c r="O14" i="34"/>
  <c r="O18" i="34"/>
  <c r="M14" i="34"/>
  <c r="M18" i="34"/>
  <c r="L19" i="34"/>
  <c r="L22" i="34"/>
  <c r="L27" i="34" s="1"/>
  <c r="F27" i="34"/>
  <c r="H27" i="34" s="1"/>
  <c r="F23" i="34"/>
  <c r="H23" i="34" s="1"/>
  <c r="M20" i="34"/>
  <c r="L21" i="34"/>
  <c r="O21" i="34" s="1"/>
  <c r="N19" i="34"/>
  <c r="O19" i="34" s="1"/>
  <c r="N22" i="34"/>
  <c r="M17" i="34"/>
  <c r="K19" i="34"/>
  <c r="M19" i="34" s="1"/>
  <c r="K22" i="34"/>
  <c r="G37" i="34"/>
  <c r="J27" i="34"/>
  <c r="G28" i="34"/>
  <c r="G38" i="34"/>
  <c r="J23" i="34"/>
  <c r="I37" i="34"/>
  <c r="I28" i="34"/>
  <c r="I38" i="34"/>
  <c r="M22" i="34" l="1"/>
  <c r="L23" i="34"/>
  <c r="M21" i="34"/>
  <c r="K27" i="34"/>
  <c r="K28" i="34" s="1"/>
  <c r="K23" i="34"/>
  <c r="N27" i="34"/>
  <c r="N28" i="34" s="1"/>
  <c r="N23" i="34"/>
  <c r="O22" i="34"/>
  <c r="F38" i="34"/>
  <c r="F28" i="34"/>
  <c r="F37" i="34"/>
  <c r="O27" i="34"/>
  <c r="M27" i="34"/>
  <c r="L28" i="34"/>
  <c r="J28" i="34"/>
  <c r="H28" i="34"/>
  <c r="O23" i="34"/>
  <c r="M23" i="34"/>
  <c r="O28" i="34" l="1"/>
  <c r="M28" i="34"/>
  <c r="K40" i="33" l="1"/>
  <c r="J40" i="33"/>
  <c r="N39" i="33"/>
  <c r="L39" i="33"/>
  <c r="G39" i="33"/>
  <c r="G38" i="33"/>
  <c r="S37" i="33"/>
  <c r="Q37" i="33"/>
  <c r="M40" i="33"/>
  <c r="G37" i="33"/>
  <c r="S36" i="33"/>
  <c r="Q36" i="33"/>
  <c r="N36" i="33"/>
  <c r="G36" i="33"/>
  <c r="S35" i="33"/>
  <c r="Q35" i="33"/>
  <c r="N35" i="33"/>
  <c r="G35" i="33"/>
  <c r="S34" i="33"/>
  <c r="Q34" i="33"/>
  <c r="N34" i="33"/>
  <c r="L34" i="33"/>
  <c r="G34" i="33"/>
  <c r="N33" i="33"/>
  <c r="L33" i="33"/>
  <c r="G33" i="33"/>
  <c r="N32" i="33"/>
  <c r="L32" i="33"/>
  <c r="G32" i="33"/>
  <c r="G30" i="33"/>
  <c r="G29" i="33"/>
  <c r="G28" i="33"/>
  <c r="AG26" i="33"/>
  <c r="G26" i="33"/>
  <c r="G25" i="33"/>
  <c r="G24" i="33"/>
  <c r="AG23" i="33"/>
  <c r="G23" i="33"/>
  <c r="G22" i="33"/>
  <c r="G21" i="33"/>
  <c r="G20" i="33"/>
  <c r="G19" i="33"/>
  <c r="AG18" i="33"/>
  <c r="G18" i="33"/>
  <c r="G17" i="33"/>
  <c r="AG16" i="33"/>
  <c r="G16" i="33"/>
  <c r="G15" i="33"/>
  <c r="G14" i="33"/>
  <c r="AG13" i="33"/>
  <c r="G13" i="33"/>
  <c r="G12" i="33"/>
  <c r="AG11" i="33"/>
  <c r="G11" i="33"/>
  <c r="G10" i="33"/>
  <c r="G9" i="33"/>
  <c r="AG8" i="33"/>
  <c r="G8" i="33"/>
  <c r="G7" i="33"/>
  <c r="AG19" i="33" l="1"/>
  <c r="R25" i="33"/>
  <c r="AG22" i="33"/>
  <c r="AG15" i="33"/>
  <c r="AG10" i="33"/>
  <c r="AG25" i="33"/>
  <c r="W24" i="33"/>
  <c r="W25" i="33"/>
  <c r="R24" i="33"/>
  <c r="M24" i="33"/>
  <c r="R40" i="33"/>
  <c r="AG17" i="33"/>
  <c r="M26" i="33"/>
  <c r="R26" i="33"/>
  <c r="W40" i="33"/>
  <c r="M31" i="33"/>
  <c r="AG9" i="33"/>
  <c r="W26" i="33"/>
  <c r="R31" i="33"/>
  <c r="AG21" i="33"/>
  <c r="AG24" i="33"/>
  <c r="AG14" i="33"/>
  <c r="AG7" i="33"/>
  <c r="AG12" i="33"/>
  <c r="N40" i="33"/>
  <c r="L40" i="33"/>
  <c r="M25" i="33"/>
  <c r="W31" i="33"/>
  <c r="AG20" i="33"/>
  <c r="AG27" i="33"/>
  <c r="R27" i="33" l="1"/>
  <c r="W27" i="33"/>
  <c r="M27" i="33"/>
  <c r="M46" i="33" l="1"/>
  <c r="W42" i="33"/>
  <c r="R42" i="33"/>
  <c r="G45" i="32"/>
  <c r="K40" i="32"/>
  <c r="J40" i="32"/>
  <c r="N39" i="32"/>
  <c r="L39" i="32"/>
  <c r="G39" i="32"/>
  <c r="G38" i="32"/>
  <c r="S37" i="32"/>
  <c r="Q37" i="32"/>
  <c r="M37" i="32"/>
  <c r="G37" i="32"/>
  <c r="S36" i="32"/>
  <c r="Q36" i="32"/>
  <c r="N36" i="32"/>
  <c r="G36" i="32"/>
  <c r="S35" i="32"/>
  <c r="Q35" i="32"/>
  <c r="N35" i="32"/>
  <c r="G35" i="32"/>
  <c r="S34" i="32"/>
  <c r="Q34" i="32"/>
  <c r="N34" i="32"/>
  <c r="L34" i="32"/>
  <c r="G34" i="32"/>
  <c r="N33" i="32"/>
  <c r="L33" i="32"/>
  <c r="G33" i="32"/>
  <c r="N32" i="32"/>
  <c r="L32" i="32"/>
  <c r="G32" i="32"/>
  <c r="G30" i="32"/>
  <c r="G29" i="32"/>
  <c r="G28" i="32"/>
  <c r="AG27" i="32"/>
  <c r="G26" i="32"/>
  <c r="AG25" i="32"/>
  <c r="G25" i="32"/>
  <c r="G24" i="32"/>
  <c r="G23" i="32"/>
  <c r="AG22" i="32"/>
  <c r="G22" i="32"/>
  <c r="AG21" i="32"/>
  <c r="G21" i="32"/>
  <c r="G20" i="32"/>
  <c r="G19" i="32"/>
  <c r="G18" i="32"/>
  <c r="AG17" i="32"/>
  <c r="G17" i="32"/>
  <c r="AG16" i="32"/>
  <c r="G16" i="32"/>
  <c r="G15" i="32"/>
  <c r="AG14" i="32"/>
  <c r="G14" i="32"/>
  <c r="G13" i="32"/>
  <c r="G12" i="32"/>
  <c r="AG11" i="32"/>
  <c r="G11" i="32"/>
  <c r="G10" i="32"/>
  <c r="AG9" i="32"/>
  <c r="G9" i="32"/>
  <c r="G8" i="32"/>
  <c r="G7" i="32"/>
  <c r="R46" i="33" l="1"/>
  <c r="G10" i="35"/>
  <c r="W46" i="33"/>
  <c r="AG26" i="32"/>
  <c r="AG12" i="32"/>
  <c r="AG8" i="32"/>
  <c r="AG18" i="32"/>
  <c r="M26" i="32"/>
  <c r="M24" i="32"/>
  <c r="AG24" i="32"/>
  <c r="AG19" i="32"/>
  <c r="AG10" i="32"/>
  <c r="R40" i="32"/>
  <c r="M25" i="32"/>
  <c r="AG15" i="32"/>
  <c r="AG7" i="32"/>
  <c r="R26" i="32"/>
  <c r="W26" i="32"/>
  <c r="AG20" i="32"/>
  <c r="AG13" i="32"/>
  <c r="W31" i="32"/>
  <c r="R31" i="32"/>
  <c r="N37" i="32"/>
  <c r="M40" i="32"/>
  <c r="N40" i="32" s="1"/>
  <c r="W40" i="32"/>
  <c r="R25" i="32"/>
  <c r="F45" i="32"/>
  <c r="W24" i="32"/>
  <c r="L40" i="32"/>
  <c r="M31" i="32"/>
  <c r="AG23" i="32"/>
  <c r="W25" i="32"/>
  <c r="R24" i="32"/>
  <c r="G14" i="35" l="1"/>
  <c r="G12" i="35"/>
  <c r="M27" i="32"/>
  <c r="M46" i="32" s="1"/>
  <c r="R27" i="32"/>
  <c r="W27" i="32"/>
  <c r="W42" i="32" l="1"/>
  <c r="W46" i="32" s="1"/>
  <c r="R42" i="32"/>
  <c r="R46" i="32" s="1"/>
  <c r="M21" i="1" l="1"/>
  <c r="M32" i="1" l="1"/>
  <c r="M29" i="1"/>
  <c r="M22" i="1"/>
  <c r="M33" i="1" s="1"/>
  <c r="M19" i="1"/>
  <c r="M14" i="1"/>
  <c r="M23" i="1"/>
  <c r="M34" i="1" s="1"/>
  <c r="M20" i="1"/>
  <c r="S62" i="31"/>
  <c r="S61" i="31"/>
  <c r="T60" i="31"/>
  <c r="S60" i="31"/>
  <c r="T59" i="31"/>
  <c r="S59" i="31"/>
  <c r="K41" i="31"/>
  <c r="J41" i="31"/>
  <c r="N40" i="31"/>
  <c r="L40" i="31"/>
  <c r="G40" i="31"/>
  <c r="G39" i="31"/>
  <c r="S38" i="31"/>
  <c r="Q38" i="31"/>
  <c r="M38" i="31"/>
  <c r="N38" i="31" s="1"/>
  <c r="G38" i="31"/>
  <c r="S37" i="31"/>
  <c r="Q37" i="31"/>
  <c r="N37" i="31"/>
  <c r="G37" i="31"/>
  <c r="S36" i="31"/>
  <c r="Q36" i="31"/>
  <c r="N36" i="31"/>
  <c r="G36" i="31"/>
  <c r="W41" i="31"/>
  <c r="S35" i="31"/>
  <c r="Q35" i="31"/>
  <c r="N35" i="31"/>
  <c r="L35" i="31"/>
  <c r="G35" i="31"/>
  <c r="N34" i="31"/>
  <c r="L34" i="31"/>
  <c r="G34" i="31"/>
  <c r="N33" i="31"/>
  <c r="L33" i="31"/>
  <c r="G33" i="31"/>
  <c r="G31" i="31"/>
  <c r="W32" i="31"/>
  <c r="R32" i="31"/>
  <c r="G7" i="35" s="1"/>
  <c r="G30" i="31"/>
  <c r="G29" i="31"/>
  <c r="G26" i="31"/>
  <c r="G25" i="31"/>
  <c r="G24" i="31"/>
  <c r="G23" i="31"/>
  <c r="G22" i="31"/>
  <c r="G21" i="31"/>
  <c r="G20" i="31"/>
  <c r="G19" i="31"/>
  <c r="G18" i="31"/>
  <c r="G17" i="31"/>
  <c r="G16" i="31"/>
  <c r="G15" i="31"/>
  <c r="G14" i="31"/>
  <c r="G13" i="31"/>
  <c r="G12" i="31"/>
  <c r="G11" i="31"/>
  <c r="G10" i="31"/>
  <c r="G9" i="31"/>
  <c r="G8" i="31"/>
  <c r="G7" i="31"/>
  <c r="W25" i="31" l="1"/>
  <c r="W24" i="31"/>
  <c r="R26" i="31"/>
  <c r="M25" i="31"/>
  <c r="M32" i="31"/>
  <c r="W26" i="31"/>
  <c r="R25" i="31"/>
  <c r="R41" i="31"/>
  <c r="M24" i="31"/>
  <c r="R24" i="31"/>
  <c r="M26" i="31"/>
  <c r="M30" i="1"/>
  <c r="M24" i="1"/>
  <c r="L41" i="31"/>
  <c r="M41" i="31"/>
  <c r="N41" i="31" s="1"/>
  <c r="G39" i="2"/>
  <c r="R27" i="31" l="1"/>
  <c r="R43" i="31" s="1"/>
  <c r="W27" i="31"/>
  <c r="W43" i="31" s="1"/>
  <c r="W47" i="31" s="1"/>
  <c r="M27" i="31"/>
  <c r="M35" i="1"/>
  <c r="M31" i="1"/>
  <c r="R47" i="31" l="1"/>
  <c r="M47" i="31"/>
  <c r="M40" i="1"/>
  <c r="M39" i="1"/>
  <c r="M36" i="1"/>
  <c r="S62" i="2" l="1"/>
  <c r="S61" i="2"/>
  <c r="T60" i="2"/>
  <c r="S60" i="2"/>
  <c r="S59" i="2"/>
  <c r="M41" i="2"/>
  <c r="K41" i="2"/>
  <c r="N41" i="2" s="1"/>
  <c r="J41" i="2"/>
  <c r="N40" i="2"/>
  <c r="L40" i="2"/>
  <c r="G40" i="2"/>
  <c r="Q38" i="2"/>
  <c r="N38" i="2"/>
  <c r="M38" i="2"/>
  <c r="G38" i="2"/>
  <c r="S37" i="2"/>
  <c r="Q37" i="2"/>
  <c r="N37" i="2"/>
  <c r="G37" i="2"/>
  <c r="S36" i="2"/>
  <c r="Q36" i="2"/>
  <c r="N36" i="2"/>
  <c r="G36" i="2"/>
  <c r="V34" i="1"/>
  <c r="S35" i="2"/>
  <c r="Q35" i="2"/>
  <c r="N35" i="2"/>
  <c r="L35" i="2"/>
  <c r="G35" i="2"/>
  <c r="V33" i="1"/>
  <c r="N34" i="2"/>
  <c r="L34" i="2"/>
  <c r="G34" i="2"/>
  <c r="N33" i="2"/>
  <c r="L33" i="2"/>
  <c r="G33" i="2"/>
  <c r="G31" i="2"/>
  <c r="G30" i="2"/>
  <c r="G29" i="2"/>
  <c r="AG27" i="2"/>
  <c r="AG26" i="2"/>
  <c r="G26" i="2"/>
  <c r="AG25" i="2"/>
  <c r="G25" i="2"/>
  <c r="AG24" i="2"/>
  <c r="G24" i="2"/>
  <c r="AG23" i="2"/>
  <c r="G23" i="2"/>
  <c r="AG22" i="2"/>
  <c r="G22" i="2"/>
  <c r="AG21" i="2"/>
  <c r="G21" i="2"/>
  <c r="AG20" i="2"/>
  <c r="G20" i="2"/>
  <c r="AG19" i="2"/>
  <c r="G19" i="2"/>
  <c r="AG18" i="2"/>
  <c r="G18" i="2"/>
  <c r="AG17" i="2"/>
  <c r="G17" i="2"/>
  <c r="AG16" i="2"/>
  <c r="G16" i="2"/>
  <c r="AG15" i="2"/>
  <c r="G15" i="2"/>
  <c r="AG14" i="2"/>
  <c r="G14" i="2"/>
  <c r="AG13" i="2"/>
  <c r="G13" i="2"/>
  <c r="AG12" i="2"/>
  <c r="G12" i="2"/>
  <c r="AG11" i="2"/>
  <c r="G11" i="2"/>
  <c r="AG10" i="2"/>
  <c r="G10" i="2"/>
  <c r="AG9" i="2"/>
  <c r="G9" i="2"/>
  <c r="AG8" i="2"/>
  <c r="G8" i="2"/>
  <c r="AG7" i="2"/>
  <c r="G7" i="2"/>
  <c r="V32" i="1"/>
  <c r="H20" i="1"/>
  <c r="H30" i="1" s="1"/>
  <c r="H31" i="1" s="1"/>
  <c r="V12" i="1"/>
  <c r="L41" i="2" l="1"/>
  <c r="H29" i="1"/>
  <c r="W26" i="2"/>
  <c r="H19" i="1"/>
  <c r="T59" i="2"/>
  <c r="R24" i="2"/>
  <c r="W24" i="2"/>
  <c r="H21" i="1"/>
  <c r="H32" i="1" s="1"/>
  <c r="H14" i="1"/>
  <c r="R25" i="2"/>
  <c r="R32" i="2"/>
  <c r="H22" i="1"/>
  <c r="H33" i="1" s="1"/>
  <c r="R26" i="2"/>
  <c r="W25" i="2"/>
  <c r="R41" i="2"/>
  <c r="W41" i="2"/>
  <c r="W32" i="2"/>
  <c r="S38" i="2"/>
  <c r="V36" i="1" l="1"/>
  <c r="V35" i="1" s="1"/>
  <c r="H23" i="1"/>
  <c r="W27" i="2"/>
  <c r="R27" i="2"/>
  <c r="R43" i="2" l="1"/>
  <c r="W43" i="2"/>
  <c r="H34" i="1"/>
  <c r="H35" i="1" s="1"/>
  <c r="H24" i="1"/>
  <c r="W47" i="2" l="1"/>
  <c r="R47" i="2"/>
  <c r="H39" i="1"/>
  <c r="H36" i="1"/>
  <c r="H40" i="1"/>
  <c r="M26" i="2" l="1"/>
  <c r="M24" i="2"/>
  <c r="M32" i="2"/>
  <c r="M25" i="2"/>
  <c r="M27" i="2" l="1"/>
  <c r="M47" i="2" l="1"/>
  <c r="V29" i="1" l="1"/>
  <c r="W24" i="1" l="1"/>
  <c r="W23" i="1" l="1"/>
  <c r="U23" i="1" l="1"/>
  <c r="U24" i="1"/>
  <c r="W27" i="1" l="1"/>
  <c r="W28" i="1"/>
  <c r="T29" i="1" l="1"/>
  <c r="W29" i="1" s="1"/>
  <c r="AG10" i="31" l="1"/>
  <c r="AG18" i="31" l="1"/>
  <c r="AG17" i="31" l="1"/>
  <c r="AG23" i="31" l="1"/>
  <c r="AG25" i="31" l="1"/>
  <c r="AG26" i="31"/>
  <c r="AG20" i="31" l="1"/>
  <c r="AG19" i="31"/>
  <c r="AG11" i="31"/>
  <c r="AG12" i="31"/>
  <c r="AG22" i="31"/>
  <c r="AG15" i="31" l="1"/>
  <c r="AG8" i="31"/>
  <c r="AG16" i="31"/>
  <c r="AG21" i="31"/>
  <c r="AG14" i="31"/>
  <c r="AG9" i="31"/>
  <c r="AG13" i="31" l="1"/>
  <c r="AG7" i="31" l="1"/>
  <c r="AG27" i="31" l="1"/>
  <c r="AG24" i="31"/>
  <c r="U28" i="1" l="1"/>
  <c r="S29" i="1" l="1"/>
  <c r="U29" i="1" s="1"/>
  <c r="U27" i="1"/>
  <c r="E21" i="1" l="1"/>
  <c r="J21" i="1" l="1"/>
  <c r="O41" i="2" l="1"/>
  <c r="O40" i="32"/>
  <c r="O41" i="31" l="1"/>
  <c r="O40" i="33"/>
  <c r="O24" i="2" l="1"/>
  <c r="O24" i="32"/>
  <c r="J24" i="2"/>
  <c r="J24" i="32"/>
  <c r="J24" i="31" l="1"/>
  <c r="O24" i="31"/>
  <c r="J24" i="33"/>
  <c r="O24" i="33"/>
  <c r="S33" i="1" l="1"/>
  <c r="S32" i="1" l="1"/>
  <c r="T52" i="2"/>
  <c r="T58" i="2"/>
  <c r="T52" i="31" l="1"/>
  <c r="T58" i="31"/>
  <c r="T61" i="2" l="1"/>
  <c r="T61" i="31" l="1"/>
  <c r="E32" i="1" l="1"/>
  <c r="J32" i="1"/>
  <c r="O25" i="2" l="1"/>
  <c r="O25" i="32"/>
  <c r="J25" i="2"/>
  <c r="J25" i="32"/>
  <c r="O25" i="31" l="1"/>
  <c r="J25" i="33"/>
  <c r="J25" i="31"/>
  <c r="O25" i="33"/>
  <c r="J32" i="2" l="1"/>
  <c r="J31" i="32"/>
  <c r="D4" i="35" s="1"/>
  <c r="O32" i="2" l="1"/>
  <c r="O31" i="32"/>
  <c r="D6" i="35" s="1"/>
  <c r="J32" i="31" l="1"/>
  <c r="J31" i="33"/>
  <c r="O32" i="31" l="1"/>
  <c r="O31" i="33"/>
  <c r="J57" i="31"/>
  <c r="E22" i="1" l="1"/>
  <c r="J22" i="1" l="1"/>
  <c r="E33" i="1" l="1"/>
  <c r="J33" i="1"/>
  <c r="T32" i="2" l="1"/>
  <c r="T31" i="32"/>
  <c r="T49" i="32" l="1"/>
  <c r="D11" i="35"/>
  <c r="T32" i="31"/>
  <c r="T31" i="33"/>
  <c r="T49" i="33" s="1"/>
  <c r="T51" i="2"/>
  <c r="T51" i="31" l="1"/>
  <c r="J58" i="31"/>
  <c r="J26" i="2" l="1"/>
  <c r="J26" i="32"/>
  <c r="O26" i="2"/>
  <c r="O26" i="32"/>
  <c r="J27" i="32" l="1"/>
  <c r="D3" i="35" s="1"/>
  <c r="J27" i="2"/>
  <c r="O27" i="32"/>
  <c r="D5" i="35" s="1"/>
  <c r="O27" i="2"/>
  <c r="J26" i="33" l="1"/>
  <c r="O26" i="33"/>
  <c r="J26" i="31"/>
  <c r="J47" i="2"/>
  <c r="O43" i="2"/>
  <c r="O47" i="2" s="1"/>
  <c r="O42" i="32"/>
  <c r="O26" i="31"/>
  <c r="E14" i="1"/>
  <c r="J46" i="32"/>
  <c r="O46" i="32" l="1"/>
  <c r="D8" i="35"/>
  <c r="O49" i="2"/>
  <c r="O27" i="31"/>
  <c r="J27" i="33"/>
  <c r="O27" i="33"/>
  <c r="J27" i="31"/>
  <c r="O50" i="2" l="1"/>
  <c r="J14" i="1"/>
  <c r="O43" i="31"/>
  <c r="O47" i="31" s="1"/>
  <c r="J46" i="33"/>
  <c r="J47" i="31"/>
  <c r="O42" i="33"/>
  <c r="D7" i="35" s="1"/>
  <c r="O49" i="31" l="1"/>
  <c r="O46" i="33"/>
  <c r="O50" i="31" l="1"/>
  <c r="T24" i="2" l="1"/>
  <c r="T24" i="32"/>
  <c r="T24" i="33" l="1"/>
  <c r="T24" i="31"/>
  <c r="T25" i="2" l="1"/>
  <c r="T25" i="32"/>
  <c r="T25" i="31" l="1"/>
  <c r="T25" i="33"/>
  <c r="E20" i="1" l="1"/>
  <c r="J20" i="1" l="1"/>
  <c r="T26" i="2"/>
  <c r="E30" i="1"/>
  <c r="T26" i="32"/>
  <c r="E23" i="1"/>
  <c r="E24" i="1" s="1"/>
  <c r="E19" i="1"/>
  <c r="J30" i="1" l="1"/>
  <c r="T27" i="2"/>
  <c r="T27" i="32"/>
  <c r="E31" i="1"/>
  <c r="T48" i="32" l="1"/>
  <c r="D9" i="35"/>
  <c r="J31" i="1"/>
  <c r="J23" i="1"/>
  <c r="J19" i="1"/>
  <c r="T26" i="31"/>
  <c r="T26" i="33"/>
  <c r="T27" i="33" l="1"/>
  <c r="T27" i="31"/>
  <c r="J24" i="1"/>
  <c r="D10" i="35" l="1"/>
  <c r="T48" i="33"/>
  <c r="S34" i="1"/>
  <c r="T50" i="2"/>
  <c r="E29" i="1" l="1"/>
  <c r="E34" i="1"/>
  <c r="T53" i="2"/>
  <c r="T54" i="2" l="1"/>
  <c r="T55" i="2"/>
  <c r="E35" i="1"/>
  <c r="T62" i="2"/>
  <c r="T66" i="2"/>
  <c r="T41" i="2"/>
  <c r="T50" i="31"/>
  <c r="J29" i="1"/>
  <c r="J34" i="1"/>
  <c r="T40" i="32"/>
  <c r="S36" i="1" l="1"/>
  <c r="T43" i="2"/>
  <c r="T53" i="31"/>
  <c r="T55" i="31" s="1"/>
  <c r="T62" i="31"/>
  <c r="T69" i="31"/>
  <c r="T42" i="32"/>
  <c r="T40" i="33"/>
  <c r="T63" i="2"/>
  <c r="E36" i="1"/>
  <c r="E40" i="1"/>
  <c r="E39" i="1"/>
  <c r="T41" i="31"/>
  <c r="J35" i="1"/>
  <c r="T51" i="32" l="1"/>
  <c r="T52" i="32" s="1"/>
  <c r="D13" i="35"/>
  <c r="S35" i="1"/>
  <c r="J40" i="1"/>
  <c r="J36" i="1"/>
  <c r="J39" i="1"/>
  <c r="T42" i="33"/>
  <c r="T51" i="33" s="1"/>
  <c r="T52" i="33" s="1"/>
  <c r="T54" i="31"/>
  <c r="T68" i="2"/>
  <c r="T69" i="2" s="1"/>
  <c r="T44" i="2"/>
  <c r="T47" i="2"/>
  <c r="T43" i="32"/>
  <c r="T46" i="32"/>
  <c r="T63" i="31"/>
  <c r="T43" i="31"/>
  <c r="D14" i="35" l="1"/>
  <c r="D12" i="35"/>
  <c r="T43" i="33"/>
  <c r="T46" i="33"/>
  <c r="T71" i="31"/>
  <c r="T44" i="31"/>
  <c r="T47" i="31"/>
  <c r="T72" i="31" l="1"/>
  <c r="X38" i="32" l="1"/>
  <c r="V38" i="32"/>
  <c r="X39" i="2"/>
  <c r="V39" i="2"/>
  <c r="I16" i="1" l="1"/>
  <c r="G16" i="1"/>
  <c r="S21" i="32"/>
  <c r="Q21" i="32"/>
  <c r="S21" i="2"/>
  <c r="Q21" i="2"/>
  <c r="S17" i="32" l="1"/>
  <c r="Q17" i="32"/>
  <c r="S18" i="2"/>
  <c r="Q18" i="2"/>
  <c r="S18" i="32"/>
  <c r="Q18" i="32"/>
  <c r="S12" i="32"/>
  <c r="Q12" i="32"/>
  <c r="P32" i="2"/>
  <c r="S29" i="2"/>
  <c r="Q29" i="2"/>
  <c r="S23" i="32"/>
  <c r="Q23" i="32"/>
  <c r="S29" i="32"/>
  <c r="Q29" i="32"/>
  <c r="P26" i="32"/>
  <c r="S19" i="32"/>
  <c r="Q19" i="32"/>
  <c r="S17" i="2"/>
  <c r="Q17" i="2"/>
  <c r="S10" i="32"/>
  <c r="Q10" i="32"/>
  <c r="S14" i="32"/>
  <c r="Q14" i="32"/>
  <c r="S16" i="32"/>
  <c r="Q16" i="32"/>
  <c r="S28" i="2"/>
  <c r="Q28" i="2"/>
  <c r="S23" i="2"/>
  <c r="Q23" i="2"/>
  <c r="S7" i="2"/>
  <c r="P24" i="2"/>
  <c r="Q7" i="2"/>
  <c r="S30" i="2"/>
  <c r="Q30" i="2"/>
  <c r="S30" i="32"/>
  <c r="Q30" i="32"/>
  <c r="P25" i="32"/>
  <c r="S11" i="32"/>
  <c r="Q11" i="32"/>
  <c r="I17" i="1"/>
  <c r="G17" i="1"/>
  <c r="S22" i="32"/>
  <c r="Q22" i="32"/>
  <c r="S22" i="2"/>
  <c r="Q22" i="2"/>
  <c r="S16" i="2"/>
  <c r="Q16" i="2"/>
  <c r="S12" i="2"/>
  <c r="Q12" i="2"/>
  <c r="S9" i="2"/>
  <c r="Q9" i="2"/>
  <c r="P24" i="32"/>
  <c r="S7" i="32"/>
  <c r="Q7" i="32"/>
  <c r="P31" i="32"/>
  <c r="E6" i="35" s="1"/>
  <c r="S28" i="32"/>
  <c r="Q28" i="32"/>
  <c r="S19" i="2"/>
  <c r="P26" i="2"/>
  <c r="Q19" i="2"/>
  <c r="S31" i="2"/>
  <c r="Q31" i="2"/>
  <c r="S15" i="32"/>
  <c r="Q15" i="32"/>
  <c r="S11" i="2"/>
  <c r="P25" i="2"/>
  <c r="Q11" i="2"/>
  <c r="S14" i="2"/>
  <c r="Q14" i="2"/>
  <c r="I11" i="1"/>
  <c r="F21" i="1"/>
  <c r="G11" i="1"/>
  <c r="S20" i="2"/>
  <c r="Q20" i="2"/>
  <c r="S20" i="32"/>
  <c r="Q20" i="32"/>
  <c r="S13" i="2"/>
  <c r="Q13" i="2"/>
  <c r="S15" i="2"/>
  <c r="Q15" i="2"/>
  <c r="S8" i="2"/>
  <c r="Q8" i="2"/>
  <c r="S10" i="2"/>
  <c r="Q10" i="2"/>
  <c r="S9" i="32"/>
  <c r="Q9" i="32"/>
  <c r="S13" i="32"/>
  <c r="Q13" i="32"/>
  <c r="S8" i="32"/>
  <c r="Q8" i="32"/>
  <c r="S32" i="2" l="1"/>
  <c r="Q32" i="2"/>
  <c r="S31" i="32"/>
  <c r="Q31" i="32"/>
  <c r="S25" i="2"/>
  <c r="Q25" i="2"/>
  <c r="P27" i="2"/>
  <c r="S24" i="2"/>
  <c r="Q24" i="2"/>
  <c r="S26" i="32"/>
  <c r="Q26" i="32"/>
  <c r="I21" i="1"/>
  <c r="G21" i="1"/>
  <c r="F32" i="1"/>
  <c r="I10" i="1"/>
  <c r="F20" i="1"/>
  <c r="G10" i="1"/>
  <c r="S33" i="2"/>
  <c r="Q33" i="2"/>
  <c r="S32" i="32"/>
  <c r="Q32" i="32"/>
  <c r="S34" i="2"/>
  <c r="Q34" i="2"/>
  <c r="I26" i="1"/>
  <c r="G26" i="1"/>
  <c r="I15" i="1"/>
  <c r="G15" i="1"/>
  <c r="S25" i="32"/>
  <c r="Q25" i="32"/>
  <c r="S24" i="32"/>
  <c r="P27" i="32"/>
  <c r="E5" i="35" s="1"/>
  <c r="Q24" i="32"/>
  <c r="P41" i="2"/>
  <c r="F14" i="1"/>
  <c r="S33" i="32"/>
  <c r="Q33" i="32"/>
  <c r="X17" i="32"/>
  <c r="V17" i="32"/>
  <c r="S26" i="2"/>
  <c r="Q26" i="2"/>
  <c r="F22" i="1"/>
  <c r="I12" i="1"/>
  <c r="G12" i="1"/>
  <c r="V17" i="2"/>
  <c r="X17" i="2"/>
  <c r="I14" i="1" l="1"/>
  <c r="G14" i="1"/>
  <c r="S41" i="2"/>
  <c r="Q41" i="2"/>
  <c r="X16" i="2"/>
  <c r="V16" i="2"/>
  <c r="V8" i="2"/>
  <c r="X8" i="2"/>
  <c r="S27" i="2"/>
  <c r="P43" i="2"/>
  <c r="P47" i="2" s="1"/>
  <c r="Q27" i="2"/>
  <c r="U26" i="32"/>
  <c r="X19" i="32"/>
  <c r="V19" i="32"/>
  <c r="V19" i="2"/>
  <c r="X19" i="2"/>
  <c r="U26" i="2"/>
  <c r="X13" i="32"/>
  <c r="V13" i="32"/>
  <c r="X15" i="32"/>
  <c r="V15" i="32"/>
  <c r="I22" i="1"/>
  <c r="G22" i="1"/>
  <c r="V18" i="32"/>
  <c r="X18" i="32"/>
  <c r="V35" i="32"/>
  <c r="X35" i="32"/>
  <c r="I25" i="1"/>
  <c r="G25" i="1"/>
  <c r="F23" i="1"/>
  <c r="V14" i="2"/>
  <c r="X14" i="2"/>
  <c r="X23" i="32"/>
  <c r="V23" i="32"/>
  <c r="X36" i="32"/>
  <c r="V36" i="32"/>
  <c r="I13" i="1"/>
  <c r="G13" i="1"/>
  <c r="S40" i="2"/>
  <c r="Q40" i="2"/>
  <c r="X18" i="2"/>
  <c r="V18" i="2"/>
  <c r="X7" i="2"/>
  <c r="U24" i="2"/>
  <c r="V7" i="2"/>
  <c r="X7" i="32"/>
  <c r="U24" i="32"/>
  <c r="V7" i="32"/>
  <c r="X21" i="32"/>
  <c r="V21" i="32"/>
  <c r="X22" i="32"/>
  <c r="V22" i="32"/>
  <c r="I20" i="1"/>
  <c r="G20" i="1"/>
  <c r="F30" i="1"/>
  <c r="X14" i="32"/>
  <c r="V14" i="32"/>
  <c r="X20" i="2"/>
  <c r="V20" i="2"/>
  <c r="X23" i="2"/>
  <c r="V23" i="2"/>
  <c r="I32" i="1"/>
  <c r="G32" i="1"/>
  <c r="X16" i="32"/>
  <c r="V16" i="32"/>
  <c r="V30" i="32"/>
  <c r="X30" i="32"/>
  <c r="S39" i="32"/>
  <c r="Q39" i="32"/>
  <c r="V36" i="2"/>
  <c r="U59" i="2"/>
  <c r="V59" i="2" s="1"/>
  <c r="X36" i="2"/>
  <c r="X22" i="2"/>
  <c r="V22" i="2"/>
  <c r="V11" i="32"/>
  <c r="U25" i="32"/>
  <c r="X11" i="32"/>
  <c r="X13" i="2"/>
  <c r="V13" i="2"/>
  <c r="V15" i="2"/>
  <c r="X15" i="2"/>
  <c r="X10" i="32"/>
  <c r="V10" i="32"/>
  <c r="X20" i="32"/>
  <c r="V20" i="32"/>
  <c r="X9" i="32"/>
  <c r="V9" i="32"/>
  <c r="V12" i="32"/>
  <c r="X12" i="32"/>
  <c r="X28" i="2"/>
  <c r="V28" i="2"/>
  <c r="V8" i="32"/>
  <c r="X8" i="32"/>
  <c r="X31" i="2"/>
  <c r="V31" i="2"/>
  <c r="X21" i="2"/>
  <c r="V21" i="2"/>
  <c r="X11" i="2"/>
  <c r="U25" i="2"/>
  <c r="V11" i="2"/>
  <c r="P40" i="32"/>
  <c r="P42" i="32" s="1"/>
  <c r="S27" i="32"/>
  <c r="Q27" i="32"/>
  <c r="X10" i="2"/>
  <c r="V10" i="2"/>
  <c r="V37" i="2"/>
  <c r="X37" i="2"/>
  <c r="U60" i="2"/>
  <c r="V60" i="2" s="1"/>
  <c r="X9" i="2"/>
  <c r="V9" i="2"/>
  <c r="X12" i="2"/>
  <c r="V12" i="2"/>
  <c r="E8" i="35" l="1"/>
  <c r="P46" i="32"/>
  <c r="I23" i="1"/>
  <c r="G23" i="1"/>
  <c r="F24" i="1"/>
  <c r="S40" i="32"/>
  <c r="Q40" i="32"/>
  <c r="I30" i="1"/>
  <c r="F31" i="1"/>
  <c r="G30" i="1"/>
  <c r="X26" i="2"/>
  <c r="V26" i="2"/>
  <c r="U27" i="2"/>
  <c r="X24" i="2"/>
  <c r="V24" i="2"/>
  <c r="V32" i="32"/>
  <c r="X32" i="32"/>
  <c r="I18" i="1"/>
  <c r="G18" i="1"/>
  <c r="F19" i="1"/>
  <c r="R43" i="32"/>
  <c r="S42" i="32"/>
  <c r="P43" i="32"/>
  <c r="Q42" i="32"/>
  <c r="G42" i="32"/>
  <c r="X25" i="2"/>
  <c r="V25" i="2"/>
  <c r="U27" i="32"/>
  <c r="X24" i="32"/>
  <c r="V24" i="32"/>
  <c r="R44" i="2"/>
  <c r="P49" i="2"/>
  <c r="S43" i="2"/>
  <c r="P44" i="2"/>
  <c r="Q43" i="2"/>
  <c r="G43" i="2"/>
  <c r="X33" i="2"/>
  <c r="T32" i="1"/>
  <c r="V33" i="2"/>
  <c r="V26" i="32"/>
  <c r="X26" i="32"/>
  <c r="X25" i="32"/>
  <c r="V25" i="32"/>
  <c r="U58" i="2"/>
  <c r="U48" i="32" l="1"/>
  <c r="V48" i="32" s="1"/>
  <c r="E9" i="35"/>
  <c r="V58" i="2"/>
  <c r="X33" i="32"/>
  <c r="V33" i="32"/>
  <c r="V39" i="31"/>
  <c r="X39" i="31"/>
  <c r="X27" i="2"/>
  <c r="V27" i="2"/>
  <c r="I24" i="1"/>
  <c r="G24" i="1"/>
  <c r="T33" i="1"/>
  <c r="X34" i="2"/>
  <c r="V34" i="2"/>
  <c r="U52" i="2"/>
  <c r="I19" i="1"/>
  <c r="G19" i="1"/>
  <c r="P50" i="2"/>
  <c r="Q49" i="2"/>
  <c r="V38" i="33"/>
  <c r="X38" i="33"/>
  <c r="V27" i="32"/>
  <c r="X27" i="32"/>
  <c r="I31" i="1"/>
  <c r="G31" i="1"/>
  <c r="W32" i="1"/>
  <c r="U32" i="1"/>
  <c r="V52" i="2" l="1"/>
  <c r="Q51" i="2"/>
  <c r="Q50" i="2"/>
  <c r="W33" i="1"/>
  <c r="U33" i="1"/>
  <c r="S23" i="33" l="1"/>
  <c r="Q23" i="33"/>
  <c r="S23" i="31"/>
  <c r="Q23" i="31"/>
  <c r="S18" i="33"/>
  <c r="Q18" i="33"/>
  <c r="S20" i="33"/>
  <c r="Q20" i="33"/>
  <c r="S18" i="31"/>
  <c r="Q18" i="31"/>
  <c r="S20" i="31"/>
  <c r="Q20" i="31"/>
  <c r="S21" i="31"/>
  <c r="Q21" i="31"/>
  <c r="S21" i="33"/>
  <c r="Q21" i="33"/>
  <c r="S22" i="33" l="1"/>
  <c r="Q22" i="33"/>
  <c r="P26" i="31"/>
  <c r="S19" i="31"/>
  <c r="Q19" i="31"/>
  <c r="S22" i="31"/>
  <c r="Q22" i="31"/>
  <c r="S31" i="31"/>
  <c r="Q31" i="31"/>
  <c r="P26" i="33"/>
  <c r="S19" i="33"/>
  <c r="Q19" i="33"/>
  <c r="S30" i="33"/>
  <c r="Q30" i="33"/>
  <c r="U59" i="31" l="1"/>
  <c r="V59" i="31" s="1"/>
  <c r="X36" i="31"/>
  <c r="V36" i="31"/>
  <c r="X35" i="33"/>
  <c r="V35" i="33"/>
  <c r="S26" i="31"/>
  <c r="Q26" i="31"/>
  <c r="S26" i="33"/>
  <c r="Q26" i="33"/>
  <c r="V19" i="31" l="1"/>
  <c r="X19" i="31"/>
  <c r="X19" i="33"/>
  <c r="V19" i="33"/>
  <c r="X18" i="31"/>
  <c r="V18" i="31"/>
  <c r="X18" i="33"/>
  <c r="V18" i="33"/>
  <c r="V36" i="33"/>
  <c r="X36" i="33"/>
  <c r="X37" i="31"/>
  <c r="V37" i="31"/>
  <c r="U60" i="31"/>
  <c r="V60" i="31" s="1"/>
  <c r="U26" i="33" l="1"/>
  <c r="U26" i="31"/>
  <c r="X26" i="33"/>
  <c r="V26" i="33"/>
  <c r="X26" i="31"/>
  <c r="V26" i="31"/>
  <c r="X23" i="31"/>
  <c r="V23" i="31"/>
  <c r="X20" i="31"/>
  <c r="V20" i="31"/>
  <c r="X22" i="33"/>
  <c r="V22" i="33"/>
  <c r="X20" i="33"/>
  <c r="V20" i="33"/>
  <c r="X22" i="31"/>
  <c r="V22" i="31"/>
  <c r="X21" i="31"/>
  <c r="V21" i="31"/>
  <c r="X23" i="33"/>
  <c r="V23" i="33"/>
  <c r="X21" i="33"/>
  <c r="V21" i="33"/>
  <c r="S10" i="31" l="1"/>
  <c r="Q10" i="31"/>
  <c r="S10" i="33"/>
  <c r="Q10" i="33"/>
  <c r="S16" i="33" l="1"/>
  <c r="Q16" i="33"/>
  <c r="P31" i="33"/>
  <c r="S28" i="33"/>
  <c r="Q28" i="33"/>
  <c r="S9" i="33"/>
  <c r="Q9" i="33"/>
  <c r="P25" i="33"/>
  <c r="S15" i="31"/>
  <c r="Q15" i="31"/>
  <c r="S16" i="31"/>
  <c r="Q16" i="31"/>
  <c r="S29" i="31"/>
  <c r="P32" i="31"/>
  <c r="Q29" i="31"/>
  <c r="S12" i="33"/>
  <c r="Q12" i="33"/>
  <c r="S29" i="33"/>
  <c r="Q29" i="33"/>
  <c r="S9" i="31"/>
  <c r="Q9" i="31"/>
  <c r="S17" i="31"/>
  <c r="Q17" i="31"/>
  <c r="N12" i="1"/>
  <c r="L12" i="1"/>
  <c r="S12" i="31"/>
  <c r="Q12" i="31"/>
  <c r="S30" i="31"/>
  <c r="Q30" i="31"/>
  <c r="P25" i="31"/>
  <c r="S11" i="31"/>
  <c r="Q11" i="31"/>
  <c r="S15" i="33"/>
  <c r="Q15" i="33"/>
  <c r="S17" i="33"/>
  <c r="Q17" i="33"/>
  <c r="S8" i="31"/>
  <c r="Q8" i="31"/>
  <c r="S7" i="31"/>
  <c r="P24" i="31"/>
  <c r="Q7" i="31"/>
  <c r="S13" i="31"/>
  <c r="Q13" i="31"/>
  <c r="N11" i="1"/>
  <c r="L11" i="1"/>
  <c r="S11" i="33"/>
  <c r="Q11" i="33"/>
  <c r="S8" i="33"/>
  <c r="Q8" i="33"/>
  <c r="S7" i="33"/>
  <c r="P24" i="33"/>
  <c r="Q7" i="33"/>
  <c r="S13" i="33"/>
  <c r="Q13" i="33"/>
  <c r="AK28" i="31"/>
  <c r="S28" i="31"/>
  <c r="Q28" i="31"/>
  <c r="AJ28" i="31"/>
  <c r="F6" i="35" l="1"/>
  <c r="H6" i="35"/>
  <c r="AK32" i="31"/>
  <c r="S32" i="31"/>
  <c r="Q32" i="31"/>
  <c r="AJ32" i="31"/>
  <c r="S14" i="33"/>
  <c r="Q14" i="33"/>
  <c r="S24" i="33"/>
  <c r="P27" i="33"/>
  <c r="Q24" i="33"/>
  <c r="N10" i="1"/>
  <c r="L10" i="1"/>
  <c r="S24" i="31"/>
  <c r="P27" i="31"/>
  <c r="Q24" i="31"/>
  <c r="S31" i="33"/>
  <c r="Q31" i="33"/>
  <c r="S25" i="31"/>
  <c r="Q25" i="31"/>
  <c r="S25" i="33"/>
  <c r="Q25" i="33"/>
  <c r="S14" i="31"/>
  <c r="Q14" i="31"/>
  <c r="H5" i="35" l="1"/>
  <c r="F5" i="35"/>
  <c r="S27" i="33"/>
  <c r="Q27" i="33"/>
  <c r="AK27" i="31"/>
  <c r="S27" i="31"/>
  <c r="AJ27" i="31"/>
  <c r="Q27" i="31"/>
  <c r="S33" i="31" l="1"/>
  <c r="Q33" i="31"/>
  <c r="S32" i="33"/>
  <c r="Q32" i="33"/>
  <c r="S33" i="33"/>
  <c r="Q33" i="33"/>
  <c r="S34" i="31"/>
  <c r="Q34" i="31"/>
  <c r="S40" i="31" l="1"/>
  <c r="Q40" i="31"/>
  <c r="P41" i="31"/>
  <c r="N13" i="1"/>
  <c r="L13" i="1"/>
  <c r="K14" i="1"/>
  <c r="S39" i="33"/>
  <c r="Q39" i="33"/>
  <c r="P40" i="33"/>
  <c r="N14" i="1" l="1"/>
  <c r="L14" i="1"/>
  <c r="AK41" i="31"/>
  <c r="S41" i="31"/>
  <c r="AJ41" i="31"/>
  <c r="Q41" i="31"/>
  <c r="P43" i="31"/>
  <c r="S40" i="33"/>
  <c r="Q40" i="33"/>
  <c r="P42" i="33"/>
  <c r="H8" i="35" l="1"/>
  <c r="F8" i="35"/>
  <c r="E7" i="35"/>
  <c r="R43" i="33"/>
  <c r="S42" i="33"/>
  <c r="Q42" i="33"/>
  <c r="P43" i="33"/>
  <c r="G42" i="33"/>
  <c r="P46" i="33"/>
  <c r="AK43" i="31"/>
  <c r="P49" i="31"/>
  <c r="S43" i="31"/>
  <c r="R44" i="31"/>
  <c r="AJ43" i="31"/>
  <c r="P44" i="31"/>
  <c r="Q43" i="31"/>
  <c r="G43" i="31"/>
  <c r="P47" i="31"/>
  <c r="F7" i="35" l="1"/>
  <c r="H7" i="35"/>
  <c r="P50" i="31"/>
  <c r="Q49" i="31"/>
  <c r="Q50" i="31" l="1"/>
  <c r="Q51" i="31"/>
  <c r="N16" i="1" l="1"/>
  <c r="L16" i="1"/>
  <c r="K21" i="1"/>
  <c r="N21" i="1" l="1"/>
  <c r="L21" i="1"/>
  <c r="N17" i="1"/>
  <c r="L17" i="1"/>
  <c r="K22" i="1"/>
  <c r="N22" i="1" l="1"/>
  <c r="L22" i="1"/>
  <c r="N15" i="1" l="1"/>
  <c r="K19" i="1"/>
  <c r="L15" i="1"/>
  <c r="K20" i="1"/>
  <c r="N18" i="1"/>
  <c r="L18" i="1"/>
  <c r="K23" i="1"/>
  <c r="N23" i="1" l="1"/>
  <c r="L23" i="1"/>
  <c r="N20" i="1"/>
  <c r="K24" i="1"/>
  <c r="L20" i="1"/>
  <c r="N19" i="1"/>
  <c r="L19" i="1"/>
  <c r="X34" i="31" l="1"/>
  <c r="V34" i="31"/>
  <c r="X33" i="33"/>
  <c r="V33" i="33"/>
  <c r="N24" i="1"/>
  <c r="L24" i="1"/>
  <c r="X10" i="31" l="1"/>
  <c r="V10" i="31"/>
  <c r="X10" i="33"/>
  <c r="V10" i="33"/>
  <c r="X7" i="33" l="1"/>
  <c r="V7" i="33"/>
  <c r="X7" i="31"/>
  <c r="V7" i="31"/>
  <c r="X8" i="33" l="1"/>
  <c r="V8" i="33"/>
  <c r="X8" i="31"/>
  <c r="V8" i="31"/>
  <c r="X9" i="33" l="1"/>
  <c r="V9" i="33"/>
  <c r="U24" i="33"/>
  <c r="X9" i="31"/>
  <c r="V9" i="31"/>
  <c r="U24" i="31"/>
  <c r="X24" i="33" l="1"/>
  <c r="V24" i="33"/>
  <c r="X24" i="31"/>
  <c r="V24" i="31"/>
  <c r="X17" i="31" l="1"/>
  <c r="V17" i="31"/>
  <c r="X17" i="33"/>
  <c r="V17" i="33"/>
  <c r="X16" i="31"/>
  <c r="V16" i="31"/>
  <c r="X16" i="33"/>
  <c r="V16" i="33"/>
  <c r="X15" i="31" l="1"/>
  <c r="V15" i="31"/>
  <c r="V15" i="33"/>
  <c r="X15" i="33"/>
  <c r="X11" i="33"/>
  <c r="V11" i="33"/>
  <c r="X11" i="31"/>
  <c r="V11" i="31"/>
  <c r="X14" i="31" l="1"/>
  <c r="V14" i="31"/>
  <c r="X12" i="31"/>
  <c r="V12" i="31"/>
  <c r="X14" i="33"/>
  <c r="V14" i="33"/>
  <c r="X12" i="33"/>
  <c r="V12" i="33"/>
  <c r="N25" i="1" l="1"/>
  <c r="L25" i="1"/>
  <c r="K30" i="1"/>
  <c r="K31" i="1" l="1"/>
  <c r="N30" i="1"/>
  <c r="L30" i="1"/>
  <c r="X13" i="31"/>
  <c r="V13" i="31"/>
  <c r="U25" i="31"/>
  <c r="X13" i="33"/>
  <c r="V13" i="33"/>
  <c r="U25" i="33"/>
  <c r="X25" i="33" l="1"/>
  <c r="V25" i="33"/>
  <c r="U27" i="33"/>
  <c r="U48" i="33" s="1"/>
  <c r="X25" i="31"/>
  <c r="V25" i="31"/>
  <c r="U27" i="31"/>
  <c r="N31" i="1"/>
  <c r="L31" i="1"/>
  <c r="V48" i="33" l="1"/>
  <c r="E10" i="35"/>
  <c r="F9" i="35"/>
  <c r="H9" i="35"/>
  <c r="X27" i="31"/>
  <c r="V27" i="31"/>
  <c r="X27" i="33"/>
  <c r="V27" i="33"/>
  <c r="H10" i="35" l="1"/>
  <c r="F10" i="35"/>
  <c r="U52" i="31"/>
  <c r="X33" i="31"/>
  <c r="U58" i="31"/>
  <c r="V33" i="31"/>
  <c r="X32" i="33"/>
  <c r="V32" i="33"/>
  <c r="V58" i="31" l="1"/>
  <c r="V52" i="31"/>
  <c r="X30" i="33" l="1"/>
  <c r="V30" i="33"/>
  <c r="X31" i="31"/>
  <c r="V31" i="31"/>
  <c r="N26" i="1" l="1"/>
  <c r="L26" i="1"/>
  <c r="K32" i="1"/>
  <c r="X28" i="31" l="1"/>
  <c r="V28" i="31"/>
  <c r="N32" i="1"/>
  <c r="L32" i="1"/>
  <c r="X38" i="2" l="1"/>
  <c r="U61" i="2"/>
  <c r="V38" i="2"/>
  <c r="V37" i="32"/>
  <c r="X37" i="32"/>
  <c r="X37" i="33" l="1"/>
  <c r="V37" i="33"/>
  <c r="V61" i="2"/>
  <c r="X38" i="31"/>
  <c r="V38" i="31"/>
  <c r="U61" i="31"/>
  <c r="V61" i="31" l="1"/>
  <c r="I27" i="1" l="1"/>
  <c r="G27" i="1"/>
  <c r="F33" i="1"/>
  <c r="I33" i="1" l="1"/>
  <c r="G33" i="1"/>
  <c r="X29" i="33"/>
  <c r="V29" i="33"/>
  <c r="X29" i="32"/>
  <c r="V29" i="32"/>
  <c r="N27" i="1"/>
  <c r="L27" i="1"/>
  <c r="K33" i="1"/>
  <c r="X30" i="31"/>
  <c r="V30" i="31"/>
  <c r="X28" i="32"/>
  <c r="V28" i="32"/>
  <c r="U31" i="32"/>
  <c r="X30" i="2"/>
  <c r="V30" i="2"/>
  <c r="X29" i="2"/>
  <c r="V29" i="2"/>
  <c r="U32" i="2"/>
  <c r="U49" i="32" l="1"/>
  <c r="V49" i="32" s="1"/>
  <c r="E11" i="35"/>
  <c r="N33" i="1"/>
  <c r="L33" i="1"/>
  <c r="U51" i="2"/>
  <c r="V51" i="2" s="1"/>
  <c r="X32" i="2"/>
  <c r="V32" i="2"/>
  <c r="X29" i="31"/>
  <c r="V29" i="31"/>
  <c r="U32" i="31"/>
  <c r="V31" i="32"/>
  <c r="X31" i="32"/>
  <c r="U31" i="33"/>
  <c r="U49" i="33" s="1"/>
  <c r="X28" i="33"/>
  <c r="V28" i="33"/>
  <c r="V49" i="33" l="1"/>
  <c r="F11" i="35"/>
  <c r="H11" i="35"/>
  <c r="X34" i="32"/>
  <c r="V34" i="32"/>
  <c r="X32" i="31"/>
  <c r="K58" i="31"/>
  <c r="L58" i="31" s="1"/>
  <c r="U51" i="31"/>
  <c r="V51" i="31" s="1"/>
  <c r="V32" i="31"/>
  <c r="X35" i="2"/>
  <c r="T34" i="1"/>
  <c r="V35" i="2"/>
  <c r="U50" i="2"/>
  <c r="X31" i="33"/>
  <c r="V31" i="33"/>
  <c r="W34" i="1" l="1"/>
  <c r="U34" i="1"/>
  <c r="X35" i="31"/>
  <c r="V35" i="31"/>
  <c r="U50" i="31"/>
  <c r="V50" i="2"/>
  <c r="W50" i="2"/>
  <c r="X34" i="33"/>
  <c r="V34" i="33"/>
  <c r="I28" i="1"/>
  <c r="G28" i="1"/>
  <c r="F34" i="1"/>
  <c r="F29" i="1"/>
  <c r="I29" i="1" l="1"/>
  <c r="G29" i="1"/>
  <c r="W50" i="31"/>
  <c r="V50" i="31"/>
  <c r="I34" i="1"/>
  <c r="G34" i="1"/>
  <c r="F35" i="1"/>
  <c r="X40" i="2" l="1"/>
  <c r="V40" i="2"/>
  <c r="U62" i="2"/>
  <c r="U66" i="2"/>
  <c r="V66" i="2" s="1"/>
  <c r="U41" i="2"/>
  <c r="N28" i="1"/>
  <c r="L28" i="1"/>
  <c r="K34" i="1"/>
  <c r="K29" i="1"/>
  <c r="F36" i="1"/>
  <c r="I35" i="1"/>
  <c r="G35" i="1"/>
  <c r="F39" i="1"/>
  <c r="F40" i="1"/>
  <c r="U53" i="2"/>
  <c r="X39" i="32"/>
  <c r="V39" i="32"/>
  <c r="U40" i="32"/>
  <c r="X40" i="32" l="1"/>
  <c r="V40" i="32"/>
  <c r="U42" i="32"/>
  <c r="N34" i="1"/>
  <c r="L34" i="1"/>
  <c r="K35" i="1"/>
  <c r="U53" i="31"/>
  <c r="V62" i="2"/>
  <c r="V63" i="2" s="1"/>
  <c r="U63" i="2"/>
  <c r="V53" i="2"/>
  <c r="V54" i="2" s="1"/>
  <c r="U54" i="2"/>
  <c r="U55" i="2"/>
  <c r="V55" i="2" s="1"/>
  <c r="I36" i="1"/>
  <c r="G36" i="1"/>
  <c r="N29" i="1"/>
  <c r="L29" i="1"/>
  <c r="X39" i="33"/>
  <c r="V39" i="33"/>
  <c r="U40" i="33"/>
  <c r="U62" i="31"/>
  <c r="X40" i="31"/>
  <c r="V40" i="31"/>
  <c r="U69" i="31"/>
  <c r="V69" i="31" s="1"/>
  <c r="U41" i="31"/>
  <c r="T36" i="1"/>
  <c r="V41" i="2"/>
  <c r="X41" i="2"/>
  <c r="U43" i="2"/>
  <c r="U51" i="32" l="1"/>
  <c r="E13" i="35"/>
  <c r="X41" i="31"/>
  <c r="V41" i="31"/>
  <c r="U43" i="31"/>
  <c r="V62" i="31"/>
  <c r="V63" i="31" s="1"/>
  <c r="U63" i="31"/>
  <c r="U68" i="2"/>
  <c r="U69" i="2" s="1"/>
  <c r="V69" i="2" s="1"/>
  <c r="X43" i="2"/>
  <c r="G44" i="2"/>
  <c r="V43" i="2"/>
  <c r="U44" i="2"/>
  <c r="U47" i="2"/>
  <c r="W36" i="1"/>
  <c r="T35" i="1"/>
  <c r="U36" i="1"/>
  <c r="V40" i="33"/>
  <c r="X40" i="33"/>
  <c r="U42" i="33"/>
  <c r="U51" i="33" s="1"/>
  <c r="X42" i="32"/>
  <c r="G43" i="32"/>
  <c r="U43" i="32"/>
  <c r="V42" i="32"/>
  <c r="U46" i="32"/>
  <c r="V53" i="31"/>
  <c r="V54" i="31" s="1"/>
  <c r="U54" i="31"/>
  <c r="U55" i="31"/>
  <c r="V55" i="31" s="1"/>
  <c r="K36" i="1"/>
  <c r="N35" i="1"/>
  <c r="L35" i="1"/>
  <c r="K39" i="1"/>
  <c r="K40" i="1"/>
  <c r="V51" i="33" l="1"/>
  <c r="U52" i="33"/>
  <c r="V52" i="33" s="1"/>
  <c r="U52" i="32"/>
  <c r="V52" i="32" s="1"/>
  <c r="V51" i="32"/>
  <c r="E14" i="35"/>
  <c r="F13" i="35"/>
  <c r="E12" i="35"/>
  <c r="H13" i="35"/>
  <c r="W35" i="1"/>
  <c r="U35" i="1"/>
  <c r="N36" i="1"/>
  <c r="L36" i="1"/>
  <c r="X43" i="31"/>
  <c r="X44" i="31" s="1"/>
  <c r="U44" i="31"/>
  <c r="V43" i="31"/>
  <c r="V44" i="31" s="1"/>
  <c r="G44" i="31"/>
  <c r="U71" i="31"/>
  <c r="U47" i="31"/>
  <c r="U43" i="33"/>
  <c r="V42" i="33"/>
  <c r="V43" i="33" s="1"/>
  <c r="X42" i="33"/>
  <c r="X43" i="33" s="1"/>
  <c r="G43" i="33"/>
  <c r="U46" i="33"/>
  <c r="F12" i="35" l="1"/>
  <c r="H12" i="35"/>
  <c r="H14" i="35"/>
  <c r="F14" i="35"/>
  <c r="U75" i="31"/>
  <c r="U76" i="31" s="1"/>
  <c r="U72" i="31"/>
  <c r="V72" i="31" s="1"/>
  <c r="V71" i="31"/>
  <c r="F8" i="1" l="1"/>
  <c r="K28" i="2"/>
  <c r="G46" i="2" l="1"/>
  <c r="L28" i="2"/>
  <c r="N28" i="2"/>
  <c r="F46" i="2"/>
  <c r="I8" i="1"/>
  <c r="G8" i="1"/>
  <c r="K21" i="32" l="1"/>
  <c r="K21" i="2"/>
  <c r="K15" i="32"/>
  <c r="K15" i="2"/>
  <c r="K19" i="32"/>
  <c r="K19" i="2"/>
  <c r="K18" i="32"/>
  <c r="K18" i="2"/>
  <c r="K14" i="32"/>
  <c r="K14" i="2"/>
  <c r="K13" i="32"/>
  <c r="K13" i="2"/>
  <c r="K20" i="32"/>
  <c r="K20" i="2"/>
  <c r="K16" i="32"/>
  <c r="K16" i="2"/>
  <c r="K7" i="32"/>
  <c r="K7" i="2"/>
  <c r="K11" i="32"/>
  <c r="K11" i="2"/>
  <c r="K12" i="32"/>
  <c r="K12" i="2"/>
  <c r="K23" i="32"/>
  <c r="K23" i="2"/>
  <c r="K17" i="32"/>
  <c r="K17" i="2"/>
  <c r="K22" i="32"/>
  <c r="K22" i="2"/>
  <c r="K30" i="32"/>
  <c r="K31" i="2"/>
  <c r="K28" i="32"/>
  <c r="K29" i="2"/>
  <c r="K29" i="32"/>
  <c r="K30" i="2"/>
  <c r="K10" i="32"/>
  <c r="K10" i="2"/>
  <c r="K8" i="32"/>
  <c r="K8" i="2"/>
  <c r="K9" i="32"/>
  <c r="K9" i="2"/>
  <c r="N17" i="2" l="1"/>
  <c r="L17" i="2"/>
  <c r="N13" i="32"/>
  <c r="L13" i="32"/>
  <c r="L7" i="32"/>
  <c r="K24" i="32"/>
  <c r="N7" i="32"/>
  <c r="N30" i="32"/>
  <c r="L30" i="32"/>
  <c r="N13" i="2"/>
  <c r="L13" i="2"/>
  <c r="N17" i="32"/>
  <c r="L17" i="32"/>
  <c r="L14" i="32"/>
  <c r="N14" i="32"/>
  <c r="K24" i="2"/>
  <c r="N7" i="2"/>
  <c r="L7" i="2"/>
  <c r="L29" i="2"/>
  <c r="N29" i="2"/>
  <c r="K32" i="2"/>
  <c r="N28" i="32"/>
  <c r="K31" i="32"/>
  <c r="E4" i="35" s="1"/>
  <c r="L28" i="32"/>
  <c r="N31" i="2"/>
  <c r="L31" i="2"/>
  <c r="L22" i="2"/>
  <c r="N22" i="2"/>
  <c r="N14" i="2"/>
  <c r="L14" i="2"/>
  <c r="L23" i="2"/>
  <c r="N23" i="2"/>
  <c r="N18" i="2"/>
  <c r="L18" i="2"/>
  <c r="L23" i="32"/>
  <c r="N23" i="32"/>
  <c r="L18" i="32"/>
  <c r="N18" i="32"/>
  <c r="F9" i="1"/>
  <c r="N9" i="2"/>
  <c r="L9" i="2"/>
  <c r="N12" i="2"/>
  <c r="L12" i="2"/>
  <c r="N19" i="2"/>
  <c r="L19" i="2"/>
  <c r="K26" i="2"/>
  <c r="F7" i="1"/>
  <c r="L9" i="32"/>
  <c r="N9" i="32"/>
  <c r="L12" i="32"/>
  <c r="N12" i="32"/>
  <c r="L19" i="32"/>
  <c r="N19" i="32"/>
  <c r="K26" i="32"/>
  <c r="N8" i="2"/>
  <c r="L8" i="2"/>
  <c r="L15" i="2"/>
  <c r="N15" i="2"/>
  <c r="L16" i="2"/>
  <c r="N16" i="2"/>
  <c r="L20" i="32"/>
  <c r="N20" i="32"/>
  <c r="L8" i="32"/>
  <c r="N8" i="32"/>
  <c r="N11" i="2"/>
  <c r="L11" i="2"/>
  <c r="K25" i="2"/>
  <c r="N15" i="32"/>
  <c r="L15" i="32"/>
  <c r="N29" i="32"/>
  <c r="L29" i="32"/>
  <c r="N20" i="2"/>
  <c r="L20" i="2"/>
  <c r="L10" i="2"/>
  <c r="N10" i="2"/>
  <c r="K25" i="32"/>
  <c r="L11" i="32"/>
  <c r="N11" i="32"/>
  <c r="L21" i="2"/>
  <c r="N21" i="2"/>
  <c r="L30" i="2"/>
  <c r="N30" i="2"/>
  <c r="N16" i="32"/>
  <c r="L16" i="32"/>
  <c r="L22" i="32"/>
  <c r="N22" i="32"/>
  <c r="L10" i="32"/>
  <c r="N10" i="32"/>
  <c r="N21" i="32"/>
  <c r="L21" i="32"/>
  <c r="N24" i="2" l="1"/>
  <c r="F24" i="2"/>
  <c r="K27" i="2"/>
  <c r="L24" i="2"/>
  <c r="L26" i="2"/>
  <c r="F26" i="2"/>
  <c r="N26" i="2"/>
  <c r="G9" i="1"/>
  <c r="I9" i="1"/>
  <c r="L24" i="32"/>
  <c r="K27" i="32"/>
  <c r="E3" i="35" s="1"/>
  <c r="F24" i="32"/>
  <c r="N24" i="32"/>
  <c r="F25" i="32"/>
  <c r="L25" i="32"/>
  <c r="N25" i="32"/>
  <c r="F26" i="32"/>
  <c r="L26" i="32"/>
  <c r="N26" i="32"/>
  <c r="N25" i="2"/>
  <c r="F25" i="2"/>
  <c r="L25" i="2"/>
  <c r="G46" i="32"/>
  <c r="L31" i="32"/>
  <c r="N31" i="32"/>
  <c r="G31" i="32"/>
  <c r="F46" i="32"/>
  <c r="G7" i="1"/>
  <c r="I7" i="1"/>
  <c r="K45" i="32"/>
  <c r="K46" i="32" s="1"/>
  <c r="K46" i="2"/>
  <c r="K47" i="2" s="1"/>
  <c r="F47" i="2"/>
  <c r="N32" i="2"/>
  <c r="L32" i="2"/>
  <c r="G47" i="2"/>
  <c r="F27" i="32" l="1"/>
  <c r="L27" i="32"/>
  <c r="N27" i="32"/>
  <c r="G27" i="32"/>
  <c r="G27" i="2"/>
  <c r="N27" i="2"/>
  <c r="L27" i="2"/>
  <c r="F27" i="2"/>
  <c r="F23" i="2"/>
  <c r="K28" i="31" l="1"/>
  <c r="K8" i="1"/>
  <c r="N8" i="1" l="1"/>
  <c r="L8" i="1"/>
  <c r="M44" i="31"/>
  <c r="L28" i="31"/>
  <c r="N28" i="31"/>
  <c r="K44" i="31"/>
  <c r="K8" i="33" l="1"/>
  <c r="K8" i="31"/>
  <c r="K30" i="33"/>
  <c r="K31" i="31"/>
  <c r="K12" i="33" l="1"/>
  <c r="K12" i="31"/>
  <c r="K7" i="33"/>
  <c r="K7" i="31"/>
  <c r="K9" i="33"/>
  <c r="K9" i="31"/>
  <c r="L31" i="31"/>
  <c r="F31" i="31"/>
  <c r="N31" i="31"/>
  <c r="N30" i="33"/>
  <c r="L30" i="33"/>
  <c r="L8" i="31"/>
  <c r="N8" i="31"/>
  <c r="K29" i="33"/>
  <c r="K30" i="31"/>
  <c r="K15" i="33"/>
  <c r="K15" i="31"/>
  <c r="N8" i="33"/>
  <c r="L8" i="33"/>
  <c r="K20" i="33" l="1"/>
  <c r="K20" i="31"/>
  <c r="K10" i="33"/>
  <c r="K10" i="31"/>
  <c r="K19" i="33"/>
  <c r="K19" i="31"/>
  <c r="N15" i="33"/>
  <c r="L15" i="33"/>
  <c r="K17" i="33"/>
  <c r="K17" i="31"/>
  <c r="L9" i="31"/>
  <c r="N9" i="31"/>
  <c r="K18" i="33"/>
  <c r="K18" i="31"/>
  <c r="N9" i="33"/>
  <c r="L9" i="33"/>
  <c r="K16" i="33"/>
  <c r="K16" i="31"/>
  <c r="L15" i="31"/>
  <c r="N15" i="31"/>
  <c r="K13" i="33"/>
  <c r="K13" i="31"/>
  <c r="K21" i="33"/>
  <c r="K21" i="31"/>
  <c r="K14" i="33"/>
  <c r="K14" i="31"/>
  <c r="N7" i="31"/>
  <c r="L7" i="31"/>
  <c r="K24" i="31"/>
  <c r="L7" i="33"/>
  <c r="N7" i="33"/>
  <c r="F30" i="31"/>
  <c r="N30" i="31"/>
  <c r="L30" i="31"/>
  <c r="K22" i="33"/>
  <c r="K22" i="31"/>
  <c r="K23" i="33"/>
  <c r="K23" i="31"/>
  <c r="L29" i="33"/>
  <c r="N29" i="33"/>
  <c r="N12" i="31"/>
  <c r="L12" i="31"/>
  <c r="K28" i="33"/>
  <c r="K29" i="31"/>
  <c r="K11" i="33"/>
  <c r="K11" i="31"/>
  <c r="N12" i="33"/>
  <c r="L12" i="33"/>
  <c r="K9" i="1"/>
  <c r="N28" i="33" l="1"/>
  <c r="L28" i="33"/>
  <c r="K31" i="33"/>
  <c r="N14" i="31"/>
  <c r="L14" i="31"/>
  <c r="N23" i="31"/>
  <c r="L23" i="31"/>
  <c r="L21" i="33"/>
  <c r="N21" i="33"/>
  <c r="L11" i="31"/>
  <c r="N11" i="31"/>
  <c r="K25" i="31"/>
  <c r="K27" i="31" s="1"/>
  <c r="L23" i="33"/>
  <c r="N23" i="33"/>
  <c r="N9" i="1"/>
  <c r="L9" i="1"/>
  <c r="N13" i="31"/>
  <c r="L13" i="31"/>
  <c r="N19" i="31"/>
  <c r="L19" i="31"/>
  <c r="K26" i="31"/>
  <c r="N22" i="31"/>
  <c r="L22" i="31"/>
  <c r="L13" i="33"/>
  <c r="N13" i="33"/>
  <c r="L19" i="33"/>
  <c r="N19" i="33"/>
  <c r="K26" i="33"/>
  <c r="L18" i="33"/>
  <c r="N18" i="33"/>
  <c r="L22" i="33"/>
  <c r="N22" i="33"/>
  <c r="N24" i="31"/>
  <c r="L24" i="31"/>
  <c r="F24" i="31"/>
  <c r="L21" i="31"/>
  <c r="N21" i="31"/>
  <c r="N10" i="31"/>
  <c r="L10" i="31"/>
  <c r="N14" i="33"/>
  <c r="L14" i="33"/>
  <c r="L10" i="33"/>
  <c r="N10" i="33"/>
  <c r="N18" i="31"/>
  <c r="L18" i="31"/>
  <c r="N17" i="33"/>
  <c r="L17" i="33"/>
  <c r="L16" i="31"/>
  <c r="N16" i="31"/>
  <c r="N20" i="31"/>
  <c r="L20" i="31"/>
  <c r="K25" i="33"/>
  <c r="N11" i="33"/>
  <c r="L11" i="33"/>
  <c r="L17" i="31"/>
  <c r="N17" i="31"/>
  <c r="L16" i="33"/>
  <c r="N16" i="33"/>
  <c r="N20" i="33"/>
  <c r="L20" i="33"/>
  <c r="N29" i="31"/>
  <c r="F29" i="31"/>
  <c r="L29" i="31"/>
  <c r="K32" i="31"/>
  <c r="K7" i="1"/>
  <c r="K24" i="33"/>
  <c r="F23" i="31" l="1"/>
  <c r="G27" i="31"/>
  <c r="F27" i="31"/>
  <c r="N27" i="31"/>
  <c r="L27" i="31"/>
  <c r="L25" i="33"/>
  <c r="F25" i="33"/>
  <c r="N25" i="33"/>
  <c r="K45" i="31"/>
  <c r="K57" i="31"/>
  <c r="L57" i="31" s="1"/>
  <c r="N32" i="31"/>
  <c r="M45" i="31"/>
  <c r="F32" i="31"/>
  <c r="L32" i="31"/>
  <c r="L7" i="1"/>
  <c r="N7" i="1"/>
  <c r="K45" i="33"/>
  <c r="K46" i="33" s="1"/>
  <c r="K46" i="31"/>
  <c r="K47" i="31" s="1"/>
  <c r="L31" i="33"/>
  <c r="M44" i="33"/>
  <c r="N31" i="33"/>
  <c r="K44" i="33"/>
  <c r="N25" i="31"/>
  <c r="F25" i="31"/>
  <c r="L25" i="31"/>
  <c r="L24" i="33"/>
  <c r="N24" i="33"/>
  <c r="F24" i="33"/>
  <c r="K27" i="33"/>
  <c r="F26" i="33"/>
  <c r="L26" i="33"/>
  <c r="N26" i="33"/>
  <c r="F26" i="31"/>
  <c r="L26" i="31"/>
  <c r="N26" i="31"/>
  <c r="F27" i="33" l="1"/>
  <c r="N27" i="33"/>
  <c r="L27" i="33"/>
  <c r="G27" i="33"/>
  <c r="F4" i="35"/>
  <c r="H4" i="35"/>
  <c r="H3" i="35" l="1"/>
  <c r="F3" i="35"/>
  <c r="Z7" i="32" l="1"/>
  <c r="M12" i="25"/>
  <c r="Z7" i="2"/>
  <c r="F12" i="26"/>
  <c r="T28" i="25" l="1"/>
  <c r="Q28" i="27"/>
  <c r="N28" i="27"/>
  <c r="K28" i="27"/>
  <c r="H28" i="27"/>
  <c r="E28" i="27"/>
  <c r="Q25" i="27"/>
  <c r="H25" i="27"/>
  <c r="T26" i="25"/>
  <c r="T26" i="27"/>
  <c r="K26" i="27"/>
  <c r="H26" i="27"/>
  <c r="N27" i="27"/>
  <c r="H27" i="27"/>
  <c r="Q24" i="27"/>
  <c r="N24" i="27"/>
  <c r="K24" i="27"/>
  <c r="E24" i="27"/>
  <c r="N24" i="28"/>
  <c r="N23" i="27"/>
  <c r="H23" i="27"/>
  <c r="H22" i="27"/>
  <c r="N21" i="27"/>
  <c r="H21" i="27"/>
  <c r="N21" i="26"/>
  <c r="T20" i="25"/>
  <c r="T19" i="27"/>
  <c r="N19" i="27"/>
  <c r="T17" i="25"/>
  <c r="H15" i="27"/>
  <c r="Q14" i="27"/>
  <c r="N14" i="27"/>
  <c r="K14" i="27"/>
  <c r="H14" i="27"/>
  <c r="E14" i="27"/>
  <c r="E13" i="27"/>
  <c r="T12" i="27"/>
  <c r="H12" i="27"/>
  <c r="T21" i="27" l="1"/>
  <c r="N22" i="27"/>
  <c r="T14" i="25"/>
  <c r="K17" i="27"/>
  <c r="K20" i="27"/>
  <c r="T13" i="25"/>
  <c r="K15" i="27"/>
  <c r="E12" i="27"/>
  <c r="Q13" i="27"/>
  <c r="T14" i="27"/>
  <c r="K19" i="27"/>
  <c r="T23" i="27"/>
  <c r="Q12" i="27"/>
  <c r="T27" i="25"/>
  <c r="T22" i="27"/>
  <c r="E25" i="27"/>
  <c r="H10" i="27"/>
  <c r="E21" i="27"/>
  <c r="E11" i="27"/>
  <c r="Q11" i="27"/>
  <c r="N12" i="27"/>
  <c r="E18" i="27"/>
  <c r="E17" i="27"/>
  <c r="H18" i="27"/>
  <c r="K22" i="27"/>
  <c r="Q18" i="27"/>
  <c r="T19" i="25"/>
  <c r="Q21" i="27"/>
  <c r="T27" i="27"/>
  <c r="T15" i="25"/>
  <c r="Q19" i="27"/>
  <c r="T17" i="27"/>
  <c r="K27" i="27"/>
  <c r="T18" i="28"/>
  <c r="E18" i="28"/>
  <c r="Q18" i="28"/>
  <c r="N18" i="28"/>
  <c r="Q19" i="28"/>
  <c r="N19" i="28"/>
  <c r="T19" i="28"/>
  <c r="T10" i="25"/>
  <c r="H16" i="27"/>
  <c r="T28" i="27"/>
  <c r="K25" i="27"/>
  <c r="T25" i="27"/>
  <c r="E23" i="27"/>
  <c r="H20" i="27"/>
  <c r="Q16" i="27"/>
  <c r="H17" i="27"/>
  <c r="T16" i="25"/>
  <c r="Q20" i="27"/>
  <c r="E13" i="28"/>
  <c r="K16" i="27"/>
  <c r="T22" i="25"/>
  <c r="T18" i="25"/>
  <c r="K13" i="26"/>
  <c r="T12" i="25"/>
  <c r="T25" i="25"/>
  <c r="T18" i="27"/>
  <c r="T24" i="25"/>
  <c r="H13" i="27"/>
  <c r="N20" i="27"/>
  <c r="K21" i="27"/>
  <c r="K23" i="27"/>
  <c r="H24" i="27"/>
  <c r="Q27" i="27"/>
  <c r="N26" i="27"/>
  <c r="K9" i="27"/>
  <c r="E16" i="27"/>
  <c r="N18" i="27"/>
  <c r="E15" i="27"/>
  <c r="K12" i="27"/>
  <c r="N17" i="27"/>
  <c r="E20" i="27"/>
  <c r="N13" i="27"/>
  <c r="T24" i="27"/>
  <c r="Q15" i="27"/>
  <c r="H22" i="25"/>
  <c r="Q13" i="28"/>
  <c r="T13" i="28"/>
  <c r="N13" i="26"/>
  <c r="K13" i="27"/>
  <c r="N13" i="28"/>
  <c r="H19" i="27"/>
  <c r="T13" i="27"/>
  <c r="H16" i="25"/>
  <c r="N15" i="27"/>
  <c r="Q17" i="27"/>
  <c r="Q21" i="28"/>
  <c r="E21" i="28"/>
  <c r="N21" i="28"/>
  <c r="K18" i="27"/>
  <c r="T21" i="28"/>
  <c r="T15" i="27"/>
  <c r="N18" i="26"/>
  <c r="K18" i="26"/>
  <c r="N16" i="27"/>
  <c r="N19" i="26"/>
  <c r="K19" i="26"/>
  <c r="E19" i="28"/>
  <c r="T16" i="27"/>
  <c r="K21" i="26"/>
  <c r="H23" i="25"/>
  <c r="Q22" i="27"/>
  <c r="E19" i="27"/>
  <c r="T21" i="25"/>
  <c r="N25" i="27"/>
  <c r="E27" i="27"/>
  <c r="H25" i="25"/>
  <c r="T20" i="27"/>
  <c r="E22" i="27"/>
  <c r="N27" i="28"/>
  <c r="E27" i="28"/>
  <c r="T27" i="28"/>
  <c r="N27" i="26"/>
  <c r="Q27" i="28"/>
  <c r="K27" i="26"/>
  <c r="Q23" i="27"/>
  <c r="E24" i="28"/>
  <c r="Q24" i="28"/>
  <c r="T24" i="28"/>
  <c r="N24" i="26"/>
  <c r="E26" i="27"/>
  <c r="K24" i="26"/>
  <c r="T23" i="25"/>
  <c r="Q26" i="27"/>
  <c r="I21" i="25" l="1"/>
  <c r="I25" i="25"/>
  <c r="J25" i="25" s="1"/>
  <c r="I22" i="25"/>
  <c r="J22" i="25" s="1"/>
  <c r="I23" i="25"/>
  <c r="J23" i="25" s="1"/>
  <c r="I16" i="25"/>
  <c r="J16" i="25" s="1"/>
  <c r="I12" i="25"/>
  <c r="I24" i="25"/>
  <c r="I26" i="25"/>
  <c r="I15" i="25"/>
  <c r="I13" i="25"/>
  <c r="I17" i="25"/>
  <c r="I18" i="25"/>
  <c r="I14" i="25"/>
  <c r="I20" i="25"/>
  <c r="I19" i="25"/>
  <c r="I28" i="25"/>
  <c r="I27" i="25"/>
  <c r="Y18" i="32"/>
  <c r="Y18" i="2"/>
  <c r="E23" i="26"/>
  <c r="L23" i="25"/>
  <c r="Y17" i="32"/>
  <c r="Y17" i="2"/>
  <c r="E22" i="26"/>
  <c r="L22" i="25"/>
  <c r="Y20" i="32"/>
  <c r="Y20" i="2"/>
  <c r="E25" i="26"/>
  <c r="L25" i="25"/>
  <c r="K21" i="28"/>
  <c r="Y11" i="32"/>
  <c r="Y11" i="2"/>
  <c r="E16" i="26"/>
  <c r="L16" i="25"/>
  <c r="Z8" i="32"/>
  <c r="Z8" i="2"/>
  <c r="M13" i="25"/>
  <c r="F13" i="26"/>
  <c r="M14" i="25"/>
  <c r="F14" i="26"/>
  <c r="Z9" i="2"/>
  <c r="Z9" i="32"/>
  <c r="Z11" i="32"/>
  <c r="Z11" i="2"/>
  <c r="M16" i="25"/>
  <c r="F16" i="26"/>
  <c r="T16" i="1"/>
  <c r="T11" i="28"/>
  <c r="H27" i="25"/>
  <c r="H13" i="25"/>
  <c r="H18" i="25"/>
  <c r="T11" i="25"/>
  <c r="H8" i="27"/>
  <c r="E23" i="28"/>
  <c r="E8" i="28"/>
  <c r="Q11" i="28"/>
  <c r="Q8" i="28"/>
  <c r="K11" i="27"/>
  <c r="Q23" i="28"/>
  <c r="N23" i="26"/>
  <c r="N23" i="28"/>
  <c r="T23" i="28"/>
  <c r="K23" i="26"/>
  <c r="E10" i="28"/>
  <c r="N10" i="28"/>
  <c r="S15" i="25"/>
  <c r="S25" i="25"/>
  <c r="T8" i="28"/>
  <c r="S27" i="25"/>
  <c r="S26" i="25"/>
  <c r="T10" i="28"/>
  <c r="S23" i="25"/>
  <c r="K10" i="27"/>
  <c r="K8" i="26"/>
  <c r="O20" i="26"/>
  <c r="H11" i="27"/>
  <c r="O21" i="26"/>
  <c r="P21" i="26" s="1"/>
  <c r="L26" i="26"/>
  <c r="O26" i="26"/>
  <c r="E11" i="28"/>
  <c r="N11" i="26"/>
  <c r="N10" i="27"/>
  <c r="N11" i="28"/>
  <c r="Q8" i="27"/>
  <c r="K8" i="27"/>
  <c r="T8" i="25"/>
  <c r="K10" i="26"/>
  <c r="Q10" i="28"/>
  <c r="N10" i="26"/>
  <c r="O15" i="26"/>
  <c r="S28" i="25"/>
  <c r="K11" i="26"/>
  <c r="N9" i="27"/>
  <c r="T10" i="27"/>
  <c r="H19" i="25"/>
  <c r="S18" i="25"/>
  <c r="H13" i="28"/>
  <c r="N11" i="27"/>
  <c r="S19" i="25"/>
  <c r="T9" i="25"/>
  <c r="Q9" i="27"/>
  <c r="S22" i="25"/>
  <c r="S16" i="25"/>
  <c r="H9" i="27"/>
  <c r="Q10" i="27"/>
  <c r="S13" i="25"/>
  <c r="T25" i="28"/>
  <c r="N25" i="28"/>
  <c r="N25" i="26"/>
  <c r="Q25" i="28"/>
  <c r="E25" i="28"/>
  <c r="K25" i="26"/>
  <c r="N8" i="28"/>
  <c r="S14" i="25"/>
  <c r="T15" i="1"/>
  <c r="N8" i="27"/>
  <c r="O19" i="26"/>
  <c r="P19" i="26" s="1"/>
  <c r="L15" i="26"/>
  <c r="L20" i="26"/>
  <c r="L19" i="26"/>
  <c r="M19" i="26" s="1"/>
  <c r="W15" i="25"/>
  <c r="K16" i="26"/>
  <c r="N16" i="28"/>
  <c r="N16" i="26"/>
  <c r="Q16" i="28"/>
  <c r="T16" i="28"/>
  <c r="E16" i="28"/>
  <c r="H24" i="25"/>
  <c r="J24" i="25" s="1"/>
  <c r="S24" i="25"/>
  <c r="S21" i="25"/>
  <c r="H21" i="25"/>
  <c r="J21" i="25" s="1"/>
  <c r="H24" i="28"/>
  <c r="N8" i="26"/>
  <c r="N20" i="28"/>
  <c r="N20" i="26"/>
  <c r="Q20" i="28"/>
  <c r="K20" i="26"/>
  <c r="T20" i="28"/>
  <c r="E20" i="28"/>
  <c r="N9" i="26"/>
  <c r="Q9" i="28"/>
  <c r="K9" i="26"/>
  <c r="E9" i="28"/>
  <c r="T9" i="28"/>
  <c r="N9" i="28"/>
  <c r="H15" i="25"/>
  <c r="H27" i="28"/>
  <c r="H21" i="28"/>
  <c r="H20" i="25"/>
  <c r="S20" i="25"/>
  <c r="K12" i="26"/>
  <c r="T12" i="28"/>
  <c r="N12" i="26"/>
  <c r="Q12" i="28"/>
  <c r="N12" i="28"/>
  <c r="E12" i="28"/>
  <c r="N15" i="26"/>
  <c r="P15" i="26" s="1"/>
  <c r="N15" i="28"/>
  <c r="T15" i="28"/>
  <c r="E15" i="28"/>
  <c r="K15" i="26"/>
  <c r="Q15" i="28"/>
  <c r="H28" i="25"/>
  <c r="H18" i="28"/>
  <c r="H17" i="25"/>
  <c r="S17" i="25"/>
  <c r="T9" i="27"/>
  <c r="E28" i="28"/>
  <c r="Q28" i="28"/>
  <c r="N28" i="28"/>
  <c r="N28" i="26"/>
  <c r="K28" i="26"/>
  <c r="T28" i="28"/>
  <c r="H14" i="25"/>
  <c r="Q17" i="28"/>
  <c r="T17" i="28"/>
  <c r="K17" i="26"/>
  <c r="N17" i="28"/>
  <c r="N17" i="26"/>
  <c r="E17" i="28"/>
  <c r="N26" i="26"/>
  <c r="K26" i="26"/>
  <c r="E26" i="28"/>
  <c r="Q26" i="28"/>
  <c r="N26" i="28"/>
  <c r="T26" i="28"/>
  <c r="N14" i="28"/>
  <c r="T14" i="28"/>
  <c r="N14" i="26"/>
  <c r="Q14" i="28"/>
  <c r="K14" i="26"/>
  <c r="E14" i="28"/>
  <c r="N22" i="26"/>
  <c r="K22" i="26"/>
  <c r="E22" i="28"/>
  <c r="Q22" i="28"/>
  <c r="N22" i="28"/>
  <c r="T22" i="28"/>
  <c r="H26" i="25"/>
  <c r="E10" i="27"/>
  <c r="E9" i="27"/>
  <c r="H12" i="25"/>
  <c r="S12" i="25"/>
  <c r="H19" i="28"/>
  <c r="E8" i="27"/>
  <c r="T11" i="27"/>
  <c r="T8" i="27"/>
  <c r="U23" i="25"/>
  <c r="V23" i="25" s="1"/>
  <c r="U18" i="25"/>
  <c r="V18" i="25" s="1"/>
  <c r="U20" i="25"/>
  <c r="V20" i="25" s="1"/>
  <c r="U12" i="25"/>
  <c r="V12" i="25" s="1"/>
  <c r="O16" i="25"/>
  <c r="U26" i="25"/>
  <c r="V26" i="25" s="1"/>
  <c r="T13" i="1"/>
  <c r="L21" i="26"/>
  <c r="M21" i="26" s="1"/>
  <c r="L23" i="26"/>
  <c r="L27" i="26"/>
  <c r="M27" i="26" s="1"/>
  <c r="O23" i="26"/>
  <c r="L22" i="26"/>
  <c r="O22" i="26"/>
  <c r="O27" i="26"/>
  <c r="P27" i="26" s="1"/>
  <c r="I8" i="25"/>
  <c r="O28" i="26"/>
  <c r="L28" i="26"/>
  <c r="O16" i="26"/>
  <c r="L16" i="26"/>
  <c r="O13" i="26"/>
  <c r="P13" i="26" s="1"/>
  <c r="L13" i="26"/>
  <c r="M13" i="26" s="1"/>
  <c r="L14" i="26"/>
  <c r="O14" i="26"/>
  <c r="O12" i="26"/>
  <c r="L12" i="26"/>
  <c r="O25" i="26"/>
  <c r="L25" i="26"/>
  <c r="O24" i="26"/>
  <c r="P24" i="26" s="1"/>
  <c r="L24" i="26"/>
  <c r="M24" i="26" s="1"/>
  <c r="O23" i="25"/>
  <c r="O18" i="26"/>
  <c r="P18" i="26" s="1"/>
  <c r="L18" i="26"/>
  <c r="M18" i="26" s="1"/>
  <c r="T14" i="1"/>
  <c r="O25" i="25"/>
  <c r="O17" i="26"/>
  <c r="L17" i="26"/>
  <c r="O22" i="25"/>
  <c r="J13" i="25" l="1"/>
  <c r="M28" i="26"/>
  <c r="J15" i="25"/>
  <c r="J12" i="25"/>
  <c r="J20" i="25"/>
  <c r="J17" i="25"/>
  <c r="J14" i="25"/>
  <c r="M20" i="26"/>
  <c r="J28" i="25"/>
  <c r="P26" i="26"/>
  <c r="M15" i="26"/>
  <c r="M25" i="26"/>
  <c r="M14" i="26"/>
  <c r="J27" i="25"/>
  <c r="P14" i="26"/>
  <c r="P16" i="26"/>
  <c r="M16" i="26"/>
  <c r="M22" i="26"/>
  <c r="P28" i="26"/>
  <c r="P20" i="26"/>
  <c r="J19" i="25"/>
  <c r="P25" i="26"/>
  <c r="M23" i="26"/>
  <c r="M12" i="26"/>
  <c r="P12" i="26"/>
  <c r="J18" i="25"/>
  <c r="J26" i="25"/>
  <c r="M26" i="26"/>
  <c r="M17" i="26"/>
  <c r="P23" i="26"/>
  <c r="P22" i="26"/>
  <c r="P17" i="26"/>
  <c r="Y22" i="32"/>
  <c r="Y22" i="2"/>
  <c r="L27" i="25"/>
  <c r="E27" i="26"/>
  <c r="K19" i="28"/>
  <c r="K18" i="28"/>
  <c r="K13" i="28"/>
  <c r="Y13" i="32"/>
  <c r="Y13" i="2"/>
  <c r="L18" i="25"/>
  <c r="E18" i="26"/>
  <c r="K28" i="28"/>
  <c r="K10" i="28"/>
  <c r="N16" i="25"/>
  <c r="Y10" i="32"/>
  <c r="Y10" i="2"/>
  <c r="E15" i="26"/>
  <c r="L15" i="25"/>
  <c r="Y21" i="32"/>
  <c r="Y21" i="2"/>
  <c r="L26" i="25"/>
  <c r="E26" i="26"/>
  <c r="K27" i="28"/>
  <c r="Y19" i="32"/>
  <c r="Y19" i="2"/>
  <c r="E24" i="26"/>
  <c r="L24" i="25"/>
  <c r="Y14" i="32"/>
  <c r="Y14" i="2"/>
  <c r="E19" i="26"/>
  <c r="L19" i="25"/>
  <c r="K16" i="28"/>
  <c r="Y23" i="32"/>
  <c r="Y23" i="2"/>
  <c r="E28" i="26"/>
  <c r="L28" i="25"/>
  <c r="Y16" i="32"/>
  <c r="Y16" i="2"/>
  <c r="L21" i="25"/>
  <c r="E21" i="26"/>
  <c r="Y15" i="32"/>
  <c r="Y15" i="2"/>
  <c r="E20" i="26"/>
  <c r="L20" i="25"/>
  <c r="Y7" i="32"/>
  <c r="Y7" i="2"/>
  <c r="E12" i="26"/>
  <c r="L12" i="25"/>
  <c r="N12" i="25" s="1"/>
  <c r="K22" i="28"/>
  <c r="K17" i="28"/>
  <c r="Y12" i="32"/>
  <c r="Y12" i="2"/>
  <c r="L17" i="25"/>
  <c r="E17" i="26"/>
  <c r="K24" i="28"/>
  <c r="Z17" i="32"/>
  <c r="Z17" i="2"/>
  <c r="F22" i="26"/>
  <c r="M22" i="25"/>
  <c r="N22" i="25" s="1"/>
  <c r="F21" i="26"/>
  <c r="M21" i="25"/>
  <c r="Z16" i="32"/>
  <c r="Z16" i="2"/>
  <c r="M19" i="25"/>
  <c r="F19" i="26"/>
  <c r="Z14" i="32"/>
  <c r="Z14" i="2"/>
  <c r="W13" i="1"/>
  <c r="W16" i="1"/>
  <c r="T11" i="1"/>
  <c r="I11" i="25"/>
  <c r="Z20" i="32"/>
  <c r="Z20" i="2"/>
  <c r="M25" i="25"/>
  <c r="N25" i="25" s="1"/>
  <c r="F25" i="26"/>
  <c r="Z21" i="2"/>
  <c r="Z21" i="32"/>
  <c r="M26" i="25"/>
  <c r="F26" i="26"/>
  <c r="G16" i="26"/>
  <c r="T9" i="1"/>
  <c r="I9" i="25"/>
  <c r="W14" i="1"/>
  <c r="M17" i="25"/>
  <c r="F17" i="26"/>
  <c r="Z12" i="32"/>
  <c r="Z12" i="2"/>
  <c r="W15" i="1"/>
  <c r="M15" i="25"/>
  <c r="Z10" i="2"/>
  <c r="F15" i="26"/>
  <c r="Z10" i="32"/>
  <c r="F20" i="26"/>
  <c r="Z15" i="2"/>
  <c r="Z15" i="32"/>
  <c r="M20" i="25"/>
  <c r="Z18" i="32"/>
  <c r="Z18" i="2"/>
  <c r="F23" i="26"/>
  <c r="M23" i="25"/>
  <c r="N23" i="25" s="1"/>
  <c r="Z13" i="2"/>
  <c r="F18" i="26"/>
  <c r="M18" i="25"/>
  <c r="Z13" i="32"/>
  <c r="T10" i="1"/>
  <c r="I10" i="25"/>
  <c r="M24" i="25"/>
  <c r="Z19" i="32"/>
  <c r="Z19" i="2"/>
  <c r="F24" i="26"/>
  <c r="F28" i="26"/>
  <c r="Z23" i="2"/>
  <c r="M28" i="25"/>
  <c r="Z23" i="32"/>
  <c r="M27" i="25"/>
  <c r="Z22" i="2"/>
  <c r="F27" i="26"/>
  <c r="Z22" i="32"/>
  <c r="K16" i="25"/>
  <c r="S8" i="25"/>
  <c r="H8" i="25"/>
  <c r="J8" i="25" s="1"/>
  <c r="K22" i="25"/>
  <c r="U16" i="25"/>
  <c r="V16" i="25" s="1"/>
  <c r="U13" i="25"/>
  <c r="V13" i="25" s="1"/>
  <c r="U22" i="25"/>
  <c r="V22" i="25" s="1"/>
  <c r="W14" i="25"/>
  <c r="E15" i="25"/>
  <c r="E23" i="25"/>
  <c r="E17" i="25"/>
  <c r="E19" i="25"/>
  <c r="E22" i="25"/>
  <c r="U25" i="25"/>
  <c r="V25" i="25" s="1"/>
  <c r="W28" i="25"/>
  <c r="H24" i="26"/>
  <c r="Q24" i="26" s="1"/>
  <c r="O15" i="25"/>
  <c r="O27" i="25"/>
  <c r="H23" i="28"/>
  <c r="E18" i="25"/>
  <c r="O20" i="25"/>
  <c r="O24" i="25"/>
  <c r="H10" i="28"/>
  <c r="H19" i="26"/>
  <c r="Q19" i="26" s="1"/>
  <c r="K25" i="25"/>
  <c r="O26" i="25"/>
  <c r="H18" i="26"/>
  <c r="Q18" i="26" s="1"/>
  <c r="O12" i="25"/>
  <c r="W21" i="25"/>
  <c r="W27" i="25"/>
  <c r="W12" i="25"/>
  <c r="U17" i="25"/>
  <c r="V17" i="25" s="1"/>
  <c r="W25" i="25"/>
  <c r="H11" i="28"/>
  <c r="O21" i="25"/>
  <c r="H12" i="28"/>
  <c r="W20" i="25"/>
  <c r="H13" i="26"/>
  <c r="Q13" i="26" s="1"/>
  <c r="H25" i="28"/>
  <c r="O18" i="25"/>
  <c r="O28" i="25"/>
  <c r="O19" i="25"/>
  <c r="K23" i="25"/>
  <c r="W18" i="25"/>
  <c r="H21" i="26"/>
  <c r="Q21" i="26" s="1"/>
  <c r="W23" i="25"/>
  <c r="H27" i="26"/>
  <c r="Q27" i="26" s="1"/>
  <c r="O13" i="25"/>
  <c r="H9" i="28"/>
  <c r="O11" i="26"/>
  <c r="P11" i="26" s="1"/>
  <c r="W22" i="25"/>
  <c r="W17" i="25"/>
  <c r="U14" i="25"/>
  <c r="V14" i="25" s="1"/>
  <c r="L11" i="26"/>
  <c r="M11" i="26" s="1"/>
  <c r="H16" i="28"/>
  <c r="H17" i="28"/>
  <c r="S10" i="25"/>
  <c r="S14" i="1"/>
  <c r="U14" i="1" s="1"/>
  <c r="S9" i="25"/>
  <c r="H22" i="28"/>
  <c r="O14" i="25"/>
  <c r="H20" i="28"/>
  <c r="H26" i="28"/>
  <c r="H28" i="28"/>
  <c r="W13" i="25"/>
  <c r="W26" i="25"/>
  <c r="W19" i="25"/>
  <c r="H8" i="28"/>
  <c r="S11" i="25"/>
  <c r="S15" i="1"/>
  <c r="U15" i="1" s="1"/>
  <c r="S13" i="1"/>
  <c r="U13" i="1" s="1"/>
  <c r="O17" i="25"/>
  <c r="H14" i="28"/>
  <c r="H15" i="28"/>
  <c r="U24" i="25"/>
  <c r="V24" i="25" s="1"/>
  <c r="W24" i="25"/>
  <c r="U15" i="25"/>
  <c r="V15" i="25" s="1"/>
  <c r="U27" i="25"/>
  <c r="V27" i="25" s="1"/>
  <c r="W16" i="25"/>
  <c r="U21" i="25"/>
  <c r="V21" i="25" s="1"/>
  <c r="U28" i="25"/>
  <c r="V28" i="25" s="1"/>
  <c r="U19" i="25"/>
  <c r="V19" i="25" s="1"/>
  <c r="U8" i="25"/>
  <c r="V8" i="25" s="1"/>
  <c r="O10" i="26"/>
  <c r="P10" i="26" s="1"/>
  <c r="L10" i="26"/>
  <c r="M10" i="26" s="1"/>
  <c r="O9" i="26"/>
  <c r="P9" i="26" s="1"/>
  <c r="L9" i="26"/>
  <c r="M9" i="26" s="1"/>
  <c r="O8" i="26"/>
  <c r="P8" i="26" s="1"/>
  <c r="L8" i="26"/>
  <c r="M8" i="26" s="1"/>
  <c r="N24" i="25" l="1"/>
  <c r="N27" i="25"/>
  <c r="N19" i="25"/>
  <c r="K20" i="28"/>
  <c r="K23" i="28"/>
  <c r="N18" i="25"/>
  <c r="N17" i="25"/>
  <c r="T18" i="26"/>
  <c r="N20" i="25"/>
  <c r="K8" i="28"/>
  <c r="K26" i="28"/>
  <c r="K15" i="28"/>
  <c r="N26" i="25"/>
  <c r="S9" i="1"/>
  <c r="U9" i="1" s="1"/>
  <c r="H9" i="25"/>
  <c r="J9" i="25" s="1"/>
  <c r="S10" i="1"/>
  <c r="U10" i="1" s="1"/>
  <c r="H10" i="25"/>
  <c r="J10" i="25" s="1"/>
  <c r="T27" i="26"/>
  <c r="K14" i="28"/>
  <c r="Y8" i="32"/>
  <c r="Y8" i="2"/>
  <c r="E13" i="26"/>
  <c r="L13" i="25"/>
  <c r="N13" i="25" s="1"/>
  <c r="Y9" i="32"/>
  <c r="Y9" i="2"/>
  <c r="L14" i="25"/>
  <c r="N14" i="25" s="1"/>
  <c r="E14" i="26"/>
  <c r="S11" i="1"/>
  <c r="U11" i="1" s="1"/>
  <c r="H11" i="25"/>
  <c r="T19" i="26"/>
  <c r="K11" i="28"/>
  <c r="S16" i="1"/>
  <c r="U16" i="1" s="1"/>
  <c r="N28" i="25"/>
  <c r="K9" i="28"/>
  <c r="N21" i="25"/>
  <c r="K25" i="28"/>
  <c r="N15" i="25"/>
  <c r="T12" i="26"/>
  <c r="G12" i="26"/>
  <c r="J11" i="25"/>
  <c r="T21" i="26"/>
  <c r="T24" i="26"/>
  <c r="K12" i="28"/>
  <c r="Z25" i="2"/>
  <c r="Z25" i="32"/>
  <c r="F10" i="26"/>
  <c r="M10" i="25"/>
  <c r="G15" i="26"/>
  <c r="G20" i="26"/>
  <c r="G28" i="26"/>
  <c r="G19" i="26"/>
  <c r="G26" i="26"/>
  <c r="G21" i="26"/>
  <c r="M9" i="25"/>
  <c r="Z24" i="32"/>
  <c r="F9" i="26"/>
  <c r="Z24" i="2"/>
  <c r="G18" i="26"/>
  <c r="G25" i="26"/>
  <c r="G22" i="26"/>
  <c r="Z26" i="2"/>
  <c r="F11" i="26"/>
  <c r="Z26" i="32"/>
  <c r="M11" i="25"/>
  <c r="G23" i="26"/>
  <c r="W11" i="1"/>
  <c r="G17" i="26"/>
  <c r="W9" i="1"/>
  <c r="T12" i="1"/>
  <c r="G24" i="26"/>
  <c r="W10" i="1"/>
  <c r="G27" i="26"/>
  <c r="Z27" i="32"/>
  <c r="M8" i="25"/>
  <c r="F8" i="26"/>
  <c r="Z27" i="2"/>
  <c r="P24" i="25"/>
  <c r="P27" i="25"/>
  <c r="U10" i="25"/>
  <c r="V10" i="25" s="1"/>
  <c r="E16" i="25"/>
  <c r="E13" i="25"/>
  <c r="E25" i="25"/>
  <c r="E21" i="25"/>
  <c r="E14" i="25"/>
  <c r="E28" i="25"/>
  <c r="E12" i="25"/>
  <c r="E24" i="25"/>
  <c r="E27" i="25"/>
  <c r="U9" i="25"/>
  <c r="V9" i="25" s="1"/>
  <c r="H23" i="26"/>
  <c r="Q23" i="26" s="1"/>
  <c r="T23" i="26" s="1"/>
  <c r="H11" i="26"/>
  <c r="Q11" i="26" s="1"/>
  <c r="P21" i="25"/>
  <c r="H10" i="26"/>
  <c r="Q10" i="26" s="1"/>
  <c r="H8" i="26"/>
  <c r="Q8" i="26" s="1"/>
  <c r="K14" i="25"/>
  <c r="K27" i="25"/>
  <c r="K18" i="25"/>
  <c r="P13" i="25"/>
  <c r="H20" i="26"/>
  <c r="Q20" i="26" s="1"/>
  <c r="T20" i="26" s="1"/>
  <c r="P18" i="25"/>
  <c r="K19" i="25"/>
  <c r="H15" i="26"/>
  <c r="Q15" i="26" s="1"/>
  <c r="T15" i="26" s="1"/>
  <c r="E26" i="25"/>
  <c r="H25" i="26"/>
  <c r="Q25" i="26" s="1"/>
  <c r="T25" i="26" s="1"/>
  <c r="K15" i="25"/>
  <c r="W10" i="25"/>
  <c r="K13" i="25"/>
  <c r="H26" i="26"/>
  <c r="Q26" i="26" s="1"/>
  <c r="T26" i="26" s="1"/>
  <c r="K21" i="25"/>
  <c r="F16" i="25"/>
  <c r="U11" i="25"/>
  <c r="V11" i="25" s="1"/>
  <c r="K12" i="25"/>
  <c r="K17" i="25"/>
  <c r="H22" i="26"/>
  <c r="Q22" i="26" s="1"/>
  <c r="T22" i="26" s="1"/>
  <c r="H14" i="26"/>
  <c r="Q14" i="26" s="1"/>
  <c r="W8" i="25"/>
  <c r="K28" i="25"/>
  <c r="K20" i="25"/>
  <c r="H17" i="26"/>
  <c r="Q17" i="26" s="1"/>
  <c r="T17" i="26" s="1"/>
  <c r="W9" i="25"/>
  <c r="H16" i="26"/>
  <c r="Q16" i="26" s="1"/>
  <c r="T16" i="26" s="1"/>
  <c r="O9" i="25"/>
  <c r="H12" i="26"/>
  <c r="Q12" i="26" s="1"/>
  <c r="K24" i="25"/>
  <c r="H9" i="26"/>
  <c r="Q9" i="26" s="1"/>
  <c r="O11" i="25"/>
  <c r="K26" i="25"/>
  <c r="O10" i="25"/>
  <c r="H28" i="26"/>
  <c r="Q28" i="26" s="1"/>
  <c r="T28" i="26" s="1"/>
  <c r="W11" i="25"/>
  <c r="G16" i="25" l="1"/>
  <c r="Y16" i="25" s="1"/>
  <c r="Z16" i="25" s="1"/>
  <c r="T14" i="26"/>
  <c r="G14" i="26"/>
  <c r="Y25" i="32"/>
  <c r="Y25" i="2"/>
  <c r="L10" i="25"/>
  <c r="N10" i="25" s="1"/>
  <c r="E10" i="26"/>
  <c r="T10" i="26" s="1"/>
  <c r="T13" i="26"/>
  <c r="G13" i="26"/>
  <c r="N9" i="25"/>
  <c r="Y26" i="32"/>
  <c r="Y26" i="2"/>
  <c r="L11" i="25"/>
  <c r="N11" i="25" s="1"/>
  <c r="E11" i="26"/>
  <c r="T11" i="26" s="1"/>
  <c r="AE8" i="2"/>
  <c r="AB13" i="32"/>
  <c r="AE13" i="32" s="1"/>
  <c r="AB13" i="2"/>
  <c r="AE13" i="2" s="1"/>
  <c r="S12" i="1"/>
  <c r="U12" i="1" s="1"/>
  <c r="Y24" i="32"/>
  <c r="Y24" i="2"/>
  <c r="L9" i="25"/>
  <c r="E9" i="26"/>
  <c r="T9" i="26" s="1"/>
  <c r="AB14" i="32"/>
  <c r="AE14" i="32" s="1"/>
  <c r="AB14" i="2"/>
  <c r="AE14" i="2" s="1"/>
  <c r="AB19" i="32"/>
  <c r="AE19" i="32" s="1"/>
  <c r="AB19" i="2"/>
  <c r="AE19" i="2" s="1"/>
  <c r="Y27" i="32"/>
  <c r="Y27" i="2"/>
  <c r="E8" i="26"/>
  <c r="T8" i="26" s="1"/>
  <c r="L8" i="25"/>
  <c r="N8" i="25" s="1"/>
  <c r="AB8" i="32"/>
  <c r="AE8" i="32" s="1"/>
  <c r="AB8" i="2"/>
  <c r="AB22" i="32"/>
  <c r="AE22" i="32" s="1"/>
  <c r="AB22" i="2"/>
  <c r="AE22" i="2" s="1"/>
  <c r="AB16" i="32"/>
  <c r="AE16" i="32" s="1"/>
  <c r="AB16" i="2"/>
  <c r="AE16" i="2" s="1"/>
  <c r="W12" i="1"/>
  <c r="O8" i="25"/>
  <c r="P14" i="25"/>
  <c r="P25" i="25"/>
  <c r="F25" i="25"/>
  <c r="G25" i="25" s="1"/>
  <c r="Y25" i="25" s="1"/>
  <c r="Z25" i="25" s="1"/>
  <c r="E20" i="25"/>
  <c r="P11" i="25"/>
  <c r="E8" i="25"/>
  <c r="P23" i="25"/>
  <c r="P10" i="25"/>
  <c r="P20" i="25"/>
  <c r="P19" i="25"/>
  <c r="K8" i="25"/>
  <c r="P15" i="25"/>
  <c r="E9" i="25"/>
  <c r="K11" i="25"/>
  <c r="K10" i="25"/>
  <c r="E11" i="25"/>
  <c r="E10" i="25"/>
  <c r="P28" i="25"/>
  <c r="P12" i="25"/>
  <c r="P16" i="25"/>
  <c r="P17" i="25"/>
  <c r="K9" i="25"/>
  <c r="P9" i="25"/>
  <c r="F20" i="25"/>
  <c r="F12" i="25"/>
  <c r="G12" i="25" s="1"/>
  <c r="Y12" i="25" s="1"/>
  <c r="Z12" i="25" s="1"/>
  <c r="F22" i="25"/>
  <c r="G22" i="25" s="1"/>
  <c r="Y22" i="25" s="1"/>
  <c r="Z22" i="25" s="1"/>
  <c r="F24" i="25"/>
  <c r="G24" i="25" s="1"/>
  <c r="Y24" i="25" s="1"/>
  <c r="Z24" i="25" s="1"/>
  <c r="F13" i="25"/>
  <c r="G13" i="25" s="1"/>
  <c r="Y13" i="25" s="1"/>
  <c r="Z13" i="25" s="1"/>
  <c r="F28" i="25"/>
  <c r="G28" i="25" s="1"/>
  <c r="Y28" i="25" s="1"/>
  <c r="Z28" i="25" s="1"/>
  <c r="F23" i="25"/>
  <c r="G23" i="25" s="1"/>
  <c r="Y23" i="25" s="1"/>
  <c r="Z23" i="25" s="1"/>
  <c r="F14" i="25"/>
  <c r="G14" i="25" s="1"/>
  <c r="Y14" i="25" s="1"/>
  <c r="Z14" i="25" s="1"/>
  <c r="F26" i="25"/>
  <c r="G26" i="25" s="1"/>
  <c r="Y26" i="25" s="1"/>
  <c r="Z26" i="25" s="1"/>
  <c r="F21" i="25"/>
  <c r="G21" i="25" s="1"/>
  <c r="Y21" i="25" s="1"/>
  <c r="Z21" i="25" s="1"/>
  <c r="F18" i="25"/>
  <c r="G18" i="25" s="1"/>
  <c r="Y18" i="25" s="1"/>
  <c r="Z18" i="25" s="1"/>
  <c r="F27" i="25"/>
  <c r="G27" i="25" s="1"/>
  <c r="Y27" i="25" s="1"/>
  <c r="Z27" i="25" s="1"/>
  <c r="F17" i="25"/>
  <c r="G17" i="25" s="1"/>
  <c r="Y17" i="25" s="1"/>
  <c r="Z17" i="25" s="1"/>
  <c r="F15" i="25"/>
  <c r="G15" i="25" s="1"/>
  <c r="Y15" i="25" s="1"/>
  <c r="Z15" i="25" s="1"/>
  <c r="F19" i="25"/>
  <c r="G19" i="25" s="1"/>
  <c r="Y19" i="25" s="1"/>
  <c r="Z19" i="25" s="1"/>
  <c r="G9" i="26" l="1"/>
  <c r="AB11" i="32"/>
  <c r="AE11" i="32" s="1"/>
  <c r="AB11" i="2"/>
  <c r="AE11" i="2" s="1"/>
  <c r="G8" i="26"/>
  <c r="AB23" i="32"/>
  <c r="AE23" i="32" s="1"/>
  <c r="AB23" i="2"/>
  <c r="AE23" i="2" s="1"/>
  <c r="AB24" i="32"/>
  <c r="AE24" i="32" s="1"/>
  <c r="AB24" i="2"/>
  <c r="AB7" i="32"/>
  <c r="AE7" i="32" s="1"/>
  <c r="AB7" i="2"/>
  <c r="AE7" i="2" s="1"/>
  <c r="AB15" i="32"/>
  <c r="AE15" i="32" s="1"/>
  <c r="AB15" i="2"/>
  <c r="AE15" i="2" s="1"/>
  <c r="AB18" i="32"/>
  <c r="AE18" i="32" s="1"/>
  <c r="AB18" i="2"/>
  <c r="AE18" i="2" s="1"/>
  <c r="AE25" i="32"/>
  <c r="AE24" i="2"/>
  <c r="AB27" i="32"/>
  <c r="AE27" i="32" s="1"/>
  <c r="AB27" i="2"/>
  <c r="AE27" i="2" s="1"/>
  <c r="G11" i="26"/>
  <c r="AB20" i="32"/>
  <c r="AE20" i="32" s="1"/>
  <c r="AB20" i="2"/>
  <c r="AE20" i="2" s="1"/>
  <c r="G20" i="25"/>
  <c r="Y20" i="25" s="1"/>
  <c r="Z20" i="25" s="1"/>
  <c r="AB17" i="32"/>
  <c r="AE17" i="32" s="1"/>
  <c r="AB17" i="2"/>
  <c r="AE17" i="2" s="1"/>
  <c r="AB25" i="32"/>
  <c r="AB25" i="2"/>
  <c r="AB10" i="32"/>
  <c r="AE10" i="32" s="1"/>
  <c r="AB10" i="2"/>
  <c r="AE10" i="2" s="1"/>
  <c r="AB21" i="32"/>
  <c r="AE21" i="32" s="1"/>
  <c r="AB21" i="2"/>
  <c r="AE21" i="2" s="1"/>
  <c r="G10" i="26"/>
  <c r="AE25" i="2"/>
  <c r="AB26" i="32"/>
  <c r="AE26" i="32" s="1"/>
  <c r="AB26" i="2"/>
  <c r="AE26" i="2" s="1"/>
  <c r="AB12" i="32"/>
  <c r="AE12" i="32" s="1"/>
  <c r="AB12" i="2"/>
  <c r="AE12" i="2" s="1"/>
  <c r="AB9" i="32"/>
  <c r="AE9" i="32" s="1"/>
  <c r="AB9" i="2"/>
  <c r="AE9" i="2" s="1"/>
  <c r="S19" i="1"/>
  <c r="S18" i="1"/>
  <c r="P8" i="25"/>
  <c r="P22" i="25"/>
  <c r="S17" i="1"/>
  <c r="P26" i="25"/>
  <c r="F11" i="25"/>
  <c r="G11" i="25" s="1"/>
  <c r="Y11" i="25" s="1"/>
  <c r="Z11" i="25" s="1"/>
  <c r="F9" i="25"/>
  <c r="G9" i="25" s="1"/>
  <c r="Y9" i="25" s="1"/>
  <c r="Z9" i="25" s="1"/>
  <c r="F8" i="25"/>
  <c r="G8" i="25" s="1"/>
  <c r="Y8" i="25" s="1"/>
  <c r="Z8" i="25" s="1"/>
  <c r="F10" i="25"/>
  <c r="G10" i="25" s="1"/>
  <c r="Y10" i="25" s="1"/>
  <c r="Z10" i="25" s="1"/>
  <c r="S20" i="1" l="1"/>
  <c r="U14" i="28" l="1"/>
  <c r="V14" i="28" s="1"/>
  <c r="I14" i="27"/>
  <c r="J14" i="27" s="1"/>
  <c r="L17" i="27"/>
  <c r="M17" i="27" s="1"/>
  <c r="O20" i="27"/>
  <c r="P20" i="27" s="1"/>
  <c r="U12" i="27"/>
  <c r="V12" i="27" s="1"/>
  <c r="R8" i="28"/>
  <c r="S8" i="28" s="1"/>
  <c r="R12" i="28"/>
  <c r="S12" i="28" s="1"/>
  <c r="U15" i="28"/>
  <c r="V15" i="28" s="1"/>
  <c r="O26" i="27"/>
  <c r="P26" i="27" s="1"/>
  <c r="U13" i="27"/>
  <c r="V13" i="27" s="1"/>
  <c r="R13" i="28"/>
  <c r="S13" i="28" s="1"/>
  <c r="U24" i="28"/>
  <c r="V24" i="28" s="1"/>
  <c r="L19" i="27"/>
  <c r="M19" i="27" s="1"/>
  <c r="O25" i="27"/>
  <c r="P25" i="27" s="1"/>
  <c r="U14" i="27"/>
  <c r="V14" i="27" s="1"/>
  <c r="R14" i="28"/>
  <c r="S14" i="28" s="1"/>
  <c r="U22" i="28"/>
  <c r="V22" i="28" s="1"/>
  <c r="L20" i="27"/>
  <c r="M20" i="27" s="1"/>
  <c r="O27" i="27"/>
  <c r="P27" i="27" s="1"/>
  <c r="O12" i="28"/>
  <c r="P12" i="28" s="1"/>
  <c r="R12" i="27"/>
  <c r="S12" i="27" s="1"/>
  <c r="U15" i="27"/>
  <c r="V15" i="27" s="1"/>
  <c r="R15" i="28"/>
  <c r="S15" i="28" s="1"/>
  <c r="U21" i="28"/>
  <c r="V21" i="28" s="1"/>
  <c r="O23" i="27"/>
  <c r="P23" i="27" s="1"/>
  <c r="R13" i="27"/>
  <c r="S13" i="27" s="1"/>
  <c r="O13" i="28"/>
  <c r="P13" i="28" s="1"/>
  <c r="U24" i="27"/>
  <c r="V24" i="27" s="1"/>
  <c r="R24" i="28"/>
  <c r="S24" i="28" s="1"/>
  <c r="U16" i="28"/>
  <c r="V16" i="28" s="1"/>
  <c r="R28" i="27"/>
  <c r="S28" i="27" s="1"/>
  <c r="O28" i="28"/>
  <c r="P28" i="28" s="1"/>
  <c r="I15" i="27"/>
  <c r="J15" i="27" s="1"/>
  <c r="L25" i="27"/>
  <c r="M25" i="27" s="1"/>
  <c r="O28" i="27"/>
  <c r="P28" i="27" s="1"/>
  <c r="R14" i="27"/>
  <c r="S14" i="27" s="1"/>
  <c r="O14" i="28"/>
  <c r="P14" i="28" s="1"/>
  <c r="U22" i="27"/>
  <c r="V22" i="27" s="1"/>
  <c r="R22" i="28"/>
  <c r="S22" i="28" s="1"/>
  <c r="U17" i="28"/>
  <c r="V17" i="28" s="1"/>
  <c r="I22" i="27"/>
  <c r="J22" i="27" s="1"/>
  <c r="L27" i="27"/>
  <c r="M27" i="27" s="1"/>
  <c r="R15" i="27"/>
  <c r="S15" i="27" s="1"/>
  <c r="O15" i="28"/>
  <c r="P15" i="28" s="1"/>
  <c r="R21" i="28"/>
  <c r="S21" i="28" s="1"/>
  <c r="U18" i="28"/>
  <c r="V18" i="28" s="1"/>
  <c r="I16" i="27"/>
  <c r="J16" i="27" s="1"/>
  <c r="I18" i="27"/>
  <c r="J18" i="27" s="1"/>
  <c r="L23" i="27"/>
  <c r="M23" i="27" s="1"/>
  <c r="R24" i="27"/>
  <c r="S24" i="27" s="1"/>
  <c r="O24" i="28"/>
  <c r="P24" i="28" s="1"/>
  <c r="R16" i="28"/>
  <c r="S16" i="28" s="1"/>
  <c r="U19" i="28"/>
  <c r="V19" i="28" s="1"/>
  <c r="I24" i="27"/>
  <c r="J24" i="27" s="1"/>
  <c r="F21" i="27"/>
  <c r="G21" i="27" s="1"/>
  <c r="F21" i="28"/>
  <c r="G21" i="28" s="1"/>
  <c r="L28" i="27"/>
  <c r="M28" i="27" s="1"/>
  <c r="R22" i="27"/>
  <c r="S22" i="27" s="1"/>
  <c r="O22" i="28"/>
  <c r="P22" i="28" s="1"/>
  <c r="R17" i="28"/>
  <c r="S17" i="28" s="1"/>
  <c r="U20" i="28"/>
  <c r="V20" i="28" s="1"/>
  <c r="I13" i="27"/>
  <c r="J13" i="27" s="1"/>
  <c r="F14" i="27"/>
  <c r="G14" i="27" s="1"/>
  <c r="F14" i="28"/>
  <c r="G14" i="28" s="1"/>
  <c r="F16" i="27"/>
  <c r="G16" i="27" s="1"/>
  <c r="I20" i="27"/>
  <c r="J20" i="27" s="1"/>
  <c r="O12" i="27"/>
  <c r="P12" i="27" s="1"/>
  <c r="O21" i="28"/>
  <c r="P21" i="28" s="1"/>
  <c r="R18" i="28"/>
  <c r="S18" i="28" s="1"/>
  <c r="U26" i="28"/>
  <c r="V26" i="28" s="1"/>
  <c r="I26" i="27"/>
  <c r="J26" i="27" s="1"/>
  <c r="O13" i="27"/>
  <c r="P13" i="27" s="1"/>
  <c r="O16" i="28"/>
  <c r="P16" i="28" s="1"/>
  <c r="R19" i="28"/>
  <c r="S19" i="28" s="1"/>
  <c r="U25" i="28"/>
  <c r="V25" i="28" s="1"/>
  <c r="I21" i="27"/>
  <c r="J21" i="27" s="1"/>
  <c r="F18" i="27"/>
  <c r="G18" i="27" s="1"/>
  <c r="F18" i="28"/>
  <c r="G18" i="28" s="1"/>
  <c r="I25" i="27"/>
  <c r="J25" i="27" s="1"/>
  <c r="O14" i="27"/>
  <c r="P14" i="27" s="1"/>
  <c r="O17" i="28"/>
  <c r="P17" i="28" s="1"/>
  <c r="R20" i="28"/>
  <c r="S20" i="28" s="1"/>
  <c r="U27" i="28"/>
  <c r="V27" i="28" s="1"/>
  <c r="O19" i="27"/>
  <c r="P19" i="27" s="1"/>
  <c r="F15" i="27"/>
  <c r="G15" i="27" s="1"/>
  <c r="F15" i="28"/>
  <c r="G15" i="28" s="1"/>
  <c r="F17" i="27"/>
  <c r="G17" i="27" s="1"/>
  <c r="F17" i="28"/>
  <c r="G17" i="28" s="1"/>
  <c r="I27" i="27"/>
  <c r="J27" i="27" s="1"/>
  <c r="L12" i="27"/>
  <c r="M12" i="27" s="1"/>
  <c r="O15" i="27"/>
  <c r="P15" i="27" s="1"/>
  <c r="O18" i="28"/>
  <c r="P18" i="28" s="1"/>
  <c r="U26" i="27"/>
  <c r="V26" i="27" s="1"/>
  <c r="R26" i="28"/>
  <c r="S26" i="28" s="1"/>
  <c r="U23" i="28"/>
  <c r="V23" i="28" s="1"/>
  <c r="L18" i="27"/>
  <c r="M18" i="27" s="1"/>
  <c r="I17" i="27"/>
  <c r="J17" i="27" s="1"/>
  <c r="F26" i="27"/>
  <c r="G26" i="27" s="1"/>
  <c r="F26" i="28"/>
  <c r="G26" i="28" s="1"/>
  <c r="I23" i="27"/>
  <c r="J23" i="27" s="1"/>
  <c r="L13" i="27"/>
  <c r="M13" i="27" s="1"/>
  <c r="O24" i="27"/>
  <c r="P24" i="27" s="1"/>
  <c r="O19" i="28"/>
  <c r="P19" i="28" s="1"/>
  <c r="U25" i="27"/>
  <c r="V25" i="27" s="1"/>
  <c r="R25" i="28"/>
  <c r="S25" i="28" s="1"/>
  <c r="U28" i="28"/>
  <c r="V28" i="28" s="1"/>
  <c r="L26" i="27"/>
  <c r="M26" i="27" s="1"/>
  <c r="I28" i="27"/>
  <c r="J28" i="27" s="1"/>
  <c r="L14" i="27"/>
  <c r="M14" i="27" s="1"/>
  <c r="O22" i="27"/>
  <c r="P22" i="27" s="1"/>
  <c r="O20" i="28"/>
  <c r="P20" i="28" s="1"/>
  <c r="U27" i="27"/>
  <c r="V27" i="27" s="1"/>
  <c r="R27" i="28"/>
  <c r="S27" i="28" s="1"/>
  <c r="L16" i="27"/>
  <c r="M16" i="27" s="1"/>
  <c r="F24" i="27"/>
  <c r="G24" i="27" s="1"/>
  <c r="F24" i="28"/>
  <c r="G24" i="28" s="1"/>
  <c r="F25" i="27"/>
  <c r="G25" i="27" s="1"/>
  <c r="F25" i="28"/>
  <c r="G25" i="28" s="1"/>
  <c r="O21" i="27"/>
  <c r="P21" i="27" s="1"/>
  <c r="O26" i="28"/>
  <c r="P26" i="28" s="1"/>
  <c r="R26" i="27"/>
  <c r="S26" i="27" s="1"/>
  <c r="U23" i="27"/>
  <c r="V23" i="27" s="1"/>
  <c r="R23" i="28"/>
  <c r="S23" i="28" s="1"/>
  <c r="F13" i="27"/>
  <c r="G13" i="27" s="1"/>
  <c r="F13" i="28"/>
  <c r="G13" i="28" s="1"/>
  <c r="F22" i="27"/>
  <c r="G22" i="27" s="1"/>
  <c r="F22" i="28"/>
  <c r="G22" i="28" s="1"/>
  <c r="F20" i="27"/>
  <c r="G20" i="27" s="1"/>
  <c r="F20" i="28"/>
  <c r="G20" i="28" s="1"/>
  <c r="F23" i="27"/>
  <c r="G23" i="27" s="1"/>
  <c r="F23" i="28"/>
  <c r="G23" i="28" s="1"/>
  <c r="O16" i="27"/>
  <c r="P16" i="27" s="1"/>
  <c r="U28" i="27"/>
  <c r="V28" i="27" s="1"/>
  <c r="R28" i="28"/>
  <c r="S28" i="28" s="1"/>
  <c r="F12" i="27"/>
  <c r="G12" i="27" s="1"/>
  <c r="F12" i="28"/>
  <c r="G12" i="28" s="1"/>
  <c r="I19" i="27"/>
  <c r="J19" i="27" s="1"/>
  <c r="F19" i="27"/>
  <c r="G19" i="27" s="1"/>
  <c r="F19" i="28"/>
  <c r="G19" i="28" s="1"/>
  <c r="F27" i="27"/>
  <c r="G27" i="27" s="1"/>
  <c r="F27" i="28"/>
  <c r="G27" i="28" s="1"/>
  <c r="L15" i="27"/>
  <c r="M15" i="27" s="1"/>
  <c r="L24" i="27"/>
  <c r="M24" i="27" s="1"/>
  <c r="R25" i="27"/>
  <c r="S25" i="27" s="1"/>
  <c r="O25" i="28"/>
  <c r="P25" i="28" s="1"/>
  <c r="F28" i="27"/>
  <c r="G28" i="27" s="1"/>
  <c r="F28" i="28"/>
  <c r="G28" i="28" s="1"/>
  <c r="L22" i="27"/>
  <c r="M22" i="27" s="1"/>
  <c r="O17" i="27"/>
  <c r="P17" i="27" s="1"/>
  <c r="R27" i="27"/>
  <c r="S27" i="27" s="1"/>
  <c r="O27" i="28"/>
  <c r="P27" i="28" s="1"/>
  <c r="U12" i="28"/>
  <c r="V12" i="28" s="1"/>
  <c r="I12" i="27"/>
  <c r="J12" i="27" s="1"/>
  <c r="L21" i="27"/>
  <c r="M21" i="27" s="1"/>
  <c r="O18" i="27"/>
  <c r="P18" i="27" s="1"/>
  <c r="R23" i="27"/>
  <c r="S23" i="27" s="1"/>
  <c r="O23" i="28"/>
  <c r="P23" i="28" s="1"/>
  <c r="U13" i="28"/>
  <c r="V13" i="28" s="1"/>
  <c r="L18" i="28" l="1"/>
  <c r="M18" i="28" s="1"/>
  <c r="L13" i="28"/>
  <c r="M13" i="28" s="1"/>
  <c r="L14" i="28"/>
  <c r="M14" i="28" s="1"/>
  <c r="L20" i="28"/>
  <c r="M20" i="28" s="1"/>
  <c r="F16" i="28"/>
  <c r="G16" i="28" s="1"/>
  <c r="O10" i="27"/>
  <c r="P10" i="27" s="1"/>
  <c r="F11" i="27"/>
  <c r="G11" i="27" s="1"/>
  <c r="F11" i="28"/>
  <c r="G11" i="28" s="1"/>
  <c r="I10" i="27"/>
  <c r="J10" i="27" s="1"/>
  <c r="U9" i="28"/>
  <c r="V9" i="28" s="1"/>
  <c r="I12" i="28"/>
  <c r="J12" i="28" s="1"/>
  <c r="F10" i="27"/>
  <c r="G10" i="27" s="1"/>
  <c r="F10" i="28"/>
  <c r="G10" i="28" s="1"/>
  <c r="U8" i="28"/>
  <c r="V8" i="28" s="1"/>
  <c r="I23" i="28"/>
  <c r="J23" i="28" s="1"/>
  <c r="U10" i="28"/>
  <c r="V10" i="28" s="1"/>
  <c r="L11" i="27"/>
  <c r="M11" i="27" s="1"/>
  <c r="F8" i="27"/>
  <c r="G8" i="27" s="1"/>
  <c r="F8" i="28"/>
  <c r="G8" i="28" s="1"/>
  <c r="L10" i="27"/>
  <c r="M10" i="27" s="1"/>
  <c r="L8" i="27"/>
  <c r="M8" i="27" s="1"/>
  <c r="O8" i="28"/>
  <c r="P8" i="28" s="1"/>
  <c r="F9" i="27"/>
  <c r="G9" i="27" s="1"/>
  <c r="F9" i="28"/>
  <c r="G9" i="28" s="1"/>
  <c r="L9" i="27"/>
  <c r="M9" i="27" s="1"/>
  <c r="I14" i="28"/>
  <c r="J14" i="28" s="1"/>
  <c r="R10" i="28"/>
  <c r="S10" i="28" s="1"/>
  <c r="O9" i="28"/>
  <c r="P9" i="28" s="1"/>
  <c r="R9" i="27"/>
  <c r="S9" i="27" s="1"/>
  <c r="U11" i="27"/>
  <c r="V11" i="27" s="1"/>
  <c r="R11" i="28"/>
  <c r="S11" i="28" s="1"/>
  <c r="U9" i="27"/>
  <c r="V9" i="27" s="1"/>
  <c r="R9" i="28"/>
  <c r="S9" i="28" s="1"/>
  <c r="I9" i="27"/>
  <c r="J9" i="27" s="1"/>
  <c r="I20" i="28"/>
  <c r="J20" i="28" s="1"/>
  <c r="O11" i="27"/>
  <c r="P11" i="27" s="1"/>
  <c r="I17" i="28"/>
  <c r="J17" i="28" s="1"/>
  <c r="I21" i="28"/>
  <c r="J21" i="28" s="1"/>
  <c r="O11" i="28"/>
  <c r="P11" i="28" s="1"/>
  <c r="R11" i="27"/>
  <c r="S11" i="27" s="1"/>
  <c r="I27" i="28"/>
  <c r="J27" i="28" s="1"/>
  <c r="U11" i="28"/>
  <c r="V11" i="28" s="1"/>
  <c r="I22" i="28"/>
  <c r="J22" i="28" s="1"/>
  <c r="I15" i="28"/>
  <c r="J15" i="28" s="1"/>
  <c r="O8" i="27"/>
  <c r="P8" i="27" s="1"/>
  <c r="I28" i="28"/>
  <c r="J28" i="28" s="1"/>
  <c r="I19" i="28"/>
  <c r="J19" i="28" s="1"/>
  <c r="I25" i="28"/>
  <c r="J25" i="28" s="1"/>
  <c r="O9" i="27"/>
  <c r="P9" i="27" s="1"/>
  <c r="I11" i="27"/>
  <c r="J11" i="27" s="1"/>
  <c r="I13" i="28"/>
  <c r="J13" i="28" s="1"/>
  <c r="I26" i="28"/>
  <c r="J26" i="28" s="1"/>
  <c r="I8" i="27"/>
  <c r="J8" i="27" s="1"/>
  <c r="I24" i="28"/>
  <c r="J24" i="28" s="1"/>
  <c r="I18" i="28"/>
  <c r="J18" i="28" s="1"/>
  <c r="O10" i="28"/>
  <c r="P10" i="28" s="1"/>
  <c r="L21" i="28" l="1"/>
  <c r="M21" i="28" s="1"/>
  <c r="L17" i="28"/>
  <c r="M17" i="28" s="1"/>
  <c r="I16" i="28"/>
  <c r="J16" i="28" s="1"/>
  <c r="L28" i="28"/>
  <c r="M28" i="28" s="1"/>
  <c r="L15" i="28"/>
  <c r="M15" i="28" s="1"/>
  <c r="L24" i="28"/>
  <c r="M24" i="28" s="1"/>
  <c r="L27" i="28"/>
  <c r="M27" i="28" s="1"/>
  <c r="L23" i="28"/>
  <c r="M23" i="28" s="1"/>
  <c r="L22" i="28"/>
  <c r="M22" i="28" s="1"/>
  <c r="L16" i="28"/>
  <c r="M16" i="28" s="1"/>
  <c r="L19" i="28"/>
  <c r="M19" i="28" s="1"/>
  <c r="L25" i="28"/>
  <c r="M25" i="28" s="1"/>
  <c r="L26" i="28"/>
  <c r="M26" i="28" s="1"/>
  <c r="L10" i="28"/>
  <c r="M10" i="28" s="1"/>
  <c r="L12" i="28"/>
  <c r="M12" i="28" s="1"/>
  <c r="I27" i="26"/>
  <c r="I8" i="28"/>
  <c r="J8" i="28" s="1"/>
  <c r="I10" i="28"/>
  <c r="J10" i="28" s="1"/>
  <c r="I15" i="26"/>
  <c r="I11" i="28"/>
  <c r="J11" i="28" s="1"/>
  <c r="I14" i="26"/>
  <c r="I9" i="28"/>
  <c r="J9" i="28" s="1"/>
  <c r="I13" i="26"/>
  <c r="I23" i="26"/>
  <c r="I24" i="26"/>
  <c r="I22" i="26"/>
  <c r="I25" i="26"/>
  <c r="I26" i="26"/>
  <c r="I12" i="26"/>
  <c r="I28" i="26"/>
  <c r="L9" i="28" l="1"/>
  <c r="M9" i="28" s="1"/>
  <c r="L8" i="28"/>
  <c r="M8" i="28" s="1"/>
  <c r="L11" i="28"/>
  <c r="M11" i="28" s="1"/>
  <c r="R14" i="26"/>
  <c r="J14" i="26"/>
  <c r="R12" i="26"/>
  <c r="J12" i="26"/>
  <c r="R22" i="26"/>
  <c r="J22" i="26"/>
  <c r="R23" i="26"/>
  <c r="J23" i="26"/>
  <c r="R15" i="26"/>
  <c r="J15" i="26"/>
  <c r="R26" i="26"/>
  <c r="J26" i="26"/>
  <c r="R13" i="26"/>
  <c r="J13" i="26"/>
  <c r="R27" i="26"/>
  <c r="J27" i="26"/>
  <c r="R24" i="26"/>
  <c r="J24" i="26"/>
  <c r="R25" i="26"/>
  <c r="J25" i="26"/>
  <c r="R28" i="26"/>
  <c r="J28" i="26"/>
  <c r="I9" i="26"/>
  <c r="I11" i="26"/>
  <c r="S24" i="26" l="1"/>
  <c r="U24" i="26"/>
  <c r="V24" i="26" s="1"/>
  <c r="R9" i="26"/>
  <c r="J9" i="26"/>
  <c r="S27" i="26"/>
  <c r="U27" i="26"/>
  <c r="V27" i="26" s="1"/>
  <c r="S26" i="26"/>
  <c r="U26" i="26"/>
  <c r="V26" i="26" s="1"/>
  <c r="S25" i="26"/>
  <c r="U25" i="26"/>
  <c r="V25" i="26" s="1"/>
  <c r="S13" i="26"/>
  <c r="U13" i="26"/>
  <c r="V13" i="26" s="1"/>
  <c r="S23" i="26"/>
  <c r="U23" i="26"/>
  <c r="V23" i="26" s="1"/>
  <c r="S12" i="26"/>
  <c r="U12" i="26"/>
  <c r="V12" i="26" s="1"/>
  <c r="S15" i="26"/>
  <c r="U15" i="26"/>
  <c r="V15" i="26" s="1"/>
  <c r="S22" i="26"/>
  <c r="U22" i="26"/>
  <c r="V22" i="26" s="1"/>
  <c r="R11" i="26"/>
  <c r="J11" i="26"/>
  <c r="S28" i="26"/>
  <c r="U28" i="26"/>
  <c r="V28" i="26" s="1"/>
  <c r="S14" i="26"/>
  <c r="U14" i="26"/>
  <c r="V14" i="26" s="1"/>
  <c r="AC7" i="32" l="1"/>
  <c r="AF7" i="32" s="1"/>
  <c r="AC7" i="2"/>
  <c r="AF7" i="2" s="1"/>
  <c r="AC23" i="32"/>
  <c r="AF23" i="32" s="1"/>
  <c r="AC23" i="2"/>
  <c r="AF23" i="2" s="1"/>
  <c r="AC8" i="32"/>
  <c r="AF8" i="32" s="1"/>
  <c r="AC8" i="2"/>
  <c r="AF8" i="2" s="1"/>
  <c r="AC17" i="32"/>
  <c r="AF17" i="32" s="1"/>
  <c r="AC17" i="2"/>
  <c r="AF17" i="2" s="1"/>
  <c r="AC9" i="32"/>
  <c r="AF9" i="32" s="1"/>
  <c r="AC9" i="2"/>
  <c r="AF9" i="2" s="1"/>
  <c r="AC19" i="32"/>
  <c r="AF19" i="32" s="1"/>
  <c r="AC19" i="2"/>
  <c r="AF19" i="2" s="1"/>
  <c r="S9" i="26"/>
  <c r="U9" i="26"/>
  <c r="V9" i="26" s="1"/>
  <c r="AC10" i="32"/>
  <c r="AF10" i="32" s="1"/>
  <c r="AC10" i="2"/>
  <c r="AF10" i="2" s="1"/>
  <c r="AC21" i="32"/>
  <c r="AF21" i="32" s="1"/>
  <c r="AC21" i="2"/>
  <c r="AF21" i="2" s="1"/>
  <c r="AC18" i="32"/>
  <c r="AF18" i="32" s="1"/>
  <c r="AC18" i="2"/>
  <c r="AF18" i="2" s="1"/>
  <c r="AC20" i="32"/>
  <c r="AF20" i="32" s="1"/>
  <c r="AC20" i="2"/>
  <c r="AF20" i="2" s="1"/>
  <c r="AC22" i="32"/>
  <c r="AF22" i="32" s="1"/>
  <c r="AC22" i="2"/>
  <c r="AF22" i="2" s="1"/>
  <c r="S11" i="26"/>
  <c r="U11" i="26"/>
  <c r="V11" i="26" s="1"/>
  <c r="AC26" i="32" l="1"/>
  <c r="AF26" i="32" s="1"/>
  <c r="AC26" i="2"/>
  <c r="AF26" i="2" s="1"/>
  <c r="AC24" i="32"/>
  <c r="AF24" i="32" s="1"/>
  <c r="AC24" i="2"/>
  <c r="AF24" i="2" s="1"/>
  <c r="T19" i="1"/>
  <c r="T17" i="1"/>
  <c r="W19" i="1" l="1"/>
  <c r="U19" i="1"/>
  <c r="W17" i="1"/>
  <c r="U17" i="1"/>
  <c r="R20" i="27" l="1"/>
  <c r="S20" i="27" s="1"/>
  <c r="R19" i="27" l="1"/>
  <c r="S19" i="27" s="1"/>
  <c r="R18" i="27" l="1"/>
  <c r="S18" i="27" s="1"/>
  <c r="R17" i="27"/>
  <c r="S17" i="27" s="1"/>
  <c r="R21" i="27"/>
  <c r="S21" i="27" s="1"/>
  <c r="R16" i="27" l="1"/>
  <c r="S16" i="27" s="1"/>
  <c r="R10" i="27" l="1"/>
  <c r="S10" i="27" s="1"/>
  <c r="R8" i="27"/>
  <c r="S8" i="27" s="1"/>
  <c r="U20" i="27" l="1"/>
  <c r="V20" i="27" s="1"/>
  <c r="U21" i="27"/>
  <c r="V21" i="27" s="1"/>
  <c r="U18" i="27" l="1"/>
  <c r="V18" i="27" s="1"/>
  <c r="U19" i="27"/>
  <c r="V19" i="27" s="1"/>
  <c r="I21" i="26" l="1"/>
  <c r="I20" i="26"/>
  <c r="U17" i="27"/>
  <c r="V17" i="27" s="1"/>
  <c r="R20" i="26" l="1"/>
  <c r="J20" i="26"/>
  <c r="R21" i="26"/>
  <c r="J21" i="26"/>
  <c r="I19" i="26"/>
  <c r="I18" i="26"/>
  <c r="R18" i="26" l="1"/>
  <c r="J18" i="26"/>
  <c r="R19" i="26"/>
  <c r="J19" i="26"/>
  <c r="S21" i="26"/>
  <c r="U21" i="26"/>
  <c r="V21" i="26" s="1"/>
  <c r="S20" i="26"/>
  <c r="U20" i="26"/>
  <c r="V20" i="26" s="1"/>
  <c r="I17" i="26"/>
  <c r="AC16" i="32" l="1"/>
  <c r="AF16" i="32" s="1"/>
  <c r="AC16" i="2"/>
  <c r="AF16" i="2" s="1"/>
  <c r="R17" i="26"/>
  <c r="J17" i="26"/>
  <c r="AC15" i="32"/>
  <c r="AF15" i="32" s="1"/>
  <c r="AC15" i="2"/>
  <c r="AF15" i="2" s="1"/>
  <c r="S19" i="26"/>
  <c r="U19" i="26"/>
  <c r="V19" i="26" s="1"/>
  <c r="S18" i="26"/>
  <c r="U18" i="26"/>
  <c r="V18" i="26" s="1"/>
  <c r="S17" i="26" l="1"/>
  <c r="U17" i="26"/>
  <c r="V17" i="26" s="1"/>
  <c r="AC13" i="32"/>
  <c r="AF13" i="32" s="1"/>
  <c r="AC13" i="2"/>
  <c r="AF13" i="2" s="1"/>
  <c r="AC14" i="32"/>
  <c r="AF14" i="32" s="1"/>
  <c r="AC14" i="2"/>
  <c r="AF14" i="2" s="1"/>
  <c r="AC12" i="32" l="1"/>
  <c r="AF12" i="32" s="1"/>
  <c r="AC12" i="2"/>
  <c r="AF12" i="2" s="1"/>
  <c r="U16" i="27"/>
  <c r="V16" i="27" s="1"/>
  <c r="U8" i="27" l="1"/>
  <c r="V8" i="27" s="1"/>
  <c r="U10" i="27"/>
  <c r="V10" i="27" s="1"/>
  <c r="I16" i="26" l="1"/>
  <c r="R16" i="26" l="1"/>
  <c r="J16" i="26"/>
  <c r="I10" i="26"/>
  <c r="I8" i="26" l="1"/>
  <c r="R10" i="26"/>
  <c r="J10" i="26"/>
  <c r="S16" i="26"/>
  <c r="U16" i="26"/>
  <c r="V16" i="26" s="1"/>
  <c r="S10" i="26" l="1"/>
  <c r="U10" i="26"/>
  <c r="V10" i="26" s="1"/>
  <c r="AC11" i="32"/>
  <c r="AF11" i="32" s="1"/>
  <c r="AC11" i="2"/>
  <c r="AF11" i="2" s="1"/>
  <c r="R8" i="26"/>
  <c r="J8" i="26"/>
  <c r="AC27" i="32" l="1"/>
  <c r="AF27" i="32" s="1"/>
  <c r="AC27" i="2"/>
  <c r="AF27" i="2" s="1"/>
  <c r="S8" i="26"/>
  <c r="U8" i="26"/>
  <c r="V8" i="26" s="1"/>
  <c r="AC25" i="32"/>
  <c r="AF25" i="32" s="1"/>
  <c r="AC25" i="2"/>
  <c r="AF25" i="2" s="1"/>
  <c r="T20" i="1"/>
  <c r="T18" i="1"/>
  <c r="W18" i="1" l="1"/>
  <c r="U18" i="1"/>
  <c r="W20" i="1"/>
  <c r="U20" i="1"/>
  <c r="AJ27" i="2"/>
  <c r="AI27" i="2"/>
  <c r="AJ27" i="32"/>
  <c r="AI27" i="32"/>
  <c r="Q28" i="25" l="1"/>
  <c r="R28" i="25" s="1"/>
  <c r="Q13" i="25"/>
  <c r="R13" i="25" s="1"/>
  <c r="Q23" i="25"/>
  <c r="R23" i="25" s="1"/>
  <c r="Q17" i="25"/>
  <c r="R17" i="25" s="1"/>
  <c r="Q22" i="25"/>
  <c r="R22" i="25" s="1"/>
  <c r="Q15" i="25"/>
  <c r="R15" i="25" s="1"/>
  <c r="Q16" i="25"/>
  <c r="R16" i="25" s="1"/>
  <c r="Q19" i="25"/>
  <c r="R19" i="25" s="1"/>
  <c r="Q21" i="25"/>
  <c r="R21" i="25" s="1"/>
  <c r="Q26" i="25"/>
  <c r="R26" i="25" s="1"/>
  <c r="Q27" i="25"/>
  <c r="R27" i="25" s="1"/>
  <c r="Q24" i="25"/>
  <c r="R24" i="25" s="1"/>
  <c r="Q14" i="25"/>
  <c r="R14" i="25" s="1"/>
  <c r="Q18" i="25"/>
  <c r="R18" i="25" s="1"/>
  <c r="Q12" i="25"/>
  <c r="R12" i="25" s="1"/>
  <c r="Q20" i="25"/>
  <c r="R20" i="25" s="1"/>
  <c r="Q25" i="25"/>
  <c r="R25" i="25" s="1"/>
  <c r="Q11" i="25" l="1"/>
  <c r="R11" i="25" s="1"/>
  <c r="Q8" i="25"/>
  <c r="R8" i="25" s="1"/>
  <c r="Q10" i="25"/>
  <c r="R10" i="25" s="1"/>
  <c r="Q9" i="25"/>
  <c r="R9" i="25" s="1"/>
  <c r="AB9" i="31" l="1"/>
  <c r="AB9" i="33"/>
  <c r="AB21" i="31"/>
  <c r="AB21" i="33"/>
  <c r="AB17" i="31"/>
  <c r="AB17" i="33"/>
  <c r="AB14" i="33"/>
  <c r="AB14" i="31"/>
  <c r="AB20" i="31"/>
  <c r="AB20" i="33"/>
  <c r="AB22" i="33"/>
  <c r="AB22" i="31"/>
  <c r="AB15" i="31"/>
  <c r="AB15" i="33"/>
  <c r="T8" i="37"/>
  <c r="T15" i="37"/>
  <c r="T17" i="37"/>
  <c r="T20" i="37"/>
  <c r="T23" i="37"/>
  <c r="T13" i="37"/>
  <c r="T11" i="37"/>
  <c r="T21" i="37"/>
  <c r="T22" i="37"/>
  <c r="T16" i="37"/>
  <c r="T19" i="37"/>
  <c r="T14" i="37"/>
  <c r="T10" i="37"/>
  <c r="T9" i="37"/>
  <c r="T24" i="37"/>
  <c r="T25" i="37" l="1"/>
  <c r="AB8" i="31"/>
  <c r="AB8" i="33"/>
  <c r="AB12" i="31"/>
  <c r="AB12" i="33"/>
  <c r="AB23" i="33"/>
  <c r="AB23" i="31"/>
  <c r="AB10" i="31"/>
  <c r="AB10" i="33"/>
  <c r="AB24" i="33"/>
  <c r="AB24" i="31"/>
  <c r="AB13" i="31"/>
  <c r="AB13" i="33"/>
  <c r="AB25" i="33"/>
  <c r="AB25" i="31"/>
  <c r="AB18" i="31"/>
  <c r="AB18" i="33"/>
  <c r="AB16" i="31"/>
  <c r="AB16" i="33"/>
  <c r="T27" i="37"/>
  <c r="T12" i="37"/>
  <c r="T18" i="37"/>
  <c r="Y13" i="37" l="1"/>
  <c r="Y15" i="37"/>
  <c r="T26" i="37"/>
  <c r="T28" i="37" s="1"/>
  <c r="Y19" i="37"/>
  <c r="Y22" i="37"/>
  <c r="Y9" i="37"/>
  <c r="Y23" i="37"/>
  <c r="Y24" i="37"/>
  <c r="Y17" i="37"/>
  <c r="Y16" i="37"/>
  <c r="Y11" i="37"/>
  <c r="Y25" i="37" s="1"/>
  <c r="Y14" i="37"/>
  <c r="Y8" i="37"/>
  <c r="Y21" i="37"/>
  <c r="Y20" i="37"/>
  <c r="Y10" i="37"/>
  <c r="AB27" i="31"/>
  <c r="AB27" i="33"/>
  <c r="AB11" i="33"/>
  <c r="AB11" i="31"/>
  <c r="AB7" i="33"/>
  <c r="AB7" i="31"/>
  <c r="AB26" i="31"/>
  <c r="AB26" i="33"/>
  <c r="AB19" i="31"/>
  <c r="AB19" i="33"/>
  <c r="Y27" i="37" l="1"/>
  <c r="Y12" i="37"/>
  <c r="Y18" i="37"/>
  <c r="Y26" i="37" l="1"/>
  <c r="Y28" i="37" s="1"/>
  <c r="Y11" i="31" l="1"/>
  <c r="AE11" i="31" s="1"/>
  <c r="Y11" i="33"/>
  <c r="AE11" i="33" s="1"/>
  <c r="Y17" i="31"/>
  <c r="AE17" i="31" s="1"/>
  <c r="Y17" i="33"/>
  <c r="AE17" i="33" s="1"/>
  <c r="Y18" i="33"/>
  <c r="AE18" i="33" s="1"/>
  <c r="Y18" i="31"/>
  <c r="AE18" i="31" s="1"/>
  <c r="Y20" i="33"/>
  <c r="AE20" i="33" s="1"/>
  <c r="Y20" i="31"/>
  <c r="AE20" i="31" s="1"/>
  <c r="Y16" i="31" l="1"/>
  <c r="AE16" i="31" s="1"/>
  <c r="Y16" i="33"/>
  <c r="AE16" i="33" s="1"/>
  <c r="Y13" i="31"/>
  <c r="AE13" i="31" s="1"/>
  <c r="Y13" i="33"/>
  <c r="AE13" i="33" s="1"/>
  <c r="Y15" i="33"/>
  <c r="AE15" i="33" s="1"/>
  <c r="Y15" i="31"/>
  <c r="AE15" i="31" s="1"/>
  <c r="Y12" i="33"/>
  <c r="AE12" i="33" s="1"/>
  <c r="Y12" i="31"/>
  <c r="AE12" i="31" s="1"/>
  <c r="Y14" i="33"/>
  <c r="AE14" i="33" s="1"/>
  <c r="Y14" i="31"/>
  <c r="AE14" i="31" s="1"/>
  <c r="Y22" i="31"/>
  <c r="AE22" i="31" s="1"/>
  <c r="Y22" i="33"/>
  <c r="AE22" i="33" s="1"/>
  <c r="Y9" i="31"/>
  <c r="AE9" i="31" s="1"/>
  <c r="Y9" i="33"/>
  <c r="AE9" i="33" s="1"/>
  <c r="Y21" i="31"/>
  <c r="AE21" i="31" s="1"/>
  <c r="Y21" i="33"/>
  <c r="AE21" i="33" s="1"/>
  <c r="Y19" i="31"/>
  <c r="AE19" i="31" s="1"/>
  <c r="Y19" i="33"/>
  <c r="AE19" i="33" s="1"/>
  <c r="Y8" i="33"/>
  <c r="AE8" i="33" s="1"/>
  <c r="Y8" i="31"/>
  <c r="AE8" i="31" s="1"/>
  <c r="Y10" i="33"/>
  <c r="AE10" i="33" s="1"/>
  <c r="Y10" i="31"/>
  <c r="AE10" i="31" s="1"/>
  <c r="Y23" i="33"/>
  <c r="AE23" i="33" s="1"/>
  <c r="Y23" i="31"/>
  <c r="AE23" i="31" s="1"/>
  <c r="Y7" i="33"/>
  <c r="AE7" i="33" s="1"/>
  <c r="Y7" i="31"/>
  <c r="AE7" i="31" s="1"/>
  <c r="Y26" i="31" l="1"/>
  <c r="AE26" i="31" s="1"/>
  <c r="Y26" i="33"/>
  <c r="AE26" i="33" s="1"/>
  <c r="Y25" i="33"/>
  <c r="AE25" i="33" s="1"/>
  <c r="Y25" i="31"/>
  <c r="AE25" i="31" s="1"/>
  <c r="Y27" i="33"/>
  <c r="AE27" i="33" s="1"/>
  <c r="Y27" i="31"/>
  <c r="AE27" i="31" s="1"/>
  <c r="Y24" i="33"/>
  <c r="AE24" i="33" s="1"/>
  <c r="Y24" i="31"/>
  <c r="AE24" i="31" s="1"/>
  <c r="Z8" i="31" l="1"/>
  <c r="Z8" i="33"/>
  <c r="Z21" i="31"/>
  <c r="Z21" i="33"/>
  <c r="Z16" i="31"/>
  <c r="Z16" i="33"/>
  <c r="Z7" i="33"/>
  <c r="Z7" i="31"/>
  <c r="Z14" i="33"/>
  <c r="Z14" i="31"/>
  <c r="Z10" i="33"/>
  <c r="Z10" i="31"/>
  <c r="Z22" i="31"/>
  <c r="Z22" i="33"/>
  <c r="Z23" i="33"/>
  <c r="Z23" i="31"/>
  <c r="Z12" i="31"/>
  <c r="Z12" i="33"/>
  <c r="Z19" i="31"/>
  <c r="Z19" i="33"/>
  <c r="Z9" i="33"/>
  <c r="Z9" i="31"/>
  <c r="Z13" i="33"/>
  <c r="Z13" i="31"/>
  <c r="Z11" i="33"/>
  <c r="Z11" i="31"/>
  <c r="Z15" i="33"/>
  <c r="Z15" i="31"/>
  <c r="Z20" i="33"/>
  <c r="Z20" i="31"/>
  <c r="Z17" i="33"/>
  <c r="Z17" i="31"/>
  <c r="Z18" i="33"/>
  <c r="Z18" i="31"/>
  <c r="Z26" i="31" l="1"/>
  <c r="Z26" i="33"/>
  <c r="Z27" i="33"/>
  <c r="Z27" i="31"/>
  <c r="Z24" i="33"/>
  <c r="Z24" i="31"/>
  <c r="Z25" i="33"/>
  <c r="Z25" i="31"/>
  <c r="U12" i="37" l="1"/>
  <c r="U19" i="37"/>
  <c r="U14" i="37"/>
  <c r="U8" i="37"/>
  <c r="U13" i="37"/>
  <c r="U16" i="37"/>
  <c r="U21" i="37"/>
  <c r="U10" i="37"/>
  <c r="U24" i="37"/>
  <c r="U23" i="37"/>
  <c r="U17" i="37"/>
  <c r="U20" i="37"/>
  <c r="U11" i="37"/>
  <c r="U9" i="37"/>
  <c r="U15" i="37"/>
  <c r="U22" i="37"/>
  <c r="U18" i="37"/>
  <c r="V19" i="37" l="1"/>
  <c r="X19" i="37"/>
  <c r="V16" i="37"/>
  <c r="X16" i="37"/>
  <c r="V17" i="37"/>
  <c r="X17" i="37"/>
  <c r="V9" i="37"/>
  <c r="X9" i="37"/>
  <c r="X13" i="37"/>
  <c r="V13" i="37"/>
  <c r="X21" i="37"/>
  <c r="V21" i="37"/>
  <c r="X14" i="37"/>
  <c r="V14" i="37"/>
  <c r="X24" i="37"/>
  <c r="V24" i="37"/>
  <c r="X22" i="37"/>
  <c r="V22" i="37"/>
  <c r="X15" i="37"/>
  <c r="V15" i="37"/>
  <c r="X11" i="37"/>
  <c r="V11" i="37"/>
  <c r="X8" i="37"/>
  <c r="V8" i="37"/>
  <c r="U25" i="37"/>
  <c r="V12" i="37"/>
  <c r="X12" i="37"/>
  <c r="U26" i="37"/>
  <c r="X23" i="37"/>
  <c r="V23" i="37"/>
  <c r="V20" i="37"/>
  <c r="U27" i="37"/>
  <c r="X20" i="37"/>
  <c r="X18" i="37"/>
  <c r="V18" i="37"/>
  <c r="X10" i="37"/>
  <c r="V10" i="37"/>
  <c r="Z18" i="37" l="1"/>
  <c r="Z9" i="37"/>
  <c r="Z15" i="37"/>
  <c r="AC15" i="37" s="1"/>
  <c r="Z22" i="37"/>
  <c r="AA22" i="37" s="1"/>
  <c r="Z10" i="37"/>
  <c r="Z23" i="37"/>
  <c r="AA23" i="37" s="1"/>
  <c r="Z17" i="37"/>
  <c r="AA17" i="37" s="1"/>
  <c r="Z13" i="37"/>
  <c r="Z8" i="37"/>
  <c r="AA8" i="37" s="1"/>
  <c r="Z19" i="37"/>
  <c r="AC19" i="37" s="1"/>
  <c r="Z24" i="37"/>
  <c r="AC24" i="37" s="1"/>
  <c r="Z11" i="37"/>
  <c r="AA11" i="37" s="1"/>
  <c r="Z21" i="37"/>
  <c r="AA21" i="37" s="1"/>
  <c r="Z16" i="37"/>
  <c r="AC16" i="37" s="1"/>
  <c r="Z20" i="37"/>
  <c r="AC20" i="37" s="1"/>
  <c r="Z14" i="37"/>
  <c r="AC14" i="37" s="1"/>
  <c r="Z12" i="37"/>
  <c r="AC12" i="37" s="1"/>
  <c r="AC19" i="33"/>
  <c r="AF19" i="33" s="1"/>
  <c r="AC19" i="31"/>
  <c r="AF19" i="31" s="1"/>
  <c r="AC17" i="31"/>
  <c r="AF17" i="31" s="1"/>
  <c r="AC17" i="33"/>
  <c r="AF17" i="33" s="1"/>
  <c r="AC18" i="37"/>
  <c r="AA18" i="37"/>
  <c r="AA9" i="37"/>
  <c r="AC9" i="37"/>
  <c r="AC7" i="31"/>
  <c r="AF7" i="31" s="1"/>
  <c r="AC7" i="33"/>
  <c r="AF7" i="33" s="1"/>
  <c r="V27" i="37"/>
  <c r="X27" i="37"/>
  <c r="X26" i="37"/>
  <c r="V26" i="37"/>
  <c r="AC12" i="31"/>
  <c r="AF12" i="31" s="1"/>
  <c r="AC12" i="33"/>
  <c r="AF12" i="33" s="1"/>
  <c r="AA10" i="37"/>
  <c r="AC10" i="37"/>
  <c r="AC13" i="33"/>
  <c r="AF13" i="33" s="1"/>
  <c r="AC13" i="31"/>
  <c r="AF13" i="31" s="1"/>
  <c r="AC18" i="33"/>
  <c r="AF18" i="33" s="1"/>
  <c r="AC18" i="31"/>
  <c r="AF18" i="31" s="1"/>
  <c r="AC11" i="33"/>
  <c r="AF11" i="33" s="1"/>
  <c r="AC11" i="31"/>
  <c r="AF11" i="31" s="1"/>
  <c r="AC9" i="31"/>
  <c r="AF9" i="31" s="1"/>
  <c r="AC9" i="33"/>
  <c r="AF9" i="33" s="1"/>
  <c r="AC15" i="31"/>
  <c r="AF15" i="31" s="1"/>
  <c r="AC15" i="33"/>
  <c r="AF15" i="33" s="1"/>
  <c r="AC21" i="33"/>
  <c r="AF21" i="33" s="1"/>
  <c r="AC21" i="31"/>
  <c r="AF21" i="31" s="1"/>
  <c r="AC23" i="33"/>
  <c r="AF23" i="33" s="1"/>
  <c r="AC23" i="31"/>
  <c r="AF23" i="31" s="1"/>
  <c r="AC22" i="31"/>
  <c r="AF22" i="31" s="1"/>
  <c r="AC22" i="33"/>
  <c r="AF22" i="33" s="1"/>
  <c r="X25" i="37"/>
  <c r="U28" i="37"/>
  <c r="V25" i="37"/>
  <c r="AC16" i="33"/>
  <c r="AF16" i="33" s="1"/>
  <c r="AC16" i="31"/>
  <c r="AF16" i="31" s="1"/>
  <c r="AC14" i="31"/>
  <c r="AF14" i="31" s="1"/>
  <c r="AC14" i="33"/>
  <c r="AF14" i="33" s="1"/>
  <c r="AC20" i="33"/>
  <c r="AF20" i="33" s="1"/>
  <c r="AC20" i="31"/>
  <c r="AF20" i="31" s="1"/>
  <c r="AC8" i="33"/>
  <c r="AF8" i="33" s="1"/>
  <c r="AC8" i="31"/>
  <c r="AF8" i="31" s="1"/>
  <c r="AC10" i="33"/>
  <c r="AF10" i="33" s="1"/>
  <c r="AC10" i="31"/>
  <c r="AF10" i="31" s="1"/>
  <c r="AA12" i="37" l="1"/>
  <c r="AA14" i="37"/>
  <c r="AC11" i="37"/>
  <c r="AC8" i="37"/>
  <c r="AC23" i="37"/>
  <c r="Z26" i="37"/>
  <c r="AA15" i="37"/>
  <c r="Z25" i="37"/>
  <c r="AA25" i="37" s="1"/>
  <c r="AC13" i="37"/>
  <c r="AA13" i="37"/>
  <c r="AA16" i="37"/>
  <c r="AA19" i="37"/>
  <c r="AC17" i="37"/>
  <c r="AC22" i="37"/>
  <c r="AA24" i="37"/>
  <c r="Z27" i="37"/>
  <c r="AC27" i="37" s="1"/>
  <c r="AC21" i="37"/>
  <c r="AA20" i="37"/>
  <c r="AC25" i="31"/>
  <c r="AF25" i="31" s="1"/>
  <c r="AC25" i="33"/>
  <c r="AF25" i="33" s="1"/>
  <c r="AC26" i="33"/>
  <c r="AF26" i="33" s="1"/>
  <c r="AC26" i="31"/>
  <c r="AF26" i="31" s="1"/>
  <c r="X28" i="37"/>
  <c r="V28" i="37"/>
  <c r="AC27" i="31"/>
  <c r="AF27" i="31" s="1"/>
  <c r="AC27" i="33"/>
  <c r="AF27" i="33" s="1"/>
  <c r="AC24" i="33"/>
  <c r="AF24" i="33" s="1"/>
  <c r="AC24" i="31"/>
  <c r="AF24" i="31" s="1"/>
  <c r="AC26" i="37"/>
  <c r="AA26" i="37"/>
  <c r="AC25" i="37" l="1"/>
  <c r="AA27" i="37"/>
  <c r="Z28" i="37"/>
  <c r="AJ27" i="33"/>
  <c r="AI27" i="33"/>
  <c r="AC28" i="37"/>
  <c r="AA28" i="37"/>
</calcChain>
</file>

<file path=xl/sharedStrings.xml><?xml version="1.0" encoding="utf-8"?>
<sst xmlns="http://schemas.openxmlformats.org/spreadsheetml/2006/main" count="936" uniqueCount="227">
  <si>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</si>
  <si>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</si>
  <si>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</si>
  <si>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</si>
  <si>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</si>
  <si>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</si>
  <si>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</si>
  <si>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</si>
  <si>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</si>
  <si>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</si>
  <si>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</si>
  <si>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</si>
  <si>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</si>
  <si>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</si>
  <si>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</si>
  <si>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</si>
  <si>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</si>
  <si>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</si>
  <si>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</si>
  <si>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</si>
  <si>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</si>
  <si>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</si>
  <si>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</si>
  <si>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</si>
  <si>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</si>
  <si>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</si>
  <si>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</si>
  <si>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</si>
  <si>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차이</t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</si>
  <si>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</si>
  <si>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</si>
  <si>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</si>
  <si>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</si>
  <si>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</si>
  <si>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변동비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</si>
  <si>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</si>
  <si>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</si>
  <si>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</si>
  <si>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</si>
  <si>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</si>
  <si>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</si>
  <si>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</si>
  <si>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</si>
  <si>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</si>
  <si>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</si>
  <si>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</si>
  <si>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</si>
  <si>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</si>
  <si>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</si>
  <si>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</si>
  <si>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</si>
  <si>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</si>
  <si>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</si>
  <si>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</si>
  <si>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</si>
  <si>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</si>
  <si>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</si>
  <si>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</si>
  <si>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</si>
  <si>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</si>
  <si>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</si>
  <si>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</si>
  <si>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</si>
  <si>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</si>
  <si>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</si>
  <si>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</si>
  <si>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</si>
  <si>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</si>
  <si>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</si>
  <si>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</si>
  <si>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</si>
  <si>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</si>
  <si>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</si>
  <si>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</si>
  <si>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</si>
  <si>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</si>
  <si>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</si>
  <si>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</si>
  <si>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  <phoneticPr fontId="1" type="noConversion"/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</si>
  <si>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</si>
  <si>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</si>
  <si>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</si>
  <si>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</si>
  <si>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</si>
  <si>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</si>
  <si>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</si>
  <si>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</si>
  <si>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</si>
  <si>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</si>
  <si>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</si>
  <si>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</si>
  <si>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</si>
  <si>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</si>
  <si>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</si>
  <si>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</si>
  <si>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</si>
  <si>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</si>
  <si>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</si>
  <si>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</si>
  <si>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</si>
  <si>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</si>
  <si>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</si>
  <si>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합계</t>
    <phoneticPr fontId="1" type="noConversion"/>
  </si>
  <si>
    <t>기타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</si>
  <si>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</si>
  <si>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</si>
  <si>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</si>
  <si>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</si>
  <si>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</si>
  <si>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</si>
  <si>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</si>
  <si>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</si>
  <si>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</si>
  <si>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□ 기타내역(영업이익)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</si>
  <si>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</si>
  <si>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</si>
  <si>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</si>
  <si>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</si>
  <si>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</si>
  <si>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</si>
  <si>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</si>
  <si>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</si>
  <si>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</si>
  <si>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</si>
  <si>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서부산CR</t>
    <phoneticPr fontId="1" type="noConversion"/>
  </si>
  <si>
    <t>부산CR</t>
    <phoneticPr fontId="1" type="noConversion"/>
  </si>
  <si>
    <t>제주</t>
  </si>
  <si>
    <t>원주</t>
  </si>
  <si>
    <t>군산</t>
  </si>
  <si>
    <t>전주</t>
  </si>
  <si>
    <t>울산</t>
  </si>
  <si>
    <t>대구</t>
  </si>
  <si>
    <t>기타권</t>
    <phoneticPr fontId="1" type="noConversion"/>
  </si>
  <si>
    <t>손익</t>
    <phoneticPr fontId="1" type="noConversion"/>
  </si>
  <si>
    <t>판관비 등 차이</t>
    <phoneticPr fontId="1" type="noConversion"/>
  </si>
  <si>
    <t>제조원가 차이</t>
    <phoneticPr fontId="1" type="noConversion"/>
  </si>
  <si>
    <t>판매단가 차이</t>
    <phoneticPr fontId="1" type="noConversion"/>
  </si>
  <si>
    <t>물량 차이</t>
    <phoneticPr fontId="1" type="noConversion"/>
  </si>
  <si>
    <t>영업이익(공통비 미배부)</t>
    <phoneticPr fontId="1" type="noConversion"/>
  </si>
  <si>
    <t>2024년 12월 마감 손익</t>
  </si>
  <si>
    <t>[단위 : 백만원, 천㎥]</t>
    <phoneticPr fontId="1" type="noConversion"/>
  </si>
  <si>
    <t>평균</t>
    <phoneticPr fontId="1" type="noConversion"/>
  </si>
  <si>
    <t>변동비 계</t>
    <phoneticPr fontId="1" type="noConversion"/>
  </si>
  <si>
    <t>유류비</t>
    <phoneticPr fontId="1" type="noConversion"/>
  </si>
  <si>
    <t>운반비</t>
    <phoneticPr fontId="1" type="noConversion"/>
  </si>
  <si>
    <t>재료비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</si>
  <si>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</si>
  <si>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</si>
  <si>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</si>
  <si>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</si>
  <si>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</si>
  <si>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</si>
  <si>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</si>
  <si>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혼화제</t>
    <phoneticPr fontId="1" type="noConversion"/>
  </si>
  <si>
    <t>모래</t>
    <phoneticPr fontId="1" type="noConversion"/>
  </si>
  <si>
    <t>자갈</t>
    <phoneticPr fontId="1" type="noConversion"/>
  </si>
  <si>
    <t>분체류 치환률</t>
    <phoneticPr fontId="1" type="noConversion"/>
  </si>
  <si>
    <t>분체류</t>
    <phoneticPr fontId="1" type="noConversion"/>
  </si>
  <si>
    <t>OPC</t>
    <phoneticPr fontId="1" type="noConversion"/>
  </si>
  <si>
    <t>[단위 : kg/㎥]</t>
    <phoneticPr fontId="1" type="noConversion"/>
  </si>
  <si>
    <t>6월</t>
  </si>
  <si>
    <t xml:space="preserve">   · 집합대손 2.2억 // 개별대손 3억(삼정이앤시) → 안양 2.9억, 양산 0.1억</t>
    <phoneticPr fontId="1" type="noConversion"/>
  </si>
  <si>
    <t>퇴직위로금</t>
  </si>
  <si>
    <t>퇴직위로금</t>
    <phoneticPr fontId="1" type="noConversion"/>
  </si>
  <si>
    <t xml:space="preserve"> - 1군 판매단가 인하</t>
    <phoneticPr fontId="1" type="noConversion"/>
  </si>
  <si>
    <t xml:space="preserve">   · 부산권 4천원, 창원 3.5천원 / 제주 협상完 500원/㎥ 인상</t>
    <phoneticPr fontId="1" type="noConversion"/>
  </si>
  <si>
    <t>[단위 : 톤, 천원]</t>
    <phoneticPr fontId="1" type="noConversion"/>
  </si>
  <si>
    <t>5월</t>
  </si>
  <si>
    <t>철강재</t>
  </si>
  <si>
    <t>매출액</t>
    <phoneticPr fontId="1" type="noConversion"/>
  </si>
  <si>
    <t>기타</t>
  </si>
  <si>
    <t>(소계)</t>
    <phoneticPr fontId="1" type="noConversion"/>
  </si>
  <si>
    <t>(소계)</t>
  </si>
  <si>
    <t>판관비</t>
  </si>
  <si>
    <t>노무비</t>
  </si>
  <si>
    <t>경비</t>
  </si>
  <si>
    <t>* 공통비</t>
    <phoneticPr fontId="1" type="noConversion"/>
  </si>
  <si>
    <t>1월</t>
    <phoneticPr fontId="1" type="noConversion"/>
  </si>
  <si>
    <t>2월</t>
  </si>
  <si>
    <t>3월</t>
    <phoneticPr fontId="1" type="noConversion"/>
  </si>
  <si>
    <t>4월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</si>
  <si>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</si>
  <si>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</si>
  <si>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</si>
  <si>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</si>
  <si>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</si>
  <si>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1월</t>
  </si>
  <si>
    <t>2월</t>
    <phoneticPr fontId="1" type="noConversion"/>
  </si>
  <si>
    <t>3월</t>
  </si>
  <si>
    <t>4월</t>
  </si>
  <si>
    <t>8월</t>
  </si>
  <si>
    <t>11월</t>
    <phoneticPr fontId="1" type="noConversion"/>
  </si>
  <si>
    <t>12월</t>
    <phoneticPr fontId="1" type="noConversion"/>
  </si>
  <si>
    <t>5월</t>
    <phoneticPr fontId="1" type="noConversion"/>
  </si>
  <si>
    <t>구분</t>
  </si>
  <si>
    <t>판매단가</t>
  </si>
  <si>
    <t>마진률</t>
  </si>
  <si>
    <t>6월</t>
    <phoneticPr fontId="1" type="noConversion"/>
  </si>
  <si>
    <t xml:space="preserve">  · 천안 아산지역 2,600원/㎥↓, 창원 2,900원/㎥↓(4/1), 울산 ,1900원/㎥↓(7/1)</t>
    <phoneticPr fontId="1" type="noConversion"/>
  </si>
  <si>
    <t xml:space="preserve">     원주 2천원/회(1년), 군산 2개년 합의, 7/15 (25년 2.5천원. 26년 3.5천원)</t>
    <phoneticPr fontId="1" type="noConversion"/>
  </si>
  <si>
    <t xml:space="preserve">     인천, 김포3,300원/회 ↑, 군산 25년 2.5천원. 26년 3.5천원</t>
    <phoneticPr fontId="1" type="noConversion"/>
  </si>
  <si>
    <t xml:space="preserve"> - 운반비 협상</t>
    <phoneticPr fontId="1" type="noConversion"/>
  </si>
  <si>
    <t>□ 레미콘 영업이익 차이분석(2025-08)</t>
  </si>
  <si>
    <t>□ 레미콘 원재료 원단위(2025-08)</t>
  </si>
  <si>
    <t>□ 레미콘 원재료단가(2025-08)</t>
  </si>
  <si>
    <t>□ 레미콘 단위당 공헌이익(2025-08)</t>
  </si>
  <si>
    <t>□ 건자재 손익실적(2025-08)</t>
  </si>
  <si>
    <t>8월누계</t>
  </si>
  <si>
    <t>2025년 8월 마감 손익</t>
    <phoneticPr fontId="1" type="noConversion"/>
  </si>
  <si>
    <t>8월 누계</t>
  </si>
  <si>
    <t>□ 건재사업본부 손익실적(2025-08)</t>
    <phoneticPr fontId="1" type="noConversion"/>
  </si>
  <si>
    <t>8월 주요지표</t>
    <phoneticPr fontId="1" type="noConversion"/>
  </si>
  <si>
    <t>□ 사업장별 손익실적(2025-08)</t>
  </si>
  <si>
    <t>2024년 8월 마감 손익</t>
  </si>
  <si>
    <t>2024년 8월누계 마감 손익</t>
  </si>
  <si>
    <t xml:space="preserve">  - OPC 소급분 : 삼표 2.5억(총 9.9억 中 1회차) → 8~8월누계 총 4회 소급예정</t>
  </si>
  <si>
    <t>□ 사업장별 손익실적(2025-08누계)</t>
  </si>
  <si>
    <t>□ 사업장별 손익실적(2025-08)_건자재 제외</t>
  </si>
  <si>
    <t>□ 사업장별 손익실적(2025-08누계)_건자재 제외</t>
  </si>
  <si>
    <t>캡쳐도구 사용 → PNG 저장 → 파워BI 삽입 → 이미지</t>
    <phoneticPr fontId="1" type="noConversion"/>
  </si>
  <si>
    <t>(%)</t>
    <phoneticPr fontId="1" type="noConversion"/>
  </si>
  <si>
    <t>- 8월 판가 1군 마이너스 계산서 1.2억(581원/㎥↓)</t>
    <phoneticPr fontId="1" type="noConversion"/>
  </si>
  <si>
    <t xml:space="preserve"> - 1군 판가 소급분(마이너스 계산서) : 9.2억(496원/㎥)</t>
    <phoneticPr fontId="1" type="noConversion"/>
  </si>
  <si>
    <t>철강재 단가</t>
    <phoneticPr fontId="1" type="noConversion"/>
  </si>
  <si>
    <t>영업이익(공통비 배부후)</t>
    <phoneticPr fontId="1" type="noConversion"/>
  </si>
  <si>
    <t>□ 레미콘 영업이익(8월)</t>
    <phoneticPr fontId="1" type="noConversion"/>
  </si>
  <si>
    <t>8월누계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</si>
</sst>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_-* #,##0.0_-;\-* #,##0.0_-;_-* &quot;-&quot;_-;_-@_-"/>
    <numFmt numFmtId="182" formatCode="#,##0.000_);[Red]\(#,##0.000\)"/>
    <numFmt numFmtId="183" formatCode="#,##0.0"/>
    <numFmt numFmtId="184" formatCode="0.0"/>
    <numFmt numFmtId="185" formatCode="#,##0.000000_ "/>
    <numFmt numFmtId="186" formatCode="0_);[Red]\(0\)"/>
    <numFmt numFmtId="187" formatCode="#,##0.00_);[Red]\(#,##0.00\)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KoPubWorld돋움체 Medium"/>
      <family val="3"/>
      <charset val="129"/>
    </font>
    <font>
      <sz val="16"/>
      <color theme="0"/>
      <name val="KoPubWorld돋움체 Bold"/>
      <family val="3"/>
      <charset val="129"/>
    </font>
    <font>
      <sz val="16"/>
      <color theme="1"/>
      <name val="KoPubWorld돋움체 Medium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</fills>
  <borders count="1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11" fillId="0" borderId="0"/>
  </cellStyleXfs>
  <cellXfs count="665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0" fillId="0" borderId="10" xfId="0" applyNumberFormat="1" applyBorder="1">
      <alignment vertical="center"/>
    </xf>
    <xf numFmtId="178" fontId="0" fillId="0" borderId="0" xfId="0" applyNumberFormat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3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3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3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3" fillId="0" borderId="13" xfId="0" applyNumberFormat="1" applyFont="1" applyBorder="1">
      <alignment vertical="center"/>
    </xf>
    <xf numFmtId="177" fontId="13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3" fillId="0" borderId="16" xfId="0" applyNumberFormat="1" applyFont="1" applyBorder="1">
      <alignment vertical="center"/>
    </xf>
    <xf numFmtId="177" fontId="13" fillId="0" borderId="17" xfId="0" applyNumberFormat="1" applyFont="1" applyBorder="1">
      <alignment vertical="center"/>
    </xf>
    <xf numFmtId="0" fontId="13" fillId="0" borderId="6" xfId="0" applyFont="1" applyBorder="1">
      <alignment vertical="center"/>
    </xf>
    <xf numFmtId="0" fontId="13" fillId="0" borderId="8" xfId="0" applyFont="1" applyBorder="1">
      <alignment vertical="center"/>
    </xf>
    <xf numFmtId="0" fontId="14" fillId="6" borderId="1" xfId="0" applyFont="1" applyFill="1" applyBorder="1" applyAlignment="1">
      <alignment horizontal="centerContinuous" vertical="center"/>
    </xf>
    <xf numFmtId="0" fontId="14" fillId="6" borderId="2" xfId="0" applyFont="1" applyFill="1" applyBorder="1" applyAlignment="1">
      <alignment horizontal="centerContinuous" vertical="center"/>
    </xf>
    <xf numFmtId="0" fontId="14" fillId="6" borderId="3" xfId="0" applyFont="1" applyFill="1" applyBorder="1" applyAlignment="1">
      <alignment horizontal="centerContinuous" vertical="center"/>
    </xf>
    <xf numFmtId="0" fontId="15" fillId="0" borderId="0" xfId="0" applyFont="1">
      <alignment vertical="center"/>
    </xf>
    <xf numFmtId="0" fontId="14" fillId="6" borderId="10" xfId="0" applyFont="1" applyFill="1" applyBorder="1" applyAlignment="1">
      <alignment horizontal="centerContinuous" vertical="center"/>
    </xf>
    <xf numFmtId="0" fontId="14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1" xfId="0" applyFont="1" applyBorder="1" applyAlignment="1">
      <alignment horizontal="centerContinuous" vertical="center"/>
    </xf>
    <xf numFmtId="176" fontId="2" fillId="0" borderId="64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6" fillId="10" borderId="34" xfId="0" applyFont="1" applyFill="1" applyBorder="1" applyAlignment="1">
      <alignment horizontal="centerContinuous" vertical="center"/>
    </xf>
    <xf numFmtId="0" fontId="16" fillId="10" borderId="35" xfId="0" applyFont="1" applyFill="1" applyBorder="1" applyAlignment="1">
      <alignment horizontal="centerContinuous" vertical="center"/>
    </xf>
    <xf numFmtId="0" fontId="16" fillId="10" borderId="36" xfId="0" applyFont="1" applyFill="1" applyBorder="1" applyAlignment="1">
      <alignment horizontal="centerContinuous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45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10" borderId="50" xfId="0" applyFont="1" applyFill="1" applyBorder="1" applyAlignment="1">
      <alignment horizontal="center" vertical="center"/>
    </xf>
    <xf numFmtId="0" fontId="16" fillId="10" borderId="47" xfId="0" applyFont="1" applyFill="1" applyBorder="1" applyAlignment="1">
      <alignment horizontal="center" vertical="center"/>
    </xf>
    <xf numFmtId="178" fontId="6" fillId="0" borderId="18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0" fontId="14" fillId="6" borderId="71" xfId="0" applyFont="1" applyFill="1" applyBorder="1" applyAlignment="1">
      <alignment horizontal="centerContinuous" vertical="center"/>
    </xf>
    <xf numFmtId="178" fontId="6" fillId="0" borderId="54" xfId="0" applyNumberFormat="1" applyFont="1" applyBorder="1">
      <alignment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2" xfId="0" applyFont="1" applyBorder="1" applyAlignment="1">
      <alignment horizontal="centerContinuous" vertical="center"/>
    </xf>
    <xf numFmtId="176" fontId="2" fillId="0" borderId="73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3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3" fillId="0" borderId="1" xfId="0" applyNumberFormat="1" applyFont="1" applyBorder="1">
      <alignment vertical="center"/>
    </xf>
    <xf numFmtId="176" fontId="13" fillId="0" borderId="4" xfId="0" applyNumberFormat="1" applyFont="1" applyBorder="1">
      <alignment vertical="center"/>
    </xf>
    <xf numFmtId="176" fontId="13" fillId="0" borderId="22" xfId="0" applyNumberFormat="1" applyFont="1" applyBorder="1">
      <alignment vertical="center"/>
    </xf>
    <xf numFmtId="176" fontId="13" fillId="0" borderId="6" xfId="0" applyNumberFormat="1" applyFont="1" applyBorder="1">
      <alignment vertical="center"/>
    </xf>
    <xf numFmtId="176" fontId="13" fillId="9" borderId="1" xfId="0" applyNumberFormat="1" applyFont="1" applyFill="1" applyBorder="1">
      <alignment vertical="center"/>
    </xf>
    <xf numFmtId="176" fontId="13" fillId="9" borderId="4" xfId="0" applyNumberFormat="1" applyFont="1" applyFill="1" applyBorder="1">
      <alignment vertical="center"/>
    </xf>
    <xf numFmtId="176" fontId="13" fillId="9" borderId="22" xfId="0" applyNumberFormat="1" applyFont="1" applyFill="1" applyBorder="1">
      <alignment vertical="center"/>
    </xf>
    <xf numFmtId="176" fontId="13" fillId="9" borderId="6" xfId="0" applyNumberFormat="1" applyFont="1" applyFill="1" applyBorder="1">
      <alignment vertical="center"/>
    </xf>
    <xf numFmtId="177" fontId="13" fillId="0" borderId="4" xfId="0" applyNumberFormat="1" applyFont="1" applyBorder="1">
      <alignment vertical="center"/>
    </xf>
    <xf numFmtId="177" fontId="13" fillId="0" borderId="6" xfId="0" applyNumberFormat="1" applyFont="1" applyBorder="1">
      <alignment vertical="center"/>
    </xf>
    <xf numFmtId="0" fontId="14" fillId="6" borderId="45" xfId="0" applyFont="1" applyFill="1" applyBorder="1" applyAlignment="1">
      <alignment horizontal="centerContinuous" vertical="center"/>
    </xf>
    <xf numFmtId="177" fontId="13" fillId="0" borderId="46" xfId="0" applyNumberFormat="1" applyFont="1" applyBorder="1">
      <alignment vertical="center"/>
    </xf>
    <xf numFmtId="177" fontId="13" fillId="0" borderId="47" xfId="0" applyNumberFormat="1" applyFont="1" applyBorder="1">
      <alignment vertical="center"/>
    </xf>
    <xf numFmtId="0" fontId="14" fillId="6" borderId="78" xfId="0" applyFont="1" applyFill="1" applyBorder="1" applyAlignment="1">
      <alignment horizontal="centerContinuous" vertical="center"/>
    </xf>
    <xf numFmtId="177" fontId="13" fillId="0" borderId="75" xfId="0" applyNumberFormat="1" applyFont="1" applyBorder="1">
      <alignment vertical="center"/>
    </xf>
    <xf numFmtId="177" fontId="13" fillId="0" borderId="77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1" xfId="0" applyNumberFormat="1" applyBorder="1">
      <alignment vertical="center"/>
    </xf>
    <xf numFmtId="178" fontId="0" fillId="0" borderId="71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4" xfId="0" applyNumberFormat="1" applyBorder="1">
      <alignment vertical="center"/>
    </xf>
    <xf numFmtId="178" fontId="0" fillId="0" borderId="64" xfId="0" applyNumberFormat="1" applyBorder="1">
      <alignment vertical="center"/>
    </xf>
    <xf numFmtId="178" fontId="2" fillId="3" borderId="63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1" borderId="48" xfId="0" applyFont="1" applyFill="1" applyBorder="1" applyAlignment="1">
      <alignment horizontal="centerContinuous" vertical="center"/>
    </xf>
    <xf numFmtId="0" fontId="7" fillId="11" borderId="67" xfId="0" applyFont="1" applyFill="1" applyBorder="1" applyAlignment="1">
      <alignment horizontal="centerContinuous" vertical="center"/>
    </xf>
    <xf numFmtId="0" fontId="7" fillId="11" borderId="1" xfId="0" applyFont="1" applyFill="1" applyBorder="1" applyAlignment="1">
      <alignment horizontal="centerContinuous" vertical="center"/>
    </xf>
    <xf numFmtId="0" fontId="7" fillId="11" borderId="29" xfId="0" applyFont="1" applyFill="1" applyBorder="1" applyAlignment="1">
      <alignment horizontal="centerContinuous" vertical="center"/>
    </xf>
    <xf numFmtId="0" fontId="7" fillId="11" borderId="39" xfId="0" applyFont="1" applyFill="1" applyBorder="1" applyAlignment="1">
      <alignment horizontal="centerContinuous" vertical="center"/>
    </xf>
    <xf numFmtId="0" fontId="7" fillId="11" borderId="30" xfId="0" applyFont="1" applyFill="1" applyBorder="1" applyAlignment="1">
      <alignment horizontal="centerContinuous" vertical="center"/>
    </xf>
    <xf numFmtId="0" fontId="2" fillId="11" borderId="48" xfId="0" applyFont="1" applyFill="1" applyBorder="1" applyAlignment="1">
      <alignment horizontal="centerContinuous" vertical="center"/>
    </xf>
    <xf numFmtId="0" fontId="2" fillId="11" borderId="67" xfId="0" applyFont="1" applyFill="1" applyBorder="1" applyAlignment="1">
      <alignment horizontal="centerContinuous" vertical="center"/>
    </xf>
    <xf numFmtId="178" fontId="2" fillId="11" borderId="1" xfId="0" applyNumberFormat="1" applyFont="1" applyFill="1" applyBorder="1" applyAlignment="1">
      <alignment horizontal="centerContinuous" vertical="center"/>
    </xf>
    <xf numFmtId="178" fontId="2" fillId="11" borderId="29" xfId="0" applyNumberFormat="1" applyFont="1" applyFill="1" applyBorder="1" applyAlignment="1">
      <alignment horizontal="centerContinuous" vertical="center"/>
    </xf>
    <xf numFmtId="178" fontId="2" fillId="11" borderId="2" xfId="0" applyNumberFormat="1" applyFont="1" applyFill="1" applyBorder="1" applyAlignment="1">
      <alignment horizontal="centerContinuous" vertical="center"/>
    </xf>
    <xf numFmtId="178" fontId="2" fillId="11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3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7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80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81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80" xfId="0" applyNumberFormat="1" applyFont="1" applyBorder="1" applyAlignment="1">
      <alignment horizontal="centerContinuous" vertical="center"/>
    </xf>
    <xf numFmtId="178" fontId="6" fillId="0" borderId="81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1" xfId="0" applyNumberFormat="1" applyFont="1" applyFill="1" applyBorder="1" applyAlignment="1">
      <alignment vertical="center"/>
    </xf>
    <xf numFmtId="178" fontId="2" fillId="3" borderId="64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7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9" fontId="0" fillId="0" borderId="0" xfId="0" applyNumberFormat="1" applyFont="1" applyAlignment="1">
      <alignment vertical="center"/>
    </xf>
    <xf numFmtId="178" fontId="13" fillId="0" borderId="39" xfId="0" applyNumberFormat="1" applyFont="1" applyBorder="1">
      <alignment vertical="center"/>
    </xf>
    <xf numFmtId="178" fontId="13" fillId="0" borderId="29" xfId="0" applyNumberFormat="1" applyFont="1" applyBorder="1">
      <alignment vertical="center"/>
    </xf>
    <xf numFmtId="178" fontId="13" fillId="0" borderId="30" xfId="0" applyNumberFormat="1" applyFont="1" applyBorder="1">
      <alignment vertical="center"/>
    </xf>
    <xf numFmtId="178" fontId="13" fillId="0" borderId="46" xfId="0" applyNumberFormat="1" applyFont="1" applyBorder="1">
      <alignment vertical="center"/>
    </xf>
    <xf numFmtId="178" fontId="13" fillId="0" borderId="13" xfId="0" applyNumberFormat="1" applyFont="1" applyBorder="1">
      <alignment vertical="center"/>
    </xf>
    <xf numFmtId="178" fontId="13" fillId="0" borderId="14" xfId="0" applyNumberFormat="1" applyFont="1" applyBorder="1">
      <alignment vertical="center"/>
    </xf>
    <xf numFmtId="178" fontId="13" fillId="0" borderId="49" xfId="0" applyNumberFormat="1" applyFont="1" applyBorder="1">
      <alignment vertical="center"/>
    </xf>
    <xf numFmtId="178" fontId="13" fillId="0" borderId="25" xfId="0" applyNumberFormat="1" applyFont="1" applyBorder="1">
      <alignment vertical="center"/>
    </xf>
    <xf numFmtId="178" fontId="13" fillId="0" borderId="26" xfId="0" applyNumberFormat="1" applyFont="1" applyBorder="1">
      <alignment vertical="center"/>
    </xf>
    <xf numFmtId="178" fontId="13" fillId="0" borderId="47" xfId="0" applyNumberFormat="1" applyFont="1" applyBorder="1">
      <alignment vertical="center"/>
    </xf>
    <xf numFmtId="178" fontId="13" fillId="0" borderId="16" xfId="0" applyNumberFormat="1" applyFont="1" applyBorder="1">
      <alignment vertical="center"/>
    </xf>
    <xf numFmtId="178" fontId="13" fillId="0" borderId="17" xfId="0" applyNumberFormat="1" applyFont="1" applyBorder="1">
      <alignment vertical="center"/>
    </xf>
    <xf numFmtId="178" fontId="13" fillId="9" borderId="39" xfId="0" applyNumberFormat="1" applyFont="1" applyFill="1" applyBorder="1">
      <alignment vertical="center"/>
    </xf>
    <xf numFmtId="178" fontId="13" fillId="9" borderId="29" xfId="0" applyNumberFormat="1" applyFont="1" applyFill="1" applyBorder="1">
      <alignment vertical="center"/>
    </xf>
    <xf numFmtId="178" fontId="13" fillId="9" borderId="30" xfId="0" applyNumberFormat="1" applyFont="1" applyFill="1" applyBorder="1">
      <alignment vertical="center"/>
    </xf>
    <xf numFmtId="178" fontId="13" fillId="9" borderId="46" xfId="0" applyNumberFormat="1" applyFont="1" applyFill="1" applyBorder="1">
      <alignment vertical="center"/>
    </xf>
    <xf numFmtId="178" fontId="13" fillId="9" borderId="13" xfId="0" applyNumberFormat="1" applyFont="1" applyFill="1" applyBorder="1">
      <alignment vertical="center"/>
    </xf>
    <xf numFmtId="178" fontId="13" fillId="9" borderId="14" xfId="0" applyNumberFormat="1" applyFont="1" applyFill="1" applyBorder="1">
      <alignment vertical="center"/>
    </xf>
    <xf numFmtId="178" fontId="13" fillId="9" borderId="49" xfId="0" applyNumberFormat="1" applyFont="1" applyFill="1" applyBorder="1">
      <alignment vertical="center"/>
    </xf>
    <xf numFmtId="178" fontId="13" fillId="9" borderId="25" xfId="0" applyNumberFormat="1" applyFont="1" applyFill="1" applyBorder="1">
      <alignment vertical="center"/>
    </xf>
    <xf numFmtId="178" fontId="13" fillId="9" borderId="26" xfId="0" applyNumberFormat="1" applyFont="1" applyFill="1" applyBorder="1">
      <alignment vertical="center"/>
    </xf>
    <xf numFmtId="178" fontId="13" fillId="9" borderId="47" xfId="0" applyNumberFormat="1" applyFont="1" applyFill="1" applyBorder="1">
      <alignment vertical="center"/>
    </xf>
    <xf numFmtId="178" fontId="13" fillId="9" borderId="16" xfId="0" applyNumberFormat="1" applyFont="1" applyFill="1" applyBorder="1">
      <alignment vertical="center"/>
    </xf>
    <xf numFmtId="178" fontId="13" fillId="9" borderId="17" xfId="0" applyNumberFormat="1" applyFont="1" applyFill="1" applyBorder="1">
      <alignment vertical="center"/>
    </xf>
    <xf numFmtId="178" fontId="13" fillId="0" borderId="1" xfId="0" applyNumberFormat="1" applyFont="1" applyBorder="1">
      <alignment vertical="center"/>
    </xf>
    <xf numFmtId="178" fontId="13" fillId="0" borderId="74" xfId="0" applyNumberFormat="1" applyFont="1" applyBorder="1">
      <alignment vertical="center"/>
    </xf>
    <xf numFmtId="178" fontId="13" fillId="0" borderId="4" xfId="0" applyNumberFormat="1" applyFont="1" applyBorder="1">
      <alignment vertical="center"/>
    </xf>
    <xf numFmtId="178" fontId="13" fillId="0" borderId="75" xfId="0" applyNumberFormat="1" applyFont="1" applyBorder="1">
      <alignment vertical="center"/>
    </xf>
    <xf numFmtId="178" fontId="13" fillId="0" borderId="18" xfId="0" applyNumberFormat="1" applyFont="1" applyBorder="1">
      <alignment vertical="center"/>
    </xf>
    <xf numFmtId="178" fontId="13" fillId="0" borderId="79" xfId="0" applyNumberFormat="1" applyFont="1" applyBorder="1">
      <alignment vertical="center"/>
    </xf>
    <xf numFmtId="178" fontId="13" fillId="0" borderId="53" xfId="0" applyNumberFormat="1" applyFont="1" applyBorder="1">
      <alignment vertical="center"/>
    </xf>
    <xf numFmtId="178" fontId="13" fillId="0" borderId="20" xfId="0" applyNumberFormat="1" applyFont="1" applyBorder="1">
      <alignment vertical="center"/>
    </xf>
    <xf numFmtId="178" fontId="13" fillId="0" borderId="21" xfId="0" applyNumberFormat="1" applyFont="1" applyBorder="1">
      <alignment vertical="center"/>
    </xf>
    <xf numFmtId="178" fontId="13" fillId="0" borderId="22" xfId="0" applyNumberFormat="1" applyFont="1" applyBorder="1">
      <alignment vertical="center"/>
    </xf>
    <xf numFmtId="178" fontId="13" fillId="0" borderId="76" xfId="0" applyNumberFormat="1" applyFont="1" applyBorder="1">
      <alignment vertical="center"/>
    </xf>
    <xf numFmtId="178" fontId="12" fillId="7" borderId="79" xfId="0" applyNumberFormat="1" applyFont="1" applyFill="1" applyBorder="1">
      <alignment vertical="center"/>
    </xf>
    <xf numFmtId="178" fontId="12" fillId="5" borderId="75" xfId="0" applyNumberFormat="1" applyFont="1" applyFill="1" applyBorder="1">
      <alignment vertical="center"/>
    </xf>
    <xf numFmtId="181" fontId="0" fillId="0" borderId="0" xfId="1" applyNumberFormat="1" applyFont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82" fontId="0" fillId="0" borderId="0" xfId="0" applyNumberFormat="1">
      <alignment vertical="center"/>
    </xf>
    <xf numFmtId="178" fontId="0" fillId="0" borderId="17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2" fillId="0" borderId="82" xfId="0" applyNumberFormat="1" applyFont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6" xfId="0" applyNumberFormat="1" applyBorder="1" applyAlignment="1">
      <alignment horizontal="center" vertical="center"/>
    </xf>
    <xf numFmtId="178" fontId="0" fillId="0" borderId="14" xfId="0" applyNumberFormat="1" applyBorder="1">
      <alignment vertical="center"/>
    </xf>
    <xf numFmtId="178" fontId="2" fillId="0" borderId="83" xfId="0" applyNumberFormat="1" applyFont="1" applyBorder="1">
      <alignment vertical="center"/>
    </xf>
    <xf numFmtId="178" fontId="0" fillId="0" borderId="4" xfId="0" applyNumberFormat="1" applyBorder="1">
      <alignment vertical="center"/>
    </xf>
    <xf numFmtId="178" fontId="0" fillId="0" borderId="5" xfId="0" applyNumberForma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69" xfId="0" applyNumberFormat="1" applyBorder="1" applyAlignment="1">
      <alignment horizontal="center" vertical="center"/>
    </xf>
    <xf numFmtId="178" fontId="0" fillId="0" borderId="21" xfId="0" applyNumberFormat="1" applyBorder="1">
      <alignment vertical="center"/>
    </xf>
    <xf numFmtId="178" fontId="2" fillId="0" borderId="66" xfId="0" applyNumberFormat="1" applyFont="1" applyBorder="1">
      <alignment vertical="center"/>
    </xf>
    <xf numFmtId="178" fontId="2" fillId="0" borderId="84" xfId="0" applyNumberFormat="1" applyFont="1" applyBorder="1">
      <alignment vertical="center"/>
    </xf>
    <xf numFmtId="178" fontId="0" fillId="0" borderId="18" xfId="0" applyNumberFormat="1" applyBorder="1">
      <alignment vertical="center"/>
    </xf>
    <xf numFmtId="178" fontId="0" fillId="0" borderId="54" xfId="0" applyNumberFormat="1" applyBorder="1">
      <alignment vertical="center"/>
    </xf>
    <xf numFmtId="178" fontId="0" fillId="0" borderId="85" xfId="0" applyNumberFormat="1" applyBorder="1" applyAlignment="1">
      <alignment horizontal="center" vertical="center"/>
    </xf>
    <xf numFmtId="178" fontId="2" fillId="0" borderId="86" xfId="0" applyNumberFormat="1" applyFont="1" applyBorder="1">
      <alignment vertical="center"/>
    </xf>
    <xf numFmtId="178" fontId="0" fillId="0" borderId="30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2" fillId="0" borderId="87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68" xfId="0" applyNumberFormat="1" applyBorder="1" applyAlignment="1">
      <alignment horizontal="center" vertical="center"/>
    </xf>
    <xf numFmtId="178" fontId="17" fillId="12" borderId="17" xfId="0" applyNumberFormat="1" applyFont="1" applyFill="1" applyBorder="1" applyAlignment="1">
      <alignment horizontal="right" vertical="center"/>
    </xf>
    <xf numFmtId="178" fontId="17" fillId="12" borderId="0" xfId="0" applyNumberFormat="1" applyFont="1" applyFill="1" applyBorder="1" applyAlignment="1">
      <alignment horizontal="right" vertical="center"/>
    </xf>
    <xf numFmtId="178" fontId="17" fillId="12" borderId="83" xfId="0" applyNumberFormat="1" applyFont="1" applyFill="1" applyBorder="1" applyAlignment="1">
      <alignment horizontal="right" vertical="center"/>
    </xf>
    <xf numFmtId="178" fontId="17" fillId="12" borderId="4" xfId="0" applyNumberFormat="1" applyFont="1" applyFill="1" applyBorder="1" applyAlignment="1">
      <alignment horizontal="right" vertical="center"/>
    </xf>
    <xf numFmtId="178" fontId="17" fillId="12" borderId="69" xfId="0" applyNumberFormat="1" applyFont="1" applyFill="1" applyBorder="1" applyAlignment="1">
      <alignment horizontal="center" vertical="center"/>
    </xf>
    <xf numFmtId="178" fontId="17" fillId="12" borderId="44" xfId="0" applyNumberFormat="1" applyFont="1" applyFill="1" applyBorder="1" applyAlignment="1">
      <alignment horizontal="right" vertical="center"/>
    </xf>
    <xf numFmtId="178" fontId="17" fillId="12" borderId="81" xfId="0" applyNumberFormat="1" applyFont="1" applyFill="1" applyBorder="1" applyAlignment="1">
      <alignment horizontal="right" vertical="center"/>
    </xf>
    <xf numFmtId="178" fontId="17" fillId="12" borderId="88" xfId="0" applyNumberFormat="1" applyFont="1" applyFill="1" applyBorder="1" applyAlignment="1">
      <alignment horizontal="right" vertical="center"/>
    </xf>
    <xf numFmtId="178" fontId="17" fillId="12" borderId="80" xfId="0" applyNumberFormat="1" applyFont="1" applyFill="1" applyBorder="1" applyAlignment="1">
      <alignment horizontal="right" vertical="center"/>
    </xf>
    <xf numFmtId="178" fontId="17" fillId="12" borderId="89" xfId="0" applyNumberFormat="1" applyFont="1" applyFill="1" applyBorder="1" applyAlignment="1">
      <alignment horizontal="center" vertical="center"/>
    </xf>
    <xf numFmtId="178" fontId="17" fillId="12" borderId="30" xfId="0" applyNumberFormat="1" applyFont="1" applyFill="1" applyBorder="1" applyAlignment="1">
      <alignment horizontal="right" vertical="center"/>
    </xf>
    <xf numFmtId="178" fontId="17" fillId="12" borderId="2" xfId="0" applyNumberFormat="1" applyFont="1" applyFill="1" applyBorder="1" applyAlignment="1">
      <alignment horizontal="right" vertical="center"/>
    </xf>
    <xf numFmtId="178" fontId="17" fillId="12" borderId="87" xfId="0" applyNumberFormat="1" applyFont="1" applyFill="1" applyBorder="1" applyAlignment="1">
      <alignment horizontal="right" vertical="center"/>
    </xf>
    <xf numFmtId="178" fontId="17" fillId="12" borderId="1" xfId="0" applyNumberFormat="1" applyFont="1" applyFill="1" applyBorder="1" applyAlignment="1">
      <alignment horizontal="right" vertical="center"/>
    </xf>
    <xf numFmtId="178" fontId="17" fillId="12" borderId="68" xfId="0" applyNumberFormat="1" applyFont="1" applyFill="1" applyBorder="1" applyAlignment="1">
      <alignment horizontal="center" vertical="center"/>
    </xf>
    <xf numFmtId="178" fontId="18" fillId="13" borderId="90" xfId="0" applyNumberFormat="1" applyFont="1" applyFill="1" applyBorder="1" applyAlignment="1">
      <alignment horizontal="right" vertical="center"/>
    </xf>
    <xf numFmtId="178" fontId="18" fillId="13" borderId="67" xfId="0" applyNumberFormat="1" applyFont="1" applyFill="1" applyBorder="1" applyAlignment="1">
      <alignment horizontal="right" vertical="center"/>
    </xf>
    <xf numFmtId="178" fontId="18" fillId="13" borderId="91" xfId="0" applyNumberFormat="1" applyFont="1" applyFill="1" applyBorder="1" applyAlignment="1">
      <alignment horizontal="right" vertical="center"/>
    </xf>
    <xf numFmtId="178" fontId="18" fillId="13" borderId="48" xfId="0" applyNumberFormat="1" applyFont="1" applyFill="1" applyBorder="1" applyAlignment="1">
      <alignment horizontal="right" vertical="center"/>
    </xf>
    <xf numFmtId="178" fontId="18" fillId="13" borderId="92" xfId="0" applyNumberFormat="1" applyFont="1" applyFill="1" applyBorder="1" applyAlignment="1">
      <alignment horizontal="right" vertical="center"/>
    </xf>
    <xf numFmtId="178" fontId="18" fillId="13" borderId="65" xfId="0" applyNumberFormat="1" applyFont="1" applyFill="1" applyBorder="1" applyAlignment="1">
      <alignment horizontal="center" vertical="center"/>
    </xf>
    <xf numFmtId="178" fontId="16" fillId="14" borderId="11" xfId="0" applyNumberFormat="1" applyFont="1" applyFill="1" applyBorder="1" applyAlignment="1">
      <alignment horizontal="centerContinuous" vertical="center"/>
    </xf>
    <xf numFmtId="178" fontId="16" fillId="14" borderId="64" xfId="0" applyNumberFormat="1" applyFont="1" applyFill="1" applyBorder="1" applyAlignment="1">
      <alignment horizontal="centerContinuous" vertical="center"/>
    </xf>
    <xf numFmtId="178" fontId="16" fillId="14" borderId="93" xfId="0" applyNumberFormat="1" applyFont="1" applyFill="1" applyBorder="1" applyAlignment="1">
      <alignment horizontal="centerContinuous" vertical="center"/>
    </xf>
    <xf numFmtId="178" fontId="16" fillId="14" borderId="71" xfId="0" applyNumberFormat="1" applyFont="1" applyFill="1" applyBorder="1" applyAlignment="1">
      <alignment horizontal="centerContinuous" vertical="center"/>
    </xf>
    <xf numFmtId="178" fontId="16" fillId="14" borderId="50" xfId="0" applyNumberFormat="1" applyFont="1" applyFill="1" applyBorder="1" applyAlignment="1">
      <alignment horizontal="centerContinuous" vertical="center"/>
    </xf>
    <xf numFmtId="178" fontId="16" fillId="14" borderId="3" xfId="0" applyNumberFormat="1" applyFont="1" applyFill="1" applyBorder="1" applyAlignment="1">
      <alignment horizontal="centerContinuous" vertical="center"/>
    </xf>
    <xf numFmtId="178" fontId="16" fillId="14" borderId="2" xfId="0" applyNumberFormat="1" applyFont="1" applyFill="1" applyBorder="1" applyAlignment="1">
      <alignment horizontal="centerContinuous" vertical="center"/>
    </xf>
    <xf numFmtId="178" fontId="16" fillId="14" borderId="1" xfId="0" applyNumberFormat="1" applyFont="1" applyFill="1" applyBorder="1" applyAlignment="1">
      <alignment horizontal="centerContinuous" vertical="center"/>
    </xf>
    <xf numFmtId="178" fontId="0" fillId="0" borderId="0" xfId="0" applyNumberFormat="1" applyAlignment="1">
      <alignment horizontal="right" vertical="center"/>
    </xf>
    <xf numFmtId="178" fontId="19" fillId="0" borderId="0" xfId="0" applyNumberFormat="1" applyFont="1">
      <alignment vertical="center"/>
    </xf>
    <xf numFmtId="178" fontId="0" fillId="0" borderId="8" xfId="0" applyNumberFormat="1" applyBorder="1" applyAlignment="1">
      <alignment horizontal="right" vertical="center"/>
    </xf>
    <xf numFmtId="178" fontId="2" fillId="0" borderId="94" xfId="0" applyNumberFormat="1" applyFont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2" fillId="0" borderId="83" xfId="0" applyNumberFormat="1" applyFon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2" fillId="0" borderId="84" xfId="0" applyNumberFormat="1" applyFon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right" vertical="center"/>
    </xf>
    <xf numFmtId="178" fontId="2" fillId="0" borderId="87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17" fillId="12" borderId="5" xfId="0" applyNumberFormat="1" applyFont="1" applyFill="1" applyBorder="1" applyAlignment="1">
      <alignment horizontal="right" vertical="center"/>
    </xf>
    <xf numFmtId="178" fontId="17" fillId="12" borderId="52" xfId="0" applyNumberFormat="1" applyFont="1" applyFill="1" applyBorder="1" applyAlignment="1">
      <alignment horizontal="right" vertical="center"/>
    </xf>
    <xf numFmtId="178" fontId="17" fillId="12" borderId="3" xfId="0" applyNumberFormat="1" applyFont="1" applyFill="1" applyBorder="1" applyAlignment="1">
      <alignment horizontal="right" vertical="center"/>
    </xf>
    <xf numFmtId="178" fontId="18" fillId="13" borderId="55" xfId="0" applyNumberFormat="1" applyFont="1" applyFill="1" applyBorder="1" applyAlignment="1">
      <alignment horizontal="right" vertical="center"/>
    </xf>
    <xf numFmtId="178" fontId="0" fillId="0" borderId="8" xfId="1" applyNumberFormat="1" applyFont="1" applyBorder="1">
      <alignment vertical="center"/>
    </xf>
    <xf numFmtId="178" fontId="2" fillId="0" borderId="9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2" fillId="0" borderId="8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2" fillId="0" borderId="84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0" fillId="0" borderId="0" xfId="0" quotePrefix="1" applyNumberFormat="1">
      <alignment vertical="center"/>
    </xf>
    <xf numFmtId="178" fontId="0" fillId="0" borderId="3" xfId="1" applyNumberFormat="1" applyFont="1" applyBorder="1">
      <alignment vertical="center"/>
    </xf>
    <xf numFmtId="178" fontId="2" fillId="0" borderId="87" xfId="1" applyNumberFormat="1" applyFont="1" applyBorder="1">
      <alignment vertical="center"/>
    </xf>
    <xf numFmtId="178" fontId="0" fillId="0" borderId="1" xfId="1" applyNumberFormat="1" applyFont="1" applyBorder="1">
      <alignment vertical="center"/>
    </xf>
    <xf numFmtId="178" fontId="17" fillId="12" borderId="5" xfId="1" applyNumberFormat="1" applyFont="1" applyFill="1" applyBorder="1" applyAlignment="1">
      <alignment horizontal="right" vertical="center"/>
    </xf>
    <xf numFmtId="178" fontId="17" fillId="12" borderId="83" xfId="1" applyNumberFormat="1" applyFont="1" applyFill="1" applyBorder="1" applyAlignment="1">
      <alignment horizontal="right" vertical="center"/>
    </xf>
    <xf numFmtId="178" fontId="17" fillId="12" borderId="4" xfId="1" applyNumberFormat="1" applyFont="1" applyFill="1" applyBorder="1" applyAlignment="1">
      <alignment horizontal="right" vertical="center"/>
    </xf>
    <xf numFmtId="178" fontId="17" fillId="12" borderId="52" xfId="1" applyNumberFormat="1" applyFont="1" applyFill="1" applyBorder="1" applyAlignment="1">
      <alignment horizontal="right" vertical="center"/>
    </xf>
    <xf numFmtId="178" fontId="17" fillId="12" borderId="88" xfId="1" applyNumberFormat="1" applyFont="1" applyFill="1" applyBorder="1" applyAlignment="1">
      <alignment horizontal="right" vertical="center"/>
    </xf>
    <xf numFmtId="178" fontId="17" fillId="12" borderId="80" xfId="1" applyNumberFormat="1" applyFont="1" applyFill="1" applyBorder="1" applyAlignment="1">
      <alignment horizontal="right" vertical="center"/>
    </xf>
    <xf numFmtId="178" fontId="17" fillId="12" borderId="3" xfId="1" applyNumberFormat="1" applyFont="1" applyFill="1" applyBorder="1" applyAlignment="1">
      <alignment horizontal="right" vertical="center"/>
    </xf>
    <xf numFmtId="178" fontId="17" fillId="12" borderId="87" xfId="1" applyNumberFormat="1" applyFont="1" applyFill="1" applyBorder="1" applyAlignment="1">
      <alignment horizontal="right" vertical="center"/>
    </xf>
    <xf numFmtId="178" fontId="17" fillId="12" borderId="1" xfId="1" applyNumberFormat="1" applyFont="1" applyFill="1" applyBorder="1" applyAlignment="1">
      <alignment horizontal="right" vertical="center"/>
    </xf>
    <xf numFmtId="178" fontId="18" fillId="13" borderId="55" xfId="1" applyNumberFormat="1" applyFont="1" applyFill="1" applyBorder="1" applyAlignment="1">
      <alignment horizontal="right" vertical="center"/>
    </xf>
    <xf numFmtId="178" fontId="18" fillId="13" borderId="91" xfId="1" applyNumberFormat="1" applyFont="1" applyFill="1" applyBorder="1" applyAlignment="1">
      <alignment horizontal="right" vertical="center"/>
    </xf>
    <xf numFmtId="178" fontId="18" fillId="13" borderId="48" xfId="1" applyNumberFormat="1" applyFont="1" applyFill="1" applyBorder="1" applyAlignment="1">
      <alignment horizontal="right" vertical="center"/>
    </xf>
    <xf numFmtId="179" fontId="0" fillId="0" borderId="8" xfId="0" applyNumberFormat="1" applyBorder="1">
      <alignment vertical="center"/>
    </xf>
    <xf numFmtId="179" fontId="2" fillId="0" borderId="94" xfId="0" applyNumberFormat="1" applyFont="1" applyBorder="1">
      <alignment vertical="center"/>
    </xf>
    <xf numFmtId="179" fontId="0" fillId="0" borderId="6" xfId="0" applyNumberFormat="1" applyBorder="1">
      <alignment vertical="center"/>
    </xf>
    <xf numFmtId="178" fontId="2" fillId="0" borderId="9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9" fontId="2" fillId="0" borderId="9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179" fontId="0" fillId="0" borderId="5" xfId="0" applyNumberFormat="1" applyBorder="1">
      <alignment vertical="center"/>
    </xf>
    <xf numFmtId="179" fontId="2" fillId="0" borderId="83" xfId="0" applyNumberFormat="1" applyFont="1" applyBorder="1">
      <alignment vertical="center"/>
    </xf>
    <xf numFmtId="179" fontId="0" fillId="0" borderId="4" xfId="0" applyNumberFormat="1" applyBorder="1">
      <alignment vertical="center"/>
    </xf>
    <xf numFmtId="9" fontId="0" fillId="0" borderId="5" xfId="0" applyNumberFormat="1" applyBorder="1">
      <alignment vertical="center"/>
    </xf>
    <xf numFmtId="9" fontId="2" fillId="0" borderId="83" xfId="0" applyNumberFormat="1" applyFont="1" applyBorder="1">
      <alignment vertical="center"/>
    </xf>
    <xf numFmtId="9" fontId="0" fillId="0" borderId="4" xfId="0" applyNumberFormat="1" applyBorder="1">
      <alignment vertical="center"/>
    </xf>
    <xf numFmtId="179" fontId="0" fillId="0" borderId="54" xfId="0" applyNumberFormat="1" applyBorder="1">
      <alignment vertical="center"/>
    </xf>
    <xf numFmtId="179" fontId="2" fillId="0" borderId="84" xfId="0" applyNumberFormat="1" applyFont="1" applyBorder="1">
      <alignment vertical="center"/>
    </xf>
    <xf numFmtId="179" fontId="0" fillId="0" borderId="18" xfId="0" applyNumberFormat="1" applyBorder="1">
      <alignment vertical="center"/>
    </xf>
    <xf numFmtId="9" fontId="0" fillId="0" borderId="54" xfId="0" applyNumberFormat="1" applyBorder="1">
      <alignment vertical="center"/>
    </xf>
    <xf numFmtId="9" fontId="2" fillId="0" borderId="84" xfId="0" applyNumberFormat="1" applyFont="1" applyBorder="1">
      <alignment vertical="center"/>
    </xf>
    <xf numFmtId="9" fontId="0" fillId="0" borderId="18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2" fillId="0" borderId="87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9" fontId="0" fillId="0" borderId="3" xfId="0" applyNumberFormat="1" applyBorder="1">
      <alignment vertical="center"/>
    </xf>
    <xf numFmtId="9" fontId="2" fillId="0" borderId="87" xfId="0" applyNumberFormat="1" applyFont="1" applyBorder="1">
      <alignment vertical="center"/>
    </xf>
    <xf numFmtId="9" fontId="0" fillId="0" borderId="1" xfId="0" applyNumberFormat="1" applyBorder="1">
      <alignment vertical="center"/>
    </xf>
    <xf numFmtId="9" fontId="17" fillId="12" borderId="5" xfId="0" applyNumberFormat="1" applyFont="1" applyFill="1" applyBorder="1" applyAlignment="1">
      <alignment horizontal="right" vertical="center"/>
    </xf>
    <xf numFmtId="9" fontId="17" fillId="12" borderId="83" xfId="0" applyNumberFormat="1" applyFont="1" applyFill="1" applyBorder="1" applyAlignment="1">
      <alignment horizontal="right" vertical="center"/>
    </xf>
    <xf numFmtId="9" fontId="17" fillId="12" borderId="4" xfId="0" applyNumberFormat="1" applyFont="1" applyFill="1" applyBorder="1" applyAlignment="1">
      <alignment horizontal="right" vertical="center"/>
    </xf>
    <xf numFmtId="9" fontId="17" fillId="12" borderId="52" xfId="0" applyNumberFormat="1" applyFont="1" applyFill="1" applyBorder="1" applyAlignment="1">
      <alignment horizontal="right" vertical="center"/>
    </xf>
    <xf numFmtId="9" fontId="17" fillId="12" borderId="88" xfId="0" applyNumberFormat="1" applyFont="1" applyFill="1" applyBorder="1" applyAlignment="1">
      <alignment horizontal="right" vertical="center"/>
    </xf>
    <xf numFmtId="9" fontId="17" fillId="12" borderId="80" xfId="0" applyNumberFormat="1" applyFont="1" applyFill="1" applyBorder="1" applyAlignment="1">
      <alignment horizontal="right" vertical="center"/>
    </xf>
    <xf numFmtId="9" fontId="17" fillId="12" borderId="3" xfId="0" applyNumberFormat="1" applyFont="1" applyFill="1" applyBorder="1" applyAlignment="1">
      <alignment horizontal="right" vertical="center"/>
    </xf>
    <xf numFmtId="9" fontId="17" fillId="12" borderId="87" xfId="0" applyNumberFormat="1" applyFont="1" applyFill="1" applyBorder="1" applyAlignment="1">
      <alignment horizontal="right" vertical="center"/>
    </xf>
    <xf numFmtId="9" fontId="17" fillId="12" borderId="1" xfId="0" applyNumberFormat="1" applyFont="1" applyFill="1" applyBorder="1" applyAlignment="1">
      <alignment horizontal="right" vertical="center"/>
    </xf>
    <xf numFmtId="9" fontId="18" fillId="13" borderId="55" xfId="0" applyNumberFormat="1" applyFont="1" applyFill="1" applyBorder="1" applyAlignment="1">
      <alignment horizontal="right" vertical="center"/>
    </xf>
    <xf numFmtId="9" fontId="18" fillId="13" borderId="91" xfId="0" applyNumberFormat="1" applyFont="1" applyFill="1" applyBorder="1" applyAlignment="1">
      <alignment horizontal="right" vertical="center"/>
    </xf>
    <xf numFmtId="9" fontId="18" fillId="13" borderId="48" xfId="0" applyNumberFormat="1" applyFont="1" applyFill="1" applyBorder="1" applyAlignment="1">
      <alignment horizontal="right" vertical="center"/>
    </xf>
    <xf numFmtId="178" fontId="2" fillId="9" borderId="4" xfId="1" applyNumberFormat="1" applyFont="1" applyFill="1" applyBorder="1" applyAlignment="1">
      <alignment vertical="center"/>
    </xf>
    <xf numFmtId="178" fontId="0" fillId="0" borderId="0" xfId="0" applyNumberFormat="1" applyFont="1" applyFill="1" applyBorder="1">
      <alignment vertical="center"/>
    </xf>
    <xf numFmtId="178" fontId="20" fillId="0" borderId="0" xfId="0" applyNumberFormat="1" applyFont="1">
      <alignment vertical="center"/>
    </xf>
    <xf numFmtId="178" fontId="20" fillId="9" borderId="4" xfId="1" applyNumberFormat="1" applyFont="1" applyFill="1" applyBorder="1" applyAlignment="1">
      <alignment vertical="center"/>
    </xf>
    <xf numFmtId="9" fontId="2" fillId="0" borderId="0" xfId="0" applyNumberFormat="1" applyFont="1">
      <alignment vertical="center"/>
    </xf>
    <xf numFmtId="3" fontId="0" fillId="0" borderId="0" xfId="0" applyNumberFormat="1" applyFont="1">
      <alignment vertical="center"/>
    </xf>
    <xf numFmtId="3" fontId="0" fillId="0" borderId="0" xfId="1" applyNumberFormat="1" applyFont="1">
      <alignment vertical="center"/>
    </xf>
    <xf numFmtId="3" fontId="2" fillId="0" borderId="0" xfId="0" applyNumberFormat="1" applyFont="1">
      <alignment vertical="center"/>
    </xf>
    <xf numFmtId="3" fontId="0" fillId="0" borderId="0" xfId="0" applyNumberFormat="1" applyFont="1" applyAlignment="1">
      <alignment vertical="center"/>
    </xf>
    <xf numFmtId="183" fontId="0" fillId="0" borderId="0" xfId="0" applyNumberFormat="1" applyFont="1">
      <alignment vertical="center"/>
    </xf>
    <xf numFmtId="184" fontId="2" fillId="0" borderId="0" xfId="0" applyNumberFormat="1" applyFont="1">
      <alignment vertical="center"/>
    </xf>
    <xf numFmtId="185" fontId="0" fillId="0" borderId="0" xfId="0" applyNumberFormat="1" applyFont="1">
      <alignment vertical="center"/>
    </xf>
    <xf numFmtId="4" fontId="6" fillId="0" borderId="0" xfId="1" applyNumberFormat="1" applyFont="1" applyFill="1" applyBorder="1" applyAlignment="1">
      <alignment vertical="center"/>
    </xf>
    <xf numFmtId="3" fontId="0" fillId="0" borderId="0" xfId="0" applyNumberFormat="1">
      <alignment vertical="center"/>
    </xf>
    <xf numFmtId="186" fontId="6" fillId="0" borderId="0" xfId="1" applyNumberFormat="1" applyFont="1">
      <alignment vertical="center"/>
    </xf>
    <xf numFmtId="186" fontId="0" fillId="0" borderId="0" xfId="0" applyNumberFormat="1" applyFont="1">
      <alignment vertical="center"/>
    </xf>
    <xf numFmtId="9" fontId="0" fillId="0" borderId="0" xfId="0" applyNumberFormat="1" applyFont="1">
      <alignment vertical="center"/>
    </xf>
    <xf numFmtId="178" fontId="6" fillId="9" borderId="4" xfId="1" quotePrefix="1" applyNumberFormat="1" applyFont="1" applyFill="1" applyBorder="1" applyAlignment="1">
      <alignment vertical="center"/>
    </xf>
    <xf numFmtId="178" fontId="20" fillId="9" borderId="4" xfId="1" quotePrefix="1" applyNumberFormat="1" applyFont="1" applyFill="1" applyBorder="1" applyAlignment="1">
      <alignment vertical="center"/>
    </xf>
    <xf numFmtId="178" fontId="6" fillId="0" borderId="2" xfId="1" applyNumberFormat="1" applyFont="1" applyFill="1" applyBorder="1" applyAlignment="1">
      <alignment vertical="center"/>
    </xf>
    <xf numFmtId="179" fontId="6" fillId="0" borderId="2" xfId="1" applyNumberFormat="1" applyFont="1" applyFill="1" applyBorder="1" applyAlignment="1">
      <alignment vertical="center"/>
    </xf>
    <xf numFmtId="178" fontId="0" fillId="0" borderId="0" xfId="0" applyNumberFormat="1" applyFill="1" applyBorder="1">
      <alignment vertical="center"/>
    </xf>
    <xf numFmtId="178" fontId="21" fillId="0" borderId="0" xfId="0" applyNumberFormat="1" applyFont="1">
      <alignment vertical="center"/>
    </xf>
    <xf numFmtId="178" fontId="16" fillId="0" borderId="0" xfId="0" applyNumberFormat="1" applyFont="1" applyFill="1" applyBorder="1" applyAlignment="1">
      <alignment vertical="center"/>
    </xf>
    <xf numFmtId="0" fontId="14" fillId="6" borderId="98" xfId="0" applyFont="1" applyFill="1" applyBorder="1" applyAlignment="1">
      <alignment horizontal="centerContinuous" vertical="center"/>
    </xf>
    <xf numFmtId="0" fontId="14" fillId="6" borderId="65" xfId="0" applyFont="1" applyFill="1" applyBorder="1" applyAlignment="1">
      <alignment horizontal="centerContinuous" vertical="center"/>
    </xf>
    <xf numFmtId="0" fontId="14" fillId="6" borderId="67" xfId="0" applyFont="1" applyFill="1" applyBorder="1" applyAlignment="1">
      <alignment horizontal="centerContinuous" vertical="center"/>
    </xf>
    <xf numFmtId="0" fontId="14" fillId="6" borderId="99" xfId="0" applyFont="1" applyFill="1" applyBorder="1" applyAlignment="1">
      <alignment horizontal="centerContinuous" vertical="center"/>
    </xf>
    <xf numFmtId="0" fontId="14" fillId="6" borderId="55" xfId="0" applyFont="1" applyFill="1" applyBorder="1" applyAlignment="1">
      <alignment horizontal="centerContinuous"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6" fillId="0" borderId="100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6" xfId="0" applyNumberFormat="1" applyFont="1" applyBorder="1" applyAlignment="1">
      <alignment horizontal="centerContinuous" vertical="center"/>
    </xf>
    <xf numFmtId="178" fontId="2" fillId="0" borderId="102" xfId="0" applyNumberFormat="1" applyFont="1" applyBorder="1" applyAlignment="1">
      <alignment horizontal="centerContinuous" vertical="center"/>
    </xf>
    <xf numFmtId="178" fontId="6" fillId="0" borderId="103" xfId="0" applyNumberFormat="1" applyFont="1" applyBorder="1">
      <alignment vertical="center"/>
    </xf>
    <xf numFmtId="178" fontId="6" fillId="0" borderId="70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104" xfId="0" applyNumberFormat="1" applyFont="1" applyBorder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6" fillId="0" borderId="105" xfId="0" applyNumberFormat="1" applyFont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0" xfId="0" applyNumberFormat="1" applyFont="1" applyBorder="1">
      <alignment vertical="center"/>
    </xf>
    <xf numFmtId="178" fontId="6" fillId="0" borderId="106" xfId="0" applyNumberFormat="1" applyFont="1" applyBorder="1">
      <alignment vertical="center"/>
    </xf>
    <xf numFmtId="178" fontId="2" fillId="0" borderId="33" xfId="0" applyNumberFormat="1" applyFont="1" applyBorder="1" applyAlignment="1">
      <alignment horizontal="centerContinuous" vertical="center"/>
    </xf>
    <xf numFmtId="178" fontId="6" fillId="0" borderId="107" xfId="0" applyNumberFormat="1" applyFont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8" fontId="6" fillId="0" borderId="109" xfId="0" applyNumberFormat="1" applyFont="1" applyBorder="1">
      <alignment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110" xfId="0" applyNumberFormat="1" applyFont="1" applyBorder="1">
      <alignment vertical="center"/>
    </xf>
    <xf numFmtId="178" fontId="6" fillId="0" borderId="85" xfId="0" applyNumberFormat="1" applyFont="1" applyBorder="1">
      <alignment vertical="center"/>
    </xf>
    <xf numFmtId="178" fontId="6" fillId="0" borderId="111" xfId="0" applyNumberFormat="1" applyFont="1" applyBorder="1">
      <alignment vertical="center"/>
    </xf>
    <xf numFmtId="178" fontId="2" fillId="0" borderId="64" xfId="0" applyNumberFormat="1" applyFont="1" applyBorder="1" applyAlignment="1">
      <alignment horizontal="centerContinuous" vertical="center"/>
    </xf>
    <xf numFmtId="178" fontId="6" fillId="0" borderId="112" xfId="0" applyNumberFormat="1" applyFont="1" applyBorder="1">
      <alignment vertical="center"/>
    </xf>
    <xf numFmtId="178" fontId="6" fillId="0" borderId="73" xfId="0" applyNumberFormat="1" applyFont="1" applyBorder="1">
      <alignment vertical="center"/>
    </xf>
    <xf numFmtId="178" fontId="6" fillId="0" borderId="64" xfId="0" applyNumberFormat="1" applyFont="1" applyBorder="1">
      <alignment vertical="center"/>
    </xf>
    <xf numFmtId="178" fontId="6" fillId="0" borderId="11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7" fontId="6" fillId="0" borderId="105" xfId="0" applyNumberFormat="1" applyFont="1" applyBorder="1">
      <alignment vertical="center"/>
    </xf>
    <xf numFmtId="177" fontId="6" fillId="0" borderId="69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7" fontId="6" fillId="0" borderId="106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right" vertical="center"/>
    </xf>
    <xf numFmtId="177" fontId="6" fillId="0" borderId="107" xfId="0" applyNumberFormat="1" applyFont="1" applyBorder="1">
      <alignment vertical="center"/>
    </xf>
    <xf numFmtId="177" fontId="6" fillId="0" borderId="108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109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2" fillId="0" borderId="7" xfId="0" applyNumberFormat="1" applyFont="1" applyBorder="1" applyAlignment="1">
      <alignment horizontal="right" vertical="center"/>
    </xf>
    <xf numFmtId="177" fontId="6" fillId="0" borderId="114" xfId="0" applyNumberFormat="1" applyFont="1" applyBorder="1">
      <alignment vertical="center"/>
    </xf>
    <xf numFmtId="177" fontId="6" fillId="0" borderId="115" xfId="0" applyNumberFormat="1" applyFont="1" applyBorder="1">
      <alignment vertical="center"/>
    </xf>
    <xf numFmtId="177" fontId="6" fillId="0" borderId="116" xfId="0" applyNumberFormat="1" applyFont="1" applyBorder="1">
      <alignment vertical="center"/>
    </xf>
    <xf numFmtId="177" fontId="6" fillId="0" borderId="117" xfId="0" applyNumberFormat="1" applyFont="1" applyBorder="1">
      <alignment vertical="center"/>
    </xf>
    <xf numFmtId="178" fontId="0" fillId="0" borderId="7" xfId="0" applyNumberFormat="1" applyBorder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8" fontId="0" fillId="0" borderId="55" xfId="0" applyNumberFormat="1" applyBorder="1" applyAlignment="1">
      <alignment horizontal="center" vertical="center"/>
    </xf>
    <xf numFmtId="178" fontId="0" fillId="0" borderId="30" xfId="0" applyNumberFormat="1" applyBorder="1" applyAlignment="1">
      <alignment horizontal="center" vertical="center" wrapText="1"/>
    </xf>
    <xf numFmtId="187" fontId="0" fillId="0" borderId="0" xfId="0" applyNumberFormat="1">
      <alignment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9" fontId="0" fillId="0" borderId="0" xfId="1" applyNumberFormat="1" applyFont="1">
      <alignment vertical="center"/>
    </xf>
    <xf numFmtId="3" fontId="0" fillId="0" borderId="0" xfId="0" applyNumberFormat="1" applyAlignment="1">
      <alignment horizontal="right" vertical="center"/>
    </xf>
    <xf numFmtId="0" fontId="22" fillId="0" borderId="0" xfId="0" applyFont="1" applyFill="1" applyBorder="1" applyAlignment="1">
      <alignment horizontal="left" vertical="center"/>
    </xf>
    <xf numFmtId="0" fontId="23" fillId="15" borderId="48" xfId="0" applyFont="1" applyFill="1" applyBorder="1" applyAlignment="1">
      <alignment horizontal="center" vertical="center"/>
    </xf>
    <xf numFmtId="0" fontId="23" fillId="15" borderId="55" xfId="0" applyFont="1" applyFill="1" applyBorder="1" applyAlignment="1">
      <alignment horizontal="center" vertical="center"/>
    </xf>
    <xf numFmtId="0" fontId="23" fillId="15" borderId="65" xfId="0" applyFont="1" applyFill="1" applyBorder="1" applyAlignment="1">
      <alignment horizontal="center" vertical="center"/>
    </xf>
    <xf numFmtId="0" fontId="24" fillId="0" borderId="68" xfId="0" applyFont="1" applyBorder="1" applyAlignment="1">
      <alignment horizontal="center" vertical="center"/>
    </xf>
    <xf numFmtId="178" fontId="24" fillId="0" borderId="1" xfId="0" applyNumberFormat="1" applyFont="1" applyBorder="1">
      <alignment vertical="center"/>
    </xf>
    <xf numFmtId="178" fontId="24" fillId="0" borderId="3" xfId="0" applyNumberFormat="1" applyFont="1" applyBorder="1">
      <alignment vertical="center"/>
    </xf>
    <xf numFmtId="178" fontId="24" fillId="0" borderId="68" xfId="0" applyNumberFormat="1" applyFont="1" applyBorder="1">
      <alignment vertical="center"/>
    </xf>
    <xf numFmtId="0" fontId="24" fillId="0" borderId="70" xfId="0" applyFont="1" applyBorder="1" applyAlignment="1">
      <alignment horizontal="center" vertical="center"/>
    </xf>
    <xf numFmtId="178" fontId="24" fillId="0" borderId="6" xfId="0" applyNumberFormat="1" applyFont="1" applyBorder="1">
      <alignment vertical="center"/>
    </xf>
    <xf numFmtId="178" fontId="24" fillId="0" borderId="8" xfId="0" applyNumberFormat="1" applyFont="1" applyBorder="1">
      <alignment vertical="center"/>
    </xf>
    <xf numFmtId="178" fontId="24" fillId="0" borderId="70" xfId="0" applyNumberFormat="1" applyFont="1" applyBorder="1">
      <alignment vertical="center"/>
    </xf>
    <xf numFmtId="0" fontId="24" fillId="0" borderId="69" xfId="0" applyFont="1" applyBorder="1" applyAlignment="1">
      <alignment horizontal="center" vertical="center"/>
    </xf>
    <xf numFmtId="178" fontId="24" fillId="0" borderId="4" xfId="0" applyNumberFormat="1" applyFont="1" applyBorder="1">
      <alignment vertical="center"/>
    </xf>
    <xf numFmtId="178" fontId="24" fillId="0" borderId="5" xfId="0" applyNumberFormat="1" applyFont="1" applyBorder="1">
      <alignment vertical="center"/>
    </xf>
    <xf numFmtId="178" fontId="24" fillId="0" borderId="69" xfId="0" applyNumberFormat="1" applyFont="1" applyBorder="1">
      <alignment vertical="center"/>
    </xf>
    <xf numFmtId="0" fontId="24" fillId="0" borderId="55" xfId="0" applyFont="1" applyBorder="1" applyAlignment="1">
      <alignment horizontal="center" vertical="center"/>
    </xf>
    <xf numFmtId="178" fontId="24" fillId="0" borderId="48" xfId="0" applyNumberFormat="1" applyFont="1" applyBorder="1">
      <alignment vertical="center"/>
    </xf>
    <xf numFmtId="178" fontId="24" fillId="0" borderId="55" xfId="0" applyNumberFormat="1" applyFont="1" applyBorder="1">
      <alignment vertical="center"/>
    </xf>
    <xf numFmtId="178" fontId="24" fillId="0" borderId="65" xfId="0" applyNumberFormat="1" applyFont="1" applyBorder="1">
      <alignment vertical="center"/>
    </xf>
    <xf numFmtId="0" fontId="24" fillId="0" borderId="3" xfId="0" applyFont="1" applyBorder="1" applyAlignment="1">
      <alignment horizontal="center" vertical="center"/>
    </xf>
    <xf numFmtId="9" fontId="24" fillId="0" borderId="3" xfId="0" applyNumberFormat="1" applyFont="1" applyBorder="1">
      <alignment vertical="center"/>
    </xf>
    <xf numFmtId="9" fontId="24" fillId="0" borderId="8" xfId="0" applyNumberFormat="1" applyFont="1" applyBorder="1">
      <alignment vertical="center"/>
    </xf>
    <xf numFmtId="9" fontId="24" fillId="0" borderId="1" xfId="0" applyNumberFormat="1" applyFont="1" applyBorder="1">
      <alignment vertical="center"/>
    </xf>
    <xf numFmtId="9" fontId="24" fillId="0" borderId="6" xfId="0" applyNumberFormat="1" applyFont="1" applyBorder="1">
      <alignment vertical="center"/>
    </xf>
    <xf numFmtId="177" fontId="24" fillId="0" borderId="4" xfId="0" applyNumberFormat="1" applyFont="1" applyBorder="1">
      <alignment vertical="center"/>
    </xf>
    <xf numFmtId="177" fontId="24" fillId="0" borderId="5" xfId="0" applyNumberFormat="1" applyFont="1" applyBorder="1">
      <alignment vertical="center"/>
    </xf>
    <xf numFmtId="177" fontId="24" fillId="0" borderId="69" xfId="0" applyNumberFormat="1" applyFont="1" applyBorder="1">
      <alignment vertical="center"/>
    </xf>
    <xf numFmtId="3" fontId="0" fillId="0" borderId="7" xfId="0" applyNumberFormat="1" applyBorder="1">
      <alignment vertical="center"/>
    </xf>
    <xf numFmtId="3" fontId="24" fillId="0" borderId="8" xfId="0" applyNumberFormat="1" applyFont="1" applyBorder="1" applyAlignment="1">
      <alignment horizontal="center" vertical="center"/>
    </xf>
    <xf numFmtId="177" fontId="24" fillId="0" borderId="6" xfId="0" applyNumberFormat="1" applyFont="1" applyBorder="1">
      <alignment vertical="center"/>
    </xf>
    <xf numFmtId="177" fontId="24" fillId="0" borderId="8" xfId="0" applyNumberFormat="1" applyFont="1" applyBorder="1">
      <alignment vertical="center"/>
    </xf>
    <xf numFmtId="177" fontId="24" fillId="0" borderId="70" xfId="0" applyNumberFormat="1" applyFont="1" applyBorder="1">
      <alignment vertical="center"/>
    </xf>
    <xf numFmtId="179" fontId="0" fillId="0" borderId="0" xfId="0" applyNumberFormat="1">
      <alignment vertical="center"/>
    </xf>
    <xf numFmtId="14" fontId="2" fillId="4" borderId="6" xfId="0" applyNumberFormat="1" applyFont="1" applyFill="1" applyBorder="1" applyAlignment="1">
      <alignment horizontal="centerContinuous" vertical="center"/>
    </xf>
    <xf numFmtId="14" fontId="2" fillId="4" borderId="8" xfId="0" applyNumberFormat="1" applyFont="1" applyFill="1" applyBorder="1" applyAlignment="1">
      <alignment horizontal="centerContinuous" vertical="center"/>
    </xf>
    <xf numFmtId="178" fontId="2" fillId="4" borderId="15" xfId="1" applyNumberFormat="1" applyFont="1" applyFill="1" applyBorder="1" applyAlignment="1">
      <alignment vertical="center"/>
    </xf>
    <xf numFmtId="178" fontId="2" fillId="4" borderId="16" xfId="1" applyNumberFormat="1" applyFont="1" applyFill="1" applyBorder="1" applyAlignment="1">
      <alignment vertical="center"/>
    </xf>
    <xf numFmtId="178" fontId="2" fillId="4" borderId="47" xfId="1" applyNumberFormat="1" applyFont="1" applyFill="1" applyBorder="1">
      <alignment vertical="center"/>
    </xf>
    <xf numFmtId="178" fontId="2" fillId="4" borderId="16" xfId="1" applyNumberFormat="1" applyFont="1" applyFill="1" applyBorder="1">
      <alignment vertical="center"/>
    </xf>
    <xf numFmtId="178" fontId="2" fillId="4" borderId="17" xfId="1" applyNumberFormat="1" applyFont="1" applyFill="1" applyBorder="1">
      <alignment vertical="center"/>
    </xf>
    <xf numFmtId="0" fontId="16" fillId="10" borderId="48" xfId="0" applyFont="1" applyFill="1" applyBorder="1" applyAlignment="1">
      <alignment horizontal="centerContinuous" vertical="center"/>
    </xf>
    <xf numFmtId="0" fontId="16" fillId="10" borderId="67" xfId="0" applyFont="1" applyFill="1" applyBorder="1" applyAlignment="1">
      <alignment horizontal="centerContinuous" vertical="center"/>
    </xf>
    <xf numFmtId="0" fontId="16" fillId="10" borderId="55" xfId="0" applyFont="1" applyFill="1" applyBorder="1" applyAlignment="1">
      <alignment horizontal="centerContinuous" vertical="center"/>
    </xf>
    <xf numFmtId="0" fontId="24" fillId="0" borderId="3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3" fillId="15" borderId="67" xfId="0" applyFont="1" applyFill="1" applyBorder="1" applyAlignment="1">
      <alignment horizontal="center" vertical="center"/>
    </xf>
    <xf numFmtId="0" fontId="23" fillId="15" borderId="5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6" fillId="10" borderId="0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7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6" fillId="14" borderId="68" xfId="0" applyNumberFormat="1" applyFont="1" applyFill="1" applyBorder="1" applyAlignment="1">
      <alignment horizontal="center" vertical="center"/>
    </xf>
    <xf numFmtId="178" fontId="16" fillId="14" borderId="70" xfId="0" applyNumberFormat="1" applyFont="1" applyFill="1" applyBorder="1" applyAlignment="1">
      <alignment horizontal="center" vertical="center"/>
    </xf>
    <xf numFmtId="178" fontId="16" fillId="14" borderId="1" xfId="0" applyNumberFormat="1" applyFont="1" applyFill="1" applyBorder="1" applyAlignment="1">
      <alignment horizontal="center" vertical="center"/>
    </xf>
    <xf numFmtId="178" fontId="16" fillId="14" borderId="2" xfId="0" applyNumberFormat="1" applyFont="1" applyFill="1" applyBorder="1" applyAlignment="1">
      <alignment horizontal="center" vertical="center"/>
    </xf>
    <xf numFmtId="178" fontId="16" fillId="14" borderId="6" xfId="0" applyNumberFormat="1" applyFont="1" applyFill="1" applyBorder="1" applyAlignment="1">
      <alignment horizontal="center" vertical="center"/>
    </xf>
    <xf numFmtId="178" fontId="16" fillId="14" borderId="7" xfId="0" applyNumberFormat="1" applyFont="1" applyFill="1" applyBorder="1" applyAlignment="1">
      <alignment horizontal="center" vertical="center"/>
    </xf>
    <xf numFmtId="0" fontId="14" fillId="6" borderId="95" xfId="0" applyFont="1" applyFill="1" applyBorder="1" applyAlignment="1">
      <alignment horizontal="center" vertical="center"/>
    </xf>
    <xf numFmtId="0" fontId="14" fillId="6" borderId="96" xfId="0" applyFont="1" applyFill="1" applyBorder="1" applyAlignment="1">
      <alignment horizontal="center" vertical="center"/>
    </xf>
    <xf numFmtId="0" fontId="14" fillId="6" borderId="97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234557284159464E-2"/>
          <c:y val="0.28756197768561925"/>
          <c:w val="0.97291712426774946"/>
          <c:h val="0.48622959490478113"/>
        </c:manualLayout>
      </c:layout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건자재!$AL$37:$AX$37</c:f>
              <c:strCache>
                <c:ptCount val="13"/>
                <c:pt idx="0">
                  <c:v>8월</c:v>
                </c:pt>
                <c:pt idx="1">
                  <c:v>9월</c:v>
                </c:pt>
                <c:pt idx="2">
                  <c:v>10월</c:v>
                </c:pt>
                <c:pt idx="3">
                  <c:v>11월</c:v>
                </c:pt>
                <c:pt idx="4">
                  <c:v>12월</c:v>
                </c:pt>
                <c:pt idx="5">
                  <c:v>1월</c:v>
                </c:pt>
                <c:pt idx="6">
                  <c:v>2월</c:v>
                </c:pt>
                <c:pt idx="7">
                  <c:v>3월</c:v>
                </c:pt>
                <c:pt idx="8">
                  <c:v>4월</c:v>
                </c:pt>
                <c:pt idx="9">
                  <c:v>5월</c:v>
                </c:pt>
                <c:pt idx="10">
                  <c:v>6월</c:v>
                </c:pt>
                <c:pt idx="11">
                  <c:v>7월</c:v>
                </c:pt>
                <c:pt idx="12">
                  <c:v>8월</c:v>
                </c:pt>
              </c:strCache>
            </c:strRef>
          </c:cat>
          <c:val>
            <c:numRef>
              <c:f>건자재!$AL$38:$AX$38</c:f>
              <c:numCache>
                <c:formatCode>#,##0_);[Red]\(#,##0\)</c:formatCode>
                <c:ptCount val="13"/>
                <c:pt idx="0">
                  <c:v>846014.52770958561</c:v>
                </c:pt>
                <c:pt idx="1">
                  <c:v>879572.42936012533</c:v>
                </c:pt>
                <c:pt idx="2">
                  <c:v>818946.47731031897</c:v>
                </c:pt>
                <c:pt idx="3">
                  <c:v>798803.69146262086</c:v>
                </c:pt>
                <c:pt idx="4">
                  <c:v>752238.01942182856</c:v>
                </c:pt>
                <c:pt idx="5">
                  <c:v>756420.01123690419</c:v>
                </c:pt>
                <c:pt idx="6">
                  <c:v>744684.72993482568</c:v>
                </c:pt>
                <c:pt idx="7">
                  <c:v>736140.83983969816</c:v>
                </c:pt>
                <c:pt idx="8">
                  <c:v>800210.93236806407</c:v>
                </c:pt>
                <c:pt idx="9">
                  <c:v>798001.52569848381</c:v>
                </c:pt>
                <c:pt idx="10">
                  <c:v>779915.72567572771</c:v>
                </c:pt>
                <c:pt idx="11">
                  <c:v>794077.93162643479</c:v>
                </c:pt>
                <c:pt idx="12">
                  <c:v>765881.71758050087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4-46FC-8FC4-288C49F9A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000000"/>
          <c:min val="7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28</xdr:row>
      <xdr:rowOff>27213</xdr:rowOff>
    </xdr:from>
    <xdr:to>
      <xdr:col>14</xdr:col>
      <xdr:colOff>544285</xdr:colOff>
      <xdr:row>33</xdr:row>
      <xdr:rowOff>258535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1A4D714-984C-4AB0-97A8-547DE6A63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1_&#51665;&#44228;/&#50896;&#44032;&#49552;&#51061;/2025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_&#54637;&#47785;&#48324;&#49552;&#51061;&#49892;&#5120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0_&#48372;&#44256;&#49436;/2024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8/01_&#47112;&#48120;&#53080;/&#47112;&#48120;&#53080;&#50896;&#44032;&#49552;&#51061;(2025-08)&#44228;&#54925;&#45824;&#4870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8/01_&#47112;&#48120;&#53080;/&#47112;&#48120;&#53080;&#50896;&#44032;&#49552;&#51061;(2025-08)&#51204;&#45380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8/02_&#44148;&#51088;&#51116;/&#44148;&#51088;&#51116;&#50689;&#50629;&#49552;&#51061;(2025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2_&#44148;&#51088;&#51116;/&#44148;&#51088;&#51116;&#50689;&#50629;&#49552;&#51061;(20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8/03_&#44264;&#51116;/&#48512;&#49328;&#47784;&#47000;&#51109;&#50896;&#44032;&#49552;&#51061;(2025-08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8/03_&#44264;&#51116;/&#48512;&#49328;&#53356;&#46972;&#49380;&#50896;&#44032;&#49552;&#51061;(2025-08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8/03_&#44264;&#51116;/&#49436;&#48512;&#49328;&#53356;&#46972;&#49380;&#50896;&#44032;&#49552;&#51061;(2025-08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3_&#44264;&#51116;/&#44264;&#51116;&#50896;&#44032;&#49552;&#51061;(2024-08)&#44228;&#54925;&#45824;&#48708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8/01_&#47112;&#48120;&#53080;/&#47112;&#48120;&#53080;&#50896;&#44032;&#49552;&#51061;(2025-08&#45572;&#44228;)&#44228;&#54925;&#45824;&#4870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8/01_&#47112;&#48120;&#53080;/&#47112;&#48120;&#53080;&#50896;&#44032;&#49552;&#51061;(2025-08&#45572;&#44228;)&#51204;&#45380;&#45824;&#48708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148;&#51088;&#51116;/2025&#45380;_&#50696;&#49328;&#50836;&#44396;&#50504;_&#44148;&#51088;&#51116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5-0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6-12월"/>
      <sheetName val="하반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1"/>
      <sheetName val="Sheet2"/>
      <sheetName val="Sheet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W6"/>
          <cell r="X6"/>
          <cell r="Y6"/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K6"/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  <cell r="AV6"/>
        </row>
        <row r="7">
          <cell r="D7" t="str">
            <v>물     량</v>
          </cell>
          <cell r="E7"/>
          <cell r="F7">
            <v>40000</v>
          </cell>
          <cell r="G7">
            <v>26000</v>
          </cell>
          <cell r="H7">
            <v>22000</v>
          </cell>
          <cell r="I7">
            <v>14000</v>
          </cell>
          <cell r="J7">
            <v>17000</v>
          </cell>
          <cell r="K7">
            <v>17000</v>
          </cell>
          <cell r="L7">
            <v>13000</v>
          </cell>
          <cell r="M7">
            <v>18000</v>
          </cell>
          <cell r="N7">
            <v>12000</v>
          </cell>
          <cell r="O7">
            <v>13000</v>
          </cell>
          <cell r="P7">
            <v>12500</v>
          </cell>
          <cell r="Q7">
            <v>12000</v>
          </cell>
          <cell r="R7">
            <v>21000</v>
          </cell>
          <cell r="S7">
            <v>12000</v>
          </cell>
          <cell r="T7">
            <v>8000</v>
          </cell>
          <cell r="U7">
            <v>5000</v>
          </cell>
          <cell r="V7">
            <v>9000</v>
          </cell>
          <cell r="W7">
            <v>0</v>
          </cell>
          <cell r="X7">
            <v>0</v>
          </cell>
          <cell r="Y7">
            <v>0</v>
          </cell>
          <cell r="Z7">
            <v>271500</v>
          </cell>
          <cell r="AA7">
            <v>12600</v>
          </cell>
          <cell r="AB7">
            <v>39949.490322580648</v>
          </cell>
          <cell r="AC7">
            <v>34726.836133333331</v>
          </cell>
          <cell r="AD7">
            <v>20454.552036904013</v>
          </cell>
          <cell r="AE7">
            <v>95130.878492817996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/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/>
          <cell r="AV7"/>
          <cell r="AW7"/>
          <cell r="AX7"/>
          <cell r="AY7"/>
          <cell r="AZ7"/>
        </row>
        <row r="8">
          <cell r="D8" t="str">
            <v>매 출 액</v>
          </cell>
          <cell r="E8">
            <v>43092898.062141694</v>
          </cell>
          <cell r="F8">
            <v>4050279.49</v>
          </cell>
          <cell r="G8">
            <v>2579361.3028609389</v>
          </cell>
          <cell r="H8">
            <v>2150015.6168</v>
          </cell>
          <cell r="I8">
            <v>1318947.1400000001</v>
          </cell>
          <cell r="J8">
            <v>1830903.4197480001</v>
          </cell>
          <cell r="K8">
            <v>1688097.4380000019</v>
          </cell>
          <cell r="L8">
            <v>1251895.75</v>
          </cell>
          <cell r="M8">
            <v>1836004.4108</v>
          </cell>
          <cell r="N8">
            <v>1132560</v>
          </cell>
          <cell r="O8">
            <v>1314304.9431960001</v>
          </cell>
          <cell r="P8">
            <v>1202006.4212500001</v>
          </cell>
          <cell r="Q8">
            <v>1243554</v>
          </cell>
          <cell r="R8">
            <v>2163000</v>
          </cell>
          <cell r="S8">
            <v>1204608.48</v>
          </cell>
          <cell r="T8">
            <v>891236.90000000014</v>
          </cell>
          <cell r="U8">
            <v>560000</v>
          </cell>
          <cell r="V8">
            <v>1106960</v>
          </cell>
          <cell r="W8">
            <v>0</v>
          </cell>
          <cell r="X8">
            <v>0</v>
          </cell>
          <cell r="Y8">
            <v>0</v>
          </cell>
          <cell r="Z8">
            <v>27523735.312654939</v>
          </cell>
          <cell r="AA8">
            <v>13712918.880000001</v>
          </cell>
          <cell r="AB8">
            <v>580384.24516129028</v>
          </cell>
          <cell r="AC8">
            <v>580666.00399999996</v>
          </cell>
          <cell r="AD8">
            <v>551465.45365880511</v>
          </cell>
          <cell r="AE8">
            <v>1712515.7028200952</v>
          </cell>
          <cell r="AF8">
            <v>12500</v>
          </cell>
          <cell r="AG8">
            <v>25000</v>
          </cell>
          <cell r="AH8">
            <v>29166.666666666668</v>
          </cell>
          <cell r="AI8">
            <v>69770</v>
          </cell>
          <cell r="AJ8">
            <v>5521.5</v>
          </cell>
          <cell r="AK8">
            <v>0</v>
          </cell>
          <cell r="AL8">
            <v>141958.16666666669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  <cell r="AV8"/>
          <cell r="AW8"/>
          <cell r="AX8"/>
          <cell r="AY8"/>
          <cell r="AZ8"/>
        </row>
        <row r="9">
          <cell r="D9" t="str">
            <v xml:space="preserve"> - 단  위  당</v>
          </cell>
          <cell r="E9"/>
          <cell r="F9">
            <v>101256.98725000001</v>
          </cell>
          <cell r="G9">
            <v>99206.203956189958</v>
          </cell>
          <cell r="H9">
            <v>97727.982581818185</v>
          </cell>
          <cell r="I9">
            <v>94210.510000000009</v>
          </cell>
          <cell r="J9">
            <v>107700.20116164706</v>
          </cell>
          <cell r="K9">
            <v>99299.849294117768</v>
          </cell>
          <cell r="L9">
            <v>96299.673076923078</v>
          </cell>
          <cell r="M9">
            <v>102000.24504444444</v>
          </cell>
          <cell r="N9">
            <v>94380</v>
          </cell>
          <cell r="O9">
            <v>101100.38024584616</v>
          </cell>
          <cell r="P9">
            <v>96160.51370000001</v>
          </cell>
          <cell r="Q9">
            <v>103629.5</v>
          </cell>
          <cell r="R9">
            <v>103000</v>
          </cell>
          <cell r="S9">
            <v>100384.04</v>
          </cell>
          <cell r="T9">
            <v>111404.61250000002</v>
          </cell>
          <cell r="U9">
            <v>112000</v>
          </cell>
          <cell r="V9">
            <v>122995.55555555556</v>
          </cell>
          <cell r="W9">
            <v>0</v>
          </cell>
          <cell r="X9">
            <v>0</v>
          </cell>
          <cell r="Y9">
            <v>0</v>
          </cell>
          <cell r="Z9">
            <v>101376.55732101267</v>
          </cell>
          <cell r="AA9">
            <v>1088326.8952380954</v>
          </cell>
          <cell r="AB9">
            <v>14527.951182226716</v>
          </cell>
          <cell r="AC9">
            <v>16720.959023463551</v>
          </cell>
          <cell r="AD9">
            <v>26960.524613976078</v>
          </cell>
          <cell r="AE9">
            <v>18001.680736601036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/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/>
          <cell r="AV9"/>
          <cell r="AW9"/>
          <cell r="AX9"/>
          <cell r="AY9"/>
          <cell r="AZ9"/>
        </row>
        <row r="10">
          <cell r="D10" t="str">
            <v>매출원가</v>
          </cell>
          <cell r="E10">
            <v>38324246.032784767</v>
          </cell>
          <cell r="F10">
            <v>3432722.5779068111</v>
          </cell>
          <cell r="G10">
            <v>2328075.9529494429</v>
          </cell>
          <cell r="H10">
            <v>1925011.3883699027</v>
          </cell>
          <cell r="I10">
            <v>1156137.2346045314</v>
          </cell>
          <cell r="J10">
            <v>1600256.3738532043</v>
          </cell>
          <cell r="K10">
            <v>1459167.7533462085</v>
          </cell>
          <cell r="L10">
            <v>1091523.333680887</v>
          </cell>
          <cell r="M10">
            <v>1611262.4512796751</v>
          </cell>
          <cell r="N10">
            <v>975068.8683632568</v>
          </cell>
          <cell r="O10">
            <v>1098897.3445982237</v>
          </cell>
          <cell r="P10">
            <v>1018698.8759275543</v>
          </cell>
          <cell r="Q10">
            <v>1069215.3663920225</v>
          </cell>
          <cell r="R10">
            <v>1781313.7302197381</v>
          </cell>
          <cell r="S10">
            <v>970555.86751745432</v>
          </cell>
          <cell r="T10">
            <v>635285.6134670953</v>
          </cell>
          <cell r="U10">
            <v>432627.30080659606</v>
          </cell>
          <cell r="V10">
            <v>886868.77068025176</v>
          </cell>
          <cell r="W10">
            <v>0</v>
          </cell>
          <cell r="X10">
            <v>0</v>
          </cell>
          <cell r="Y10">
            <v>0</v>
          </cell>
          <cell r="Z10">
            <v>23472688.803962857</v>
          </cell>
          <cell r="AA10">
            <v>13342736.269191843</v>
          </cell>
          <cell r="AB10">
            <v>504051.86499999999</v>
          </cell>
          <cell r="AC10">
            <v>502447.78212586662</v>
          </cell>
          <cell r="AD10">
            <v>460954.99250419601</v>
          </cell>
          <cell r="AE10">
            <v>1467454.6396300625</v>
          </cell>
          <cell r="AF10">
            <v>110</v>
          </cell>
          <cell r="AG10">
            <v>628</v>
          </cell>
          <cell r="AH10">
            <v>443</v>
          </cell>
          <cell r="AI10">
            <v>197</v>
          </cell>
          <cell r="AJ10">
            <v>151</v>
          </cell>
          <cell r="AK10">
            <v>0</v>
          </cell>
          <cell r="AL10">
            <v>1529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39837.32</v>
          </cell>
          <cell r="AT10">
            <v>0</v>
          </cell>
          <cell r="AU10">
            <v>39837.32</v>
          </cell>
          <cell r="AV10"/>
          <cell r="AW10"/>
          <cell r="AX10"/>
          <cell r="AY10"/>
          <cell r="AZ10"/>
        </row>
        <row r="11">
          <cell r="D11" t="str">
            <v xml:space="preserve"> - 단  위  당</v>
          </cell>
          <cell r="E11"/>
          <cell r="F11">
            <v>85818.064447670287</v>
          </cell>
          <cell r="G11">
            <v>89541.382805747795</v>
          </cell>
          <cell r="H11">
            <v>87500.51765317739</v>
          </cell>
          <cell r="I11">
            <v>82581.231043180815</v>
          </cell>
          <cell r="J11">
            <v>94132.7278737179</v>
          </cell>
          <cell r="K11">
            <v>85833.397255659322</v>
          </cell>
          <cell r="L11">
            <v>83963.333360068238</v>
          </cell>
          <cell r="M11">
            <v>89514.580626648618</v>
          </cell>
          <cell r="N11">
            <v>81255.739030271405</v>
          </cell>
          <cell r="O11">
            <v>84530.564969094135</v>
          </cell>
          <cell r="P11">
            <v>81495.910074204352</v>
          </cell>
          <cell r="Q11">
            <v>89101.280532668534</v>
          </cell>
          <cell r="R11">
            <v>84824.463343797048</v>
          </cell>
          <cell r="S11">
            <v>80879.655626454522</v>
          </cell>
          <cell r="T11">
            <v>79410.701683386913</v>
          </cell>
          <cell r="U11">
            <v>86525.460161319221</v>
          </cell>
          <cell r="V11">
            <v>98540.974520027972</v>
          </cell>
          <cell r="W11">
            <v>0</v>
          </cell>
          <cell r="X11">
            <v>0</v>
          </cell>
          <cell r="Y11">
            <v>0</v>
          </cell>
          <cell r="Z11">
            <v>86455.575705203897</v>
          </cell>
          <cell r="AA11">
            <v>1058947.3229517334</v>
          </cell>
          <cell r="AB11">
            <v>12617.228929078346</v>
          </cell>
          <cell r="AC11">
            <v>14468.573531914153</v>
          </cell>
          <cell r="AD11">
            <v>22535.570159275208</v>
          </cell>
          <cell r="AE11">
            <v>15425.639528187996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/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/>
          <cell r="AV11"/>
          <cell r="AW11"/>
          <cell r="AX11"/>
          <cell r="AY11"/>
          <cell r="AZ11"/>
        </row>
        <row r="12">
          <cell r="D12" t="str">
            <v>매출이익</v>
          </cell>
          <cell r="E12">
            <v>4768652.0293569267</v>
          </cell>
          <cell r="F12">
            <v>617556.91209318908</v>
          </cell>
          <cell r="G12">
            <v>251285.34991149604</v>
          </cell>
          <cell r="H12">
            <v>225004.22843009722</v>
          </cell>
          <cell r="I12">
            <v>162809.9053954687</v>
          </cell>
          <cell r="J12">
            <v>230647.0458947958</v>
          </cell>
          <cell r="K12">
            <v>228929.68465379346</v>
          </cell>
          <cell r="L12">
            <v>160372.41631911299</v>
          </cell>
          <cell r="M12">
            <v>224741.95952032483</v>
          </cell>
          <cell r="N12">
            <v>157491.1316367432</v>
          </cell>
          <cell r="O12">
            <v>215407.59859777638</v>
          </cell>
          <cell r="P12">
            <v>183307.5453224458</v>
          </cell>
          <cell r="Q12">
            <v>174338.63360797754</v>
          </cell>
          <cell r="R12">
            <v>381686.26978026191</v>
          </cell>
          <cell r="S12">
            <v>234052.61248254566</v>
          </cell>
          <cell r="T12">
            <v>255951.28653290484</v>
          </cell>
          <cell r="U12">
            <v>127372.69919340394</v>
          </cell>
          <cell r="V12">
            <v>220091.22931974824</v>
          </cell>
          <cell r="W12">
            <v>0</v>
          </cell>
          <cell r="X12">
            <v>0</v>
          </cell>
          <cell r="Y12">
            <v>0</v>
          </cell>
          <cell r="Z12">
            <v>4051046.508692082</v>
          </cell>
          <cell r="AA12">
            <v>370182.61080815829</v>
          </cell>
          <cell r="AB12">
            <v>76332.38016129029</v>
          </cell>
          <cell r="AC12">
            <v>78218.221874133334</v>
          </cell>
          <cell r="AD12">
            <v>90510.461154609104</v>
          </cell>
          <cell r="AE12">
            <v>245061.06319003273</v>
          </cell>
          <cell r="AF12">
            <v>12390</v>
          </cell>
          <cell r="AG12">
            <v>24372</v>
          </cell>
          <cell r="AH12">
            <v>28723.666666666668</v>
          </cell>
          <cell r="AI12">
            <v>69573</v>
          </cell>
          <cell r="AJ12">
            <v>5370.5</v>
          </cell>
          <cell r="AK12">
            <v>0</v>
          </cell>
          <cell r="AL12">
            <v>140429.16666666669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-39837.32</v>
          </cell>
          <cell r="AT12">
            <v>1770</v>
          </cell>
          <cell r="AU12">
            <v>-38067.32</v>
          </cell>
          <cell r="AV12"/>
          <cell r="AW12"/>
          <cell r="AX12"/>
          <cell r="AY12"/>
          <cell r="AZ12"/>
        </row>
        <row r="13">
          <cell r="D13" t="str">
            <v>판 관 비</v>
          </cell>
          <cell r="E13">
            <v>783368.22000000009</v>
          </cell>
          <cell r="F13">
            <v>66239.859999999986</v>
          </cell>
          <cell r="G13">
            <v>59535.31</v>
          </cell>
          <cell r="H13">
            <v>48977.32</v>
          </cell>
          <cell r="I13">
            <v>33928.26</v>
          </cell>
          <cell r="J13">
            <v>44930.44</v>
          </cell>
          <cell r="K13">
            <v>47253.14</v>
          </cell>
          <cell r="L13">
            <v>37133.67</v>
          </cell>
          <cell r="M13">
            <v>45809.33</v>
          </cell>
          <cell r="N13">
            <v>27028.299999999996</v>
          </cell>
          <cell r="O13">
            <v>35724.47</v>
          </cell>
          <cell r="P13">
            <v>36284.270000000004</v>
          </cell>
          <cell r="Q13">
            <v>35535.71</v>
          </cell>
          <cell r="R13">
            <v>44388.639999999999</v>
          </cell>
          <cell r="S13">
            <v>28785.809999999998</v>
          </cell>
          <cell r="T13">
            <v>10937.019999999999</v>
          </cell>
          <cell r="U13">
            <v>11440.220000000001</v>
          </cell>
          <cell r="V13">
            <v>15019.560000000001</v>
          </cell>
          <cell r="W13">
            <v>0</v>
          </cell>
          <cell r="X13">
            <v>0</v>
          </cell>
          <cell r="Y13">
            <v>0</v>
          </cell>
          <cell r="Z13">
            <v>628951.33000000007</v>
          </cell>
          <cell r="AA13">
            <v>116814.58000000002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479</v>
          </cell>
          <cell r="AN13">
            <v>267</v>
          </cell>
          <cell r="AO13">
            <v>217</v>
          </cell>
          <cell r="AP13">
            <v>166</v>
          </cell>
          <cell r="AQ13">
            <v>7975</v>
          </cell>
          <cell r="AR13">
            <v>0</v>
          </cell>
          <cell r="AS13">
            <v>28498.31</v>
          </cell>
          <cell r="AT13">
            <v>0</v>
          </cell>
          <cell r="AU13">
            <v>37602.31</v>
          </cell>
          <cell r="AV13"/>
          <cell r="AW13"/>
          <cell r="AX13"/>
          <cell r="AY13"/>
          <cell r="AZ13"/>
        </row>
        <row r="14">
          <cell r="D14" t="str">
            <v xml:space="preserve"> - 노   무   비</v>
          </cell>
          <cell r="E14">
            <v>587993.1100000001</v>
          </cell>
          <cell r="F14">
            <v>49636.469999999994</v>
          </cell>
          <cell r="G14">
            <v>43328.76</v>
          </cell>
          <cell r="H14">
            <v>37165.25</v>
          </cell>
          <cell r="I14">
            <v>26271.91</v>
          </cell>
          <cell r="J14">
            <v>33148.82</v>
          </cell>
          <cell r="K14">
            <v>36362.49</v>
          </cell>
          <cell r="L14">
            <v>28154.09</v>
          </cell>
          <cell r="M14">
            <v>35251.530000000006</v>
          </cell>
          <cell r="N14">
            <v>20313.559999999998</v>
          </cell>
          <cell r="O14">
            <v>27304.470000000005</v>
          </cell>
          <cell r="P14">
            <v>27408.81</v>
          </cell>
          <cell r="Q14">
            <v>27046.1</v>
          </cell>
          <cell r="R14">
            <v>33282.01</v>
          </cell>
          <cell r="S14">
            <v>22210.209999999995</v>
          </cell>
          <cell r="T14">
            <v>7567.369999999999</v>
          </cell>
          <cell r="U14">
            <v>7347.5</v>
          </cell>
          <cell r="V14">
            <v>10807.03</v>
          </cell>
          <cell r="W14">
            <v>0</v>
          </cell>
          <cell r="X14">
            <v>0</v>
          </cell>
          <cell r="Y14">
            <v>0</v>
          </cell>
          <cell r="Z14">
            <v>472606.38000000006</v>
          </cell>
          <cell r="AA14">
            <v>89090.290000000008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26296.440000000002</v>
          </cell>
          <cell r="AT14">
            <v>0</v>
          </cell>
          <cell r="AU14">
            <v>26296.440000000002</v>
          </cell>
          <cell r="AV14"/>
          <cell r="AW14"/>
          <cell r="AX14"/>
          <cell r="AY14"/>
          <cell r="AZ14"/>
        </row>
        <row r="15">
          <cell r="D15" t="str">
            <v xml:space="preserve"> - 경        비</v>
          </cell>
          <cell r="E15">
            <v>195375.11</v>
          </cell>
          <cell r="F15">
            <v>16603.39</v>
          </cell>
          <cell r="G15">
            <v>16206.55</v>
          </cell>
          <cell r="H15">
            <v>11812.07</v>
          </cell>
          <cell r="I15">
            <v>7656.35</v>
          </cell>
          <cell r="J15">
            <v>11781.619999999999</v>
          </cell>
          <cell r="K15">
            <v>10890.65</v>
          </cell>
          <cell r="L15">
            <v>8979.58</v>
          </cell>
          <cell r="M15">
            <v>10557.8</v>
          </cell>
          <cell r="N15">
            <v>6714.74</v>
          </cell>
          <cell r="O15">
            <v>8420</v>
          </cell>
          <cell r="P15">
            <v>8875.4599999999991</v>
          </cell>
          <cell r="Q15">
            <v>8489.61</v>
          </cell>
          <cell r="R15">
            <v>11106.630000000001</v>
          </cell>
          <cell r="S15">
            <v>6575.6</v>
          </cell>
          <cell r="T15">
            <v>3369.65</v>
          </cell>
          <cell r="U15">
            <v>4092.7200000000003</v>
          </cell>
          <cell r="V15">
            <v>4212.53</v>
          </cell>
          <cell r="W15">
            <v>0</v>
          </cell>
          <cell r="X15">
            <v>0</v>
          </cell>
          <cell r="Y15">
            <v>0</v>
          </cell>
          <cell r="Z15">
            <v>156344.94999999998</v>
          </cell>
          <cell r="AA15">
            <v>27724.29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479</v>
          </cell>
          <cell r="AN15">
            <v>267</v>
          </cell>
          <cell r="AO15">
            <v>217</v>
          </cell>
          <cell r="AP15">
            <v>166</v>
          </cell>
          <cell r="AQ15">
            <v>7975</v>
          </cell>
          <cell r="AR15">
            <v>0</v>
          </cell>
          <cell r="AS15">
            <v>2201.87</v>
          </cell>
          <cell r="AT15">
            <v>0</v>
          </cell>
          <cell r="AU15">
            <v>11305.869999999999</v>
          </cell>
          <cell r="AV15"/>
          <cell r="AW15"/>
          <cell r="AX15"/>
          <cell r="AY15"/>
          <cell r="AZ15"/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/>
          <cell r="AW16"/>
          <cell r="AX16"/>
          <cell r="AY16"/>
          <cell r="AZ16"/>
        </row>
        <row r="17">
          <cell r="D17" t="str">
            <v>EBITDA</v>
          </cell>
          <cell r="E17">
            <v>3985283.8093569265</v>
          </cell>
          <cell r="F17">
            <v>551317.05209318909</v>
          </cell>
          <cell r="G17">
            <v>191750.03991149605</v>
          </cell>
          <cell r="H17">
            <v>176026.90843009722</v>
          </cell>
          <cell r="I17">
            <v>128881.64539546869</v>
          </cell>
          <cell r="J17">
            <v>185716.60589479579</v>
          </cell>
          <cell r="K17">
            <v>181676.54465379345</v>
          </cell>
          <cell r="L17">
            <v>123238.74631911299</v>
          </cell>
          <cell r="M17">
            <v>178932.62952032482</v>
          </cell>
          <cell r="N17">
            <v>130462.83163674321</v>
          </cell>
          <cell r="O17">
            <v>179683.12859777638</v>
          </cell>
          <cell r="P17">
            <v>147023.27532244578</v>
          </cell>
          <cell r="Q17">
            <v>138802.92360797754</v>
          </cell>
          <cell r="R17">
            <v>337297.62978026189</v>
          </cell>
          <cell r="S17">
            <v>205266.80248254567</v>
          </cell>
          <cell r="T17">
            <v>245014.26653290485</v>
          </cell>
          <cell r="U17">
            <v>115932.47919340394</v>
          </cell>
          <cell r="V17">
            <v>205071.66931974824</v>
          </cell>
          <cell r="W17">
            <v>0</v>
          </cell>
          <cell r="X17">
            <v>0</v>
          </cell>
          <cell r="Y17">
            <v>0</v>
          </cell>
          <cell r="Z17">
            <v>3422095.1786920819</v>
          </cell>
          <cell r="AA17">
            <v>253368.03080815828</v>
          </cell>
          <cell r="AB17">
            <v>76332.38016129029</v>
          </cell>
          <cell r="AC17">
            <v>78218.221874133334</v>
          </cell>
          <cell r="AD17">
            <v>90510.461154609104</v>
          </cell>
          <cell r="AE17">
            <v>245061.06319003273</v>
          </cell>
          <cell r="AF17">
            <v>12390</v>
          </cell>
          <cell r="AG17">
            <v>24372</v>
          </cell>
          <cell r="AH17">
            <v>28723.666666666668</v>
          </cell>
          <cell r="AI17">
            <v>69573</v>
          </cell>
          <cell r="AJ17">
            <v>5370.5</v>
          </cell>
          <cell r="AK17">
            <v>0</v>
          </cell>
          <cell r="AL17">
            <v>140429.16666666669</v>
          </cell>
          <cell r="AM17">
            <v>-479</v>
          </cell>
          <cell r="AN17">
            <v>-267</v>
          </cell>
          <cell r="AO17">
            <v>-217</v>
          </cell>
          <cell r="AP17">
            <v>-166</v>
          </cell>
          <cell r="AQ17">
            <v>-7975</v>
          </cell>
          <cell r="AR17">
            <v>0</v>
          </cell>
          <cell r="AS17">
            <v>-68335.63</v>
          </cell>
          <cell r="AT17">
            <v>1770</v>
          </cell>
          <cell r="AU17">
            <v>-75669.63</v>
          </cell>
          <cell r="AV17"/>
          <cell r="AW17"/>
          <cell r="AX17"/>
          <cell r="AY17"/>
          <cell r="AZ17"/>
        </row>
        <row r="18">
          <cell r="D18" t="str">
            <v>감가상각비</v>
          </cell>
          <cell r="E18">
            <v>579260.29201790108</v>
          </cell>
          <cell r="F18">
            <v>29807.823555555555</v>
          </cell>
          <cell r="G18">
            <v>35794.468461688899</v>
          </cell>
          <cell r="H18">
            <v>21509.885333333332</v>
          </cell>
          <cell r="I18">
            <v>18531.579444444447</v>
          </cell>
          <cell r="J18">
            <v>48271.086555555557</v>
          </cell>
          <cell r="K18">
            <v>28977.950777777776</v>
          </cell>
          <cell r="L18">
            <v>14075.254444444443</v>
          </cell>
          <cell r="M18">
            <v>26289.65722222222</v>
          </cell>
          <cell r="N18">
            <v>12058.400333333331</v>
          </cell>
          <cell r="O18">
            <v>31871.415222222218</v>
          </cell>
          <cell r="P18">
            <v>16332.069325359782</v>
          </cell>
          <cell r="Q18">
            <v>15715.589833060507</v>
          </cell>
          <cell r="R18">
            <v>36801.933444444439</v>
          </cell>
          <cell r="S18">
            <v>21587.247777777779</v>
          </cell>
          <cell r="T18">
            <v>11605.509666666669</v>
          </cell>
          <cell r="U18">
            <v>6057.137777777777</v>
          </cell>
          <cell r="V18">
            <v>12417.939286680763</v>
          </cell>
          <cell r="W18">
            <v>0</v>
          </cell>
          <cell r="X18">
            <v>0</v>
          </cell>
          <cell r="Y18">
            <v>0</v>
          </cell>
          <cell r="Z18">
            <v>387704.94846234552</v>
          </cell>
          <cell r="AA18">
            <v>5475.768</v>
          </cell>
          <cell r="AB18">
            <v>23534.010555555556</v>
          </cell>
          <cell r="AC18">
            <v>58123.188333333339</v>
          </cell>
          <cell r="AD18">
            <v>35400.856666666667</v>
          </cell>
          <cell r="AE18">
            <v>117058.05555555556</v>
          </cell>
          <cell r="AF18">
            <v>3295.3759999999997</v>
          </cell>
          <cell r="AG18">
            <v>5669.0560000000005</v>
          </cell>
          <cell r="AH18">
            <v>8242.3469999999998</v>
          </cell>
          <cell r="AI18">
            <v>8489.6080000000002</v>
          </cell>
          <cell r="AJ18">
            <v>1312.8920000000001</v>
          </cell>
          <cell r="AK18">
            <v>0</v>
          </cell>
          <cell r="AL18">
            <v>27009.279000000002</v>
          </cell>
          <cell r="AM18">
            <v>3687.22</v>
          </cell>
          <cell r="AN18">
            <v>899.51400000000001</v>
          </cell>
          <cell r="AO18">
            <v>353.67200000000003</v>
          </cell>
          <cell r="AP18">
            <v>241.20500000000001</v>
          </cell>
          <cell r="AQ18">
            <v>18257.885000000002</v>
          </cell>
          <cell r="AR18">
            <v>855.83600000000001</v>
          </cell>
          <cell r="AS18">
            <v>0</v>
          </cell>
          <cell r="AT18">
            <v>17716.909</v>
          </cell>
          <cell r="AU18">
            <v>42012.240999999995</v>
          </cell>
          <cell r="AV18"/>
          <cell r="AW18"/>
          <cell r="AX18"/>
          <cell r="AY18"/>
          <cell r="AZ18"/>
        </row>
        <row r="19">
          <cell r="D19" t="str">
            <v xml:space="preserve"> - 제        조</v>
          </cell>
          <cell r="E19">
            <v>509708.87001790106</v>
          </cell>
          <cell r="F19">
            <v>27480.201555555555</v>
          </cell>
          <cell r="G19">
            <v>33849.333461688897</v>
          </cell>
          <cell r="H19">
            <v>19738.638333333332</v>
          </cell>
          <cell r="I19">
            <v>17339.591444444446</v>
          </cell>
          <cell r="J19">
            <v>46395.020555555559</v>
          </cell>
          <cell r="K19">
            <v>27413.548777777778</v>
          </cell>
          <cell r="L19">
            <v>12881.655444444443</v>
          </cell>
          <cell r="M19">
            <v>24726.35222222222</v>
          </cell>
          <cell r="N19">
            <v>11308.364333333331</v>
          </cell>
          <cell r="O19">
            <v>30652.649222222219</v>
          </cell>
          <cell r="P19">
            <v>15126.681325359781</v>
          </cell>
          <cell r="Q19">
            <v>14613.434833060506</v>
          </cell>
          <cell r="R19">
            <v>35213.732444444438</v>
          </cell>
          <cell r="S19">
            <v>20460.383777777777</v>
          </cell>
          <cell r="T19">
            <v>11162.640666666668</v>
          </cell>
          <cell r="U19">
            <v>5686.7377777777774</v>
          </cell>
          <cell r="V19">
            <v>11592.569286680762</v>
          </cell>
          <cell r="W19">
            <v>0</v>
          </cell>
          <cell r="X19">
            <v>0</v>
          </cell>
          <cell r="Y19">
            <v>0</v>
          </cell>
          <cell r="Z19">
            <v>365641.53546234552</v>
          </cell>
          <cell r="AA19">
            <v>0</v>
          </cell>
          <cell r="AB19">
            <v>23534.010555555556</v>
          </cell>
          <cell r="AC19">
            <v>58123.188333333339</v>
          </cell>
          <cell r="AD19">
            <v>35400.856666666667</v>
          </cell>
          <cell r="AE19">
            <v>117058.05555555556</v>
          </cell>
          <cell r="AF19">
            <v>3295.3759999999997</v>
          </cell>
          <cell r="AG19">
            <v>5669.0560000000005</v>
          </cell>
          <cell r="AH19">
            <v>8242.3469999999998</v>
          </cell>
          <cell r="AI19">
            <v>8489.6080000000002</v>
          </cell>
          <cell r="AJ19">
            <v>1312.8920000000001</v>
          </cell>
          <cell r="AK19">
            <v>0</v>
          </cell>
          <cell r="AL19">
            <v>27009.279000000002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/>
          <cell r="AW19"/>
          <cell r="AX19"/>
          <cell r="AY19"/>
          <cell r="AZ19"/>
        </row>
        <row r="20">
          <cell r="D20" t="str">
            <v xml:space="preserve"> - 판        매</v>
          </cell>
          <cell r="E20">
            <v>69551.421999999991</v>
          </cell>
          <cell r="F20">
            <v>2327.6220000000003</v>
          </cell>
          <cell r="G20">
            <v>1945.135</v>
          </cell>
          <cell r="H20">
            <v>1771.2469999999998</v>
          </cell>
          <cell r="I20">
            <v>1191.9880000000001</v>
          </cell>
          <cell r="J20">
            <v>1876.066</v>
          </cell>
          <cell r="K20">
            <v>1564.402</v>
          </cell>
          <cell r="L20">
            <v>1193.5990000000002</v>
          </cell>
          <cell r="M20">
            <v>1563.3050000000001</v>
          </cell>
          <cell r="N20">
            <v>750.03599999999994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1126.864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22063.413</v>
          </cell>
          <cell r="AA20">
            <v>5475.768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3687.22</v>
          </cell>
          <cell r="AN20">
            <v>899.51400000000001</v>
          </cell>
          <cell r="AO20">
            <v>353.67200000000003</v>
          </cell>
          <cell r="AP20">
            <v>241.20500000000001</v>
          </cell>
          <cell r="AQ20">
            <v>18257.885000000002</v>
          </cell>
          <cell r="AR20">
            <v>855.83600000000001</v>
          </cell>
          <cell r="AS20">
            <v>0</v>
          </cell>
          <cell r="AT20">
            <v>17716.909</v>
          </cell>
          <cell r="AU20">
            <v>42012.240999999995</v>
          </cell>
          <cell r="AV20"/>
          <cell r="AW20"/>
          <cell r="AX20"/>
          <cell r="AY20"/>
          <cell r="AZ20"/>
        </row>
        <row r="21">
          <cell r="D21" t="str">
            <v>영업이익 I</v>
          </cell>
          <cell r="E21">
            <v>3406023.5173390256</v>
          </cell>
          <cell r="F21">
            <v>521509.22853763355</v>
          </cell>
          <cell r="G21">
            <v>155955.57144980715</v>
          </cell>
          <cell r="H21">
            <v>154517.02309676388</v>
          </cell>
          <cell r="I21">
            <v>110350.06595102424</v>
          </cell>
          <cell r="J21">
            <v>137445.51933924024</v>
          </cell>
          <cell r="K21">
            <v>152698.59387601569</v>
          </cell>
          <cell r="L21">
            <v>109163.49187466854</v>
          </cell>
          <cell r="M21">
            <v>152642.9722981026</v>
          </cell>
          <cell r="N21">
            <v>118404.43130340989</v>
          </cell>
          <cell r="O21">
            <v>147811.71337555416</v>
          </cell>
          <cell r="P21">
            <v>130691.205997086</v>
          </cell>
          <cell r="Q21">
            <v>123087.33377491703</v>
          </cell>
          <cell r="R21">
            <v>300495.69633581745</v>
          </cell>
          <cell r="S21">
            <v>183679.55470476788</v>
          </cell>
          <cell r="T21">
            <v>233408.75686623817</v>
          </cell>
          <cell r="U21">
            <v>109875.34141562616</v>
          </cell>
          <cell r="V21">
            <v>192653.73003306746</v>
          </cell>
          <cell r="W21">
            <v>0</v>
          </cell>
          <cell r="X21">
            <v>0</v>
          </cell>
          <cell r="Y21">
            <v>0</v>
          </cell>
          <cell r="Z21">
            <v>3034390.2302297363</v>
          </cell>
          <cell r="AA21">
            <v>247892.26280815827</v>
          </cell>
          <cell r="AB21">
            <v>52798.369605734733</v>
          </cell>
          <cell r="AC21">
            <v>20095.033540799996</v>
          </cell>
          <cell r="AD21">
            <v>55109.604487942437</v>
          </cell>
          <cell r="AE21">
            <v>128003.00763447717</v>
          </cell>
          <cell r="AF21">
            <v>9094.6239999999998</v>
          </cell>
          <cell r="AG21">
            <v>18702.944</v>
          </cell>
          <cell r="AH21">
            <v>20481.31966666667</v>
          </cell>
          <cell r="AI21">
            <v>61083.392</v>
          </cell>
          <cell r="AJ21">
            <v>4057.6080000000002</v>
          </cell>
          <cell r="AK21">
            <v>0</v>
          </cell>
          <cell r="AL21">
            <v>113419.88766666668</v>
          </cell>
          <cell r="AM21">
            <v>-4166.2199999999993</v>
          </cell>
          <cell r="AN21">
            <v>-1166.5140000000001</v>
          </cell>
          <cell r="AO21">
            <v>-570.67200000000003</v>
          </cell>
          <cell r="AP21">
            <v>-407.20500000000004</v>
          </cell>
          <cell r="AQ21">
            <v>-26232.885000000002</v>
          </cell>
          <cell r="AR21">
            <v>-855.83600000000001</v>
          </cell>
          <cell r="AS21">
            <v>-68335.63</v>
          </cell>
          <cell r="AT21">
            <v>-15946.909</v>
          </cell>
          <cell r="AU21">
            <v>-117681.871</v>
          </cell>
          <cell r="AV21"/>
          <cell r="AW21"/>
          <cell r="AX21"/>
          <cell r="AY21"/>
          <cell r="AZ21"/>
        </row>
        <row r="22">
          <cell r="D22" t="str">
            <v>공    통    비</v>
          </cell>
          <cell r="E22">
            <v>1351333.8304522228</v>
          </cell>
          <cell r="F22">
            <v>191676.30916723807</v>
          </cell>
          <cell r="G22">
            <v>122066.25635634425</v>
          </cell>
          <cell r="H22">
            <v>101747.80755195412</v>
          </cell>
          <cell r="I22">
            <v>62418.141860596508</v>
          </cell>
          <cell r="J22">
            <v>88713.226056791842</v>
          </cell>
          <cell r="K22">
            <v>81793.811736829521</v>
          </cell>
          <cell r="L22">
            <v>60658.421122274631</v>
          </cell>
          <cell r="M22">
            <v>88960.385665228197</v>
          </cell>
          <cell r="N22">
            <v>54876.215872003202</v>
          </cell>
          <cell r="O22">
            <v>63682.349530677937</v>
          </cell>
          <cell r="P22">
            <v>58241.12086957779</v>
          </cell>
          <cell r="Q22">
            <v>60254.236201607928</v>
          </cell>
          <cell r="R22">
            <v>98357.234906028636</v>
          </cell>
          <cell r="S22">
            <v>54776.680183612611</v>
          </cell>
          <cell r="T22">
            <v>40526.859514665171</v>
          </cell>
          <cell r="U22">
            <v>25464.656286350459</v>
          </cell>
          <cell r="V22">
            <v>50336.349862033036</v>
          </cell>
          <cell r="W22">
            <v>0</v>
          </cell>
          <cell r="X22">
            <v>0</v>
          </cell>
          <cell r="Y22">
            <v>0</v>
          </cell>
          <cell r="Z22">
            <v>1304550.0627438142</v>
          </cell>
          <cell r="AA22">
            <v>0</v>
          </cell>
          <cell r="AB22">
            <v>15855.365099737362</v>
          </cell>
          <cell r="AC22">
            <v>15863.062395615161</v>
          </cell>
          <cell r="AD22">
            <v>15065.34021305619</v>
          </cell>
          <cell r="AE22">
            <v>46783.767708408712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/>
          <cell r="AW22"/>
          <cell r="AX22"/>
          <cell r="AY22"/>
          <cell r="AZ22"/>
        </row>
        <row r="23">
          <cell r="D23" t="str">
            <v xml:space="preserve"> - 영업공통비</v>
          </cell>
          <cell r="E23">
            <v>258721.18333333341</v>
          </cell>
          <cell r="F23">
            <v>30891.933613912359</v>
          </cell>
          <cell r="G23">
            <v>19673.076470649834</v>
          </cell>
          <cell r="H23">
            <v>16398.409015240682</v>
          </cell>
          <cell r="I23">
            <v>10059.757009297047</v>
          </cell>
          <cell r="J23">
            <v>16031.658335490994</v>
          </cell>
          <cell r="K23">
            <v>14781.228256572151</v>
          </cell>
          <cell r="L23">
            <v>10961.782428925506</v>
          </cell>
          <cell r="M23">
            <v>16076.323359782287</v>
          </cell>
          <cell r="N23">
            <v>9916.861134566414</v>
          </cell>
          <cell r="O23">
            <v>11508.246459480231</v>
          </cell>
          <cell r="P23">
            <v>10524.944164011964</v>
          </cell>
          <cell r="Q23">
            <v>10888.740844930602</v>
          </cell>
          <cell r="R23">
            <v>12492.393928883248</v>
          </cell>
          <cell r="S23">
            <v>6957.2092751887549</v>
          </cell>
          <cell r="T23">
            <v>5147.3335361797172</v>
          </cell>
          <cell r="U23">
            <v>3234.2767453419415</v>
          </cell>
          <cell r="V23">
            <v>6393.2410464709201</v>
          </cell>
          <cell r="W23">
            <v>0</v>
          </cell>
          <cell r="X23">
            <v>0</v>
          </cell>
          <cell r="Y23">
            <v>0</v>
          </cell>
          <cell r="Z23">
            <v>211937.4156249247</v>
          </cell>
          <cell r="AA23">
            <v>0</v>
          </cell>
          <cell r="AB23">
            <v>15855.365099737362</v>
          </cell>
          <cell r="AC23">
            <v>15863.062395615161</v>
          </cell>
          <cell r="AD23">
            <v>15065.34021305619</v>
          </cell>
          <cell r="AE23">
            <v>46783.767708408712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/>
          <cell r="AW23"/>
          <cell r="AX23"/>
          <cell r="AY23"/>
          <cell r="AZ23"/>
        </row>
        <row r="24">
          <cell r="D24" t="str">
            <v xml:space="preserve"> - 부문공통비</v>
          </cell>
          <cell r="E24">
            <v>384116.45611111115</v>
          </cell>
          <cell r="F24">
            <v>56524.995110056814</v>
          </cell>
          <cell r="G24">
            <v>35997.117085686434</v>
          </cell>
          <cell r="H24">
            <v>30005.243471769842</v>
          </cell>
          <cell r="I24">
            <v>18406.996559865409</v>
          </cell>
          <cell r="J24">
            <v>25551.769230681413</v>
          </cell>
          <cell r="K24">
            <v>23558.793822460273</v>
          </cell>
          <cell r="L24">
            <v>17471.239039617711</v>
          </cell>
          <cell r="M24">
            <v>25622.957773344362</v>
          </cell>
          <cell r="N24">
            <v>15805.810097773263</v>
          </cell>
          <cell r="O24">
            <v>18342.210869817627</v>
          </cell>
          <cell r="P24">
            <v>16774.992256994381</v>
          </cell>
          <cell r="Q24">
            <v>17354.823029531621</v>
          </cell>
          <cell r="R24">
            <v>30186.451262170278</v>
          </cell>
          <cell r="S24">
            <v>16811.306135699037</v>
          </cell>
          <cell r="T24">
            <v>12437.9469463235</v>
          </cell>
          <cell r="U24">
            <v>7815.2624626978068</v>
          </cell>
          <cell r="V24">
            <v>15448.540956621364</v>
          </cell>
          <cell r="W24">
            <v>0</v>
          </cell>
          <cell r="X24">
            <v>0</v>
          </cell>
          <cell r="Y24">
            <v>0</v>
          </cell>
          <cell r="Z24">
            <v>384116.45611111115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/>
          <cell r="AW24"/>
          <cell r="AX24"/>
          <cell r="AY24"/>
          <cell r="AZ24"/>
        </row>
        <row r="25">
          <cell r="D25" t="str">
            <v xml:space="preserve"> - 본사공통비</v>
          </cell>
          <cell r="E25">
            <v>708496.19100777828</v>
          </cell>
          <cell r="F25">
            <v>104259.38044326891</v>
          </cell>
          <cell r="G25">
            <v>66396.062800007989</v>
          </cell>
          <cell r="H25">
            <v>55344.155064943589</v>
          </cell>
          <cell r="I25">
            <v>33951.38829143405</v>
          </cell>
          <cell r="J25">
            <v>47129.798490619425</v>
          </cell>
          <cell r="K25">
            <v>43453.789657797104</v>
          </cell>
          <cell r="L25">
            <v>32225.399653731416</v>
          </cell>
          <cell r="M25">
            <v>47261.104532101548</v>
          </cell>
          <cell r="N25">
            <v>29153.544639663527</v>
          </cell>
          <cell r="O25">
            <v>33831.892201380077</v>
          </cell>
          <cell r="P25">
            <v>30941.184448571446</v>
          </cell>
          <cell r="Q25">
            <v>32010.672327145705</v>
          </cell>
          <cell r="R25">
            <v>55678.389714975114</v>
          </cell>
          <cell r="S25">
            <v>31008.164772724824</v>
          </cell>
          <cell r="T25">
            <v>22941.579032161953</v>
          </cell>
          <cell r="U25">
            <v>14415.117078310708</v>
          </cell>
          <cell r="V25">
            <v>28494.567858940754</v>
          </cell>
          <cell r="W25">
            <v>0</v>
          </cell>
          <cell r="X25">
            <v>0</v>
          </cell>
          <cell r="Y25">
            <v>0</v>
          </cell>
          <cell r="Z25">
            <v>708496.19100777828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/>
          <cell r="AW25"/>
          <cell r="AX25"/>
          <cell r="AY25"/>
          <cell r="AZ25"/>
        </row>
        <row r="26">
          <cell r="D26" t="str">
            <v>영업이익 II</v>
          </cell>
          <cell r="E26">
            <v>2054689.6868868028</v>
          </cell>
          <cell r="F26">
            <v>329832.91937039548</v>
          </cell>
          <cell r="G26">
            <v>33889.315093462894</v>
          </cell>
          <cell r="H26">
            <v>52769.215544809762</v>
          </cell>
          <cell r="I26">
            <v>47931.924090427732</v>
          </cell>
          <cell r="J26">
            <v>48732.293282448401</v>
          </cell>
          <cell r="K26">
            <v>70904.782139186165</v>
          </cell>
          <cell r="L26">
            <v>48505.070752393913</v>
          </cell>
          <cell r="M26">
            <v>63682.586632874401</v>
          </cell>
          <cell r="N26">
            <v>63528.215431406687</v>
          </cell>
          <cell r="O26">
            <v>84129.363844876221</v>
          </cell>
          <cell r="P26">
            <v>72450.08512750821</v>
          </cell>
          <cell r="Q26">
            <v>62833.097573309104</v>
          </cell>
          <cell r="R26">
            <v>202138.46142978882</v>
          </cell>
          <cell r="S26">
            <v>128902.87452115527</v>
          </cell>
          <cell r="T26">
            <v>192881.89735157299</v>
          </cell>
          <cell r="U26">
            <v>84410.685129275691</v>
          </cell>
          <cell r="V26">
            <v>142317.38017103443</v>
          </cell>
          <cell r="W26">
            <v>0</v>
          </cell>
          <cell r="X26">
            <v>0</v>
          </cell>
          <cell r="Y26">
            <v>0</v>
          </cell>
          <cell r="Z26">
            <v>1729840.1674859221</v>
          </cell>
          <cell r="AA26">
            <v>247892.26280815827</v>
          </cell>
          <cell r="AB26">
            <v>36943.004505997371</v>
          </cell>
          <cell r="AC26">
            <v>4231.9711451848343</v>
          </cell>
          <cell r="AD26">
            <v>40044.264274886249</v>
          </cell>
          <cell r="AE26">
            <v>81219.239926068462</v>
          </cell>
          <cell r="AF26">
            <v>9094.6239999999998</v>
          </cell>
          <cell r="AG26">
            <v>18702.944</v>
          </cell>
          <cell r="AH26">
            <v>20481.31966666667</v>
          </cell>
          <cell r="AI26">
            <v>61083.392</v>
          </cell>
          <cell r="AJ26">
            <v>4057.6080000000002</v>
          </cell>
          <cell r="AK26">
            <v>0</v>
          </cell>
          <cell r="AL26">
            <v>113419.88766666668</v>
          </cell>
          <cell r="AM26">
            <v>-4166.2199999999993</v>
          </cell>
          <cell r="AN26">
            <v>-1166.5140000000001</v>
          </cell>
          <cell r="AO26">
            <v>-570.67200000000003</v>
          </cell>
          <cell r="AP26">
            <v>-407.20500000000004</v>
          </cell>
          <cell r="AQ26">
            <v>-26232.885000000002</v>
          </cell>
          <cell r="AR26">
            <v>-855.83600000000001</v>
          </cell>
          <cell r="AS26">
            <v>-68335.63</v>
          </cell>
          <cell r="AT26">
            <v>-15946.909</v>
          </cell>
          <cell r="AU26">
            <v>-117681.871</v>
          </cell>
          <cell r="AV26"/>
          <cell r="AW26"/>
          <cell r="AX26"/>
          <cell r="AY26"/>
          <cell r="AZ26"/>
        </row>
        <row r="27">
          <cell r="E27">
            <v>2054689.6868868202</v>
          </cell>
          <cell r="F27">
            <v>329832.91937039548</v>
          </cell>
          <cell r="G27">
            <v>33889.315093462894</v>
          </cell>
          <cell r="H27">
            <v>52769.215544809762</v>
          </cell>
          <cell r="I27">
            <v>47931.924090427747</v>
          </cell>
          <cell r="J27">
            <v>48732.293282448372</v>
          </cell>
          <cell r="K27">
            <v>70904.782139186165</v>
          </cell>
          <cell r="L27">
            <v>48505.070752393913</v>
          </cell>
          <cell r="M27">
            <v>63682.586632874431</v>
          </cell>
          <cell r="N27">
            <v>63528.215431406672</v>
          </cell>
          <cell r="O27">
            <v>84129.363844876221</v>
          </cell>
          <cell r="P27">
            <v>72450.085127508224</v>
          </cell>
          <cell r="Q27">
            <v>62833.097573309104</v>
          </cell>
          <cell r="R27">
            <v>202138.46142978882</v>
          </cell>
          <cell r="S27">
            <v>128902.87452115527</v>
          </cell>
          <cell r="T27">
            <v>192881.89735157299</v>
          </cell>
          <cell r="U27">
            <v>84410.685129275691</v>
          </cell>
          <cell r="V27">
            <v>142317.38017103443</v>
          </cell>
          <cell r="W27">
            <v>0</v>
          </cell>
          <cell r="X27">
            <v>0</v>
          </cell>
          <cell r="Y27">
            <v>0</v>
          </cell>
          <cell r="Z27">
            <v>1729840.1674859263</v>
          </cell>
          <cell r="AA27">
            <v>247892.2628081583</v>
          </cell>
          <cell r="AB27">
            <v>36943.004505997371</v>
          </cell>
          <cell r="AC27">
            <v>4231.9711451848343</v>
          </cell>
          <cell r="AD27">
            <v>40044.264274886249</v>
          </cell>
          <cell r="AE27">
            <v>81219.239926068462</v>
          </cell>
          <cell r="AF27">
            <v>9094.6239999999998</v>
          </cell>
          <cell r="AG27">
            <v>18702.944</v>
          </cell>
          <cell r="AH27">
            <v>20481.31966666667</v>
          </cell>
          <cell r="AI27">
            <v>61083.392</v>
          </cell>
          <cell r="AJ27">
            <v>4057.6080000000002</v>
          </cell>
          <cell r="AK27">
            <v>0</v>
          </cell>
          <cell r="AL27">
            <v>113419.88766666668</v>
          </cell>
          <cell r="AM27">
            <v>-4166.2199999999993</v>
          </cell>
          <cell r="AN27">
            <v>-1166.5140000000001</v>
          </cell>
          <cell r="AO27">
            <v>-570.67200000000003</v>
          </cell>
          <cell r="AP27">
            <v>-407.20500000000004</v>
          </cell>
          <cell r="AQ27">
            <v>-26232.885000000002</v>
          </cell>
          <cell r="AR27">
            <v>-855.83600000000001</v>
          </cell>
          <cell r="AS27">
            <v>-68335.63</v>
          </cell>
          <cell r="AT27">
            <v>-15946.909</v>
          </cell>
          <cell r="AU27">
            <v>-117681.871</v>
          </cell>
          <cell r="AV27"/>
          <cell r="AW27"/>
          <cell r="AX27"/>
          <cell r="AY27"/>
          <cell r="AZ27"/>
        </row>
        <row r="28">
          <cell r="E28">
            <v>-1.7462298274040222E-8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-4.1909515857696533E-9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29"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</row>
        <row r="30">
          <cell r="E30">
            <v>379230.87849281798</v>
          </cell>
          <cell r="F30">
            <v>40000</v>
          </cell>
          <cell r="G30">
            <v>26000</v>
          </cell>
          <cell r="H30">
            <v>22000</v>
          </cell>
          <cell r="I30">
            <v>14000</v>
          </cell>
          <cell r="J30">
            <v>17000</v>
          </cell>
          <cell r="K30">
            <v>17000</v>
          </cell>
          <cell r="L30">
            <v>13000</v>
          </cell>
          <cell r="M30">
            <v>18000</v>
          </cell>
          <cell r="N30">
            <v>12000</v>
          </cell>
          <cell r="O30">
            <v>13000</v>
          </cell>
          <cell r="P30">
            <v>12500</v>
          </cell>
          <cell r="Q30">
            <v>12000</v>
          </cell>
          <cell r="R30">
            <v>21000</v>
          </cell>
          <cell r="S30">
            <v>12000</v>
          </cell>
          <cell r="T30">
            <v>8000</v>
          </cell>
          <cell r="U30">
            <v>5000</v>
          </cell>
          <cell r="V30">
            <v>9000</v>
          </cell>
          <cell r="W30">
            <v>0</v>
          </cell>
          <cell r="X30">
            <v>0</v>
          </cell>
          <cell r="Y30">
            <v>0</v>
          </cell>
          <cell r="Z30">
            <v>271500</v>
          </cell>
          <cell r="AA30">
            <v>12600</v>
          </cell>
          <cell r="AB30">
            <v>39949.490322580648</v>
          </cell>
          <cell r="AC30">
            <v>34726.836133333331</v>
          </cell>
          <cell r="AD30">
            <v>20454.552036904013</v>
          </cell>
          <cell r="AE30">
            <v>95130.878492817996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43092898.062141694</v>
          </cell>
          <cell r="F31">
            <v>4050279.49</v>
          </cell>
          <cell r="G31">
            <v>2579361.3028609389</v>
          </cell>
          <cell r="H31">
            <v>2150015.6168</v>
          </cell>
          <cell r="I31">
            <v>1318947.1400000001</v>
          </cell>
          <cell r="J31">
            <v>1830903.4197480001</v>
          </cell>
          <cell r="K31">
            <v>1688097.4380000019</v>
          </cell>
          <cell r="L31">
            <v>1251895.75</v>
          </cell>
          <cell r="M31">
            <v>1836004.4108</v>
          </cell>
          <cell r="N31">
            <v>1132560</v>
          </cell>
          <cell r="O31">
            <v>1314304.9431960001</v>
          </cell>
          <cell r="P31">
            <v>1202006.4212500001</v>
          </cell>
          <cell r="Q31">
            <v>1243554</v>
          </cell>
          <cell r="R31">
            <v>2163000</v>
          </cell>
          <cell r="S31">
            <v>1204608.48</v>
          </cell>
          <cell r="T31">
            <v>891236.90000000014</v>
          </cell>
          <cell r="U31">
            <v>560000</v>
          </cell>
          <cell r="V31">
            <v>1106960</v>
          </cell>
          <cell r="W31">
            <v>0</v>
          </cell>
          <cell r="X31">
            <v>0</v>
          </cell>
          <cell r="Y31">
            <v>0</v>
          </cell>
          <cell r="Z31">
            <v>27523735.312654939</v>
          </cell>
          <cell r="AA31">
            <v>13712918.880000001</v>
          </cell>
          <cell r="AB31">
            <v>580384.24516129028</v>
          </cell>
          <cell r="AC31">
            <v>580666.00399999996</v>
          </cell>
          <cell r="AD31">
            <v>551465.45365880511</v>
          </cell>
          <cell r="AE31">
            <v>1712515.7028200952</v>
          </cell>
          <cell r="AF31">
            <v>12500</v>
          </cell>
          <cell r="AG31">
            <v>25000</v>
          </cell>
          <cell r="AH31">
            <v>29166.666666666668</v>
          </cell>
          <cell r="AI31">
            <v>69770</v>
          </cell>
          <cell r="AJ31">
            <v>5521.5</v>
          </cell>
          <cell r="AK31">
            <v>0</v>
          </cell>
          <cell r="AL31">
            <v>141958.16666666669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38833954.902802661</v>
          </cell>
          <cell r="F32">
            <v>3460202.7794623668</v>
          </cell>
          <cell r="G32">
            <v>2361925.2864111317</v>
          </cell>
          <cell r="H32">
            <v>1944750.0267032362</v>
          </cell>
          <cell r="I32">
            <v>1173476.8260489758</v>
          </cell>
          <cell r="J32">
            <v>1646651.3944087599</v>
          </cell>
          <cell r="K32">
            <v>1486581.3021239862</v>
          </cell>
          <cell r="L32">
            <v>1104404.9891253314</v>
          </cell>
          <cell r="M32">
            <v>1635988.8035018973</v>
          </cell>
          <cell r="N32">
            <v>986377.23269659013</v>
          </cell>
          <cell r="O32">
            <v>1129549.9938204458</v>
          </cell>
          <cell r="P32">
            <v>1033825.5572529141</v>
          </cell>
          <cell r="Q32">
            <v>1083828.8012250829</v>
          </cell>
          <cell r="R32">
            <v>1816527.4626641825</v>
          </cell>
          <cell r="S32">
            <v>991016.2512952321</v>
          </cell>
          <cell r="T32">
            <v>646448.25413376198</v>
          </cell>
          <cell r="U32">
            <v>438314.03858437383</v>
          </cell>
          <cell r="V32">
            <v>898461.33996693254</v>
          </cell>
          <cell r="W32">
            <v>0</v>
          </cell>
          <cell r="X32">
            <v>0</v>
          </cell>
          <cell r="Y32">
            <v>0</v>
          </cell>
          <cell r="Z32">
            <v>23838330.339425202</v>
          </cell>
          <cell r="AA32">
            <v>13342736.269191843</v>
          </cell>
          <cell r="AB32">
            <v>527585.87555555557</v>
          </cell>
          <cell r="AC32">
            <v>560570.97045919998</v>
          </cell>
          <cell r="AD32">
            <v>496355.8491708627</v>
          </cell>
          <cell r="AE32">
            <v>1584512.695185618</v>
          </cell>
          <cell r="AF32">
            <v>3405.3759999999997</v>
          </cell>
          <cell r="AG32">
            <v>6297.0560000000005</v>
          </cell>
          <cell r="AH32">
            <v>8685.3469999999998</v>
          </cell>
          <cell r="AI32">
            <v>8686.6080000000002</v>
          </cell>
          <cell r="AJ32">
            <v>1463.8920000000001</v>
          </cell>
          <cell r="AK32">
            <v>0</v>
          </cell>
          <cell r="AL32">
            <v>28538.279000000002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39837.32</v>
          </cell>
          <cell r="AT32">
            <v>0</v>
          </cell>
          <cell r="AU32">
            <v>39837.32</v>
          </cell>
        </row>
        <row r="33">
          <cell r="D33" t="str">
            <v>매출이익</v>
          </cell>
          <cell r="E33">
            <v>4258943.1593390377</v>
          </cell>
          <cell r="F33">
            <v>590076.71053763339</v>
          </cell>
          <cell r="G33">
            <v>217436.01644980721</v>
          </cell>
          <cell r="H33">
            <v>205265.5900967638</v>
          </cell>
          <cell r="I33">
            <v>145470.31395102432</v>
          </cell>
          <cell r="J33">
            <v>184252.02533924021</v>
          </cell>
          <cell r="K33">
            <v>201516.13587601576</v>
          </cell>
          <cell r="L33">
            <v>147490.7608746686</v>
          </cell>
          <cell r="M33">
            <v>200015.6072981027</v>
          </cell>
          <cell r="N33">
            <v>146182.76730340987</v>
          </cell>
          <cell r="O33">
            <v>184754.94937555422</v>
          </cell>
          <cell r="P33">
            <v>168180.86399708607</v>
          </cell>
          <cell r="Q33">
            <v>159725.19877491705</v>
          </cell>
          <cell r="R33">
            <v>346472.53733581747</v>
          </cell>
          <cell r="S33">
            <v>213592.22870476788</v>
          </cell>
          <cell r="T33">
            <v>244788.64586623816</v>
          </cell>
          <cell r="U33">
            <v>121685.96141562617</v>
          </cell>
          <cell r="V33">
            <v>208498.66003306746</v>
          </cell>
          <cell r="W33">
            <v>0</v>
          </cell>
          <cell r="X33">
            <v>0</v>
          </cell>
          <cell r="Y33">
            <v>0</v>
          </cell>
          <cell r="Z33">
            <v>3685404.9732297361</v>
          </cell>
          <cell r="AA33">
            <v>370182.61080815829</v>
          </cell>
          <cell r="AB33">
            <v>52798.369605734712</v>
          </cell>
          <cell r="AC33">
            <v>20095.033540799981</v>
          </cell>
          <cell r="AD33">
            <v>55109.604487942415</v>
          </cell>
          <cell r="AE33">
            <v>128003.00763447722</v>
          </cell>
          <cell r="AF33">
            <v>9094.6239999999998</v>
          </cell>
          <cell r="AG33">
            <v>18702.944</v>
          </cell>
          <cell r="AH33">
            <v>20481.31966666667</v>
          </cell>
          <cell r="AI33">
            <v>61083.392</v>
          </cell>
          <cell r="AJ33">
            <v>4057.6080000000002</v>
          </cell>
          <cell r="AK33">
            <v>0</v>
          </cell>
          <cell r="AL33">
            <v>113419.88766666668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-39837.32</v>
          </cell>
          <cell r="AT33">
            <v>1770</v>
          </cell>
          <cell r="AU33">
            <v>-38067.32</v>
          </cell>
        </row>
        <row r="34">
          <cell r="D34" t="str">
            <v>판관비</v>
          </cell>
          <cell r="E34">
            <v>2204253.4724522228</v>
          </cell>
          <cell r="F34">
            <v>260243.79116723806</v>
          </cell>
          <cell r="G34">
            <v>183546.70135634427</v>
          </cell>
          <cell r="H34">
            <v>152496.37455195413</v>
          </cell>
          <cell r="I34">
            <v>97538.389860596508</v>
          </cell>
          <cell r="J34">
            <v>135519.73205679184</v>
          </cell>
          <cell r="K34">
            <v>130611.35373682952</v>
          </cell>
          <cell r="L34">
            <v>98985.690122274638</v>
          </cell>
          <cell r="M34">
            <v>136333.02066522819</v>
          </cell>
          <cell r="N34">
            <v>82654.551872003183</v>
          </cell>
          <cell r="O34">
            <v>100625.58553067794</v>
          </cell>
          <cell r="P34">
            <v>95730.7788695778</v>
          </cell>
          <cell r="Q34">
            <v>96892.101201607933</v>
          </cell>
          <cell r="R34">
            <v>144334.07590602862</v>
          </cell>
          <cell r="S34">
            <v>84689.35418361261</v>
          </cell>
          <cell r="T34">
            <v>51906.748514665167</v>
          </cell>
          <cell r="U34">
            <v>37275.276286350461</v>
          </cell>
          <cell r="V34">
            <v>66181.279862033029</v>
          </cell>
          <cell r="W34">
            <v>0</v>
          </cell>
          <cell r="X34">
            <v>0</v>
          </cell>
          <cell r="Y34">
            <v>0</v>
          </cell>
          <cell r="Z34">
            <v>1955564.8057438142</v>
          </cell>
          <cell r="AA34">
            <v>122290.34800000001</v>
          </cell>
          <cell r="AB34">
            <v>15855.365099737362</v>
          </cell>
          <cell r="AC34">
            <v>15863.062395615161</v>
          </cell>
          <cell r="AD34">
            <v>15065.34021305619</v>
          </cell>
          <cell r="AE34">
            <v>46783.767708408712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4166.2199999999993</v>
          </cell>
          <cell r="AN34">
            <v>1166.5140000000001</v>
          </cell>
          <cell r="AO34">
            <v>570.67200000000003</v>
          </cell>
          <cell r="AP34">
            <v>407.20500000000004</v>
          </cell>
          <cell r="AQ34">
            <v>26232.885000000002</v>
          </cell>
          <cell r="AR34">
            <v>855.83600000000001</v>
          </cell>
          <cell r="AS34">
            <v>28498.31</v>
          </cell>
          <cell r="AT34">
            <v>17716.909</v>
          </cell>
          <cell r="AU34">
            <v>79614.550999999992</v>
          </cell>
        </row>
        <row r="35">
          <cell r="D35" t="str">
            <v>영업이익</v>
          </cell>
          <cell r="E35">
            <v>2054689.6868868156</v>
          </cell>
          <cell r="F35">
            <v>329832.91937039536</v>
          </cell>
          <cell r="G35">
            <v>33889.315093462938</v>
          </cell>
          <cell r="H35">
            <v>52769.215544809675</v>
          </cell>
          <cell r="I35">
            <v>47931.924090427812</v>
          </cell>
          <cell r="J35">
            <v>48732.293282448372</v>
          </cell>
          <cell r="K35">
            <v>70904.782139186238</v>
          </cell>
          <cell r="L35">
            <v>48505.070752393964</v>
          </cell>
          <cell r="M35">
            <v>63682.586632874503</v>
          </cell>
          <cell r="N35">
            <v>63528.215431406687</v>
          </cell>
          <cell r="O35">
            <v>84129.363844876279</v>
          </cell>
          <cell r="P35">
            <v>72450.085127508268</v>
          </cell>
          <cell r="Q35">
            <v>62833.097573309118</v>
          </cell>
          <cell r="R35">
            <v>202138.46142978885</v>
          </cell>
          <cell r="S35">
            <v>128902.87452115527</v>
          </cell>
          <cell r="T35">
            <v>192881.89735157299</v>
          </cell>
          <cell r="U35">
            <v>84410.685129275706</v>
          </cell>
          <cell r="V35">
            <v>142317.38017103443</v>
          </cell>
          <cell r="W35">
            <v>0</v>
          </cell>
          <cell r="X35">
            <v>0</v>
          </cell>
          <cell r="Y35">
            <v>0</v>
          </cell>
          <cell r="Z35">
            <v>1729840.1674859219</v>
          </cell>
          <cell r="AA35">
            <v>247892.2628081583</v>
          </cell>
          <cell r="AB35">
            <v>36943.004505997349</v>
          </cell>
          <cell r="AC35">
            <v>4231.9711451848198</v>
          </cell>
          <cell r="AD35">
            <v>40044.264274886227</v>
          </cell>
          <cell r="AE35">
            <v>81219.23992606852</v>
          </cell>
          <cell r="AF35">
            <v>9094.6239999999998</v>
          </cell>
          <cell r="AG35">
            <v>18702.944</v>
          </cell>
          <cell r="AH35">
            <v>20481.31966666667</v>
          </cell>
          <cell r="AI35">
            <v>61083.392</v>
          </cell>
          <cell r="AJ35">
            <v>4057.6080000000002</v>
          </cell>
          <cell r="AK35">
            <v>0</v>
          </cell>
          <cell r="AL35">
            <v>113419.88766666668</v>
          </cell>
          <cell r="AM35">
            <v>-4166.2199999999993</v>
          </cell>
          <cell r="AN35">
            <v>-1166.5140000000001</v>
          </cell>
          <cell r="AO35">
            <v>-570.67200000000003</v>
          </cell>
          <cell r="AP35">
            <v>-407.20500000000004</v>
          </cell>
          <cell r="AQ35">
            <v>-26232.885000000002</v>
          </cell>
          <cell r="AR35">
            <v>-855.83600000000001</v>
          </cell>
          <cell r="AS35">
            <v>-68335.63</v>
          </cell>
          <cell r="AT35">
            <v>-15946.909</v>
          </cell>
          <cell r="AU35">
            <v>-117681.87099999998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</row>
        <row r="7">
          <cell r="D7" t="str">
            <v>물     량</v>
          </cell>
          <cell r="F7">
            <v>302000</v>
          </cell>
          <cell r="G7">
            <v>218000</v>
          </cell>
          <cell r="H7">
            <v>161000</v>
          </cell>
          <cell r="I7">
            <v>109000</v>
          </cell>
          <cell r="J7">
            <v>157000</v>
          </cell>
          <cell r="K7">
            <v>154000</v>
          </cell>
          <cell r="L7">
            <v>108000</v>
          </cell>
          <cell r="M7">
            <v>151000</v>
          </cell>
          <cell r="N7">
            <v>90000</v>
          </cell>
          <cell r="O7">
            <v>91000</v>
          </cell>
          <cell r="P7">
            <v>97000</v>
          </cell>
          <cell r="Q7">
            <v>93000</v>
          </cell>
          <cell r="R7">
            <v>172000</v>
          </cell>
          <cell r="S7">
            <v>83000</v>
          </cell>
          <cell r="T7">
            <v>54500</v>
          </cell>
          <cell r="U7">
            <v>34000</v>
          </cell>
          <cell r="V7">
            <v>64000</v>
          </cell>
          <cell r="W7">
            <v>0</v>
          </cell>
          <cell r="X7">
            <v>0</v>
          </cell>
          <cell r="Y7">
            <v>0</v>
          </cell>
          <cell r="Z7">
            <v>2138500</v>
          </cell>
          <cell r="AA7">
            <v>88300</v>
          </cell>
          <cell r="AB7">
            <v>392579.49878279574</v>
          </cell>
          <cell r="AC7">
            <v>202706.35709999996</v>
          </cell>
          <cell r="AD7">
            <v>162964.56631814648</v>
          </cell>
          <cell r="AE7">
            <v>758250.42220094218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D8" t="str">
            <v>매 출 액</v>
          </cell>
          <cell r="E8">
            <v>326909097.04886734</v>
          </cell>
          <cell r="F8">
            <v>29771086.636</v>
          </cell>
          <cell r="G8">
            <v>21376385.173809413</v>
          </cell>
          <cell r="H8">
            <v>15555940.481200002</v>
          </cell>
          <cell r="I8">
            <v>10337881.270000001</v>
          </cell>
          <cell r="J8">
            <v>16908897.757104002</v>
          </cell>
          <cell r="K8">
            <v>15292201.679580018</v>
          </cell>
          <cell r="L8">
            <v>10400387.25</v>
          </cell>
          <cell r="M8">
            <v>15401979.868360002</v>
          </cell>
          <cell r="N8">
            <v>8511128.5</v>
          </cell>
          <cell r="O8">
            <v>9160924.1125920005</v>
          </cell>
          <cell r="P8">
            <v>9423300.521183094</v>
          </cell>
          <cell r="Q8">
            <v>9483807</v>
          </cell>
          <cell r="R8">
            <v>17716000</v>
          </cell>
          <cell r="S8">
            <v>8128984.8599999994</v>
          </cell>
          <cell r="T8">
            <v>6041223.0330000008</v>
          </cell>
          <cell r="U8">
            <v>3808000</v>
          </cell>
          <cell r="V8">
            <v>7861968.5</v>
          </cell>
          <cell r="W8">
            <v>0</v>
          </cell>
          <cell r="X8">
            <v>0</v>
          </cell>
          <cell r="Y8">
            <v>0</v>
          </cell>
          <cell r="Z8">
            <v>215180096.64282852</v>
          </cell>
          <cell r="AA8">
            <v>96491989.990399987</v>
          </cell>
          <cell r="AB8">
            <v>5731027.2493913975</v>
          </cell>
          <cell r="AC8">
            <v>3465166.1681166664</v>
          </cell>
          <cell r="AD8">
            <v>4826871.6647974011</v>
          </cell>
          <cell r="AE8">
            <v>14023065.082305465</v>
          </cell>
          <cell r="AF8">
            <v>100000</v>
          </cell>
          <cell r="AG8">
            <v>275000</v>
          </cell>
          <cell r="AH8">
            <v>230853.33333333331</v>
          </cell>
          <cell r="AI8">
            <v>549760</v>
          </cell>
          <cell r="AJ8">
            <v>44172</v>
          </cell>
          <cell r="AK8">
            <v>0</v>
          </cell>
          <cell r="AL8">
            <v>1199785.3333333333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14160</v>
          </cell>
          <cell r="AU8">
            <v>14160</v>
          </cell>
        </row>
        <row r="9">
          <cell r="D9" t="str">
            <v xml:space="preserve"> - 단  위  당</v>
          </cell>
          <cell r="F9">
            <v>98579.757072847686</v>
          </cell>
          <cell r="G9">
            <v>98056.812723896379</v>
          </cell>
          <cell r="H9">
            <v>96620.748330434799</v>
          </cell>
          <cell r="I9">
            <v>94842.947431192675</v>
          </cell>
          <cell r="J9">
            <v>107699.98571403824</v>
          </cell>
          <cell r="K9">
            <v>99300.01090636375</v>
          </cell>
          <cell r="L9">
            <v>96299.881944444453</v>
          </cell>
          <cell r="M9">
            <v>101999.8666778808</v>
          </cell>
          <cell r="N9">
            <v>94568.094444444447</v>
          </cell>
          <cell r="O9">
            <v>100669.49574276924</v>
          </cell>
          <cell r="P9">
            <v>97147.428053433949</v>
          </cell>
          <cell r="Q9">
            <v>101976.41935483871</v>
          </cell>
          <cell r="R9">
            <v>103000</v>
          </cell>
          <cell r="S9">
            <v>97939.576626506008</v>
          </cell>
          <cell r="T9">
            <v>110848.12904587157</v>
          </cell>
          <cell r="U9">
            <v>112000</v>
          </cell>
          <cell r="V9">
            <v>122843.2578125</v>
          </cell>
          <cell r="W9">
            <v>0</v>
          </cell>
          <cell r="X9">
            <v>0</v>
          </cell>
          <cell r="Y9">
            <v>0</v>
          </cell>
          <cell r="Z9">
            <v>100621.97645210593</v>
          </cell>
          <cell r="AA9">
            <v>1092774.5185775764</v>
          </cell>
          <cell r="AB9">
            <v>14598.386485184823</v>
          </cell>
          <cell r="AC9">
            <v>17094.511576700159</v>
          </cell>
          <cell r="AD9">
            <v>29619.148345255453</v>
          </cell>
          <cell r="AE9">
            <v>18493.975963246143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매출원가</v>
          </cell>
          <cell r="E10">
            <v>293635412.56268913</v>
          </cell>
          <cell r="F10">
            <v>26404261.113441244</v>
          </cell>
          <cell r="G10">
            <v>19738978.719341576</v>
          </cell>
          <cell r="H10">
            <v>14197399.062685268</v>
          </cell>
          <cell r="I10">
            <v>9246947.7839028742</v>
          </cell>
          <cell r="J10">
            <v>14751199.455601873</v>
          </cell>
          <cell r="K10">
            <v>13355629.274144612</v>
          </cell>
          <cell r="L10">
            <v>9095869.8153405488</v>
          </cell>
          <cell r="M10">
            <v>13551364.218781833</v>
          </cell>
          <cell r="N10">
            <v>7498593.4783604471</v>
          </cell>
          <cell r="O10">
            <v>7910192.3159325942</v>
          </cell>
          <cell r="P10">
            <v>8125158.6545358077</v>
          </cell>
          <cell r="Q10">
            <v>8417643.6704484653</v>
          </cell>
          <cell r="R10">
            <v>14899316.450497327</v>
          </cell>
          <cell r="S10">
            <v>6895205.927143761</v>
          </cell>
          <cell r="T10">
            <v>4454496.0029945867</v>
          </cell>
          <cell r="U10">
            <v>3093338.390874309</v>
          </cell>
          <cell r="V10">
            <v>6385586.7119328836</v>
          </cell>
          <cell r="W10">
            <v>0</v>
          </cell>
          <cell r="X10">
            <v>0</v>
          </cell>
          <cell r="Y10">
            <v>0</v>
          </cell>
          <cell r="Z10">
            <v>188021181.04595998</v>
          </cell>
          <cell r="AA10">
            <v>93886645.671343982</v>
          </cell>
          <cell r="AB10">
            <v>4446765.3240099996</v>
          </cell>
          <cell r="AC10">
            <v>3145871.0140144001</v>
          </cell>
          <cell r="AD10">
            <v>3830789.3973607058</v>
          </cell>
          <cell r="AE10">
            <v>11423425.735385105</v>
          </cell>
          <cell r="AF10">
            <v>1113.4000000000001</v>
          </cell>
          <cell r="AG10">
            <v>39578.229999999996</v>
          </cell>
          <cell r="AH10">
            <v>21798.559999999998</v>
          </cell>
          <cell r="AI10">
            <v>1498</v>
          </cell>
          <cell r="AJ10">
            <v>1148</v>
          </cell>
          <cell r="AK10">
            <v>0</v>
          </cell>
          <cell r="AL10">
            <v>65136.189999999995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239023.92</v>
          </cell>
          <cell r="AT10">
            <v>0</v>
          </cell>
          <cell r="AU10">
            <v>239023.92</v>
          </cell>
        </row>
        <row r="11">
          <cell r="D11" t="str">
            <v xml:space="preserve"> - 단  위  당</v>
          </cell>
          <cell r="F11">
            <v>87431.328190202796</v>
          </cell>
          <cell r="G11">
            <v>90545.773941933832</v>
          </cell>
          <cell r="H11">
            <v>88182.602873821539</v>
          </cell>
          <cell r="I11">
            <v>84834.383338558488</v>
          </cell>
          <cell r="J11">
            <v>93956.684430585185</v>
          </cell>
          <cell r="K11">
            <v>86724.865416523462</v>
          </cell>
          <cell r="L11">
            <v>84221.01680870878</v>
          </cell>
          <cell r="M11">
            <v>89744.133899217428</v>
          </cell>
          <cell r="N11">
            <v>83317.705315116065</v>
          </cell>
          <cell r="O11">
            <v>86925.190284973563</v>
          </cell>
          <cell r="P11">
            <v>83764.522211709365</v>
          </cell>
          <cell r="Q11">
            <v>90512.297531703924</v>
          </cell>
          <cell r="R11">
            <v>86623.932851728649</v>
          </cell>
          <cell r="S11">
            <v>83074.770206551329</v>
          </cell>
          <cell r="T11">
            <v>81733.871614579577</v>
          </cell>
          <cell r="U11">
            <v>90980.540908067909</v>
          </cell>
          <cell r="V11">
            <v>99774.792373951306</v>
          </cell>
          <cell r="W11">
            <v>0</v>
          </cell>
          <cell r="X11">
            <v>0</v>
          </cell>
          <cell r="Y11">
            <v>0</v>
          </cell>
          <cell r="Z11">
            <v>87921.992539611863</v>
          </cell>
          <cell r="AA11">
            <v>1063268.9204002717</v>
          </cell>
          <cell r="AB11">
            <v>11327.044172702155</v>
          </cell>
          <cell r="AC11">
            <v>15519.350547365742</v>
          </cell>
          <cell r="AD11">
            <v>23506.885477681528</v>
          </cell>
          <cell r="AE11">
            <v>15065.505274928564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매출이익</v>
          </cell>
          <cell r="E12">
            <v>33273684.486178219</v>
          </cell>
          <cell r="F12">
            <v>3366825.5225587562</v>
          </cell>
          <cell r="G12">
            <v>1637406.4544678368</v>
          </cell>
          <cell r="H12">
            <v>1358541.4185147341</v>
          </cell>
          <cell r="I12">
            <v>1090933.4860971272</v>
          </cell>
          <cell r="J12">
            <v>2157698.3015021291</v>
          </cell>
          <cell r="K12">
            <v>1936572.4054354057</v>
          </cell>
          <cell r="L12">
            <v>1304517.4346594512</v>
          </cell>
          <cell r="M12">
            <v>1850615.649578169</v>
          </cell>
          <cell r="N12">
            <v>1012535.0216395529</v>
          </cell>
          <cell r="O12">
            <v>1250731.7966594063</v>
          </cell>
          <cell r="P12">
            <v>1298141.8666472863</v>
          </cell>
          <cell r="Q12">
            <v>1066163.3295515347</v>
          </cell>
          <cell r="R12">
            <v>2816683.5495026726</v>
          </cell>
          <cell r="S12">
            <v>1233778.9328562384</v>
          </cell>
          <cell r="T12">
            <v>1586727.030005414</v>
          </cell>
          <cell r="U12">
            <v>714661.609125691</v>
          </cell>
          <cell r="V12">
            <v>1476381.7880671164</v>
          </cell>
          <cell r="W12">
            <v>0</v>
          </cell>
          <cell r="X12">
            <v>0</v>
          </cell>
          <cell r="Y12">
            <v>0</v>
          </cell>
          <cell r="Z12">
            <v>27158915.596868545</v>
          </cell>
          <cell r="AA12">
            <v>2605344.3190560043</v>
          </cell>
          <cell r="AB12">
            <v>1284261.9253813978</v>
          </cell>
          <cell r="AC12">
            <v>319295.1541022663</v>
          </cell>
          <cell r="AD12">
            <v>996082.26743669529</v>
          </cell>
          <cell r="AE12">
            <v>2599639.3469203599</v>
          </cell>
          <cell r="AF12">
            <v>98886.6</v>
          </cell>
          <cell r="AG12">
            <v>235421.77000000002</v>
          </cell>
          <cell r="AH12">
            <v>209054.77333333332</v>
          </cell>
          <cell r="AI12">
            <v>548262</v>
          </cell>
          <cell r="AJ12">
            <v>43024</v>
          </cell>
          <cell r="AK12">
            <v>0</v>
          </cell>
          <cell r="AL12">
            <v>1134649.1433333333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-239023.92</v>
          </cell>
          <cell r="AT12">
            <v>14160</v>
          </cell>
          <cell r="AU12">
            <v>-224863.92</v>
          </cell>
        </row>
        <row r="13">
          <cell r="D13" t="str">
            <v>판 관 비</v>
          </cell>
          <cell r="E13">
            <v>6461194.3200000003</v>
          </cell>
          <cell r="F13">
            <v>542794.48999999987</v>
          </cell>
          <cell r="G13">
            <v>493007.49</v>
          </cell>
          <cell r="H13">
            <v>399519.58</v>
          </cell>
          <cell r="I13">
            <v>282216.86</v>
          </cell>
          <cell r="J13">
            <v>367106.05999999994</v>
          </cell>
          <cell r="K13">
            <v>389230.04999999993</v>
          </cell>
          <cell r="L13">
            <v>301725.95</v>
          </cell>
          <cell r="M13">
            <v>389806.80000000005</v>
          </cell>
          <cell r="N13">
            <v>222685.87999999998</v>
          </cell>
          <cell r="O13">
            <v>290401.68000000005</v>
          </cell>
          <cell r="P13">
            <v>304353.53999999998</v>
          </cell>
          <cell r="Q13">
            <v>289124</v>
          </cell>
          <cell r="R13">
            <v>361735.08000000007</v>
          </cell>
          <cell r="S13">
            <v>240865.67999999996</v>
          </cell>
          <cell r="T13">
            <v>94058.239999999991</v>
          </cell>
          <cell r="U13">
            <v>96146.77</v>
          </cell>
          <cell r="V13">
            <v>124959.37</v>
          </cell>
          <cell r="W13">
            <v>0</v>
          </cell>
          <cell r="X13">
            <v>0</v>
          </cell>
          <cell r="Y13">
            <v>0</v>
          </cell>
          <cell r="Z13">
            <v>5189737.5199999996</v>
          </cell>
          <cell r="AA13">
            <v>970711.50000000023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45061.47</v>
          </cell>
          <cell r="AN13">
            <v>8440.66</v>
          </cell>
          <cell r="AO13">
            <v>2279.12</v>
          </cell>
          <cell r="AP13">
            <v>10318.19</v>
          </cell>
          <cell r="AQ13">
            <v>63656</v>
          </cell>
          <cell r="AR13">
            <v>0</v>
          </cell>
          <cell r="AS13">
            <v>170989.86000000002</v>
          </cell>
          <cell r="AT13">
            <v>0</v>
          </cell>
          <cell r="AU13">
            <v>300745.30000000005</v>
          </cell>
        </row>
        <row r="14">
          <cell r="D14" t="str">
            <v xml:space="preserve"> - 노   무   비</v>
          </cell>
          <cell r="E14">
            <v>4630714.54</v>
          </cell>
          <cell r="F14">
            <v>396062.0199999999</v>
          </cell>
          <cell r="G14">
            <v>345598.26</v>
          </cell>
          <cell r="H14">
            <v>297322</v>
          </cell>
          <cell r="I14">
            <v>209161.12000000002</v>
          </cell>
          <cell r="J14">
            <v>264537.06</v>
          </cell>
          <cell r="K14">
            <v>288821.43999999994</v>
          </cell>
          <cell r="L14">
            <v>222805.3</v>
          </cell>
          <cell r="M14">
            <v>280597.92000000004</v>
          </cell>
          <cell r="N14">
            <v>162508.47999999998</v>
          </cell>
          <cell r="O14">
            <v>216734.78000000003</v>
          </cell>
          <cell r="P14">
            <v>218011.1</v>
          </cell>
          <cell r="Q14">
            <v>214650.90000000002</v>
          </cell>
          <cell r="R14">
            <v>264170.90000000002</v>
          </cell>
          <cell r="S14">
            <v>176998.87999999998</v>
          </cell>
          <cell r="T14">
            <v>60173.199999999983</v>
          </cell>
          <cell r="U14">
            <v>58780</v>
          </cell>
          <cell r="V14">
            <v>86456.24</v>
          </cell>
          <cell r="W14">
            <v>0</v>
          </cell>
          <cell r="X14">
            <v>0</v>
          </cell>
          <cell r="Y14">
            <v>0</v>
          </cell>
          <cell r="Z14">
            <v>3763389.6</v>
          </cell>
          <cell r="AA14">
            <v>709546.30000000016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157778.64000000001</v>
          </cell>
          <cell r="AT14">
            <v>0</v>
          </cell>
          <cell r="AU14">
            <v>157778.64000000001</v>
          </cell>
        </row>
        <row r="15">
          <cell r="D15" t="str">
            <v xml:space="preserve"> - 경        비</v>
          </cell>
          <cell r="E15">
            <v>1830479.7799999998</v>
          </cell>
          <cell r="F15">
            <v>146732.47</v>
          </cell>
          <cell r="G15">
            <v>147409.22999999998</v>
          </cell>
          <cell r="H15">
            <v>102197.58000000002</v>
          </cell>
          <cell r="I15">
            <v>73055.739999999991</v>
          </cell>
          <cell r="J15">
            <v>102568.99999999997</v>
          </cell>
          <cell r="K15">
            <v>100408.60999999999</v>
          </cell>
          <cell r="L15">
            <v>78920.650000000009</v>
          </cell>
          <cell r="M15">
            <v>109208.88</v>
          </cell>
          <cell r="N15">
            <v>60177.399999999987</v>
          </cell>
          <cell r="O15">
            <v>73666.899999999994</v>
          </cell>
          <cell r="P15">
            <v>86342.439999999973</v>
          </cell>
          <cell r="Q15">
            <v>74473.100000000006</v>
          </cell>
          <cell r="R15">
            <v>97564.180000000022</v>
          </cell>
          <cell r="S15">
            <v>63866.799999999996</v>
          </cell>
          <cell r="T15">
            <v>33885.040000000001</v>
          </cell>
          <cell r="U15">
            <v>37366.770000000004</v>
          </cell>
          <cell r="V15">
            <v>38503.129999999997</v>
          </cell>
          <cell r="W15">
            <v>0</v>
          </cell>
          <cell r="X15">
            <v>0</v>
          </cell>
          <cell r="Y15">
            <v>0</v>
          </cell>
          <cell r="Z15">
            <v>1426347.92</v>
          </cell>
          <cell r="AA15">
            <v>261165.2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45061.47</v>
          </cell>
          <cell r="AN15">
            <v>8440.66</v>
          </cell>
          <cell r="AO15">
            <v>2279.12</v>
          </cell>
          <cell r="AP15">
            <v>10318.19</v>
          </cell>
          <cell r="AQ15">
            <v>63656</v>
          </cell>
          <cell r="AR15">
            <v>0</v>
          </cell>
          <cell r="AS15">
            <v>13211.219999999998</v>
          </cell>
          <cell r="AT15">
            <v>0</v>
          </cell>
          <cell r="AU15">
            <v>142966.66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D17" t="str">
            <v>EBITDA</v>
          </cell>
          <cell r="E17">
            <v>26812490.166178219</v>
          </cell>
          <cell r="F17">
            <v>2824031.0325587564</v>
          </cell>
          <cell r="G17">
            <v>1144398.9644678368</v>
          </cell>
          <cell r="H17">
            <v>959021.83851473406</v>
          </cell>
          <cell r="I17">
            <v>808716.62609712721</v>
          </cell>
          <cell r="J17">
            <v>1790592.241502129</v>
          </cell>
          <cell r="K17">
            <v>1547342.3554354059</v>
          </cell>
          <cell r="L17">
            <v>1002791.4846594513</v>
          </cell>
          <cell r="M17">
            <v>1460808.8495781689</v>
          </cell>
          <cell r="N17">
            <v>789849.14163955289</v>
          </cell>
          <cell r="O17">
            <v>960330.11665940622</v>
          </cell>
          <cell r="P17">
            <v>993788.3266472863</v>
          </cell>
          <cell r="Q17">
            <v>777039.32955153473</v>
          </cell>
          <cell r="R17">
            <v>2454948.4695026726</v>
          </cell>
          <cell r="S17">
            <v>992913.25285623851</v>
          </cell>
          <cell r="T17">
            <v>1492668.790005414</v>
          </cell>
          <cell r="U17">
            <v>618514.83912569098</v>
          </cell>
          <cell r="V17">
            <v>1351422.4180671163</v>
          </cell>
          <cell r="W17">
            <v>0</v>
          </cell>
          <cell r="X17">
            <v>0</v>
          </cell>
          <cell r="Y17">
            <v>0</v>
          </cell>
          <cell r="Z17">
            <v>21969178.076868545</v>
          </cell>
          <cell r="AA17">
            <v>1634632.8190560041</v>
          </cell>
          <cell r="AB17">
            <v>1284261.9253813978</v>
          </cell>
          <cell r="AC17">
            <v>319295.1541022663</v>
          </cell>
          <cell r="AD17">
            <v>996082.26743669529</v>
          </cell>
          <cell r="AE17">
            <v>2599639.3469203599</v>
          </cell>
          <cell r="AF17">
            <v>98886.6</v>
          </cell>
          <cell r="AG17">
            <v>235421.77000000002</v>
          </cell>
          <cell r="AH17">
            <v>209054.77333333332</v>
          </cell>
          <cell r="AI17">
            <v>548262</v>
          </cell>
          <cell r="AJ17">
            <v>43024</v>
          </cell>
          <cell r="AK17">
            <v>0</v>
          </cell>
          <cell r="AL17">
            <v>1134649.1433333333</v>
          </cell>
          <cell r="AM17">
            <v>-45061.47</v>
          </cell>
          <cell r="AN17">
            <v>-8440.66</v>
          </cell>
          <cell r="AO17">
            <v>-2279.12</v>
          </cell>
          <cell r="AP17">
            <v>-10318.19</v>
          </cell>
          <cell r="AQ17">
            <v>-63656</v>
          </cell>
          <cell r="AR17">
            <v>0</v>
          </cell>
          <cell r="AS17">
            <v>-410013.78</v>
          </cell>
          <cell r="AT17">
            <v>14160</v>
          </cell>
          <cell r="AU17">
            <v>-525609.22000000009</v>
          </cell>
        </row>
        <row r="18">
          <cell r="D18" t="str">
            <v>감가상각비</v>
          </cell>
          <cell r="E18">
            <v>4385375.3216987634</v>
          </cell>
          <cell r="F18">
            <v>237013.31088888887</v>
          </cell>
          <cell r="G18">
            <v>283995.88658240007</v>
          </cell>
          <cell r="H18">
            <v>166789.318</v>
          </cell>
          <cell r="I18">
            <v>147835.96888888892</v>
          </cell>
          <cell r="J18">
            <v>382422.04622222233</v>
          </cell>
          <cell r="K18">
            <v>176400.84066666669</v>
          </cell>
          <cell r="L18">
            <v>108741.67533333333</v>
          </cell>
          <cell r="M18">
            <v>204600.81422222219</v>
          </cell>
          <cell r="N18">
            <v>92737.075555555552</v>
          </cell>
          <cell r="O18">
            <v>253843.54399999997</v>
          </cell>
          <cell r="P18">
            <v>127747.95526954491</v>
          </cell>
          <cell r="Q18">
            <v>122398.16222003962</v>
          </cell>
          <cell r="R18">
            <v>271915.2304444444</v>
          </cell>
          <cell r="S18">
            <v>171941.03777777776</v>
          </cell>
          <cell r="T18">
            <v>90752.410666666678</v>
          </cell>
          <cell r="U18">
            <v>48040.435555555552</v>
          </cell>
          <cell r="V18">
            <v>98883.82007122389</v>
          </cell>
          <cell r="W18">
            <v>0</v>
          </cell>
          <cell r="X18">
            <v>0</v>
          </cell>
          <cell r="Y18">
            <v>0</v>
          </cell>
          <cell r="Z18">
            <v>2986059.5323654306</v>
          </cell>
          <cell r="AA18">
            <v>43806.144</v>
          </cell>
          <cell r="AB18">
            <v>176572.77888888886</v>
          </cell>
          <cell r="AC18">
            <v>462485.50666666665</v>
          </cell>
          <cell r="AD18">
            <v>280476.73577777774</v>
          </cell>
          <cell r="AE18">
            <v>919535.02133333322</v>
          </cell>
          <cell r="AF18">
            <v>25923.903999999999</v>
          </cell>
          <cell r="AG18">
            <v>44618.894</v>
          </cell>
          <cell r="AH18">
            <v>60722.802000000003</v>
          </cell>
          <cell r="AI18">
            <v>42730.976000000002</v>
          </cell>
          <cell r="AJ18">
            <v>10503.136</v>
          </cell>
          <cell r="AK18">
            <v>0</v>
          </cell>
          <cell r="AL18">
            <v>184499.712</v>
          </cell>
          <cell r="AM18">
            <v>29497.760000000002</v>
          </cell>
          <cell r="AN18">
            <v>7196.1120000000001</v>
          </cell>
          <cell r="AO18">
            <v>2829.3760000000002</v>
          </cell>
          <cell r="AP18">
            <v>1929.6399999999999</v>
          </cell>
          <cell r="AQ18">
            <v>81351.706000000006</v>
          </cell>
          <cell r="AR18">
            <v>6846.688000000001</v>
          </cell>
          <cell r="AS18">
            <v>0</v>
          </cell>
          <cell r="AT18">
            <v>121823.63</v>
          </cell>
          <cell r="AU18">
            <v>251474.91200000001</v>
          </cell>
        </row>
        <row r="19">
          <cell r="D19" t="str">
            <v xml:space="preserve"> - 제        조</v>
          </cell>
          <cell r="E19">
            <v>3914524.5336987637</v>
          </cell>
          <cell r="F19">
            <v>218392.33488888887</v>
          </cell>
          <cell r="G19">
            <v>268434.80658240005</v>
          </cell>
          <cell r="H19">
            <v>153556.91399999999</v>
          </cell>
          <cell r="I19">
            <v>138300.06488888891</v>
          </cell>
          <cell r="J19">
            <v>367413.51822222234</v>
          </cell>
          <cell r="K19">
            <v>163885.62466666667</v>
          </cell>
          <cell r="L19">
            <v>99192.883333333331</v>
          </cell>
          <cell r="M19">
            <v>192094.37422222219</v>
          </cell>
          <cell r="N19">
            <v>86736.787555555551</v>
          </cell>
          <cell r="O19">
            <v>244093.41599999997</v>
          </cell>
          <cell r="P19">
            <v>118104.8512695449</v>
          </cell>
          <cell r="Q19">
            <v>113580.92222003962</v>
          </cell>
          <cell r="R19">
            <v>259209.62244444442</v>
          </cell>
          <cell r="S19">
            <v>162926.12577777775</v>
          </cell>
          <cell r="T19">
            <v>87209.458666666673</v>
          </cell>
          <cell r="U19">
            <v>45077.235555555555</v>
          </cell>
          <cell r="V19">
            <v>92280.860071223884</v>
          </cell>
          <cell r="W19">
            <v>0</v>
          </cell>
          <cell r="X19">
            <v>0</v>
          </cell>
          <cell r="Y19">
            <v>0</v>
          </cell>
          <cell r="Z19">
            <v>2810489.8003654308</v>
          </cell>
          <cell r="AA19">
            <v>0</v>
          </cell>
          <cell r="AB19">
            <v>176572.77888888886</v>
          </cell>
          <cell r="AC19">
            <v>462485.50666666665</v>
          </cell>
          <cell r="AD19">
            <v>280476.73577777774</v>
          </cell>
          <cell r="AE19">
            <v>919535.02133333322</v>
          </cell>
          <cell r="AF19">
            <v>25923.903999999999</v>
          </cell>
          <cell r="AG19">
            <v>44618.894</v>
          </cell>
          <cell r="AH19">
            <v>60722.802000000003</v>
          </cell>
          <cell r="AI19">
            <v>42730.976000000002</v>
          </cell>
          <cell r="AJ19">
            <v>10503.136</v>
          </cell>
          <cell r="AK19">
            <v>0</v>
          </cell>
          <cell r="AL19">
            <v>184499.712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D20" t="str">
            <v xml:space="preserve"> - 판        매</v>
          </cell>
          <cell r="E20">
            <v>470850.788</v>
          </cell>
          <cell r="F20">
            <v>18620.975999999999</v>
          </cell>
          <cell r="G20">
            <v>15561.08</v>
          </cell>
          <cell r="H20">
            <v>13232.403999999997</v>
          </cell>
          <cell r="I20">
            <v>9535.9040000000005</v>
          </cell>
          <cell r="J20">
            <v>15008.528000000002</v>
          </cell>
          <cell r="K20">
            <v>12515.216</v>
          </cell>
          <cell r="L20">
            <v>9548.7920000000013</v>
          </cell>
          <cell r="M20">
            <v>12506.44</v>
          </cell>
          <cell r="N20">
            <v>6000.2879999999996</v>
          </cell>
          <cell r="O20">
            <v>9750.1279999999988</v>
          </cell>
          <cell r="P20">
            <v>9643.1040000000012</v>
          </cell>
          <cell r="Q20">
            <v>8817.24</v>
          </cell>
          <cell r="R20">
            <v>12705.608</v>
          </cell>
          <cell r="S20">
            <v>9014.9119999999984</v>
          </cell>
          <cell r="T20">
            <v>3542.9520000000007</v>
          </cell>
          <cell r="U20">
            <v>2963.2000000000003</v>
          </cell>
          <cell r="V20">
            <v>6602.96</v>
          </cell>
          <cell r="W20">
            <v>0</v>
          </cell>
          <cell r="X20">
            <v>0</v>
          </cell>
          <cell r="Y20">
            <v>0</v>
          </cell>
          <cell r="Z20">
            <v>175569.73199999999</v>
          </cell>
          <cell r="AA20">
            <v>43806.144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29497.760000000002</v>
          </cell>
          <cell r="AN20">
            <v>7196.1120000000001</v>
          </cell>
          <cell r="AO20">
            <v>2829.3760000000002</v>
          </cell>
          <cell r="AP20">
            <v>1929.6399999999999</v>
          </cell>
          <cell r="AQ20">
            <v>81351.706000000006</v>
          </cell>
          <cell r="AR20">
            <v>6846.688000000001</v>
          </cell>
          <cell r="AS20">
            <v>0</v>
          </cell>
          <cell r="AT20">
            <v>121823.63</v>
          </cell>
          <cell r="AU20">
            <v>251474.91200000001</v>
          </cell>
        </row>
        <row r="21">
          <cell r="D21" t="str">
            <v>영업이익 I</v>
          </cell>
          <cell r="E21">
            <v>22427114.844479457</v>
          </cell>
          <cell r="F21">
            <v>2587017.7216698676</v>
          </cell>
          <cell r="G21">
            <v>860403.07788543671</v>
          </cell>
          <cell r="H21">
            <v>792232.52051473409</v>
          </cell>
          <cell r="I21">
            <v>660880.65720823826</v>
          </cell>
          <cell r="J21">
            <v>1408170.1952799067</v>
          </cell>
          <cell r="K21">
            <v>1370941.5147687392</v>
          </cell>
          <cell r="L21">
            <v>894049.80932611797</v>
          </cell>
          <cell r="M21">
            <v>1256208.0353559467</v>
          </cell>
          <cell r="N21">
            <v>697112.06608399737</v>
          </cell>
          <cell r="O21">
            <v>706486.57265940623</v>
          </cell>
          <cell r="P21">
            <v>866040.37137774145</v>
          </cell>
          <cell r="Q21">
            <v>654641.16733149509</v>
          </cell>
          <cell r="R21">
            <v>2183033.2390582282</v>
          </cell>
          <cell r="S21">
            <v>820972.21507846075</v>
          </cell>
          <cell r="T21">
            <v>1401916.3793387474</v>
          </cell>
          <cell r="U21">
            <v>570474.40357013547</v>
          </cell>
          <cell r="V21">
            <v>1252538.5979958924</v>
          </cell>
          <cell r="W21">
            <v>0</v>
          </cell>
          <cell r="X21">
            <v>0</v>
          </cell>
          <cell r="Y21">
            <v>0</v>
          </cell>
          <cell r="Z21">
            <v>18983118.544503115</v>
          </cell>
          <cell r="AA21">
            <v>1590826.675056004</v>
          </cell>
          <cell r="AB21">
            <v>1107689.1464925089</v>
          </cell>
          <cell r="AC21">
            <v>-143190.35256440035</v>
          </cell>
          <cell r="AD21">
            <v>715605.53165891755</v>
          </cell>
          <cell r="AE21">
            <v>1680104.3255870268</v>
          </cell>
          <cell r="AF21">
            <v>72962.696000000011</v>
          </cell>
          <cell r="AG21">
            <v>190802.87600000002</v>
          </cell>
          <cell r="AH21">
            <v>148331.97133333332</v>
          </cell>
          <cell r="AI21">
            <v>505531.02399999998</v>
          </cell>
          <cell r="AJ21">
            <v>32520.864000000001</v>
          </cell>
          <cell r="AK21">
            <v>0</v>
          </cell>
          <cell r="AL21">
            <v>950149.43133333325</v>
          </cell>
          <cell r="AM21">
            <v>-74559.23000000001</v>
          </cell>
          <cell r="AN21">
            <v>-15636.772000000001</v>
          </cell>
          <cell r="AO21">
            <v>-5108.4960000000001</v>
          </cell>
          <cell r="AP21">
            <v>-12247.83</v>
          </cell>
          <cell r="AQ21">
            <v>-145007.70600000001</v>
          </cell>
          <cell r="AR21">
            <v>-6846.688000000001</v>
          </cell>
          <cell r="AS21">
            <v>-410013.78</v>
          </cell>
          <cell r="AT21">
            <v>-107663.63</v>
          </cell>
          <cell r="AU21">
            <v>-777084.1320000001</v>
          </cell>
        </row>
        <row r="22">
          <cell r="D22" t="str">
            <v>공    통    비</v>
          </cell>
          <cell r="E22">
            <v>13038779.82127694</v>
          </cell>
          <cell r="F22">
            <v>1754579.2746144698</v>
          </cell>
          <cell r="G22">
            <v>1253332.9246128621</v>
          </cell>
          <cell r="H22">
            <v>909983.27010172559</v>
          </cell>
          <cell r="I22">
            <v>599661.15300014894</v>
          </cell>
          <cell r="J22">
            <v>1014318.6264242171</v>
          </cell>
          <cell r="K22">
            <v>913609.12173905957</v>
          </cell>
          <cell r="L22">
            <v>629230.75111326517</v>
          </cell>
          <cell r="M22">
            <v>929192.81775588123</v>
          </cell>
          <cell r="N22">
            <v>512638.98201945331</v>
          </cell>
          <cell r="O22">
            <v>546672.77299921063</v>
          </cell>
          <cell r="P22">
            <v>565424.28007149324</v>
          </cell>
          <cell r="Q22">
            <v>566726.4877637045</v>
          </cell>
          <cell r="R22">
            <v>995940.69598843681</v>
          </cell>
          <cell r="S22">
            <v>458345.46898028196</v>
          </cell>
          <cell r="T22">
            <v>337730.96112183807</v>
          </cell>
          <cell r="U22">
            <v>216218.81403003976</v>
          </cell>
          <cell r="V22">
            <v>450798.34902627789</v>
          </cell>
          <cell r="W22">
            <v>0</v>
          </cell>
          <cell r="X22">
            <v>0</v>
          </cell>
          <cell r="Y22">
            <v>0</v>
          </cell>
          <cell r="Z22">
            <v>12654404.751362367</v>
          </cell>
          <cell r="AA22">
            <v>0</v>
          </cell>
          <cell r="AB22">
            <v>162456.87153148063</v>
          </cell>
          <cell r="AC22">
            <v>90117.961961808585</v>
          </cell>
          <cell r="AD22">
            <v>131800.23642128386</v>
          </cell>
          <cell r="AE22">
            <v>384375.06991457311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D23" t="str">
            <v xml:space="preserve"> - 영업공통비</v>
          </cell>
          <cell r="E23">
            <v>2272797.1966666668</v>
          </cell>
          <cell r="F23">
            <v>258646.35628826264</v>
          </cell>
          <cell r="G23">
            <v>188232.38356888169</v>
          </cell>
          <cell r="H23">
            <v>133994.89020823446</v>
          </cell>
          <cell r="I23">
            <v>87690.967387487603</v>
          </cell>
          <cell r="J23">
            <v>167106.59761390171</v>
          </cell>
          <cell r="K23">
            <v>150185.20587932473</v>
          </cell>
          <cell r="L23">
            <v>102596.15708371418</v>
          </cell>
          <cell r="M23">
            <v>153034.5397000619</v>
          </cell>
          <cell r="N23">
            <v>83960.421296870147</v>
          </cell>
          <cell r="O23">
            <v>88111.311913057638</v>
          </cell>
          <cell r="P23">
            <v>92645.984319372321</v>
          </cell>
          <cell r="Q23">
            <v>92041.295446124626</v>
          </cell>
          <cell r="R23">
            <v>117582.65273818116</v>
          </cell>
          <cell r="S23">
            <v>54023.104965323677</v>
          </cell>
          <cell r="T23">
            <v>40397.333501981506</v>
          </cell>
          <cell r="U23">
            <v>24648.30727943654</v>
          </cell>
          <cell r="V23">
            <v>53524.617561877239</v>
          </cell>
          <cell r="W23">
            <v>0</v>
          </cell>
          <cell r="X23">
            <v>0</v>
          </cell>
          <cell r="Y23">
            <v>0</v>
          </cell>
          <cell r="Z23">
            <v>1888422.1267520937</v>
          </cell>
          <cell r="AA23">
            <v>0</v>
          </cell>
          <cell r="AB23">
            <v>162456.87153148063</v>
          </cell>
          <cell r="AC23">
            <v>90117.961961808585</v>
          </cell>
          <cell r="AD23">
            <v>131800.23642128386</v>
          </cell>
          <cell r="AE23">
            <v>384375.06991457311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D24" t="str">
            <v xml:space="preserve"> - 부문공통비</v>
          </cell>
          <cell r="E24">
            <v>4737112.3623333341</v>
          </cell>
          <cell r="F24">
            <v>660598.02424700907</v>
          </cell>
          <cell r="G24">
            <v>458799.9247854526</v>
          </cell>
          <cell r="H24">
            <v>343494.82088207762</v>
          </cell>
          <cell r="I24">
            <v>227104.36120953033</v>
          </cell>
          <cell r="J24">
            <v>370630.66304907884</v>
          </cell>
          <cell r="K24">
            <v>333957.35948813957</v>
          </cell>
          <cell r="L24">
            <v>232716.18965117686</v>
          </cell>
          <cell r="M24">
            <v>339186.06189158687</v>
          </cell>
          <cell r="N24">
            <v>188468.79310525334</v>
          </cell>
          <cell r="O24">
            <v>205100.37907983729</v>
          </cell>
          <cell r="P24">
            <v>208411.81491709684</v>
          </cell>
          <cell r="Q24">
            <v>210703.404238004</v>
          </cell>
          <cell r="R24">
            <v>387290.7675977468</v>
          </cell>
          <cell r="S24">
            <v>179078.8597516756</v>
          </cell>
          <cell r="T24">
            <v>127796.30796538078</v>
          </cell>
          <cell r="U24">
            <v>87367.595632615528</v>
          </cell>
          <cell r="V24">
            <v>176407.03484167153</v>
          </cell>
          <cell r="W24">
            <v>0</v>
          </cell>
          <cell r="X24">
            <v>0</v>
          </cell>
          <cell r="Y24">
            <v>0</v>
          </cell>
          <cell r="Z24">
            <v>4737112.3623333341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D25" t="str">
            <v xml:space="preserve"> - 본사공통비</v>
          </cell>
          <cell r="E25">
            <v>6028870.2622769391</v>
          </cell>
          <cell r="F25">
            <v>835334.89407919813</v>
          </cell>
          <cell r="G25">
            <v>606300.61625852785</v>
          </cell>
          <cell r="H25">
            <v>432493.55901141342</v>
          </cell>
          <cell r="I25">
            <v>284865.82440313109</v>
          </cell>
          <cell r="J25">
            <v>476581.36576123652</v>
          </cell>
          <cell r="K25">
            <v>429466.55637159524</v>
          </cell>
          <cell r="L25">
            <v>293918.40437837411</v>
          </cell>
          <cell r="M25">
            <v>436972.21616423246</v>
          </cell>
          <cell r="N25">
            <v>240209.76761732984</v>
          </cell>
          <cell r="O25">
            <v>253461.08200631567</v>
          </cell>
          <cell r="P25">
            <v>264366.48083502409</v>
          </cell>
          <cell r="Q25">
            <v>263981.78807957581</v>
          </cell>
          <cell r="R25">
            <v>491067.27565250883</v>
          </cell>
          <cell r="S25">
            <v>225243.50426328272</v>
          </cell>
          <cell r="T25">
            <v>169537.31965447575</v>
          </cell>
          <cell r="U25">
            <v>104202.91111798768</v>
          </cell>
          <cell r="V25">
            <v>220866.6966227291</v>
          </cell>
          <cell r="W25">
            <v>0</v>
          </cell>
          <cell r="X25">
            <v>0</v>
          </cell>
          <cell r="Y25">
            <v>0</v>
          </cell>
          <cell r="Z25">
            <v>6028870.2622769391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D26" t="str">
            <v>영업이익 II</v>
          </cell>
          <cell r="E26">
            <v>9388335.0232025161</v>
          </cell>
          <cell r="F26">
            <v>832438.44705539779</v>
          </cell>
          <cell r="G26">
            <v>-392929.84672742535</v>
          </cell>
          <cell r="H26">
            <v>-117750.7495869915</v>
          </cell>
          <cell r="I26">
            <v>61219.504208089318</v>
          </cell>
          <cell r="J26">
            <v>393851.56885568961</v>
          </cell>
          <cell r="K26">
            <v>457332.39302967966</v>
          </cell>
          <cell r="L26">
            <v>264819.0582128528</v>
          </cell>
          <cell r="M26">
            <v>327015.21760006552</v>
          </cell>
          <cell r="N26">
            <v>184473.08406454406</v>
          </cell>
          <cell r="O26">
            <v>159813.7996601956</v>
          </cell>
          <cell r="P26">
            <v>300616.09130624821</v>
          </cell>
          <cell r="Q26">
            <v>87914.67956779059</v>
          </cell>
          <cell r="R26">
            <v>1187092.5430697915</v>
          </cell>
          <cell r="S26">
            <v>362626.74609817879</v>
          </cell>
          <cell r="T26">
            <v>1064185.4182169093</v>
          </cell>
          <cell r="U26">
            <v>354255.58954009571</v>
          </cell>
          <cell r="V26">
            <v>801740.24896961451</v>
          </cell>
          <cell r="W26">
            <v>0</v>
          </cell>
          <cell r="X26">
            <v>0</v>
          </cell>
          <cell r="Y26">
            <v>0</v>
          </cell>
          <cell r="Z26">
            <v>6328713.7931407485</v>
          </cell>
          <cell r="AA26">
            <v>1590826.675056004</v>
          </cell>
          <cell r="AB26">
            <v>945232.27496102825</v>
          </cell>
          <cell r="AC26">
            <v>-233308.31452620894</v>
          </cell>
          <cell r="AD26">
            <v>583805.29523763363</v>
          </cell>
          <cell r="AE26">
            <v>1295729.2556724537</v>
          </cell>
          <cell r="AF26">
            <v>72962.696000000011</v>
          </cell>
          <cell r="AG26">
            <v>190802.87600000002</v>
          </cell>
          <cell r="AH26">
            <v>148331.97133333332</v>
          </cell>
          <cell r="AI26">
            <v>505531.02399999998</v>
          </cell>
          <cell r="AJ26">
            <v>32520.864000000001</v>
          </cell>
          <cell r="AK26">
            <v>0</v>
          </cell>
          <cell r="AL26">
            <v>950149.43133333325</v>
          </cell>
          <cell r="AM26">
            <v>-74559.23000000001</v>
          </cell>
          <cell r="AN26">
            <v>-15636.772000000001</v>
          </cell>
          <cell r="AO26">
            <v>-5108.4960000000001</v>
          </cell>
          <cell r="AP26">
            <v>-12247.83</v>
          </cell>
          <cell r="AQ26">
            <v>-145007.70600000001</v>
          </cell>
          <cell r="AR26">
            <v>-6846.688000000001</v>
          </cell>
          <cell r="AS26">
            <v>-410013.78</v>
          </cell>
          <cell r="AT26">
            <v>-107663.63</v>
          </cell>
          <cell r="AU26">
            <v>-777084.1320000001</v>
          </cell>
        </row>
        <row r="27">
          <cell r="E27" t="e">
            <v>#REF!</v>
          </cell>
          <cell r="F27">
            <v>832438.44705539523</v>
          </cell>
          <cell r="G27">
            <v>-392929.84672742686</v>
          </cell>
          <cell r="H27">
            <v>-117750.74958699258</v>
          </cell>
          <cell r="I27">
            <v>61219.50420808707</v>
          </cell>
          <cell r="J27">
            <v>393851.56885568914</v>
          </cell>
          <cell r="K27">
            <v>457332.39302967826</v>
          </cell>
          <cell r="L27">
            <v>264819.05821285234</v>
          </cell>
          <cell r="M27">
            <v>327015.2176000654</v>
          </cell>
          <cell r="N27">
            <v>184473.08406454348</v>
          </cell>
          <cell r="O27">
            <v>159813.79966019461</v>
          </cell>
          <cell r="P27">
            <v>300616.09130624903</v>
          </cell>
          <cell r="Q27">
            <v>87914.679567788844</v>
          </cell>
          <cell r="R27">
            <v>1187092.5430697938</v>
          </cell>
          <cell r="S27">
            <v>362626.74609817925</v>
          </cell>
          <cell r="T27">
            <v>1064185.4182169088</v>
          </cell>
          <cell r="U27">
            <v>354255.5895400953</v>
          </cell>
          <cell r="V27">
            <v>801740.24896961404</v>
          </cell>
          <cell r="W27">
            <v>0</v>
          </cell>
          <cell r="X27">
            <v>0</v>
          </cell>
          <cell r="Y27">
            <v>0</v>
          </cell>
          <cell r="Z27">
            <v>6328713.793140715</v>
          </cell>
          <cell r="AA27">
            <v>1590826.6750560154</v>
          </cell>
          <cell r="AB27">
            <v>945232.27496102825</v>
          </cell>
          <cell r="AC27">
            <v>-233308.31452620853</v>
          </cell>
          <cell r="AD27">
            <v>583805.29523763398</v>
          </cell>
          <cell r="AE27">
            <v>1295729.2556724537</v>
          </cell>
          <cell r="AF27">
            <v>72962.695999999982</v>
          </cell>
          <cell r="AG27">
            <v>190802.87599999996</v>
          </cell>
          <cell r="AH27">
            <v>148331.97133333338</v>
          </cell>
          <cell r="AI27">
            <v>505531.02399999998</v>
          </cell>
          <cell r="AJ27">
            <v>32520.864000000001</v>
          </cell>
          <cell r="AK27">
            <v>0</v>
          </cell>
          <cell r="AL27">
            <v>950149.43133333325</v>
          </cell>
          <cell r="AM27">
            <v>-74559.23000000001</v>
          </cell>
          <cell r="AN27">
            <v>-15636.771999999997</v>
          </cell>
          <cell r="AO27">
            <v>-5108.496000000001</v>
          </cell>
          <cell r="AP27">
            <v>-12247.83</v>
          </cell>
          <cell r="AQ27">
            <v>-145007.70600000003</v>
          </cell>
          <cell r="AR27">
            <v>-6846.688000000001</v>
          </cell>
          <cell r="AS27">
            <v>-410013.78</v>
          </cell>
          <cell r="AT27">
            <v>-107663.63</v>
          </cell>
          <cell r="AU27">
            <v>-777084.1320000001</v>
          </cell>
        </row>
        <row r="28">
          <cell r="E28" t="e">
            <v>#REF!</v>
          </cell>
          <cell r="F28">
            <v>2.5611370801925659E-9</v>
          </cell>
          <cell r="G28">
            <v>1.5133991837501526E-9</v>
          </cell>
          <cell r="H28">
            <v>1.076841726899147E-9</v>
          </cell>
          <cell r="I28">
            <v>2.2482709027826786E-9</v>
          </cell>
          <cell r="J28">
            <v>4.6566128730773926E-10</v>
          </cell>
          <cell r="K28">
            <v>1.3969838619232178E-9</v>
          </cell>
          <cell r="L28">
            <v>4.6566128730773926E-10</v>
          </cell>
          <cell r="M28">
            <v>0</v>
          </cell>
          <cell r="N28">
            <v>5.8207660913467407E-10</v>
          </cell>
          <cell r="O28">
            <v>9.8953023552894592E-10</v>
          </cell>
          <cell r="P28">
            <v>-8.149072527885437E-10</v>
          </cell>
          <cell r="Q28">
            <v>1.7462298274040222E-9</v>
          </cell>
          <cell r="R28">
            <v>-2.3283064365386963E-9</v>
          </cell>
          <cell r="S28">
            <v>-4.6566128730773926E-10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3.3527612686157227E-8</v>
          </cell>
          <cell r="AA28">
            <v>-1.1408701539039612E-8</v>
          </cell>
          <cell r="AB28">
            <v>0</v>
          </cell>
          <cell r="AC28">
            <v>-4.0745362639427185E-10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30">
          <cell r="E30">
            <v>2985050.4222009424</v>
          </cell>
          <cell r="F30">
            <v>302000</v>
          </cell>
          <cell r="G30">
            <v>218000</v>
          </cell>
          <cell r="H30">
            <v>161000</v>
          </cell>
          <cell r="I30">
            <v>109000</v>
          </cell>
          <cell r="J30">
            <v>157000</v>
          </cell>
          <cell r="K30">
            <v>154000</v>
          </cell>
          <cell r="L30">
            <v>108000</v>
          </cell>
          <cell r="M30">
            <v>151000</v>
          </cell>
          <cell r="N30">
            <v>90000</v>
          </cell>
          <cell r="O30">
            <v>91000</v>
          </cell>
          <cell r="P30">
            <v>97000</v>
          </cell>
          <cell r="Q30">
            <v>93000</v>
          </cell>
          <cell r="R30">
            <v>172000</v>
          </cell>
          <cell r="S30">
            <v>83000</v>
          </cell>
          <cell r="T30">
            <v>54500</v>
          </cell>
          <cell r="U30">
            <v>34000</v>
          </cell>
          <cell r="V30">
            <v>64000</v>
          </cell>
          <cell r="W30">
            <v>0</v>
          </cell>
          <cell r="X30">
            <v>0</v>
          </cell>
          <cell r="Y30">
            <v>0</v>
          </cell>
          <cell r="Z30">
            <v>2138500</v>
          </cell>
          <cell r="AA30">
            <v>88300</v>
          </cell>
          <cell r="AB30">
            <v>392579.49878279574</v>
          </cell>
          <cell r="AC30">
            <v>202706.35709999996</v>
          </cell>
          <cell r="AD30">
            <v>162964.56631814648</v>
          </cell>
          <cell r="AE30">
            <v>758250.42220094218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326909097.04886734</v>
          </cell>
          <cell r="F31">
            <v>29771086.636</v>
          </cell>
          <cell r="G31">
            <v>21376385.173809413</v>
          </cell>
          <cell r="H31">
            <v>15555940.481200002</v>
          </cell>
          <cell r="I31">
            <v>10337881.270000001</v>
          </cell>
          <cell r="J31">
            <v>16908897.757104002</v>
          </cell>
          <cell r="K31">
            <v>15292201.679580018</v>
          </cell>
          <cell r="L31">
            <v>10400387.25</v>
          </cell>
          <cell r="M31">
            <v>15401979.868360002</v>
          </cell>
          <cell r="N31">
            <v>8511128.5</v>
          </cell>
          <cell r="O31">
            <v>9160924.1125920005</v>
          </cell>
          <cell r="P31">
            <v>9423300.521183094</v>
          </cell>
          <cell r="Q31">
            <v>9483807</v>
          </cell>
          <cell r="R31">
            <v>17716000</v>
          </cell>
          <cell r="S31">
            <v>8128984.8599999994</v>
          </cell>
          <cell r="T31">
            <v>6041223.0330000008</v>
          </cell>
          <cell r="U31">
            <v>3808000</v>
          </cell>
          <cell r="V31">
            <v>7861968.5</v>
          </cell>
          <cell r="W31">
            <v>0</v>
          </cell>
          <cell r="X31">
            <v>0</v>
          </cell>
          <cell r="Y31">
            <v>0</v>
          </cell>
          <cell r="Z31">
            <v>215180096.64282852</v>
          </cell>
          <cell r="AA31">
            <v>96491989.990399987</v>
          </cell>
          <cell r="AB31">
            <v>5731027.2493913975</v>
          </cell>
          <cell r="AC31">
            <v>3465166.1681166664</v>
          </cell>
          <cell r="AD31">
            <v>4826871.6647974011</v>
          </cell>
          <cell r="AE31">
            <v>14023065.082305465</v>
          </cell>
          <cell r="AF31">
            <v>100000</v>
          </cell>
          <cell r="AG31">
            <v>275000</v>
          </cell>
          <cell r="AH31">
            <v>230853.33333333331</v>
          </cell>
          <cell r="AI31">
            <v>549760</v>
          </cell>
          <cell r="AJ31">
            <v>44172</v>
          </cell>
          <cell r="AK31">
            <v>0</v>
          </cell>
          <cell r="AL31">
            <v>1199785.3333333333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14160</v>
          </cell>
          <cell r="AU31">
            <v>14160</v>
          </cell>
        </row>
        <row r="32">
          <cell r="D32" t="str">
            <v>매출원가</v>
          </cell>
          <cell r="E32">
            <v>297549937.09638786</v>
          </cell>
          <cell r="F32">
            <v>26622653.448330134</v>
          </cell>
          <cell r="G32">
            <v>20007413.525923975</v>
          </cell>
          <cell r="H32">
            <v>14350955.976685269</v>
          </cell>
          <cell r="I32">
            <v>9385247.8487917632</v>
          </cell>
          <cell r="J32">
            <v>15118612.973824095</v>
          </cell>
          <cell r="K32">
            <v>13519514.898811279</v>
          </cell>
          <cell r="L32">
            <v>9195062.6986738816</v>
          </cell>
          <cell r="M32">
            <v>13743458.593004055</v>
          </cell>
          <cell r="N32">
            <v>7585330.2659160029</v>
          </cell>
          <cell r="O32">
            <v>8154285.7319325944</v>
          </cell>
          <cell r="P32">
            <v>8243263.5058053527</v>
          </cell>
          <cell r="Q32">
            <v>8531224.5926685054</v>
          </cell>
          <cell r="R32">
            <v>15158526.072941773</v>
          </cell>
          <cell r="S32">
            <v>7058132.0529215392</v>
          </cell>
          <cell r="T32">
            <v>4541705.4616612531</v>
          </cell>
          <cell r="U32">
            <v>3138415.6264298647</v>
          </cell>
          <cell r="V32">
            <v>6477867.5720041078</v>
          </cell>
          <cell r="W32">
            <v>0</v>
          </cell>
          <cell r="X32">
            <v>0</v>
          </cell>
          <cell r="Y32">
            <v>0</v>
          </cell>
          <cell r="Z32">
            <v>190831670.8463254</v>
          </cell>
          <cell r="AA32">
            <v>93886645.671343982</v>
          </cell>
          <cell r="AB32">
            <v>4623338.1028988883</v>
          </cell>
          <cell r="AC32">
            <v>3608356.5206810669</v>
          </cell>
          <cell r="AD32">
            <v>4111266.1331384834</v>
          </cell>
          <cell r="AE32">
            <v>12342960.756718438</v>
          </cell>
          <cell r="AF32">
            <v>27037.304</v>
          </cell>
          <cell r="AG32">
            <v>84197.123999999996</v>
          </cell>
          <cell r="AH32">
            <v>82521.361999999994</v>
          </cell>
          <cell r="AI32">
            <v>44228.976000000002</v>
          </cell>
          <cell r="AJ32">
            <v>11651.136</v>
          </cell>
          <cell r="AK32">
            <v>0</v>
          </cell>
          <cell r="AL32">
            <v>249635.902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239023.92</v>
          </cell>
          <cell r="AT32">
            <v>0</v>
          </cell>
          <cell r="AU32">
            <v>239023.92</v>
          </cell>
        </row>
        <row r="33">
          <cell r="D33" t="str">
            <v>매출이익</v>
          </cell>
          <cell r="E33">
            <v>29359159.952479489</v>
          </cell>
          <cell r="F33">
            <v>3148433.1876698658</v>
          </cell>
          <cell r="G33">
            <v>1368971.6478854381</v>
          </cell>
          <cell r="H33">
            <v>1204984.5045147333</v>
          </cell>
          <cell r="I33">
            <v>952633.42120823823</v>
          </cell>
          <cell r="J33">
            <v>1790284.783279907</v>
          </cell>
          <cell r="K33">
            <v>1772686.7807687391</v>
          </cell>
          <cell r="L33">
            <v>1205324.5513261184</v>
          </cell>
          <cell r="M33">
            <v>1658521.2753559463</v>
          </cell>
          <cell r="N33">
            <v>925798.23408399709</v>
          </cell>
          <cell r="O33">
            <v>1006638.3806594061</v>
          </cell>
          <cell r="P33">
            <v>1180037.0153777413</v>
          </cell>
          <cell r="Q33">
            <v>952582.40733149461</v>
          </cell>
          <cell r="R33">
            <v>2557473.9270582274</v>
          </cell>
          <cell r="S33">
            <v>1070852.8070784602</v>
          </cell>
          <cell r="T33">
            <v>1499517.5713387476</v>
          </cell>
          <cell r="U33">
            <v>669584.37357013533</v>
          </cell>
          <cell r="V33">
            <v>1384100.9279958922</v>
          </cell>
          <cell r="W33">
            <v>0</v>
          </cell>
          <cell r="X33">
            <v>0</v>
          </cell>
          <cell r="Y33">
            <v>0</v>
          </cell>
          <cell r="Z33">
            <v>24348425.796503127</v>
          </cell>
          <cell r="AA33">
            <v>2605344.3190560043</v>
          </cell>
          <cell r="AB33">
            <v>1107689.1464925092</v>
          </cell>
          <cell r="AC33">
            <v>-143190.35256440053</v>
          </cell>
          <cell r="AD33">
            <v>715605.53165891767</v>
          </cell>
          <cell r="AE33">
            <v>1680104.3255870268</v>
          </cell>
          <cell r="AF33">
            <v>72962.695999999996</v>
          </cell>
          <cell r="AG33">
            <v>190802.87599999999</v>
          </cell>
          <cell r="AH33">
            <v>148331.97133333332</v>
          </cell>
          <cell r="AI33">
            <v>505531.02399999998</v>
          </cell>
          <cell r="AJ33">
            <v>32520.864000000001</v>
          </cell>
          <cell r="AK33">
            <v>0</v>
          </cell>
          <cell r="AL33">
            <v>950149.43133333325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-239023.92</v>
          </cell>
          <cell r="AT33">
            <v>14160</v>
          </cell>
          <cell r="AU33">
            <v>-224863.92</v>
          </cell>
        </row>
        <row r="34">
          <cell r="D34" t="str">
            <v>판관비</v>
          </cell>
          <cell r="E34">
            <v>19970824.929276939</v>
          </cell>
          <cell r="F34">
            <v>2315994.7406144696</v>
          </cell>
          <cell r="G34">
            <v>1761901.4946128621</v>
          </cell>
          <cell r="H34">
            <v>1322735.2541017258</v>
          </cell>
          <cell r="I34">
            <v>891413.91700014891</v>
          </cell>
          <cell r="J34">
            <v>1396433.2144242171</v>
          </cell>
          <cell r="K34">
            <v>1315354.3877390595</v>
          </cell>
          <cell r="L34">
            <v>940505.49311326526</v>
          </cell>
          <cell r="M34">
            <v>1331506.0577558812</v>
          </cell>
          <cell r="N34">
            <v>741325.15001945326</v>
          </cell>
          <cell r="O34">
            <v>846824.58099921071</v>
          </cell>
          <cell r="P34">
            <v>879420.92407149333</v>
          </cell>
          <cell r="Q34">
            <v>864667.72776370449</v>
          </cell>
          <cell r="R34">
            <v>1370381.3839884368</v>
          </cell>
          <cell r="S34">
            <v>708226.06098028191</v>
          </cell>
          <cell r="T34">
            <v>435332.15312183806</v>
          </cell>
          <cell r="U34">
            <v>315328.78403003979</v>
          </cell>
          <cell r="V34">
            <v>582360.67902627785</v>
          </cell>
          <cell r="W34">
            <v>0</v>
          </cell>
          <cell r="X34">
            <v>0</v>
          </cell>
          <cell r="Y34">
            <v>0</v>
          </cell>
          <cell r="Z34">
            <v>18019712.003362365</v>
          </cell>
          <cell r="AA34">
            <v>1014517.6440000002</v>
          </cell>
          <cell r="AB34">
            <v>162456.87153148063</v>
          </cell>
          <cell r="AC34">
            <v>90117.961961808585</v>
          </cell>
          <cell r="AD34">
            <v>131800.23642128386</v>
          </cell>
          <cell r="AE34">
            <v>384375.06991457311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74559.23000000001</v>
          </cell>
          <cell r="AN34">
            <v>15636.772000000001</v>
          </cell>
          <cell r="AO34">
            <v>5108.4960000000001</v>
          </cell>
          <cell r="AP34">
            <v>12247.83</v>
          </cell>
          <cell r="AQ34">
            <v>145007.70600000001</v>
          </cell>
          <cell r="AR34">
            <v>6846.688000000001</v>
          </cell>
          <cell r="AS34">
            <v>170989.86000000002</v>
          </cell>
          <cell r="AT34">
            <v>121823.63</v>
          </cell>
          <cell r="AU34">
            <v>552220.21200000006</v>
          </cell>
        </row>
        <row r="35">
          <cell r="D35" t="str">
            <v>영업이익</v>
          </cell>
          <cell r="E35">
            <v>9388335.0232025534</v>
          </cell>
          <cell r="F35">
            <v>832438.44705539616</v>
          </cell>
          <cell r="G35">
            <v>-392929.84672742407</v>
          </cell>
          <cell r="H35">
            <v>-117750.74958699243</v>
          </cell>
          <cell r="I35">
            <v>61219.504208089318</v>
          </cell>
          <cell r="J35">
            <v>393851.56885568984</v>
          </cell>
          <cell r="K35">
            <v>457332.39302967954</v>
          </cell>
          <cell r="L35">
            <v>264819.05821285315</v>
          </cell>
          <cell r="M35">
            <v>327015.21760006505</v>
          </cell>
          <cell r="N35">
            <v>184473.08406454383</v>
          </cell>
          <cell r="O35">
            <v>159813.79966019536</v>
          </cell>
          <cell r="P35">
            <v>300616.09130624798</v>
          </cell>
          <cell r="Q35">
            <v>87914.679567790125</v>
          </cell>
          <cell r="R35">
            <v>1187092.5430697906</v>
          </cell>
          <cell r="S35">
            <v>362626.74609817832</v>
          </cell>
          <cell r="T35">
            <v>1064185.4182169095</v>
          </cell>
          <cell r="U35">
            <v>354255.58954009553</v>
          </cell>
          <cell r="V35">
            <v>801740.24896961439</v>
          </cell>
          <cell r="W35">
            <v>0</v>
          </cell>
          <cell r="X35">
            <v>0</v>
          </cell>
          <cell r="Y35">
            <v>0</v>
          </cell>
          <cell r="Z35">
            <v>6328713.7931407616</v>
          </cell>
          <cell r="AA35">
            <v>1590826.675056004</v>
          </cell>
          <cell r="AB35">
            <v>945232.27496102848</v>
          </cell>
          <cell r="AC35">
            <v>-233308.31452620911</v>
          </cell>
          <cell r="AD35">
            <v>583805.29523763387</v>
          </cell>
          <cell r="AE35">
            <v>1295729.2556724537</v>
          </cell>
          <cell r="AF35">
            <v>72962.695999999996</v>
          </cell>
          <cell r="AG35">
            <v>190802.87599999999</v>
          </cell>
          <cell r="AH35">
            <v>148331.97133333332</v>
          </cell>
          <cell r="AI35">
            <v>505531.02399999998</v>
          </cell>
          <cell r="AJ35">
            <v>32520.864000000001</v>
          </cell>
          <cell r="AK35">
            <v>0</v>
          </cell>
          <cell r="AL35">
            <v>950149.43133333325</v>
          </cell>
          <cell r="AM35">
            <v>-74559.23000000001</v>
          </cell>
          <cell r="AN35">
            <v>-15636.772000000001</v>
          </cell>
          <cell r="AO35">
            <v>-5108.4960000000001</v>
          </cell>
          <cell r="AP35">
            <v>-12247.83</v>
          </cell>
          <cell r="AQ35">
            <v>-145007.70600000001</v>
          </cell>
          <cell r="AR35">
            <v>-6846.688000000001</v>
          </cell>
          <cell r="AS35">
            <v>-410013.78</v>
          </cell>
          <cell r="AT35">
            <v>-107663.63</v>
          </cell>
          <cell r="AU35">
            <v>-777084.1320000001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피벗매출"/>
      <sheetName val="A1raw"/>
      <sheetName val="A1raw매출액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I6"/>
          <cell r="BJ6" t="str">
            <v>기타 계</v>
          </cell>
          <cell r="BK6"/>
        </row>
        <row r="7">
          <cell r="F7"/>
          <cell r="G7">
            <v>23449</v>
          </cell>
          <cell r="H7">
            <v>23226</v>
          </cell>
          <cell r="I7">
            <v>12851</v>
          </cell>
          <cell r="J7">
            <v>9958.32</v>
          </cell>
          <cell r="K7">
            <v>19281</v>
          </cell>
          <cell r="L7">
            <v>16329</v>
          </cell>
          <cell r="M7">
            <v>7188</v>
          </cell>
          <cell r="N7">
            <v>21485</v>
          </cell>
          <cell r="O7">
            <v>4157</v>
          </cell>
          <cell r="P7">
            <v>6785</v>
          </cell>
          <cell r="Q7">
            <v>9987</v>
          </cell>
          <cell r="R7">
            <v>9494</v>
          </cell>
          <cell r="S7">
            <v>17801</v>
          </cell>
          <cell r="T7">
            <v>2075</v>
          </cell>
          <cell r="U7">
            <v>4411</v>
          </cell>
          <cell r="V7">
            <v>7624</v>
          </cell>
          <cell r="W7">
            <v>4256</v>
          </cell>
          <cell r="X7"/>
          <cell r="Y7"/>
          <cell r="Z7">
            <v>200357.32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200357.32</v>
          </cell>
          <cell r="AJ7">
            <v>21573</v>
          </cell>
          <cell r="AK7">
            <v>26422</v>
          </cell>
          <cell r="AL7">
            <v>19092</v>
          </cell>
          <cell r="AM7"/>
          <cell r="AN7">
            <v>67087</v>
          </cell>
          <cell r="AO7">
            <v>6814.7489999999989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27305797.370999999</v>
          </cell>
          <cell r="G8">
            <v>2252060.5589999999</v>
          </cell>
          <cell r="H8">
            <v>2185601.537</v>
          </cell>
          <cell r="I8">
            <v>1223272.5</v>
          </cell>
          <cell r="J8">
            <v>958977.41600000008</v>
          </cell>
          <cell r="K8">
            <v>2015131.5</v>
          </cell>
          <cell r="L8">
            <v>1606071.2</v>
          </cell>
          <cell r="M8">
            <v>651264.70000000007</v>
          </cell>
          <cell r="N8">
            <v>2072701.28</v>
          </cell>
          <cell r="O8">
            <v>364681.4</v>
          </cell>
          <cell r="P8">
            <v>631819</v>
          </cell>
          <cell r="Q8">
            <v>880551.39999999991</v>
          </cell>
          <cell r="R8">
            <v>954058.9</v>
          </cell>
          <cell r="S8">
            <v>1653611.5589999999</v>
          </cell>
          <cell r="T8">
            <v>233525.3</v>
          </cell>
          <cell r="U8">
            <v>484801.745</v>
          </cell>
          <cell r="V8">
            <v>752190.68200000003</v>
          </cell>
          <cell r="W8">
            <v>530407.13100000005</v>
          </cell>
          <cell r="X8"/>
          <cell r="Y8"/>
          <cell r="Z8">
            <v>19450727.809</v>
          </cell>
          <cell r="AA8">
            <v>0</v>
          </cell>
          <cell r="AB8">
            <v>0</v>
          </cell>
          <cell r="AC8">
            <v>12500</v>
          </cell>
          <cell r="AD8">
            <v>30840</v>
          </cell>
          <cell r="AE8"/>
          <cell r="AF8"/>
          <cell r="AG8"/>
          <cell r="AH8">
            <v>43340</v>
          </cell>
          <cell r="AI8">
            <v>19494067.809</v>
          </cell>
          <cell r="AJ8">
            <v>608888</v>
          </cell>
          <cell r="AK8">
            <v>351832</v>
          </cell>
          <cell r="AL8">
            <v>363958</v>
          </cell>
          <cell r="AM8"/>
          <cell r="AN8">
            <v>1324678</v>
          </cell>
          <cell r="AO8">
            <v>6411074.1150000002</v>
          </cell>
          <cell r="AP8">
            <v>0</v>
          </cell>
          <cell r="AQ8"/>
          <cell r="AR8"/>
          <cell r="AS8">
            <v>6411074.1150000002</v>
          </cell>
          <cell r="AT8">
            <v>5788.1</v>
          </cell>
          <cell r="AU8">
            <v>5850</v>
          </cell>
          <cell r="AV8">
            <v>62651.947</v>
          </cell>
          <cell r="AW8"/>
          <cell r="AX8"/>
          <cell r="AY8"/>
          <cell r="AZ8"/>
          <cell r="BA8">
            <v>74290.047000000006</v>
          </cell>
          <cell r="BB8">
            <v>0</v>
          </cell>
          <cell r="BC8">
            <v>1687.4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/>
          <cell r="BJ8">
            <v>1687.4</v>
          </cell>
          <cell r="BK8"/>
          <cell r="BL8"/>
          <cell r="BM8"/>
          <cell r="BN8"/>
          <cell r="BO8"/>
        </row>
        <row r="9">
          <cell r="F9"/>
          <cell r="G9">
            <v>96040.793168152144</v>
          </cell>
          <cell r="H9">
            <v>94101.504219409282</v>
          </cell>
          <cell r="I9">
            <v>95188.895805773864</v>
          </cell>
          <cell r="J9">
            <v>96299.11631680846</v>
          </cell>
          <cell r="K9">
            <v>104513.84782946942</v>
          </cell>
          <cell r="L9">
            <v>98356.98450609346</v>
          </cell>
          <cell r="M9">
            <v>90604.437952142471</v>
          </cell>
          <cell r="N9">
            <v>96472.016755876204</v>
          </cell>
          <cell r="O9">
            <v>87727.06278566274</v>
          </cell>
          <cell r="P9">
            <v>93119.970523212964</v>
          </cell>
          <cell r="Q9">
            <v>88169.760688895549</v>
          </cell>
          <cell r="R9">
            <v>100490.72045502423</v>
          </cell>
          <cell r="S9">
            <v>92894.307005224415</v>
          </cell>
          <cell r="T9">
            <v>112542.31325301203</v>
          </cell>
          <cell r="U9">
            <v>109907.44615733394</v>
          </cell>
          <cell r="V9">
            <v>98660.897429171047</v>
          </cell>
          <cell r="W9">
            <v>124625.73566729324</v>
          </cell>
          <cell r="X9"/>
          <cell r="Y9"/>
          <cell r="Z9">
            <v>97080.195567598916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97296.509101838645</v>
          </cell>
          <cell r="AJ9">
            <v>28224.539934176981</v>
          </cell>
          <cell r="AK9">
            <v>13315.873136023012</v>
          </cell>
          <cell r="AL9">
            <v>19063.377330819189</v>
          </cell>
          <cell r="AM9"/>
          <cell r="AN9"/>
          <cell r="AO9">
            <v>940764.5263237136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25269483.346220002</v>
          </cell>
          <cell r="G10">
            <v>2068718.82011</v>
          </cell>
          <cell r="H10">
            <v>2152389.8094899999</v>
          </cell>
          <cell r="I10">
            <v>1136542.8289000001</v>
          </cell>
          <cell r="J10">
            <v>888695.79483000014</v>
          </cell>
          <cell r="K10">
            <v>1696319.1477600001</v>
          </cell>
          <cell r="L10">
            <v>1389330.9233299999</v>
          </cell>
          <cell r="M10">
            <v>656705.11067999993</v>
          </cell>
          <cell r="N10">
            <v>1839185.6708</v>
          </cell>
          <cell r="O10">
            <v>386838.08924</v>
          </cell>
          <cell r="P10">
            <v>586281.52138000005</v>
          </cell>
          <cell r="Q10">
            <v>820268.66529999988</v>
          </cell>
          <cell r="R10">
            <v>863837.10545000003</v>
          </cell>
          <cell r="S10">
            <v>1541388.01257</v>
          </cell>
          <cell r="T10">
            <v>213494.56686000002</v>
          </cell>
          <cell r="U10">
            <v>373680.61215</v>
          </cell>
          <cell r="V10">
            <v>677503.41850999999</v>
          </cell>
          <cell r="W10">
            <v>471924.45893999998</v>
          </cell>
          <cell r="X10"/>
          <cell r="Y10"/>
          <cell r="Z10">
            <v>17763104.556299999</v>
          </cell>
          <cell r="AA10">
            <v>0</v>
          </cell>
          <cell r="AB10">
            <v>0</v>
          </cell>
          <cell r="AC10">
            <v>119.852</v>
          </cell>
          <cell r="AD10">
            <v>511.78100000000001</v>
          </cell>
          <cell r="AE10"/>
          <cell r="AF10"/>
          <cell r="AG10"/>
          <cell r="AH10">
            <v>631.63300000000004</v>
          </cell>
          <cell r="AI10">
            <v>17763736.189300001</v>
          </cell>
          <cell r="AJ10">
            <v>531846.04402999999</v>
          </cell>
          <cell r="AK10">
            <v>256337.96168000001</v>
          </cell>
          <cell r="AL10">
            <v>453366.19120999996</v>
          </cell>
          <cell r="AM10"/>
          <cell r="AN10">
            <v>1241550.19692</v>
          </cell>
          <cell r="AO10">
            <v>6263784.4849999994</v>
          </cell>
          <cell r="AP10">
            <v>0</v>
          </cell>
          <cell r="AQ10"/>
          <cell r="AR10"/>
          <cell r="AS10">
            <v>6263784.4849999994</v>
          </cell>
          <cell r="AT10">
            <v>173.26300000000001</v>
          </cell>
          <cell r="AU10">
            <v>239.21199999999999</v>
          </cell>
          <cell r="AV10">
            <v>0</v>
          </cell>
          <cell r="AW10"/>
          <cell r="AX10"/>
          <cell r="AY10"/>
          <cell r="AZ10"/>
          <cell r="BA10">
            <v>412.47500000000002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/>
          <cell r="BJ10">
            <v>0</v>
          </cell>
          <cell r="BK10"/>
          <cell r="BL10"/>
          <cell r="BM10"/>
          <cell r="BN10"/>
          <cell r="BO10"/>
        </row>
        <row r="11">
          <cell r="F11"/>
          <cell r="G11">
            <v>88222.048706128189</v>
          </cell>
          <cell r="H11">
            <v>92671.566756652028</v>
          </cell>
          <cell r="I11">
            <v>88440.030262236411</v>
          </cell>
          <cell r="J11">
            <v>89241.538214277127</v>
          </cell>
          <cell r="K11">
            <v>87978.79507079508</v>
          </cell>
          <cell r="L11">
            <v>85083.650151877024</v>
          </cell>
          <cell r="M11">
            <v>91361.312003338884</v>
          </cell>
          <cell r="N11">
            <v>85603.242764719573</v>
          </cell>
          <cell r="O11">
            <v>93057.033735867211</v>
          </cell>
          <cell r="P11">
            <v>86408.477727339734</v>
          </cell>
          <cell r="Q11">
            <v>82133.640262341039</v>
          </cell>
          <cell r="R11">
            <v>90987.687534232158</v>
          </cell>
          <cell r="S11">
            <v>86589.967561934725</v>
          </cell>
          <cell r="T11">
            <v>102888.94788433735</v>
          </cell>
          <cell r="U11">
            <v>84715.622795284522</v>
          </cell>
          <cell r="V11">
            <v>88864.561714323194</v>
          </cell>
          <cell r="W11">
            <v>110884.50632988721</v>
          </cell>
          <cell r="X11"/>
          <cell r="Y11"/>
          <cell r="Z11">
            <v>88657.127956692566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88660.280489377677</v>
          </cell>
          <cell r="AJ11">
            <v>24653.318686784405</v>
          </cell>
          <cell r="AK11">
            <v>9701.686536976762</v>
          </cell>
          <cell r="AL11">
            <v>23746.395935994129</v>
          </cell>
          <cell r="AM11"/>
          <cell r="AN11"/>
          <cell r="AO11">
            <v>919151.16536206997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2036314.0247799978</v>
          </cell>
          <cell r="G12">
            <v>183341.73888999992</v>
          </cell>
          <cell r="H12">
            <v>33211.727510000113</v>
          </cell>
          <cell r="I12">
            <v>86729.67109999992</v>
          </cell>
          <cell r="J12">
            <v>70281.62116999994</v>
          </cell>
          <cell r="K12">
            <v>318812.35223999992</v>
          </cell>
          <cell r="L12">
            <v>216740.27667000005</v>
          </cell>
          <cell r="M12">
            <v>-5440.4106799998553</v>
          </cell>
          <cell r="N12">
            <v>233515.60920000006</v>
          </cell>
          <cell r="O12">
            <v>-22156.689239999978</v>
          </cell>
          <cell r="P12">
            <v>45537.478619999951</v>
          </cell>
          <cell r="Q12">
            <v>60282.73470000003</v>
          </cell>
          <cell r="R12">
            <v>90221.794549999991</v>
          </cell>
          <cell r="S12">
            <v>112223.54642999987</v>
          </cell>
          <cell r="T12">
            <v>20030.733139999968</v>
          </cell>
          <cell r="U12">
            <v>111121.13284999999</v>
          </cell>
          <cell r="V12">
            <v>74687.263490000041</v>
          </cell>
          <cell r="W12">
            <v>58482.67206000007</v>
          </cell>
          <cell r="X12"/>
          <cell r="Y12"/>
          <cell r="Z12">
            <v>1687623.2526999996</v>
          </cell>
          <cell r="AA12">
            <v>0</v>
          </cell>
          <cell r="AB12">
            <v>0</v>
          </cell>
          <cell r="AC12">
            <v>12380.147999999999</v>
          </cell>
          <cell r="AD12">
            <v>30328.219000000001</v>
          </cell>
          <cell r="AE12"/>
          <cell r="AF12"/>
          <cell r="AG12"/>
          <cell r="AH12">
            <v>42708.366999999998</v>
          </cell>
          <cell r="AI12">
            <v>1730331.6196999997</v>
          </cell>
          <cell r="AJ12">
            <v>77041.95597000001</v>
          </cell>
          <cell r="AK12">
            <v>95494.038319999992</v>
          </cell>
          <cell r="AL12">
            <v>-89408.191209999961</v>
          </cell>
          <cell r="AM12"/>
          <cell r="AN12">
            <v>83127.803079999983</v>
          </cell>
          <cell r="AO12">
            <v>147289.63000000082</v>
          </cell>
          <cell r="AP12">
            <v>0</v>
          </cell>
          <cell r="AQ12"/>
          <cell r="AR12"/>
          <cell r="AS12">
            <v>147289.63000000082</v>
          </cell>
          <cell r="AT12">
            <v>5614.8370000000004</v>
          </cell>
          <cell r="AU12">
            <v>5610.7880000000005</v>
          </cell>
          <cell r="AV12">
            <v>62651.947</v>
          </cell>
          <cell r="AW12"/>
          <cell r="AX12"/>
          <cell r="AY12"/>
          <cell r="AZ12"/>
          <cell r="BA12">
            <v>73877.572</v>
          </cell>
          <cell r="BB12">
            <v>0</v>
          </cell>
          <cell r="BC12">
            <v>1687.4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/>
          <cell r="BJ12">
            <v>1687.4</v>
          </cell>
          <cell r="BK12"/>
          <cell r="BL12"/>
          <cell r="BM12"/>
          <cell r="BN12"/>
          <cell r="BO12"/>
        </row>
        <row r="13">
          <cell r="F13">
            <v>777441.99899999995</v>
          </cell>
          <cell r="G13">
            <v>63999.842999999993</v>
          </cell>
          <cell r="H13">
            <v>67917.61</v>
          </cell>
          <cell r="I13">
            <v>53907.572999999997</v>
          </cell>
          <cell r="J13">
            <v>38387.161</v>
          </cell>
          <cell r="K13">
            <v>55685.315000000002</v>
          </cell>
          <cell r="L13">
            <v>51713.847000000002</v>
          </cell>
          <cell r="M13">
            <v>30914.762999999999</v>
          </cell>
          <cell r="N13">
            <v>50363.452999999994</v>
          </cell>
          <cell r="O13">
            <v>27876.332999999999</v>
          </cell>
          <cell r="P13">
            <v>26767.64</v>
          </cell>
          <cell r="Q13">
            <v>30639.365000000002</v>
          </cell>
          <cell r="R13">
            <v>28537.179000000004</v>
          </cell>
          <cell r="S13">
            <v>46071.574999999997</v>
          </cell>
          <cell r="T13">
            <v>11588.188</v>
          </cell>
          <cell r="U13">
            <v>11778.137999999999</v>
          </cell>
          <cell r="V13">
            <v>29719.119000000006</v>
          </cell>
          <cell r="W13">
            <v>15520.458000000001</v>
          </cell>
          <cell r="X13"/>
          <cell r="Y13"/>
          <cell r="Z13">
            <v>641387.55999999994</v>
          </cell>
          <cell r="AA13">
            <v>1767.9090000000001</v>
          </cell>
          <cell r="AB13">
            <v>179.96600000000001</v>
          </cell>
          <cell r="AC13">
            <v>0</v>
          </cell>
          <cell r="AD13">
            <v>0</v>
          </cell>
          <cell r="AE13"/>
          <cell r="AF13"/>
          <cell r="AG13"/>
          <cell r="AH13">
            <v>1947.875</v>
          </cell>
          <cell r="AI13">
            <v>643335.43499999994</v>
          </cell>
          <cell r="AJ13">
            <v>0</v>
          </cell>
          <cell r="AK13">
            <v>0</v>
          </cell>
          <cell r="AL13">
            <v>0</v>
          </cell>
          <cell r="AM13"/>
          <cell r="AN13">
            <v>0</v>
          </cell>
          <cell r="AO13">
            <v>123942.34299999999</v>
          </cell>
          <cell r="AP13">
            <v>0</v>
          </cell>
          <cell r="AQ13"/>
          <cell r="AR13"/>
          <cell r="AS13">
            <v>123942.34299999999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10164.221</v>
          </cell>
          <cell r="BG13">
            <v>0</v>
          </cell>
          <cell r="BH13">
            <v>0</v>
          </cell>
          <cell r="BI13"/>
          <cell r="BJ13">
            <v>10164.221</v>
          </cell>
          <cell r="BK13"/>
          <cell r="BL13"/>
          <cell r="BM13"/>
          <cell r="BN13"/>
          <cell r="BO13"/>
        </row>
        <row r="14">
          <cell r="F14">
            <v>544057.63699999999</v>
          </cell>
          <cell r="G14">
            <v>46550.735999999997</v>
          </cell>
          <cell r="H14">
            <v>46752.728999999999</v>
          </cell>
          <cell r="I14">
            <v>35978.767999999996</v>
          </cell>
          <cell r="J14">
            <v>27191.625</v>
          </cell>
          <cell r="K14">
            <v>39736.142</v>
          </cell>
          <cell r="L14">
            <v>37607.654999999999</v>
          </cell>
          <cell r="M14">
            <v>22149.222999999998</v>
          </cell>
          <cell r="N14">
            <v>34103.880999999994</v>
          </cell>
          <cell r="O14">
            <v>19532.807000000001</v>
          </cell>
          <cell r="P14">
            <v>19528.699000000001</v>
          </cell>
          <cell r="Q14">
            <v>21312.109</v>
          </cell>
          <cell r="R14">
            <v>19697.929000000004</v>
          </cell>
          <cell r="S14">
            <v>34376.994999999995</v>
          </cell>
          <cell r="T14">
            <v>7515.6970000000001</v>
          </cell>
          <cell r="U14">
            <v>8427.9959999999992</v>
          </cell>
          <cell r="V14">
            <v>22264.558000000005</v>
          </cell>
          <cell r="W14">
            <v>10860.244000000001</v>
          </cell>
          <cell r="X14"/>
          <cell r="Y14"/>
          <cell r="Z14">
            <v>453587.79300000001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453587.79300000001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90469.843999999997</v>
          </cell>
          <cell r="AP14">
            <v>0</v>
          </cell>
          <cell r="AQ14"/>
          <cell r="AR14"/>
          <cell r="AS14">
            <v>90469.843999999997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233384.36199999996</v>
          </cell>
          <cell r="G15">
            <v>17449.107</v>
          </cell>
          <cell r="H15">
            <v>21164.881000000001</v>
          </cell>
          <cell r="I15">
            <v>17928.805</v>
          </cell>
          <cell r="J15">
            <v>11195.536</v>
          </cell>
          <cell r="K15">
            <v>15949.172999999999</v>
          </cell>
          <cell r="L15">
            <v>14106.192000000001</v>
          </cell>
          <cell r="M15">
            <v>8765.5400000000009</v>
          </cell>
          <cell r="N15">
            <v>16259.572</v>
          </cell>
          <cell r="O15">
            <v>8343.5259999999998</v>
          </cell>
          <cell r="P15">
            <v>7238.9409999999989</v>
          </cell>
          <cell r="Q15">
            <v>9327.2560000000012</v>
          </cell>
          <cell r="R15">
            <v>8839.25</v>
          </cell>
          <cell r="S15">
            <v>11694.58</v>
          </cell>
          <cell r="T15">
            <v>4072.491</v>
          </cell>
          <cell r="U15">
            <v>3350.1420000000003</v>
          </cell>
          <cell r="V15">
            <v>7454.5609999999997</v>
          </cell>
          <cell r="W15">
            <v>4660.2139999999999</v>
          </cell>
          <cell r="X15"/>
          <cell r="Y15"/>
          <cell r="Z15">
            <v>187799.76699999996</v>
          </cell>
          <cell r="AA15">
            <v>1767.9090000000001</v>
          </cell>
          <cell r="AB15">
            <v>179.96600000000001</v>
          </cell>
          <cell r="AC15">
            <v>0</v>
          </cell>
          <cell r="AD15">
            <v>0</v>
          </cell>
          <cell r="AE15"/>
          <cell r="AF15"/>
          <cell r="AG15"/>
          <cell r="AH15">
            <v>1947.875</v>
          </cell>
          <cell r="AI15">
            <v>189747.64199999996</v>
          </cell>
          <cell r="AJ15">
            <v>0</v>
          </cell>
          <cell r="AK15">
            <v>0</v>
          </cell>
          <cell r="AL15">
            <v>0</v>
          </cell>
          <cell r="AM15"/>
          <cell r="AN15">
            <v>0</v>
          </cell>
          <cell r="AO15">
            <v>33472.499000000003</v>
          </cell>
          <cell r="AP15">
            <v>0</v>
          </cell>
          <cell r="AQ15"/>
          <cell r="AR15"/>
          <cell r="AS15">
            <v>33472.499000000003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10164.221</v>
          </cell>
          <cell r="BG15">
            <v>0</v>
          </cell>
          <cell r="BH15">
            <v>0</v>
          </cell>
          <cell r="BI15"/>
          <cell r="BJ15">
            <v>10164.221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1258872.0257799979</v>
          </cell>
          <cell r="G17">
            <v>119341.89588999993</v>
          </cell>
          <cell r="H17">
            <v>-34705.882489999887</v>
          </cell>
          <cell r="I17">
            <v>32822.098099999923</v>
          </cell>
          <cell r="J17">
            <v>31894.46016999994</v>
          </cell>
          <cell r="K17">
            <v>263127.03723999992</v>
          </cell>
          <cell r="L17">
            <v>165026.42967000004</v>
          </cell>
          <cell r="M17">
            <v>-36355.173679999854</v>
          </cell>
          <cell r="N17">
            <v>183152.15620000008</v>
          </cell>
          <cell r="O17">
            <v>-50033.022239999977</v>
          </cell>
          <cell r="P17">
            <v>18769.838619999951</v>
          </cell>
          <cell r="Q17">
            <v>29643.369700000028</v>
          </cell>
          <cell r="R17">
            <v>61684.615549999988</v>
          </cell>
          <cell r="S17">
            <v>66151.971429999874</v>
          </cell>
          <cell r="T17">
            <v>8442.5451399999674</v>
          </cell>
          <cell r="U17">
            <v>99342.994849999988</v>
          </cell>
          <cell r="V17">
            <v>44968.144490000035</v>
          </cell>
          <cell r="W17">
            <v>42962.214060000071</v>
          </cell>
          <cell r="X17"/>
          <cell r="Y17"/>
          <cell r="Z17">
            <v>1046235.6926999997</v>
          </cell>
          <cell r="AA17">
            <v>-1767.9090000000001</v>
          </cell>
          <cell r="AB17">
            <v>-179.96600000000001</v>
          </cell>
          <cell r="AC17">
            <v>12380.147999999999</v>
          </cell>
          <cell r="AD17">
            <v>30328.219000000001</v>
          </cell>
          <cell r="AE17"/>
          <cell r="AF17"/>
          <cell r="AG17"/>
          <cell r="AH17">
            <v>40760.491999999998</v>
          </cell>
          <cell r="AI17">
            <v>1086996.1846999996</v>
          </cell>
          <cell r="AJ17">
            <v>77041.95597000001</v>
          </cell>
          <cell r="AK17">
            <v>95494.038319999992</v>
          </cell>
          <cell r="AL17">
            <v>-89408.191209999961</v>
          </cell>
          <cell r="AM17"/>
          <cell r="AN17">
            <v>83127.803079999983</v>
          </cell>
          <cell r="AO17">
            <v>23347.287000000826</v>
          </cell>
          <cell r="AP17">
            <v>0</v>
          </cell>
          <cell r="AQ17"/>
          <cell r="AR17"/>
          <cell r="AS17">
            <v>23347.287000000826</v>
          </cell>
          <cell r="AT17">
            <v>5614.8370000000004</v>
          </cell>
          <cell r="AU17">
            <v>5610.7880000000005</v>
          </cell>
          <cell r="AV17">
            <v>62651.947</v>
          </cell>
          <cell r="AW17"/>
          <cell r="AX17"/>
          <cell r="AY17"/>
          <cell r="AZ17"/>
          <cell r="BA17">
            <v>73877.572</v>
          </cell>
          <cell r="BB17">
            <v>0</v>
          </cell>
          <cell r="BC17">
            <v>1687.4</v>
          </cell>
          <cell r="BD17">
            <v>0</v>
          </cell>
          <cell r="BE17">
            <v>0</v>
          </cell>
          <cell r="BF17">
            <v>-10164.221</v>
          </cell>
          <cell r="BG17">
            <v>0</v>
          </cell>
          <cell r="BH17">
            <v>0</v>
          </cell>
          <cell r="BI17"/>
          <cell r="BJ17">
            <v>-8476.8209999999999</v>
          </cell>
          <cell r="BK17"/>
          <cell r="BL17"/>
          <cell r="BM17"/>
          <cell r="BN17"/>
          <cell r="BO17"/>
        </row>
        <row r="18">
          <cell r="F18">
            <v>659658.78576999996</v>
          </cell>
          <cell r="G18">
            <v>30790.402890000001</v>
          </cell>
          <cell r="H18">
            <v>35558.729509999997</v>
          </cell>
          <cell r="I18">
            <v>21123.670100000003</v>
          </cell>
          <cell r="J18">
            <v>19214.728170000002</v>
          </cell>
          <cell r="K18">
            <v>112246.02223999999</v>
          </cell>
          <cell r="L18">
            <v>42081.790670000002</v>
          </cell>
          <cell r="M18">
            <v>15847.687320000001</v>
          </cell>
          <cell r="N18">
            <v>26196.618200000001</v>
          </cell>
          <cell r="O18">
            <v>12427.955760000001</v>
          </cell>
          <cell r="P18">
            <v>31650.476620000001</v>
          </cell>
          <cell r="Q18">
            <v>15743.9157</v>
          </cell>
          <cell r="R18">
            <v>15633.359550000001</v>
          </cell>
          <cell r="S18">
            <v>36353.797429999999</v>
          </cell>
          <cell r="T18">
            <v>6272.2581399999999</v>
          </cell>
          <cell r="U18">
            <v>10338.11385</v>
          </cell>
          <cell r="V18">
            <v>21535.659489999998</v>
          </cell>
          <cell r="W18">
            <v>12751.86606</v>
          </cell>
          <cell r="X18"/>
          <cell r="Y18"/>
          <cell r="Z18">
            <v>465767.05170000007</v>
          </cell>
          <cell r="AA18">
            <v>5731.549</v>
          </cell>
          <cell r="AB18">
            <v>0</v>
          </cell>
          <cell r="AC18">
            <v>3218.5030000000002</v>
          </cell>
          <cell r="AD18">
            <v>8222.2649999999994</v>
          </cell>
          <cell r="AE18"/>
          <cell r="AF18"/>
          <cell r="AG18"/>
          <cell r="AH18">
            <v>17172.316999999999</v>
          </cell>
          <cell r="AI18">
            <v>482939.36870000005</v>
          </cell>
          <cell r="AJ18">
            <v>44896.646959999998</v>
          </cell>
          <cell r="AK18">
            <v>16200.52132</v>
          </cell>
          <cell r="AL18">
            <v>64407.000789999998</v>
          </cell>
          <cell r="AM18"/>
          <cell r="AN18">
            <v>125504.16907</v>
          </cell>
          <cell r="AO18">
            <v>5186.2529999999997</v>
          </cell>
          <cell r="AP18">
            <v>0</v>
          </cell>
          <cell r="AQ18"/>
          <cell r="AR18"/>
          <cell r="AS18">
            <v>5186.2529999999997</v>
          </cell>
          <cell r="AT18">
            <v>1312.8920000000001</v>
          </cell>
          <cell r="AU18">
            <v>5524.1020000000008</v>
          </cell>
          <cell r="AV18">
            <v>0</v>
          </cell>
          <cell r="AW18"/>
          <cell r="AX18"/>
          <cell r="AY18"/>
          <cell r="AZ18"/>
          <cell r="BA18">
            <v>6836.9940000000006</v>
          </cell>
          <cell r="BB18">
            <v>0</v>
          </cell>
          <cell r="BC18">
            <v>17066.092000000001</v>
          </cell>
          <cell r="BD18">
            <v>0</v>
          </cell>
          <cell r="BE18">
            <v>0</v>
          </cell>
          <cell r="BF18">
            <v>22125.909</v>
          </cell>
          <cell r="BG18">
            <v>0</v>
          </cell>
          <cell r="BH18">
            <v>0</v>
          </cell>
          <cell r="BI18"/>
          <cell r="BJ18">
            <v>39192.001000000004</v>
          </cell>
          <cell r="BK18"/>
          <cell r="BL18"/>
          <cell r="BM18"/>
          <cell r="BN18"/>
          <cell r="BO18"/>
        </row>
        <row r="19">
          <cell r="F19">
            <v>588144.46077000001</v>
          </cell>
          <cell r="G19">
            <v>28495.53889</v>
          </cell>
          <cell r="H19">
            <v>33634.264510000001</v>
          </cell>
          <cell r="I19">
            <v>18909.557100000002</v>
          </cell>
          <cell r="J19">
            <v>18022.742170000001</v>
          </cell>
          <cell r="K19">
            <v>110380.29224</v>
          </cell>
          <cell r="L19">
            <v>40527.724670000003</v>
          </cell>
          <cell r="M19">
            <v>14654.090320000001</v>
          </cell>
          <cell r="N19">
            <v>24262.9172</v>
          </cell>
          <cell r="O19">
            <v>12048.320760000001</v>
          </cell>
          <cell r="P19">
            <v>30812.444620000002</v>
          </cell>
          <cell r="Q19">
            <v>14918.7027</v>
          </cell>
          <cell r="R19">
            <v>14448.039550000001</v>
          </cell>
          <cell r="S19">
            <v>34789.80143</v>
          </cell>
          <cell r="T19">
            <v>5901.8591399999996</v>
          </cell>
          <cell r="U19">
            <v>9895.2448499999991</v>
          </cell>
          <cell r="V19">
            <v>20722.391489999998</v>
          </cell>
          <cell r="W19">
            <v>11938.59806</v>
          </cell>
          <cell r="X19"/>
          <cell r="Y19"/>
          <cell r="Z19">
            <v>444362.52970000007</v>
          </cell>
          <cell r="AA19">
            <v>0</v>
          </cell>
          <cell r="AB19">
            <v>0</v>
          </cell>
          <cell r="AC19">
            <v>3218.5030000000002</v>
          </cell>
          <cell r="AD19">
            <v>8222.2649999999994</v>
          </cell>
          <cell r="AE19"/>
          <cell r="AF19"/>
          <cell r="AG19"/>
          <cell r="AH19">
            <v>11440.768</v>
          </cell>
          <cell r="AI19">
            <v>455803.29770000005</v>
          </cell>
          <cell r="AJ19">
            <v>44896.646959999998</v>
          </cell>
          <cell r="AK19">
            <v>16200.52132</v>
          </cell>
          <cell r="AL19">
            <v>64407.000789999998</v>
          </cell>
          <cell r="AM19"/>
          <cell r="AN19">
            <v>125504.16907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5524.1020000000008</v>
          </cell>
          <cell r="AV19">
            <v>0</v>
          </cell>
          <cell r="AW19"/>
          <cell r="AX19"/>
          <cell r="AY19"/>
          <cell r="AZ19"/>
          <cell r="BA19">
            <v>6836.9940000000006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71514.325000000012</v>
          </cell>
          <cell r="G20">
            <v>2294.864</v>
          </cell>
          <cell r="H20">
            <v>1924.4649999999999</v>
          </cell>
          <cell r="I20">
            <v>2214.1129999999998</v>
          </cell>
          <cell r="J20">
            <v>1191.9860000000001</v>
          </cell>
          <cell r="K20">
            <v>1865.73</v>
          </cell>
          <cell r="L20">
            <v>1554.066</v>
          </cell>
          <cell r="M20">
            <v>1193.597</v>
          </cell>
          <cell r="N20">
            <v>1933.701</v>
          </cell>
          <cell r="O20">
            <v>379.63499999999999</v>
          </cell>
          <cell r="P20">
            <v>838.03200000000004</v>
          </cell>
          <cell r="Q20">
            <v>825.21299999999997</v>
          </cell>
          <cell r="R20">
            <v>1185.32</v>
          </cell>
          <cell r="S20">
            <v>1563.9960000000001</v>
          </cell>
          <cell r="T20">
            <v>370.399</v>
          </cell>
          <cell r="U20">
            <v>442.86900000000003</v>
          </cell>
          <cell r="V20">
            <v>813.26800000000003</v>
          </cell>
          <cell r="W20">
            <v>813.26800000000003</v>
          </cell>
          <cell r="X20"/>
          <cell r="Y20"/>
          <cell r="Z20">
            <v>21404.522000000001</v>
          </cell>
          <cell r="AA20">
            <v>5731.549</v>
          </cell>
          <cell r="AB20">
            <v>0</v>
          </cell>
          <cell r="AC20">
            <v>0</v>
          </cell>
          <cell r="AD20">
            <v>0</v>
          </cell>
          <cell r="AE20"/>
          <cell r="AF20"/>
          <cell r="AG20"/>
          <cell r="AH20">
            <v>5731.549</v>
          </cell>
          <cell r="AI20">
            <v>27136.071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5186.2529999999997</v>
          </cell>
          <cell r="AP20">
            <v>0</v>
          </cell>
          <cell r="AQ20"/>
          <cell r="AR20"/>
          <cell r="AS20">
            <v>5186.2529999999997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17066.092000000001</v>
          </cell>
          <cell r="BD20">
            <v>0</v>
          </cell>
          <cell r="BE20">
            <v>0</v>
          </cell>
          <cell r="BF20">
            <v>22125.909</v>
          </cell>
          <cell r="BG20">
            <v>0</v>
          </cell>
          <cell r="BH20">
            <v>0</v>
          </cell>
          <cell r="BI20"/>
          <cell r="BJ20">
            <v>39192.001000000004</v>
          </cell>
          <cell r="BK20"/>
          <cell r="BL20"/>
          <cell r="BM20"/>
          <cell r="BN20"/>
          <cell r="BO20"/>
        </row>
        <row r="21">
          <cell r="F21">
            <v>599213.24000999797</v>
          </cell>
          <cell r="G21">
            <v>88551.492999999929</v>
          </cell>
          <cell r="H21">
            <v>-70264.611999999877</v>
          </cell>
          <cell r="I21">
            <v>11698.42799999992</v>
          </cell>
          <cell r="J21">
            <v>12679.731999999938</v>
          </cell>
          <cell r="K21">
            <v>150881.01499999993</v>
          </cell>
          <cell r="L21">
            <v>122944.63900000004</v>
          </cell>
          <cell r="M21">
            <v>-52202.860999999859</v>
          </cell>
          <cell r="N21">
            <v>156955.53800000009</v>
          </cell>
          <cell r="O21">
            <v>-62460.977999999974</v>
          </cell>
          <cell r="P21">
            <v>-12880.63800000005</v>
          </cell>
          <cell r="Q21">
            <v>13899.454000000029</v>
          </cell>
          <cell r="R21">
            <v>46051.255999999987</v>
          </cell>
          <cell r="S21">
            <v>29798.173999999875</v>
          </cell>
          <cell r="T21">
            <v>2170.2869999999675</v>
          </cell>
          <cell r="U21">
            <v>89004.880999999994</v>
          </cell>
          <cell r="V21">
            <v>23432.485000000037</v>
          </cell>
          <cell r="W21">
            <v>30210.348000000071</v>
          </cell>
          <cell r="X21"/>
          <cell r="Y21"/>
          <cell r="Z21">
            <v>580468.6409999996</v>
          </cell>
          <cell r="AA21">
            <v>-7499.4580000000005</v>
          </cell>
          <cell r="AB21">
            <v>-179.96600000000001</v>
          </cell>
          <cell r="AC21">
            <v>9161.6449999999986</v>
          </cell>
          <cell r="AD21">
            <v>22105.954000000002</v>
          </cell>
          <cell r="AE21"/>
          <cell r="AF21"/>
          <cell r="AG21"/>
          <cell r="AH21">
            <v>23588.174999999999</v>
          </cell>
          <cell r="AI21">
            <v>604056.81599999964</v>
          </cell>
          <cell r="AJ21">
            <v>32145.309010000012</v>
          </cell>
          <cell r="AK21">
            <v>79293.516999999993</v>
          </cell>
          <cell r="AL21">
            <v>-153815.19199999995</v>
          </cell>
          <cell r="AM21"/>
          <cell r="AN21">
            <v>-42376.36599000002</v>
          </cell>
          <cell r="AO21">
            <v>18161.034000000825</v>
          </cell>
          <cell r="AP21">
            <v>0</v>
          </cell>
          <cell r="AQ21"/>
          <cell r="AR21"/>
          <cell r="AS21">
            <v>18161.034000000825</v>
          </cell>
          <cell r="AT21">
            <v>4301.9450000000006</v>
          </cell>
          <cell r="AU21">
            <v>86.685999999999694</v>
          </cell>
          <cell r="AV21">
            <v>62651.947</v>
          </cell>
          <cell r="AW21"/>
          <cell r="AX21"/>
          <cell r="AY21"/>
          <cell r="AZ21"/>
          <cell r="BA21">
            <v>67040.577999999994</v>
          </cell>
          <cell r="BB21">
            <v>0</v>
          </cell>
          <cell r="BC21">
            <v>-15378.692000000001</v>
          </cell>
          <cell r="BD21">
            <v>0</v>
          </cell>
          <cell r="BE21">
            <v>0</v>
          </cell>
          <cell r="BF21">
            <v>-32290.129999999997</v>
          </cell>
          <cell r="BG21">
            <v>0</v>
          </cell>
          <cell r="BH21">
            <v>0</v>
          </cell>
          <cell r="BI21"/>
          <cell r="BJ21">
            <v>-47668.822</v>
          </cell>
          <cell r="BK21"/>
          <cell r="BL21"/>
          <cell r="BM21"/>
          <cell r="BN21"/>
          <cell r="BO21"/>
        </row>
        <row r="22">
          <cell r="F22">
            <v>1361991.0600009742</v>
          </cell>
          <cell r="G22">
            <v>148283.90249723423</v>
          </cell>
          <cell r="H22">
            <v>143907.99746265318</v>
          </cell>
          <cell r="I22">
            <v>80544.734639859205</v>
          </cell>
          <cell r="J22">
            <v>63142.579840009377</v>
          </cell>
          <cell r="K22">
            <v>140294.27079432926</v>
          </cell>
          <cell r="L22">
            <v>111815.32711278312</v>
          </cell>
          <cell r="M22">
            <v>45341.312058586569</v>
          </cell>
          <cell r="N22">
            <v>144302.30218329321</v>
          </cell>
          <cell r="O22">
            <v>25389.266698106359</v>
          </cell>
          <cell r="P22">
            <v>43987.494552589909</v>
          </cell>
          <cell r="Q22">
            <v>61304.344932291388</v>
          </cell>
          <cell r="R22">
            <v>66421.966839553614</v>
          </cell>
          <cell r="S22">
            <v>108879.83194019229</v>
          </cell>
          <cell r="T22">
            <v>15376.159702922701</v>
          </cell>
          <cell r="U22">
            <v>31921.119704698413</v>
          </cell>
          <cell r="V22">
            <v>49526.985099611673</v>
          </cell>
          <cell r="W22">
            <v>34923.945087855762</v>
          </cell>
          <cell r="X22"/>
          <cell r="Y22"/>
          <cell r="Z22">
            <v>1315363.5411465701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1315363.5411465701</v>
          </cell>
          <cell r="AJ22">
            <v>21432.330498149066</v>
          </cell>
          <cell r="AK22">
            <v>12384.181826255044</v>
          </cell>
          <cell r="AL22">
            <v>12811.006529999999</v>
          </cell>
          <cell r="AM22"/>
          <cell r="AN22">
            <v>46627.518854404108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/>
          <cell r="BJ22">
            <v>0</v>
          </cell>
          <cell r="BK22"/>
          <cell r="BL22"/>
          <cell r="BM22"/>
          <cell r="BN22"/>
          <cell r="BO22"/>
        </row>
        <row r="23">
          <cell r="F23">
            <v>154391.84600097436</v>
          </cell>
          <cell r="G23">
            <v>8464.632615187611</v>
          </cell>
          <cell r="H23">
            <v>8214.8386196635893</v>
          </cell>
          <cell r="I23">
            <v>4597.8125496589219</v>
          </cell>
          <cell r="J23">
            <v>3604.4286110611374</v>
          </cell>
          <cell r="K23">
            <v>15184.75101684026</v>
          </cell>
          <cell r="L23">
            <v>12102.332422136151</v>
          </cell>
          <cell r="M23">
            <v>4907.517110202074</v>
          </cell>
          <cell r="N23">
            <v>15618.560311863574</v>
          </cell>
          <cell r="O23">
            <v>2748.0073928042566</v>
          </cell>
          <cell r="P23">
            <v>4760.9866664825586</v>
          </cell>
          <cell r="Q23">
            <v>6635.2760435386554</v>
          </cell>
          <cell r="R23">
            <v>7189.1818731931407</v>
          </cell>
          <cell r="S23">
            <v>6215.2921595402941</v>
          </cell>
          <cell r="T23">
            <v>877.73211202153618</v>
          </cell>
          <cell r="U23">
            <v>1822.1839755717101</v>
          </cell>
          <cell r="V23">
            <v>2827.1965219818999</v>
          </cell>
          <cell r="W23">
            <v>1993.5971448229106</v>
          </cell>
          <cell r="X23"/>
          <cell r="Y23"/>
          <cell r="Z23">
            <v>107764.32714657026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107764.32714657026</v>
          </cell>
          <cell r="AJ23">
            <v>21432.330498149066</v>
          </cell>
          <cell r="AK23">
            <v>12384.181826255044</v>
          </cell>
          <cell r="AL23">
            <v>12811.006529999999</v>
          </cell>
          <cell r="AM23"/>
          <cell r="AN23">
            <v>46627.518854404108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369933.73799999995</v>
          </cell>
          <cell r="G24">
            <v>42831.979809400844</v>
          </cell>
          <cell r="H24">
            <v>41567.994488455253</v>
          </cell>
          <cell r="I24">
            <v>23265.441425190063</v>
          </cell>
          <cell r="J24">
            <v>18238.808523880107</v>
          </cell>
          <cell r="K24">
            <v>38325.821824086939</v>
          </cell>
          <cell r="L24">
            <v>30545.896705995365</v>
          </cell>
          <cell r="M24">
            <v>12386.414907671009</v>
          </cell>
          <cell r="N24">
            <v>39420.742493399041</v>
          </cell>
          <cell r="O24">
            <v>6935.8820300107363</v>
          </cell>
          <cell r="P24">
            <v>12016.576793659762</v>
          </cell>
          <cell r="Q24">
            <v>16747.222731295853</v>
          </cell>
          <cell r="R24">
            <v>18145.263180633316</v>
          </cell>
          <cell r="S24">
            <v>31450.067639002533</v>
          </cell>
          <cell r="T24">
            <v>4441.4218323798968</v>
          </cell>
          <cell r="U24">
            <v>9220.4530070997516</v>
          </cell>
          <cell r="V24">
            <v>14305.927953620119</v>
          </cell>
          <cell r="W24">
            <v>10087.822654219412</v>
          </cell>
          <cell r="X24"/>
          <cell r="Y24"/>
          <cell r="Z24">
            <v>369933.73799999995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369933.73799999995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837665.47599999991</v>
          </cell>
          <cell r="G25">
            <v>96987.290072645788</v>
          </cell>
          <cell r="H25">
            <v>94125.16435453434</v>
          </cell>
          <cell r="I25">
            <v>52681.480665010211</v>
          </cell>
          <cell r="J25">
            <v>41299.342705068135</v>
          </cell>
          <cell r="K25">
            <v>86783.697953402065</v>
          </cell>
          <cell r="L25">
            <v>69167.097984651613</v>
          </cell>
          <cell r="M25">
            <v>28047.380040713484</v>
          </cell>
          <cell r="N25">
            <v>89262.999378030596</v>
          </cell>
          <cell r="O25">
            <v>15705.377275291366</v>
          </cell>
          <cell r="P25">
            <v>27209.931092447587</v>
          </cell>
          <cell r="Q25">
            <v>37921.846157456879</v>
          </cell>
          <cell r="R25">
            <v>41087.521785727149</v>
          </cell>
          <cell r="S25">
            <v>71214.472141649458</v>
          </cell>
          <cell r="T25">
            <v>10057.005758521269</v>
          </cell>
          <cell r="U25">
            <v>20878.482722026951</v>
          </cell>
          <cell r="V25">
            <v>32393.860624009652</v>
          </cell>
          <cell r="W25">
            <v>22842.525288813442</v>
          </cell>
          <cell r="X25"/>
          <cell r="Y25"/>
          <cell r="Z25">
            <v>837665.47599999991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837665.47599999991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/>
          <cell r="BJ25">
            <v>0</v>
          </cell>
          <cell r="BK25"/>
          <cell r="BL25"/>
          <cell r="BM25"/>
          <cell r="BN25"/>
          <cell r="BO25"/>
        </row>
        <row r="26">
          <cell r="F26">
            <v>-762777.81999097625</v>
          </cell>
          <cell r="G26">
            <v>-59732.409497234301</v>
          </cell>
          <cell r="H26">
            <v>-214172.60946265305</v>
          </cell>
          <cell r="I26">
            <v>-68846.306639859278</v>
          </cell>
          <cell r="J26">
            <v>-50462.847840009439</v>
          </cell>
          <cell r="K26">
            <v>10586.744205670664</v>
          </cell>
          <cell r="L26">
            <v>11129.311887216914</v>
          </cell>
          <cell r="M26">
            <v>-97544.173058586428</v>
          </cell>
          <cell r="N26">
            <v>12653.235816706874</v>
          </cell>
          <cell r="O26">
            <v>-87850.24469810634</v>
          </cell>
          <cell r="P26">
            <v>-56868.132552589959</v>
          </cell>
          <cell r="Q26">
            <v>-47404.890932291361</v>
          </cell>
          <cell r="R26">
            <v>-20370.710839553627</v>
          </cell>
          <cell r="S26">
            <v>-79081.65794019241</v>
          </cell>
          <cell r="T26">
            <v>-13205.872702922734</v>
          </cell>
          <cell r="U26">
            <v>57083.761295301578</v>
          </cell>
          <cell r="V26">
            <v>-26094.500099611636</v>
          </cell>
          <cell r="W26">
            <v>-4713.5970878556909</v>
          </cell>
          <cell r="X26"/>
          <cell r="Y26"/>
          <cell r="Z26">
            <v>-734894.90014657052</v>
          </cell>
          <cell r="AA26">
            <v>-7499.4580000000005</v>
          </cell>
          <cell r="AB26">
            <v>-179.96600000000001</v>
          </cell>
          <cell r="AC26">
            <v>9161.6449999999986</v>
          </cell>
          <cell r="AD26">
            <v>22105.954000000002</v>
          </cell>
          <cell r="AE26"/>
          <cell r="AF26"/>
          <cell r="AG26"/>
          <cell r="AH26">
            <v>23588.174999999999</v>
          </cell>
          <cell r="AI26">
            <v>-711306.72514657048</v>
          </cell>
          <cell r="AJ26">
            <v>10712.978511850946</v>
          </cell>
          <cell r="AK26">
            <v>66909.335173744941</v>
          </cell>
          <cell r="AL26">
            <v>-166626.19852999994</v>
          </cell>
          <cell r="AM26"/>
          <cell r="AN26">
            <v>-89003.884844404121</v>
          </cell>
          <cell r="AO26">
            <v>18161.034000000825</v>
          </cell>
          <cell r="AP26">
            <v>0</v>
          </cell>
          <cell r="AQ26"/>
          <cell r="AR26"/>
          <cell r="AS26">
            <v>18161.034000000825</v>
          </cell>
          <cell r="AT26">
            <v>4301.9450000000006</v>
          </cell>
          <cell r="AU26">
            <v>86.685999999999694</v>
          </cell>
          <cell r="AV26">
            <v>62651.947</v>
          </cell>
          <cell r="AW26"/>
          <cell r="AX26"/>
          <cell r="AY26"/>
          <cell r="AZ26"/>
          <cell r="BA26">
            <v>67040.577999999994</v>
          </cell>
          <cell r="BB26">
            <v>0</v>
          </cell>
          <cell r="BC26">
            <v>-15378.692000000001</v>
          </cell>
          <cell r="BD26">
            <v>0</v>
          </cell>
          <cell r="BE26">
            <v>0</v>
          </cell>
          <cell r="BF26">
            <v>-32290.129999999997</v>
          </cell>
          <cell r="BG26">
            <v>0</v>
          </cell>
          <cell r="BH26">
            <v>0</v>
          </cell>
          <cell r="BI26"/>
          <cell r="BJ26">
            <v>-47668.822</v>
          </cell>
          <cell r="BK26"/>
          <cell r="BL26"/>
          <cell r="BM26"/>
          <cell r="BN26"/>
          <cell r="BO26"/>
        </row>
        <row r="27">
          <cell r="F27">
            <v>-762777.81999097369</v>
          </cell>
          <cell r="G27">
            <v>-59732.40949723433</v>
          </cell>
          <cell r="H27">
            <v>-214172.60946265308</v>
          </cell>
          <cell r="I27">
            <v>-68846.306639859278</v>
          </cell>
          <cell r="J27">
            <v>-50462.847840009439</v>
          </cell>
          <cell r="K27">
            <v>10586.74420567066</v>
          </cell>
          <cell r="L27">
            <v>11129.311887216898</v>
          </cell>
          <cell r="M27">
            <v>-97544.173058586428</v>
          </cell>
          <cell r="N27">
            <v>12653.235816706871</v>
          </cell>
          <cell r="O27">
            <v>-87850.244698106326</v>
          </cell>
          <cell r="P27">
            <v>-56868.132552589959</v>
          </cell>
          <cell r="Q27">
            <v>-47404.890932291361</v>
          </cell>
          <cell r="R27">
            <v>-20370.71083955362</v>
          </cell>
          <cell r="S27">
            <v>-79081.65794019241</v>
          </cell>
          <cell r="T27">
            <v>-13205.872702922734</v>
          </cell>
          <cell r="U27">
            <v>57083.76129530157</v>
          </cell>
          <cell r="V27">
            <v>-26094.50009961164</v>
          </cell>
          <cell r="W27">
            <v>-4713.5970878556909</v>
          </cell>
          <cell r="X27"/>
          <cell r="Y27"/>
          <cell r="Z27">
            <v>-734894.90014657041</v>
          </cell>
          <cell r="AA27">
            <v>-7499.4580000000005</v>
          </cell>
          <cell r="AB27">
            <v>-179.96600000000001</v>
          </cell>
          <cell r="AC27">
            <v>9161.6449999999986</v>
          </cell>
          <cell r="AD27">
            <v>22105.954000000002</v>
          </cell>
          <cell r="AE27"/>
          <cell r="AF27"/>
          <cell r="AG27"/>
          <cell r="AH27">
            <v>23588.174999999999</v>
          </cell>
          <cell r="AI27">
            <v>-711306.72514657036</v>
          </cell>
          <cell r="AJ27">
            <v>10712.978511850946</v>
          </cell>
          <cell r="AK27">
            <v>66909.335173744941</v>
          </cell>
          <cell r="AL27">
            <v>-166626.19852999997</v>
          </cell>
          <cell r="AM27"/>
          <cell r="AN27">
            <v>-89003.884844404078</v>
          </cell>
          <cell r="AO27">
            <v>18161.034000000818</v>
          </cell>
          <cell r="AP27">
            <v>0</v>
          </cell>
          <cell r="AQ27"/>
          <cell r="AR27"/>
          <cell r="AS27">
            <v>18161.034000000818</v>
          </cell>
          <cell r="AT27">
            <v>4301.9450000000006</v>
          </cell>
          <cell r="AU27">
            <v>86.685999999999694</v>
          </cell>
          <cell r="AV27">
            <v>62651.947</v>
          </cell>
          <cell r="AW27"/>
          <cell r="AX27"/>
          <cell r="AY27"/>
          <cell r="AZ27"/>
          <cell r="BA27">
            <v>67040.577999999994</v>
          </cell>
          <cell r="BB27">
            <v>0</v>
          </cell>
          <cell r="BC27">
            <v>-15378.692000000001</v>
          </cell>
          <cell r="BD27">
            <v>0</v>
          </cell>
          <cell r="BE27">
            <v>0</v>
          </cell>
          <cell r="BF27">
            <v>-32290.129999999997</v>
          </cell>
          <cell r="BG27">
            <v>0</v>
          </cell>
          <cell r="BH27">
            <v>0</v>
          </cell>
          <cell r="BI27"/>
          <cell r="BJ27">
            <v>-47668.822</v>
          </cell>
          <cell r="BK27"/>
          <cell r="BL27"/>
          <cell r="BM27"/>
          <cell r="BN27"/>
          <cell r="BO27"/>
        </row>
        <row r="28">
          <cell r="F28">
            <v>-2.5611370801925659E-9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1.6370904631912708E-11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23449</v>
          </cell>
          <cell r="H31">
            <v>23226</v>
          </cell>
          <cell r="I31">
            <v>12851</v>
          </cell>
          <cell r="J31">
            <v>9958.32</v>
          </cell>
          <cell r="K31">
            <v>19281</v>
          </cell>
          <cell r="L31">
            <v>16329</v>
          </cell>
          <cell r="M31">
            <v>7188</v>
          </cell>
          <cell r="N31">
            <v>21485</v>
          </cell>
          <cell r="O31">
            <v>4157</v>
          </cell>
          <cell r="P31">
            <v>6785</v>
          </cell>
          <cell r="Q31">
            <v>9987</v>
          </cell>
          <cell r="R31">
            <v>9494</v>
          </cell>
          <cell r="S31">
            <v>17801</v>
          </cell>
          <cell r="T31">
            <v>2075</v>
          </cell>
          <cell r="U31">
            <v>4411</v>
          </cell>
          <cell r="V31">
            <v>7624</v>
          </cell>
          <cell r="W31">
            <v>4256</v>
          </cell>
          <cell r="X31">
            <v>0</v>
          </cell>
          <cell r="Y31">
            <v>0</v>
          </cell>
          <cell r="Z31">
            <v>200357.32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200357.32</v>
          </cell>
          <cell r="AJ31">
            <v>21573</v>
          </cell>
          <cell r="AK31">
            <v>26422</v>
          </cell>
          <cell r="AL31">
            <v>19092</v>
          </cell>
          <cell r="AM31"/>
          <cell r="AN31">
            <v>67087</v>
          </cell>
          <cell r="AO31">
            <v>6814.7489999999989</v>
          </cell>
          <cell r="AP31">
            <v>0</v>
          </cell>
          <cell r="AQ31"/>
          <cell r="AR31"/>
          <cell r="AS31">
            <v>6814.7489999999989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/>
          <cell r="BJ31">
            <v>0</v>
          </cell>
        </row>
        <row r="32">
          <cell r="F32">
            <v>27305797.370999999</v>
          </cell>
          <cell r="G32">
            <v>2252060.5589999999</v>
          </cell>
          <cell r="H32">
            <v>2185601.537</v>
          </cell>
          <cell r="I32">
            <v>1223272.5</v>
          </cell>
          <cell r="J32">
            <v>958977.41600000008</v>
          </cell>
          <cell r="K32">
            <v>2015131.5</v>
          </cell>
          <cell r="L32">
            <v>1606071.2</v>
          </cell>
          <cell r="M32">
            <v>651264.70000000007</v>
          </cell>
          <cell r="N32">
            <v>2072701.28</v>
          </cell>
          <cell r="O32">
            <v>364681.4</v>
          </cell>
          <cell r="P32">
            <v>631819</v>
          </cell>
          <cell r="Q32">
            <v>880551.39999999991</v>
          </cell>
          <cell r="R32">
            <v>954058.9</v>
          </cell>
          <cell r="S32">
            <v>1653611.5589999999</v>
          </cell>
          <cell r="T32">
            <v>233525.3</v>
          </cell>
          <cell r="U32">
            <v>484801.745</v>
          </cell>
          <cell r="V32">
            <v>752190.68200000003</v>
          </cell>
          <cell r="W32">
            <v>530407.13100000005</v>
          </cell>
          <cell r="X32">
            <v>0</v>
          </cell>
          <cell r="Y32">
            <v>0</v>
          </cell>
          <cell r="Z32">
            <v>19450727.809</v>
          </cell>
          <cell r="AA32">
            <v>0</v>
          </cell>
          <cell r="AB32">
            <v>0</v>
          </cell>
          <cell r="AC32">
            <v>12500</v>
          </cell>
          <cell r="AD32">
            <v>30840</v>
          </cell>
          <cell r="AE32"/>
          <cell r="AF32"/>
          <cell r="AG32"/>
          <cell r="AH32">
            <v>43340</v>
          </cell>
          <cell r="AI32">
            <v>19494067.809</v>
          </cell>
          <cell r="AJ32">
            <v>608888</v>
          </cell>
          <cell r="AK32">
            <v>351832</v>
          </cell>
          <cell r="AL32">
            <v>363958</v>
          </cell>
          <cell r="AM32"/>
          <cell r="AN32">
            <v>1324678</v>
          </cell>
          <cell r="AO32">
            <v>6411074.1150000002</v>
          </cell>
          <cell r="AP32">
            <v>0</v>
          </cell>
          <cell r="AQ32"/>
          <cell r="AR32"/>
          <cell r="AS32">
            <v>6411074.1150000002</v>
          </cell>
          <cell r="AT32">
            <v>5788.1</v>
          </cell>
          <cell r="AU32">
            <v>5850</v>
          </cell>
          <cell r="AV32">
            <v>62651.947</v>
          </cell>
          <cell r="AW32"/>
          <cell r="AX32"/>
          <cell r="AY32"/>
          <cell r="AZ32"/>
          <cell r="BA32">
            <v>74290.047000000006</v>
          </cell>
          <cell r="BB32">
            <v>0</v>
          </cell>
          <cell r="BC32">
            <v>1687.4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/>
          <cell r="BJ32">
            <v>1687.4</v>
          </cell>
        </row>
        <row r="33">
          <cell r="F33">
            <v>25857627.806990001</v>
          </cell>
          <cell r="G33">
            <v>2097214.3590000002</v>
          </cell>
          <cell r="H33">
            <v>2186024.074</v>
          </cell>
          <cell r="I33">
            <v>1155452.3860000002</v>
          </cell>
          <cell r="J33">
            <v>906718.53700000013</v>
          </cell>
          <cell r="K33">
            <v>1806699.4400000002</v>
          </cell>
          <cell r="L33">
            <v>1429858.6479999998</v>
          </cell>
          <cell r="M33">
            <v>671359.20099999988</v>
          </cell>
          <cell r="N33">
            <v>1863448.588</v>
          </cell>
          <cell r="O33">
            <v>398886.41</v>
          </cell>
          <cell r="P33">
            <v>617093.96600000001</v>
          </cell>
          <cell r="Q33">
            <v>835187.3679999999</v>
          </cell>
          <cell r="R33">
            <v>878285.14500000002</v>
          </cell>
          <cell r="S33">
            <v>1576177.814</v>
          </cell>
          <cell r="T33">
            <v>219396.42600000001</v>
          </cell>
          <cell r="U33">
            <v>383575.85700000002</v>
          </cell>
          <cell r="V33">
            <v>698225.80999999994</v>
          </cell>
          <cell r="W33">
            <v>483863.05699999997</v>
          </cell>
          <cell r="X33">
            <v>0</v>
          </cell>
          <cell r="Y33">
            <v>0</v>
          </cell>
          <cell r="Z33">
            <v>18207467.085999999</v>
          </cell>
          <cell r="AA33">
            <v>0</v>
          </cell>
          <cell r="AB33">
            <v>0</v>
          </cell>
          <cell r="AC33">
            <v>3338.355</v>
          </cell>
          <cell r="AD33">
            <v>8734.0460000000003</v>
          </cell>
          <cell r="AE33"/>
          <cell r="AF33"/>
          <cell r="AG33"/>
          <cell r="AH33">
            <v>12072.401</v>
          </cell>
          <cell r="AI33">
            <v>18219539.487</v>
          </cell>
          <cell r="AJ33">
            <v>576742.69099000003</v>
          </cell>
          <cell r="AK33">
            <v>272538.48300000001</v>
          </cell>
          <cell r="AL33">
            <v>517773.19199999998</v>
          </cell>
          <cell r="AM33"/>
          <cell r="AN33">
            <v>1367054.3659900001</v>
          </cell>
          <cell r="AO33">
            <v>6263784.4849999994</v>
          </cell>
          <cell r="AP33">
            <v>0</v>
          </cell>
          <cell r="AQ33"/>
          <cell r="AR33"/>
          <cell r="AS33">
            <v>6263784.4849999994</v>
          </cell>
          <cell r="AT33">
            <v>1486.155</v>
          </cell>
          <cell r="AU33">
            <v>5763.3140000000003</v>
          </cell>
          <cell r="AV33">
            <v>0</v>
          </cell>
          <cell r="AW33"/>
          <cell r="AX33"/>
          <cell r="AY33"/>
          <cell r="AZ33"/>
          <cell r="BA33">
            <v>7249.4690000000001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/>
          <cell r="BJ33">
            <v>0</v>
          </cell>
        </row>
        <row r="34">
          <cell r="F34">
            <v>1448169.564009998</v>
          </cell>
          <cell r="G34">
            <v>154846.19999999972</v>
          </cell>
          <cell r="H34">
            <v>-422.53700000001118</v>
          </cell>
          <cell r="I34">
            <v>67820.113999999827</v>
          </cell>
          <cell r="J34">
            <v>52258.878999999957</v>
          </cell>
          <cell r="K34">
            <v>208432.05999999982</v>
          </cell>
          <cell r="L34">
            <v>176212.55200000014</v>
          </cell>
          <cell r="M34">
            <v>-20094.500999999815</v>
          </cell>
          <cell r="N34">
            <v>209252.69200000004</v>
          </cell>
          <cell r="O34">
            <v>-34205.009999999951</v>
          </cell>
          <cell r="P34">
            <v>14725.033999999985</v>
          </cell>
          <cell r="Q34">
            <v>45364.032000000007</v>
          </cell>
          <cell r="R34">
            <v>75773.755000000005</v>
          </cell>
          <cell r="S34">
            <v>77433.744999999879</v>
          </cell>
          <cell r="T34">
            <v>14128.873999999982</v>
          </cell>
          <cell r="U34">
            <v>101225.88799999998</v>
          </cell>
          <cell r="V34">
            <v>53964.87200000009</v>
          </cell>
          <cell r="W34">
            <v>46544.074000000081</v>
          </cell>
          <cell r="X34">
            <v>0</v>
          </cell>
          <cell r="Y34">
            <v>0</v>
          </cell>
          <cell r="Z34">
            <v>1243260.7230000012</v>
          </cell>
          <cell r="AA34">
            <v>0</v>
          </cell>
          <cell r="AB34">
            <v>0</v>
          </cell>
          <cell r="AC34">
            <v>9161.6450000000004</v>
          </cell>
          <cell r="AD34">
            <v>22105.953999999998</v>
          </cell>
          <cell r="AE34"/>
          <cell r="AF34"/>
          <cell r="AG34"/>
          <cell r="AH34">
            <v>31267.599000000002</v>
          </cell>
          <cell r="AI34">
            <v>1274528.3220000006</v>
          </cell>
          <cell r="AJ34">
            <v>32145.309009999968</v>
          </cell>
          <cell r="AK34">
            <v>79293.516999999993</v>
          </cell>
          <cell r="AL34">
            <v>-153815.19199999998</v>
          </cell>
          <cell r="AM34"/>
          <cell r="AN34">
            <v>-42376.365990000078</v>
          </cell>
          <cell r="AO34">
            <v>147289.63000000082</v>
          </cell>
          <cell r="AP34">
            <v>0</v>
          </cell>
          <cell r="AQ34"/>
          <cell r="AR34"/>
          <cell r="AS34">
            <v>147289.63000000082</v>
          </cell>
          <cell r="AT34">
            <v>4301.9450000000006</v>
          </cell>
          <cell r="AU34">
            <v>86.685999999999694</v>
          </cell>
          <cell r="AV34">
            <v>62651.947</v>
          </cell>
          <cell r="AW34"/>
          <cell r="AX34"/>
          <cell r="AY34"/>
          <cell r="AZ34"/>
          <cell r="BA34">
            <v>67040.578000000009</v>
          </cell>
          <cell r="BB34">
            <v>0</v>
          </cell>
          <cell r="BC34">
            <v>1687.4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/>
          <cell r="BJ34">
            <v>1687.4</v>
          </cell>
        </row>
        <row r="35">
          <cell r="F35">
            <v>2210947.3840009747</v>
          </cell>
          <cell r="G35">
            <v>214578.60949723423</v>
          </cell>
          <cell r="H35">
            <v>213750.07246265319</v>
          </cell>
          <cell r="I35">
            <v>136666.42063985922</v>
          </cell>
          <cell r="J35">
            <v>102721.72684000939</v>
          </cell>
          <cell r="K35">
            <v>197845.31579432928</v>
          </cell>
          <cell r="L35">
            <v>165083.24011278313</v>
          </cell>
          <cell r="M35">
            <v>77449.67205858657</v>
          </cell>
          <cell r="N35">
            <v>196599.45618329319</v>
          </cell>
          <cell r="O35">
            <v>53645.23469810636</v>
          </cell>
          <cell r="P35">
            <v>71593.166552589915</v>
          </cell>
          <cell r="Q35">
            <v>92768.922932291389</v>
          </cell>
          <cell r="R35">
            <v>96144.465839553624</v>
          </cell>
          <cell r="S35">
            <v>156515.40294019229</v>
          </cell>
          <cell r="T35">
            <v>27334.746702922701</v>
          </cell>
          <cell r="U35">
            <v>44142.126704698407</v>
          </cell>
          <cell r="V35">
            <v>80059.372099611675</v>
          </cell>
          <cell r="W35">
            <v>51257.671087855764</v>
          </cell>
          <cell r="X35">
            <v>0</v>
          </cell>
          <cell r="Y35">
            <v>0</v>
          </cell>
          <cell r="Z35">
            <v>1978155.6231465703</v>
          </cell>
          <cell r="AA35">
            <v>7499.4580000000005</v>
          </cell>
          <cell r="AB35">
            <v>179.96600000000001</v>
          </cell>
          <cell r="AC35">
            <v>0</v>
          </cell>
          <cell r="AD35">
            <v>0</v>
          </cell>
          <cell r="AE35"/>
          <cell r="AF35"/>
          <cell r="AG35"/>
          <cell r="AH35">
            <v>7679.4240000000009</v>
          </cell>
          <cell r="AI35">
            <v>1985835.0471465704</v>
          </cell>
          <cell r="AJ35">
            <v>21432.330498149066</v>
          </cell>
          <cell r="AK35">
            <v>12384.181826255044</v>
          </cell>
          <cell r="AL35">
            <v>12811.006529999999</v>
          </cell>
          <cell r="AM35"/>
          <cell r="AN35">
            <v>46627.518854404108</v>
          </cell>
          <cell r="AO35">
            <v>129128.59599999999</v>
          </cell>
          <cell r="AP35">
            <v>0</v>
          </cell>
          <cell r="AQ35"/>
          <cell r="AR35"/>
          <cell r="AS35">
            <v>129128.59599999999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17066.092000000001</v>
          </cell>
          <cell r="BD35">
            <v>0</v>
          </cell>
          <cell r="BE35">
            <v>0</v>
          </cell>
          <cell r="BF35">
            <v>32290.129999999997</v>
          </cell>
          <cell r="BG35">
            <v>0</v>
          </cell>
          <cell r="BH35">
            <v>0</v>
          </cell>
          <cell r="BI35"/>
          <cell r="BJ35">
            <v>49356.221999999994</v>
          </cell>
        </row>
        <row r="36">
          <cell r="F36">
            <v>-762777.81999097671</v>
          </cell>
          <cell r="G36">
            <v>-59732.409497234505</v>
          </cell>
          <cell r="H36">
            <v>-214172.6094626532</v>
          </cell>
          <cell r="I36">
            <v>-68846.306639859395</v>
          </cell>
          <cell r="J36">
            <v>-50462.847840009432</v>
          </cell>
          <cell r="K36">
            <v>10586.744205670548</v>
          </cell>
          <cell r="L36">
            <v>11129.311887217016</v>
          </cell>
          <cell r="M36">
            <v>-97544.173058586384</v>
          </cell>
          <cell r="N36">
            <v>12653.235816706845</v>
          </cell>
          <cell r="O36">
            <v>-87850.244698106311</v>
          </cell>
          <cell r="P36">
            <v>-56868.13255258993</v>
          </cell>
          <cell r="Q36">
            <v>-47404.890932291382</v>
          </cell>
          <cell r="R36">
            <v>-20370.71083955362</v>
          </cell>
          <cell r="S36">
            <v>-79081.65794019241</v>
          </cell>
          <cell r="T36">
            <v>-13205.872702922719</v>
          </cell>
          <cell r="U36">
            <v>57083.76129530157</v>
          </cell>
          <cell r="V36">
            <v>-26094.500099611585</v>
          </cell>
          <cell r="W36">
            <v>-4713.5970878556836</v>
          </cell>
          <cell r="X36">
            <v>0</v>
          </cell>
          <cell r="Y36">
            <v>0</v>
          </cell>
          <cell r="Z36">
            <v>-734894.90014656913</v>
          </cell>
          <cell r="AA36">
            <v>-7499.4580000000005</v>
          </cell>
          <cell r="AB36">
            <v>-179.96600000000001</v>
          </cell>
          <cell r="AC36">
            <v>9161.6450000000004</v>
          </cell>
          <cell r="AD36">
            <v>22105.953999999998</v>
          </cell>
          <cell r="AE36"/>
          <cell r="AF36"/>
          <cell r="AG36"/>
          <cell r="AH36">
            <v>23588.175000000003</v>
          </cell>
          <cell r="AI36">
            <v>-711306.72514656978</v>
          </cell>
          <cell r="AJ36">
            <v>10712.978511850903</v>
          </cell>
          <cell r="AK36">
            <v>66909.335173744941</v>
          </cell>
          <cell r="AL36">
            <v>-166626.19852999999</v>
          </cell>
          <cell r="AM36"/>
          <cell r="AN36">
            <v>-89003.88484440418</v>
          </cell>
          <cell r="AO36">
            <v>18161.034000000829</v>
          </cell>
          <cell r="AP36">
            <v>0</v>
          </cell>
          <cell r="AQ36"/>
          <cell r="AR36"/>
          <cell r="AS36">
            <v>18161.034000000829</v>
          </cell>
          <cell r="AT36">
            <v>4301.9450000000006</v>
          </cell>
          <cell r="AU36">
            <v>86.685999999999694</v>
          </cell>
          <cell r="AV36">
            <v>62651.947</v>
          </cell>
          <cell r="AW36"/>
          <cell r="AX36"/>
          <cell r="AY36"/>
          <cell r="AZ36"/>
          <cell r="BA36">
            <v>67040.578000000009</v>
          </cell>
          <cell r="BB36">
            <v>0</v>
          </cell>
          <cell r="BC36">
            <v>-15378.692000000001</v>
          </cell>
          <cell r="BD36">
            <v>0</v>
          </cell>
          <cell r="BE36">
            <v>0</v>
          </cell>
          <cell r="BF36">
            <v>-32290.129999999997</v>
          </cell>
          <cell r="BG36">
            <v>0</v>
          </cell>
          <cell r="BH36">
            <v>0</v>
          </cell>
          <cell r="BI36"/>
          <cell r="BJ36">
            <v>-47668.821999999993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-12903</v>
          </cell>
          <cell r="AK38">
            <v>-14022</v>
          </cell>
          <cell r="AL38">
            <v>-16580</v>
          </cell>
          <cell r="AM38"/>
          <cell r="AN38">
            <v>-43505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-933342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-374832</v>
          </cell>
          <cell r="AK39">
            <v>-227880</v>
          </cell>
          <cell r="AL39">
            <v>-330630</v>
          </cell>
          <cell r="AM39"/>
          <cell r="AN39">
            <v>-933342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-933342</v>
          </cell>
          <cell r="G40"/>
          <cell r="H40"/>
          <cell r="I40"/>
          <cell r="J40"/>
          <cell r="K40">
            <v>95236.076000000001</v>
          </cell>
          <cell r="L40">
            <v>-62654.682999999997</v>
          </cell>
          <cell r="M40">
            <v>-1968.9280000000001</v>
          </cell>
          <cell r="N40">
            <v>-4551.9139999999998</v>
          </cell>
          <cell r="O40">
            <v>0</v>
          </cell>
          <cell r="P40">
            <v>496.42599999999999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26556.977000000003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26556.977000000003</v>
          </cell>
          <cell r="AJ40">
            <v>-348138.23700000002</v>
          </cell>
          <cell r="AK40">
            <v>-162062.91699999999</v>
          </cell>
          <cell r="AL40">
            <v>-449697.82299999997</v>
          </cell>
          <cell r="AM40"/>
          <cell r="AN40">
            <v>-959898.97699999996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-95236.076000000001</v>
          </cell>
          <cell r="L41">
            <v>62654.682999999997</v>
          </cell>
          <cell r="M41">
            <v>1968.9280000000001</v>
          </cell>
          <cell r="N41">
            <v>4551.9139999999998</v>
          </cell>
          <cell r="O41">
            <v>0</v>
          </cell>
          <cell r="P41">
            <v>-496.42599999999999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-26556.977000000003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-26556.977000000003</v>
          </cell>
          <cell r="AJ41">
            <v>-26693.762999999977</v>
          </cell>
          <cell r="AK41">
            <v>-65817.083000000013</v>
          </cell>
          <cell r="AL41">
            <v>119067.82299999997</v>
          </cell>
          <cell r="AM41"/>
          <cell r="AN41">
            <v>26556.976999999955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-95236.076000000001</v>
          </cell>
          <cell r="L43">
            <v>62654.682999999997</v>
          </cell>
          <cell r="M43">
            <v>1968.9280000000001</v>
          </cell>
          <cell r="N43">
            <v>4551.9139999999998</v>
          </cell>
          <cell r="O43">
            <v>0</v>
          </cell>
          <cell r="P43">
            <v>-496.42599999999999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-26556.977000000003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-26556.977000000003</v>
          </cell>
          <cell r="AJ43">
            <v>-26693.762999999977</v>
          </cell>
          <cell r="AK43">
            <v>-65817.083000000013</v>
          </cell>
          <cell r="AL43">
            <v>119067.82299999997</v>
          </cell>
          <cell r="AM43"/>
          <cell r="AN43">
            <v>26556.976999999955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/>
          <cell r="BJ43">
            <v>0</v>
          </cell>
        </row>
        <row r="45">
          <cell r="F45"/>
          <cell r="G45">
            <v>23449</v>
          </cell>
          <cell r="H45">
            <v>23226</v>
          </cell>
          <cell r="I45">
            <v>12851</v>
          </cell>
          <cell r="J45">
            <v>9958.32</v>
          </cell>
          <cell r="K45">
            <v>19281</v>
          </cell>
          <cell r="L45">
            <v>16329</v>
          </cell>
          <cell r="M45">
            <v>7188</v>
          </cell>
          <cell r="N45">
            <v>21485</v>
          </cell>
          <cell r="O45">
            <v>4157</v>
          </cell>
          <cell r="P45">
            <v>6785</v>
          </cell>
          <cell r="Q45">
            <v>9987</v>
          </cell>
          <cell r="R45">
            <v>9494</v>
          </cell>
          <cell r="S45">
            <v>17801</v>
          </cell>
          <cell r="T45">
            <v>2075</v>
          </cell>
          <cell r="U45">
            <v>4411</v>
          </cell>
          <cell r="V45">
            <v>7624</v>
          </cell>
          <cell r="W45">
            <v>4256</v>
          </cell>
          <cell r="X45">
            <v>0</v>
          </cell>
          <cell r="Y45">
            <v>0</v>
          </cell>
          <cell r="Z45">
            <v>200357.32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200357.32</v>
          </cell>
          <cell r="AJ45">
            <v>8670</v>
          </cell>
          <cell r="AK45">
            <v>12400</v>
          </cell>
          <cell r="AL45">
            <v>2512</v>
          </cell>
          <cell r="AM45"/>
          <cell r="AN45">
            <v>23582</v>
          </cell>
          <cell r="AO45">
            <v>6814.7489999999989</v>
          </cell>
          <cell r="AP45">
            <v>0</v>
          </cell>
          <cell r="AQ45"/>
          <cell r="AR45"/>
          <cell r="AS45">
            <v>6814.7489999999989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/>
          <cell r="BJ45">
            <v>0</v>
          </cell>
        </row>
        <row r="46">
          <cell r="F46">
            <v>26372455.370999999</v>
          </cell>
          <cell r="G46">
            <v>2252060.5589999999</v>
          </cell>
          <cell r="H46">
            <v>2185601.537</v>
          </cell>
          <cell r="I46">
            <v>1223272.5</v>
          </cell>
          <cell r="J46">
            <v>958977.41600000008</v>
          </cell>
          <cell r="K46">
            <v>2015131.5</v>
          </cell>
          <cell r="L46">
            <v>1606071.2</v>
          </cell>
          <cell r="M46">
            <v>651264.70000000007</v>
          </cell>
          <cell r="N46">
            <v>2072701.28</v>
          </cell>
          <cell r="O46">
            <v>364681.4</v>
          </cell>
          <cell r="P46">
            <v>631819</v>
          </cell>
          <cell r="Q46">
            <v>880551.39999999991</v>
          </cell>
          <cell r="R46">
            <v>954058.9</v>
          </cell>
          <cell r="S46">
            <v>1653611.5589999999</v>
          </cell>
          <cell r="T46">
            <v>233525.3</v>
          </cell>
          <cell r="U46">
            <v>484801.745</v>
          </cell>
          <cell r="V46">
            <v>752190.68200000003</v>
          </cell>
          <cell r="W46">
            <v>530407.13100000005</v>
          </cell>
          <cell r="X46">
            <v>0</v>
          </cell>
          <cell r="Y46">
            <v>0</v>
          </cell>
          <cell r="Z46">
            <v>19450727.809</v>
          </cell>
          <cell r="AA46">
            <v>0</v>
          </cell>
          <cell r="AB46">
            <v>0</v>
          </cell>
          <cell r="AC46">
            <v>12500</v>
          </cell>
          <cell r="AD46">
            <v>30840</v>
          </cell>
          <cell r="AE46"/>
          <cell r="AF46"/>
          <cell r="AG46"/>
          <cell r="AH46">
            <v>43340</v>
          </cell>
          <cell r="AI46">
            <v>19494067.809</v>
          </cell>
          <cell r="AJ46">
            <v>234056</v>
          </cell>
          <cell r="AK46">
            <v>123952</v>
          </cell>
          <cell r="AL46">
            <v>33328</v>
          </cell>
          <cell r="AM46"/>
          <cell r="AN46">
            <v>391336</v>
          </cell>
          <cell r="AO46">
            <v>6411074.1150000002</v>
          </cell>
          <cell r="AP46">
            <v>0</v>
          </cell>
          <cell r="AQ46"/>
          <cell r="AR46"/>
          <cell r="AS46">
            <v>6411074.1150000002</v>
          </cell>
          <cell r="AT46">
            <v>5788.1</v>
          </cell>
          <cell r="AU46">
            <v>5850</v>
          </cell>
          <cell r="AV46">
            <v>62651.947</v>
          </cell>
          <cell r="AW46"/>
          <cell r="AX46"/>
          <cell r="AY46"/>
          <cell r="AZ46"/>
          <cell r="BA46">
            <v>74290.047000000006</v>
          </cell>
          <cell r="BB46">
            <v>0</v>
          </cell>
          <cell r="BC46">
            <v>1687.4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/>
          <cell r="BJ46">
            <v>1687.4</v>
          </cell>
        </row>
        <row r="47">
          <cell r="F47">
            <v>24924285.806990001</v>
          </cell>
          <cell r="G47">
            <v>2097214.3590000002</v>
          </cell>
          <cell r="H47">
            <v>2186024.074</v>
          </cell>
          <cell r="I47">
            <v>1155452.3860000002</v>
          </cell>
          <cell r="J47">
            <v>906718.53700000013</v>
          </cell>
          <cell r="K47">
            <v>1901935.5160000003</v>
          </cell>
          <cell r="L47">
            <v>1367203.9649999999</v>
          </cell>
          <cell r="M47">
            <v>669390.27299999993</v>
          </cell>
          <cell r="N47">
            <v>1858896.6739999999</v>
          </cell>
          <cell r="O47">
            <v>398886.41</v>
          </cell>
          <cell r="P47">
            <v>617590.39199999999</v>
          </cell>
          <cell r="Q47">
            <v>835187.3679999999</v>
          </cell>
          <cell r="R47">
            <v>878285.14500000002</v>
          </cell>
          <cell r="S47">
            <v>1576177.814</v>
          </cell>
          <cell r="T47">
            <v>219396.42600000001</v>
          </cell>
          <cell r="U47">
            <v>383575.85700000002</v>
          </cell>
          <cell r="V47">
            <v>698225.80999999994</v>
          </cell>
          <cell r="W47">
            <v>483863.05699999997</v>
          </cell>
          <cell r="X47">
            <v>0</v>
          </cell>
          <cell r="Y47">
            <v>0</v>
          </cell>
          <cell r="Z47">
            <v>18234024.063000001</v>
          </cell>
          <cell r="AA47">
            <v>0</v>
          </cell>
          <cell r="AB47">
            <v>0</v>
          </cell>
          <cell r="AC47">
            <v>3338.355</v>
          </cell>
          <cell r="AD47">
            <v>8734.0460000000003</v>
          </cell>
          <cell r="AE47"/>
          <cell r="AF47"/>
          <cell r="AG47"/>
          <cell r="AH47">
            <v>12072.401</v>
          </cell>
          <cell r="AI47">
            <v>18246096.464000002</v>
          </cell>
          <cell r="AJ47">
            <v>228604.45399000001</v>
          </cell>
          <cell r="AK47">
            <v>110475.56600000002</v>
          </cell>
          <cell r="AL47">
            <v>68075.369000000006</v>
          </cell>
          <cell r="AM47"/>
          <cell r="AN47">
            <v>407155.38899000006</v>
          </cell>
          <cell r="AO47">
            <v>6263784.4849999994</v>
          </cell>
          <cell r="AP47">
            <v>0</v>
          </cell>
          <cell r="AQ47"/>
          <cell r="AR47"/>
          <cell r="AS47">
            <v>6263784.4849999994</v>
          </cell>
          <cell r="AT47">
            <v>1486.155</v>
          </cell>
          <cell r="AU47">
            <v>5763.3140000000003</v>
          </cell>
          <cell r="AV47">
            <v>0</v>
          </cell>
          <cell r="AW47"/>
          <cell r="AX47"/>
          <cell r="AY47"/>
          <cell r="AZ47"/>
          <cell r="BA47">
            <v>7249.4690000000001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/>
          <cell r="BJ47">
            <v>0</v>
          </cell>
        </row>
        <row r="48">
          <cell r="F48">
            <v>1448169.564009998</v>
          </cell>
          <cell r="G48">
            <v>154846.19999999972</v>
          </cell>
          <cell r="H48">
            <v>-422.53700000001118</v>
          </cell>
          <cell r="I48">
            <v>67820.113999999827</v>
          </cell>
          <cell r="J48">
            <v>52258.878999999957</v>
          </cell>
          <cell r="K48">
            <v>113195.98399999971</v>
          </cell>
          <cell r="L48">
            <v>238867.2350000001</v>
          </cell>
          <cell r="M48">
            <v>-18125.572999999858</v>
          </cell>
          <cell r="N48">
            <v>213804.60600000015</v>
          </cell>
          <cell r="O48">
            <v>-34205.009999999951</v>
          </cell>
          <cell r="P48">
            <v>14228.608000000007</v>
          </cell>
          <cell r="Q48">
            <v>45364.032000000007</v>
          </cell>
          <cell r="R48">
            <v>75773.755000000005</v>
          </cell>
          <cell r="S48">
            <v>77433.744999999879</v>
          </cell>
          <cell r="T48">
            <v>14128.873999999982</v>
          </cell>
          <cell r="U48">
            <v>101225.88799999998</v>
          </cell>
          <cell r="V48">
            <v>53964.87200000009</v>
          </cell>
          <cell r="W48">
            <v>46544.074000000081</v>
          </cell>
          <cell r="X48">
            <v>0</v>
          </cell>
          <cell r="Y48">
            <v>0</v>
          </cell>
          <cell r="Z48">
            <v>1216703.7459999993</v>
          </cell>
          <cell r="AA48">
            <v>0</v>
          </cell>
          <cell r="AB48">
            <v>0</v>
          </cell>
          <cell r="AC48">
            <v>9161.6450000000004</v>
          </cell>
          <cell r="AD48">
            <v>22105.953999999998</v>
          </cell>
          <cell r="AE48"/>
          <cell r="AF48"/>
          <cell r="AG48"/>
          <cell r="AH48">
            <v>31267.599000000002</v>
          </cell>
          <cell r="AI48">
            <v>1247971.3449999988</v>
          </cell>
          <cell r="AJ48">
            <v>5451.5460099999909</v>
          </cell>
          <cell r="AK48">
            <v>13476.433999999979</v>
          </cell>
          <cell r="AL48">
            <v>-34747.369000000006</v>
          </cell>
          <cell r="AM48"/>
          <cell r="AN48">
            <v>-15819.388990000065</v>
          </cell>
          <cell r="AO48">
            <v>147289.63000000082</v>
          </cell>
          <cell r="AP48">
            <v>0</v>
          </cell>
          <cell r="AQ48"/>
          <cell r="AR48"/>
          <cell r="AS48">
            <v>147289.63000000082</v>
          </cell>
          <cell r="AT48">
            <v>4301.9450000000006</v>
          </cell>
          <cell r="AU48">
            <v>86.685999999999694</v>
          </cell>
          <cell r="AV48">
            <v>62651.947</v>
          </cell>
          <cell r="AW48"/>
          <cell r="AX48"/>
          <cell r="AY48"/>
          <cell r="AZ48"/>
          <cell r="BA48">
            <v>67040.578000000009</v>
          </cell>
          <cell r="BB48">
            <v>0</v>
          </cell>
          <cell r="BC48">
            <v>1687.4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/>
          <cell r="BJ48">
            <v>1687.4</v>
          </cell>
        </row>
        <row r="49">
          <cell r="F49">
            <v>2210947.3840009747</v>
          </cell>
          <cell r="G49">
            <v>214578.60949723423</v>
          </cell>
          <cell r="H49">
            <v>213750.07246265319</v>
          </cell>
          <cell r="I49">
            <v>136666.42063985922</v>
          </cell>
          <cell r="J49">
            <v>102721.72684000939</v>
          </cell>
          <cell r="K49">
            <v>197845.31579432928</v>
          </cell>
          <cell r="L49">
            <v>165083.24011278313</v>
          </cell>
          <cell r="M49">
            <v>77449.67205858657</v>
          </cell>
          <cell r="N49">
            <v>196599.45618329319</v>
          </cell>
          <cell r="O49">
            <v>53645.23469810636</v>
          </cell>
          <cell r="P49">
            <v>71593.166552589915</v>
          </cell>
          <cell r="Q49">
            <v>92768.922932291389</v>
          </cell>
          <cell r="R49">
            <v>96144.465839553624</v>
          </cell>
          <cell r="S49">
            <v>156515.40294019229</v>
          </cell>
          <cell r="T49">
            <v>27334.746702922701</v>
          </cell>
          <cell r="U49">
            <v>44142.126704698407</v>
          </cell>
          <cell r="V49">
            <v>80059.372099611675</v>
          </cell>
          <cell r="W49">
            <v>51257.671087855764</v>
          </cell>
          <cell r="X49">
            <v>0</v>
          </cell>
          <cell r="Y49">
            <v>0</v>
          </cell>
          <cell r="Z49">
            <v>1978155.6231465703</v>
          </cell>
          <cell r="AA49">
            <v>7499.4580000000005</v>
          </cell>
          <cell r="AB49">
            <v>179.96600000000001</v>
          </cell>
          <cell r="AC49">
            <v>0</v>
          </cell>
          <cell r="AD49">
            <v>0</v>
          </cell>
          <cell r="AE49"/>
          <cell r="AF49"/>
          <cell r="AG49"/>
          <cell r="AH49">
            <v>7679.4240000000009</v>
          </cell>
          <cell r="AI49">
            <v>1985835.0471465704</v>
          </cell>
          <cell r="AJ49">
            <v>21432.330498149066</v>
          </cell>
          <cell r="AK49">
            <v>12384.181826255044</v>
          </cell>
          <cell r="AL49">
            <v>12811.006529999999</v>
          </cell>
          <cell r="AM49"/>
          <cell r="AN49">
            <v>46627.518854404108</v>
          </cell>
          <cell r="AO49">
            <v>129128.59599999999</v>
          </cell>
          <cell r="AP49">
            <v>0</v>
          </cell>
          <cell r="AQ49"/>
          <cell r="AR49"/>
          <cell r="AS49">
            <v>129128.59599999999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17066.092000000001</v>
          </cell>
          <cell r="BD49">
            <v>0</v>
          </cell>
          <cell r="BE49">
            <v>0</v>
          </cell>
          <cell r="BF49">
            <v>32290.129999999997</v>
          </cell>
          <cell r="BG49">
            <v>0</v>
          </cell>
          <cell r="BH49">
            <v>0</v>
          </cell>
          <cell r="BI49"/>
          <cell r="BJ49">
            <v>49356.221999999994</v>
          </cell>
        </row>
        <row r="50">
          <cell r="F50">
            <v>-762777.81999097671</v>
          </cell>
          <cell r="G50">
            <v>-59732.409497234505</v>
          </cell>
          <cell r="H50">
            <v>-214172.6094626532</v>
          </cell>
          <cell r="I50">
            <v>-68846.306639859395</v>
          </cell>
          <cell r="J50">
            <v>-50462.847840009432</v>
          </cell>
          <cell r="K50">
            <v>-84649.33179432957</v>
          </cell>
          <cell r="L50">
            <v>73783.994887216977</v>
          </cell>
          <cell r="M50">
            <v>-95575.245058586428</v>
          </cell>
          <cell r="N50">
            <v>17205.149816706951</v>
          </cell>
          <cell r="O50">
            <v>-87850.244698106311</v>
          </cell>
          <cell r="P50">
            <v>-57364.558552589908</v>
          </cell>
          <cell r="Q50">
            <v>-47404.890932291382</v>
          </cell>
          <cell r="R50">
            <v>-20370.71083955362</v>
          </cell>
          <cell r="S50">
            <v>-79081.65794019241</v>
          </cell>
          <cell r="T50">
            <v>-13205.872702922719</v>
          </cell>
          <cell r="U50">
            <v>57083.76129530157</v>
          </cell>
          <cell r="V50">
            <v>-26094.500099611585</v>
          </cell>
          <cell r="W50">
            <v>-4713.5970878556836</v>
          </cell>
          <cell r="X50">
            <v>0</v>
          </cell>
          <cell r="Y50">
            <v>0</v>
          </cell>
          <cell r="Z50">
            <v>-761451.87714657094</v>
          </cell>
          <cell r="AA50">
            <v>-7499.4580000000005</v>
          </cell>
          <cell r="AB50">
            <v>-179.96600000000001</v>
          </cell>
          <cell r="AC50">
            <v>9161.6450000000004</v>
          </cell>
          <cell r="AD50">
            <v>22105.953999999998</v>
          </cell>
          <cell r="AE50"/>
          <cell r="AF50"/>
          <cell r="AG50"/>
          <cell r="AH50">
            <v>23588.175000000003</v>
          </cell>
          <cell r="AI50">
            <v>-737863.7021465716</v>
          </cell>
          <cell r="AJ50">
            <v>-15980.784488149075</v>
          </cell>
          <cell r="AK50">
            <v>1092.2521737449351</v>
          </cell>
          <cell r="AL50">
            <v>-47558.375530000005</v>
          </cell>
          <cell r="AM50"/>
          <cell r="AN50">
            <v>-62446.907844404173</v>
          </cell>
          <cell r="AO50">
            <v>18161.034000000829</v>
          </cell>
          <cell r="AP50">
            <v>0</v>
          </cell>
          <cell r="AQ50"/>
          <cell r="AR50"/>
          <cell r="AS50">
            <v>18161.034000000829</v>
          </cell>
          <cell r="AT50">
            <v>4301.9450000000006</v>
          </cell>
          <cell r="AU50">
            <v>86.685999999999694</v>
          </cell>
          <cell r="AV50">
            <v>62651.947</v>
          </cell>
          <cell r="AW50"/>
          <cell r="AX50"/>
          <cell r="AY50"/>
          <cell r="AZ50"/>
          <cell r="BA50">
            <v>67040.578000000009</v>
          </cell>
          <cell r="BB50">
            <v>0</v>
          </cell>
          <cell r="BC50">
            <v>-15378.692000000001</v>
          </cell>
          <cell r="BD50">
            <v>0</v>
          </cell>
          <cell r="BE50">
            <v>0</v>
          </cell>
          <cell r="BF50">
            <v>-32290.129999999997</v>
          </cell>
          <cell r="BG50">
            <v>0</v>
          </cell>
          <cell r="BH50">
            <v>0</v>
          </cell>
          <cell r="BI50"/>
          <cell r="BJ50">
            <v>-47668.821999999993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0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261556</v>
          </cell>
          <cell r="H7">
            <v>215504</v>
          </cell>
          <cell r="I7">
            <v>96231</v>
          </cell>
          <cell r="J7">
            <v>79512.320000000007</v>
          </cell>
          <cell r="K7">
            <v>157388</v>
          </cell>
          <cell r="L7">
            <v>130830</v>
          </cell>
          <cell r="M7">
            <v>69304</v>
          </cell>
          <cell r="N7">
            <v>171821.5</v>
          </cell>
          <cell r="O7">
            <v>58463</v>
          </cell>
          <cell r="P7">
            <v>77818</v>
          </cell>
          <cell r="Q7">
            <v>78044.5</v>
          </cell>
          <cell r="R7">
            <v>87180.5</v>
          </cell>
          <cell r="S7">
            <v>164622</v>
          </cell>
          <cell r="T7">
            <v>20327.5</v>
          </cell>
          <cell r="U7">
            <v>40147</v>
          </cell>
          <cell r="V7">
            <v>98830.5</v>
          </cell>
          <cell r="W7">
            <v>45488</v>
          </cell>
          <cell r="Z7">
            <v>1853067.82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1853067.82</v>
          </cell>
          <cell r="AJ7">
            <v>193197</v>
          </cell>
          <cell r="AK7">
            <v>170094</v>
          </cell>
          <cell r="AL7">
            <v>145879</v>
          </cell>
          <cell r="AN7">
            <v>509170</v>
          </cell>
          <cell r="AO7">
            <v>76949.95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263327491.11699998</v>
          </cell>
          <cell r="G8">
            <v>25108860.620999999</v>
          </cell>
          <cell r="H8">
            <v>20991093.563999999</v>
          </cell>
          <cell r="I8">
            <v>8958612.7430000007</v>
          </cell>
          <cell r="J8">
            <v>7616346.8610000005</v>
          </cell>
          <cell r="K8">
            <v>16921096.32</v>
          </cell>
          <cell r="L8">
            <v>12815898.318</v>
          </cell>
          <cell r="M8">
            <v>6225561.1000000006</v>
          </cell>
          <cell r="N8">
            <v>17097311.25</v>
          </cell>
          <cell r="O8">
            <v>5403460.1469999999</v>
          </cell>
          <cell r="P8">
            <v>7472955.2800000003</v>
          </cell>
          <cell r="Q8">
            <v>6981545.3389999997</v>
          </cell>
          <cell r="R8">
            <v>9029669.3679999989</v>
          </cell>
          <cell r="S8">
            <v>15913053.274</v>
          </cell>
          <cell r="T8">
            <v>2202763.7539999997</v>
          </cell>
          <cell r="U8">
            <v>4413412.1219999995</v>
          </cell>
          <cell r="V8">
            <v>9596665.8870000001</v>
          </cell>
          <cell r="W8">
            <v>5582237.9440000011</v>
          </cell>
          <cell r="Z8">
            <v>182330543.89199999</v>
          </cell>
          <cell r="AA8">
            <v>125000</v>
          </cell>
          <cell r="AB8">
            <v>0</v>
          </cell>
          <cell r="AC8">
            <v>100000</v>
          </cell>
          <cell r="AD8">
            <v>239220</v>
          </cell>
          <cell r="AH8">
            <v>464220</v>
          </cell>
          <cell r="AI8">
            <v>182794763.89199999</v>
          </cell>
          <cell r="AJ8">
            <v>5505808</v>
          </cell>
          <cell r="AK8">
            <v>2358038</v>
          </cell>
          <cell r="AL8">
            <v>2778678.5</v>
          </cell>
          <cell r="AN8">
            <v>10642524.5</v>
          </cell>
          <cell r="AO8">
            <v>69287382.234999985</v>
          </cell>
          <cell r="AP8">
            <v>0</v>
          </cell>
          <cell r="AS8">
            <v>69287382.234999985</v>
          </cell>
          <cell r="AT8">
            <v>45202.399999999994</v>
          </cell>
          <cell r="AU8">
            <v>46800</v>
          </cell>
          <cell r="AV8">
            <v>497375.84</v>
          </cell>
          <cell r="BA8">
            <v>589378.24</v>
          </cell>
          <cell r="BB8">
            <v>0</v>
          </cell>
          <cell r="BC8">
            <v>13442.249999999998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13442.249999999998</v>
          </cell>
        </row>
        <row r="9">
          <cell r="G9">
            <v>95998.029565370322</v>
          </cell>
          <cell r="H9">
            <v>97404.658679189233</v>
          </cell>
          <cell r="I9">
            <v>93094.873200943563</v>
          </cell>
          <cell r="J9">
            <v>95788.261001565537</v>
          </cell>
          <cell r="K9">
            <v>107511.98515769944</v>
          </cell>
          <cell r="L9">
            <v>97958.406466406785</v>
          </cell>
          <cell r="M9">
            <v>89829.751529493253</v>
          </cell>
          <cell r="N9">
            <v>99506.239032949888</v>
          </cell>
          <cell r="O9">
            <v>92425.297145202945</v>
          </cell>
          <cell r="P9">
            <v>96031.191755120934</v>
          </cell>
          <cell r="Q9">
            <v>89455.955756010997</v>
          </cell>
          <cell r="R9">
            <v>103574.41593016786</v>
          </cell>
          <cell r="S9">
            <v>96664.196000534561</v>
          </cell>
          <cell r="T9">
            <v>108363.73159512974</v>
          </cell>
          <cell r="U9">
            <v>109931.30550227912</v>
          </cell>
          <cell r="V9">
            <v>97102.269916675519</v>
          </cell>
          <cell r="W9">
            <v>122718.91364755543</v>
          </cell>
          <cell r="Z9">
            <v>98393.886032730297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98644.400339324857</v>
          </cell>
          <cell r="AJ9">
            <v>28498.413536442076</v>
          </cell>
          <cell r="AK9">
            <v>13863.146260303127</v>
          </cell>
          <cell r="AL9">
            <v>19047.83073643225</v>
          </cell>
          <cell r="AO9">
            <v>900421.40683652146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242582094.85370001</v>
          </cell>
          <cell r="G10">
            <v>22639743.722520001</v>
          </cell>
          <cell r="H10">
            <v>19843606.430079997</v>
          </cell>
          <cell r="I10">
            <v>8670655.2601100001</v>
          </cell>
          <cell r="J10">
            <v>7141362.9855499994</v>
          </cell>
          <cell r="K10">
            <v>14042718.12329</v>
          </cell>
          <cell r="L10">
            <v>11241908.035910001</v>
          </cell>
          <cell r="M10">
            <v>6047764.0794700002</v>
          </cell>
          <cell r="N10">
            <v>15086407.76004</v>
          </cell>
          <cell r="O10">
            <v>5060561.5004499992</v>
          </cell>
          <cell r="P10">
            <v>6643023.6658899998</v>
          </cell>
          <cell r="Q10">
            <v>6577078.7514399998</v>
          </cell>
          <cell r="R10">
            <v>7981754.4221000001</v>
          </cell>
          <cell r="S10">
            <v>14567445.04678</v>
          </cell>
          <cell r="T10">
            <v>2010898.02948</v>
          </cell>
          <cell r="U10">
            <v>3386954.82638</v>
          </cell>
          <cell r="V10">
            <v>8242282.5503400005</v>
          </cell>
          <cell r="W10">
            <v>4757267.471570001</v>
          </cell>
          <cell r="Z10">
            <v>163941432.66140002</v>
          </cell>
          <cell r="AA10">
            <v>5838.259</v>
          </cell>
          <cell r="AB10">
            <v>0</v>
          </cell>
          <cell r="AC10">
            <v>27746.731999999996</v>
          </cell>
          <cell r="AD10">
            <v>73576.387000000002</v>
          </cell>
          <cell r="AH10">
            <v>107161.378</v>
          </cell>
          <cell r="AI10">
            <v>164048594.03940001</v>
          </cell>
          <cell r="AJ10">
            <v>4960651.4483700003</v>
          </cell>
          <cell r="AK10">
            <v>1866162.4296599999</v>
          </cell>
          <cell r="AL10">
            <v>3279793.5522699999</v>
          </cell>
          <cell r="AN10">
            <v>10106607.430300001</v>
          </cell>
          <cell r="AO10">
            <v>68164600.935000002</v>
          </cell>
          <cell r="AP10">
            <v>0</v>
          </cell>
          <cell r="AS10">
            <v>68164600.935000002</v>
          </cell>
          <cell r="AT10">
            <v>1204.915</v>
          </cell>
          <cell r="AU10">
            <v>1606.8969999999999</v>
          </cell>
          <cell r="AV10">
            <v>0</v>
          </cell>
          <cell r="BA10">
            <v>2811.8119999999999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302804.88</v>
          </cell>
          <cell r="BH10">
            <v>-43324.242999999995</v>
          </cell>
          <cell r="BJ10">
            <v>259480.63700000002</v>
          </cell>
        </row>
        <row r="11">
          <cell r="G11">
            <v>86557.921525485945</v>
          </cell>
          <cell r="H11">
            <v>92079.991230232365</v>
          </cell>
          <cell r="I11">
            <v>90102.516445947767</v>
          </cell>
          <cell r="J11">
            <v>89814.546796647352</v>
          </cell>
          <cell r="K11">
            <v>89223.562935484282</v>
          </cell>
          <cell r="L11">
            <v>85927.600977680966</v>
          </cell>
          <cell r="M11">
            <v>87264.286036448117</v>
          </cell>
          <cell r="N11">
            <v>87802.793946275648</v>
          </cell>
          <cell r="O11">
            <v>86560.072190103121</v>
          </cell>
          <cell r="P11">
            <v>85366.157776992462</v>
          </cell>
          <cell r="Q11">
            <v>84273.443374485068</v>
          </cell>
          <cell r="R11">
            <v>91554.354724967168</v>
          </cell>
          <cell r="S11">
            <v>88490.268899539544</v>
          </cell>
          <cell r="T11">
            <v>98925.004524904696</v>
          </cell>
          <cell r="U11">
            <v>84363.833571126102</v>
          </cell>
          <cell r="V11">
            <v>83398.167067251503</v>
          </cell>
          <cell r="W11">
            <v>104582.91135178511</v>
          </cell>
          <cell r="Z11">
            <v>88470.28203285081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88528.111205017849</v>
          </cell>
          <cell r="AJ11">
            <v>25676.64843848507</v>
          </cell>
          <cell r="AK11">
            <v>10971.359540371794</v>
          </cell>
          <cell r="AL11">
            <v>22482.972547590813</v>
          </cell>
          <cell r="AO11">
            <v>885830.34732316271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20745396.263299972</v>
          </cell>
          <cell r="G12">
            <v>2469116.8984799981</v>
          </cell>
          <cell r="H12">
            <v>1147487.1339200027</v>
          </cell>
          <cell r="I12">
            <v>287957.48289000057</v>
          </cell>
          <cell r="J12">
            <v>474983.8754500011</v>
          </cell>
          <cell r="K12">
            <v>2878378.1967099998</v>
          </cell>
          <cell r="L12">
            <v>1573990.2820899989</v>
          </cell>
          <cell r="M12">
            <v>177797.02053000033</v>
          </cell>
          <cell r="N12">
            <v>2010903.4899599999</v>
          </cell>
          <cell r="O12">
            <v>342898.64655000065</v>
          </cell>
          <cell r="P12">
            <v>829931.61411000043</v>
          </cell>
          <cell r="Q12">
            <v>404466.5875599999</v>
          </cell>
          <cell r="R12">
            <v>1047914.9458999988</v>
          </cell>
          <cell r="S12">
            <v>1345608.2272200007</v>
          </cell>
          <cell r="T12">
            <v>191865.7245199997</v>
          </cell>
          <cell r="U12">
            <v>1026457.2956199995</v>
          </cell>
          <cell r="V12">
            <v>1354383.3366599996</v>
          </cell>
          <cell r="W12">
            <v>824970.47243000008</v>
          </cell>
          <cell r="Z12">
            <v>18389111.230599999</v>
          </cell>
          <cell r="AA12">
            <v>119161.74099999999</v>
          </cell>
          <cell r="AB12">
            <v>0</v>
          </cell>
          <cell r="AC12">
            <v>72253.268000000011</v>
          </cell>
          <cell r="AD12">
            <v>165643.61300000001</v>
          </cell>
          <cell r="AH12">
            <v>357058.62199999997</v>
          </cell>
          <cell r="AI12">
            <v>18746169.852599978</v>
          </cell>
          <cell r="AJ12">
            <v>545156.55162999965</v>
          </cell>
          <cell r="AK12">
            <v>491875.57034000009</v>
          </cell>
          <cell r="AL12">
            <v>-501115.05226999987</v>
          </cell>
          <cell r="AN12">
            <v>535917.06969999894</v>
          </cell>
          <cell r="AO12">
            <v>1122781.2999999821</v>
          </cell>
          <cell r="AP12">
            <v>0</v>
          </cell>
          <cell r="AS12">
            <v>1122781.2999999821</v>
          </cell>
          <cell r="AT12">
            <v>43997.484999999993</v>
          </cell>
          <cell r="AU12">
            <v>45193.103000000003</v>
          </cell>
          <cell r="AV12">
            <v>497375.84</v>
          </cell>
          <cell r="BA12">
            <v>586566.42800000007</v>
          </cell>
          <cell r="BB12">
            <v>0</v>
          </cell>
          <cell r="BC12">
            <v>13442.249999999998</v>
          </cell>
          <cell r="BD12">
            <v>0</v>
          </cell>
          <cell r="BE12">
            <v>0</v>
          </cell>
          <cell r="BF12">
            <v>0</v>
          </cell>
          <cell r="BG12">
            <v>-302804.88</v>
          </cell>
          <cell r="BH12">
            <v>43324.242999999995</v>
          </cell>
          <cell r="BJ12">
            <v>-246038.38700000002</v>
          </cell>
        </row>
        <row r="13">
          <cell r="F13">
            <v>6753356.6380000003</v>
          </cell>
          <cell r="G13">
            <v>534677.94199999992</v>
          </cell>
          <cell r="H13">
            <v>548595.473</v>
          </cell>
          <cell r="I13">
            <v>426041.14599999995</v>
          </cell>
          <cell r="J13">
            <v>299659.59600000002</v>
          </cell>
          <cell r="K13">
            <v>423595.03399999999</v>
          </cell>
          <cell r="L13">
            <v>438114.984</v>
          </cell>
          <cell r="M13">
            <v>285630.57499999995</v>
          </cell>
          <cell r="N13">
            <v>359377.49899999995</v>
          </cell>
          <cell r="O13">
            <v>241087.57200000001</v>
          </cell>
          <cell r="P13">
            <v>234562.81500000003</v>
          </cell>
          <cell r="Q13">
            <v>237660.48599999998</v>
          </cell>
          <cell r="R13">
            <v>220368.50200000001</v>
          </cell>
          <cell r="S13">
            <v>383420.05099999998</v>
          </cell>
          <cell r="T13">
            <v>91718.55</v>
          </cell>
          <cell r="U13">
            <v>97344.312999999995</v>
          </cell>
          <cell r="V13">
            <v>249191.03600000002</v>
          </cell>
          <cell r="W13">
            <v>125194.20200000002</v>
          </cell>
          <cell r="Z13">
            <v>5196239.7759999996</v>
          </cell>
          <cell r="AA13">
            <v>46516.176999999996</v>
          </cell>
          <cell r="AB13">
            <v>2060.2819999999997</v>
          </cell>
          <cell r="AC13">
            <v>0</v>
          </cell>
          <cell r="AD13">
            <v>0</v>
          </cell>
          <cell r="AH13">
            <v>48576.458999999995</v>
          </cell>
          <cell r="AI13">
            <v>5244816.2349999994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1131591.395</v>
          </cell>
          <cell r="AP13">
            <v>0</v>
          </cell>
          <cell r="AS13">
            <v>1131591.395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138562.10799999998</v>
          </cell>
          <cell r="BG13">
            <v>238386.9</v>
          </cell>
          <cell r="BH13">
            <v>0</v>
          </cell>
          <cell r="BJ13">
            <v>376949.00799999997</v>
          </cell>
        </row>
        <row r="14">
          <cell r="F14">
            <v>4572743.8550000004</v>
          </cell>
          <cell r="G14">
            <v>361394.26599999995</v>
          </cell>
          <cell r="H14">
            <v>370864.24699999997</v>
          </cell>
          <cell r="I14">
            <v>285251.81899999996</v>
          </cell>
          <cell r="J14">
            <v>215296.75</v>
          </cell>
          <cell r="K14">
            <v>287577.98599999998</v>
          </cell>
          <cell r="L14">
            <v>298766.17599999998</v>
          </cell>
          <cell r="M14">
            <v>201411.39199999996</v>
          </cell>
          <cell r="N14">
            <v>246672.08399999997</v>
          </cell>
          <cell r="O14">
            <v>163465.39000000001</v>
          </cell>
          <cell r="P14">
            <v>165428.41400000002</v>
          </cell>
          <cell r="Q14">
            <v>167528.41199999998</v>
          </cell>
          <cell r="R14">
            <v>155664.997</v>
          </cell>
          <cell r="S14">
            <v>270431.76599999995</v>
          </cell>
          <cell r="T14">
            <v>59698.73</v>
          </cell>
          <cell r="U14">
            <v>66321.402999999991</v>
          </cell>
          <cell r="V14">
            <v>178491.85800000001</v>
          </cell>
          <cell r="W14">
            <v>86317.566000000006</v>
          </cell>
          <cell r="Z14">
            <v>3580583.2559999996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3580583.2559999996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753773.69900000002</v>
          </cell>
          <cell r="AP14">
            <v>0</v>
          </cell>
          <cell r="AS14">
            <v>753773.69900000002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238386.9</v>
          </cell>
          <cell r="BH14">
            <v>0</v>
          </cell>
          <cell r="BJ14">
            <v>238386.9</v>
          </cell>
        </row>
        <row r="15">
          <cell r="F15">
            <v>2180612.7829999998</v>
          </cell>
          <cell r="G15">
            <v>173283.67599999998</v>
          </cell>
          <cell r="H15">
            <v>177731.226</v>
          </cell>
          <cell r="I15">
            <v>140789.32699999999</v>
          </cell>
          <cell r="J15">
            <v>84362.84599999999</v>
          </cell>
          <cell r="K15">
            <v>136017.04800000001</v>
          </cell>
          <cell r="L15">
            <v>139348.80800000002</v>
          </cell>
          <cell r="M15">
            <v>84219.183000000019</v>
          </cell>
          <cell r="N15">
            <v>112705.41499999999</v>
          </cell>
          <cell r="O15">
            <v>77622.182000000001</v>
          </cell>
          <cell r="P15">
            <v>69134.401000000013</v>
          </cell>
          <cell r="Q15">
            <v>70132.073999999993</v>
          </cell>
          <cell r="R15">
            <v>64703.505000000005</v>
          </cell>
          <cell r="S15">
            <v>112988.28500000002</v>
          </cell>
          <cell r="T15">
            <v>32019.82</v>
          </cell>
          <cell r="U15">
            <v>31022.91</v>
          </cell>
          <cell r="V15">
            <v>70699.178</v>
          </cell>
          <cell r="W15">
            <v>38876.636000000006</v>
          </cell>
          <cell r="Z15">
            <v>1615656.52</v>
          </cell>
          <cell r="AA15">
            <v>46516.176999999996</v>
          </cell>
          <cell r="AB15">
            <v>2060.2819999999997</v>
          </cell>
          <cell r="AC15">
            <v>0</v>
          </cell>
          <cell r="AD15">
            <v>0</v>
          </cell>
          <cell r="AH15">
            <v>48576.458999999995</v>
          </cell>
          <cell r="AI15">
            <v>1664232.9790000001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377817.69600000005</v>
          </cell>
          <cell r="AP15">
            <v>0</v>
          </cell>
          <cell r="AS15">
            <v>377817.69600000005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138562.10799999998</v>
          </cell>
          <cell r="BG15">
            <v>0</v>
          </cell>
          <cell r="BH15">
            <v>0</v>
          </cell>
          <cell r="BJ15">
            <v>138562.10799999998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13992039.625299972</v>
          </cell>
          <cell r="G17">
            <v>1934438.9564799983</v>
          </cell>
          <cell r="H17">
            <v>598891.66092000273</v>
          </cell>
          <cell r="I17">
            <v>-138083.66310999938</v>
          </cell>
          <cell r="J17">
            <v>175324.27945000108</v>
          </cell>
          <cell r="K17">
            <v>2454783.1627099998</v>
          </cell>
          <cell r="L17">
            <v>1135875.298089999</v>
          </cell>
          <cell r="M17">
            <v>-107833.55446999962</v>
          </cell>
          <cell r="N17">
            <v>1651525.9909600001</v>
          </cell>
          <cell r="O17">
            <v>101811.07455000063</v>
          </cell>
          <cell r="P17">
            <v>595368.79911000037</v>
          </cell>
          <cell r="Q17">
            <v>166806.10155999992</v>
          </cell>
          <cell r="R17">
            <v>827546.44389999879</v>
          </cell>
          <cell r="S17">
            <v>962188.17622000072</v>
          </cell>
          <cell r="T17">
            <v>100147.17451999969</v>
          </cell>
          <cell r="U17">
            <v>929112.98261999956</v>
          </cell>
          <cell r="V17">
            <v>1105192.3006599995</v>
          </cell>
          <cell r="W17">
            <v>699776.27043000003</v>
          </cell>
          <cell r="Z17">
            <v>13192871.454599999</v>
          </cell>
          <cell r="AA17">
            <v>72645.563999999998</v>
          </cell>
          <cell r="AB17">
            <v>-2060.2819999999997</v>
          </cell>
          <cell r="AC17">
            <v>72253.268000000011</v>
          </cell>
          <cell r="AD17">
            <v>165643.61300000001</v>
          </cell>
          <cell r="AH17">
            <v>308482.163</v>
          </cell>
          <cell r="AI17">
            <v>13501353.617599979</v>
          </cell>
          <cell r="AJ17">
            <v>545156.55162999965</v>
          </cell>
          <cell r="AK17">
            <v>491875.57034000009</v>
          </cell>
          <cell r="AL17">
            <v>-501115.05226999987</v>
          </cell>
          <cell r="AN17">
            <v>535917.06969999894</v>
          </cell>
          <cell r="AO17">
            <v>-8810.0950000179</v>
          </cell>
          <cell r="AP17">
            <v>0</v>
          </cell>
          <cell r="AS17">
            <v>-8810.0950000179</v>
          </cell>
          <cell r="AT17">
            <v>43997.484999999993</v>
          </cell>
          <cell r="AU17">
            <v>45193.103000000003</v>
          </cell>
          <cell r="AV17">
            <v>497375.84</v>
          </cell>
          <cell r="BA17">
            <v>586566.42800000007</v>
          </cell>
          <cell r="BB17">
            <v>0</v>
          </cell>
          <cell r="BC17">
            <v>13442.249999999998</v>
          </cell>
          <cell r="BD17">
            <v>0</v>
          </cell>
          <cell r="BE17">
            <v>0</v>
          </cell>
          <cell r="BF17">
            <v>-138562.10799999998</v>
          </cell>
          <cell r="BG17">
            <v>-541191.78</v>
          </cell>
          <cell r="BH17">
            <v>43324.242999999995</v>
          </cell>
          <cell r="BJ17">
            <v>-622987.39500000002</v>
          </cell>
        </row>
        <row r="18">
          <cell r="F18">
            <v>4783694.9862599988</v>
          </cell>
          <cell r="G18">
            <v>243427.09247999999</v>
          </cell>
          <cell r="H18">
            <v>284233.73690999998</v>
          </cell>
          <cell r="I18">
            <v>161659.96089000002</v>
          </cell>
          <cell r="J18">
            <v>146243.05245000002</v>
          </cell>
          <cell r="K18">
            <v>834188.33370999992</v>
          </cell>
          <cell r="L18">
            <v>277669.21109</v>
          </cell>
          <cell r="M18">
            <v>122276.27253000002</v>
          </cell>
          <cell r="N18">
            <v>187774.80895999999</v>
          </cell>
          <cell r="O18">
            <v>99392.723549999995</v>
          </cell>
          <cell r="P18">
            <v>252839.33510999999</v>
          </cell>
          <cell r="Q18">
            <v>124710.99755999999</v>
          </cell>
          <cell r="R18">
            <v>121377.46690000001</v>
          </cell>
          <cell r="S18">
            <v>265776.87621999998</v>
          </cell>
          <cell r="T18">
            <v>49856.359519999998</v>
          </cell>
          <cell r="U18">
            <v>86403.425620000009</v>
          </cell>
          <cell r="V18">
            <v>170430.60366000002</v>
          </cell>
          <cell r="W18">
            <v>102829.71943</v>
          </cell>
          <cell r="Z18">
            <v>3531089.9765899996</v>
          </cell>
          <cell r="AA18">
            <v>44806.372999999992</v>
          </cell>
          <cell r="AB18">
            <v>0</v>
          </cell>
          <cell r="AC18">
            <v>3218.5030000000002</v>
          </cell>
          <cell r="AD18">
            <v>8222.2649999999994</v>
          </cell>
          <cell r="AH18">
            <v>56247.140999999989</v>
          </cell>
          <cell r="AI18">
            <v>3587337.1175899995</v>
          </cell>
          <cell r="AJ18">
            <v>285136.22562999994</v>
          </cell>
          <cell r="AK18">
            <v>125300.52432</v>
          </cell>
          <cell r="AL18">
            <v>462008.18371999997</v>
          </cell>
          <cell r="AN18">
            <v>872444.93366999994</v>
          </cell>
          <cell r="AO18">
            <v>44525.894</v>
          </cell>
          <cell r="AP18">
            <v>0</v>
          </cell>
          <cell r="AS18">
            <v>44525.894</v>
          </cell>
          <cell r="AT18">
            <v>10503.136</v>
          </cell>
          <cell r="AU18">
            <v>36799.964</v>
          </cell>
          <cell r="AV18">
            <v>0</v>
          </cell>
          <cell r="BA18">
            <v>47303.1</v>
          </cell>
          <cell r="BB18">
            <v>0</v>
          </cell>
          <cell r="BC18">
            <v>118110.92600000001</v>
          </cell>
          <cell r="BD18">
            <v>0</v>
          </cell>
          <cell r="BE18">
            <v>0</v>
          </cell>
          <cell r="BF18">
            <v>113973.015</v>
          </cell>
          <cell r="BG18">
            <v>0</v>
          </cell>
          <cell r="BH18">
            <v>0</v>
          </cell>
          <cell r="BJ18">
            <v>232083.94099999999</v>
          </cell>
        </row>
        <row r="19">
          <cell r="F19">
            <v>4310803.6202599993</v>
          </cell>
          <cell r="G19">
            <v>226048.34047999998</v>
          </cell>
          <cell r="H19">
            <v>267644.13390999998</v>
          </cell>
          <cell r="I19">
            <v>147541.83089000001</v>
          </cell>
          <cell r="J19">
            <v>136707.15645000001</v>
          </cell>
          <cell r="K19">
            <v>819221.14770999993</v>
          </cell>
          <cell r="L19">
            <v>265195.33708999999</v>
          </cell>
          <cell r="M19">
            <v>113097.88853000001</v>
          </cell>
          <cell r="N19">
            <v>173786.78296000001</v>
          </cell>
          <cell r="O19">
            <v>94503.64155</v>
          </cell>
          <cell r="P19">
            <v>244241.74310999998</v>
          </cell>
          <cell r="Q19">
            <v>118099.53655999999</v>
          </cell>
          <cell r="R19">
            <v>113459.67390000001</v>
          </cell>
          <cell r="S19">
            <v>253168.07822</v>
          </cell>
          <cell r="T19">
            <v>46893.163520000002</v>
          </cell>
          <cell r="U19">
            <v>82860.473620000004</v>
          </cell>
          <cell r="V19">
            <v>163863.55966000003</v>
          </cell>
          <cell r="W19">
            <v>96275.162429999997</v>
          </cell>
          <cell r="Z19">
            <v>3362607.6505899993</v>
          </cell>
          <cell r="AA19">
            <v>17007.167999999998</v>
          </cell>
          <cell r="AB19">
            <v>0</v>
          </cell>
          <cell r="AC19">
            <v>3218.5030000000002</v>
          </cell>
          <cell r="AD19">
            <v>8222.2649999999994</v>
          </cell>
          <cell r="AH19">
            <v>28447.935999999998</v>
          </cell>
          <cell r="AI19">
            <v>3391055.5865899995</v>
          </cell>
          <cell r="AJ19">
            <v>285136.22562999994</v>
          </cell>
          <cell r="AK19">
            <v>125300.52432</v>
          </cell>
          <cell r="AL19">
            <v>462008.18371999997</v>
          </cell>
          <cell r="AN19">
            <v>872444.93366999994</v>
          </cell>
          <cell r="AO19">
            <v>0</v>
          </cell>
          <cell r="AP19">
            <v>0</v>
          </cell>
          <cell r="AS19">
            <v>0</v>
          </cell>
          <cell r="AT19">
            <v>10503.136</v>
          </cell>
          <cell r="AU19">
            <v>36799.964</v>
          </cell>
          <cell r="AV19">
            <v>0</v>
          </cell>
          <cell r="BA19">
            <v>47303.1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472891.36599999992</v>
          </cell>
          <cell r="G20">
            <v>17378.752</v>
          </cell>
          <cell r="H20">
            <v>16589.603000000003</v>
          </cell>
          <cell r="I20">
            <v>14118.13</v>
          </cell>
          <cell r="J20">
            <v>9535.8960000000006</v>
          </cell>
          <cell r="K20">
            <v>14967.186</v>
          </cell>
          <cell r="L20">
            <v>12473.874</v>
          </cell>
          <cell r="M20">
            <v>9178.384</v>
          </cell>
          <cell r="N20">
            <v>13988.025999999998</v>
          </cell>
          <cell r="O20">
            <v>4889.0820000000003</v>
          </cell>
          <cell r="P20">
            <v>8597.5920000000006</v>
          </cell>
          <cell r="Q20">
            <v>6611.4609999999993</v>
          </cell>
          <cell r="R20">
            <v>7917.7929999999997</v>
          </cell>
          <cell r="S20">
            <v>12608.797999999999</v>
          </cell>
          <cell r="T20">
            <v>2963.1959999999999</v>
          </cell>
          <cell r="U20">
            <v>3542.9520000000007</v>
          </cell>
          <cell r="V20">
            <v>6567.0439999999999</v>
          </cell>
          <cell r="W20">
            <v>6554.5570000000007</v>
          </cell>
          <cell r="Z20">
            <v>168482.32599999997</v>
          </cell>
          <cell r="AA20">
            <v>27799.204999999998</v>
          </cell>
          <cell r="AB20">
            <v>0</v>
          </cell>
          <cell r="AC20">
            <v>0</v>
          </cell>
          <cell r="AD20">
            <v>0</v>
          </cell>
          <cell r="AH20">
            <v>27799.204999999998</v>
          </cell>
          <cell r="AI20">
            <v>196281.53099999996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44525.894</v>
          </cell>
          <cell r="AP20">
            <v>0</v>
          </cell>
          <cell r="AS20">
            <v>44525.894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118110.92600000001</v>
          </cell>
          <cell r="BD20">
            <v>0</v>
          </cell>
          <cell r="BE20">
            <v>0</v>
          </cell>
          <cell r="BF20">
            <v>113973.015</v>
          </cell>
          <cell r="BG20">
            <v>0</v>
          </cell>
          <cell r="BH20">
            <v>0</v>
          </cell>
          <cell r="BJ20">
            <v>232083.94099999999</v>
          </cell>
        </row>
        <row r="21">
          <cell r="F21">
            <v>9208344.6390399728</v>
          </cell>
          <cell r="G21">
            <v>1691011.8639999982</v>
          </cell>
          <cell r="H21">
            <v>314657.92401000275</v>
          </cell>
          <cell r="I21">
            <v>-299743.62399999937</v>
          </cell>
          <cell r="J21">
            <v>29081.227000001061</v>
          </cell>
          <cell r="K21">
            <v>1620594.8289999999</v>
          </cell>
          <cell r="L21">
            <v>858206.08699999901</v>
          </cell>
          <cell r="M21">
            <v>-230109.82699999964</v>
          </cell>
          <cell r="N21">
            <v>1463751.182</v>
          </cell>
          <cell r="O21">
            <v>2418.3510000006354</v>
          </cell>
          <cell r="P21">
            <v>342529.46400000039</v>
          </cell>
          <cell r="Q21">
            <v>42095.103999999934</v>
          </cell>
          <cell r="R21">
            <v>706168.97699999879</v>
          </cell>
          <cell r="S21">
            <v>696411.30000000075</v>
          </cell>
          <cell r="T21">
            <v>50290.814999999697</v>
          </cell>
          <cell r="U21">
            <v>842709.55699999956</v>
          </cell>
          <cell r="V21">
            <v>934761.69699999946</v>
          </cell>
          <cell r="W21">
            <v>596946.55099999998</v>
          </cell>
          <cell r="Z21">
            <v>9661781.4780099988</v>
          </cell>
          <cell r="AA21">
            <v>27839.191000000006</v>
          </cell>
          <cell r="AB21">
            <v>-2060.2819999999997</v>
          </cell>
          <cell r="AC21">
            <v>69034.765000000014</v>
          </cell>
          <cell r="AD21">
            <v>157421.348</v>
          </cell>
          <cell r="AH21">
            <v>252235.022</v>
          </cell>
          <cell r="AI21">
            <v>9914016.5000099801</v>
          </cell>
          <cell r="AJ21">
            <v>260020.32599999971</v>
          </cell>
          <cell r="AK21">
            <v>366575.04602000013</v>
          </cell>
          <cell r="AL21">
            <v>-963123.23598999984</v>
          </cell>
          <cell r="AN21">
            <v>-336527.863970001</v>
          </cell>
          <cell r="AO21">
            <v>-53335.9890000179</v>
          </cell>
          <cell r="AP21">
            <v>0</v>
          </cell>
          <cell r="AS21">
            <v>-53335.9890000179</v>
          </cell>
          <cell r="AT21">
            <v>33494.348999999995</v>
          </cell>
          <cell r="AU21">
            <v>8393.1390000000029</v>
          </cell>
          <cell r="AV21">
            <v>497375.84</v>
          </cell>
          <cell r="BA21">
            <v>539263.3280000001</v>
          </cell>
          <cell r="BB21">
            <v>0</v>
          </cell>
          <cell r="BC21">
            <v>-104668.67600000001</v>
          </cell>
          <cell r="BD21">
            <v>0</v>
          </cell>
          <cell r="BE21">
            <v>0</v>
          </cell>
          <cell r="BF21">
            <v>-252535.12299999996</v>
          </cell>
          <cell r="BG21">
            <v>-541191.78</v>
          </cell>
          <cell r="BH21">
            <v>43324.242999999995</v>
          </cell>
          <cell r="BJ21">
            <v>-855071.33600000001</v>
          </cell>
        </row>
        <row r="22">
          <cell r="F22">
            <v>14215073.334997656</v>
          </cell>
          <cell r="G22">
            <v>1721821.7960805458</v>
          </cell>
          <cell r="H22">
            <v>1432924.0593301952</v>
          </cell>
          <cell r="I22">
            <v>635000.26810192759</v>
          </cell>
          <cell r="J22">
            <v>524569.98523920169</v>
          </cell>
          <cell r="K22">
            <v>1222509.3240530761</v>
          </cell>
          <cell r="L22">
            <v>905322.44872737047</v>
          </cell>
          <cell r="M22">
            <v>453369.49159021775</v>
          </cell>
          <cell r="N22">
            <v>1248312.2716587051</v>
          </cell>
          <cell r="O22">
            <v>391635.01245594124</v>
          </cell>
          <cell r="P22">
            <v>532470.23017120291</v>
          </cell>
          <cell r="Q22">
            <v>506465.41983722639</v>
          </cell>
          <cell r="R22">
            <v>632888.87831365736</v>
          </cell>
          <cell r="S22">
            <v>1094437.7695401374</v>
          </cell>
          <cell r="T22">
            <v>160093.35892943828</v>
          </cell>
          <cell r="U22">
            <v>298174.78426030953</v>
          </cell>
          <cell r="V22">
            <v>649531.37088411534</v>
          </cell>
          <cell r="W22">
            <v>382101.07658574509</v>
          </cell>
          <cell r="Z22">
            <v>12791627.545759011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12791627.545759011</v>
          </cell>
          <cell r="AJ22">
            <v>195361.04034084297</v>
          </cell>
          <cell r="AK22">
            <v>80423.141487801127</v>
          </cell>
          <cell r="AL22">
            <v>100800.4645</v>
          </cell>
          <cell r="AN22">
            <v>376584.64632864413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828709.73399999994</v>
          </cell>
          <cell r="BF22">
            <v>0</v>
          </cell>
          <cell r="BG22">
            <v>218151.40891</v>
          </cell>
          <cell r="BH22">
            <v>0</v>
          </cell>
          <cell r="BJ22">
            <v>1046861.1429099999</v>
          </cell>
        </row>
        <row r="23">
          <cell r="F23">
            <v>1622366.7519976576</v>
          </cell>
          <cell r="G23">
            <v>133964.66950328913</v>
          </cell>
          <cell r="H23">
            <v>107724.16252118896</v>
          </cell>
          <cell r="I23">
            <v>45988.542767653867</v>
          </cell>
          <cell r="J23">
            <v>38470.034928519344</v>
          </cell>
          <cell r="K23">
            <v>146245.65978038358</v>
          </cell>
          <cell r="L23">
            <v>112493.69746536802</v>
          </cell>
          <cell r="M23">
            <v>53208.194619788315</v>
          </cell>
          <cell r="N23">
            <v>149278.09964317898</v>
          </cell>
          <cell r="O23">
            <v>47482.752728914966</v>
          </cell>
          <cell r="P23">
            <v>67101.122407861098</v>
          </cell>
          <cell r="Q23">
            <v>62703.016474963733</v>
          </cell>
          <cell r="R23">
            <v>80209.941283186301</v>
          </cell>
          <cell r="S23">
            <v>84365.037952229643</v>
          </cell>
          <cell r="T23">
            <v>11494.817542134686</v>
          </cell>
          <cell r="U23">
            <v>22400.016009449806</v>
          </cell>
          <cell r="V23">
            <v>52266.857562277837</v>
          </cell>
          <cell r="W23">
            <v>30385.482478625192</v>
          </cell>
          <cell r="Z23">
            <v>1245782.1056690135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1245782.1056690135</v>
          </cell>
          <cell r="AJ23">
            <v>195361.04034084297</v>
          </cell>
          <cell r="AK23">
            <v>80423.141487801127</v>
          </cell>
          <cell r="AL23">
            <v>100800.4645</v>
          </cell>
          <cell r="AN23">
            <v>376584.64632864413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4778040.7519999994</v>
          </cell>
          <cell r="G24">
            <v>658304.13060158468</v>
          </cell>
          <cell r="H24">
            <v>551065.3405775273</v>
          </cell>
          <cell r="I24">
            <v>252543.31877810523</v>
          </cell>
          <cell r="J24">
            <v>204112.82455105579</v>
          </cell>
          <cell r="K24">
            <v>451104.50853611768</v>
          </cell>
          <cell r="L24">
            <v>317314.98224430479</v>
          </cell>
          <cell r="M24">
            <v>170291.77837460279</v>
          </cell>
          <cell r="N24">
            <v>459039.65781787119</v>
          </cell>
          <cell r="O24">
            <v>147800.88793667522</v>
          </cell>
          <cell r="P24">
            <v>188115.41936516968</v>
          </cell>
          <cell r="Q24">
            <v>180721.56369936021</v>
          </cell>
          <cell r="R24">
            <v>216719.38900894945</v>
          </cell>
          <cell r="S24">
            <v>418668.14207558823</v>
          </cell>
          <cell r="T24">
            <v>65006.029780616816</v>
          </cell>
          <cell r="U24">
            <v>112909.8889201525</v>
          </cell>
          <cell r="V24">
            <v>242768.04047712425</v>
          </cell>
          <cell r="W24">
            <v>141554.84925519416</v>
          </cell>
          <cell r="Z24">
            <v>4778040.7519999994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4778040.7519999994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7814665.8309999984</v>
          </cell>
          <cell r="G25">
            <v>929552.99597567192</v>
          </cell>
          <cell r="H25">
            <v>774134.55623147893</v>
          </cell>
          <cell r="I25">
            <v>336468.40655616851</v>
          </cell>
          <cell r="J25">
            <v>281987.12575962651</v>
          </cell>
          <cell r="K25">
            <v>625159.15573657502</v>
          </cell>
          <cell r="L25">
            <v>475513.76901769772</v>
          </cell>
          <cell r="M25">
            <v>229869.51859582664</v>
          </cell>
          <cell r="N25">
            <v>639994.51419765502</v>
          </cell>
          <cell r="O25">
            <v>196351.37179035106</v>
          </cell>
          <cell r="P25">
            <v>277253.68839817215</v>
          </cell>
          <cell r="Q25">
            <v>263040.83966290246</v>
          </cell>
          <cell r="R25">
            <v>335959.54802152165</v>
          </cell>
          <cell r="S25">
            <v>591404.58951231954</v>
          </cell>
          <cell r="T25">
            <v>83592.511606686778</v>
          </cell>
          <cell r="U25">
            <v>162864.87933070719</v>
          </cell>
          <cell r="V25">
            <v>354496.47284471325</v>
          </cell>
          <cell r="W25">
            <v>210160.74485192576</v>
          </cell>
          <cell r="Z25">
            <v>6767804.6880899984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6767804.6880899984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828709.73399999994</v>
          </cell>
          <cell r="BF25">
            <v>0</v>
          </cell>
          <cell r="BG25">
            <v>218151.40891</v>
          </cell>
          <cell r="BH25">
            <v>0</v>
          </cell>
          <cell r="BJ25">
            <v>1046861.1429099999</v>
          </cell>
        </row>
        <row r="26">
          <cell r="F26">
            <v>-5006728.695957683</v>
          </cell>
          <cell r="G26">
            <v>-30809.932080547558</v>
          </cell>
          <cell r="H26">
            <v>-1118266.1353201924</v>
          </cell>
          <cell r="I26">
            <v>-934743.89210192696</v>
          </cell>
          <cell r="J26">
            <v>-495488.75823920063</v>
          </cell>
          <cell r="K26">
            <v>398085.50494692381</v>
          </cell>
          <cell r="L26">
            <v>-47116.361727371463</v>
          </cell>
          <cell r="M26">
            <v>-683479.31859021739</v>
          </cell>
          <cell r="N26">
            <v>215438.91034129495</v>
          </cell>
          <cell r="O26">
            <v>-389216.66145594057</v>
          </cell>
          <cell r="P26">
            <v>-189940.76617120253</v>
          </cell>
          <cell r="Q26">
            <v>-464370.31583722646</v>
          </cell>
          <cell r="R26">
            <v>73280.098686341429</v>
          </cell>
          <cell r="S26">
            <v>-398026.46954013663</v>
          </cell>
          <cell r="T26">
            <v>-109802.54392943859</v>
          </cell>
          <cell r="U26">
            <v>544534.77273969003</v>
          </cell>
          <cell r="V26">
            <v>285230.32611588412</v>
          </cell>
          <cell r="W26">
            <v>214845.47441425489</v>
          </cell>
          <cell r="Z26">
            <v>-3129846.0677490123</v>
          </cell>
          <cell r="AA26">
            <v>27839.191000000006</v>
          </cell>
          <cell r="AB26">
            <v>-2060.2819999999997</v>
          </cell>
          <cell r="AC26">
            <v>69034.765000000014</v>
          </cell>
          <cell r="AD26">
            <v>157421.348</v>
          </cell>
          <cell r="AH26">
            <v>252235.022</v>
          </cell>
          <cell r="AI26">
            <v>-2877611.045749031</v>
          </cell>
          <cell r="AJ26">
            <v>64659.28565915674</v>
          </cell>
          <cell r="AK26">
            <v>286151.90453219903</v>
          </cell>
          <cell r="AL26">
            <v>-1063923.7004899997</v>
          </cell>
          <cell r="AN26">
            <v>-713112.51029864512</v>
          </cell>
          <cell r="AO26">
            <v>-53335.9890000179</v>
          </cell>
          <cell r="AP26">
            <v>0</v>
          </cell>
          <cell r="AS26">
            <v>-53335.9890000179</v>
          </cell>
          <cell r="AT26">
            <v>33494.348999999995</v>
          </cell>
          <cell r="AU26">
            <v>8393.1390000000029</v>
          </cell>
          <cell r="AV26">
            <v>497375.84</v>
          </cell>
          <cell r="BA26">
            <v>539263.3280000001</v>
          </cell>
          <cell r="BB26">
            <v>0</v>
          </cell>
          <cell r="BC26">
            <v>-104668.67600000001</v>
          </cell>
          <cell r="BD26">
            <v>0</v>
          </cell>
          <cell r="BE26">
            <v>-828709.73399999994</v>
          </cell>
          <cell r="BF26">
            <v>-252535.12299999996</v>
          </cell>
          <cell r="BG26">
            <v>-759343.18891000003</v>
          </cell>
          <cell r="BH26">
            <v>43324.242999999995</v>
          </cell>
          <cell r="BJ26">
            <v>-1901932.4789100001</v>
          </cell>
        </row>
        <row r="27">
          <cell r="F27">
            <v>-5006728.6959576542</v>
          </cell>
          <cell r="G27">
            <v>-30809.932080543935</v>
          </cell>
          <cell r="H27">
            <v>-1118266.135320195</v>
          </cell>
          <cell r="I27">
            <v>-934743.89210192743</v>
          </cell>
          <cell r="J27">
            <v>-495488.75823920174</v>
          </cell>
          <cell r="K27">
            <v>398085.50494692364</v>
          </cell>
          <cell r="L27">
            <v>-47116.361727370924</v>
          </cell>
          <cell r="M27">
            <v>-683479.3185902175</v>
          </cell>
          <cell r="N27">
            <v>215438.9103412955</v>
          </cell>
          <cell r="O27">
            <v>-389216.66145594127</v>
          </cell>
          <cell r="P27">
            <v>-189940.76617120311</v>
          </cell>
          <cell r="Q27">
            <v>-464370.31583722652</v>
          </cell>
          <cell r="R27">
            <v>73280.098686342797</v>
          </cell>
          <cell r="S27">
            <v>-398026.46954013745</v>
          </cell>
          <cell r="T27">
            <v>-109802.54392943834</v>
          </cell>
          <cell r="U27">
            <v>544534.77273969061</v>
          </cell>
          <cell r="V27">
            <v>285230.32611588429</v>
          </cell>
          <cell r="W27">
            <v>214845.47441425489</v>
          </cell>
          <cell r="Z27">
            <v>-3129846.0677490113</v>
          </cell>
          <cell r="AA27">
            <v>27839.191000000006</v>
          </cell>
          <cell r="AB27">
            <v>-2060.2819999999997</v>
          </cell>
          <cell r="AC27">
            <v>69034.765000000014</v>
          </cell>
          <cell r="AD27">
            <v>157421.348</v>
          </cell>
          <cell r="AH27">
            <v>252235.02200000003</v>
          </cell>
          <cell r="AI27">
            <v>-2877611.0457490114</v>
          </cell>
          <cell r="AJ27">
            <v>64659.285659156922</v>
          </cell>
          <cell r="AK27">
            <v>286151.90453219891</v>
          </cell>
          <cell r="AL27">
            <v>-1063923.70049</v>
          </cell>
          <cell r="AN27">
            <v>-713112.51029864419</v>
          </cell>
          <cell r="AO27">
            <v>-53335.988999999259</v>
          </cell>
          <cell r="AP27">
            <v>0</v>
          </cell>
          <cell r="AS27">
            <v>-53335.988999999259</v>
          </cell>
          <cell r="AT27">
            <v>33494.349000000002</v>
          </cell>
          <cell r="AU27">
            <v>8393.1389999999974</v>
          </cell>
          <cell r="AV27">
            <v>497375.84</v>
          </cell>
          <cell r="BA27">
            <v>539263.32799999998</v>
          </cell>
          <cell r="BB27">
            <v>0</v>
          </cell>
          <cell r="BC27">
            <v>-104668.67599999999</v>
          </cell>
          <cell r="BD27">
            <v>0</v>
          </cell>
          <cell r="BE27">
            <v>-828709.73399999994</v>
          </cell>
          <cell r="BF27">
            <v>-252535.12300000002</v>
          </cell>
          <cell r="BG27">
            <v>-759343.18891000003</v>
          </cell>
          <cell r="BH27">
            <v>43324.242999999995</v>
          </cell>
          <cell r="BJ27">
            <v>-1901932.4789099998</v>
          </cell>
        </row>
        <row r="28">
          <cell r="F28">
            <v>-2.8870999813079834E-8</v>
          </cell>
          <cell r="G28">
            <v>-3.6234268918633461E-9</v>
          </cell>
          <cell r="H28">
            <v>2.5611370801925659E-9</v>
          </cell>
          <cell r="I28">
            <v>0</v>
          </cell>
          <cell r="J28">
            <v>1.1059455573558807E-9</v>
          </cell>
          <cell r="K28">
            <v>0</v>
          </cell>
          <cell r="L28">
            <v>-5.3842086344957352E-10</v>
          </cell>
          <cell r="M28">
            <v>0</v>
          </cell>
          <cell r="N28">
            <v>-5.5297277867794037E-10</v>
          </cell>
          <cell r="O28">
            <v>6.9849193096160889E-10</v>
          </cell>
          <cell r="P28">
            <v>5.8207660913467407E-10</v>
          </cell>
          <cell r="Q28">
            <v>0</v>
          </cell>
          <cell r="R28">
            <v>-1.3678800314664841E-9</v>
          </cell>
          <cell r="S28">
            <v>8.149072527885437E-10</v>
          </cell>
          <cell r="T28">
            <v>-2.4738255888223648E-10</v>
          </cell>
          <cell r="U28">
            <v>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-1.9557774066925049E-8</v>
          </cell>
          <cell r="AJ28">
            <v>-1.8189894035458565E-10</v>
          </cell>
          <cell r="AK28">
            <v>0</v>
          </cell>
          <cell r="AL28">
            <v>0</v>
          </cell>
          <cell r="AN28">
            <v>-9.3132257461547852E-10</v>
          </cell>
          <cell r="AO28">
            <v>-1.8641003407537937E-8</v>
          </cell>
          <cell r="AP28">
            <v>0</v>
          </cell>
          <cell r="AS28">
            <v>-1.8641003407537937E-8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31">
          <cell r="G31">
            <v>261556</v>
          </cell>
          <cell r="H31">
            <v>215504</v>
          </cell>
          <cell r="I31">
            <v>96231</v>
          </cell>
          <cell r="J31">
            <v>79512.320000000007</v>
          </cell>
          <cell r="K31">
            <v>157388</v>
          </cell>
          <cell r="L31">
            <v>130830</v>
          </cell>
          <cell r="M31">
            <v>69304</v>
          </cell>
          <cell r="N31">
            <v>171821.5</v>
          </cell>
          <cell r="O31">
            <v>58463</v>
          </cell>
          <cell r="P31">
            <v>77818</v>
          </cell>
          <cell r="Q31">
            <v>78044.5</v>
          </cell>
          <cell r="R31">
            <v>87180.5</v>
          </cell>
          <cell r="S31">
            <v>164622</v>
          </cell>
          <cell r="T31">
            <v>20327.5</v>
          </cell>
          <cell r="U31">
            <v>40147</v>
          </cell>
          <cell r="V31">
            <v>98830.5</v>
          </cell>
          <cell r="W31">
            <v>45488</v>
          </cell>
          <cell r="Z31">
            <v>1853067.82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1853067.82</v>
          </cell>
          <cell r="AJ31">
            <v>193197</v>
          </cell>
          <cell r="AK31">
            <v>170094</v>
          </cell>
          <cell r="AL31">
            <v>145879</v>
          </cell>
          <cell r="AN31">
            <v>509170</v>
          </cell>
          <cell r="AO31">
            <v>76949.95</v>
          </cell>
          <cell r="AP31">
            <v>0</v>
          </cell>
          <cell r="AS31">
            <v>76949.95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263327491.11699998</v>
          </cell>
          <cell r="G32">
            <v>25108860.620999999</v>
          </cell>
          <cell r="H32">
            <v>20991093.563999999</v>
          </cell>
          <cell r="I32">
            <v>8958612.7430000007</v>
          </cell>
          <cell r="J32">
            <v>7616346.8610000005</v>
          </cell>
          <cell r="K32">
            <v>16921096.32</v>
          </cell>
          <cell r="L32">
            <v>12815898.318</v>
          </cell>
          <cell r="M32">
            <v>6225561.1000000006</v>
          </cell>
          <cell r="N32">
            <v>17097311.25</v>
          </cell>
          <cell r="O32">
            <v>5403460.1469999999</v>
          </cell>
          <cell r="P32">
            <v>7472955.2800000003</v>
          </cell>
          <cell r="Q32">
            <v>6981545.3389999997</v>
          </cell>
          <cell r="R32">
            <v>9029669.3679999989</v>
          </cell>
          <cell r="S32">
            <v>15913053.274</v>
          </cell>
          <cell r="T32">
            <v>2202763.7539999997</v>
          </cell>
          <cell r="U32">
            <v>4413412.1219999995</v>
          </cell>
          <cell r="V32">
            <v>9596665.8870000001</v>
          </cell>
          <cell r="W32">
            <v>5582237.9440000011</v>
          </cell>
          <cell r="Z32">
            <v>182330543.89199999</v>
          </cell>
          <cell r="AA32">
            <v>125000</v>
          </cell>
          <cell r="AB32">
            <v>0</v>
          </cell>
          <cell r="AC32">
            <v>100000</v>
          </cell>
          <cell r="AD32">
            <v>239220</v>
          </cell>
          <cell r="AH32">
            <v>464220</v>
          </cell>
          <cell r="AI32">
            <v>182794763.89199999</v>
          </cell>
          <cell r="AJ32">
            <v>5505808</v>
          </cell>
          <cell r="AK32">
            <v>2358038</v>
          </cell>
          <cell r="AL32">
            <v>2778678.5</v>
          </cell>
          <cell r="AN32">
            <v>10642524.5</v>
          </cell>
          <cell r="AO32">
            <v>69287382.234999985</v>
          </cell>
          <cell r="AP32">
            <v>0</v>
          </cell>
          <cell r="AS32">
            <v>69287382.234999985</v>
          </cell>
          <cell r="AT32">
            <v>45202.399999999994</v>
          </cell>
          <cell r="AU32">
            <v>46800</v>
          </cell>
          <cell r="AV32">
            <v>497375.84</v>
          </cell>
          <cell r="BA32">
            <v>589378.24</v>
          </cell>
          <cell r="BB32">
            <v>0</v>
          </cell>
          <cell r="BC32">
            <v>13442.249999999998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13442.249999999998</v>
          </cell>
        </row>
        <row r="33">
          <cell r="F33">
            <v>246892898.47396001</v>
          </cell>
          <cell r="G33">
            <v>22865792.063000001</v>
          </cell>
          <cell r="H33">
            <v>20111250.563989997</v>
          </cell>
          <cell r="I33">
            <v>8818197.091</v>
          </cell>
          <cell r="J33">
            <v>7278070.1419999991</v>
          </cell>
          <cell r="K33">
            <v>14861939.271</v>
          </cell>
          <cell r="L33">
            <v>11507103.373000002</v>
          </cell>
          <cell r="M33">
            <v>6160861.9680000003</v>
          </cell>
          <cell r="N33">
            <v>15260194.543</v>
          </cell>
          <cell r="O33">
            <v>5155065.1419999991</v>
          </cell>
          <cell r="P33">
            <v>6887265.409</v>
          </cell>
          <cell r="Q33">
            <v>6695178.2879999997</v>
          </cell>
          <cell r="R33">
            <v>8095214.0959999999</v>
          </cell>
          <cell r="S33">
            <v>14820613.125</v>
          </cell>
          <cell r="T33">
            <v>2057791.193</v>
          </cell>
          <cell r="U33">
            <v>3469815.3</v>
          </cell>
          <cell r="V33">
            <v>8406146.1100000013</v>
          </cell>
          <cell r="W33">
            <v>4853542.6340000005</v>
          </cell>
          <cell r="Z33">
            <v>167304040.31198999</v>
          </cell>
          <cell r="AA33">
            <v>22845.426999999996</v>
          </cell>
          <cell r="AB33">
            <v>0</v>
          </cell>
          <cell r="AC33">
            <v>30965.234999999997</v>
          </cell>
          <cell r="AD33">
            <v>81798.652000000002</v>
          </cell>
          <cell r="AH33">
            <v>135609.31400000001</v>
          </cell>
          <cell r="AI33">
            <v>167439649.62599</v>
          </cell>
          <cell r="AJ33">
            <v>5245787.6740000006</v>
          </cell>
          <cell r="AK33">
            <v>1991462.95398</v>
          </cell>
          <cell r="AL33">
            <v>3741801.73599</v>
          </cell>
          <cell r="AN33">
            <v>10979052.36397</v>
          </cell>
          <cell r="AO33">
            <v>68164600.935000002</v>
          </cell>
          <cell r="AP33">
            <v>0</v>
          </cell>
          <cell r="AS33">
            <v>68164600.935000002</v>
          </cell>
          <cell r="AT33">
            <v>11708.050999999999</v>
          </cell>
          <cell r="AU33">
            <v>38406.860999999997</v>
          </cell>
          <cell r="AV33">
            <v>0</v>
          </cell>
          <cell r="BA33">
            <v>50114.911999999997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302804.88</v>
          </cell>
          <cell r="BH33">
            <v>-43324.242999999995</v>
          </cell>
          <cell r="BJ33">
            <v>259480.63700000002</v>
          </cell>
        </row>
        <row r="34">
          <cell r="F34">
            <v>16434592.643039972</v>
          </cell>
          <cell r="G34">
            <v>2243068.5579999983</v>
          </cell>
          <cell r="H34">
            <v>879843.0000100024</v>
          </cell>
          <cell r="I34">
            <v>140415.6520000007</v>
          </cell>
          <cell r="J34">
            <v>338276.71900000144</v>
          </cell>
          <cell r="K34">
            <v>2059157.0490000006</v>
          </cell>
          <cell r="L34">
            <v>1308794.9449999984</v>
          </cell>
          <cell r="M34">
            <v>64699.132000000216</v>
          </cell>
          <cell r="N34">
            <v>1837116.7070000004</v>
          </cell>
          <cell r="O34">
            <v>248395.00500000082</v>
          </cell>
          <cell r="P34">
            <v>585689.87100000028</v>
          </cell>
          <cell r="Q34">
            <v>286367.05099999998</v>
          </cell>
          <cell r="R34">
            <v>934455.27199999895</v>
          </cell>
          <cell r="S34">
            <v>1092440.1490000002</v>
          </cell>
          <cell r="T34">
            <v>144972.56099999975</v>
          </cell>
          <cell r="U34">
            <v>943596.82199999969</v>
          </cell>
          <cell r="V34">
            <v>1190519.7769999988</v>
          </cell>
          <cell r="W34">
            <v>728695.31000000052</v>
          </cell>
          <cell r="Z34">
            <v>15026503.580009997</v>
          </cell>
          <cell r="AA34">
            <v>102154.573</v>
          </cell>
          <cell r="AB34">
            <v>0</v>
          </cell>
          <cell r="AC34">
            <v>69034.764999999999</v>
          </cell>
          <cell r="AD34">
            <v>157421.348</v>
          </cell>
          <cell r="AH34">
            <v>328610.68599999999</v>
          </cell>
          <cell r="AI34">
            <v>15355114.266009986</v>
          </cell>
          <cell r="AJ34">
            <v>260020.32599999942</v>
          </cell>
          <cell r="AK34">
            <v>366575.04602000001</v>
          </cell>
          <cell r="AL34">
            <v>-963123.23598999996</v>
          </cell>
          <cell r="AN34">
            <v>-336527.8639700003</v>
          </cell>
          <cell r="AO34">
            <v>1122781.2999999821</v>
          </cell>
          <cell r="AP34">
            <v>0</v>
          </cell>
          <cell r="AS34">
            <v>1122781.2999999821</v>
          </cell>
          <cell r="AT34">
            <v>33494.348999999995</v>
          </cell>
          <cell r="AU34">
            <v>8393.1390000000029</v>
          </cell>
          <cell r="AV34">
            <v>497375.84</v>
          </cell>
          <cell r="BA34">
            <v>539263.32799999998</v>
          </cell>
          <cell r="BB34">
            <v>0</v>
          </cell>
          <cell r="BC34">
            <v>13442.249999999998</v>
          </cell>
          <cell r="BD34">
            <v>0</v>
          </cell>
          <cell r="BE34">
            <v>0</v>
          </cell>
          <cell r="BF34">
            <v>0</v>
          </cell>
          <cell r="BG34">
            <v>-302804.88</v>
          </cell>
          <cell r="BH34">
            <v>43324.242999999995</v>
          </cell>
          <cell r="BJ34">
            <v>-246038.38700000002</v>
          </cell>
        </row>
        <row r="35">
          <cell r="F35">
            <v>21441321.338997662</v>
          </cell>
          <cell r="G35">
            <v>2273878.4900805457</v>
          </cell>
          <cell r="H35">
            <v>1998109.1353301951</v>
          </cell>
          <cell r="I35">
            <v>1075159.5441019274</v>
          </cell>
          <cell r="J35">
            <v>833765.47723920166</v>
          </cell>
          <cell r="K35">
            <v>1661071.5440530761</v>
          </cell>
          <cell r="L35">
            <v>1355911.3067273705</v>
          </cell>
          <cell r="M35">
            <v>748178.4505902176</v>
          </cell>
          <cell r="N35">
            <v>1621677.796658705</v>
          </cell>
          <cell r="O35">
            <v>637611.66645594127</v>
          </cell>
          <cell r="P35">
            <v>775630.63717120292</v>
          </cell>
          <cell r="Q35">
            <v>750737.36683722644</v>
          </cell>
          <cell r="R35">
            <v>861175.17331365729</v>
          </cell>
          <cell r="S35">
            <v>1490466.6185401373</v>
          </cell>
          <cell r="T35">
            <v>254775.10492943827</v>
          </cell>
          <cell r="U35">
            <v>399062.04926030949</v>
          </cell>
          <cell r="V35">
            <v>905289.45088411542</v>
          </cell>
          <cell r="W35">
            <v>513849.83558574517</v>
          </cell>
          <cell r="Z35">
            <v>18156349.647759017</v>
          </cell>
          <cell r="AA35">
            <v>74315.381999999998</v>
          </cell>
          <cell r="AB35">
            <v>2060.2819999999997</v>
          </cell>
          <cell r="AC35">
            <v>0</v>
          </cell>
          <cell r="AD35">
            <v>0</v>
          </cell>
          <cell r="AH35">
            <v>76375.664000000004</v>
          </cell>
          <cell r="AI35">
            <v>18232725.311759017</v>
          </cell>
          <cell r="AJ35">
            <v>195361.04034084297</v>
          </cell>
          <cell r="AK35">
            <v>80423.141487801127</v>
          </cell>
          <cell r="AL35">
            <v>100800.4645</v>
          </cell>
          <cell r="AN35">
            <v>376584.64632864413</v>
          </cell>
          <cell r="AO35">
            <v>1176117.2890000001</v>
          </cell>
          <cell r="AP35">
            <v>0</v>
          </cell>
          <cell r="AS35">
            <v>1176117.2890000001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118110.92600000001</v>
          </cell>
          <cell r="BD35">
            <v>0</v>
          </cell>
          <cell r="BE35">
            <v>828709.73399999994</v>
          </cell>
          <cell r="BF35">
            <v>252535.12299999996</v>
          </cell>
          <cell r="BG35">
            <v>456538.30891000002</v>
          </cell>
          <cell r="BH35">
            <v>0</v>
          </cell>
          <cell r="BJ35">
            <v>1655894.09191</v>
          </cell>
        </row>
        <row r="36">
          <cell r="F36">
            <v>-5006728.6959576905</v>
          </cell>
          <cell r="G36">
            <v>-30809.932080547325</v>
          </cell>
          <cell r="H36">
            <v>-1118266.1353201927</v>
          </cell>
          <cell r="I36">
            <v>-934743.89210192673</v>
          </cell>
          <cell r="J36">
            <v>-495488.75823920022</v>
          </cell>
          <cell r="K36">
            <v>398085.50494692451</v>
          </cell>
          <cell r="L36">
            <v>-47116.361727372045</v>
          </cell>
          <cell r="M36">
            <v>-683479.31859021739</v>
          </cell>
          <cell r="N36">
            <v>215438.91034129541</v>
          </cell>
          <cell r="O36">
            <v>-389216.66145594046</v>
          </cell>
          <cell r="P36">
            <v>-189940.76617120265</v>
          </cell>
          <cell r="Q36">
            <v>-464370.31583722646</v>
          </cell>
          <cell r="R36">
            <v>73280.098686341662</v>
          </cell>
          <cell r="S36">
            <v>-398026.4695401371</v>
          </cell>
          <cell r="T36">
            <v>-109802.54392943851</v>
          </cell>
          <cell r="U36">
            <v>544534.77273969026</v>
          </cell>
          <cell r="V36">
            <v>285230.32611588342</v>
          </cell>
          <cell r="W36">
            <v>214845.47441425535</v>
          </cell>
          <cell r="Z36">
            <v>-3129846.0677490197</v>
          </cell>
          <cell r="AA36">
            <v>27839.191000000006</v>
          </cell>
          <cell r="AB36">
            <v>-2060.2819999999997</v>
          </cell>
          <cell r="AC36">
            <v>69034.764999999999</v>
          </cell>
          <cell r="AD36">
            <v>157421.348</v>
          </cell>
          <cell r="AH36">
            <v>252235.022</v>
          </cell>
          <cell r="AI36">
            <v>-2877611.045749031</v>
          </cell>
          <cell r="AJ36">
            <v>64659.285659156449</v>
          </cell>
          <cell r="AK36">
            <v>286151.90453219891</v>
          </cell>
          <cell r="AL36">
            <v>-1063923.70049</v>
          </cell>
          <cell r="AN36">
            <v>-713112.51029864443</v>
          </cell>
          <cell r="AO36">
            <v>-53335.989000017988</v>
          </cell>
          <cell r="AP36">
            <v>0</v>
          </cell>
          <cell r="AS36">
            <v>-53335.989000017988</v>
          </cell>
          <cell r="AT36">
            <v>33494.348999999995</v>
          </cell>
          <cell r="AU36">
            <v>8393.1390000000029</v>
          </cell>
          <cell r="AV36">
            <v>497375.84</v>
          </cell>
          <cell r="BA36">
            <v>539263.32799999998</v>
          </cell>
          <cell r="BB36">
            <v>0</v>
          </cell>
          <cell r="BC36">
            <v>-104668.67600000001</v>
          </cell>
          <cell r="BD36">
            <v>0</v>
          </cell>
          <cell r="BE36">
            <v>-828709.73399999994</v>
          </cell>
          <cell r="BF36">
            <v>-252535.12299999996</v>
          </cell>
          <cell r="BG36">
            <v>-759343.18891000003</v>
          </cell>
          <cell r="BH36">
            <v>43324.242999999995</v>
          </cell>
          <cell r="BJ36">
            <v>-1901932.4789100001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H38">
            <v>0</v>
          </cell>
          <cell r="AI38">
            <v>0</v>
          </cell>
          <cell r="AJ38">
            <v>-49953</v>
          </cell>
          <cell r="AK38">
            <v>-42052</v>
          </cell>
          <cell r="AL38">
            <v>-70709</v>
          </cell>
          <cell r="AN38">
            <v>-162714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J38">
            <v>0</v>
          </cell>
        </row>
        <row r="39">
          <cell r="F39">
            <v>-3507627.5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H39">
            <v>0</v>
          </cell>
          <cell r="AI39">
            <v>0</v>
          </cell>
          <cell r="AJ39">
            <v>-1452072</v>
          </cell>
          <cell r="AK39">
            <v>-683888</v>
          </cell>
          <cell r="AL39">
            <v>-1371667.5</v>
          </cell>
          <cell r="AN39">
            <v>-3507627.5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J39">
            <v>0</v>
          </cell>
        </row>
        <row r="40">
          <cell r="F40">
            <v>-3507627.5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244063.48199999999</v>
          </cell>
          <cell r="L40">
            <v>-75252.482999999993</v>
          </cell>
          <cell r="M40">
            <v>-4508.78</v>
          </cell>
          <cell r="N40">
            <v>-1951.2190000000005</v>
          </cell>
          <cell r="O40">
            <v>0</v>
          </cell>
          <cell r="P40">
            <v>1117.8920000000001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Z40">
            <v>163468.89199999999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H40">
            <v>0</v>
          </cell>
          <cell r="AI40">
            <v>163468.89199999999</v>
          </cell>
          <cell r="AJ40">
            <v>-1375812.1229999999</v>
          </cell>
          <cell r="AK40">
            <v>-544979.40300000005</v>
          </cell>
          <cell r="AL40">
            <v>-1750304.8659999999</v>
          </cell>
          <cell r="AN40">
            <v>-3671096.392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-244063.48199999999</v>
          </cell>
          <cell r="L41">
            <v>75252.482999999993</v>
          </cell>
          <cell r="M41">
            <v>4508.78</v>
          </cell>
          <cell r="N41">
            <v>1951.2190000000005</v>
          </cell>
          <cell r="O41">
            <v>0</v>
          </cell>
          <cell r="P41">
            <v>-1117.8920000000001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Z41">
            <v>-163468.89199999999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-163468.89199999999</v>
          </cell>
          <cell r="AJ41">
            <v>-76259.877000000095</v>
          </cell>
          <cell r="AK41">
            <v>-138908.59699999995</v>
          </cell>
          <cell r="AL41">
            <v>378637.36599999992</v>
          </cell>
          <cell r="AN41">
            <v>163468.89199999999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-244063.48199999999</v>
          </cell>
          <cell r="L43">
            <v>75252.482999999993</v>
          </cell>
          <cell r="M43">
            <v>4508.78</v>
          </cell>
          <cell r="N43">
            <v>1951.2190000000005</v>
          </cell>
          <cell r="O43">
            <v>0</v>
          </cell>
          <cell r="P43">
            <v>-1117.8920000000001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Z43">
            <v>-163468.89199999999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-163468.89199999999</v>
          </cell>
          <cell r="AJ43">
            <v>-76259.877000000095</v>
          </cell>
          <cell r="AK43">
            <v>-138908.59699999995</v>
          </cell>
          <cell r="AL43">
            <v>378637.36599999992</v>
          </cell>
          <cell r="AN43">
            <v>163468.89199999999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261556</v>
          </cell>
          <cell r="H45">
            <v>215504</v>
          </cell>
          <cell r="I45">
            <v>96231</v>
          </cell>
          <cell r="J45">
            <v>79512.320000000007</v>
          </cell>
          <cell r="K45">
            <v>157388</v>
          </cell>
          <cell r="L45">
            <v>130830</v>
          </cell>
          <cell r="M45">
            <v>69304</v>
          </cell>
          <cell r="N45">
            <v>171821.5</v>
          </cell>
          <cell r="O45">
            <v>58463</v>
          </cell>
          <cell r="P45">
            <v>77818</v>
          </cell>
          <cell r="Q45">
            <v>78044.5</v>
          </cell>
          <cell r="R45">
            <v>87180.5</v>
          </cell>
          <cell r="S45">
            <v>164622</v>
          </cell>
          <cell r="T45">
            <v>20327.5</v>
          </cell>
          <cell r="U45">
            <v>40147</v>
          </cell>
          <cell r="V45">
            <v>98830.5</v>
          </cell>
          <cell r="W45">
            <v>45488</v>
          </cell>
          <cell r="Z45">
            <v>1853067.82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1853067.82</v>
          </cell>
          <cell r="AJ45">
            <v>143244</v>
          </cell>
          <cell r="AK45">
            <v>128042</v>
          </cell>
          <cell r="AL45">
            <v>75170</v>
          </cell>
          <cell r="AN45">
            <v>346456</v>
          </cell>
          <cell r="AO45">
            <v>76949.95</v>
          </cell>
          <cell r="AP45">
            <v>0</v>
          </cell>
          <cell r="AS45">
            <v>76949.95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259819863.61699998</v>
          </cell>
          <cell r="G46">
            <v>25108860.620999999</v>
          </cell>
          <cell r="H46">
            <v>20991093.563999999</v>
          </cell>
          <cell r="I46">
            <v>8958612.7430000007</v>
          </cell>
          <cell r="J46">
            <v>7616346.8610000005</v>
          </cell>
          <cell r="K46">
            <v>16921096.32</v>
          </cell>
          <cell r="L46">
            <v>12815898.318</v>
          </cell>
          <cell r="M46">
            <v>6225561.1000000006</v>
          </cell>
          <cell r="N46">
            <v>17097311.25</v>
          </cell>
          <cell r="O46">
            <v>5403460.1469999999</v>
          </cell>
          <cell r="P46">
            <v>7472955.2800000003</v>
          </cell>
          <cell r="Q46">
            <v>6981545.3389999997</v>
          </cell>
          <cell r="R46">
            <v>9029669.3679999989</v>
          </cell>
          <cell r="S46">
            <v>15913053.274</v>
          </cell>
          <cell r="T46">
            <v>2202763.7539999997</v>
          </cell>
          <cell r="U46">
            <v>4413412.1219999995</v>
          </cell>
          <cell r="V46">
            <v>9596665.8870000001</v>
          </cell>
          <cell r="W46">
            <v>5582237.9440000011</v>
          </cell>
          <cell r="Z46">
            <v>182330543.89199999</v>
          </cell>
          <cell r="AA46">
            <v>125000</v>
          </cell>
          <cell r="AB46">
            <v>0</v>
          </cell>
          <cell r="AC46">
            <v>100000</v>
          </cell>
          <cell r="AD46">
            <v>239220</v>
          </cell>
          <cell r="AH46">
            <v>464220</v>
          </cell>
          <cell r="AI46">
            <v>182794763.89199999</v>
          </cell>
          <cell r="AJ46">
            <v>4053736</v>
          </cell>
          <cell r="AK46">
            <v>1674150</v>
          </cell>
          <cell r="AL46">
            <v>1407011</v>
          </cell>
          <cell r="AN46">
            <v>7134897</v>
          </cell>
          <cell r="AO46">
            <v>69287382.234999985</v>
          </cell>
          <cell r="AP46">
            <v>0</v>
          </cell>
          <cell r="AS46">
            <v>69287382.234999985</v>
          </cell>
          <cell r="AT46">
            <v>45202.399999999994</v>
          </cell>
          <cell r="AU46">
            <v>46800</v>
          </cell>
          <cell r="AV46">
            <v>497375.84</v>
          </cell>
          <cell r="BA46">
            <v>589378.24</v>
          </cell>
          <cell r="BB46">
            <v>0</v>
          </cell>
          <cell r="BC46">
            <v>13442.249999999998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13442.249999999998</v>
          </cell>
        </row>
        <row r="47">
          <cell r="F47">
            <v>243385270.97396001</v>
          </cell>
          <cell r="G47">
            <v>22865792.063000001</v>
          </cell>
          <cell r="H47">
            <v>20111250.563989997</v>
          </cell>
          <cell r="I47">
            <v>8818197.091</v>
          </cell>
          <cell r="J47">
            <v>7278070.1419999991</v>
          </cell>
          <cell r="K47">
            <v>15106002.753</v>
          </cell>
          <cell r="L47">
            <v>11431850.890000002</v>
          </cell>
          <cell r="M47">
            <v>6156353.1880000001</v>
          </cell>
          <cell r="N47">
            <v>15258243.323999999</v>
          </cell>
          <cell r="O47">
            <v>5155065.1419999991</v>
          </cell>
          <cell r="P47">
            <v>6888383.301</v>
          </cell>
          <cell r="Q47">
            <v>6695178.2879999997</v>
          </cell>
          <cell r="R47">
            <v>8095214.0959999999</v>
          </cell>
          <cell r="S47">
            <v>14820613.125</v>
          </cell>
          <cell r="T47">
            <v>2057791.193</v>
          </cell>
          <cell r="U47">
            <v>3469815.3</v>
          </cell>
          <cell r="V47">
            <v>8406146.1100000013</v>
          </cell>
          <cell r="W47">
            <v>4853542.6340000005</v>
          </cell>
          <cell r="Z47">
            <v>167467509.20399001</v>
          </cell>
          <cell r="AA47">
            <v>22845.426999999996</v>
          </cell>
          <cell r="AB47">
            <v>0</v>
          </cell>
          <cell r="AC47">
            <v>30965.234999999997</v>
          </cell>
          <cell r="AD47">
            <v>81798.652000000002</v>
          </cell>
          <cell r="AH47">
            <v>135609.31400000001</v>
          </cell>
          <cell r="AI47">
            <v>167603118.51799002</v>
          </cell>
          <cell r="AJ47">
            <v>3869975.5510000009</v>
          </cell>
          <cell r="AK47">
            <v>1446483.5509799998</v>
          </cell>
          <cell r="AL47">
            <v>1991496.86999</v>
          </cell>
          <cell r="AN47">
            <v>7307955.9719700012</v>
          </cell>
          <cell r="AO47">
            <v>68164600.935000002</v>
          </cell>
          <cell r="AP47">
            <v>0</v>
          </cell>
          <cell r="AS47">
            <v>68164600.935000002</v>
          </cell>
          <cell r="AT47">
            <v>11708.050999999999</v>
          </cell>
          <cell r="AU47">
            <v>38406.860999999997</v>
          </cell>
          <cell r="AV47">
            <v>0</v>
          </cell>
          <cell r="BA47">
            <v>50114.911999999997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302804.88</v>
          </cell>
          <cell r="BH47">
            <v>-43324.242999999995</v>
          </cell>
          <cell r="BJ47">
            <v>259480.63700000002</v>
          </cell>
        </row>
        <row r="48">
          <cell r="F48">
            <v>16434592.643039972</v>
          </cell>
          <cell r="G48">
            <v>2243068.5579999983</v>
          </cell>
          <cell r="H48">
            <v>879843.0000100024</v>
          </cell>
          <cell r="I48">
            <v>140415.6520000007</v>
          </cell>
          <cell r="J48">
            <v>338276.71900000144</v>
          </cell>
          <cell r="K48">
            <v>1815093.5669999998</v>
          </cell>
          <cell r="L48">
            <v>1384047.4279999975</v>
          </cell>
          <cell r="M48">
            <v>69207.912000000477</v>
          </cell>
          <cell r="N48">
            <v>1839067.9260000009</v>
          </cell>
          <cell r="O48">
            <v>248395.00500000082</v>
          </cell>
          <cell r="P48">
            <v>584571.97900000028</v>
          </cell>
          <cell r="Q48">
            <v>286367.05099999998</v>
          </cell>
          <cell r="R48">
            <v>934455.27199999895</v>
          </cell>
          <cell r="S48">
            <v>1092440.1490000002</v>
          </cell>
          <cell r="T48">
            <v>144972.56099999975</v>
          </cell>
          <cell r="U48">
            <v>943596.82199999969</v>
          </cell>
          <cell r="V48">
            <v>1190519.7769999988</v>
          </cell>
          <cell r="W48">
            <v>728695.31000000052</v>
          </cell>
          <cell r="Z48">
            <v>14863034.688009977</v>
          </cell>
          <cell r="AA48">
            <v>102154.573</v>
          </cell>
          <cell r="AB48">
            <v>0</v>
          </cell>
          <cell r="AC48">
            <v>69034.764999999999</v>
          </cell>
          <cell r="AD48">
            <v>157421.348</v>
          </cell>
          <cell r="AH48">
            <v>328610.68599999999</v>
          </cell>
          <cell r="AI48">
            <v>15191645.374009967</v>
          </cell>
          <cell r="AJ48">
            <v>183760.44899999909</v>
          </cell>
          <cell r="AK48">
            <v>227666.44902000017</v>
          </cell>
          <cell r="AL48">
            <v>-584485.86999000004</v>
          </cell>
          <cell r="AN48">
            <v>-173058.97197000124</v>
          </cell>
          <cell r="AO48">
            <v>1122781.2999999821</v>
          </cell>
          <cell r="AP48">
            <v>0</v>
          </cell>
          <cell r="AS48">
            <v>1122781.2999999821</v>
          </cell>
          <cell r="AT48">
            <v>33494.348999999995</v>
          </cell>
          <cell r="AU48">
            <v>8393.1390000000029</v>
          </cell>
          <cell r="AV48">
            <v>497375.84</v>
          </cell>
          <cell r="BA48">
            <v>539263.32799999998</v>
          </cell>
          <cell r="BB48">
            <v>0</v>
          </cell>
          <cell r="BC48">
            <v>13442.249999999998</v>
          </cell>
          <cell r="BD48">
            <v>0</v>
          </cell>
          <cell r="BE48">
            <v>0</v>
          </cell>
          <cell r="BF48">
            <v>0</v>
          </cell>
          <cell r="BG48">
            <v>-302804.88</v>
          </cell>
          <cell r="BH48">
            <v>43324.242999999995</v>
          </cell>
          <cell r="BJ48">
            <v>-246038.38700000002</v>
          </cell>
        </row>
        <row r="49">
          <cell r="F49">
            <v>21441321.338997662</v>
          </cell>
          <cell r="G49">
            <v>2273878.4900805457</v>
          </cell>
          <cell r="H49">
            <v>1998109.1353301951</v>
          </cell>
          <cell r="I49">
            <v>1075159.5441019274</v>
          </cell>
          <cell r="J49">
            <v>833765.47723920166</v>
          </cell>
          <cell r="K49">
            <v>1661071.5440530761</v>
          </cell>
          <cell r="L49">
            <v>1355911.3067273705</v>
          </cell>
          <cell r="M49">
            <v>748178.4505902176</v>
          </cell>
          <cell r="N49">
            <v>1621677.796658705</v>
          </cell>
          <cell r="O49">
            <v>637611.66645594127</v>
          </cell>
          <cell r="P49">
            <v>775630.63717120292</v>
          </cell>
          <cell r="Q49">
            <v>750737.36683722644</v>
          </cell>
          <cell r="R49">
            <v>861175.17331365729</v>
          </cell>
          <cell r="S49">
            <v>1490466.6185401373</v>
          </cell>
          <cell r="T49">
            <v>254775.10492943827</v>
          </cell>
          <cell r="U49">
            <v>399062.04926030949</v>
          </cell>
          <cell r="V49">
            <v>905289.45088411542</v>
          </cell>
          <cell r="W49">
            <v>513849.83558574517</v>
          </cell>
          <cell r="Z49">
            <v>18156349.647759017</v>
          </cell>
          <cell r="AA49">
            <v>74315.381999999998</v>
          </cell>
          <cell r="AB49">
            <v>2060.2819999999997</v>
          </cell>
          <cell r="AC49">
            <v>0</v>
          </cell>
          <cell r="AD49">
            <v>0</v>
          </cell>
          <cell r="AH49">
            <v>76375.664000000004</v>
          </cell>
          <cell r="AI49">
            <v>18232725.311759017</v>
          </cell>
          <cell r="AJ49">
            <v>195361.04034084297</v>
          </cell>
          <cell r="AK49">
            <v>80423.141487801127</v>
          </cell>
          <cell r="AL49">
            <v>100800.4645</v>
          </cell>
          <cell r="AN49">
            <v>376584.64632864413</v>
          </cell>
          <cell r="AO49">
            <v>1176117.2890000001</v>
          </cell>
          <cell r="AP49">
            <v>0</v>
          </cell>
          <cell r="AS49">
            <v>1176117.2890000001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118110.92600000001</v>
          </cell>
          <cell r="BD49">
            <v>0</v>
          </cell>
          <cell r="BE49">
            <v>828709.73399999994</v>
          </cell>
          <cell r="BF49">
            <v>252535.12299999996</v>
          </cell>
          <cell r="BG49">
            <v>456538.30891000002</v>
          </cell>
          <cell r="BH49">
            <v>0</v>
          </cell>
          <cell r="BJ49">
            <v>1655894.09191</v>
          </cell>
        </row>
        <row r="50">
          <cell r="F50">
            <v>-5006728.6959576905</v>
          </cell>
          <cell r="G50">
            <v>-30809.932080547325</v>
          </cell>
          <cell r="H50">
            <v>-1118266.1353201927</v>
          </cell>
          <cell r="I50">
            <v>-934743.89210192673</v>
          </cell>
          <cell r="J50">
            <v>-495488.75823920022</v>
          </cell>
          <cell r="K50">
            <v>154022.02294692374</v>
          </cell>
          <cell r="L50">
            <v>28136.121272627031</v>
          </cell>
          <cell r="M50">
            <v>-678970.53859021713</v>
          </cell>
          <cell r="N50">
            <v>217390.12934129592</v>
          </cell>
          <cell r="O50">
            <v>-389216.66145594046</v>
          </cell>
          <cell r="P50">
            <v>-191058.65817120264</v>
          </cell>
          <cell r="Q50">
            <v>-464370.31583722646</v>
          </cell>
          <cell r="R50">
            <v>73280.098686341662</v>
          </cell>
          <cell r="S50">
            <v>-398026.4695401371</v>
          </cell>
          <cell r="T50">
            <v>-109802.54392943851</v>
          </cell>
          <cell r="U50">
            <v>544534.77273969026</v>
          </cell>
          <cell r="V50">
            <v>285230.32611588342</v>
          </cell>
          <cell r="W50">
            <v>214845.47441425535</v>
          </cell>
          <cell r="Z50">
            <v>-3293314.9597490393</v>
          </cell>
          <cell r="AA50">
            <v>27839.191000000006</v>
          </cell>
          <cell r="AB50">
            <v>-2060.2819999999997</v>
          </cell>
          <cell r="AC50">
            <v>69034.764999999999</v>
          </cell>
          <cell r="AD50">
            <v>157421.348</v>
          </cell>
          <cell r="AH50">
            <v>252235.022</v>
          </cell>
          <cell r="AI50">
            <v>-3041079.9377490506</v>
          </cell>
          <cell r="AJ50">
            <v>-11600.591340843879</v>
          </cell>
          <cell r="AK50">
            <v>147243.30753219905</v>
          </cell>
          <cell r="AL50">
            <v>-685286.33449000004</v>
          </cell>
          <cell r="AN50">
            <v>-549643.61829864536</v>
          </cell>
          <cell r="AO50">
            <v>-53335.989000017988</v>
          </cell>
          <cell r="AP50">
            <v>0</v>
          </cell>
          <cell r="AS50">
            <v>-53335.989000017988</v>
          </cell>
          <cell r="AT50">
            <v>33494.348999999995</v>
          </cell>
          <cell r="AU50">
            <v>8393.1390000000029</v>
          </cell>
          <cell r="AV50">
            <v>497375.84</v>
          </cell>
          <cell r="BA50">
            <v>539263.32799999998</v>
          </cell>
          <cell r="BB50">
            <v>0</v>
          </cell>
          <cell r="BC50">
            <v>-104668.67600000001</v>
          </cell>
          <cell r="BD50">
            <v>0</v>
          </cell>
          <cell r="BE50">
            <v>-828709.73399999994</v>
          </cell>
          <cell r="BF50">
            <v>-252535.12299999996</v>
          </cell>
          <cell r="BG50">
            <v>-759343.18891000003</v>
          </cell>
          <cell r="BH50">
            <v>43324.242999999995</v>
          </cell>
          <cell r="BJ50">
            <v>-1901932.4789100001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29384</v>
          </cell>
          <cell r="H7">
            <v>23503</v>
          </cell>
          <cell r="I7">
            <v>19088</v>
          </cell>
          <cell r="J7">
            <v>10517</v>
          </cell>
          <cell r="K7">
            <v>15667</v>
          </cell>
          <cell r="L7">
            <v>17863</v>
          </cell>
          <cell r="M7">
            <v>16833</v>
          </cell>
          <cell r="N7">
            <v>18826</v>
          </cell>
          <cell r="O7">
            <v>12848</v>
          </cell>
          <cell r="P7">
            <v>16344</v>
          </cell>
          <cell r="Q7">
            <v>14626.5</v>
          </cell>
          <cell r="R7">
            <v>12604</v>
          </cell>
          <cell r="S7">
            <v>22751</v>
          </cell>
          <cell r="T7">
            <v>5818</v>
          </cell>
          <cell r="U7">
            <v>7413.5</v>
          </cell>
          <cell r="V7">
            <v>9380</v>
          </cell>
          <cell r="W7">
            <v>4057</v>
          </cell>
          <cell r="X7"/>
          <cell r="Y7"/>
          <cell r="Z7">
            <v>257523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257523</v>
          </cell>
          <cell r="AJ7">
            <v>14499</v>
          </cell>
          <cell r="AK7">
            <v>5778</v>
          </cell>
          <cell r="AL7">
            <v>29326</v>
          </cell>
          <cell r="AM7"/>
          <cell r="AN7">
            <v>49603</v>
          </cell>
          <cell r="AO7">
            <v>9545.7580000000016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36478222.056000009</v>
          </cell>
          <cell r="G8">
            <v>2958109.5860000001</v>
          </cell>
          <cell r="H8">
            <v>2336394.1929999995</v>
          </cell>
          <cell r="I8">
            <v>1820941.2</v>
          </cell>
          <cell r="J8">
            <v>995191.29200000002</v>
          </cell>
          <cell r="K8">
            <v>1760809.05</v>
          </cell>
          <cell r="L8">
            <v>1785411.12</v>
          </cell>
          <cell r="M8">
            <v>1558808.2</v>
          </cell>
          <cell r="N8">
            <v>1852611</v>
          </cell>
          <cell r="O8">
            <v>1134264.4099999999</v>
          </cell>
          <cell r="P8">
            <v>1663958.8</v>
          </cell>
          <cell r="Q8">
            <v>1424508.25</v>
          </cell>
          <cell r="R8">
            <v>1333942.5</v>
          </cell>
          <cell r="S8">
            <v>2254974.4300000002</v>
          </cell>
          <cell r="T8">
            <v>651912.30000000005</v>
          </cell>
          <cell r="U8">
            <v>868568.99600000004</v>
          </cell>
          <cell r="V8">
            <v>904971.24300000002</v>
          </cell>
          <cell r="W8">
            <v>491464.89899999998</v>
          </cell>
          <cell r="X8"/>
          <cell r="Y8"/>
          <cell r="Z8">
            <v>25796841.469000001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/>
          <cell r="AF8"/>
          <cell r="AG8"/>
          <cell r="AH8">
            <v>90840</v>
          </cell>
          <cell r="AI8">
            <v>25887681.469000001</v>
          </cell>
          <cell r="AJ8">
            <v>414507.5</v>
          </cell>
          <cell r="AK8">
            <v>93250</v>
          </cell>
          <cell r="AL8">
            <v>513753</v>
          </cell>
          <cell r="AM8"/>
          <cell r="AN8">
            <v>1021510.5</v>
          </cell>
          <cell r="AO8">
            <v>9493178.4600000009</v>
          </cell>
          <cell r="AP8">
            <v>0</v>
          </cell>
          <cell r="AQ8"/>
          <cell r="AR8"/>
          <cell r="AS8">
            <v>9493178.4600000009</v>
          </cell>
          <cell r="AT8">
            <v>5512.5</v>
          </cell>
          <cell r="AU8">
            <v>6650</v>
          </cell>
          <cell r="AV8">
            <v>61872.927000000003</v>
          </cell>
          <cell r="AW8"/>
          <cell r="AX8"/>
          <cell r="AY8"/>
          <cell r="AZ8"/>
          <cell r="BA8">
            <v>74035.426999999996</v>
          </cell>
          <cell r="BB8">
            <v>0</v>
          </cell>
          <cell r="BC8">
            <v>1816.2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1816.2</v>
          </cell>
          <cell r="BK8"/>
          <cell r="BL8"/>
          <cell r="BM8"/>
          <cell r="BN8"/>
          <cell r="BO8"/>
        </row>
        <row r="9">
          <cell r="F9"/>
          <cell r="G9">
            <v>100670.75912060986</v>
          </cell>
          <cell r="H9">
            <v>99408.339063098305</v>
          </cell>
          <cell r="I9">
            <v>95397.170997485329</v>
          </cell>
          <cell r="J9">
            <v>94626.917562042407</v>
          </cell>
          <cell r="K9">
            <v>112389.67575157977</v>
          </cell>
          <cell r="L9">
            <v>99950.239041594352</v>
          </cell>
          <cell r="M9">
            <v>92604.301075268813</v>
          </cell>
          <cell r="N9">
            <v>98407.04345054712</v>
          </cell>
          <cell r="O9">
            <v>88283.344489414681</v>
          </cell>
          <cell r="P9">
            <v>101808.541360744</v>
          </cell>
          <cell r="Q9">
            <v>97392.284552011755</v>
          </cell>
          <cell r="R9">
            <v>105834.85401459853</v>
          </cell>
          <cell r="S9">
            <v>99115.398444024453</v>
          </cell>
          <cell r="T9">
            <v>112050.92815400483</v>
          </cell>
          <cell r="U9">
            <v>117160.44998988333</v>
          </cell>
          <cell r="V9">
            <v>96478.810554371012</v>
          </cell>
          <cell r="W9">
            <v>121139.98003450826</v>
          </cell>
          <cell r="X9"/>
          <cell r="Y9"/>
          <cell r="Z9">
            <v>100172.9611296855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100525.70632137712</v>
          </cell>
          <cell r="AJ9">
            <v>28588.695772122213</v>
          </cell>
          <cell r="AK9">
            <v>16138.802353755626</v>
          </cell>
          <cell r="AL9">
            <v>17518.68648980427</v>
          </cell>
          <cell r="AM9"/>
          <cell r="AN9"/>
          <cell r="AO9">
            <v>994491.84234504995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32039890.728080001</v>
          </cell>
          <cell r="G10">
            <v>2551538.3821900003</v>
          </cell>
          <cell r="H10">
            <v>2166653.9437400005</v>
          </cell>
          <cell r="I10">
            <v>1641976.0568200001</v>
          </cell>
          <cell r="J10">
            <v>877734.10250000004</v>
          </cell>
          <cell r="K10">
            <v>1528507.46927</v>
          </cell>
          <cell r="L10">
            <v>1501464.9133199998</v>
          </cell>
          <cell r="M10">
            <v>1375263.8075400002</v>
          </cell>
          <cell r="N10">
            <v>1655418.77449</v>
          </cell>
          <cell r="O10">
            <v>1012495.17534</v>
          </cell>
          <cell r="P10">
            <v>1337440.7757699999</v>
          </cell>
          <cell r="Q10">
            <v>1170539.42918</v>
          </cell>
          <cell r="R10">
            <v>1086749.87439</v>
          </cell>
          <cell r="S10">
            <v>1774488.4284999999</v>
          </cell>
          <cell r="T10">
            <v>506511.17379999999</v>
          </cell>
          <cell r="U10">
            <v>596607.20183000003</v>
          </cell>
          <cell r="V10">
            <v>774838.75540999998</v>
          </cell>
          <cell r="W10">
            <v>421680.80039999995</v>
          </cell>
          <cell r="X10"/>
          <cell r="Y10"/>
          <cell r="Z10">
            <v>21979909.064489998</v>
          </cell>
          <cell r="AA10">
            <v>593.60500000000002</v>
          </cell>
          <cell r="AB10">
            <v>0</v>
          </cell>
          <cell r="AC10">
            <v>3399.7750000000001</v>
          </cell>
          <cell r="AD10">
            <v>8678.5810000000001</v>
          </cell>
          <cell r="AE10"/>
          <cell r="AF10"/>
          <cell r="AG10"/>
          <cell r="AH10">
            <v>12671.960999999999</v>
          </cell>
          <cell r="AI10">
            <v>21992581.025489997</v>
          </cell>
          <cell r="AJ10">
            <v>305757.49365000002</v>
          </cell>
          <cell r="AK10">
            <v>136355.16071</v>
          </cell>
          <cell r="AL10">
            <v>562148.01922999998</v>
          </cell>
          <cell r="AM10"/>
          <cell r="AN10">
            <v>1004260.67359</v>
          </cell>
          <cell r="AO10">
            <v>9292719.773</v>
          </cell>
          <cell r="AP10">
            <v>0</v>
          </cell>
          <cell r="AQ10"/>
          <cell r="AR10"/>
          <cell r="AS10">
            <v>9292719.773</v>
          </cell>
          <cell r="AT10">
            <v>143.00399999999999</v>
          </cell>
          <cell r="AU10">
            <v>186.25200000000001</v>
          </cell>
          <cell r="AV10">
            <v>0</v>
          </cell>
          <cell r="AW10"/>
          <cell r="AX10"/>
          <cell r="AY10"/>
          <cell r="AZ10"/>
          <cell r="BA10">
            <v>329.25599999999997</v>
          </cell>
          <cell r="BB10">
            <v>0</v>
          </cell>
          <cell r="BC10">
            <v>0</v>
          </cell>
          <cell r="BD10">
            <v>-250000</v>
          </cell>
          <cell r="BE10">
            <v>0</v>
          </cell>
          <cell r="BF10">
            <v>0</v>
          </cell>
          <cell r="BG10">
            <v>0</v>
          </cell>
          <cell r="BH10"/>
          <cell r="BI10"/>
          <cell r="BJ10">
            <v>-250000</v>
          </cell>
          <cell r="BK10"/>
          <cell r="BL10"/>
          <cell r="BM10"/>
          <cell r="BN10"/>
          <cell r="BO10"/>
        </row>
        <row r="11">
          <cell r="F11"/>
          <cell r="G11">
            <v>86834.276551524657</v>
          </cell>
          <cell r="H11">
            <v>92186.271698932076</v>
          </cell>
          <cell r="I11">
            <v>86021.377662405692</v>
          </cell>
          <cell r="J11">
            <v>83458.600599030149</v>
          </cell>
          <cell r="K11">
            <v>97562.230757005163</v>
          </cell>
          <cell r="L11">
            <v>84054.465281307726</v>
          </cell>
          <cell r="M11">
            <v>81700.457882730363</v>
          </cell>
          <cell r="N11">
            <v>87932.581243493041</v>
          </cell>
          <cell r="O11">
            <v>78805.66433219178</v>
          </cell>
          <cell r="P11">
            <v>81830.688679025945</v>
          </cell>
          <cell r="Q11">
            <v>80028.675977164734</v>
          </cell>
          <cell r="R11">
            <v>86222.617771342426</v>
          </cell>
          <cell r="S11">
            <v>77996.062964265308</v>
          </cell>
          <cell r="T11">
            <v>87059.328600893772</v>
          </cell>
          <cell r="U11">
            <v>80475.780917245575</v>
          </cell>
          <cell r="V11">
            <v>82605.411024520246</v>
          </cell>
          <cell r="W11">
            <v>103939.06837564701</v>
          </cell>
          <cell r="X11"/>
          <cell r="Y11"/>
          <cell r="Z11">
            <v>85351.246546871538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85400.453650703028</v>
          </cell>
          <cell r="AJ11">
            <v>21088.178057107387</v>
          </cell>
          <cell r="AK11">
            <v>23599.02400657667</v>
          </cell>
          <cell r="AL11">
            <v>19168.929251517424</v>
          </cell>
          <cell r="AM11"/>
          <cell r="AN11"/>
          <cell r="AO11">
            <v>973492.07606142946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4438331.3279200085</v>
          </cell>
          <cell r="G12">
            <v>406571.20380999986</v>
          </cell>
          <cell r="H12">
            <v>169740.24925999902</v>
          </cell>
          <cell r="I12">
            <v>178965.1431799999</v>
          </cell>
          <cell r="J12">
            <v>117457.18949999998</v>
          </cell>
          <cell r="K12">
            <v>232301.58073000005</v>
          </cell>
          <cell r="L12">
            <v>283946.20668000029</v>
          </cell>
          <cell r="M12">
            <v>183544.39245999977</v>
          </cell>
          <cell r="N12">
            <v>197192.22551000002</v>
          </cell>
          <cell r="O12">
            <v>121769.23465999996</v>
          </cell>
          <cell r="P12">
            <v>326518.0242300001</v>
          </cell>
          <cell r="Q12">
            <v>253968.82082000002</v>
          </cell>
          <cell r="R12">
            <v>247192.62560999999</v>
          </cell>
          <cell r="S12">
            <v>480486.00150000025</v>
          </cell>
          <cell r="T12">
            <v>145401.12620000006</v>
          </cell>
          <cell r="U12">
            <v>271961.79417000001</v>
          </cell>
          <cell r="V12">
            <v>130132.48759000003</v>
          </cell>
          <cell r="W12">
            <v>69784.098600000027</v>
          </cell>
          <cell r="X12"/>
          <cell r="Y12"/>
          <cell r="Z12">
            <v>3816932.4045099993</v>
          </cell>
          <cell r="AA12">
            <v>49406.394999999997</v>
          </cell>
          <cell r="AB12">
            <v>0</v>
          </cell>
          <cell r="AC12">
            <v>9100.2250000000004</v>
          </cell>
          <cell r="AD12">
            <v>19661.419000000002</v>
          </cell>
          <cell r="AE12"/>
          <cell r="AF12"/>
          <cell r="AG12"/>
          <cell r="AH12">
            <v>78168.039000000004</v>
          </cell>
          <cell r="AI12">
            <v>3895100.4435100034</v>
          </cell>
          <cell r="AJ12">
            <v>108750.00634999998</v>
          </cell>
          <cell r="AK12">
            <v>-43105.160709999996</v>
          </cell>
          <cell r="AL12">
            <v>-48395.019229999976</v>
          </cell>
          <cell r="AM12"/>
          <cell r="AN12">
            <v>17249.82640999998</v>
          </cell>
          <cell r="AO12">
            <v>200458.68700000085</v>
          </cell>
          <cell r="AP12">
            <v>0</v>
          </cell>
          <cell r="AQ12"/>
          <cell r="AR12"/>
          <cell r="AS12">
            <v>200458.68700000085</v>
          </cell>
          <cell r="AT12">
            <v>5369.4960000000001</v>
          </cell>
          <cell r="AU12">
            <v>6463.7479999999996</v>
          </cell>
          <cell r="AV12">
            <v>61872.927000000003</v>
          </cell>
          <cell r="AW12"/>
          <cell r="AX12"/>
          <cell r="AY12"/>
          <cell r="AZ12"/>
          <cell r="BA12">
            <v>73706.171000000002</v>
          </cell>
          <cell r="BB12">
            <v>0</v>
          </cell>
          <cell r="BC12">
            <v>1816.2</v>
          </cell>
          <cell r="BD12">
            <v>250000</v>
          </cell>
          <cell r="BE12">
            <v>0</v>
          </cell>
          <cell r="BF12">
            <v>0</v>
          </cell>
          <cell r="BG12">
            <v>0</v>
          </cell>
          <cell r="BH12"/>
          <cell r="BI12"/>
          <cell r="BJ12">
            <v>251816.2</v>
          </cell>
          <cell r="BK12"/>
          <cell r="BL12"/>
          <cell r="BM12"/>
          <cell r="BN12"/>
          <cell r="BO12"/>
        </row>
        <row r="13">
          <cell r="F13">
            <v>792746.82300000009</v>
          </cell>
          <cell r="G13">
            <v>71878.406000000003</v>
          </cell>
          <cell r="H13">
            <v>63384.162000000004</v>
          </cell>
          <cell r="I13">
            <v>46929.816999999995</v>
          </cell>
          <cell r="J13">
            <v>31492.477999999999</v>
          </cell>
          <cell r="K13">
            <v>43603.237999999998</v>
          </cell>
          <cell r="L13">
            <v>45893.85</v>
          </cell>
          <cell r="M13">
            <v>36328.304000000004</v>
          </cell>
          <cell r="N13">
            <v>45057.600000000006</v>
          </cell>
          <cell r="O13">
            <v>25705.094000000005</v>
          </cell>
          <cell r="P13">
            <v>42262.731</v>
          </cell>
          <cell r="Q13">
            <v>33480.421999999999</v>
          </cell>
          <cell r="R13">
            <v>27652.342000000004</v>
          </cell>
          <cell r="S13">
            <v>49229.192999999999</v>
          </cell>
          <cell r="T13">
            <v>13507.502</v>
          </cell>
          <cell r="U13">
            <v>10346.486000000001</v>
          </cell>
          <cell r="V13">
            <v>26987.163</v>
          </cell>
          <cell r="W13">
            <v>13957.662</v>
          </cell>
          <cell r="X13"/>
          <cell r="Y13"/>
          <cell r="Z13">
            <v>627696.45000000019</v>
          </cell>
          <cell r="AA13">
            <v>0</v>
          </cell>
          <cell r="AB13">
            <v>183.501</v>
          </cell>
          <cell r="AC13">
            <v>0</v>
          </cell>
          <cell r="AD13">
            <v>0</v>
          </cell>
          <cell r="AE13"/>
          <cell r="AF13"/>
          <cell r="AG13"/>
          <cell r="AH13">
            <v>183.501</v>
          </cell>
          <cell r="AI13">
            <v>627879.95100000012</v>
          </cell>
          <cell r="AJ13">
            <v>460</v>
          </cell>
          <cell r="AK13">
            <v>31013.255000000001</v>
          </cell>
          <cell r="AL13">
            <v>0</v>
          </cell>
          <cell r="AM13"/>
          <cell r="AN13">
            <v>31473.255000000001</v>
          </cell>
          <cell r="AO13">
            <v>115383.55599999998</v>
          </cell>
          <cell r="AP13">
            <v>0</v>
          </cell>
          <cell r="AQ13"/>
          <cell r="AR13"/>
          <cell r="AS13">
            <v>115383.55599999998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18010.060999999998</v>
          </cell>
          <cell r="BG13">
            <v>0</v>
          </cell>
          <cell r="BH13"/>
          <cell r="BI13"/>
          <cell r="BJ13">
            <v>18010.060999999998</v>
          </cell>
          <cell r="BK13"/>
          <cell r="BL13"/>
          <cell r="BM13"/>
          <cell r="BN13"/>
          <cell r="BO13"/>
        </row>
        <row r="14">
          <cell r="F14">
            <v>524560.44900000014</v>
          </cell>
          <cell r="G14">
            <v>46703.006000000001</v>
          </cell>
          <cell r="H14">
            <v>40823.361000000004</v>
          </cell>
          <cell r="I14">
            <v>34024.882999999994</v>
          </cell>
          <cell r="J14">
            <v>24433.173999999999</v>
          </cell>
          <cell r="K14">
            <v>31264.822</v>
          </cell>
          <cell r="L14">
            <v>33662.964999999997</v>
          </cell>
          <cell r="M14">
            <v>25713.41</v>
          </cell>
          <cell r="N14">
            <v>32846.332000000002</v>
          </cell>
          <cell r="O14">
            <v>19149.693000000003</v>
          </cell>
          <cell r="P14">
            <v>31623.273000000001</v>
          </cell>
          <cell r="Q14">
            <v>25684.726999999999</v>
          </cell>
          <cell r="R14">
            <v>18586.158000000003</v>
          </cell>
          <cell r="S14">
            <v>30757.081000000002</v>
          </cell>
          <cell r="T14">
            <v>7177.6719999999996</v>
          </cell>
          <cell r="U14">
            <v>7157.8350000000009</v>
          </cell>
          <cell r="V14">
            <v>20952.063000000002</v>
          </cell>
          <cell r="W14">
            <v>10360.079</v>
          </cell>
          <cell r="X14"/>
          <cell r="Y14"/>
          <cell r="Z14">
            <v>440920.5340000001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440920.5340000001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83639.914999999994</v>
          </cell>
          <cell r="AP14">
            <v>0</v>
          </cell>
          <cell r="AQ14"/>
          <cell r="AR14"/>
          <cell r="AS14">
            <v>83639.914999999994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268186.37400000001</v>
          </cell>
          <cell r="G15">
            <v>25175.399999999998</v>
          </cell>
          <cell r="H15">
            <v>22560.800999999999</v>
          </cell>
          <cell r="I15">
            <v>12904.933999999999</v>
          </cell>
          <cell r="J15">
            <v>7059.3040000000001</v>
          </cell>
          <cell r="K15">
            <v>12338.416000000001</v>
          </cell>
          <cell r="L15">
            <v>12230.885</v>
          </cell>
          <cell r="M15">
            <v>10614.894</v>
          </cell>
          <cell r="N15">
            <v>12211.268</v>
          </cell>
          <cell r="O15">
            <v>6555.4009999999998</v>
          </cell>
          <cell r="P15">
            <v>10639.458000000001</v>
          </cell>
          <cell r="Q15">
            <v>7795.6950000000006</v>
          </cell>
          <cell r="R15">
            <v>9066.1840000000011</v>
          </cell>
          <cell r="S15">
            <v>18472.111999999997</v>
          </cell>
          <cell r="T15">
            <v>6329.83</v>
          </cell>
          <cell r="U15">
            <v>3188.6509999999998</v>
          </cell>
          <cell r="V15">
            <v>6035.0999999999995</v>
          </cell>
          <cell r="W15">
            <v>3597.5829999999996</v>
          </cell>
          <cell r="X15"/>
          <cell r="Y15"/>
          <cell r="Z15">
            <v>186775.91600000003</v>
          </cell>
          <cell r="AA15">
            <v>0</v>
          </cell>
          <cell r="AB15">
            <v>183.501</v>
          </cell>
          <cell r="AC15">
            <v>0</v>
          </cell>
          <cell r="AD15">
            <v>0</v>
          </cell>
          <cell r="AE15"/>
          <cell r="AF15"/>
          <cell r="AG15"/>
          <cell r="AH15">
            <v>183.501</v>
          </cell>
          <cell r="AI15">
            <v>186959.41700000002</v>
          </cell>
          <cell r="AJ15">
            <v>460</v>
          </cell>
          <cell r="AK15">
            <v>31013.255000000001</v>
          </cell>
          <cell r="AL15">
            <v>0</v>
          </cell>
          <cell r="AM15"/>
          <cell r="AN15">
            <v>31473.255000000001</v>
          </cell>
          <cell r="AO15">
            <v>31743.640999999996</v>
          </cell>
          <cell r="AP15">
            <v>0</v>
          </cell>
          <cell r="AQ15"/>
          <cell r="AR15"/>
          <cell r="AS15">
            <v>31743.640999999996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18010.060999999998</v>
          </cell>
          <cell r="BG15">
            <v>0</v>
          </cell>
          <cell r="BH15"/>
          <cell r="BI15"/>
          <cell r="BJ15">
            <v>18010.060999999998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3645584.5049200086</v>
          </cell>
          <cell r="G17">
            <v>334692.79780999984</v>
          </cell>
          <cell r="H17">
            <v>106356.08725999901</v>
          </cell>
          <cell r="I17">
            <v>132035.32617999992</v>
          </cell>
          <cell r="J17">
            <v>85964.711499999976</v>
          </cell>
          <cell r="K17">
            <v>188698.34273000003</v>
          </cell>
          <cell r="L17">
            <v>238052.35668000029</v>
          </cell>
          <cell r="M17">
            <v>147216.08845999977</v>
          </cell>
          <cell r="N17">
            <v>152134.62551000001</v>
          </cell>
          <cell r="O17">
            <v>96064.140659999946</v>
          </cell>
          <cell r="P17">
            <v>284255.29323000007</v>
          </cell>
          <cell r="Q17">
            <v>220488.39882000003</v>
          </cell>
          <cell r="R17">
            <v>219540.28360999998</v>
          </cell>
          <cell r="S17">
            <v>431256.80850000028</v>
          </cell>
          <cell r="T17">
            <v>131893.62420000005</v>
          </cell>
          <cell r="U17">
            <v>261615.30817</v>
          </cell>
          <cell r="V17">
            <v>103145.32459000003</v>
          </cell>
          <cell r="W17">
            <v>55826.43660000003</v>
          </cell>
          <cell r="X17"/>
          <cell r="Y17"/>
          <cell r="Z17">
            <v>3189235.9545099991</v>
          </cell>
          <cell r="AA17">
            <v>49406.394999999997</v>
          </cell>
          <cell r="AB17">
            <v>-183.501</v>
          </cell>
          <cell r="AC17">
            <v>9100.2250000000004</v>
          </cell>
          <cell r="AD17">
            <v>19661.419000000002</v>
          </cell>
          <cell r="AE17"/>
          <cell r="AF17"/>
          <cell r="AG17"/>
          <cell r="AH17">
            <v>77984.538</v>
          </cell>
          <cell r="AI17">
            <v>3267220.492510003</v>
          </cell>
          <cell r="AJ17">
            <v>108290.00634999998</v>
          </cell>
          <cell r="AK17">
            <v>-74118.415710000001</v>
          </cell>
          <cell r="AL17">
            <v>-48395.019229999976</v>
          </cell>
          <cell r="AM17"/>
          <cell r="AN17">
            <v>-14223.428590000021</v>
          </cell>
          <cell r="AO17">
            <v>85075.131000000867</v>
          </cell>
          <cell r="AP17">
            <v>0</v>
          </cell>
          <cell r="AQ17"/>
          <cell r="AR17"/>
          <cell r="AS17">
            <v>85075.131000000867</v>
          </cell>
          <cell r="AT17">
            <v>5369.4960000000001</v>
          </cell>
          <cell r="AU17">
            <v>6463.7479999999996</v>
          </cell>
          <cell r="AV17">
            <v>61872.927000000003</v>
          </cell>
          <cell r="AW17"/>
          <cell r="AX17"/>
          <cell r="AY17"/>
          <cell r="AZ17"/>
          <cell r="BA17">
            <v>73706.171000000002</v>
          </cell>
          <cell r="BB17">
            <v>0</v>
          </cell>
          <cell r="BC17">
            <v>1816.2</v>
          </cell>
          <cell r="BD17">
            <v>250000</v>
          </cell>
          <cell r="BE17">
            <v>0</v>
          </cell>
          <cell r="BF17">
            <v>-18010.060999999998</v>
          </cell>
          <cell r="BG17">
            <v>0</v>
          </cell>
          <cell r="BH17"/>
          <cell r="BI17"/>
          <cell r="BJ17">
            <v>233806.13900000002</v>
          </cell>
          <cell r="BK17"/>
          <cell r="BL17"/>
          <cell r="BM17"/>
          <cell r="BN17"/>
          <cell r="BO17"/>
        </row>
        <row r="18">
          <cell r="F18">
            <v>594401.65989999997</v>
          </cell>
          <cell r="G18">
            <v>29672.47681</v>
          </cell>
          <cell r="H18">
            <v>34736.524250000002</v>
          </cell>
          <cell r="I18">
            <v>20109.80618</v>
          </cell>
          <cell r="J18">
            <v>17515.1335</v>
          </cell>
          <cell r="K18">
            <v>73756.784729999999</v>
          </cell>
          <cell r="L18">
            <v>51320.664679999994</v>
          </cell>
          <cell r="M18">
            <v>17223.425460000002</v>
          </cell>
          <cell r="N18">
            <v>34359.569510000008</v>
          </cell>
          <cell r="O18">
            <v>11350.086659999999</v>
          </cell>
          <cell r="P18">
            <v>31717.587230000001</v>
          </cell>
          <cell r="Q18">
            <v>14973.04182</v>
          </cell>
          <cell r="R18">
            <v>14385.739610000001</v>
          </cell>
          <cell r="S18">
            <v>36079.802499999998</v>
          </cell>
          <cell r="T18">
            <v>5968.6862000000001</v>
          </cell>
          <cell r="U18">
            <v>10660.885170000001</v>
          </cell>
          <cell r="V18">
            <v>20936.262590000002</v>
          </cell>
          <cell r="W18">
            <v>12199.185600000001</v>
          </cell>
          <cell r="X18"/>
          <cell r="Y18"/>
          <cell r="Z18">
            <v>436965.66249999998</v>
          </cell>
          <cell r="AA18">
            <v>5672.59</v>
          </cell>
          <cell r="AB18">
            <v>353.67200000000003</v>
          </cell>
          <cell r="AC18">
            <v>0</v>
          </cell>
          <cell r="AD18">
            <v>0</v>
          </cell>
          <cell r="AE18"/>
          <cell r="AF18"/>
          <cell r="AG18"/>
          <cell r="AH18">
            <v>6026.2620000000006</v>
          </cell>
          <cell r="AI18">
            <v>442991.92450000002</v>
          </cell>
          <cell r="AJ18">
            <v>29910.838350000002</v>
          </cell>
          <cell r="AK18">
            <v>15682.715279999999</v>
          </cell>
          <cell r="AL18">
            <v>48804.73977</v>
          </cell>
          <cell r="AM18"/>
          <cell r="AN18">
            <v>94398.293399999995</v>
          </cell>
          <cell r="AO18">
            <v>5550.3779999999997</v>
          </cell>
          <cell r="AP18">
            <v>855.83600000000001</v>
          </cell>
          <cell r="AQ18"/>
          <cell r="AR18"/>
          <cell r="AS18">
            <v>6406.2139999999999</v>
          </cell>
          <cell r="AT18">
            <v>1312.8920000000001</v>
          </cell>
          <cell r="AU18">
            <v>8489.6080000000002</v>
          </cell>
          <cell r="AV18">
            <v>0</v>
          </cell>
          <cell r="AW18"/>
          <cell r="AX18"/>
          <cell r="AY18"/>
          <cell r="AZ18"/>
          <cell r="BA18">
            <v>9802.5</v>
          </cell>
          <cell r="BB18">
            <v>0</v>
          </cell>
          <cell r="BC18">
            <v>17716.903999999999</v>
          </cell>
          <cell r="BD18">
            <v>0</v>
          </cell>
          <cell r="BE18">
            <v>0</v>
          </cell>
          <cell r="BF18">
            <v>23085.823999999997</v>
          </cell>
          <cell r="BG18">
            <v>0</v>
          </cell>
          <cell r="BH18"/>
          <cell r="BI18"/>
          <cell r="BJ18">
            <v>40802.727999999996</v>
          </cell>
          <cell r="BK18"/>
          <cell r="BL18"/>
          <cell r="BM18"/>
          <cell r="BN18"/>
          <cell r="BO18"/>
        </row>
        <row r="19">
          <cell r="F19">
            <v>524775.67090000003</v>
          </cell>
          <cell r="G19">
            <v>27344.859809999998</v>
          </cell>
          <cell r="H19">
            <v>32791.393250000001</v>
          </cell>
          <cell r="I19">
            <v>18338.562180000001</v>
          </cell>
          <cell r="J19">
            <v>16323.147499999999</v>
          </cell>
          <cell r="K19">
            <v>71880.721730000005</v>
          </cell>
          <cell r="L19">
            <v>49756.265679999997</v>
          </cell>
          <cell r="M19">
            <v>16029.828460000001</v>
          </cell>
          <cell r="N19">
            <v>32796.267510000005</v>
          </cell>
          <cell r="O19">
            <v>10600.052659999999</v>
          </cell>
          <cell r="P19">
            <v>30498.823230000002</v>
          </cell>
          <cell r="Q19">
            <v>13767.65582</v>
          </cell>
          <cell r="R19">
            <v>13283.58561</v>
          </cell>
          <cell r="S19">
            <v>34491.604500000001</v>
          </cell>
          <cell r="T19">
            <v>5598.2871999999998</v>
          </cell>
          <cell r="U19">
            <v>10218.016170000001</v>
          </cell>
          <cell r="V19">
            <v>19809.399590000001</v>
          </cell>
          <cell r="W19">
            <v>11373.8166</v>
          </cell>
          <cell r="X19"/>
          <cell r="Y19"/>
          <cell r="Z19">
            <v>414902.28749999998</v>
          </cell>
          <cell r="AA19">
            <v>5672.59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5672.59</v>
          </cell>
          <cell r="AI19">
            <v>420574.8775</v>
          </cell>
          <cell r="AJ19">
            <v>29910.838350000002</v>
          </cell>
          <cell r="AK19">
            <v>15682.715279999999</v>
          </cell>
          <cell r="AL19">
            <v>48804.73977</v>
          </cell>
          <cell r="AM19"/>
          <cell r="AN19">
            <v>94398.293399999995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AW19"/>
          <cell r="AX19"/>
          <cell r="AY19"/>
          <cell r="AZ19"/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69625.988999999987</v>
          </cell>
          <cell r="G20">
            <v>2327.6170000000002</v>
          </cell>
          <cell r="H20">
            <v>1945.1310000000001</v>
          </cell>
          <cell r="I20">
            <v>1771.2439999999999</v>
          </cell>
          <cell r="J20">
            <v>1191.9860000000001</v>
          </cell>
          <cell r="K20">
            <v>1876.0630000000001</v>
          </cell>
          <cell r="L20">
            <v>1564.3989999999999</v>
          </cell>
          <cell r="M20">
            <v>1193.597</v>
          </cell>
          <cell r="N20">
            <v>1563.3019999999999</v>
          </cell>
          <cell r="O20">
            <v>750.03399999999999</v>
          </cell>
          <cell r="P20">
            <v>1218.7639999999999</v>
          </cell>
          <cell r="Q20">
            <v>1205.386</v>
          </cell>
          <cell r="R20">
            <v>1102.154</v>
          </cell>
          <cell r="S20">
            <v>1588.1980000000001</v>
          </cell>
          <cell r="T20">
            <v>370.399</v>
          </cell>
          <cell r="U20">
            <v>442.86900000000003</v>
          </cell>
          <cell r="V20">
            <v>1126.8630000000001</v>
          </cell>
          <cell r="W20">
            <v>825.36900000000003</v>
          </cell>
          <cell r="X20"/>
          <cell r="Y20"/>
          <cell r="Z20">
            <v>22063.374999999996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/>
          <cell r="AF20"/>
          <cell r="AG20"/>
          <cell r="AH20">
            <v>353.67200000000003</v>
          </cell>
          <cell r="AI20">
            <v>22417.046999999995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5550.3779999999997</v>
          </cell>
          <cell r="AP20">
            <v>855.83600000000001</v>
          </cell>
          <cell r="AQ20"/>
          <cell r="AR20"/>
          <cell r="AS20">
            <v>6406.2139999999999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17716.903999999999</v>
          </cell>
          <cell r="BD20">
            <v>0</v>
          </cell>
          <cell r="BE20">
            <v>0</v>
          </cell>
          <cell r="BF20">
            <v>23085.823999999997</v>
          </cell>
          <cell r="BG20">
            <v>0</v>
          </cell>
          <cell r="BH20"/>
          <cell r="BI20"/>
          <cell r="BJ20">
            <v>40802.727999999996</v>
          </cell>
          <cell r="BK20"/>
          <cell r="BL20"/>
          <cell r="BM20"/>
          <cell r="BN20"/>
          <cell r="BO20"/>
        </row>
        <row r="21">
          <cell r="F21">
            <v>3051182.8450200087</v>
          </cell>
          <cell r="G21">
            <v>305020.32099999982</v>
          </cell>
          <cell r="H21">
            <v>71619.563009999009</v>
          </cell>
          <cell r="I21">
            <v>111925.51999999992</v>
          </cell>
          <cell r="J21">
            <v>68449.57799999998</v>
          </cell>
          <cell r="K21">
            <v>114941.55800000003</v>
          </cell>
          <cell r="L21">
            <v>186731.6920000003</v>
          </cell>
          <cell r="M21">
            <v>129992.66299999977</v>
          </cell>
          <cell r="N21">
            <v>117775.05600000001</v>
          </cell>
          <cell r="O21">
            <v>84714.053999999946</v>
          </cell>
          <cell r="P21">
            <v>252537.70600000006</v>
          </cell>
          <cell r="Q21">
            <v>205515.35700000002</v>
          </cell>
          <cell r="R21">
            <v>205154.54399999999</v>
          </cell>
          <cell r="S21">
            <v>395177.00600000028</v>
          </cell>
          <cell r="T21">
            <v>125924.93800000005</v>
          </cell>
          <cell r="U21">
            <v>250954.42300000001</v>
          </cell>
          <cell r="V21">
            <v>82209.062000000034</v>
          </cell>
          <cell r="W21">
            <v>43627.251000000033</v>
          </cell>
          <cell r="X21"/>
          <cell r="Y21"/>
          <cell r="Z21">
            <v>2752270.292009999</v>
          </cell>
          <cell r="AA21">
            <v>43733.804999999993</v>
          </cell>
          <cell r="AB21">
            <v>-537.173</v>
          </cell>
          <cell r="AC21">
            <v>9100.2250000000004</v>
          </cell>
          <cell r="AD21">
            <v>19661.419000000002</v>
          </cell>
          <cell r="AE21"/>
          <cell r="AF21"/>
          <cell r="AG21"/>
          <cell r="AH21">
            <v>71958.275999999998</v>
          </cell>
          <cell r="AI21">
            <v>2824228.5680100028</v>
          </cell>
          <cell r="AJ21">
            <v>78379.167999999976</v>
          </cell>
          <cell r="AK21">
            <v>-89801.130990000005</v>
          </cell>
          <cell r="AL21">
            <v>-97199.758999999976</v>
          </cell>
          <cell r="AM21"/>
          <cell r="AN21">
            <v>-108621.72199000002</v>
          </cell>
          <cell r="AO21">
            <v>79524.75300000087</v>
          </cell>
          <cell r="AP21">
            <v>-855.83600000000001</v>
          </cell>
          <cell r="AQ21"/>
          <cell r="AR21"/>
          <cell r="AS21">
            <v>78668.91700000086</v>
          </cell>
          <cell r="AT21">
            <v>4056.6040000000003</v>
          </cell>
          <cell r="AU21">
            <v>-2025.8600000000006</v>
          </cell>
          <cell r="AV21">
            <v>61872.927000000003</v>
          </cell>
          <cell r="AW21"/>
          <cell r="AX21"/>
          <cell r="AY21"/>
          <cell r="AZ21"/>
          <cell r="BA21">
            <v>63903.671000000002</v>
          </cell>
          <cell r="BB21">
            <v>0</v>
          </cell>
          <cell r="BC21">
            <v>-15900.703999999998</v>
          </cell>
          <cell r="BD21">
            <v>250000</v>
          </cell>
          <cell r="BE21">
            <v>0</v>
          </cell>
          <cell r="BF21">
            <v>-41095.884999999995</v>
          </cell>
          <cell r="BG21">
            <v>0</v>
          </cell>
          <cell r="BH21"/>
          <cell r="BI21"/>
          <cell r="BJ21">
            <v>193003.41100000002</v>
          </cell>
          <cell r="BK21"/>
          <cell r="BL21"/>
          <cell r="BM21"/>
          <cell r="BN21"/>
          <cell r="BO21"/>
        </row>
        <row r="22">
          <cell r="F22">
            <v>1174817.6049999043</v>
          </cell>
          <cell r="G22">
            <v>130232.63261432548</v>
          </cell>
          <cell r="H22">
            <v>102861.22191661508</v>
          </cell>
          <cell r="I22">
            <v>80168.080125983863</v>
          </cell>
          <cell r="J22">
            <v>43813.92174428115</v>
          </cell>
          <cell r="K22">
            <v>78633.90031991381</v>
          </cell>
          <cell r="L22">
            <v>79732.575227362482</v>
          </cell>
          <cell r="M22">
            <v>69612.981950918678</v>
          </cell>
          <cell r="N22">
            <v>82733.575628530438</v>
          </cell>
          <cell r="O22">
            <v>50653.780176996384</v>
          </cell>
          <cell r="P22">
            <v>74308.77891935152</v>
          </cell>
          <cell r="Q22">
            <v>63615.438445977343</v>
          </cell>
          <cell r="R22">
            <v>59570.969139156019</v>
          </cell>
          <cell r="S22">
            <v>94387.818708791703</v>
          </cell>
          <cell r="T22">
            <v>27287.48457978365</v>
          </cell>
          <cell r="U22">
            <v>36356.213995085171</v>
          </cell>
          <cell r="V22">
            <v>37879.924705378537</v>
          </cell>
          <cell r="W22">
            <v>20571.54137599095</v>
          </cell>
          <cell r="X22"/>
          <cell r="Y22"/>
          <cell r="Z22">
            <v>1132420.8395744422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1132420.8395744422</v>
          </cell>
          <cell r="AJ22">
            <v>17203.716696631462</v>
          </cell>
          <cell r="AK22">
            <v>3870.2474188305</v>
          </cell>
          <cell r="AL22">
            <v>21322.801309999999</v>
          </cell>
          <cell r="AM22"/>
          <cell r="AN22">
            <v>42396.765425461956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/>
          <cell r="BI22"/>
          <cell r="BJ22">
            <v>0</v>
          </cell>
          <cell r="BK22"/>
          <cell r="BL22"/>
          <cell r="BM22"/>
          <cell r="BN22"/>
          <cell r="BO22"/>
        </row>
        <row r="23">
          <cell r="F23">
            <v>219972.24399990431</v>
          </cell>
          <cell r="G23">
            <v>20741.041602458001</v>
          </cell>
          <cell r="H23">
            <v>16381.830269608636</v>
          </cell>
          <cell r="I23">
            <v>12767.68695912329</v>
          </cell>
          <cell r="J23">
            <v>6977.8699502770651</v>
          </cell>
          <cell r="K23">
            <v>13459.241049330956</v>
          </cell>
          <cell r="L23">
            <v>13647.293916529992</v>
          </cell>
          <cell r="M23">
            <v>11915.190527600762</v>
          </cell>
          <cell r="N23">
            <v>14160.955169807918</v>
          </cell>
          <cell r="O23">
            <v>8670.0702202019893</v>
          </cell>
          <cell r="P23">
            <v>12718.93882267102</v>
          </cell>
          <cell r="Q23">
            <v>10888.630946956231</v>
          </cell>
          <cell r="R23">
            <v>10196.36607015801</v>
          </cell>
          <cell r="S23">
            <v>10922.101549326402</v>
          </cell>
          <cell r="T23">
            <v>3157.5756457047446</v>
          </cell>
          <cell r="U23">
            <v>4206.9651215107024</v>
          </cell>
          <cell r="V23">
            <v>4383.281550232984</v>
          </cell>
          <cell r="W23">
            <v>2380.4392029436194</v>
          </cell>
          <cell r="X23"/>
          <cell r="Y23"/>
          <cell r="Z23">
            <v>177575.47857444236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177575.47857444236</v>
          </cell>
          <cell r="AJ23">
            <v>17203.716696631462</v>
          </cell>
          <cell r="AK23">
            <v>3870.2474188305</v>
          </cell>
          <cell r="AL23">
            <v>21322.801309999999</v>
          </cell>
          <cell r="AM23"/>
          <cell r="AN23">
            <v>42396.765425461956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360672.91099999996</v>
          </cell>
          <cell r="G24">
            <v>41358.163817137378</v>
          </cell>
          <cell r="H24">
            <v>32665.78568719139</v>
          </cell>
          <cell r="I24">
            <v>25459.092119981626</v>
          </cell>
          <cell r="J24">
            <v>13914.04993199755</v>
          </cell>
          <cell r="K24">
            <v>24618.367583559171</v>
          </cell>
          <cell r="L24">
            <v>24962.336057924094</v>
          </cell>
          <cell r="M24">
            <v>21794.136769041605</v>
          </cell>
          <cell r="N24">
            <v>25901.876519401765</v>
          </cell>
          <cell r="O24">
            <v>15858.470390261149</v>
          </cell>
          <cell r="P24">
            <v>23264.276942634984</v>
          </cell>
          <cell r="Q24">
            <v>19916.451317826086</v>
          </cell>
          <cell r="R24">
            <v>18650.226042586433</v>
          </cell>
          <cell r="S24">
            <v>31527.433033847039</v>
          </cell>
          <cell r="T24">
            <v>9114.5695972220838</v>
          </cell>
          <cell r="U24">
            <v>12143.707925178447</v>
          </cell>
          <cell r="V24">
            <v>12652.657999869123</v>
          </cell>
          <cell r="W24">
            <v>6871.3092643400369</v>
          </cell>
          <cell r="X24"/>
          <cell r="Y24"/>
          <cell r="Z24">
            <v>360672.91099999996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360672.91099999996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594172.44999999995</v>
          </cell>
          <cell r="G25">
            <v>68133.427194730102</v>
          </cell>
          <cell r="H25">
            <v>53813.605959815046</v>
          </cell>
          <cell r="I25">
            <v>41941.301046878943</v>
          </cell>
          <cell r="J25">
            <v>22922.001862006535</v>
          </cell>
          <cell r="K25">
            <v>40556.29168702368</v>
          </cell>
          <cell r="L25">
            <v>41122.945252908394</v>
          </cell>
          <cell r="M25">
            <v>35903.65465427631</v>
          </cell>
          <cell r="N25">
            <v>42670.743939320746</v>
          </cell>
          <cell r="O25">
            <v>26125.239566533244</v>
          </cell>
          <cell r="P25">
            <v>38325.563154045522</v>
          </cell>
          <cell r="Q25">
            <v>32810.356181195028</v>
          </cell>
          <cell r="R25">
            <v>30724.377026411574</v>
          </cell>
          <cell r="S25">
            <v>51938.284125618258</v>
          </cell>
          <cell r="T25">
            <v>15015.339336856821</v>
          </cell>
          <cell r="U25">
            <v>20005.540948396025</v>
          </cell>
          <cell r="V25">
            <v>20843.985155276427</v>
          </cell>
          <cell r="W25">
            <v>11319.792908707295</v>
          </cell>
          <cell r="X25"/>
          <cell r="Y25"/>
          <cell r="Z25">
            <v>594172.44999999995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594172.44999999995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/>
          <cell r="BI25"/>
          <cell r="BJ25">
            <v>0</v>
          </cell>
          <cell r="BK25"/>
          <cell r="BL25"/>
          <cell r="BM25"/>
          <cell r="BN25"/>
          <cell r="BO25"/>
        </row>
        <row r="26">
          <cell r="F26">
            <v>1876365.2400201045</v>
          </cell>
          <cell r="G26">
            <v>174787.68838567432</v>
          </cell>
          <cell r="H26">
            <v>-31241.658906616067</v>
          </cell>
          <cell r="I26">
            <v>31757.439874016054</v>
          </cell>
          <cell r="J26">
            <v>24635.65625571883</v>
          </cell>
          <cell r="K26">
            <v>36307.657680086224</v>
          </cell>
          <cell r="L26">
            <v>106999.11677263782</v>
          </cell>
          <cell r="M26">
            <v>60379.681049081089</v>
          </cell>
          <cell r="N26">
            <v>35041.480371469574</v>
          </cell>
          <cell r="O26">
            <v>34060.273823003561</v>
          </cell>
          <cell r="P26">
            <v>178228.92708064854</v>
          </cell>
          <cell r="Q26">
            <v>141899.91855402268</v>
          </cell>
          <cell r="R26">
            <v>145583.57486084398</v>
          </cell>
          <cell r="S26">
            <v>300789.1872912086</v>
          </cell>
          <cell r="T26">
            <v>98637.453420216407</v>
          </cell>
          <cell r="U26">
            <v>214598.20900491485</v>
          </cell>
          <cell r="V26">
            <v>44329.137294621498</v>
          </cell>
          <cell r="W26">
            <v>23055.709624009083</v>
          </cell>
          <cell r="X26"/>
          <cell r="Y26"/>
          <cell r="Z26">
            <v>1619849.4524355568</v>
          </cell>
          <cell r="AA26">
            <v>43733.804999999993</v>
          </cell>
          <cell r="AB26">
            <v>-537.173</v>
          </cell>
          <cell r="AC26">
            <v>9100.2250000000004</v>
          </cell>
          <cell r="AD26">
            <v>19661.419000000002</v>
          </cell>
          <cell r="AE26"/>
          <cell r="AF26"/>
          <cell r="AG26"/>
          <cell r="AH26">
            <v>71958.275999999998</v>
          </cell>
          <cell r="AI26">
            <v>1691807.7284355606</v>
          </cell>
          <cell r="AJ26">
            <v>61175.451303368514</v>
          </cell>
          <cell r="AK26">
            <v>-93671.378408830511</v>
          </cell>
          <cell r="AL26">
            <v>-118522.56030999997</v>
          </cell>
          <cell r="AM26"/>
          <cell r="AN26">
            <v>-151018.48741546198</v>
          </cell>
          <cell r="AO26">
            <v>79524.75300000087</v>
          </cell>
          <cell r="AP26">
            <v>-855.83600000000001</v>
          </cell>
          <cell r="AQ26"/>
          <cell r="AR26"/>
          <cell r="AS26">
            <v>78668.91700000086</v>
          </cell>
          <cell r="AT26">
            <v>4056.6040000000003</v>
          </cell>
          <cell r="AU26">
            <v>-2025.8600000000006</v>
          </cell>
          <cell r="AV26">
            <v>61872.927000000003</v>
          </cell>
          <cell r="AW26"/>
          <cell r="AX26"/>
          <cell r="AY26"/>
          <cell r="AZ26"/>
          <cell r="BA26">
            <v>63903.671000000002</v>
          </cell>
          <cell r="BB26">
            <v>0</v>
          </cell>
          <cell r="BC26">
            <v>-15900.703999999998</v>
          </cell>
          <cell r="BD26">
            <v>250000</v>
          </cell>
          <cell r="BE26">
            <v>0</v>
          </cell>
          <cell r="BF26">
            <v>-41095.884999999995</v>
          </cell>
          <cell r="BG26">
            <v>0</v>
          </cell>
          <cell r="BH26"/>
          <cell r="BI26"/>
          <cell r="BJ26">
            <v>193003.41100000002</v>
          </cell>
          <cell r="BK26"/>
          <cell r="BL26"/>
          <cell r="BM26"/>
          <cell r="BN26"/>
          <cell r="BO26"/>
        </row>
        <row r="27">
          <cell r="F27">
            <v>1876365.2400200958</v>
          </cell>
          <cell r="G27">
            <v>174787.68838567441</v>
          </cell>
          <cell r="H27">
            <v>-31241.65890661606</v>
          </cell>
          <cell r="I27">
            <v>31757.439874016025</v>
          </cell>
          <cell r="J27">
            <v>24635.656255718826</v>
          </cell>
          <cell r="K27">
            <v>36307.657680086246</v>
          </cell>
          <cell r="L27">
            <v>106999.1167726378</v>
          </cell>
          <cell r="M27">
            <v>60379.681049081082</v>
          </cell>
          <cell r="N27">
            <v>35041.480371469581</v>
          </cell>
          <cell r="O27">
            <v>34060.273823003576</v>
          </cell>
          <cell r="P27">
            <v>178228.9270806486</v>
          </cell>
          <cell r="Q27">
            <v>141899.91855402268</v>
          </cell>
          <cell r="R27">
            <v>145583.57486084392</v>
          </cell>
          <cell r="S27">
            <v>300789.18729120854</v>
          </cell>
          <cell r="T27">
            <v>98637.453420216421</v>
          </cell>
          <cell r="U27">
            <v>214598.2090049148</v>
          </cell>
          <cell r="V27">
            <v>44329.137294621498</v>
          </cell>
          <cell r="W27">
            <v>23055.709624009076</v>
          </cell>
          <cell r="X27"/>
          <cell r="Y27"/>
          <cell r="Z27">
            <v>1619849.452435557</v>
          </cell>
          <cell r="AA27">
            <v>43733.804999999993</v>
          </cell>
          <cell r="AB27">
            <v>-537.173</v>
          </cell>
          <cell r="AC27">
            <v>9100.2250000000004</v>
          </cell>
          <cell r="AD27">
            <v>19661.419000000002</v>
          </cell>
          <cell r="AE27"/>
          <cell r="AF27"/>
          <cell r="AG27"/>
          <cell r="AH27">
            <v>71958.275999999983</v>
          </cell>
          <cell r="AI27">
            <v>1691807.7284355571</v>
          </cell>
          <cell r="AJ27">
            <v>61175.451303368522</v>
          </cell>
          <cell r="AK27">
            <v>-93671.378408830511</v>
          </cell>
          <cell r="AL27">
            <v>-118522.56030999997</v>
          </cell>
          <cell r="AM27"/>
          <cell r="AN27">
            <v>-151018.48741546198</v>
          </cell>
          <cell r="AO27">
            <v>79524.75300000087</v>
          </cell>
          <cell r="AP27">
            <v>-855.83600000000001</v>
          </cell>
          <cell r="AQ27"/>
          <cell r="AR27"/>
          <cell r="AS27">
            <v>78668.917000000874</v>
          </cell>
          <cell r="AT27">
            <v>4056.6040000000003</v>
          </cell>
          <cell r="AU27">
            <v>-2025.8600000000006</v>
          </cell>
          <cell r="AV27">
            <v>61872.927000000003</v>
          </cell>
          <cell r="AW27"/>
          <cell r="AX27"/>
          <cell r="AY27"/>
          <cell r="AZ27"/>
          <cell r="BA27">
            <v>63903.671000000002</v>
          </cell>
          <cell r="BB27">
            <v>0</v>
          </cell>
          <cell r="BC27">
            <v>-15900.703999999998</v>
          </cell>
          <cell r="BD27">
            <v>250000</v>
          </cell>
          <cell r="BE27">
            <v>0</v>
          </cell>
          <cell r="BF27">
            <v>-41095.884999999995</v>
          </cell>
          <cell r="BG27">
            <v>0</v>
          </cell>
          <cell r="BH27"/>
          <cell r="BI27"/>
          <cell r="BJ27">
            <v>193003.41100000002</v>
          </cell>
          <cell r="BK27"/>
          <cell r="BL27"/>
          <cell r="BM27"/>
          <cell r="BN27"/>
          <cell r="BO27"/>
        </row>
        <row r="28">
          <cell r="F28">
            <v>8.6147338151931763E-9</v>
          </cell>
          <cell r="G28">
            <v>0</v>
          </cell>
          <cell r="H28">
            <v>0</v>
          </cell>
          <cell r="I28">
            <v>2.9103830456733704E-11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3.4924596548080444E-9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29384</v>
          </cell>
          <cell r="H31">
            <v>23503</v>
          </cell>
          <cell r="I31">
            <v>19088</v>
          </cell>
          <cell r="J31">
            <v>10517</v>
          </cell>
          <cell r="K31">
            <v>15667</v>
          </cell>
          <cell r="L31">
            <v>17863</v>
          </cell>
          <cell r="M31">
            <v>16833</v>
          </cell>
          <cell r="N31">
            <v>18826</v>
          </cell>
          <cell r="O31">
            <v>12848</v>
          </cell>
          <cell r="P31">
            <v>16344</v>
          </cell>
          <cell r="Q31">
            <v>14626.5</v>
          </cell>
          <cell r="R31">
            <v>12604</v>
          </cell>
          <cell r="S31">
            <v>22751</v>
          </cell>
          <cell r="T31">
            <v>5818</v>
          </cell>
          <cell r="U31">
            <v>7413.5</v>
          </cell>
          <cell r="V31">
            <v>9380</v>
          </cell>
          <cell r="W31">
            <v>4057</v>
          </cell>
          <cell r="X31">
            <v>0</v>
          </cell>
          <cell r="Y31">
            <v>0</v>
          </cell>
          <cell r="Z31">
            <v>257523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257523</v>
          </cell>
          <cell r="AJ31">
            <v>14499</v>
          </cell>
          <cell r="AK31">
            <v>5778</v>
          </cell>
          <cell r="AL31">
            <v>29326</v>
          </cell>
          <cell r="AM31"/>
          <cell r="AN31">
            <v>49603</v>
          </cell>
          <cell r="AO31">
            <v>9545.7580000000016</v>
          </cell>
          <cell r="AP31">
            <v>0</v>
          </cell>
          <cell r="AQ31"/>
          <cell r="AR31"/>
          <cell r="AS31">
            <v>9545.7580000000016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36478222.056000009</v>
          </cell>
          <cell r="G32">
            <v>2958109.5860000001</v>
          </cell>
          <cell r="H32">
            <v>2336394.1929999995</v>
          </cell>
          <cell r="I32">
            <v>1820941.2</v>
          </cell>
          <cell r="J32">
            <v>995191.29200000002</v>
          </cell>
          <cell r="K32">
            <v>1760809.05</v>
          </cell>
          <cell r="L32">
            <v>1785411.12</v>
          </cell>
          <cell r="M32">
            <v>1558808.2</v>
          </cell>
          <cell r="N32">
            <v>1852611</v>
          </cell>
          <cell r="O32">
            <v>1134264.4099999999</v>
          </cell>
          <cell r="P32">
            <v>1663958.8</v>
          </cell>
          <cell r="Q32">
            <v>1424508.25</v>
          </cell>
          <cell r="R32">
            <v>1333942.5</v>
          </cell>
          <cell r="S32">
            <v>2254974.4300000002</v>
          </cell>
          <cell r="T32">
            <v>651912.30000000005</v>
          </cell>
          <cell r="U32">
            <v>868568.99600000004</v>
          </cell>
          <cell r="V32">
            <v>904971.24300000002</v>
          </cell>
          <cell r="W32">
            <v>491464.89899999998</v>
          </cell>
          <cell r="X32">
            <v>0</v>
          </cell>
          <cell r="Y32">
            <v>0</v>
          </cell>
          <cell r="Z32">
            <v>25796841.469000001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/>
          <cell r="AF32"/>
          <cell r="AG32"/>
          <cell r="AH32">
            <v>90840</v>
          </cell>
          <cell r="AI32">
            <v>25887681.469000001</v>
          </cell>
          <cell r="AJ32">
            <v>414507.5</v>
          </cell>
          <cell r="AK32">
            <v>93250</v>
          </cell>
          <cell r="AL32">
            <v>513753</v>
          </cell>
          <cell r="AM32"/>
          <cell r="AN32">
            <v>1021510.5</v>
          </cell>
          <cell r="AO32">
            <v>9493178.4600000009</v>
          </cell>
          <cell r="AP32">
            <v>0</v>
          </cell>
          <cell r="AQ32"/>
          <cell r="AR32"/>
          <cell r="AS32">
            <v>9493178.4600000009</v>
          </cell>
          <cell r="AT32">
            <v>5512.5</v>
          </cell>
          <cell r="AU32">
            <v>6650</v>
          </cell>
          <cell r="AV32">
            <v>61872.927000000003</v>
          </cell>
          <cell r="AW32"/>
          <cell r="AX32"/>
          <cell r="AY32"/>
          <cell r="AZ32"/>
          <cell r="BA32">
            <v>74035.426999999996</v>
          </cell>
          <cell r="BB32">
            <v>0</v>
          </cell>
          <cell r="BC32">
            <v>1816.2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1816.2</v>
          </cell>
        </row>
        <row r="33">
          <cell r="F33">
            <v>32564666.398980003</v>
          </cell>
          <cell r="G33">
            <v>2578883.2420000001</v>
          </cell>
          <cell r="H33">
            <v>2199445.3369900007</v>
          </cell>
          <cell r="I33">
            <v>1660314.6189999999</v>
          </cell>
          <cell r="J33">
            <v>894057.25</v>
          </cell>
          <cell r="K33">
            <v>1600388.1910000001</v>
          </cell>
          <cell r="L33">
            <v>1551221.1789999998</v>
          </cell>
          <cell r="M33">
            <v>1391293.6360000002</v>
          </cell>
          <cell r="N33">
            <v>1688215.0419999999</v>
          </cell>
          <cell r="O33">
            <v>1023095.228</v>
          </cell>
          <cell r="P33">
            <v>1367939.5989999999</v>
          </cell>
          <cell r="Q33">
            <v>1184307.085</v>
          </cell>
          <cell r="R33">
            <v>1100033.46</v>
          </cell>
          <cell r="S33">
            <v>1808980.0329999998</v>
          </cell>
          <cell r="T33">
            <v>512109.46100000001</v>
          </cell>
          <cell r="U33">
            <v>606825.21799999999</v>
          </cell>
          <cell r="V33">
            <v>794648.15500000003</v>
          </cell>
          <cell r="W33">
            <v>433054.61699999997</v>
          </cell>
          <cell r="X33">
            <v>0</v>
          </cell>
          <cell r="Y33">
            <v>0</v>
          </cell>
          <cell r="Z33">
            <v>22394811.351989999</v>
          </cell>
          <cell r="AA33">
            <v>6266.1949999999997</v>
          </cell>
          <cell r="AB33">
            <v>0</v>
          </cell>
          <cell r="AC33">
            <v>3399.7750000000001</v>
          </cell>
          <cell r="AD33">
            <v>8678.5810000000001</v>
          </cell>
          <cell r="AE33"/>
          <cell r="AF33"/>
          <cell r="AG33"/>
          <cell r="AH33">
            <v>18344.550999999999</v>
          </cell>
          <cell r="AI33">
            <v>22413155.902989998</v>
          </cell>
          <cell r="AJ33">
            <v>335668.33199999999</v>
          </cell>
          <cell r="AK33">
            <v>152037.87599</v>
          </cell>
          <cell r="AL33">
            <v>610952.75899999996</v>
          </cell>
          <cell r="AM33"/>
          <cell r="AN33">
            <v>1098658.9669900001</v>
          </cell>
          <cell r="AO33">
            <v>9292719.773</v>
          </cell>
          <cell r="AP33">
            <v>0</v>
          </cell>
          <cell r="AQ33"/>
          <cell r="AR33"/>
          <cell r="AS33">
            <v>9292719.773</v>
          </cell>
          <cell r="AT33">
            <v>1455.896</v>
          </cell>
          <cell r="AU33">
            <v>8675.86</v>
          </cell>
          <cell r="AV33">
            <v>0</v>
          </cell>
          <cell r="AW33"/>
          <cell r="AX33"/>
          <cell r="AY33"/>
          <cell r="AZ33"/>
          <cell r="BA33">
            <v>10131.756000000001</v>
          </cell>
          <cell r="BB33">
            <v>0</v>
          </cell>
          <cell r="BC33">
            <v>0</v>
          </cell>
          <cell r="BD33">
            <v>-250000</v>
          </cell>
          <cell r="BE33">
            <v>0</v>
          </cell>
          <cell r="BF33">
            <v>0</v>
          </cell>
          <cell r="BG33">
            <v>0</v>
          </cell>
          <cell r="BH33"/>
          <cell r="BI33"/>
          <cell r="BJ33">
            <v>-250000</v>
          </cell>
        </row>
        <row r="34">
          <cell r="F34">
            <v>3913555.6570200063</v>
          </cell>
          <cell r="G34">
            <v>379226.34400000004</v>
          </cell>
          <cell r="H34">
            <v>136948.85600999882</v>
          </cell>
          <cell r="I34">
            <v>160626.58100000001</v>
          </cell>
          <cell r="J34">
            <v>101134.04200000002</v>
          </cell>
          <cell r="K34">
            <v>160420.85899999994</v>
          </cell>
          <cell r="L34">
            <v>234189.94100000034</v>
          </cell>
          <cell r="M34">
            <v>167514.56399999978</v>
          </cell>
          <cell r="N34">
            <v>164395.9580000001</v>
          </cell>
          <cell r="O34">
            <v>111169.18199999991</v>
          </cell>
          <cell r="P34">
            <v>296019.20100000012</v>
          </cell>
          <cell r="Q34">
            <v>240201.16500000004</v>
          </cell>
          <cell r="R34">
            <v>233909.04000000004</v>
          </cell>
          <cell r="S34">
            <v>445994.39700000035</v>
          </cell>
          <cell r="T34">
            <v>139802.83900000004</v>
          </cell>
          <cell r="U34">
            <v>261743.77800000005</v>
          </cell>
          <cell r="V34">
            <v>110323.08799999999</v>
          </cell>
          <cell r="W34">
            <v>58410.282000000007</v>
          </cell>
          <cell r="X34">
            <v>0</v>
          </cell>
          <cell r="Y34">
            <v>0</v>
          </cell>
          <cell r="Z34">
            <v>3402030.1170100011</v>
          </cell>
          <cell r="AA34">
            <v>43733.805</v>
          </cell>
          <cell r="AB34">
            <v>0</v>
          </cell>
          <cell r="AC34">
            <v>9100.2250000000004</v>
          </cell>
          <cell r="AD34">
            <v>19661.419000000002</v>
          </cell>
          <cell r="AE34"/>
          <cell r="AF34"/>
          <cell r="AG34"/>
          <cell r="AH34">
            <v>72495.448999999993</v>
          </cell>
          <cell r="AI34">
            <v>3474525.566010002</v>
          </cell>
          <cell r="AJ34">
            <v>78839.168000000005</v>
          </cell>
          <cell r="AK34">
            <v>-58787.87599</v>
          </cell>
          <cell r="AL34">
            <v>-97199.758999999962</v>
          </cell>
          <cell r="AM34"/>
          <cell r="AN34">
            <v>-77148.466990000103</v>
          </cell>
          <cell r="AO34">
            <v>200458.68700000085</v>
          </cell>
          <cell r="AP34">
            <v>0</v>
          </cell>
          <cell r="AQ34"/>
          <cell r="AR34"/>
          <cell r="AS34">
            <v>200458.68700000085</v>
          </cell>
          <cell r="AT34">
            <v>4056.6040000000003</v>
          </cell>
          <cell r="AU34">
            <v>-2025.8600000000006</v>
          </cell>
          <cell r="AV34">
            <v>61872.927000000003</v>
          </cell>
          <cell r="AW34"/>
          <cell r="AX34"/>
          <cell r="AY34"/>
          <cell r="AZ34"/>
          <cell r="BA34">
            <v>63903.670999999995</v>
          </cell>
          <cell r="BB34">
            <v>0</v>
          </cell>
          <cell r="BC34">
            <v>1816.2</v>
          </cell>
          <cell r="BD34">
            <v>250000</v>
          </cell>
          <cell r="BE34">
            <v>0</v>
          </cell>
          <cell r="BF34">
            <v>0</v>
          </cell>
          <cell r="BG34">
            <v>0</v>
          </cell>
          <cell r="BH34"/>
          <cell r="BI34"/>
          <cell r="BJ34">
            <v>251816.2</v>
          </cell>
        </row>
        <row r="35">
          <cell r="F35">
            <v>2037190.416999904</v>
          </cell>
          <cell r="G35">
            <v>204438.65561432549</v>
          </cell>
          <cell r="H35">
            <v>168190.51491661507</v>
          </cell>
          <cell r="I35">
            <v>128869.14112598386</v>
          </cell>
          <cell r="J35">
            <v>76498.385744281157</v>
          </cell>
          <cell r="K35">
            <v>124113.2013199138</v>
          </cell>
          <cell r="L35">
            <v>127190.82422736249</v>
          </cell>
          <cell r="M35">
            <v>107134.88295091868</v>
          </cell>
          <cell r="N35">
            <v>129354.47762853044</v>
          </cell>
          <cell r="O35">
            <v>77108.908176996381</v>
          </cell>
          <cell r="P35">
            <v>117790.27391935152</v>
          </cell>
          <cell r="Q35">
            <v>98301.246445977333</v>
          </cell>
          <cell r="R35">
            <v>88325.465139156018</v>
          </cell>
          <cell r="S35">
            <v>145205.20970879172</v>
          </cell>
          <cell r="T35">
            <v>41165.385579783651</v>
          </cell>
          <cell r="U35">
            <v>47145.568995085174</v>
          </cell>
          <cell r="V35">
            <v>65993.950705378535</v>
          </cell>
          <cell r="W35">
            <v>35354.572375990952</v>
          </cell>
          <cell r="X35">
            <v>0</v>
          </cell>
          <cell r="Y35">
            <v>0</v>
          </cell>
          <cell r="Z35">
            <v>1782180.664574442</v>
          </cell>
          <cell r="AA35">
            <v>0</v>
          </cell>
          <cell r="AB35">
            <v>537.173</v>
          </cell>
          <cell r="AC35">
            <v>0</v>
          </cell>
          <cell r="AD35">
            <v>0</v>
          </cell>
          <cell r="AE35"/>
          <cell r="AF35"/>
          <cell r="AG35"/>
          <cell r="AH35">
            <v>537.173</v>
          </cell>
          <cell r="AI35">
            <v>1782717.8375744419</v>
          </cell>
          <cell r="AJ35">
            <v>17663.716696631462</v>
          </cell>
          <cell r="AK35">
            <v>34883.502418830503</v>
          </cell>
          <cell r="AL35">
            <v>21322.801309999999</v>
          </cell>
          <cell r="AM35"/>
          <cell r="AN35">
            <v>73870.02042546196</v>
          </cell>
          <cell r="AO35">
            <v>120933.93399999998</v>
          </cell>
          <cell r="AP35">
            <v>855.83600000000001</v>
          </cell>
          <cell r="AQ35"/>
          <cell r="AR35"/>
          <cell r="AS35">
            <v>121789.76999999997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17716.903999999999</v>
          </cell>
          <cell r="BD35">
            <v>0</v>
          </cell>
          <cell r="BE35">
            <v>0</v>
          </cell>
          <cell r="BF35">
            <v>41095.884999999995</v>
          </cell>
          <cell r="BG35">
            <v>0</v>
          </cell>
          <cell r="BH35"/>
          <cell r="BI35"/>
          <cell r="BJ35">
            <v>58812.78899999999</v>
          </cell>
        </row>
        <row r="36">
          <cell r="F36">
            <v>1876365.2400201024</v>
          </cell>
          <cell r="G36">
            <v>174787.68838567456</v>
          </cell>
          <cell r="H36">
            <v>-31241.658906616241</v>
          </cell>
          <cell r="I36">
            <v>31757.439874016141</v>
          </cell>
          <cell r="J36">
            <v>24635.656255718859</v>
          </cell>
          <cell r="K36">
            <v>36307.657680086137</v>
          </cell>
          <cell r="L36">
            <v>106999.11677263785</v>
          </cell>
          <cell r="M36">
            <v>60379.681049081104</v>
          </cell>
          <cell r="N36">
            <v>35041.480371469661</v>
          </cell>
          <cell r="O36">
            <v>34060.273823003532</v>
          </cell>
          <cell r="P36">
            <v>178228.9270806486</v>
          </cell>
          <cell r="Q36">
            <v>141899.9185540227</v>
          </cell>
          <cell r="R36">
            <v>145583.574860844</v>
          </cell>
          <cell r="S36">
            <v>300789.18729120865</v>
          </cell>
          <cell r="T36">
            <v>98637.453420216392</v>
          </cell>
          <cell r="U36">
            <v>214598.20900491488</v>
          </cell>
          <cell r="V36">
            <v>44329.137294621454</v>
          </cell>
          <cell r="W36">
            <v>23055.709624009054</v>
          </cell>
          <cell r="X36">
            <v>0</v>
          </cell>
          <cell r="Y36">
            <v>0</v>
          </cell>
          <cell r="Z36">
            <v>1619849.4524355591</v>
          </cell>
          <cell r="AA36">
            <v>43733.805</v>
          </cell>
          <cell r="AB36">
            <v>-537.173</v>
          </cell>
          <cell r="AC36">
            <v>9100.2250000000004</v>
          </cell>
          <cell r="AD36">
            <v>19661.419000000002</v>
          </cell>
          <cell r="AE36"/>
          <cell r="AF36"/>
          <cell r="AG36"/>
          <cell r="AH36">
            <v>71958.275999999998</v>
          </cell>
          <cell r="AI36">
            <v>1691807.7284355601</v>
          </cell>
          <cell r="AJ36">
            <v>61175.451303368543</v>
          </cell>
          <cell r="AK36">
            <v>-93671.378408830496</v>
          </cell>
          <cell r="AL36">
            <v>-118522.56030999996</v>
          </cell>
          <cell r="AM36"/>
          <cell r="AN36">
            <v>-151018.48741546206</v>
          </cell>
          <cell r="AO36">
            <v>79524.75300000087</v>
          </cell>
          <cell r="AP36">
            <v>-855.83600000000001</v>
          </cell>
          <cell r="AQ36"/>
          <cell r="AR36"/>
          <cell r="AS36">
            <v>78668.917000000874</v>
          </cell>
          <cell r="AT36">
            <v>4056.6040000000003</v>
          </cell>
          <cell r="AU36">
            <v>-2025.8600000000006</v>
          </cell>
          <cell r="AV36">
            <v>61872.927000000003</v>
          </cell>
          <cell r="AW36"/>
          <cell r="AX36"/>
          <cell r="AY36"/>
          <cell r="AZ36"/>
          <cell r="BA36">
            <v>63903.670999999995</v>
          </cell>
          <cell r="BB36">
            <v>0</v>
          </cell>
          <cell r="BC36">
            <v>-15900.703999999998</v>
          </cell>
          <cell r="BD36">
            <v>250000</v>
          </cell>
          <cell r="BE36">
            <v>0</v>
          </cell>
          <cell r="BF36">
            <v>-41095.884999999995</v>
          </cell>
          <cell r="BG36">
            <v>0</v>
          </cell>
          <cell r="BH36"/>
          <cell r="BI36"/>
          <cell r="BJ36">
            <v>193003.41100000002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-10980</v>
          </cell>
          <cell r="AK38">
            <v>-4598</v>
          </cell>
          <cell r="AL38">
            <v>-21326</v>
          </cell>
          <cell r="AM38"/>
          <cell r="AN38">
            <v>-36904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-780511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-317616</v>
          </cell>
          <cell r="AK39">
            <v>-77910</v>
          </cell>
          <cell r="AL39">
            <v>-384985</v>
          </cell>
          <cell r="AM39"/>
          <cell r="AN39">
            <v>-780511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-780511</v>
          </cell>
          <cell r="G40"/>
          <cell r="H40"/>
          <cell r="I40"/>
          <cell r="J40"/>
          <cell r="K40">
            <v>-20386.696</v>
          </cell>
          <cell r="L40">
            <v>82441.979000000007</v>
          </cell>
          <cell r="M40">
            <v>-9951.7990000000009</v>
          </cell>
          <cell r="N40">
            <v>-13469.396000000001</v>
          </cell>
          <cell r="O40">
            <v>245.73099999999999</v>
          </cell>
          <cell r="P40">
            <v>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38879.81900000001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38879.81900000001</v>
          </cell>
          <cell r="AJ40">
            <v>-254191.86300000001</v>
          </cell>
          <cell r="AK40">
            <v>-120924.947</v>
          </cell>
          <cell r="AL40">
            <v>-444274.00900000002</v>
          </cell>
          <cell r="AM40"/>
          <cell r="AN40">
            <v>-819390.81900000002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20386.696</v>
          </cell>
          <cell r="L41">
            <v>-82441.979000000007</v>
          </cell>
          <cell r="M41">
            <v>9951.7990000000009</v>
          </cell>
          <cell r="N41">
            <v>13469.396000000001</v>
          </cell>
          <cell r="O41">
            <v>-245.73099999999999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-38879.81900000001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-38879.81900000001</v>
          </cell>
          <cell r="AJ41">
            <v>-63424.136999999988</v>
          </cell>
          <cell r="AK41">
            <v>43014.947</v>
          </cell>
          <cell r="AL41">
            <v>59289.00900000002</v>
          </cell>
          <cell r="AM41"/>
          <cell r="AN41">
            <v>38879.819000000018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20386.696</v>
          </cell>
          <cell r="L43">
            <v>-82441.979000000007</v>
          </cell>
          <cell r="M43">
            <v>9951.7990000000009</v>
          </cell>
          <cell r="N43">
            <v>13469.396000000001</v>
          </cell>
          <cell r="O43">
            <v>-245.73099999999999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-38879.81900000001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-38879.81900000001</v>
          </cell>
          <cell r="AJ43">
            <v>-63424.136999999988</v>
          </cell>
          <cell r="AK43">
            <v>43014.947</v>
          </cell>
          <cell r="AL43">
            <v>59289.00900000002</v>
          </cell>
          <cell r="AM43"/>
          <cell r="AN43">
            <v>38879.819000000018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29384</v>
          </cell>
          <cell r="H45">
            <v>23503</v>
          </cell>
          <cell r="I45">
            <v>19088</v>
          </cell>
          <cell r="J45">
            <v>10517</v>
          </cell>
          <cell r="K45">
            <v>15667</v>
          </cell>
          <cell r="L45">
            <v>17863</v>
          </cell>
          <cell r="M45">
            <v>16833</v>
          </cell>
          <cell r="N45">
            <v>18826</v>
          </cell>
          <cell r="O45">
            <v>12848</v>
          </cell>
          <cell r="P45">
            <v>16344</v>
          </cell>
          <cell r="Q45">
            <v>14626.5</v>
          </cell>
          <cell r="R45">
            <v>12604</v>
          </cell>
          <cell r="S45">
            <v>22751</v>
          </cell>
          <cell r="T45">
            <v>5818</v>
          </cell>
          <cell r="U45">
            <v>7413.5</v>
          </cell>
          <cell r="V45">
            <v>9380</v>
          </cell>
          <cell r="W45">
            <v>4057</v>
          </cell>
          <cell r="X45">
            <v>0</v>
          </cell>
          <cell r="Y45">
            <v>0</v>
          </cell>
          <cell r="Z45">
            <v>257523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257523</v>
          </cell>
          <cell r="AJ45">
            <v>3519</v>
          </cell>
          <cell r="AK45">
            <v>1180</v>
          </cell>
          <cell r="AL45">
            <v>8000</v>
          </cell>
          <cell r="AM45"/>
          <cell r="AN45">
            <v>12699</v>
          </cell>
          <cell r="AO45">
            <v>9545.7580000000016</v>
          </cell>
          <cell r="AP45">
            <v>0</v>
          </cell>
          <cell r="AQ45"/>
          <cell r="AR45"/>
          <cell r="AS45">
            <v>9545.7580000000016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35697711.056000009</v>
          </cell>
          <cell r="G46">
            <v>2958109.5860000001</v>
          </cell>
          <cell r="H46">
            <v>2336394.1929999995</v>
          </cell>
          <cell r="I46">
            <v>1820941.2</v>
          </cell>
          <cell r="J46">
            <v>995191.29200000002</v>
          </cell>
          <cell r="K46">
            <v>1760809.05</v>
          </cell>
          <cell r="L46">
            <v>1785411.12</v>
          </cell>
          <cell r="M46">
            <v>1558808.2</v>
          </cell>
          <cell r="N46">
            <v>1852611</v>
          </cell>
          <cell r="O46">
            <v>1134264.4099999999</v>
          </cell>
          <cell r="P46">
            <v>1663958.8</v>
          </cell>
          <cell r="Q46">
            <v>1424508.25</v>
          </cell>
          <cell r="R46">
            <v>1333942.5</v>
          </cell>
          <cell r="S46">
            <v>2254974.4300000002</v>
          </cell>
          <cell r="T46">
            <v>651912.30000000005</v>
          </cell>
          <cell r="U46">
            <v>868568.99600000004</v>
          </cell>
          <cell r="V46">
            <v>904971.24300000002</v>
          </cell>
          <cell r="W46">
            <v>491464.89899999998</v>
          </cell>
          <cell r="X46">
            <v>0</v>
          </cell>
          <cell r="Y46">
            <v>0</v>
          </cell>
          <cell r="Z46">
            <v>25796841.469000001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/>
          <cell r="AF46"/>
          <cell r="AG46"/>
          <cell r="AH46">
            <v>90840</v>
          </cell>
          <cell r="AI46">
            <v>25887681.469000001</v>
          </cell>
          <cell r="AJ46">
            <v>96891.5</v>
          </cell>
          <cell r="AK46">
            <v>15340</v>
          </cell>
          <cell r="AL46">
            <v>128768</v>
          </cell>
          <cell r="AM46"/>
          <cell r="AN46">
            <v>240999.5</v>
          </cell>
          <cell r="AO46">
            <v>9493178.4600000009</v>
          </cell>
          <cell r="AP46">
            <v>0</v>
          </cell>
          <cell r="AQ46"/>
          <cell r="AR46"/>
          <cell r="AS46">
            <v>9493178.4600000009</v>
          </cell>
          <cell r="AT46">
            <v>5512.5</v>
          </cell>
          <cell r="AU46">
            <v>6650</v>
          </cell>
          <cell r="AV46">
            <v>61872.927000000003</v>
          </cell>
          <cell r="AW46"/>
          <cell r="AX46"/>
          <cell r="AY46"/>
          <cell r="AZ46"/>
          <cell r="BA46">
            <v>74035.426999999996</v>
          </cell>
          <cell r="BB46">
            <v>0</v>
          </cell>
          <cell r="BC46">
            <v>1816.2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1816.2</v>
          </cell>
        </row>
        <row r="47">
          <cell r="F47">
            <v>31784155.398979995</v>
          </cell>
          <cell r="G47">
            <v>2578883.2420000001</v>
          </cell>
          <cell r="H47">
            <v>2199445.3369900007</v>
          </cell>
          <cell r="I47">
            <v>1660314.6189999999</v>
          </cell>
          <cell r="J47">
            <v>894057.25</v>
          </cell>
          <cell r="K47">
            <v>1580001.4950000001</v>
          </cell>
          <cell r="L47">
            <v>1633663.1579999998</v>
          </cell>
          <cell r="M47">
            <v>1381341.8370000001</v>
          </cell>
          <cell r="N47">
            <v>1674745.6459999999</v>
          </cell>
          <cell r="O47">
            <v>1023340.959</v>
          </cell>
          <cell r="P47">
            <v>1367939.5989999999</v>
          </cell>
          <cell r="Q47">
            <v>1184307.085</v>
          </cell>
          <cell r="R47">
            <v>1100033.46</v>
          </cell>
          <cell r="S47">
            <v>1808980.0329999998</v>
          </cell>
          <cell r="T47">
            <v>512109.46100000001</v>
          </cell>
          <cell r="U47">
            <v>606825.21799999999</v>
          </cell>
          <cell r="V47">
            <v>794648.15500000003</v>
          </cell>
          <cell r="W47">
            <v>433054.61699999997</v>
          </cell>
          <cell r="X47">
            <v>0</v>
          </cell>
          <cell r="Y47">
            <v>0</v>
          </cell>
          <cell r="Z47">
            <v>22433691.170989998</v>
          </cell>
          <cell r="AA47">
            <v>6266.1949999999997</v>
          </cell>
          <cell r="AB47">
            <v>0</v>
          </cell>
          <cell r="AC47">
            <v>3399.7750000000001</v>
          </cell>
          <cell r="AD47">
            <v>8678.5810000000001</v>
          </cell>
          <cell r="AE47"/>
          <cell r="AF47"/>
          <cell r="AG47"/>
          <cell r="AH47">
            <v>18344.550999999999</v>
          </cell>
          <cell r="AI47">
            <v>22452035.721989997</v>
          </cell>
          <cell r="AJ47">
            <v>81476.468999999983</v>
          </cell>
          <cell r="AK47">
            <v>31112.92899</v>
          </cell>
          <cell r="AL47">
            <v>166678.74999999994</v>
          </cell>
          <cell r="AM47"/>
          <cell r="AN47">
            <v>279268.14798999991</v>
          </cell>
          <cell r="AO47">
            <v>9292719.773</v>
          </cell>
          <cell r="AP47">
            <v>0</v>
          </cell>
          <cell r="AQ47"/>
          <cell r="AR47"/>
          <cell r="AS47">
            <v>9292719.773</v>
          </cell>
          <cell r="AT47">
            <v>1455.896</v>
          </cell>
          <cell r="AU47">
            <v>8675.86</v>
          </cell>
          <cell r="AV47">
            <v>0</v>
          </cell>
          <cell r="AW47"/>
          <cell r="AX47"/>
          <cell r="AY47"/>
          <cell r="AZ47"/>
          <cell r="BA47">
            <v>10131.756000000001</v>
          </cell>
          <cell r="BB47">
            <v>0</v>
          </cell>
          <cell r="BC47">
            <v>0</v>
          </cell>
          <cell r="BD47">
            <v>-250000</v>
          </cell>
          <cell r="BE47">
            <v>0</v>
          </cell>
          <cell r="BF47">
            <v>0</v>
          </cell>
          <cell r="BG47">
            <v>0</v>
          </cell>
          <cell r="BH47"/>
          <cell r="BI47"/>
          <cell r="BJ47">
            <v>-250000</v>
          </cell>
        </row>
        <row r="48">
          <cell r="F48">
            <v>3913555.6570200138</v>
          </cell>
          <cell r="G48">
            <v>379226.34400000004</v>
          </cell>
          <cell r="H48">
            <v>136948.85600999882</v>
          </cell>
          <cell r="I48">
            <v>160626.58100000001</v>
          </cell>
          <cell r="J48">
            <v>101134.04200000002</v>
          </cell>
          <cell r="K48">
            <v>180807.55499999993</v>
          </cell>
          <cell r="L48">
            <v>151747.96200000029</v>
          </cell>
          <cell r="M48">
            <v>177466.3629999999</v>
          </cell>
          <cell r="N48">
            <v>177865.35400000005</v>
          </cell>
          <cell r="O48">
            <v>110923.45099999988</v>
          </cell>
          <cell r="P48">
            <v>296019.20100000012</v>
          </cell>
          <cell r="Q48">
            <v>240201.16500000004</v>
          </cell>
          <cell r="R48">
            <v>233909.04000000004</v>
          </cell>
          <cell r="S48">
            <v>445994.39700000035</v>
          </cell>
          <cell r="T48">
            <v>139802.83900000004</v>
          </cell>
          <cell r="U48">
            <v>261743.77800000005</v>
          </cell>
          <cell r="V48">
            <v>110323.08799999999</v>
          </cell>
          <cell r="W48">
            <v>58410.282000000007</v>
          </cell>
          <cell r="X48">
            <v>0</v>
          </cell>
          <cell r="Y48">
            <v>0</v>
          </cell>
          <cell r="Z48">
            <v>3363150.2980100028</v>
          </cell>
          <cell r="AA48">
            <v>43733.805</v>
          </cell>
          <cell r="AB48">
            <v>0</v>
          </cell>
          <cell r="AC48">
            <v>9100.2250000000004</v>
          </cell>
          <cell r="AD48">
            <v>19661.419000000002</v>
          </cell>
          <cell r="AE48"/>
          <cell r="AF48"/>
          <cell r="AG48"/>
          <cell r="AH48">
            <v>72495.448999999993</v>
          </cell>
          <cell r="AI48">
            <v>3435645.7470100038</v>
          </cell>
          <cell r="AJ48">
            <v>15415.031000000017</v>
          </cell>
          <cell r="AK48">
            <v>-15772.92899</v>
          </cell>
          <cell r="AL48">
            <v>-37910.749999999942</v>
          </cell>
          <cell r="AM48"/>
          <cell r="AN48">
            <v>-38268.64798999991</v>
          </cell>
          <cell r="AO48">
            <v>200458.68700000085</v>
          </cell>
          <cell r="AP48">
            <v>0</v>
          </cell>
          <cell r="AQ48"/>
          <cell r="AR48"/>
          <cell r="AS48">
            <v>200458.68700000085</v>
          </cell>
          <cell r="AT48">
            <v>4056.6040000000003</v>
          </cell>
          <cell r="AU48">
            <v>-2025.8600000000006</v>
          </cell>
          <cell r="AV48">
            <v>61872.927000000003</v>
          </cell>
          <cell r="AW48"/>
          <cell r="AX48"/>
          <cell r="AY48"/>
          <cell r="AZ48"/>
          <cell r="BA48">
            <v>63903.670999999995</v>
          </cell>
          <cell r="BB48">
            <v>0</v>
          </cell>
          <cell r="BC48">
            <v>1816.2</v>
          </cell>
          <cell r="BD48">
            <v>250000</v>
          </cell>
          <cell r="BE48">
            <v>0</v>
          </cell>
          <cell r="BF48">
            <v>0</v>
          </cell>
          <cell r="BG48">
            <v>0</v>
          </cell>
          <cell r="BH48"/>
          <cell r="BI48"/>
          <cell r="BJ48">
            <v>251816.2</v>
          </cell>
        </row>
        <row r="49">
          <cell r="F49">
            <v>2037190.416999904</v>
          </cell>
          <cell r="G49">
            <v>204438.65561432549</v>
          </cell>
          <cell r="H49">
            <v>168190.51491661507</v>
          </cell>
          <cell r="I49">
            <v>128869.14112598386</v>
          </cell>
          <cell r="J49">
            <v>76498.385744281157</v>
          </cell>
          <cell r="K49">
            <v>124113.2013199138</v>
          </cell>
          <cell r="L49">
            <v>127190.82422736249</v>
          </cell>
          <cell r="M49">
            <v>107134.88295091868</v>
          </cell>
          <cell r="N49">
            <v>129354.47762853044</v>
          </cell>
          <cell r="O49">
            <v>77108.908176996381</v>
          </cell>
          <cell r="P49">
            <v>117790.27391935152</v>
          </cell>
          <cell r="Q49">
            <v>98301.246445977333</v>
          </cell>
          <cell r="R49">
            <v>88325.465139156018</v>
          </cell>
          <cell r="S49">
            <v>145205.20970879172</v>
          </cell>
          <cell r="T49">
            <v>41165.385579783651</v>
          </cell>
          <cell r="U49">
            <v>47145.568995085174</v>
          </cell>
          <cell r="V49">
            <v>65993.950705378535</v>
          </cell>
          <cell r="W49">
            <v>35354.572375990952</v>
          </cell>
          <cell r="X49">
            <v>0</v>
          </cell>
          <cell r="Y49">
            <v>0</v>
          </cell>
          <cell r="Z49">
            <v>1782180.664574442</v>
          </cell>
          <cell r="AA49">
            <v>0</v>
          </cell>
          <cell r="AB49">
            <v>537.173</v>
          </cell>
          <cell r="AC49">
            <v>0</v>
          </cell>
          <cell r="AD49">
            <v>0</v>
          </cell>
          <cell r="AE49"/>
          <cell r="AF49"/>
          <cell r="AG49"/>
          <cell r="AH49">
            <v>537.173</v>
          </cell>
          <cell r="AI49">
            <v>1782717.8375744419</v>
          </cell>
          <cell r="AJ49">
            <v>17663.716696631462</v>
          </cell>
          <cell r="AK49">
            <v>34883.502418830503</v>
          </cell>
          <cell r="AL49">
            <v>21322.801309999999</v>
          </cell>
          <cell r="AM49"/>
          <cell r="AN49">
            <v>73870.02042546196</v>
          </cell>
          <cell r="AO49">
            <v>120933.93399999998</v>
          </cell>
          <cell r="AP49">
            <v>855.83600000000001</v>
          </cell>
          <cell r="AQ49"/>
          <cell r="AR49"/>
          <cell r="AS49">
            <v>121789.76999999997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17716.903999999999</v>
          </cell>
          <cell r="BD49">
            <v>0</v>
          </cell>
          <cell r="BE49">
            <v>0</v>
          </cell>
          <cell r="BF49">
            <v>41095.884999999995</v>
          </cell>
          <cell r="BG49">
            <v>0</v>
          </cell>
          <cell r="BH49"/>
          <cell r="BI49"/>
          <cell r="BJ49">
            <v>58812.78899999999</v>
          </cell>
        </row>
        <row r="50">
          <cell r="F50">
            <v>1876365.2400201098</v>
          </cell>
          <cell r="G50">
            <v>174787.68838567456</v>
          </cell>
          <cell r="H50">
            <v>-31241.658906616241</v>
          </cell>
          <cell r="I50">
            <v>31757.439874016141</v>
          </cell>
          <cell r="J50">
            <v>24635.656255718859</v>
          </cell>
          <cell r="K50">
            <v>56694.353680086133</v>
          </cell>
          <cell r="L50">
            <v>24557.137772637798</v>
          </cell>
          <cell r="M50">
            <v>70331.480049081219</v>
          </cell>
          <cell r="N50">
            <v>48510.876371469611</v>
          </cell>
          <cell r="O50">
            <v>33814.542823003503</v>
          </cell>
          <cell r="P50">
            <v>178228.9270806486</v>
          </cell>
          <cell r="Q50">
            <v>141899.9185540227</v>
          </cell>
          <cell r="R50">
            <v>145583.574860844</v>
          </cell>
          <cell r="S50">
            <v>300789.18729120865</v>
          </cell>
          <cell r="T50">
            <v>98637.453420216392</v>
          </cell>
          <cell r="U50">
            <v>214598.20900491488</v>
          </cell>
          <cell r="V50">
            <v>44329.137294621454</v>
          </cell>
          <cell r="W50">
            <v>23055.709624009054</v>
          </cell>
          <cell r="X50">
            <v>0</v>
          </cell>
          <cell r="Y50">
            <v>0</v>
          </cell>
          <cell r="Z50">
            <v>1580969.6334355609</v>
          </cell>
          <cell r="AA50">
            <v>43733.805</v>
          </cell>
          <cell r="AB50">
            <v>-537.173</v>
          </cell>
          <cell r="AC50">
            <v>9100.2250000000004</v>
          </cell>
          <cell r="AD50">
            <v>19661.419000000002</v>
          </cell>
          <cell r="AE50"/>
          <cell r="AF50"/>
          <cell r="AG50"/>
          <cell r="AH50">
            <v>71958.275999999998</v>
          </cell>
          <cell r="AI50">
            <v>1652927.9094355619</v>
          </cell>
          <cell r="AJ50">
            <v>-2248.6856966314444</v>
          </cell>
          <cell r="AK50">
            <v>-50656.431408830504</v>
          </cell>
          <cell r="AL50">
            <v>-59233.551309999937</v>
          </cell>
          <cell r="AM50"/>
          <cell r="AN50">
            <v>-112138.66841546187</v>
          </cell>
          <cell r="AO50">
            <v>79524.75300000087</v>
          </cell>
          <cell r="AP50">
            <v>-855.83600000000001</v>
          </cell>
          <cell r="AQ50"/>
          <cell r="AR50"/>
          <cell r="AS50">
            <v>78668.917000000874</v>
          </cell>
          <cell r="AT50">
            <v>4056.6040000000003</v>
          </cell>
          <cell r="AU50">
            <v>-2025.8600000000006</v>
          </cell>
          <cell r="AV50">
            <v>61872.927000000003</v>
          </cell>
          <cell r="AW50"/>
          <cell r="AX50"/>
          <cell r="AY50"/>
          <cell r="AZ50"/>
          <cell r="BA50">
            <v>63903.670999999995</v>
          </cell>
          <cell r="BB50">
            <v>0</v>
          </cell>
          <cell r="BC50">
            <v>-15900.703999999998</v>
          </cell>
          <cell r="BD50">
            <v>250000</v>
          </cell>
          <cell r="BE50">
            <v>0</v>
          </cell>
          <cell r="BF50">
            <v>-41095.884999999995</v>
          </cell>
          <cell r="BG50">
            <v>0</v>
          </cell>
          <cell r="BH50"/>
          <cell r="BI50"/>
          <cell r="BJ50">
            <v>193003.41100000002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8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306216</v>
          </cell>
          <cell r="H7">
            <v>222287</v>
          </cell>
          <cell r="I7">
            <v>198322.2</v>
          </cell>
          <cell r="J7">
            <v>92797.5</v>
          </cell>
          <cell r="K7">
            <v>164973.5</v>
          </cell>
          <cell r="L7">
            <v>174505</v>
          </cell>
          <cell r="M7">
            <v>107923</v>
          </cell>
          <cell r="N7">
            <v>158457.5</v>
          </cell>
          <cell r="O7">
            <v>100263</v>
          </cell>
          <cell r="P7">
            <v>141116.5</v>
          </cell>
          <cell r="Q7">
            <v>126052</v>
          </cell>
          <cell r="R7">
            <v>82527</v>
          </cell>
          <cell r="S7">
            <v>208567</v>
          </cell>
          <cell r="T7">
            <v>45014</v>
          </cell>
          <cell r="U7">
            <v>68680.5</v>
          </cell>
          <cell r="V7">
            <v>65377.5</v>
          </cell>
          <cell r="W7">
            <v>29350</v>
          </cell>
          <cell r="X7"/>
          <cell r="Y7"/>
          <cell r="Z7">
            <v>2292429.2000000002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2292429.2000000002</v>
          </cell>
          <cell r="AJ7">
            <v>160564</v>
          </cell>
          <cell r="AK7">
            <v>167480</v>
          </cell>
          <cell r="AL7">
            <v>279220</v>
          </cell>
          <cell r="AM7"/>
          <cell r="AN7">
            <v>607264</v>
          </cell>
          <cell r="AO7">
            <v>70612.716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315954442.74199998</v>
          </cell>
          <cell r="G8">
            <v>30507054.101999998</v>
          </cell>
          <cell r="H8">
            <v>22256215.973999999</v>
          </cell>
          <cell r="I8">
            <v>19428776.544999998</v>
          </cell>
          <cell r="J8">
            <v>9103976.0980000012</v>
          </cell>
          <cell r="K8">
            <v>17745131.841000002</v>
          </cell>
          <cell r="L8">
            <v>17650711.530999999</v>
          </cell>
          <cell r="M8">
            <v>10408446.199999999</v>
          </cell>
          <cell r="N8">
            <v>16072158.65</v>
          </cell>
          <cell r="O8">
            <v>9311655.318</v>
          </cell>
          <cell r="P8">
            <v>14326785.600000001</v>
          </cell>
          <cell r="Q8">
            <v>12757315.702</v>
          </cell>
          <cell r="R8">
            <v>8651602.9920000006</v>
          </cell>
          <cell r="S8">
            <v>21181423.341000002</v>
          </cell>
          <cell r="T8">
            <v>5058348.3899999997</v>
          </cell>
          <cell r="U8">
            <v>7767151.3360000001</v>
          </cell>
          <cell r="V8">
            <v>6264374.5410000002</v>
          </cell>
          <cell r="W8">
            <v>3683808.3449999997</v>
          </cell>
          <cell r="X8"/>
          <cell r="Y8"/>
          <cell r="Z8">
            <v>232174936.50599998</v>
          </cell>
          <cell r="AA8">
            <v>400000</v>
          </cell>
          <cell r="AB8">
            <v>0</v>
          </cell>
          <cell r="AC8">
            <v>100000</v>
          </cell>
          <cell r="AD8">
            <v>226720</v>
          </cell>
          <cell r="AE8"/>
          <cell r="AF8"/>
          <cell r="AG8"/>
          <cell r="AH8">
            <v>726720</v>
          </cell>
          <cell r="AI8">
            <v>232901656.50599998</v>
          </cell>
          <cell r="AJ8">
            <v>4760678.08</v>
          </cell>
          <cell r="AK8">
            <v>2360024</v>
          </cell>
          <cell r="AL8">
            <v>5123338</v>
          </cell>
          <cell r="AM8"/>
          <cell r="AN8">
            <v>12244040.08</v>
          </cell>
          <cell r="AO8">
            <v>70211565.195999995</v>
          </cell>
          <cell r="AP8">
            <v>0</v>
          </cell>
          <cell r="AQ8"/>
          <cell r="AR8"/>
          <cell r="AS8">
            <v>70211565.195999995</v>
          </cell>
          <cell r="AT8">
            <v>43050</v>
          </cell>
          <cell r="AU8">
            <v>49200</v>
          </cell>
          <cell r="AV8">
            <v>491080.96000000002</v>
          </cell>
          <cell r="AW8"/>
          <cell r="AX8"/>
          <cell r="AY8"/>
          <cell r="AZ8"/>
          <cell r="BA8">
            <v>583330.96</v>
          </cell>
          <cell r="BB8">
            <v>0</v>
          </cell>
          <cell r="BC8">
            <v>13850.000000000002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13850.000000000002</v>
          </cell>
          <cell r="BK8"/>
          <cell r="BL8"/>
          <cell r="BM8"/>
          <cell r="BN8"/>
          <cell r="BO8"/>
        </row>
        <row r="9">
          <cell r="F9"/>
          <cell r="G9">
            <v>99625.931048671511</v>
          </cell>
          <cell r="H9">
            <v>100123.78579943946</v>
          </cell>
          <cell r="I9">
            <v>97965.71712596975</v>
          </cell>
          <cell r="J9">
            <v>98105.833648535801</v>
          </cell>
          <cell r="K9">
            <v>107563.52893646556</v>
          </cell>
          <cell r="L9">
            <v>101147.31114294719</v>
          </cell>
          <cell r="M9">
            <v>96443.262325917545</v>
          </cell>
          <cell r="N9">
            <v>101428.82886578419</v>
          </cell>
          <cell r="O9">
            <v>92872.299033541785</v>
          </cell>
          <cell r="P9">
            <v>101524.52477208548</v>
          </cell>
          <cell r="Q9">
            <v>101206.76944435629</v>
          </cell>
          <cell r="R9">
            <v>104833.6058744411</v>
          </cell>
          <cell r="S9">
            <v>101556.92578883526</v>
          </cell>
          <cell r="T9">
            <v>112372.78157906428</v>
          </cell>
          <cell r="U9">
            <v>113091.07149773226</v>
          </cell>
          <cell r="V9">
            <v>95818.508523574623</v>
          </cell>
          <cell r="W9">
            <v>125513.06115843271</v>
          </cell>
          <cell r="X9"/>
          <cell r="Y9"/>
          <cell r="Z9">
            <v>101278.99980771486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101596.00850748191</v>
          </cell>
          <cell r="AJ9">
            <v>29649.722727385964</v>
          </cell>
          <cell r="AK9">
            <v>14091.378074994029</v>
          </cell>
          <cell r="AL9">
            <v>18348.750089535133</v>
          </cell>
          <cell r="AM9"/>
          <cell r="AN9"/>
          <cell r="AO9">
            <v>994319.00050410174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276580279.90563995</v>
          </cell>
          <cell r="G10">
            <v>26568781.054930001</v>
          </cell>
          <cell r="H10">
            <v>19819539.661499999</v>
          </cell>
          <cell r="I10">
            <v>17385115.163209997</v>
          </cell>
          <cell r="J10">
            <v>7850514.4190100003</v>
          </cell>
          <cell r="K10">
            <v>14908289.22713</v>
          </cell>
          <cell r="L10">
            <v>14875525.63546</v>
          </cell>
          <cell r="M10">
            <v>9270795.4452400003</v>
          </cell>
          <cell r="N10">
            <v>13973971.470290001</v>
          </cell>
          <cell r="O10">
            <v>8143070.0626499997</v>
          </cell>
          <cell r="P10">
            <v>11512375.382429998</v>
          </cell>
          <cell r="Q10">
            <v>10375626.104430001</v>
          </cell>
          <cell r="R10">
            <v>7330748.8658199999</v>
          </cell>
          <cell r="S10">
            <v>17444964.971129999</v>
          </cell>
          <cell r="T10">
            <v>3899932.6216899999</v>
          </cell>
          <cell r="U10">
            <v>5425624.732929999</v>
          </cell>
          <cell r="V10">
            <v>5438063.1799400002</v>
          </cell>
          <cell r="W10">
            <v>3113286.1532600001</v>
          </cell>
          <cell r="X10"/>
          <cell r="Y10"/>
          <cell r="Z10">
            <v>197336224.15104997</v>
          </cell>
          <cell r="AA10">
            <v>40060.870000000003</v>
          </cell>
          <cell r="AB10">
            <v>0</v>
          </cell>
          <cell r="AC10">
            <v>69823.975999999995</v>
          </cell>
          <cell r="AD10">
            <v>84094.540000000008</v>
          </cell>
          <cell r="AE10"/>
          <cell r="AF10"/>
          <cell r="AG10"/>
          <cell r="AH10">
            <v>193979.386</v>
          </cell>
          <cell r="AI10">
            <v>197530203.53704998</v>
          </cell>
          <cell r="AJ10">
            <v>4052762.2393900002</v>
          </cell>
          <cell r="AK10">
            <v>1995249.06125</v>
          </cell>
          <cell r="AL10">
            <v>4507521.6319499994</v>
          </cell>
          <cell r="AM10"/>
          <cell r="AN10">
            <v>10555532.93259</v>
          </cell>
          <cell r="AO10">
            <v>68656788.912</v>
          </cell>
          <cell r="AP10">
            <v>0</v>
          </cell>
          <cell r="AQ10"/>
          <cell r="AR10"/>
          <cell r="AS10">
            <v>68656788.912</v>
          </cell>
          <cell r="AT10">
            <v>1043.6659999999999</v>
          </cell>
          <cell r="AU10">
            <v>1441.6059999999998</v>
          </cell>
          <cell r="AV10">
            <v>0</v>
          </cell>
          <cell r="AW10"/>
          <cell r="AX10"/>
          <cell r="AY10"/>
          <cell r="AZ10"/>
          <cell r="BA10">
            <v>2485.2719999999999</v>
          </cell>
          <cell r="BB10">
            <v>0</v>
          </cell>
          <cell r="BC10">
            <v>0</v>
          </cell>
          <cell r="BD10">
            <v>-250000</v>
          </cell>
          <cell r="BE10">
            <v>0</v>
          </cell>
          <cell r="BF10">
            <v>0</v>
          </cell>
          <cell r="BG10">
            <v>85269.252000000008</v>
          </cell>
          <cell r="BH10"/>
          <cell r="BI10"/>
          <cell r="BJ10">
            <v>-164730.74799999999</v>
          </cell>
          <cell r="BK10"/>
          <cell r="BL10"/>
          <cell r="BM10"/>
          <cell r="BN10"/>
          <cell r="BO10"/>
        </row>
        <row r="11">
          <cell r="F11"/>
          <cell r="G11">
            <v>86764.836112188787</v>
          </cell>
          <cell r="H11">
            <v>89161.937771889498</v>
          </cell>
          <cell r="I11">
            <v>87660.963640026152</v>
          </cell>
          <cell r="J11">
            <v>84598.33959977371</v>
          </cell>
          <cell r="K11">
            <v>90367.781656629697</v>
          </cell>
          <cell r="L11">
            <v>85244.122721182779</v>
          </cell>
          <cell r="M11">
            <v>85901.943471178529</v>
          </cell>
          <cell r="N11">
            <v>88187.504348421513</v>
          </cell>
          <cell r="O11">
            <v>81217.099654408899</v>
          </cell>
          <cell r="P11">
            <v>81580.647071249623</v>
          </cell>
          <cell r="Q11">
            <v>82312.268781375955</v>
          </cell>
          <cell r="R11">
            <v>88828.49086747368</v>
          </cell>
          <cell r="S11">
            <v>83642.018972943944</v>
          </cell>
          <cell r="T11">
            <v>86638.215259474833</v>
          </cell>
          <cell r="U11">
            <v>78998.037768070993</v>
          </cell>
          <cell r="V11">
            <v>83179.429925280099</v>
          </cell>
          <cell r="W11">
            <v>106074.48563066439</v>
          </cell>
          <cell r="X11"/>
          <cell r="Y11"/>
          <cell r="Z11">
            <v>86081.709372333047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86166.326766841899</v>
          </cell>
          <cell r="AJ11">
            <v>25240.790210694802</v>
          </cell>
          <cell r="AK11">
            <v>11913.357184439934</v>
          </cell>
          <cell r="AL11">
            <v>16143.26205841272</v>
          </cell>
          <cell r="AM11"/>
          <cell r="AN11"/>
          <cell r="AO11">
            <v>972300.63933527214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39374162.836360037</v>
          </cell>
          <cell r="G12">
            <v>3938273.0470699966</v>
          </cell>
          <cell r="H12">
            <v>2436676.3125</v>
          </cell>
          <cell r="I12">
            <v>2043661.3817900009</v>
          </cell>
          <cell r="J12">
            <v>1253461.6789900009</v>
          </cell>
          <cell r="K12">
            <v>2836842.6138700023</v>
          </cell>
          <cell r="L12">
            <v>2775185.895539999</v>
          </cell>
          <cell r="M12">
            <v>1137650.754759999</v>
          </cell>
          <cell r="N12">
            <v>2098187.1797099989</v>
          </cell>
          <cell r="O12">
            <v>1168585.2553500002</v>
          </cell>
          <cell r="P12">
            <v>2814410.2175700031</v>
          </cell>
          <cell r="Q12">
            <v>2381689.5975699984</v>
          </cell>
          <cell r="R12">
            <v>1320854.1261800006</v>
          </cell>
          <cell r="S12">
            <v>3736458.3698700033</v>
          </cell>
          <cell r="T12">
            <v>1158415.7683099997</v>
          </cell>
          <cell r="U12">
            <v>2341526.6030700011</v>
          </cell>
          <cell r="V12">
            <v>826311.36106000002</v>
          </cell>
          <cell r="W12">
            <v>570522.19173999969</v>
          </cell>
          <cell r="X12"/>
          <cell r="Y12"/>
          <cell r="Z12">
            <v>34838712.354950003</v>
          </cell>
          <cell r="AA12">
            <v>359939.13</v>
          </cell>
          <cell r="AB12">
            <v>0</v>
          </cell>
          <cell r="AC12">
            <v>30176.024000000005</v>
          </cell>
          <cell r="AD12">
            <v>142625.46</v>
          </cell>
          <cell r="AE12"/>
          <cell r="AF12"/>
          <cell r="AG12"/>
          <cell r="AH12">
            <v>532740.61400000006</v>
          </cell>
          <cell r="AI12">
            <v>35371452.968950003</v>
          </cell>
          <cell r="AJ12">
            <v>707915.84060999984</v>
          </cell>
          <cell r="AK12">
            <v>364774.93874999997</v>
          </cell>
          <cell r="AL12">
            <v>615816.36805000063</v>
          </cell>
          <cell r="AM12"/>
          <cell r="AN12">
            <v>1688507.1474099997</v>
          </cell>
          <cell r="AO12">
            <v>1554776.2839999944</v>
          </cell>
          <cell r="AP12">
            <v>0</v>
          </cell>
          <cell r="AQ12"/>
          <cell r="AR12"/>
          <cell r="AS12">
            <v>1554776.2839999944</v>
          </cell>
          <cell r="AT12">
            <v>42006.334000000003</v>
          </cell>
          <cell r="AU12">
            <v>47758.394</v>
          </cell>
          <cell r="AV12">
            <v>491080.96000000002</v>
          </cell>
          <cell r="AW12"/>
          <cell r="AX12"/>
          <cell r="AY12"/>
          <cell r="AZ12"/>
          <cell r="BA12">
            <v>580845.68800000008</v>
          </cell>
          <cell r="BB12">
            <v>0</v>
          </cell>
          <cell r="BC12">
            <v>13850.000000000002</v>
          </cell>
          <cell r="BD12">
            <v>250000</v>
          </cell>
          <cell r="BE12">
            <v>0</v>
          </cell>
          <cell r="BF12">
            <v>0</v>
          </cell>
          <cell r="BG12">
            <v>-85269.252000000008</v>
          </cell>
          <cell r="BH12"/>
          <cell r="BI12"/>
          <cell r="BJ12">
            <v>178580.74799999999</v>
          </cell>
          <cell r="BK12"/>
          <cell r="BL12"/>
          <cell r="BM12"/>
          <cell r="BN12"/>
          <cell r="BO12"/>
        </row>
        <row r="13">
          <cell r="F13">
            <v>6467559.6290000007</v>
          </cell>
          <cell r="G13">
            <v>560088.39599999995</v>
          </cell>
          <cell r="H13">
            <v>496284.23700000008</v>
          </cell>
          <cell r="I13">
            <v>379153.29399999999</v>
          </cell>
          <cell r="J13">
            <v>267037.53999999998</v>
          </cell>
          <cell r="K13">
            <v>365167.45600000001</v>
          </cell>
          <cell r="L13">
            <v>395571.94699999999</v>
          </cell>
          <cell r="M13">
            <v>293420.28499999997</v>
          </cell>
          <cell r="N13">
            <v>357751.54099999997</v>
          </cell>
          <cell r="O13">
            <v>217564.66500000001</v>
          </cell>
          <cell r="P13">
            <v>353710.234</v>
          </cell>
          <cell r="Q13">
            <v>286575.10199999996</v>
          </cell>
          <cell r="R13">
            <v>215816.16799999998</v>
          </cell>
          <cell r="S13">
            <v>366822.826</v>
          </cell>
          <cell r="T13">
            <v>90741.43299999999</v>
          </cell>
          <cell r="U13">
            <v>88893.832999999984</v>
          </cell>
          <cell r="V13">
            <v>243907.07399999999</v>
          </cell>
          <cell r="W13">
            <v>116742.103</v>
          </cell>
          <cell r="X13"/>
          <cell r="Y13"/>
          <cell r="Z13">
            <v>5095248.1339999996</v>
          </cell>
          <cell r="AA13">
            <v>2089.6999999999998</v>
          </cell>
          <cell r="AB13">
            <v>2115.2070000000003</v>
          </cell>
          <cell r="AC13">
            <v>275.39999999999998</v>
          </cell>
          <cell r="AD13">
            <v>0</v>
          </cell>
          <cell r="AE13"/>
          <cell r="AF13"/>
          <cell r="AG13"/>
          <cell r="AH13">
            <v>4480.3069999999998</v>
          </cell>
          <cell r="AI13">
            <v>5099728.4409999996</v>
          </cell>
          <cell r="AJ13">
            <v>6680</v>
          </cell>
          <cell r="AK13">
            <v>93149.500999999989</v>
          </cell>
          <cell r="AL13">
            <v>0</v>
          </cell>
          <cell r="AM13"/>
          <cell r="AN13">
            <v>99829.500999999989</v>
          </cell>
          <cell r="AO13">
            <v>1056156.2379999999</v>
          </cell>
          <cell r="AP13">
            <v>0</v>
          </cell>
          <cell r="AQ13"/>
          <cell r="AR13"/>
          <cell r="AS13">
            <v>1056156.2379999999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211845.44899999996</v>
          </cell>
          <cell r="BG13">
            <v>0</v>
          </cell>
          <cell r="BH13"/>
          <cell r="BI13"/>
          <cell r="BJ13">
            <v>211845.44899999996</v>
          </cell>
          <cell r="BK13"/>
          <cell r="BL13"/>
          <cell r="BM13"/>
          <cell r="BN13"/>
          <cell r="BO13"/>
        </row>
        <row r="14">
          <cell r="F14">
            <v>4205944.99</v>
          </cell>
          <cell r="G14">
            <v>371996.08899999992</v>
          </cell>
          <cell r="H14">
            <v>325278.65800000005</v>
          </cell>
          <cell r="I14">
            <v>256840.89299999998</v>
          </cell>
          <cell r="J14">
            <v>193283.86</v>
          </cell>
          <cell r="K14">
            <v>248774.56599999999</v>
          </cell>
          <cell r="L14">
            <v>269151.12</v>
          </cell>
          <cell r="M14">
            <v>204463.32399999999</v>
          </cell>
          <cell r="N14">
            <v>260773.951</v>
          </cell>
          <cell r="O14">
            <v>151489.29500000001</v>
          </cell>
          <cell r="P14">
            <v>252455.50599999999</v>
          </cell>
          <cell r="Q14">
            <v>204477.37199999997</v>
          </cell>
          <cell r="R14">
            <v>147201.37399999998</v>
          </cell>
          <cell r="S14">
            <v>243629.31300000002</v>
          </cell>
          <cell r="T14">
            <v>56535.855999999992</v>
          </cell>
          <cell r="U14">
            <v>56214.229999999996</v>
          </cell>
          <cell r="V14">
            <v>171327.43399999998</v>
          </cell>
          <cell r="W14">
            <v>83005.467999999993</v>
          </cell>
          <cell r="X14"/>
          <cell r="Y14"/>
          <cell r="Z14">
            <v>3496898.3089999999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3496898.3089999999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709046.68099999998</v>
          </cell>
          <cell r="AP14">
            <v>0</v>
          </cell>
          <cell r="AQ14"/>
          <cell r="AR14"/>
          <cell r="AS14">
            <v>709046.68099999998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2261614.639</v>
          </cell>
          <cell r="G15">
            <v>188092.30699999997</v>
          </cell>
          <cell r="H15">
            <v>171005.57900000003</v>
          </cell>
          <cell r="I15">
            <v>122312.40099999998</v>
          </cell>
          <cell r="J15">
            <v>73753.680000000008</v>
          </cell>
          <cell r="K15">
            <v>116392.89</v>
          </cell>
          <cell r="L15">
            <v>126420.82699999998</v>
          </cell>
          <cell r="M15">
            <v>88956.960999999996</v>
          </cell>
          <cell r="N15">
            <v>96977.59</v>
          </cell>
          <cell r="O15">
            <v>66075.37</v>
          </cell>
          <cell r="P15">
            <v>101254.728</v>
          </cell>
          <cell r="Q15">
            <v>82097.73000000001</v>
          </cell>
          <cell r="R15">
            <v>68614.793999999994</v>
          </cell>
          <cell r="S15">
            <v>123193.51300000001</v>
          </cell>
          <cell r="T15">
            <v>34205.577000000005</v>
          </cell>
          <cell r="U15">
            <v>32679.602999999996</v>
          </cell>
          <cell r="V15">
            <v>72579.640000000014</v>
          </cell>
          <cell r="W15">
            <v>33736.635000000002</v>
          </cell>
          <cell r="X15"/>
          <cell r="Y15"/>
          <cell r="Z15">
            <v>1598349.825</v>
          </cell>
          <cell r="AA15">
            <v>2089.6999999999998</v>
          </cell>
          <cell r="AB15">
            <v>2115.2070000000003</v>
          </cell>
          <cell r="AC15">
            <v>275.39999999999998</v>
          </cell>
          <cell r="AD15">
            <v>0</v>
          </cell>
          <cell r="AE15"/>
          <cell r="AF15"/>
          <cell r="AG15"/>
          <cell r="AH15">
            <v>4480.3069999999998</v>
          </cell>
          <cell r="AI15">
            <v>1602830.132</v>
          </cell>
          <cell r="AJ15">
            <v>6680</v>
          </cell>
          <cell r="AK15">
            <v>93149.500999999989</v>
          </cell>
          <cell r="AL15">
            <v>0</v>
          </cell>
          <cell r="AM15"/>
          <cell r="AN15">
            <v>99829.500999999989</v>
          </cell>
          <cell r="AO15">
            <v>347109.55700000003</v>
          </cell>
          <cell r="AP15">
            <v>0</v>
          </cell>
          <cell r="AQ15"/>
          <cell r="AR15"/>
          <cell r="AS15">
            <v>347109.55700000003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211845.44899999996</v>
          </cell>
          <cell r="BG15">
            <v>0</v>
          </cell>
          <cell r="BH15"/>
          <cell r="BI15"/>
          <cell r="BJ15">
            <v>211845.44899999996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32906603.207360037</v>
          </cell>
          <cell r="G17">
            <v>3378184.6510699969</v>
          </cell>
          <cell r="H17">
            <v>1940392.0754999998</v>
          </cell>
          <cell r="I17">
            <v>1664508.087790001</v>
          </cell>
          <cell r="J17">
            <v>986424.13899000082</v>
          </cell>
          <cell r="K17">
            <v>2471675.1578700021</v>
          </cell>
          <cell r="L17">
            <v>2379613.9485399988</v>
          </cell>
          <cell r="M17">
            <v>844230.46975999908</v>
          </cell>
          <cell r="N17">
            <v>1740435.6387099989</v>
          </cell>
          <cell r="O17">
            <v>951020.59035000019</v>
          </cell>
          <cell r="P17">
            <v>2460699.983570003</v>
          </cell>
          <cell r="Q17">
            <v>2095114.4955699984</v>
          </cell>
          <cell r="R17">
            <v>1105037.9581800005</v>
          </cell>
          <cell r="S17">
            <v>3369635.5438700034</v>
          </cell>
          <cell r="T17">
            <v>1067674.3353099998</v>
          </cell>
          <cell r="U17">
            <v>2252632.770070001</v>
          </cell>
          <cell r="V17">
            <v>582404.28706</v>
          </cell>
          <cell r="W17">
            <v>453780.08873999969</v>
          </cell>
          <cell r="X17"/>
          <cell r="Y17"/>
          <cell r="Z17">
            <v>29743464.220950004</v>
          </cell>
          <cell r="AA17">
            <v>357849.43</v>
          </cell>
          <cell r="AB17">
            <v>-2115.2070000000003</v>
          </cell>
          <cell r="AC17">
            <v>29900.624000000003</v>
          </cell>
          <cell r="AD17">
            <v>142625.46</v>
          </cell>
          <cell r="AE17"/>
          <cell r="AF17"/>
          <cell r="AG17"/>
          <cell r="AH17">
            <v>528260.30700000003</v>
          </cell>
          <cell r="AI17">
            <v>30271724.527950004</v>
          </cell>
          <cell r="AJ17">
            <v>701235.84060999984</v>
          </cell>
          <cell r="AK17">
            <v>271625.43774999998</v>
          </cell>
          <cell r="AL17">
            <v>615816.36805000063</v>
          </cell>
          <cell r="AM17"/>
          <cell r="AN17">
            <v>1588677.6464099998</v>
          </cell>
          <cell r="AO17">
            <v>498620.0459999945</v>
          </cell>
          <cell r="AP17">
            <v>0</v>
          </cell>
          <cell r="AQ17"/>
          <cell r="AR17"/>
          <cell r="AS17">
            <v>498620.0459999945</v>
          </cell>
          <cell r="AT17">
            <v>42006.334000000003</v>
          </cell>
          <cell r="AU17">
            <v>47758.394</v>
          </cell>
          <cell r="AV17">
            <v>491080.96000000002</v>
          </cell>
          <cell r="AW17"/>
          <cell r="AX17"/>
          <cell r="AY17"/>
          <cell r="AZ17"/>
          <cell r="BA17">
            <v>580845.68800000008</v>
          </cell>
          <cell r="BB17">
            <v>0</v>
          </cell>
          <cell r="BC17">
            <v>13850.000000000002</v>
          </cell>
          <cell r="BD17">
            <v>250000</v>
          </cell>
          <cell r="BE17">
            <v>0</v>
          </cell>
          <cell r="BF17">
            <v>-211845.44899999996</v>
          </cell>
          <cell r="BG17">
            <v>-85269.252000000008</v>
          </cell>
          <cell r="BH17"/>
          <cell r="BI17"/>
          <cell r="BJ17">
            <v>-33264.700999999972</v>
          </cell>
          <cell r="BK17"/>
          <cell r="BL17"/>
          <cell r="BM17"/>
          <cell r="BN17"/>
          <cell r="BO17"/>
        </row>
        <row r="18">
          <cell r="F18">
            <v>4522876.4133499991</v>
          </cell>
          <cell r="G18">
            <v>236487.13206999999</v>
          </cell>
          <cell r="H18">
            <v>273527.03048999998</v>
          </cell>
          <cell r="I18">
            <v>150237.93179</v>
          </cell>
          <cell r="J18">
            <v>154328.80299</v>
          </cell>
          <cell r="K18">
            <v>645642.39387000003</v>
          </cell>
          <cell r="L18">
            <v>306289.41454000003</v>
          </cell>
          <cell r="M18">
            <v>131843.33575999999</v>
          </cell>
          <cell r="N18">
            <v>243730.08671000003</v>
          </cell>
          <cell r="O18">
            <v>86822.486349999992</v>
          </cell>
          <cell r="P18">
            <v>250763.45857000002</v>
          </cell>
          <cell r="Q18">
            <v>116699.51956999997</v>
          </cell>
          <cell r="R18">
            <v>103078.55717999999</v>
          </cell>
          <cell r="S18">
            <v>261761.89186999999</v>
          </cell>
          <cell r="T18">
            <v>46110.258309999997</v>
          </cell>
          <cell r="U18">
            <v>82569.673070000004</v>
          </cell>
          <cell r="V18">
            <v>166584.99206000002</v>
          </cell>
          <cell r="W18">
            <v>87857.343739999997</v>
          </cell>
          <cell r="X18"/>
          <cell r="Y18"/>
          <cell r="Z18">
            <v>3344334.3089399999</v>
          </cell>
          <cell r="AA18">
            <v>44647.172999999995</v>
          </cell>
          <cell r="AB18">
            <v>2829.3760000000002</v>
          </cell>
          <cell r="AC18">
            <v>0</v>
          </cell>
          <cell r="AD18">
            <v>0</v>
          </cell>
          <cell r="AE18"/>
          <cell r="AF18"/>
          <cell r="AG18"/>
          <cell r="AH18">
            <v>47476.548999999999</v>
          </cell>
          <cell r="AI18">
            <v>3391810.8579399991</v>
          </cell>
          <cell r="AJ18">
            <v>259484.23361</v>
          </cell>
          <cell r="AK18">
            <v>92117.412750000003</v>
          </cell>
          <cell r="AL18">
            <v>436304.38404999999</v>
          </cell>
          <cell r="AM18"/>
          <cell r="AN18">
            <v>787906.03041000001</v>
          </cell>
          <cell r="AO18">
            <v>43542.474000000002</v>
          </cell>
          <cell r="AP18">
            <v>6846.688000000001</v>
          </cell>
          <cell r="AQ18"/>
          <cell r="AR18"/>
          <cell r="AS18">
            <v>50389.162000000004</v>
          </cell>
          <cell r="AT18">
            <v>10503.136</v>
          </cell>
          <cell r="AU18">
            <v>42730.976000000002</v>
          </cell>
          <cell r="AV18">
            <v>0</v>
          </cell>
          <cell r="AW18"/>
          <cell r="AX18"/>
          <cell r="AY18"/>
          <cell r="AZ18"/>
          <cell r="BA18">
            <v>53234.112000000001</v>
          </cell>
          <cell r="BB18">
            <v>0</v>
          </cell>
          <cell r="BC18">
            <v>114911.46199999998</v>
          </cell>
          <cell r="BD18">
            <v>0</v>
          </cell>
          <cell r="BE18">
            <v>0</v>
          </cell>
          <cell r="BF18">
            <v>124624.78899999999</v>
          </cell>
          <cell r="BG18">
            <v>0</v>
          </cell>
          <cell r="BH18"/>
          <cell r="BI18"/>
          <cell r="BJ18">
            <v>239536.25099999999</v>
          </cell>
          <cell r="BK18"/>
          <cell r="BL18"/>
          <cell r="BM18"/>
          <cell r="BN18"/>
          <cell r="BO18"/>
        </row>
        <row r="19">
          <cell r="F19">
            <v>4054552.0063499995</v>
          </cell>
          <cell r="G19">
            <v>217866.17106999998</v>
          </cell>
          <cell r="H19">
            <v>257965.96248999998</v>
          </cell>
          <cell r="I19">
            <v>137005.53679000001</v>
          </cell>
          <cell r="J19">
            <v>144792.90498999998</v>
          </cell>
          <cell r="K19">
            <v>630633.87487000006</v>
          </cell>
          <cell r="L19">
            <v>293774.20754000003</v>
          </cell>
          <cell r="M19">
            <v>122294.54975999999</v>
          </cell>
          <cell r="N19">
            <v>231223.65571000002</v>
          </cell>
          <cell r="O19">
            <v>80822.20435</v>
          </cell>
          <cell r="P19">
            <v>241013.33657000001</v>
          </cell>
          <cell r="Q19">
            <v>107056.42156999998</v>
          </cell>
          <cell r="R19">
            <v>94261.320179999995</v>
          </cell>
          <cell r="S19">
            <v>249056.29287</v>
          </cell>
          <cell r="T19">
            <v>43147.061309999997</v>
          </cell>
          <cell r="U19">
            <v>79026.72107</v>
          </cell>
          <cell r="V19">
            <v>157570.08306000003</v>
          </cell>
          <cell r="W19">
            <v>81254.386740000002</v>
          </cell>
          <cell r="X19"/>
          <cell r="Y19"/>
          <cell r="Z19">
            <v>3168764.6909399992</v>
          </cell>
          <cell r="AA19">
            <v>44647.172999999995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44647.172999999995</v>
          </cell>
          <cell r="AI19">
            <v>3213411.8639399991</v>
          </cell>
          <cell r="AJ19">
            <v>259484.23361</v>
          </cell>
          <cell r="AK19">
            <v>92117.412750000003</v>
          </cell>
          <cell r="AL19">
            <v>436304.38404999999</v>
          </cell>
          <cell r="AM19"/>
          <cell r="AN19">
            <v>787906.03041000001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10503.136</v>
          </cell>
          <cell r="AU19">
            <v>42730.976000000002</v>
          </cell>
          <cell r="AV19">
            <v>0</v>
          </cell>
          <cell r="AW19"/>
          <cell r="AX19"/>
          <cell r="AY19"/>
          <cell r="AZ19"/>
          <cell r="BA19">
            <v>53234.112000000001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468324.40699999995</v>
          </cell>
          <cell r="G20">
            <v>18620.960999999999</v>
          </cell>
          <cell r="H20">
            <v>15561.067999999999</v>
          </cell>
          <cell r="I20">
            <v>13232.395</v>
          </cell>
          <cell r="J20">
            <v>9535.898000000001</v>
          </cell>
          <cell r="K20">
            <v>15008.519000000002</v>
          </cell>
          <cell r="L20">
            <v>12515.206999999999</v>
          </cell>
          <cell r="M20">
            <v>9548.7859999999982</v>
          </cell>
          <cell r="N20">
            <v>12506.431</v>
          </cell>
          <cell r="O20">
            <v>6000.2819999999992</v>
          </cell>
          <cell r="P20">
            <v>9750.1219999999994</v>
          </cell>
          <cell r="Q20">
            <v>9643.098</v>
          </cell>
          <cell r="R20">
            <v>8817.2369999999992</v>
          </cell>
          <cell r="S20">
            <v>12705.599000000002</v>
          </cell>
          <cell r="T20">
            <v>2963.1969999999997</v>
          </cell>
          <cell r="U20">
            <v>3542.9520000000007</v>
          </cell>
          <cell r="V20">
            <v>9014.9089999999997</v>
          </cell>
          <cell r="W20">
            <v>6602.9569999999994</v>
          </cell>
          <cell r="X20"/>
          <cell r="Y20"/>
          <cell r="Z20">
            <v>175569.61799999996</v>
          </cell>
          <cell r="AA20">
            <v>0</v>
          </cell>
          <cell r="AB20">
            <v>2829.3760000000002</v>
          </cell>
          <cell r="AC20">
            <v>0</v>
          </cell>
          <cell r="AD20">
            <v>0</v>
          </cell>
          <cell r="AE20"/>
          <cell r="AF20"/>
          <cell r="AG20"/>
          <cell r="AH20">
            <v>2829.3760000000002</v>
          </cell>
          <cell r="AI20">
            <v>178398.99399999995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43542.474000000002</v>
          </cell>
          <cell r="AP20">
            <v>6846.688000000001</v>
          </cell>
          <cell r="AQ20"/>
          <cell r="AR20"/>
          <cell r="AS20">
            <v>50389.162000000004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114911.46199999998</v>
          </cell>
          <cell r="BD20">
            <v>0</v>
          </cell>
          <cell r="BE20">
            <v>0</v>
          </cell>
          <cell r="BF20">
            <v>124624.78899999999</v>
          </cell>
          <cell r="BG20">
            <v>0</v>
          </cell>
          <cell r="BH20"/>
          <cell r="BI20"/>
          <cell r="BJ20">
            <v>239536.25099999999</v>
          </cell>
          <cell r="BK20"/>
          <cell r="BL20"/>
          <cell r="BM20"/>
          <cell r="BN20"/>
          <cell r="BO20"/>
        </row>
        <row r="21">
          <cell r="F21">
            <v>28383726.794010036</v>
          </cell>
          <cell r="G21">
            <v>3141697.5189999971</v>
          </cell>
          <cell r="H21">
            <v>1666865.0450099998</v>
          </cell>
          <cell r="I21">
            <v>1514270.1560000009</v>
          </cell>
          <cell r="J21">
            <v>832095.33600000083</v>
          </cell>
          <cell r="K21">
            <v>1826032.7640000021</v>
          </cell>
          <cell r="L21">
            <v>2073324.5339999988</v>
          </cell>
          <cell r="M21">
            <v>712387.13399999915</v>
          </cell>
          <cell r="N21">
            <v>1496705.551999999</v>
          </cell>
          <cell r="O21">
            <v>864198.10400000017</v>
          </cell>
          <cell r="P21">
            <v>2209936.5250000032</v>
          </cell>
          <cell r="Q21">
            <v>1978414.9759999984</v>
          </cell>
          <cell r="R21">
            <v>1001959.4010000005</v>
          </cell>
          <cell r="S21">
            <v>3107873.6520000035</v>
          </cell>
          <cell r="T21">
            <v>1021564.0769999998</v>
          </cell>
          <cell r="U21">
            <v>2170063.097000001</v>
          </cell>
          <cell r="V21">
            <v>415819.29499999998</v>
          </cell>
          <cell r="W21">
            <v>365922.7449999997</v>
          </cell>
          <cell r="X21"/>
          <cell r="Y21"/>
          <cell r="Z21">
            <v>26399129.912010003</v>
          </cell>
          <cell r="AA21">
            <v>313202.25699999998</v>
          </cell>
          <cell r="AB21">
            <v>-4944.5830000000005</v>
          </cell>
          <cell r="AC21">
            <v>29900.624000000003</v>
          </cell>
          <cell r="AD21">
            <v>142625.46</v>
          </cell>
          <cell r="AE21"/>
          <cell r="AF21"/>
          <cell r="AG21"/>
          <cell r="AH21">
            <v>480783.75800000003</v>
          </cell>
          <cell r="AI21">
            <v>26879913.670010004</v>
          </cell>
          <cell r="AJ21">
            <v>441751.60699999984</v>
          </cell>
          <cell r="AK21">
            <v>179508.02499999997</v>
          </cell>
          <cell r="AL21">
            <v>179511.98400000064</v>
          </cell>
          <cell r="AM21"/>
          <cell r="AN21">
            <v>800771.61599999981</v>
          </cell>
          <cell r="AO21">
            <v>455077.57199999451</v>
          </cell>
          <cell r="AP21">
            <v>-6846.688000000001</v>
          </cell>
          <cell r="AQ21"/>
          <cell r="AR21"/>
          <cell r="AS21">
            <v>448230.88399999449</v>
          </cell>
          <cell r="AT21">
            <v>31503.198000000004</v>
          </cell>
          <cell r="AU21">
            <v>5027.4179999999978</v>
          </cell>
          <cell r="AV21">
            <v>491080.96000000002</v>
          </cell>
          <cell r="AW21"/>
          <cell r="AX21"/>
          <cell r="AY21"/>
          <cell r="AZ21"/>
          <cell r="BA21">
            <v>527611.57600000012</v>
          </cell>
          <cell r="BB21">
            <v>0</v>
          </cell>
          <cell r="BC21">
            <v>-101061.46199999998</v>
          </cell>
          <cell r="BD21">
            <v>250000</v>
          </cell>
          <cell r="BE21">
            <v>0</v>
          </cell>
          <cell r="BF21">
            <v>-336470.23799999995</v>
          </cell>
          <cell r="BG21">
            <v>-85269.252000000008</v>
          </cell>
          <cell r="BH21"/>
          <cell r="BI21"/>
          <cell r="BJ21">
            <v>-272800.95199999993</v>
          </cell>
          <cell r="BK21"/>
          <cell r="BL21"/>
          <cell r="BM21"/>
          <cell r="BN21"/>
          <cell r="BO21"/>
        </row>
        <row r="22">
          <cell r="F22">
            <v>12840528.805995762</v>
          </cell>
          <cell r="G22">
            <v>1509559.8350115605</v>
          </cell>
          <cell r="H22">
            <v>1106467.4925387637</v>
          </cell>
          <cell r="I22">
            <v>981353.85513924761</v>
          </cell>
          <cell r="J22">
            <v>433020.79185498465</v>
          </cell>
          <cell r="K22">
            <v>881269.96218751185</v>
          </cell>
          <cell r="L22">
            <v>895221.41083719814</v>
          </cell>
          <cell r="M22">
            <v>519541.22417731967</v>
          </cell>
          <cell r="N22">
            <v>804875.6096577805</v>
          </cell>
          <cell r="O22">
            <v>467342.22966088471</v>
          </cell>
          <cell r="P22">
            <v>728771.27414167172</v>
          </cell>
          <cell r="Q22">
            <v>640050.43558805669</v>
          </cell>
          <cell r="R22">
            <v>449866.21503918216</v>
          </cell>
          <cell r="S22">
            <v>1018185.2570771911</v>
          </cell>
          <cell r="T22">
            <v>240801.40611090179</v>
          </cell>
          <cell r="U22">
            <v>376214.10219858959</v>
          </cell>
          <cell r="V22">
            <v>290694.92441740772</v>
          </cell>
          <cell r="W22">
            <v>179956.54491163697</v>
          </cell>
          <cell r="X22"/>
          <cell r="Y22"/>
          <cell r="Z22">
            <v>11523192.57054989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11523192.57054989</v>
          </cell>
          <cell r="AJ22">
            <v>132865.27255181276</v>
          </cell>
          <cell r="AK22">
            <v>64554.257634060457</v>
          </cell>
          <cell r="AL22">
            <v>144408.99025999999</v>
          </cell>
          <cell r="AM22"/>
          <cell r="AN22">
            <v>341828.5204458732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975507.71499999997</v>
          </cell>
          <cell r="BF22">
            <v>0</v>
          </cell>
          <cell r="BG22">
            <v>0</v>
          </cell>
          <cell r="BH22"/>
          <cell r="BI22"/>
          <cell r="BJ22">
            <v>975507.71499999997</v>
          </cell>
          <cell r="BK22"/>
          <cell r="BL22"/>
          <cell r="BM22"/>
          <cell r="BN22"/>
          <cell r="BO22"/>
        </row>
        <row r="23">
          <cell r="F23">
            <v>1886447.2349957635</v>
          </cell>
          <cell r="G23">
            <v>204613.41918972917</v>
          </cell>
          <cell r="H23">
            <v>148992.97937633589</v>
          </cell>
          <cell r="I23">
            <v>129561.11586484252</v>
          </cell>
          <cell r="J23">
            <v>58067.700961065522</v>
          </cell>
          <cell r="K23">
            <v>131159.36754060173</v>
          </cell>
          <cell r="L23">
            <v>131127.44912656466</v>
          </cell>
          <cell r="M23">
            <v>77475.731439888579</v>
          </cell>
          <cell r="N23">
            <v>118950.15113646217</v>
          </cell>
          <cell r="O23">
            <v>69158.335289981856</v>
          </cell>
          <cell r="P23">
            <v>106147.18379522118</v>
          </cell>
          <cell r="Q23">
            <v>94029.347110252027</v>
          </cell>
          <cell r="R23">
            <v>63902.343494882385</v>
          </cell>
          <cell r="S23">
            <v>102175.04482113403</v>
          </cell>
          <cell r="T23">
            <v>24207.171222233163</v>
          </cell>
          <cell r="U23">
            <v>37350.563014212858</v>
          </cell>
          <cell r="V23">
            <v>29696.616088277195</v>
          </cell>
          <cell r="W23">
            <v>18004.195078205234</v>
          </cell>
          <cell r="X23"/>
          <cell r="Y23"/>
          <cell r="Z23">
            <v>1544618.7145498903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1544618.7145498903</v>
          </cell>
          <cell r="AJ23">
            <v>132865.27255181276</v>
          </cell>
          <cell r="AK23">
            <v>64554.257634060457</v>
          </cell>
          <cell r="AL23">
            <v>144408.99025999999</v>
          </cell>
          <cell r="AM23"/>
          <cell r="AN23">
            <v>341828.5204458732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4516382.176</v>
          </cell>
          <cell r="G24">
            <v>580922.86375236721</v>
          </cell>
          <cell r="H24">
            <v>432190.57187925291</v>
          </cell>
          <cell r="I24">
            <v>394369.81656445749</v>
          </cell>
          <cell r="J24">
            <v>164953.38644224266</v>
          </cell>
          <cell r="K24">
            <v>333107.80106584559</v>
          </cell>
          <cell r="L24">
            <v>346726.62373225152</v>
          </cell>
          <cell r="M24">
            <v>194624.63413401952</v>
          </cell>
          <cell r="N24">
            <v>307282.8469346154</v>
          </cell>
          <cell r="O24">
            <v>178801.40786516611</v>
          </cell>
          <cell r="P24">
            <v>285549.27303785074</v>
          </cell>
          <cell r="Q24">
            <v>247719.77356458717</v>
          </cell>
          <cell r="R24">
            <v>183826.02449227058</v>
          </cell>
          <cell r="S24">
            <v>419767.75119076058</v>
          </cell>
          <cell r="T24">
            <v>98731.072150307751</v>
          </cell>
          <cell r="U24">
            <v>156852.42862541211</v>
          </cell>
          <cell r="V24">
            <v>115601.89880425108</v>
          </cell>
          <cell r="W24">
            <v>75354.001764340996</v>
          </cell>
          <cell r="X24"/>
          <cell r="Y24"/>
          <cell r="Z24">
            <v>4516382.176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4516382.176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6437699.3949999986</v>
          </cell>
          <cell r="G25">
            <v>724023.55206946412</v>
          </cell>
          <cell r="H25">
            <v>525283.94128317502</v>
          </cell>
          <cell r="I25">
            <v>457422.92270994757</v>
          </cell>
          <cell r="J25">
            <v>209999.70445167646</v>
          </cell>
          <cell r="K25">
            <v>417002.79358106456</v>
          </cell>
          <cell r="L25">
            <v>417367.3379783819</v>
          </cell>
          <cell r="M25">
            <v>247440.85860341159</v>
          </cell>
          <cell r="N25">
            <v>378642.61158670293</v>
          </cell>
          <cell r="O25">
            <v>219382.48650573677</v>
          </cell>
          <cell r="P25">
            <v>337074.81730859983</v>
          </cell>
          <cell r="Q25">
            <v>298301.31491321756</v>
          </cell>
          <cell r="R25">
            <v>202137.84705202922</v>
          </cell>
          <cell r="S25">
            <v>496242.46106529655</v>
          </cell>
          <cell r="T25">
            <v>117863.16273836086</v>
          </cell>
          <cell r="U25">
            <v>182011.11055896463</v>
          </cell>
          <cell r="V25">
            <v>145396.40952487945</v>
          </cell>
          <cell r="W25">
            <v>86598.34806909076</v>
          </cell>
          <cell r="X25"/>
          <cell r="Y25"/>
          <cell r="Z25">
            <v>5462191.6799999988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5462191.6799999988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975507.71499999997</v>
          </cell>
          <cell r="BF25">
            <v>0</v>
          </cell>
          <cell r="BG25">
            <v>0</v>
          </cell>
          <cell r="BH25"/>
          <cell r="BI25"/>
          <cell r="BJ25">
            <v>975507.71499999997</v>
          </cell>
          <cell r="BK25"/>
          <cell r="BL25"/>
          <cell r="BM25"/>
          <cell r="BN25"/>
          <cell r="BO25"/>
        </row>
        <row r="26">
          <cell r="F26">
            <v>15543197.988014273</v>
          </cell>
          <cell r="G26">
            <v>1632137.6839884366</v>
          </cell>
          <cell r="H26">
            <v>560397.55247123609</v>
          </cell>
          <cell r="I26">
            <v>532916.30086075328</v>
          </cell>
          <cell r="J26">
            <v>399074.54414501617</v>
          </cell>
          <cell r="K26">
            <v>944762.80181249022</v>
          </cell>
          <cell r="L26">
            <v>1178103.1231628007</v>
          </cell>
          <cell r="M26">
            <v>192845.90982267947</v>
          </cell>
          <cell r="N26">
            <v>691829.94234221848</v>
          </cell>
          <cell r="O26">
            <v>396855.87433911546</v>
          </cell>
          <cell r="P26">
            <v>1481165.2508583316</v>
          </cell>
          <cell r="Q26">
            <v>1338364.5404119417</v>
          </cell>
          <cell r="R26">
            <v>552093.18596081831</v>
          </cell>
          <cell r="S26">
            <v>2089688.3949228125</v>
          </cell>
          <cell r="T26">
            <v>780762.67088909796</v>
          </cell>
          <cell r="U26">
            <v>1793848.9948014114</v>
          </cell>
          <cell r="V26">
            <v>125124.37058259227</v>
          </cell>
          <cell r="W26">
            <v>185966.20008836273</v>
          </cell>
          <cell r="X26"/>
          <cell r="Y26"/>
          <cell r="Z26">
            <v>14875937.341460112</v>
          </cell>
          <cell r="AA26">
            <v>313202.25699999998</v>
          </cell>
          <cell r="AB26">
            <v>-4944.5830000000005</v>
          </cell>
          <cell r="AC26">
            <v>29900.624000000003</v>
          </cell>
          <cell r="AD26">
            <v>142625.46</v>
          </cell>
          <cell r="AE26"/>
          <cell r="AF26"/>
          <cell r="AG26"/>
          <cell r="AH26">
            <v>480783.75800000003</v>
          </cell>
          <cell r="AI26">
            <v>15356721.099460114</v>
          </cell>
          <cell r="AJ26">
            <v>308886.33444818709</v>
          </cell>
          <cell r="AK26">
            <v>114953.76736593951</v>
          </cell>
          <cell r="AL26">
            <v>35102.993740000646</v>
          </cell>
          <cell r="AM26"/>
          <cell r="AN26">
            <v>458943.0955541266</v>
          </cell>
          <cell r="AO26">
            <v>455077.57199999451</v>
          </cell>
          <cell r="AP26">
            <v>-6846.688000000001</v>
          </cell>
          <cell r="AQ26"/>
          <cell r="AR26"/>
          <cell r="AS26">
            <v>448230.88399999449</v>
          </cell>
          <cell r="AT26">
            <v>31503.198000000004</v>
          </cell>
          <cell r="AU26">
            <v>5027.4179999999978</v>
          </cell>
          <cell r="AV26">
            <v>491080.96000000002</v>
          </cell>
          <cell r="AW26"/>
          <cell r="AX26"/>
          <cell r="AY26"/>
          <cell r="AZ26"/>
          <cell r="BA26">
            <v>527611.57600000012</v>
          </cell>
          <cell r="BB26">
            <v>0</v>
          </cell>
          <cell r="BC26">
            <v>-101061.46199999998</v>
          </cell>
          <cell r="BD26">
            <v>250000</v>
          </cell>
          <cell r="BE26">
            <v>-975507.71499999997</v>
          </cell>
          <cell r="BF26">
            <v>-336470.23799999995</v>
          </cell>
          <cell r="BG26">
            <v>-85269.252000000008</v>
          </cell>
          <cell r="BH26"/>
          <cell r="BI26"/>
          <cell r="BJ26">
            <v>-1248308.6669999999</v>
          </cell>
          <cell r="BK26"/>
          <cell r="BL26"/>
          <cell r="BM26"/>
          <cell r="BN26"/>
          <cell r="BO26"/>
        </row>
        <row r="27">
          <cell r="F27">
            <v>15543197.988014234</v>
          </cell>
          <cell r="G27">
            <v>1632137.6839884389</v>
          </cell>
          <cell r="H27">
            <v>560397.5524712347</v>
          </cell>
          <cell r="I27">
            <v>532916.30086075258</v>
          </cell>
          <cell r="J27">
            <v>399074.54414501548</v>
          </cell>
          <cell r="K27">
            <v>944762.80181248731</v>
          </cell>
          <cell r="L27">
            <v>1178103.1231628009</v>
          </cell>
          <cell r="M27">
            <v>192845.90982268017</v>
          </cell>
          <cell r="N27">
            <v>691829.94234221883</v>
          </cell>
          <cell r="O27">
            <v>396855.87433911557</v>
          </cell>
          <cell r="P27">
            <v>1481165.2508583288</v>
          </cell>
          <cell r="Q27">
            <v>1338364.5404119429</v>
          </cell>
          <cell r="R27">
            <v>552093.18596081808</v>
          </cell>
          <cell r="S27">
            <v>2089688.3949228087</v>
          </cell>
          <cell r="T27">
            <v>780762.6708890982</v>
          </cell>
          <cell r="U27">
            <v>1793848.9948014105</v>
          </cell>
          <cell r="V27">
            <v>125124.37058259241</v>
          </cell>
          <cell r="W27">
            <v>185966.20008836302</v>
          </cell>
          <cell r="X27"/>
          <cell r="Y27"/>
          <cell r="Z27">
            <v>14875937.341460105</v>
          </cell>
          <cell r="AA27">
            <v>313202.25699999998</v>
          </cell>
          <cell r="AB27">
            <v>-4944.5829999999996</v>
          </cell>
          <cell r="AC27">
            <v>29900.623999999996</v>
          </cell>
          <cell r="AD27">
            <v>142625.46</v>
          </cell>
          <cell r="AE27"/>
          <cell r="AF27"/>
          <cell r="AG27"/>
          <cell r="AH27">
            <v>480783.75800000003</v>
          </cell>
          <cell r="AI27">
            <v>15356721.099460104</v>
          </cell>
          <cell r="AJ27">
            <v>308886.33444818715</v>
          </cell>
          <cell r="AK27">
            <v>114953.76736593955</v>
          </cell>
          <cell r="AL27">
            <v>35102.99374000018</v>
          </cell>
          <cell r="AM27"/>
          <cell r="AN27">
            <v>458943.09555412689</v>
          </cell>
          <cell r="AO27">
            <v>455077.57200000098</v>
          </cell>
          <cell r="AP27">
            <v>-6846.688000000001</v>
          </cell>
          <cell r="AQ27"/>
          <cell r="AR27"/>
          <cell r="AS27">
            <v>448230.88400000095</v>
          </cell>
          <cell r="AT27">
            <v>31503.198</v>
          </cell>
          <cell r="AU27">
            <v>5027.4179999999978</v>
          </cell>
          <cell r="AV27">
            <v>491080.96000000002</v>
          </cell>
          <cell r="AW27"/>
          <cell r="AX27"/>
          <cell r="AY27"/>
          <cell r="AZ27"/>
          <cell r="BA27">
            <v>527611.576</v>
          </cell>
          <cell r="BB27">
            <v>0</v>
          </cell>
          <cell r="BC27">
            <v>-101061.462</v>
          </cell>
          <cell r="BD27">
            <v>250000</v>
          </cell>
          <cell r="BE27">
            <v>-975507.71499999997</v>
          </cell>
          <cell r="BF27">
            <v>-336470.23799999995</v>
          </cell>
          <cell r="BG27">
            <v>-85269.252000000008</v>
          </cell>
          <cell r="BH27"/>
          <cell r="BI27"/>
          <cell r="BJ27">
            <v>-1248308.6669999999</v>
          </cell>
          <cell r="BK27"/>
          <cell r="BL27"/>
          <cell r="BM27"/>
          <cell r="BN27"/>
          <cell r="BO27"/>
        </row>
        <row r="28">
          <cell r="F28">
            <v>3.9115548133850098E-8</v>
          </cell>
          <cell r="G28">
            <v>-2.3283064365386963E-9</v>
          </cell>
          <cell r="H28">
            <v>1.3969838619232178E-9</v>
          </cell>
          <cell r="I28">
            <v>0</v>
          </cell>
          <cell r="J28">
            <v>6.9849193096160889E-10</v>
          </cell>
          <cell r="K28">
            <v>2.9103830456733704E-9</v>
          </cell>
          <cell r="L28">
            <v>0</v>
          </cell>
          <cell r="M28">
            <v>-6.9849193096160889E-10</v>
          </cell>
          <cell r="N28">
            <v>0</v>
          </cell>
          <cell r="O28">
            <v>0</v>
          </cell>
          <cell r="P28">
            <v>2.7939677238464355E-9</v>
          </cell>
          <cell r="Q28">
            <v>0</v>
          </cell>
          <cell r="R28">
            <v>0</v>
          </cell>
          <cell r="S28">
            <v>3.7252902984619141E-9</v>
          </cell>
          <cell r="T28">
            <v>0</v>
          </cell>
          <cell r="U28">
            <v>0</v>
          </cell>
          <cell r="V28">
            <v>-1.4551915228366852E-10</v>
          </cell>
          <cell r="W28">
            <v>-2.9103830456733704E-10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4.6566128730773926E-10</v>
          </cell>
          <cell r="AM28"/>
          <cell r="AN28">
            <v>0</v>
          </cell>
          <cell r="AO28">
            <v>-6.4610503613948822E-9</v>
          </cell>
          <cell r="AP28">
            <v>0</v>
          </cell>
          <cell r="AQ28"/>
          <cell r="AR28"/>
          <cell r="AS28">
            <v>-6.4610503613948822E-9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306216</v>
          </cell>
          <cell r="H31">
            <v>222287</v>
          </cell>
          <cell r="I31">
            <v>198322.2</v>
          </cell>
          <cell r="J31">
            <v>92797.5</v>
          </cell>
          <cell r="K31">
            <v>164973.5</v>
          </cell>
          <cell r="L31">
            <v>174505</v>
          </cell>
          <cell r="M31">
            <v>107923</v>
          </cell>
          <cell r="N31">
            <v>158457.5</v>
          </cell>
          <cell r="O31">
            <v>100263</v>
          </cell>
          <cell r="P31">
            <v>141116.5</v>
          </cell>
          <cell r="Q31">
            <v>126052</v>
          </cell>
          <cell r="R31">
            <v>82527</v>
          </cell>
          <cell r="S31">
            <v>208567</v>
          </cell>
          <cell r="T31">
            <v>45014</v>
          </cell>
          <cell r="U31">
            <v>68680.5</v>
          </cell>
          <cell r="V31">
            <v>65377.5</v>
          </cell>
          <cell r="W31">
            <v>29350</v>
          </cell>
          <cell r="X31">
            <v>0</v>
          </cell>
          <cell r="Y31">
            <v>0</v>
          </cell>
          <cell r="Z31">
            <v>2292429.2000000002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2292429.2000000002</v>
          </cell>
          <cell r="AJ31">
            <v>160564</v>
          </cell>
          <cell r="AK31">
            <v>167480</v>
          </cell>
          <cell r="AL31">
            <v>279220</v>
          </cell>
          <cell r="AM31"/>
          <cell r="AN31">
            <v>607264</v>
          </cell>
          <cell r="AO31">
            <v>70612.716</v>
          </cell>
          <cell r="AP31">
            <v>0</v>
          </cell>
          <cell r="AQ31"/>
          <cell r="AR31"/>
          <cell r="AS31">
            <v>70612.716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315954442.74199998</v>
          </cell>
          <cell r="G32">
            <v>30507054.101999998</v>
          </cell>
          <cell r="H32">
            <v>22256215.973999999</v>
          </cell>
          <cell r="I32">
            <v>19428776.544999998</v>
          </cell>
          <cell r="J32">
            <v>9103976.0980000012</v>
          </cell>
          <cell r="K32">
            <v>17745131.841000002</v>
          </cell>
          <cell r="L32">
            <v>17650711.530999999</v>
          </cell>
          <cell r="M32">
            <v>10408446.199999999</v>
          </cell>
          <cell r="N32">
            <v>16072158.65</v>
          </cell>
          <cell r="O32">
            <v>9311655.318</v>
          </cell>
          <cell r="P32">
            <v>14326785.600000001</v>
          </cell>
          <cell r="Q32">
            <v>12757315.702</v>
          </cell>
          <cell r="R32">
            <v>8651602.9920000006</v>
          </cell>
          <cell r="S32">
            <v>21181423.341000002</v>
          </cell>
          <cell r="T32">
            <v>5058348.3899999997</v>
          </cell>
          <cell r="U32">
            <v>7767151.3360000001</v>
          </cell>
          <cell r="V32">
            <v>6264374.5410000002</v>
          </cell>
          <cell r="W32">
            <v>3683808.3449999997</v>
          </cell>
          <cell r="X32">
            <v>0</v>
          </cell>
          <cell r="Y32">
            <v>0</v>
          </cell>
          <cell r="Z32">
            <v>232174936.50599998</v>
          </cell>
          <cell r="AA32">
            <v>400000</v>
          </cell>
          <cell r="AB32">
            <v>0</v>
          </cell>
          <cell r="AC32">
            <v>100000</v>
          </cell>
          <cell r="AD32">
            <v>226720</v>
          </cell>
          <cell r="AE32"/>
          <cell r="AF32"/>
          <cell r="AG32"/>
          <cell r="AH32">
            <v>726720</v>
          </cell>
          <cell r="AI32">
            <v>232901656.50599998</v>
          </cell>
          <cell r="AJ32">
            <v>4760678.08</v>
          </cell>
          <cell r="AK32">
            <v>2360024</v>
          </cell>
          <cell r="AL32">
            <v>5123338</v>
          </cell>
          <cell r="AM32"/>
          <cell r="AN32">
            <v>12244040.08</v>
          </cell>
          <cell r="AO32">
            <v>70211565.195999995</v>
          </cell>
          <cell r="AP32">
            <v>0</v>
          </cell>
          <cell r="AQ32"/>
          <cell r="AR32"/>
          <cell r="AS32">
            <v>70211565.195999995</v>
          </cell>
          <cell r="AT32">
            <v>43050</v>
          </cell>
          <cell r="AU32">
            <v>49200</v>
          </cell>
          <cell r="AV32">
            <v>491080.96000000002</v>
          </cell>
          <cell r="AW32"/>
          <cell r="AX32"/>
          <cell r="AY32"/>
          <cell r="AZ32"/>
          <cell r="BA32">
            <v>583330.96</v>
          </cell>
          <cell r="BB32">
            <v>0</v>
          </cell>
          <cell r="BC32">
            <v>13850.000000000002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13850.000000000002</v>
          </cell>
        </row>
        <row r="33">
          <cell r="F33">
            <v>280634831.91198993</v>
          </cell>
          <cell r="G33">
            <v>26786647.226</v>
          </cell>
          <cell r="H33">
            <v>20077505.623989999</v>
          </cell>
          <cell r="I33">
            <v>17522120.699999996</v>
          </cell>
          <cell r="J33">
            <v>7995307.324</v>
          </cell>
          <cell r="K33">
            <v>15538923.102</v>
          </cell>
          <cell r="L33">
            <v>15169299.843</v>
          </cell>
          <cell r="M33">
            <v>9393089.995000001</v>
          </cell>
          <cell r="N33">
            <v>14205195.126000002</v>
          </cell>
          <cell r="O33">
            <v>8223892.267</v>
          </cell>
          <cell r="P33">
            <v>11753388.718999999</v>
          </cell>
          <cell r="Q33">
            <v>10482682.526000001</v>
          </cell>
          <cell r="R33">
            <v>7425010.1859999998</v>
          </cell>
          <cell r="S33">
            <v>17694021.263999999</v>
          </cell>
          <cell r="T33">
            <v>3943079.6829999997</v>
          </cell>
          <cell r="U33">
            <v>5504651.453999999</v>
          </cell>
          <cell r="V33">
            <v>5595633.2630000003</v>
          </cell>
          <cell r="W33">
            <v>3194540.54</v>
          </cell>
          <cell r="X33">
            <v>0</v>
          </cell>
          <cell r="Y33">
            <v>0</v>
          </cell>
          <cell r="Z33">
            <v>200504988.84198996</v>
          </cell>
          <cell r="AA33">
            <v>84708.043000000005</v>
          </cell>
          <cell r="AB33">
            <v>0</v>
          </cell>
          <cell r="AC33">
            <v>69823.975999999995</v>
          </cell>
          <cell r="AD33">
            <v>84094.540000000008</v>
          </cell>
          <cell r="AE33"/>
          <cell r="AF33"/>
          <cell r="AG33"/>
          <cell r="AH33">
            <v>238626.55900000001</v>
          </cell>
          <cell r="AI33">
            <v>200743615.40098995</v>
          </cell>
          <cell r="AJ33">
            <v>4312246.4730000002</v>
          </cell>
          <cell r="AK33">
            <v>2087366.4739999999</v>
          </cell>
          <cell r="AL33">
            <v>4943826.0159999989</v>
          </cell>
          <cell r="AM33"/>
          <cell r="AN33">
            <v>11343438.963</v>
          </cell>
          <cell r="AO33">
            <v>68656788.912</v>
          </cell>
          <cell r="AP33">
            <v>0</v>
          </cell>
          <cell r="AQ33"/>
          <cell r="AR33"/>
          <cell r="AS33">
            <v>68656788.912</v>
          </cell>
          <cell r="AT33">
            <v>11546.802</v>
          </cell>
          <cell r="AU33">
            <v>44172.582000000002</v>
          </cell>
          <cell r="AV33">
            <v>0</v>
          </cell>
          <cell r="AW33"/>
          <cell r="AX33"/>
          <cell r="AY33"/>
          <cell r="AZ33"/>
          <cell r="BA33">
            <v>55719.384000000005</v>
          </cell>
          <cell r="BB33">
            <v>0</v>
          </cell>
          <cell r="BC33">
            <v>0</v>
          </cell>
          <cell r="BD33">
            <v>-250000</v>
          </cell>
          <cell r="BE33">
            <v>0</v>
          </cell>
          <cell r="BF33">
            <v>0</v>
          </cell>
          <cell r="BG33">
            <v>85269.252000000008</v>
          </cell>
          <cell r="BH33"/>
          <cell r="BI33"/>
          <cell r="BJ33">
            <v>-164730.74799999999</v>
          </cell>
        </row>
        <row r="34">
          <cell r="F34">
            <v>35319610.830010056</v>
          </cell>
          <cell r="G34">
            <v>3720406.8759999983</v>
          </cell>
          <cell r="H34">
            <v>2178710.3500100002</v>
          </cell>
          <cell r="I34">
            <v>1906655.8450000025</v>
          </cell>
          <cell r="J34">
            <v>1108668.7740000011</v>
          </cell>
          <cell r="K34">
            <v>2206208.7390000019</v>
          </cell>
          <cell r="L34">
            <v>2481411.6879999992</v>
          </cell>
          <cell r="M34">
            <v>1015356.2049999982</v>
          </cell>
          <cell r="N34">
            <v>1866963.5239999983</v>
          </cell>
          <cell r="O34">
            <v>1087763.051</v>
          </cell>
          <cell r="P34">
            <v>2573396.8810000028</v>
          </cell>
          <cell r="Q34">
            <v>2274633.175999999</v>
          </cell>
          <cell r="R34">
            <v>1226592.8060000008</v>
          </cell>
          <cell r="S34">
            <v>3487402.0770000033</v>
          </cell>
          <cell r="T34">
            <v>1115268.7069999999</v>
          </cell>
          <cell r="U34">
            <v>2262499.8820000011</v>
          </cell>
          <cell r="V34">
            <v>668741.27799999993</v>
          </cell>
          <cell r="W34">
            <v>489267.8049999997</v>
          </cell>
          <cell r="X34">
            <v>0</v>
          </cell>
          <cell r="Y34">
            <v>0</v>
          </cell>
          <cell r="Z34">
            <v>31669947.664010018</v>
          </cell>
          <cell r="AA34">
            <v>315291.95699999999</v>
          </cell>
          <cell r="AB34">
            <v>0</v>
          </cell>
          <cell r="AC34">
            <v>30176.024000000005</v>
          </cell>
          <cell r="AD34">
            <v>142625.46</v>
          </cell>
          <cell r="AE34"/>
          <cell r="AF34"/>
          <cell r="AG34"/>
          <cell r="AH34">
            <v>488093.44099999999</v>
          </cell>
          <cell r="AI34">
            <v>32158041.105010033</v>
          </cell>
          <cell r="AJ34">
            <v>448431.60699999984</v>
          </cell>
          <cell r="AK34">
            <v>272657.52600000007</v>
          </cell>
          <cell r="AL34">
            <v>179511.9840000011</v>
          </cell>
          <cell r="AM34"/>
          <cell r="AN34">
            <v>900601.11700000055</v>
          </cell>
          <cell r="AO34">
            <v>1554776.2839999944</v>
          </cell>
          <cell r="AP34">
            <v>0</v>
          </cell>
          <cell r="AQ34"/>
          <cell r="AR34"/>
          <cell r="AS34">
            <v>1554776.2839999944</v>
          </cell>
          <cell r="AT34">
            <v>31503.198</v>
          </cell>
          <cell r="AU34">
            <v>5027.4179999999978</v>
          </cell>
          <cell r="AV34">
            <v>491080.96000000002</v>
          </cell>
          <cell r="AW34"/>
          <cell r="AX34"/>
          <cell r="AY34"/>
          <cell r="AZ34"/>
          <cell r="BA34">
            <v>527611.576</v>
          </cell>
          <cell r="BB34">
            <v>0</v>
          </cell>
          <cell r="BC34">
            <v>13850.000000000002</v>
          </cell>
          <cell r="BD34">
            <v>250000</v>
          </cell>
          <cell r="BE34">
            <v>0</v>
          </cell>
          <cell r="BF34">
            <v>0</v>
          </cell>
          <cell r="BG34">
            <v>-85269.252000000008</v>
          </cell>
          <cell r="BH34"/>
          <cell r="BI34"/>
          <cell r="BJ34">
            <v>178580.74799999999</v>
          </cell>
        </row>
        <row r="35">
          <cell r="F35">
            <v>19776412.841995757</v>
          </cell>
          <cell r="G35">
            <v>2088269.1920115603</v>
          </cell>
          <cell r="H35">
            <v>1618312.7975387638</v>
          </cell>
          <cell r="I35">
            <v>1373739.5441392476</v>
          </cell>
          <cell r="J35">
            <v>709594.22985498467</v>
          </cell>
          <cell r="K35">
            <v>1261445.9371875119</v>
          </cell>
          <cell r="L35">
            <v>1303308.564837198</v>
          </cell>
          <cell r="M35">
            <v>822510.29517731967</v>
          </cell>
          <cell r="N35">
            <v>1175133.5816577806</v>
          </cell>
          <cell r="O35">
            <v>690907.17666088475</v>
          </cell>
          <cell r="P35">
            <v>1092231.6301416717</v>
          </cell>
          <cell r="Q35">
            <v>936268.63558805664</v>
          </cell>
          <cell r="R35">
            <v>674499.62003918213</v>
          </cell>
          <cell r="S35">
            <v>1397713.6820771911</v>
          </cell>
          <cell r="T35">
            <v>334506.0361109018</v>
          </cell>
          <cell r="U35">
            <v>468650.88719858957</v>
          </cell>
          <cell r="V35">
            <v>543616.90741740773</v>
          </cell>
          <cell r="W35">
            <v>303301.60491163697</v>
          </cell>
          <cell r="X35">
            <v>0</v>
          </cell>
          <cell r="Y35">
            <v>0</v>
          </cell>
          <cell r="Z35">
            <v>16794010.322549887</v>
          </cell>
          <cell r="AA35">
            <v>2089.6999999999998</v>
          </cell>
          <cell r="AB35">
            <v>4944.5830000000005</v>
          </cell>
          <cell r="AC35">
            <v>275.39999999999998</v>
          </cell>
          <cell r="AD35">
            <v>0</v>
          </cell>
          <cell r="AE35"/>
          <cell r="AF35"/>
          <cell r="AG35"/>
          <cell r="AH35">
            <v>7309.683</v>
          </cell>
          <cell r="AI35">
            <v>16801320.005549885</v>
          </cell>
          <cell r="AJ35">
            <v>139545.27255181276</v>
          </cell>
          <cell r="AK35">
            <v>157703.75863406045</v>
          </cell>
          <cell r="AL35">
            <v>144408.99025999999</v>
          </cell>
          <cell r="AM35"/>
          <cell r="AN35">
            <v>441658.02144587319</v>
          </cell>
          <cell r="AO35">
            <v>1099698.7119999998</v>
          </cell>
          <cell r="AP35">
            <v>6846.688000000001</v>
          </cell>
          <cell r="AQ35"/>
          <cell r="AR35"/>
          <cell r="AS35">
            <v>1106545.3999999999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114911.46199999998</v>
          </cell>
          <cell r="BD35">
            <v>0</v>
          </cell>
          <cell r="BE35">
            <v>975507.71499999997</v>
          </cell>
          <cell r="BF35">
            <v>336470.23799999995</v>
          </cell>
          <cell r="BG35">
            <v>0</v>
          </cell>
          <cell r="BH35"/>
          <cell r="BI35"/>
          <cell r="BJ35">
            <v>1426889.4149999998</v>
          </cell>
        </row>
        <row r="36">
          <cell r="F36">
            <v>15543197.988014299</v>
          </cell>
          <cell r="G36">
            <v>1632137.683988438</v>
          </cell>
          <cell r="H36">
            <v>560397.55247123633</v>
          </cell>
          <cell r="I36">
            <v>532916.30086075491</v>
          </cell>
          <cell r="J36">
            <v>399074.54414501647</v>
          </cell>
          <cell r="K36">
            <v>944762.80181248998</v>
          </cell>
          <cell r="L36">
            <v>1178103.1231628011</v>
          </cell>
          <cell r="M36">
            <v>192845.90982267854</v>
          </cell>
          <cell r="N36">
            <v>691829.94234221778</v>
          </cell>
          <cell r="O36">
            <v>396855.87433911522</v>
          </cell>
          <cell r="P36">
            <v>1481165.2508583311</v>
          </cell>
          <cell r="Q36">
            <v>1338364.5404119424</v>
          </cell>
          <cell r="R36">
            <v>552093.18596081866</v>
          </cell>
          <cell r="S36">
            <v>2089688.3949228122</v>
          </cell>
          <cell r="T36">
            <v>780762.6708890982</v>
          </cell>
          <cell r="U36">
            <v>1793848.9948014116</v>
          </cell>
          <cell r="V36">
            <v>125124.37058259221</v>
          </cell>
          <cell r="W36">
            <v>185966.20008836273</v>
          </cell>
          <cell r="X36">
            <v>0</v>
          </cell>
          <cell r="Y36">
            <v>0</v>
          </cell>
          <cell r="Z36">
            <v>14875937.341460131</v>
          </cell>
          <cell r="AA36">
            <v>313202.25699999998</v>
          </cell>
          <cell r="AB36">
            <v>-4944.5830000000005</v>
          </cell>
          <cell r="AC36">
            <v>29900.624000000003</v>
          </cell>
          <cell r="AD36">
            <v>142625.46</v>
          </cell>
          <cell r="AE36"/>
          <cell r="AF36"/>
          <cell r="AG36"/>
          <cell r="AH36">
            <v>480783.75799999997</v>
          </cell>
          <cell r="AI36">
            <v>15356721.099460147</v>
          </cell>
          <cell r="AJ36">
            <v>308886.33444818709</v>
          </cell>
          <cell r="AK36">
            <v>114953.76736593962</v>
          </cell>
          <cell r="AL36">
            <v>35102.993740001111</v>
          </cell>
          <cell r="AM36"/>
          <cell r="AN36">
            <v>458943.09555412736</v>
          </cell>
          <cell r="AO36">
            <v>455077.57199999457</v>
          </cell>
          <cell r="AP36">
            <v>-6846.688000000001</v>
          </cell>
          <cell r="AQ36"/>
          <cell r="AR36"/>
          <cell r="AS36">
            <v>448230.88399999449</v>
          </cell>
          <cell r="AT36">
            <v>31503.198</v>
          </cell>
          <cell r="AU36">
            <v>5027.4179999999978</v>
          </cell>
          <cell r="AV36">
            <v>491080.96000000002</v>
          </cell>
          <cell r="AW36"/>
          <cell r="AX36"/>
          <cell r="AY36"/>
          <cell r="AZ36"/>
          <cell r="BA36">
            <v>527611.576</v>
          </cell>
          <cell r="BB36">
            <v>0</v>
          </cell>
          <cell r="BC36">
            <v>-101061.46199999998</v>
          </cell>
          <cell r="BD36">
            <v>250000</v>
          </cell>
          <cell r="BE36">
            <v>-975507.71499999997</v>
          </cell>
          <cell r="BF36">
            <v>-336470.23799999995</v>
          </cell>
          <cell r="BG36">
            <v>-85269.252000000008</v>
          </cell>
          <cell r="BH36"/>
          <cell r="BI36"/>
          <cell r="BJ36">
            <v>-1248308.6669999999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-99529</v>
          </cell>
          <cell r="AK38">
            <v>-100828</v>
          </cell>
          <cell r="AL38">
            <v>-186731</v>
          </cell>
          <cell r="AM38"/>
          <cell r="AN38">
            <v>-387088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-8225432.5800000001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-2950410.08</v>
          </cell>
          <cell r="AK39">
            <v>-1623188</v>
          </cell>
          <cell r="AL39">
            <v>-3651834.5</v>
          </cell>
          <cell r="AM39"/>
          <cell r="AN39">
            <v>-8225432.5800000001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-8225432.5800000001</v>
          </cell>
          <cell r="G40"/>
          <cell r="H40"/>
          <cell r="I40"/>
          <cell r="J40"/>
          <cell r="K40">
            <v>-542856.58500000008</v>
          </cell>
          <cell r="L40">
            <v>-310736.64900000009</v>
          </cell>
          <cell r="M40">
            <v>-22001.339</v>
          </cell>
          <cell r="N40">
            <v>-48193.866000000002</v>
          </cell>
          <cell r="O40">
            <v>-7052.585</v>
          </cell>
          <cell r="P40">
            <v>2696.7660000000001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-928144.25800000026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-928144.25800000026</v>
          </cell>
          <cell r="AJ40">
            <v>-2645924.4239999996</v>
          </cell>
          <cell r="AK40">
            <v>-1338702.7439999999</v>
          </cell>
          <cell r="AL40">
            <v>-3312661.1540000001</v>
          </cell>
          <cell r="AM40"/>
          <cell r="AN40">
            <v>-7297288.3219999997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542856.58500000008</v>
          </cell>
          <cell r="L41">
            <v>310736.64900000009</v>
          </cell>
          <cell r="M41">
            <v>22001.339</v>
          </cell>
          <cell r="N41">
            <v>48193.866000000002</v>
          </cell>
          <cell r="O41">
            <v>7052.585</v>
          </cell>
          <cell r="P41">
            <v>-2696.7660000000001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928144.25800000026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928144.25800000026</v>
          </cell>
          <cell r="AJ41">
            <v>-304485.65600000042</v>
          </cell>
          <cell r="AK41">
            <v>-284485.25600000005</v>
          </cell>
          <cell r="AL41">
            <v>-339173.3459999999</v>
          </cell>
          <cell r="AM41"/>
          <cell r="AN41">
            <v>-928144.25800000038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542856.58500000008</v>
          </cell>
          <cell r="L43">
            <v>310736.64900000009</v>
          </cell>
          <cell r="M43">
            <v>22001.339</v>
          </cell>
          <cell r="N43">
            <v>48193.866000000002</v>
          </cell>
          <cell r="O43">
            <v>7052.585</v>
          </cell>
          <cell r="P43">
            <v>-2696.7660000000001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928144.25800000026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928144.25800000026</v>
          </cell>
          <cell r="AJ43">
            <v>-304485.65600000042</v>
          </cell>
          <cell r="AK43">
            <v>-284485.25600000005</v>
          </cell>
          <cell r="AL43">
            <v>-339173.3459999999</v>
          </cell>
          <cell r="AM43"/>
          <cell r="AN43">
            <v>-928144.25800000038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306216</v>
          </cell>
          <cell r="H45">
            <v>222287</v>
          </cell>
          <cell r="I45">
            <v>198322.2</v>
          </cell>
          <cell r="J45">
            <v>92797.5</v>
          </cell>
          <cell r="K45">
            <v>164973.5</v>
          </cell>
          <cell r="L45">
            <v>174505</v>
          </cell>
          <cell r="M45">
            <v>107923</v>
          </cell>
          <cell r="N45">
            <v>158457.5</v>
          </cell>
          <cell r="O45">
            <v>100263</v>
          </cell>
          <cell r="P45">
            <v>141116.5</v>
          </cell>
          <cell r="Q45">
            <v>126052</v>
          </cell>
          <cell r="R45">
            <v>82527</v>
          </cell>
          <cell r="S45">
            <v>208567</v>
          </cell>
          <cell r="T45">
            <v>45014</v>
          </cell>
          <cell r="U45">
            <v>68680.5</v>
          </cell>
          <cell r="V45">
            <v>65377.5</v>
          </cell>
          <cell r="W45">
            <v>29350</v>
          </cell>
          <cell r="X45">
            <v>0</v>
          </cell>
          <cell r="Y45">
            <v>0</v>
          </cell>
          <cell r="Z45">
            <v>2292429.2000000002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2292429.2000000002</v>
          </cell>
          <cell r="AJ45">
            <v>61035</v>
          </cell>
          <cell r="AK45">
            <v>66652</v>
          </cell>
          <cell r="AL45">
            <v>92489</v>
          </cell>
          <cell r="AM45"/>
          <cell r="AN45">
            <v>220176</v>
          </cell>
          <cell r="AO45">
            <v>70612.716</v>
          </cell>
          <cell r="AP45">
            <v>0</v>
          </cell>
          <cell r="AQ45"/>
          <cell r="AR45"/>
          <cell r="AS45">
            <v>70612.716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307729010.16199994</v>
          </cell>
          <cell r="G46">
            <v>30507054.101999998</v>
          </cell>
          <cell r="H46">
            <v>22256215.973999999</v>
          </cell>
          <cell r="I46">
            <v>19428776.544999998</v>
          </cell>
          <cell r="J46">
            <v>9103976.0980000012</v>
          </cell>
          <cell r="K46">
            <v>17745131.841000002</v>
          </cell>
          <cell r="L46">
            <v>17650711.530999999</v>
          </cell>
          <cell r="M46">
            <v>10408446.199999999</v>
          </cell>
          <cell r="N46">
            <v>16072158.65</v>
          </cell>
          <cell r="O46">
            <v>9311655.318</v>
          </cell>
          <cell r="P46">
            <v>14326785.600000001</v>
          </cell>
          <cell r="Q46">
            <v>12757315.702</v>
          </cell>
          <cell r="R46">
            <v>8651602.9920000006</v>
          </cell>
          <cell r="S46">
            <v>21181423.341000002</v>
          </cell>
          <cell r="T46">
            <v>5058348.3899999997</v>
          </cell>
          <cell r="U46">
            <v>7767151.3360000001</v>
          </cell>
          <cell r="V46">
            <v>6264374.5410000002</v>
          </cell>
          <cell r="W46">
            <v>3683808.3449999997</v>
          </cell>
          <cell r="X46">
            <v>0</v>
          </cell>
          <cell r="Y46">
            <v>0</v>
          </cell>
          <cell r="Z46">
            <v>232174936.50599998</v>
          </cell>
          <cell r="AA46">
            <v>400000</v>
          </cell>
          <cell r="AB46">
            <v>0</v>
          </cell>
          <cell r="AC46">
            <v>100000</v>
          </cell>
          <cell r="AD46">
            <v>226720</v>
          </cell>
          <cell r="AE46"/>
          <cell r="AF46"/>
          <cell r="AG46"/>
          <cell r="AH46">
            <v>726720</v>
          </cell>
          <cell r="AI46">
            <v>232901656.50599998</v>
          </cell>
          <cell r="AJ46">
            <v>1810268</v>
          </cell>
          <cell r="AK46">
            <v>736836</v>
          </cell>
          <cell r="AL46">
            <v>1471503.5</v>
          </cell>
          <cell r="AM46"/>
          <cell r="AN46">
            <v>4018607.5</v>
          </cell>
          <cell r="AO46">
            <v>70211565.195999995</v>
          </cell>
          <cell r="AP46">
            <v>0</v>
          </cell>
          <cell r="AQ46"/>
          <cell r="AR46"/>
          <cell r="AS46">
            <v>70211565.195999995</v>
          </cell>
          <cell r="AT46">
            <v>43050</v>
          </cell>
          <cell r="AU46">
            <v>49200</v>
          </cell>
          <cell r="AV46">
            <v>491080.96000000002</v>
          </cell>
          <cell r="AW46"/>
          <cell r="AX46"/>
          <cell r="AY46"/>
          <cell r="AZ46"/>
          <cell r="BA46">
            <v>583330.96</v>
          </cell>
          <cell r="BB46">
            <v>0</v>
          </cell>
          <cell r="BC46">
            <v>13850.000000000002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13850.000000000002</v>
          </cell>
        </row>
        <row r="47">
          <cell r="F47">
            <v>272409399.33198994</v>
          </cell>
          <cell r="G47">
            <v>26786647.226</v>
          </cell>
          <cell r="H47">
            <v>20077505.623989999</v>
          </cell>
          <cell r="I47">
            <v>17522120.699999996</v>
          </cell>
          <cell r="J47">
            <v>7995307.324</v>
          </cell>
          <cell r="K47">
            <v>14996066.516999999</v>
          </cell>
          <cell r="L47">
            <v>14858563.194</v>
          </cell>
          <cell r="M47">
            <v>9371088.6560000014</v>
          </cell>
          <cell r="N47">
            <v>14157001.260000002</v>
          </cell>
          <cell r="O47">
            <v>8216839.682</v>
          </cell>
          <cell r="P47">
            <v>11756085.484999999</v>
          </cell>
          <cell r="Q47">
            <v>10482682.526000001</v>
          </cell>
          <cell r="R47">
            <v>7425010.1859999998</v>
          </cell>
          <cell r="S47">
            <v>17694021.263999999</v>
          </cell>
          <cell r="T47">
            <v>3943079.6829999997</v>
          </cell>
          <cell r="U47">
            <v>5504651.453999999</v>
          </cell>
          <cell r="V47">
            <v>5595633.2630000003</v>
          </cell>
          <cell r="W47">
            <v>3194540.54</v>
          </cell>
          <cell r="X47">
            <v>0</v>
          </cell>
          <cell r="Y47">
            <v>0</v>
          </cell>
          <cell r="Z47">
            <v>199576844.58398998</v>
          </cell>
          <cell r="AA47">
            <v>84708.043000000005</v>
          </cell>
          <cell r="AB47">
            <v>0</v>
          </cell>
          <cell r="AC47">
            <v>69823.975999999995</v>
          </cell>
          <cell r="AD47">
            <v>84094.540000000008</v>
          </cell>
          <cell r="AE47"/>
          <cell r="AF47"/>
          <cell r="AG47"/>
          <cell r="AH47">
            <v>238626.55900000001</v>
          </cell>
          <cell r="AI47">
            <v>199815471.14298996</v>
          </cell>
          <cell r="AJ47">
            <v>1666322.0490000006</v>
          </cell>
          <cell r="AK47">
            <v>748663.73</v>
          </cell>
          <cell r="AL47">
            <v>1631164.8619999988</v>
          </cell>
          <cell r="AM47"/>
          <cell r="AN47">
            <v>4046150.6409999994</v>
          </cell>
          <cell r="AO47">
            <v>68656788.912</v>
          </cell>
          <cell r="AP47">
            <v>0</v>
          </cell>
          <cell r="AQ47"/>
          <cell r="AR47"/>
          <cell r="AS47">
            <v>68656788.912</v>
          </cell>
          <cell r="AT47">
            <v>11546.802</v>
          </cell>
          <cell r="AU47">
            <v>44172.582000000002</v>
          </cell>
          <cell r="AV47">
            <v>0</v>
          </cell>
          <cell r="AW47"/>
          <cell r="AX47"/>
          <cell r="AY47"/>
          <cell r="AZ47"/>
          <cell r="BA47">
            <v>55719.384000000005</v>
          </cell>
          <cell r="BB47">
            <v>0</v>
          </cell>
          <cell r="BC47">
            <v>0</v>
          </cell>
          <cell r="BD47">
            <v>-250000</v>
          </cell>
          <cell r="BE47">
            <v>0</v>
          </cell>
          <cell r="BF47">
            <v>0</v>
          </cell>
          <cell r="BG47">
            <v>85269.252000000008</v>
          </cell>
          <cell r="BH47"/>
          <cell r="BI47"/>
          <cell r="BJ47">
            <v>-164730.74799999999</v>
          </cell>
        </row>
        <row r="48">
          <cell r="F48">
            <v>35319610.830009997</v>
          </cell>
          <cell r="G48">
            <v>3720406.8759999983</v>
          </cell>
          <cell r="H48">
            <v>2178710.3500100002</v>
          </cell>
          <cell r="I48">
            <v>1906655.8450000025</v>
          </cell>
          <cell r="J48">
            <v>1108668.7740000011</v>
          </cell>
          <cell r="K48">
            <v>2749065.3240000028</v>
          </cell>
          <cell r="L48">
            <v>2792148.3369999994</v>
          </cell>
          <cell r="M48">
            <v>1037357.5439999979</v>
          </cell>
          <cell r="N48">
            <v>1915157.3899999987</v>
          </cell>
          <cell r="O48">
            <v>1094815.6359999999</v>
          </cell>
          <cell r="P48">
            <v>2570700.1150000021</v>
          </cell>
          <cell r="Q48">
            <v>2274633.175999999</v>
          </cell>
          <cell r="R48">
            <v>1226592.8060000008</v>
          </cell>
          <cell r="S48">
            <v>3487402.0770000033</v>
          </cell>
          <cell r="T48">
            <v>1115268.7069999999</v>
          </cell>
          <cell r="U48">
            <v>2262499.8820000011</v>
          </cell>
          <cell r="V48">
            <v>668741.27799999993</v>
          </cell>
          <cell r="W48">
            <v>489267.8049999997</v>
          </cell>
          <cell r="X48">
            <v>0</v>
          </cell>
          <cell r="Y48">
            <v>0</v>
          </cell>
          <cell r="Z48">
            <v>32598091.922010005</v>
          </cell>
          <cell r="AA48">
            <v>315291.95699999999</v>
          </cell>
          <cell r="AB48">
            <v>0</v>
          </cell>
          <cell r="AC48">
            <v>30176.024000000005</v>
          </cell>
          <cell r="AD48">
            <v>142625.46</v>
          </cell>
          <cell r="AE48"/>
          <cell r="AF48"/>
          <cell r="AG48"/>
          <cell r="AH48">
            <v>488093.44099999999</v>
          </cell>
          <cell r="AI48">
            <v>33086185.363010019</v>
          </cell>
          <cell r="AJ48">
            <v>143945.95099999942</v>
          </cell>
          <cell r="AK48">
            <v>-11827.729999999981</v>
          </cell>
          <cell r="AL48">
            <v>-159661.3619999988</v>
          </cell>
          <cell r="AM48"/>
          <cell r="AN48">
            <v>-27543.140999999363</v>
          </cell>
          <cell r="AO48">
            <v>1554776.2839999944</v>
          </cell>
          <cell r="AP48">
            <v>0</v>
          </cell>
          <cell r="AQ48"/>
          <cell r="AR48"/>
          <cell r="AS48">
            <v>1554776.2839999944</v>
          </cell>
          <cell r="AT48">
            <v>31503.198</v>
          </cell>
          <cell r="AU48">
            <v>5027.4179999999978</v>
          </cell>
          <cell r="AV48">
            <v>491080.96000000002</v>
          </cell>
          <cell r="AW48"/>
          <cell r="AX48"/>
          <cell r="AY48"/>
          <cell r="AZ48"/>
          <cell r="BA48">
            <v>527611.576</v>
          </cell>
          <cell r="BB48">
            <v>0</v>
          </cell>
          <cell r="BC48">
            <v>13850.000000000002</v>
          </cell>
          <cell r="BD48">
            <v>250000</v>
          </cell>
          <cell r="BE48">
            <v>0</v>
          </cell>
          <cell r="BF48">
            <v>0</v>
          </cell>
          <cell r="BG48">
            <v>-85269.252000000008</v>
          </cell>
          <cell r="BH48"/>
          <cell r="BI48"/>
          <cell r="BJ48">
            <v>178580.74799999999</v>
          </cell>
        </row>
        <row r="49">
          <cell r="F49">
            <v>19776412.841995757</v>
          </cell>
          <cell r="G49">
            <v>2088269.1920115603</v>
          </cell>
          <cell r="H49">
            <v>1618312.7975387638</v>
          </cell>
          <cell r="I49">
            <v>1373739.5441392476</v>
          </cell>
          <cell r="J49">
            <v>709594.22985498467</v>
          </cell>
          <cell r="K49">
            <v>1261445.9371875119</v>
          </cell>
          <cell r="L49">
            <v>1303308.564837198</v>
          </cell>
          <cell r="M49">
            <v>822510.29517731967</v>
          </cell>
          <cell r="N49">
            <v>1175133.5816577806</v>
          </cell>
          <cell r="O49">
            <v>690907.17666088475</v>
          </cell>
          <cell r="P49">
            <v>1092231.6301416717</v>
          </cell>
          <cell r="Q49">
            <v>936268.63558805664</v>
          </cell>
          <cell r="R49">
            <v>674499.62003918213</v>
          </cell>
          <cell r="S49">
            <v>1397713.6820771911</v>
          </cell>
          <cell r="T49">
            <v>334506.0361109018</v>
          </cell>
          <cell r="U49">
            <v>468650.88719858957</v>
          </cell>
          <cell r="V49">
            <v>543616.90741740773</v>
          </cell>
          <cell r="W49">
            <v>303301.60491163697</v>
          </cell>
          <cell r="X49">
            <v>0</v>
          </cell>
          <cell r="Y49">
            <v>0</v>
          </cell>
          <cell r="Z49">
            <v>16794010.322549887</v>
          </cell>
          <cell r="AA49">
            <v>2089.6999999999998</v>
          </cell>
          <cell r="AB49">
            <v>4944.5830000000005</v>
          </cell>
          <cell r="AC49">
            <v>275.39999999999998</v>
          </cell>
          <cell r="AD49">
            <v>0</v>
          </cell>
          <cell r="AE49"/>
          <cell r="AF49"/>
          <cell r="AG49"/>
          <cell r="AH49">
            <v>7309.683</v>
          </cell>
          <cell r="AI49">
            <v>16801320.005549885</v>
          </cell>
          <cell r="AJ49">
            <v>139545.27255181276</v>
          </cell>
          <cell r="AK49">
            <v>157703.75863406045</v>
          </cell>
          <cell r="AL49">
            <v>144408.99025999999</v>
          </cell>
          <cell r="AM49"/>
          <cell r="AN49">
            <v>441658.02144587319</v>
          </cell>
          <cell r="AO49">
            <v>1099698.7119999998</v>
          </cell>
          <cell r="AP49">
            <v>6846.688000000001</v>
          </cell>
          <cell r="AQ49"/>
          <cell r="AR49"/>
          <cell r="AS49">
            <v>1106545.3999999999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114911.46199999998</v>
          </cell>
          <cell r="BD49">
            <v>0</v>
          </cell>
          <cell r="BE49">
            <v>975507.71499999997</v>
          </cell>
          <cell r="BF49">
            <v>336470.23799999995</v>
          </cell>
          <cell r="BG49">
            <v>0</v>
          </cell>
          <cell r="BH49"/>
          <cell r="BI49"/>
          <cell r="BJ49">
            <v>1426889.4149999998</v>
          </cell>
        </row>
        <row r="50">
          <cell r="F50">
            <v>15543197.98801424</v>
          </cell>
          <cell r="G50">
            <v>1632137.683988438</v>
          </cell>
          <cell r="H50">
            <v>560397.55247123633</v>
          </cell>
          <cell r="I50">
            <v>532916.30086075491</v>
          </cell>
          <cell r="J50">
            <v>399074.54414501647</v>
          </cell>
          <cell r="K50">
            <v>1487619.3868124909</v>
          </cell>
          <cell r="L50">
            <v>1488839.7721628014</v>
          </cell>
          <cell r="M50">
            <v>214847.24882267823</v>
          </cell>
          <cell r="N50">
            <v>740023.80834221817</v>
          </cell>
          <cell r="O50">
            <v>403908.45933911519</v>
          </cell>
          <cell r="P50">
            <v>1478468.4848583303</v>
          </cell>
          <cell r="Q50">
            <v>1338364.5404119424</v>
          </cell>
          <cell r="R50">
            <v>552093.18596081866</v>
          </cell>
          <cell r="S50">
            <v>2089688.3949228122</v>
          </cell>
          <cell r="T50">
            <v>780762.6708890982</v>
          </cell>
          <cell r="U50">
            <v>1793848.9948014116</v>
          </cell>
          <cell r="V50">
            <v>125124.37058259221</v>
          </cell>
          <cell r="W50">
            <v>185966.20008836273</v>
          </cell>
          <cell r="X50">
            <v>0</v>
          </cell>
          <cell r="Y50">
            <v>0</v>
          </cell>
          <cell r="Z50">
            <v>15804081.599460118</v>
          </cell>
          <cell r="AA50">
            <v>313202.25699999998</v>
          </cell>
          <cell r="AB50">
            <v>-4944.5830000000005</v>
          </cell>
          <cell r="AC50">
            <v>29900.624000000003</v>
          </cell>
          <cell r="AD50">
            <v>142625.46</v>
          </cell>
          <cell r="AE50"/>
          <cell r="AF50"/>
          <cell r="AG50"/>
          <cell r="AH50">
            <v>480783.75799999997</v>
          </cell>
          <cell r="AI50">
            <v>16284865.357460134</v>
          </cell>
          <cell r="AJ50">
            <v>4400.6784481866634</v>
          </cell>
          <cell r="AK50">
            <v>-169531.48863406043</v>
          </cell>
          <cell r="AL50">
            <v>-304070.35225999879</v>
          </cell>
          <cell r="AM50"/>
          <cell r="AN50">
            <v>-469201.16244587256</v>
          </cell>
          <cell r="AO50">
            <v>455077.57199999457</v>
          </cell>
          <cell r="AP50">
            <v>-6846.688000000001</v>
          </cell>
          <cell r="AQ50"/>
          <cell r="AR50"/>
          <cell r="AS50">
            <v>448230.88399999449</v>
          </cell>
          <cell r="AT50">
            <v>31503.198</v>
          </cell>
          <cell r="AU50">
            <v>5027.4179999999978</v>
          </cell>
          <cell r="AV50">
            <v>491080.96000000002</v>
          </cell>
          <cell r="AW50"/>
          <cell r="AX50"/>
          <cell r="AY50"/>
          <cell r="AZ50"/>
          <cell r="BA50">
            <v>527611.576</v>
          </cell>
          <cell r="BB50">
            <v>0</v>
          </cell>
          <cell r="BC50">
            <v>-101061.46199999998</v>
          </cell>
          <cell r="BD50">
            <v>250000</v>
          </cell>
          <cell r="BE50">
            <v>-975507.71499999997</v>
          </cell>
          <cell r="BF50">
            <v>-336470.23799999995</v>
          </cell>
          <cell r="BG50">
            <v>-85269.252000000008</v>
          </cell>
          <cell r="BH50"/>
          <cell r="BI50"/>
          <cell r="BJ50">
            <v>-1248308.6669999999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9">
        <row r="21">
          <cell r="Z21">
            <v>1732735.3899999997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T5">
            <v>271500</v>
          </cell>
          <cell r="U5">
            <v>200357.32</v>
          </cell>
        </row>
        <row r="9">
          <cell r="E9">
            <v>243.08258744266607</v>
          </cell>
          <cell r="F9">
            <v>232.02391955488213</v>
          </cell>
          <cell r="G9">
            <v>100674.62236600932</v>
          </cell>
          <cell r="H9">
            <v>100428.89716126905</v>
          </cell>
        </row>
        <row r="10">
          <cell r="E10">
            <v>33.931132895706384</v>
          </cell>
          <cell r="F10">
            <v>47.972845952192017</v>
          </cell>
          <cell r="G10">
            <v>93982.218340875508</v>
          </cell>
          <cell r="H10">
            <v>93144.645012300083</v>
          </cell>
        </row>
        <row r="11">
          <cell r="E11">
            <v>0</v>
          </cell>
          <cell r="F11">
            <v>0</v>
          </cell>
        </row>
        <row r="12">
          <cell r="E12">
            <v>50.285988570537867</v>
          </cell>
          <cell r="F12">
            <v>52.395176661818631</v>
          </cell>
          <cell r="G12">
            <v>63624.798924588584</v>
          </cell>
          <cell r="H12">
            <v>61664.357872436274</v>
          </cell>
        </row>
        <row r="13">
          <cell r="E13">
            <v>35.464719734258374</v>
          </cell>
          <cell r="F13">
            <v>33.965964968572912</v>
          </cell>
          <cell r="G13">
            <v>41250.27968682599</v>
          </cell>
          <cell r="H13">
            <v>36891.069428331124</v>
          </cell>
        </row>
        <row r="14">
          <cell r="E14">
            <v>0</v>
          </cell>
          <cell r="F14">
            <v>2.6388286765267745E-3</v>
          </cell>
        </row>
        <row r="15">
          <cell r="E15">
            <v>362.76442864316869</v>
          </cell>
          <cell r="F15">
            <v>366.36054596614224</v>
          </cell>
        </row>
        <row r="16">
          <cell r="E16">
            <v>820.9911820334878</v>
          </cell>
          <cell r="F16">
            <v>796.15650084207164</v>
          </cell>
          <cell r="G16">
            <v>13326.795911756259</v>
          </cell>
          <cell r="H16">
            <v>12901.016205639153</v>
          </cell>
        </row>
        <row r="17">
          <cell r="E17">
            <v>900.66077822591012</v>
          </cell>
          <cell r="F17">
            <v>907.28045313445261</v>
          </cell>
          <cell r="G17">
            <v>15793.200514005573</v>
          </cell>
          <cell r="H17">
            <v>15697.024716672295</v>
          </cell>
        </row>
        <row r="19">
          <cell r="E19">
            <v>3.1189328871719852</v>
          </cell>
          <cell r="F19">
            <v>3.0040697397854546</v>
          </cell>
        </row>
        <row r="20">
          <cell r="Q20">
            <v>60092.182574281265</v>
          </cell>
          <cell r="R20">
            <v>59396.547585892375</v>
          </cell>
        </row>
        <row r="21">
          <cell r="Q21">
            <v>18719.280300540977</v>
          </cell>
          <cell r="R21">
            <v>19546.196541562153</v>
          </cell>
        </row>
        <row r="22">
          <cell r="Q22">
            <v>218.70165745856355</v>
          </cell>
          <cell r="R22">
            <v>222.44923159011407</v>
          </cell>
        </row>
        <row r="50">
          <cell r="Q50">
            <v>86455.575705203883</v>
          </cell>
          <cell r="R50">
            <v>89099.89154263922</v>
          </cell>
        </row>
        <row r="56">
          <cell r="L56">
            <v>-443321.82264134096</v>
          </cell>
        </row>
        <row r="61">
          <cell r="T61">
            <v>101376.55732101267</v>
          </cell>
          <cell r="U61">
            <v>97142.344161233937</v>
          </cell>
        </row>
        <row r="80">
          <cell r="H80">
            <v>628951.33000000007</v>
          </cell>
          <cell r="I80">
            <v>641387.55999999994</v>
          </cell>
          <cell r="L80">
            <v>-12436.229999999894</v>
          </cell>
        </row>
        <row r="85">
          <cell r="H85">
            <v>387704.94846234552</v>
          </cell>
          <cell r="I85">
            <v>465767.05170000007</v>
          </cell>
          <cell r="L85">
            <v>-78062.103237654548</v>
          </cell>
          <cell r="Q85">
            <v>101376.55732101267</v>
          </cell>
          <cell r="R85">
            <v>97142.344161233937</v>
          </cell>
        </row>
        <row r="86">
          <cell r="H86">
            <v>3034390.2302297363</v>
          </cell>
          <cell r="I86">
            <v>580468.64100000099</v>
          </cell>
          <cell r="K86">
            <v>-843143.28460231214</v>
          </cell>
          <cell r="M86">
            <v>-1076958.1487484267</v>
          </cell>
        </row>
        <row r="89">
          <cell r="Q89">
            <v>79030.164532280804</v>
          </cell>
          <cell r="R89">
            <v>79165.193359044642</v>
          </cell>
        </row>
        <row r="90">
          <cell r="Q90">
            <v>22346.392788731871</v>
          </cell>
          <cell r="R90">
            <v>17977.150802189295</v>
          </cell>
        </row>
      </sheetData>
      <sheetData sheetId="1">
        <row r="5">
          <cell r="T5">
            <v>102000</v>
          </cell>
          <cell r="U5">
            <v>69484.320000000007</v>
          </cell>
        </row>
        <row r="9">
          <cell r="E9">
            <v>267.9438725490196</v>
          </cell>
          <cell r="F9">
            <v>260.8619900480715</v>
          </cell>
          <cell r="G9">
            <v>100000.00000000001</v>
          </cell>
          <cell r="H9">
            <v>99818.689132878149</v>
          </cell>
        </row>
        <row r="10">
          <cell r="E10">
            <v>5.8882352941176475</v>
          </cell>
          <cell r="F10">
            <v>18.94279227386663</v>
          </cell>
          <cell r="G10">
            <v>98000</v>
          </cell>
          <cell r="H10">
            <v>98904.36541151299</v>
          </cell>
        </row>
        <row r="11">
          <cell r="E11">
            <v>0</v>
          </cell>
          <cell r="F11">
            <v>0</v>
          </cell>
        </row>
        <row r="12">
          <cell r="E12">
            <v>56.61607843137255</v>
          </cell>
          <cell r="F12">
            <v>59.264724005127306</v>
          </cell>
          <cell r="G12">
            <v>64163.571977751773</v>
          </cell>
          <cell r="H12">
            <v>62083.53265692979</v>
          </cell>
        </row>
        <row r="13">
          <cell r="E13">
            <v>38.162990196078432</v>
          </cell>
          <cell r="F13">
            <v>39.55002057795231</v>
          </cell>
          <cell r="G13">
            <v>47128.589319546576</v>
          </cell>
          <cell r="H13">
            <v>40968.424012461313</v>
          </cell>
        </row>
        <row r="14">
          <cell r="E14">
            <v>0</v>
          </cell>
          <cell r="F14">
            <v>0</v>
          </cell>
        </row>
        <row r="15">
          <cell r="E15">
            <v>368.61117647058825</v>
          </cell>
          <cell r="F15">
            <v>378.61952690501778</v>
          </cell>
        </row>
        <row r="16">
          <cell r="E16">
            <v>859.84905910026225</v>
          </cell>
          <cell r="F16">
            <v>820.31394620509968</v>
          </cell>
          <cell r="G16">
            <v>15815.748498279529</v>
          </cell>
          <cell r="H16">
            <v>15206.982415252523</v>
          </cell>
        </row>
        <row r="17">
          <cell r="E17">
            <v>871.12520990853773</v>
          </cell>
          <cell r="F17">
            <v>903.76962181973113</v>
          </cell>
          <cell r="G17">
            <v>14172.938620646477</v>
          </cell>
          <cell r="H17">
            <v>13778.023012655889</v>
          </cell>
        </row>
        <row r="19">
          <cell r="E19">
            <v>3.1776470588235295</v>
          </cell>
          <cell r="F19">
            <v>3.1371000979126324</v>
          </cell>
        </row>
        <row r="20">
          <cell r="Q20">
            <v>61451.813409869006</v>
          </cell>
          <cell r="R20">
            <v>60839.453974077012</v>
          </cell>
        </row>
        <row r="21">
          <cell r="Q21">
            <v>18693.674330425467</v>
          </cell>
          <cell r="R21">
            <v>19295.150006577951</v>
          </cell>
        </row>
        <row r="22">
          <cell r="Q22">
            <v>245.75980392156862</v>
          </cell>
          <cell r="R22">
            <v>242.99585588564364</v>
          </cell>
        </row>
        <row r="50">
          <cell r="Q50">
            <v>86685.75641010479</v>
          </cell>
          <cell r="R50">
            <v>89990.876443221729</v>
          </cell>
        </row>
        <row r="56">
          <cell r="L56">
            <v>-226750.56423169197</v>
          </cell>
        </row>
        <row r="61">
          <cell r="T61">
            <v>99005.917153538612</v>
          </cell>
          <cell r="U61">
            <v>95390.139037595131</v>
          </cell>
        </row>
        <row r="80">
          <cell r="H80">
            <v>208680.75</v>
          </cell>
          <cell r="I80">
            <v>224212.18700000001</v>
          </cell>
          <cell r="L80">
            <v>-15531.436999999994</v>
          </cell>
        </row>
        <row r="85">
          <cell r="H85">
            <v>105643.75679502223</v>
          </cell>
          <cell r="I85">
            <v>106687.53067000001</v>
          </cell>
          <cell r="L85">
            <v>-1043.7738749777745</v>
          </cell>
          <cell r="Q85">
            <v>99005.917153538612</v>
          </cell>
          <cell r="R85">
            <v>95390.139037595131</v>
          </cell>
        </row>
        <row r="86">
          <cell r="H86">
            <v>942331.88903522911</v>
          </cell>
          <cell r="I86">
            <v>42665.041000000347</v>
          </cell>
          <cell r="K86">
            <v>-248282.17715837224</v>
          </cell>
          <cell r="M86">
            <v>-408058.8957701847</v>
          </cell>
        </row>
        <row r="89">
          <cell r="Q89">
            <v>80391.247544216036</v>
          </cell>
          <cell r="R89">
            <v>80377.599836540612</v>
          </cell>
        </row>
        <row r="90">
          <cell r="Q90">
            <v>18614.669609322576</v>
          </cell>
          <cell r="R90">
            <v>15012.539201054518</v>
          </cell>
        </row>
      </sheetData>
      <sheetData sheetId="2">
        <row r="5">
          <cell r="T5">
            <v>114500</v>
          </cell>
          <cell r="U5">
            <v>94706</v>
          </cell>
        </row>
        <row r="9">
          <cell r="E9">
            <v>216.26155013697669</v>
          </cell>
          <cell r="F9">
            <v>200.80105983663171</v>
          </cell>
          <cell r="G9">
            <v>99999.999999999985</v>
          </cell>
          <cell r="H9">
            <v>100000.54807820574</v>
          </cell>
        </row>
        <row r="10">
          <cell r="E10">
            <v>60.066398088945704</v>
          </cell>
          <cell r="F10">
            <v>81.375301134296237</v>
          </cell>
          <cell r="G10">
            <v>92447.376117156906</v>
          </cell>
          <cell r="H10">
            <v>92232.060472936428</v>
          </cell>
        </row>
        <row r="11">
          <cell r="E11">
            <v>0</v>
          </cell>
          <cell r="F11">
            <v>0</v>
          </cell>
        </row>
        <row r="12">
          <cell r="E12">
            <v>46.99481132664657</v>
          </cell>
          <cell r="F12">
            <v>44.100325998112154</v>
          </cell>
          <cell r="G12">
            <v>62598.068881473475</v>
          </cell>
          <cell r="H12">
            <v>60942.582879897665</v>
          </cell>
        </row>
        <row r="13">
          <cell r="E13">
            <v>36.499444610053708</v>
          </cell>
          <cell r="F13">
            <v>32.738691788876402</v>
          </cell>
          <cell r="G13">
            <v>35510.261831730721</v>
          </cell>
          <cell r="H13">
            <v>33810.252619142091</v>
          </cell>
        </row>
        <row r="14">
          <cell r="E14">
            <v>0</v>
          </cell>
          <cell r="F14">
            <v>5.5581043383799269E-3</v>
          </cell>
        </row>
        <row r="15">
          <cell r="E15">
            <v>359.82220416262271</v>
          </cell>
          <cell r="F15">
            <v>359.02093686225487</v>
          </cell>
        </row>
        <row r="16">
          <cell r="E16">
            <v>794.91093357087448</v>
          </cell>
          <cell r="F16">
            <v>786.49447089905209</v>
          </cell>
          <cell r="G16">
            <v>10929.742441479884</v>
          </cell>
          <cell r="H16">
            <v>11089.197041172723</v>
          </cell>
        </row>
        <row r="17">
          <cell r="E17">
            <v>914.45799019793662</v>
          </cell>
          <cell r="F17">
            <v>895.5535692627335</v>
          </cell>
          <cell r="G17">
            <v>17649.113939938299</v>
          </cell>
          <cell r="H17">
            <v>17586.517770399925</v>
          </cell>
        </row>
        <row r="19">
          <cell r="E19">
            <v>3.279827763032261</v>
          </cell>
          <cell r="F19">
            <v>2.909303865888321</v>
          </cell>
        </row>
        <row r="20">
          <cell r="Q20">
            <v>58998.594569562571</v>
          </cell>
          <cell r="R20">
            <v>58360.213243475555</v>
          </cell>
        </row>
        <row r="21">
          <cell r="Q21">
            <v>19327.828037760479</v>
          </cell>
          <cell r="R21">
            <v>19948.124651300146</v>
          </cell>
        </row>
        <row r="22">
          <cell r="Q22">
            <v>213.62445414847161</v>
          </cell>
          <cell r="R22">
            <v>190.89474933160369</v>
          </cell>
        </row>
        <row r="50">
          <cell r="Q50">
            <v>86673.278318262281</v>
          </cell>
          <cell r="R50">
            <v>87869.599869221085</v>
          </cell>
        </row>
        <row r="56">
          <cell r="L56">
            <v>-29085.501476092049</v>
          </cell>
        </row>
        <row r="61">
          <cell r="T61">
            <v>100430.7981047511</v>
          </cell>
          <cell r="U61">
            <v>96920.99392319686</v>
          </cell>
        </row>
        <row r="80">
          <cell r="H80">
            <v>309699.33</v>
          </cell>
          <cell r="I80">
            <v>302497.89500000002</v>
          </cell>
          <cell r="L80">
            <v>7201.4349999999849</v>
          </cell>
        </row>
        <row r="85">
          <cell r="H85">
            <v>193591.42371397588</v>
          </cell>
          <cell r="I85">
            <v>271827.82605999999</v>
          </cell>
          <cell r="L85">
            <v>-78236.402346024115</v>
          </cell>
          <cell r="Q85">
            <v>100430.7981047511</v>
          </cell>
          <cell r="R85">
            <v>96920.99392319686</v>
          </cell>
        </row>
        <row r="86">
          <cell r="H86">
            <v>1071945.2618389938</v>
          </cell>
          <cell r="I86">
            <v>363187.42500000203</v>
          </cell>
          <cell r="K86">
            <v>-330949.96569129376</v>
          </cell>
          <cell r="M86">
            <v>-277687.40232557943</v>
          </cell>
        </row>
        <row r="89">
          <cell r="Q89">
            <v>78540.04706147153</v>
          </cell>
          <cell r="R89">
            <v>78499.232644107309</v>
          </cell>
        </row>
        <row r="90">
          <cell r="Q90">
            <v>21890.751043279568</v>
          </cell>
          <cell r="R90">
            <v>18421.761279089551</v>
          </cell>
        </row>
      </sheetData>
      <sheetData sheetId="3"/>
      <sheetData sheetId="4"/>
      <sheetData sheetId="5"/>
      <sheetData sheetId="6">
        <row r="5">
          <cell r="T5">
            <v>55000</v>
          </cell>
          <cell r="U5">
            <v>36167</v>
          </cell>
        </row>
        <row r="9">
          <cell r="E9">
            <v>252.81272727272724</v>
          </cell>
          <cell r="F9">
            <v>259.0797772188285</v>
          </cell>
          <cell r="G9">
            <v>103202.01083087015</v>
          </cell>
          <cell r="H9">
            <v>102465.90710336178</v>
          </cell>
        </row>
        <row r="10">
          <cell r="E10">
            <v>31.529090909090911</v>
          </cell>
          <cell r="F10">
            <v>15.569421487603307</v>
          </cell>
          <cell r="G10">
            <v>98678.00011533362</v>
          </cell>
          <cell r="H10">
            <v>92335.39226336313</v>
          </cell>
        </row>
        <row r="11">
          <cell r="E11">
            <v>0</v>
          </cell>
          <cell r="F11">
            <v>0</v>
          </cell>
        </row>
        <row r="12">
          <cell r="E12">
            <v>45.398181818181811</v>
          </cell>
          <cell r="F12">
            <v>61.08675004837059</v>
          </cell>
          <cell r="G12">
            <v>64591.361287997119</v>
          </cell>
          <cell r="H12">
            <v>62257.572091347334</v>
          </cell>
        </row>
        <row r="13">
          <cell r="E13">
            <v>28.306545454545454</v>
          </cell>
          <cell r="F13">
            <v>26.576627601647363</v>
          </cell>
          <cell r="G13">
            <v>41961.036959007237</v>
          </cell>
          <cell r="H13">
            <v>35312.873326544679</v>
          </cell>
        </row>
        <row r="14">
          <cell r="E14">
            <v>0</v>
          </cell>
          <cell r="F14">
            <v>0</v>
          </cell>
        </row>
        <row r="15">
          <cell r="E15">
            <v>358.04654545454542</v>
          </cell>
          <cell r="F15">
            <v>362.31257635644977</v>
          </cell>
        </row>
        <row r="16">
          <cell r="E16">
            <v>803.22181818181809</v>
          </cell>
          <cell r="F16">
            <v>775.59643646866971</v>
          </cell>
          <cell r="G16">
            <v>13324.09629099777</v>
          </cell>
          <cell r="H16">
            <v>13083.873748090318</v>
          </cell>
        </row>
        <row r="17">
          <cell r="E17">
            <v>926.71254545454553</v>
          </cell>
          <cell r="F17">
            <v>944.68188686807252</v>
          </cell>
          <cell r="G17">
            <v>14805.226573723134</v>
          </cell>
          <cell r="H17">
            <v>14489.530063519967</v>
          </cell>
        </row>
        <row r="19">
          <cell r="E19">
            <v>2.6750909090909092</v>
          </cell>
          <cell r="F19">
            <v>2.9997655269631553</v>
          </cell>
        </row>
        <row r="20">
          <cell r="Q20">
            <v>59847.336779923819</v>
          </cell>
          <cell r="R20">
            <v>59372.037894911409</v>
          </cell>
        </row>
        <row r="21">
          <cell r="Q21">
            <v>17499.881992180068</v>
          </cell>
          <cell r="R21">
            <v>18969.648691229722</v>
          </cell>
        </row>
        <row r="22">
          <cell r="Q22">
            <v>179.09090909090907</v>
          </cell>
          <cell r="R22">
            <v>266.12203211807957</v>
          </cell>
        </row>
        <row r="50">
          <cell r="Q50">
            <v>85575.477867111549</v>
          </cell>
          <cell r="R50">
            <v>90631.955139721933</v>
          </cell>
        </row>
        <row r="56">
          <cell r="L56">
            <v>-182982.76101017671</v>
          </cell>
        </row>
        <row r="61">
          <cell r="T61">
            <v>107741.916</v>
          </cell>
          <cell r="U61">
            <v>101046.1585699671</v>
          </cell>
        </row>
        <row r="80">
          <cell r="H80">
            <v>110571.25</v>
          </cell>
          <cell r="I80">
            <v>114677.47799999999</v>
          </cell>
          <cell r="L80">
            <v>-4106.2279999999964</v>
          </cell>
        </row>
        <row r="85">
          <cell r="H85">
            <v>88469.767953347429</v>
          </cell>
          <cell r="I85">
            <v>87251.694970000011</v>
          </cell>
          <cell r="L85">
            <v>1218.0729833474234</v>
          </cell>
          <cell r="Q85">
            <v>107741.916</v>
          </cell>
          <cell r="R85">
            <v>101046.1585699671</v>
          </cell>
        </row>
        <row r="86">
          <cell r="H86">
            <v>1020113.0793555174</v>
          </cell>
          <cell r="I86">
            <v>174616.17499999999</v>
          </cell>
          <cell r="K86">
            <v>-242165.45897199988</v>
          </cell>
          <cell r="M86">
            <v>-417460.52935668803</v>
          </cell>
        </row>
        <row r="89">
          <cell r="Q89">
            <v>77526.309681194805</v>
          </cell>
          <cell r="R89">
            <v>78607.808618259209</v>
          </cell>
        </row>
        <row r="90">
          <cell r="Q90">
            <v>30215.606318805192</v>
          </cell>
          <cell r="R90">
            <v>22438.349951707889</v>
          </cell>
        </row>
      </sheetData>
      <sheetData sheetId="7">
        <row r="2">
          <cell r="N2">
            <v>40000</v>
          </cell>
        </row>
        <row r="5">
          <cell r="T5">
            <v>40000</v>
          </cell>
          <cell r="U5">
            <v>23449</v>
          </cell>
        </row>
        <row r="9">
          <cell r="E9">
            <v>279</v>
          </cell>
          <cell r="F9">
            <v>291.90672604082346</v>
          </cell>
          <cell r="G9">
            <v>100000</v>
          </cell>
          <cell r="H9">
            <v>99664.497045253593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56</v>
          </cell>
          <cell r="F12">
            <v>44.830701836621657</v>
          </cell>
          <cell r="G12">
            <v>64099.999999999993</v>
          </cell>
          <cell r="H12">
            <v>62093.966811669714</v>
          </cell>
        </row>
        <row r="13">
          <cell r="E13">
            <v>38</v>
          </cell>
          <cell r="F13">
            <v>34.193746111560927</v>
          </cell>
          <cell r="G13">
            <v>46100</v>
          </cell>
          <cell r="H13">
            <v>40479.252980067999</v>
          </cell>
        </row>
        <row r="14">
          <cell r="E14">
            <v>0</v>
          </cell>
          <cell r="F14">
            <v>0</v>
          </cell>
        </row>
        <row r="15">
          <cell r="E15">
            <v>373</v>
          </cell>
          <cell r="F15">
            <v>370.93117398900603</v>
          </cell>
        </row>
        <row r="16">
          <cell r="E16">
            <v>846</v>
          </cell>
          <cell r="F16">
            <v>816.56709421741152</v>
          </cell>
          <cell r="G16">
            <v>15800</v>
          </cell>
          <cell r="H16">
            <v>15016.148307256202</v>
          </cell>
        </row>
        <row r="17">
          <cell r="E17">
            <v>875</v>
          </cell>
          <cell r="F17">
            <v>885.90957514808019</v>
          </cell>
          <cell r="G17">
            <v>15032.258064516132</v>
          </cell>
          <cell r="H17">
            <v>14509.658753109723</v>
          </cell>
        </row>
        <row r="19">
          <cell r="E19">
            <v>3.38</v>
          </cell>
          <cell r="F19">
            <v>3.0938594622235462</v>
          </cell>
        </row>
        <row r="20">
          <cell r="Q20">
            <v>62913.305806451615</v>
          </cell>
          <cell r="R20">
            <v>60909.957898325309</v>
          </cell>
        </row>
        <row r="21">
          <cell r="Q21">
            <v>17935.455315789473</v>
          </cell>
          <cell r="R21">
            <v>18767.922785187711</v>
          </cell>
        </row>
        <row r="22">
          <cell r="Q22">
            <v>187.5</v>
          </cell>
          <cell r="R22">
            <v>209.22849107256999</v>
          </cell>
        </row>
        <row r="50">
          <cell r="Q50">
            <v>85818.064447670273</v>
          </cell>
          <cell r="R50">
            <v>88227.119742617288</v>
          </cell>
        </row>
        <row r="56">
          <cell r="L56">
            <v>-56371.026876579344</v>
          </cell>
        </row>
        <row r="80">
          <cell r="H80">
            <v>66239.859999999986</v>
          </cell>
          <cell r="I80">
            <v>63999.842999999993</v>
          </cell>
          <cell r="L80">
            <v>2240.0169999999966</v>
          </cell>
        </row>
        <row r="85">
          <cell r="H85">
            <v>29807.823555555555</v>
          </cell>
          <cell r="I85">
            <v>30790.402890000001</v>
          </cell>
          <cell r="L85">
            <v>-982.57933444444416</v>
          </cell>
          <cell r="Q85">
            <v>101256.98725000001</v>
          </cell>
          <cell r="R85">
            <v>96040.793168152144</v>
          </cell>
        </row>
        <row r="86">
          <cell r="H86">
            <v>521509.22853763355</v>
          </cell>
          <cell r="I86">
            <v>88551.492999999929</v>
          </cell>
          <cell r="K86">
            <v>-122314.53502525052</v>
          </cell>
          <cell r="M86">
            <v>-255529.61130135902</v>
          </cell>
        </row>
        <row r="89">
          <cell r="Q89">
            <v>81036.261122241092</v>
          </cell>
          <cell r="R89">
            <v>79887.109174585596</v>
          </cell>
        </row>
        <row r="92">
          <cell r="H92">
            <v>329832.91937039548</v>
          </cell>
          <cell r="I92">
            <v>-59732.409497234301</v>
          </cell>
        </row>
      </sheetData>
      <sheetData sheetId="8">
        <row r="2">
          <cell r="N2">
            <v>26000</v>
          </cell>
        </row>
        <row r="5">
          <cell r="T5">
            <v>26000</v>
          </cell>
          <cell r="U5">
            <v>23226</v>
          </cell>
        </row>
        <row r="9">
          <cell r="E9">
            <v>265.64999999999992</v>
          </cell>
          <cell r="F9">
            <v>238.78038454807941</v>
          </cell>
          <cell r="G9">
            <v>100000</v>
          </cell>
          <cell r="H9">
            <v>99773.011824901638</v>
          </cell>
        </row>
        <row r="10">
          <cell r="E10">
            <v>23.1</v>
          </cell>
          <cell r="F10">
            <v>56.944662262665126</v>
          </cell>
          <cell r="G10">
            <v>98000</v>
          </cell>
          <cell r="H10">
            <v>98904.36541151299</v>
          </cell>
        </row>
        <row r="11">
          <cell r="E11">
            <v>0</v>
          </cell>
          <cell r="F11">
            <v>0</v>
          </cell>
        </row>
        <row r="12">
          <cell r="E12">
            <v>57.75</v>
          </cell>
          <cell r="F12">
            <v>65.628843730860069</v>
          </cell>
          <cell r="G12">
            <v>64400.000000000007</v>
          </cell>
          <cell r="H12">
            <v>62204.961095371051</v>
          </cell>
        </row>
        <row r="13">
          <cell r="E13">
            <v>38.5</v>
          </cell>
          <cell r="F13">
            <v>38.344389272902262</v>
          </cell>
          <cell r="G13">
            <v>47600</v>
          </cell>
          <cell r="H13">
            <v>39807.128785778004</v>
          </cell>
        </row>
        <row r="14">
          <cell r="E14">
            <v>0</v>
          </cell>
          <cell r="F14">
            <v>0</v>
          </cell>
        </row>
        <row r="15">
          <cell r="E15">
            <v>384.99999999999994</v>
          </cell>
          <cell r="F15">
            <v>399.69827981450686</v>
          </cell>
        </row>
        <row r="16">
          <cell r="E16">
            <v>901.37380877795181</v>
          </cell>
          <cell r="F16">
            <v>851.03333624989114</v>
          </cell>
          <cell r="G16">
            <v>16000</v>
          </cell>
          <cell r="H16">
            <v>15349.748572450811</v>
          </cell>
        </row>
        <row r="17">
          <cell r="E17">
            <v>832.03736194887858</v>
          </cell>
          <cell r="F17">
            <v>858.78729547641956</v>
          </cell>
          <cell r="G17">
            <v>14318.131256952169</v>
          </cell>
          <cell r="H17">
            <v>13979.073374847685</v>
          </cell>
        </row>
        <row r="19">
          <cell r="E19">
            <v>3.33</v>
          </cell>
          <cell r="F19">
            <v>3.2651566191267838</v>
          </cell>
        </row>
        <row r="20">
          <cell r="Q20">
            <v>63512.901099519484</v>
          </cell>
          <cell r="R20">
            <v>63146.046417009369</v>
          </cell>
        </row>
        <row r="21">
          <cell r="Q21">
            <v>18372.165457309013</v>
          </cell>
          <cell r="R21">
            <v>19557.091827806456</v>
          </cell>
        </row>
        <row r="22">
          <cell r="Q22">
            <v>461.53846153846155</v>
          </cell>
          <cell r="R22">
            <v>377.94772071047339</v>
          </cell>
        </row>
        <row r="50">
          <cell r="Q50">
            <v>89541.382805747809</v>
          </cell>
          <cell r="R50">
            <v>92863.234097471344</v>
          </cell>
        </row>
        <row r="56">
          <cell r="L56">
            <v>-75950.177909885955</v>
          </cell>
        </row>
        <row r="80">
          <cell r="H80">
            <v>59535.31</v>
          </cell>
          <cell r="I80">
            <v>67917.61</v>
          </cell>
          <cell r="L80">
            <v>-8382.2999999999975</v>
          </cell>
        </row>
        <row r="85">
          <cell r="H85">
            <v>35794.468461688899</v>
          </cell>
          <cell r="I85">
            <v>35558.729509999997</v>
          </cell>
          <cell r="L85">
            <v>235.73895168889612</v>
          </cell>
          <cell r="Q85">
            <v>99206.203956189958</v>
          </cell>
          <cell r="R85">
            <v>94256.418497767663</v>
          </cell>
        </row>
        <row r="86">
          <cell r="H86">
            <v>155955.57144980715</v>
          </cell>
          <cell r="I86">
            <v>-70264.611999999877</v>
          </cell>
          <cell r="K86">
            <v>-113082.79858311576</v>
          </cell>
          <cell r="M86">
            <v>-29040.645908494596</v>
          </cell>
        </row>
        <row r="89">
          <cell r="Q89">
            <v>82346.605018366972</v>
          </cell>
          <cell r="R89">
            <v>83081.085965526305</v>
          </cell>
        </row>
        <row r="92">
          <cell r="H92">
            <v>33889.315093462894</v>
          </cell>
          <cell r="I92">
            <v>-214172.60946265305</v>
          </cell>
        </row>
      </sheetData>
      <sheetData sheetId="9">
        <row r="2">
          <cell r="N2">
            <v>22000</v>
          </cell>
        </row>
        <row r="5">
          <cell r="T5">
            <v>22000</v>
          </cell>
          <cell r="U5">
            <v>12851</v>
          </cell>
        </row>
        <row r="9">
          <cell r="E9">
            <v>277.24431818181819</v>
          </cell>
          <cell r="F9">
            <v>269.64856950067457</v>
          </cell>
          <cell r="G9">
            <v>100000</v>
          </cell>
          <cell r="H9">
            <v>100084.54401954563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47.879090909090905</v>
          </cell>
          <cell r="F12">
            <v>52.699849964277227</v>
          </cell>
          <cell r="G12">
            <v>64300.000000000015</v>
          </cell>
          <cell r="H12">
            <v>62058.854848027353</v>
          </cell>
        </row>
        <row r="13">
          <cell r="E13">
            <v>33.710227272727273</v>
          </cell>
          <cell r="F13">
            <v>50.258557593077718</v>
          </cell>
          <cell r="G13">
            <v>48199.999999999993</v>
          </cell>
          <cell r="H13">
            <v>42333.782256886887</v>
          </cell>
        </row>
        <row r="14">
          <cell r="E14">
            <v>0</v>
          </cell>
          <cell r="F14">
            <v>0</v>
          </cell>
        </row>
        <row r="15">
          <cell r="E15">
            <v>358.83363636363634</v>
          </cell>
          <cell r="F15">
            <v>372.60697705802954</v>
          </cell>
        </row>
        <row r="16">
          <cell r="E16">
            <v>870.85840909090905</v>
          </cell>
          <cell r="F16">
            <v>813.24362943557981</v>
          </cell>
          <cell r="G16">
            <v>16333.333333333336</v>
          </cell>
          <cell r="H16">
            <v>15707.421008294266</v>
          </cell>
        </row>
        <row r="17">
          <cell r="E17">
            <v>866.44545454545448</v>
          </cell>
          <cell r="F17">
            <v>934.62094149400593</v>
          </cell>
          <cell r="G17">
            <v>12580.645161290324</v>
          </cell>
          <cell r="H17">
            <v>11781.215823439585</v>
          </cell>
        </row>
        <row r="19">
          <cell r="E19">
            <v>2.87</v>
          </cell>
          <cell r="F19">
            <v>3.1039969834087482</v>
          </cell>
        </row>
        <row r="20">
          <cell r="Q20">
            <v>59618.753815249271</v>
          </cell>
          <cell r="R20">
            <v>58478.209811859975</v>
          </cell>
        </row>
        <row r="21">
          <cell r="Q21">
            <v>20579.366618310763</v>
          </cell>
          <cell r="R21">
            <v>19750.009208541716</v>
          </cell>
        </row>
        <row r="22">
          <cell r="Q22">
            <v>211.70454545454544</v>
          </cell>
          <cell r="R22">
            <v>200.34420893863617</v>
          </cell>
        </row>
        <row r="50">
          <cell r="Q50">
            <v>87500.51765317739</v>
          </cell>
          <cell r="R50">
            <v>88489.645868063846</v>
          </cell>
        </row>
        <row r="56">
          <cell r="L56">
            <v>-12457.011128843555</v>
          </cell>
        </row>
        <row r="80">
          <cell r="H80">
            <v>48977.32</v>
          </cell>
          <cell r="I80">
            <v>53907.572999999997</v>
          </cell>
          <cell r="L80">
            <v>-4930.2529999999961</v>
          </cell>
        </row>
        <row r="85">
          <cell r="H85">
            <v>21509.885333333332</v>
          </cell>
          <cell r="I85">
            <v>21123.670100000003</v>
          </cell>
          <cell r="L85">
            <v>386.21523333333062</v>
          </cell>
          <cell r="Q85">
            <v>97727.982581818185</v>
          </cell>
          <cell r="R85">
            <v>95316.059089826071</v>
          </cell>
        </row>
        <row r="86">
          <cell r="H86">
            <v>154517.02309676388</v>
          </cell>
          <cell r="I86">
            <v>11698.42799999992</v>
          </cell>
          <cell r="K86">
            <v>-30368.528687672715</v>
          </cell>
          <cell r="M86">
            <v>-95449.017513581319</v>
          </cell>
        </row>
        <row r="89">
          <cell r="Q89">
            <v>80409.824979014578</v>
          </cell>
          <cell r="R89">
            <v>78428.563229340332</v>
          </cell>
        </row>
        <row r="92">
          <cell r="H92">
            <v>52769.215544809762</v>
          </cell>
          <cell r="I92">
            <v>-68846.306639859278</v>
          </cell>
        </row>
      </sheetData>
      <sheetData sheetId="10">
        <row r="2">
          <cell r="N2">
            <v>14000</v>
          </cell>
        </row>
        <row r="5">
          <cell r="T5">
            <v>14000</v>
          </cell>
          <cell r="U5">
            <v>9958.32</v>
          </cell>
        </row>
        <row r="9">
          <cell r="E9">
            <v>226</v>
          </cell>
          <cell r="F9">
            <v>226.70562849253292</v>
          </cell>
          <cell r="G9">
            <v>100000</v>
          </cell>
          <cell r="H9">
            <v>100000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70</v>
          </cell>
          <cell r="F12">
            <v>87.444957885363195</v>
          </cell>
          <cell r="G12">
            <v>63800</v>
          </cell>
          <cell r="H12">
            <v>61877.113195695485</v>
          </cell>
        </row>
        <row r="13">
          <cell r="E13">
            <v>45</v>
          </cell>
          <cell r="F13">
            <v>41.424813527335715</v>
          </cell>
          <cell r="G13">
            <v>47600</v>
          </cell>
          <cell r="H13">
            <v>42314.311110874449</v>
          </cell>
        </row>
        <row r="14">
          <cell r="E14">
            <v>0</v>
          </cell>
          <cell r="F14">
            <v>0</v>
          </cell>
        </row>
        <row r="15">
          <cell r="E15">
            <v>341</v>
          </cell>
          <cell r="F15">
            <v>355.57539990523185</v>
          </cell>
        </row>
        <row r="16">
          <cell r="E16">
            <v>805</v>
          </cell>
          <cell r="F16">
            <v>766.68092954478652</v>
          </cell>
          <cell r="G16">
            <v>14600</v>
          </cell>
          <cell r="H16">
            <v>14641.275723151979</v>
          </cell>
        </row>
        <row r="17">
          <cell r="E17">
            <v>940</v>
          </cell>
          <cell r="F17">
            <v>1011.8843134211304</v>
          </cell>
          <cell r="G17">
            <v>13955.222114406079</v>
          </cell>
          <cell r="H17">
            <v>14217.248890999263</v>
          </cell>
        </row>
        <row r="19">
          <cell r="E19">
            <v>2.8</v>
          </cell>
          <cell r="F19">
            <v>2.9843898075226298</v>
          </cell>
        </row>
        <row r="20">
          <cell r="Q20">
            <v>56328.908787541717</v>
          </cell>
          <cell r="R20">
            <v>58323.807739126169</v>
          </cell>
        </row>
        <row r="21">
          <cell r="Q21">
            <v>18493.871541353383</v>
          </cell>
          <cell r="R21">
            <v>19362.050770399659</v>
          </cell>
        </row>
        <row r="22">
          <cell r="Q22">
            <v>65</v>
          </cell>
          <cell r="R22">
            <v>63.770893925035139</v>
          </cell>
        </row>
        <row r="50">
          <cell r="Q50">
            <v>82581.231043180815</v>
          </cell>
          <cell r="R50">
            <v>89443.991617920983</v>
          </cell>
        </row>
        <row r="56">
          <cell r="L56">
            <v>-66964.129233757878</v>
          </cell>
        </row>
        <row r="80">
          <cell r="H80">
            <v>33928.26</v>
          </cell>
          <cell r="I80">
            <v>38387.161</v>
          </cell>
          <cell r="L80">
            <v>-4458.9009999999998</v>
          </cell>
        </row>
        <row r="85">
          <cell r="H85">
            <v>18531.579444444447</v>
          </cell>
          <cell r="I85">
            <v>19214.728170000002</v>
          </cell>
          <cell r="L85">
            <v>-683.1487255555553</v>
          </cell>
          <cell r="Q85">
            <v>94210.510000000009</v>
          </cell>
          <cell r="R85">
            <v>96573.794722463077</v>
          </cell>
        </row>
        <row r="86">
          <cell r="H86">
            <v>110350.06595102424</v>
          </cell>
          <cell r="I86">
            <v>12679.731999999938</v>
          </cell>
          <cell r="K86">
            <v>23113.680836799991</v>
          </cell>
          <cell r="M86">
            <v>-48677.835828510812</v>
          </cell>
        </row>
        <row r="89">
          <cell r="Q89">
            <v>74887.780328895096</v>
          </cell>
          <cell r="R89">
            <v>77749.629403450861</v>
          </cell>
        </row>
        <row r="92">
          <cell r="H92">
            <v>47931.924090427732</v>
          </cell>
          <cell r="I92">
            <v>-50462.847840009439</v>
          </cell>
        </row>
      </sheetData>
      <sheetData sheetId="11">
        <row r="2">
          <cell r="N2">
            <v>17000</v>
          </cell>
        </row>
        <row r="5">
          <cell r="T5">
            <v>17000</v>
          </cell>
          <cell r="U5">
            <v>19281</v>
          </cell>
        </row>
        <row r="9">
          <cell r="E9">
            <v>171.85129411764711</v>
          </cell>
          <cell r="F9">
            <v>140.82138368331871</v>
          </cell>
          <cell r="G9">
            <v>100000</v>
          </cell>
          <cell r="H9">
            <v>100000.00109378158</v>
          </cell>
        </row>
        <row r="10">
          <cell r="E10">
            <v>175.67021176470584</v>
          </cell>
          <cell r="F10">
            <v>210.03558299532773</v>
          </cell>
          <cell r="G10">
            <v>92899.999999999985</v>
          </cell>
          <cell r="H10">
            <v>92240.050910528575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34.370258823529412</v>
          </cell>
          <cell r="F13">
            <v>23.898375519843935</v>
          </cell>
          <cell r="G13">
            <v>36500.000000000007</v>
          </cell>
          <cell r="H13">
            <v>34540.978548373139</v>
          </cell>
        </row>
        <row r="14">
          <cell r="E14">
            <v>0</v>
          </cell>
          <cell r="F14">
            <v>0</v>
          </cell>
        </row>
        <row r="15">
          <cell r="E15">
            <v>381.89176470588234</v>
          </cell>
          <cell r="F15">
            <v>374.75534219849038</v>
          </cell>
        </row>
        <row r="16">
          <cell r="E16">
            <v>820</v>
          </cell>
          <cell r="F16">
            <v>886.55208707706549</v>
          </cell>
          <cell r="G16">
            <v>11711.806666666664</v>
          </cell>
          <cell r="H16">
            <v>11839.416008513163</v>
          </cell>
        </row>
        <row r="17">
          <cell r="E17">
            <v>900</v>
          </cell>
          <cell r="F17">
            <v>829.7915490065202</v>
          </cell>
          <cell r="G17">
            <v>18098.229077374239</v>
          </cell>
          <cell r="H17">
            <v>18258.553321556636</v>
          </cell>
        </row>
        <row r="19">
          <cell r="E19">
            <v>3.6321725741176465</v>
          </cell>
          <cell r="F19">
            <v>2.8307485752425943</v>
          </cell>
        </row>
        <row r="20">
          <cell r="Q20">
            <v>63963.439040727004</v>
          </cell>
          <cell r="R20">
            <v>62594.324433947724</v>
          </cell>
        </row>
        <row r="21">
          <cell r="Q21">
            <v>20711.933954248365</v>
          </cell>
          <cell r="R21">
            <v>21283.083483082613</v>
          </cell>
        </row>
        <row r="22">
          <cell r="Q22">
            <v>117.64705882352941</v>
          </cell>
          <cell r="R22">
            <v>0</v>
          </cell>
        </row>
        <row r="50">
          <cell r="Q50">
            <v>94132.727873717886</v>
          </cell>
          <cell r="R50">
            <v>91291.301124403137</v>
          </cell>
        </row>
        <row r="56">
          <cell r="L56">
            <v>118653.9783731549</v>
          </cell>
        </row>
        <row r="80">
          <cell r="H80">
            <v>44930.44</v>
          </cell>
          <cell r="I80">
            <v>55685.315000000002</v>
          </cell>
          <cell r="L80">
            <v>-10754.875</v>
          </cell>
        </row>
        <row r="85">
          <cell r="H85">
            <v>48271.086555555557</v>
          </cell>
          <cell r="I85">
            <v>112246.02223999999</v>
          </cell>
          <cell r="L85">
            <v>-63974.935684444434</v>
          </cell>
          <cell r="Q85">
            <v>107700.20116164706</v>
          </cell>
          <cell r="R85">
            <v>104513.84782946942</v>
          </cell>
        </row>
        <row r="86">
          <cell r="H86">
            <v>137445.51933924024</v>
          </cell>
          <cell r="I86">
            <v>150881.01499999993</v>
          </cell>
          <cell r="K86">
            <v>-61436.078597716965</v>
          </cell>
          <cell r="M86">
            <v>30947.406569766405</v>
          </cell>
        </row>
        <row r="89">
          <cell r="Q89">
            <v>84793.020053798886</v>
          </cell>
          <cell r="R89">
            <v>83877.40791703033</v>
          </cell>
        </row>
        <row r="92">
          <cell r="H92">
            <v>48732.293282448401</v>
          </cell>
          <cell r="I92">
            <v>10586.744205670664</v>
          </cell>
        </row>
      </sheetData>
      <sheetData sheetId="12">
        <row r="2">
          <cell r="N2">
            <v>17000</v>
          </cell>
        </row>
        <row r="5">
          <cell r="T5">
            <v>17000</v>
          </cell>
          <cell r="U5">
            <v>16329</v>
          </cell>
        </row>
        <row r="9">
          <cell r="E9">
            <v>231</v>
          </cell>
          <cell r="F9">
            <v>261.86953005990893</v>
          </cell>
          <cell r="G9">
            <v>100000</v>
          </cell>
          <cell r="H9">
            <v>100002.20796176858</v>
          </cell>
        </row>
        <row r="10">
          <cell r="E10">
            <v>35</v>
          </cell>
          <cell r="F10">
            <v>50.425206370232097</v>
          </cell>
          <cell r="G10">
            <v>92100</v>
          </cell>
          <cell r="H10">
            <v>92099.997153388817</v>
          </cell>
        </row>
        <row r="11">
          <cell r="E11">
            <v>0</v>
          </cell>
          <cell r="F11">
            <v>0</v>
          </cell>
        </row>
        <row r="12">
          <cell r="E12">
            <v>53</v>
          </cell>
          <cell r="F12">
            <v>30.510581328837649</v>
          </cell>
          <cell r="G12">
            <v>65000</v>
          </cell>
          <cell r="H12">
            <v>63000.011110343883</v>
          </cell>
        </row>
        <row r="13">
          <cell r="E13">
            <v>45</v>
          </cell>
          <cell r="F13">
            <v>31.264264081644942</v>
          </cell>
          <cell r="G13">
            <v>35300</v>
          </cell>
          <cell r="H13">
            <v>33429.106257797153</v>
          </cell>
        </row>
        <row r="14">
          <cell r="E14">
            <v>0</v>
          </cell>
          <cell r="F14">
            <v>0</v>
          </cell>
        </row>
        <row r="15">
          <cell r="E15">
            <v>364</v>
          </cell>
          <cell r="F15">
            <v>374.06958184062364</v>
          </cell>
        </row>
        <row r="16">
          <cell r="E16">
            <v>821</v>
          </cell>
          <cell r="F16">
            <v>847.10991359845832</v>
          </cell>
          <cell r="G16">
            <v>11333.333333333334</v>
          </cell>
          <cell r="H16">
            <v>10673.850336461323</v>
          </cell>
        </row>
        <row r="17">
          <cell r="E17">
            <v>909</v>
          </cell>
          <cell r="F17">
            <v>881.50404913146861</v>
          </cell>
          <cell r="G17">
            <v>17721.836699799012</v>
          </cell>
          <cell r="H17">
            <v>16805.974880570695</v>
          </cell>
        </row>
        <row r="19">
          <cell r="E19">
            <v>3.2</v>
          </cell>
          <cell r="F19">
            <v>3.1254514254749086</v>
          </cell>
        </row>
        <row r="20">
          <cell r="Q20">
            <v>59576.816226783973</v>
          </cell>
          <cell r="R20">
            <v>60194.584640394976</v>
          </cell>
        </row>
        <row r="21">
          <cell r="Q21">
            <v>17698.863381816536</v>
          </cell>
          <cell r="R21">
            <v>17531.960201101847</v>
          </cell>
        </row>
        <row r="22">
          <cell r="Q22">
            <v>176.47058823529412</v>
          </cell>
          <cell r="R22">
            <v>103.40331757834844</v>
          </cell>
        </row>
        <row r="50">
          <cell r="Q50">
            <v>85833.397255659336</v>
          </cell>
          <cell r="R50">
            <v>85641.017430833599</v>
          </cell>
        </row>
        <row r="56">
          <cell r="L56">
            <v>12242.620457661142</v>
          </cell>
        </row>
        <row r="80">
          <cell r="H80">
            <v>47253.14</v>
          </cell>
          <cell r="I80">
            <v>51713.847000000002</v>
          </cell>
          <cell r="L80">
            <v>-4460.7070000000003</v>
          </cell>
        </row>
        <row r="85">
          <cell r="H85">
            <v>28977.950777777776</v>
          </cell>
          <cell r="I85">
            <v>42081.790670000002</v>
          </cell>
          <cell r="L85">
            <v>-13103.839892222226</v>
          </cell>
          <cell r="Q85">
            <v>99299.849294117768</v>
          </cell>
          <cell r="R85">
            <v>98356.98450609346</v>
          </cell>
        </row>
        <row r="86">
          <cell r="H86">
            <v>152698.59387601569</v>
          </cell>
          <cell r="I86">
            <v>122944.63900000004</v>
          </cell>
          <cell r="K86">
            <v>-15396.039123648925</v>
          </cell>
          <cell r="M86">
            <v>-9035.9893178056154</v>
          </cell>
        </row>
        <row r="89">
          <cell r="Q89">
            <v>77452.150196835806</v>
          </cell>
          <cell r="R89">
            <v>77829.948159075182</v>
          </cell>
        </row>
        <row r="92">
          <cell r="H92">
            <v>70904.782139186165</v>
          </cell>
          <cell r="I92">
            <v>11129.311887216914</v>
          </cell>
        </row>
      </sheetData>
      <sheetData sheetId="13">
        <row r="2">
          <cell r="N2">
            <v>13000</v>
          </cell>
        </row>
        <row r="5">
          <cell r="T5">
            <v>13000</v>
          </cell>
          <cell r="U5">
            <v>7188</v>
          </cell>
        </row>
        <row r="9">
          <cell r="E9">
            <v>153</v>
          </cell>
          <cell r="F9">
            <v>157.83930398140075</v>
          </cell>
          <cell r="G9">
            <v>100000</v>
          </cell>
          <cell r="H9">
            <v>100000</v>
          </cell>
        </row>
        <row r="10">
          <cell r="E10">
            <v>153</v>
          </cell>
          <cell r="F10">
            <v>123.25487648939266</v>
          </cell>
          <cell r="G10">
            <v>92100</v>
          </cell>
          <cell r="H10">
            <v>92100.000558804051</v>
          </cell>
        </row>
        <row r="11">
          <cell r="E11">
            <v>0</v>
          </cell>
          <cell r="F11">
            <v>0</v>
          </cell>
        </row>
        <row r="12">
          <cell r="E12">
            <v>13.600000000000001</v>
          </cell>
          <cell r="F12">
            <v>46.8875428654461</v>
          </cell>
          <cell r="G12">
            <v>64000</v>
          </cell>
          <cell r="H12">
            <v>62017.025098575185</v>
          </cell>
        </row>
        <row r="13">
          <cell r="E13">
            <v>20.399999999999999</v>
          </cell>
          <cell r="F13">
            <v>37.159116535890718</v>
          </cell>
          <cell r="G13">
            <v>35000</v>
          </cell>
          <cell r="H13">
            <v>33167.363393692023</v>
          </cell>
        </row>
        <row r="14">
          <cell r="E14">
            <v>0</v>
          </cell>
          <cell r="F14">
            <v>0</v>
          </cell>
        </row>
        <row r="15">
          <cell r="E15">
            <v>340</v>
          </cell>
          <cell r="F15">
            <v>365.14083987213019</v>
          </cell>
        </row>
        <row r="16">
          <cell r="E16">
            <v>770</v>
          </cell>
          <cell r="F16">
            <v>775.50130775937237</v>
          </cell>
          <cell r="G16">
            <v>9066.6666666666679</v>
          </cell>
          <cell r="H16">
            <v>9068.6200112422703</v>
          </cell>
        </row>
        <row r="17">
          <cell r="E17">
            <v>950</v>
          </cell>
          <cell r="F17">
            <v>889.80238302818918</v>
          </cell>
          <cell r="G17">
            <v>15880.190628800196</v>
          </cell>
          <cell r="H17">
            <v>16830.403258203485</v>
          </cell>
        </row>
        <row r="19">
          <cell r="E19">
            <v>3.3</v>
          </cell>
          <cell r="F19">
            <v>2.6736195873292639</v>
          </cell>
        </row>
        <row r="20">
          <cell r="Q20">
            <v>56013.214430693522</v>
          </cell>
          <cell r="R20">
            <v>55877.414995640807</v>
          </cell>
        </row>
        <row r="21">
          <cell r="Q21">
            <v>20306.361237067031</v>
          </cell>
          <cell r="R21">
            <v>22481.814007555942</v>
          </cell>
        </row>
        <row r="22">
          <cell r="Q22">
            <v>384.61538461538464</v>
          </cell>
          <cell r="R22">
            <v>596.52324905550711</v>
          </cell>
        </row>
        <row r="50">
          <cell r="Q50">
            <v>83963.333360068253</v>
          </cell>
          <cell r="R50">
            <v>91506.909038070327</v>
          </cell>
        </row>
        <row r="56">
          <cell r="L56">
            <v>-49330.850496010338</v>
          </cell>
        </row>
        <row r="80">
          <cell r="H80">
            <v>37133.67</v>
          </cell>
          <cell r="I80">
            <v>30914.762999999999</v>
          </cell>
          <cell r="L80">
            <v>6218.907000000002</v>
          </cell>
        </row>
        <row r="85">
          <cell r="H85">
            <v>14075.254444444443</v>
          </cell>
          <cell r="I85">
            <v>15847.687320000001</v>
          </cell>
          <cell r="L85">
            <v>-1772.4328755555582</v>
          </cell>
          <cell r="Q85">
            <v>96299.673076923078</v>
          </cell>
          <cell r="R85">
            <v>90295.742516710263</v>
          </cell>
        </row>
        <row r="86">
          <cell r="H86">
            <v>109163.49187466854</v>
          </cell>
          <cell r="I86">
            <v>-52202.860999999859</v>
          </cell>
          <cell r="K86">
            <v>-41319.050115384591</v>
          </cell>
          <cell r="M86">
            <v>-75162.926387717947</v>
          </cell>
        </row>
        <row r="89">
          <cell r="Q89">
            <v>76704.191052375943</v>
          </cell>
          <cell r="R89">
            <v>78955.752252252263</v>
          </cell>
        </row>
        <row r="92">
          <cell r="H92">
            <v>48505.070752393913</v>
          </cell>
          <cell r="I92">
            <v>-97544.173058586428</v>
          </cell>
        </row>
      </sheetData>
      <sheetData sheetId="14">
        <row r="2">
          <cell r="N2">
            <v>18000</v>
          </cell>
        </row>
        <row r="5">
          <cell r="T5">
            <v>18000</v>
          </cell>
          <cell r="U5">
            <v>21485</v>
          </cell>
        </row>
        <row r="9">
          <cell r="E9">
            <v>228.76157170724969</v>
          </cell>
          <cell r="F9">
            <v>198.85346227160713</v>
          </cell>
          <cell r="G9">
            <v>100000</v>
          </cell>
          <cell r="H9">
            <v>100000.09445566041</v>
          </cell>
        </row>
        <row r="10">
          <cell r="E10">
            <v>72.622721176904662</v>
          </cell>
          <cell r="F10">
            <v>85.441633269794067</v>
          </cell>
          <cell r="G10">
            <v>92100.000000000015</v>
          </cell>
          <cell r="H10">
            <v>92100.002345785266</v>
          </cell>
        </row>
        <row r="11">
          <cell r="E11">
            <v>0</v>
          </cell>
          <cell r="F11">
            <v>0</v>
          </cell>
        </row>
        <row r="12">
          <cell r="E12">
            <v>32.680224529607102</v>
          </cell>
          <cell r="F12">
            <v>44.4549802408294</v>
          </cell>
          <cell r="G12">
            <v>62000.000000000007</v>
          </cell>
          <cell r="H12">
            <v>61115.710827362556</v>
          </cell>
        </row>
        <row r="13">
          <cell r="E13">
            <v>29.049088470761859</v>
          </cell>
          <cell r="F13">
            <v>33.503167046352694</v>
          </cell>
          <cell r="G13">
            <v>35500.000000000007</v>
          </cell>
          <cell r="H13">
            <v>33963.872646154152</v>
          </cell>
        </row>
        <row r="14">
          <cell r="E14">
            <v>0</v>
          </cell>
          <cell r="F14">
            <v>2.4501371518899081E-2</v>
          </cell>
        </row>
        <row r="15">
          <cell r="E15">
            <v>363.11360588452328</v>
          </cell>
          <cell r="F15">
            <v>362.27774420010223</v>
          </cell>
        </row>
        <row r="16">
          <cell r="E16">
            <v>782.82877777777776</v>
          </cell>
          <cell r="F16">
            <v>761.53121948951582</v>
          </cell>
          <cell r="G16">
            <v>11362.368900781818</v>
          </cell>
          <cell r="H16">
            <v>11364.525825293695</v>
          </cell>
        </row>
        <row r="17">
          <cell r="E17">
            <v>921.64307848737451</v>
          </cell>
          <cell r="F17">
            <v>958.24492073085685</v>
          </cell>
          <cell r="G17">
            <v>19373.322747006874</v>
          </cell>
          <cell r="H17">
            <v>18482.4027977443</v>
          </cell>
        </row>
        <row r="19">
          <cell r="E19">
            <v>3.4495792559029721</v>
          </cell>
          <cell r="F19">
            <v>2.9347584731972671</v>
          </cell>
        </row>
        <row r="20">
          <cell r="Q20">
            <v>62556.166182204179</v>
          </cell>
          <cell r="R20">
            <v>60775.868845599522</v>
          </cell>
        </row>
        <row r="21">
          <cell r="Q21">
            <v>19615.744999999999</v>
          </cell>
          <cell r="R21">
            <v>18630.021246919892</v>
          </cell>
        </row>
        <row r="22">
          <cell r="Q22">
            <v>222.2222222222222</v>
          </cell>
          <cell r="R22">
            <v>272.6801803896044</v>
          </cell>
        </row>
        <row r="50">
          <cell r="Q50">
            <v>89514.580626648618</v>
          </cell>
          <cell r="R50">
            <v>85952.080477939468</v>
          </cell>
        </row>
        <row r="56">
          <cell r="L56">
            <v>84035.093963545529</v>
          </cell>
        </row>
        <row r="80">
          <cell r="H80">
            <v>45809.33</v>
          </cell>
          <cell r="I80">
            <v>50363.452999999994</v>
          </cell>
          <cell r="L80">
            <v>-4554.1229999999887</v>
          </cell>
        </row>
        <row r="85">
          <cell r="H85">
            <v>26289.65722222222</v>
          </cell>
          <cell r="I85">
            <v>26196.618200000001</v>
          </cell>
          <cell r="L85">
            <v>93.039022222220183</v>
          </cell>
          <cell r="Q85">
            <v>102000.24504444444</v>
          </cell>
          <cell r="R85">
            <v>96472.016755876204</v>
          </cell>
        </row>
        <row r="86">
          <cell r="H86">
            <v>152642.9722981026</v>
          </cell>
          <cell r="I86">
            <v>156955.53800000009</v>
          </cell>
          <cell r="K86">
            <v>-118773.98477988856</v>
          </cell>
          <cell r="M86">
            <v>43512.540496018366</v>
          </cell>
        </row>
        <row r="89">
          <cell r="Q89">
            <v>82394.133404426393</v>
          </cell>
          <cell r="R89">
            <v>79678.570272909026</v>
          </cell>
        </row>
        <row r="92">
          <cell r="H92">
            <v>63682.586632874401</v>
          </cell>
          <cell r="I92">
            <v>12653.235816706874</v>
          </cell>
        </row>
      </sheetData>
      <sheetData sheetId="15">
        <row r="2">
          <cell r="N2">
            <v>12000</v>
          </cell>
        </row>
        <row r="5">
          <cell r="T5">
            <v>12000</v>
          </cell>
          <cell r="U5">
            <v>4157</v>
          </cell>
        </row>
        <row r="9">
          <cell r="E9">
            <v>227.25768332944466</v>
          </cell>
          <cell r="F9">
            <v>175.41281934087078</v>
          </cell>
          <cell r="G9">
            <v>100000</v>
          </cell>
          <cell r="H9">
            <v>100000.58009485556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88.100987947341977</v>
          </cell>
          <cell r="F12">
            <v>111.85086600914119</v>
          </cell>
          <cell r="G12">
            <v>62200</v>
          </cell>
          <cell r="H12">
            <v>60973.643016056849</v>
          </cell>
        </row>
        <row r="13">
          <cell r="E13">
            <v>40.661117948119688</v>
          </cell>
          <cell r="F13">
            <v>47.86976906422899</v>
          </cell>
          <cell r="G13">
            <v>36000</v>
          </cell>
          <cell r="H13">
            <v>34071.79882190792</v>
          </cell>
        </row>
        <row r="14">
          <cell r="E14">
            <v>0</v>
          </cell>
          <cell r="F14">
            <v>0</v>
          </cell>
        </row>
        <row r="15">
          <cell r="E15">
            <v>356.01978922490633</v>
          </cell>
          <cell r="F15">
            <v>335.13345441424099</v>
          </cell>
        </row>
        <row r="16">
          <cell r="E16">
            <v>777.1</v>
          </cell>
          <cell r="F16">
            <v>727.59923021409656</v>
          </cell>
          <cell r="G16">
            <v>9600</v>
          </cell>
          <cell r="H16">
            <v>9424.7666656748133</v>
          </cell>
        </row>
        <row r="17">
          <cell r="E17">
            <v>877.88719000000003</v>
          </cell>
          <cell r="F17">
            <v>881.37118114024543</v>
          </cell>
          <cell r="G17">
            <v>17974.860423314243</v>
          </cell>
          <cell r="H17">
            <v>16672.031136560894</v>
          </cell>
        </row>
        <row r="19">
          <cell r="E19">
            <v>3.016951541745037</v>
          </cell>
          <cell r="F19">
            <v>2.5081404859273513</v>
          </cell>
        </row>
        <row r="20">
          <cell r="Q20">
            <v>54979.456939628129</v>
          </cell>
          <cell r="R20">
            <v>49275.19076256916</v>
          </cell>
        </row>
        <row r="21">
          <cell r="Q21">
            <v>18206.765423976609</v>
          </cell>
          <cell r="R21">
            <v>22620.79672840991</v>
          </cell>
        </row>
        <row r="22">
          <cell r="Q22">
            <v>66.666666666666671</v>
          </cell>
          <cell r="R22">
            <v>75.943709405821494</v>
          </cell>
        </row>
        <row r="50">
          <cell r="Q50">
            <v>81255.739030271419</v>
          </cell>
          <cell r="R50">
            <v>93127.273033437581</v>
          </cell>
        </row>
        <row r="56">
          <cell r="L56">
            <v>-49057.982091161764</v>
          </cell>
        </row>
        <row r="80">
          <cell r="H80">
            <v>27028.299999999996</v>
          </cell>
          <cell r="I80">
            <v>27876.332999999999</v>
          </cell>
          <cell r="L80">
            <v>-848.03300000000309</v>
          </cell>
        </row>
        <row r="85">
          <cell r="H85">
            <v>12058.400333333331</v>
          </cell>
          <cell r="I85">
            <v>12427.955760000001</v>
          </cell>
          <cell r="L85">
            <v>-369.5554266666694</v>
          </cell>
          <cell r="Q85">
            <v>94380</v>
          </cell>
          <cell r="R85">
            <v>87727.06278566274</v>
          </cell>
        </row>
        <row r="86">
          <cell r="H86">
            <v>118404.43130340989</v>
          </cell>
          <cell r="I86">
            <v>-62460.977999999974</v>
          </cell>
          <cell r="K86">
            <v>-27656.259999999991</v>
          </cell>
          <cell r="M86">
            <v>-102933.57878558128</v>
          </cell>
        </row>
        <row r="89">
          <cell r="Q89">
            <v>73252.889030271414</v>
          </cell>
          <cell r="R89">
            <v>71971.93120038489</v>
          </cell>
        </row>
        <row r="92">
          <cell r="H92">
            <v>63528.215431406687</v>
          </cell>
          <cell r="I92">
            <v>-87850.24469810634</v>
          </cell>
        </row>
      </sheetData>
      <sheetData sheetId="16">
        <row r="2">
          <cell r="N2">
            <v>13000</v>
          </cell>
        </row>
        <row r="5">
          <cell r="T5">
            <v>13000</v>
          </cell>
          <cell r="U5">
            <v>6785</v>
          </cell>
        </row>
        <row r="9">
          <cell r="E9">
            <v>254.30000000000004</v>
          </cell>
          <cell r="F9">
            <v>200.06610368629751</v>
          </cell>
          <cell r="G9">
            <v>100000</v>
          </cell>
          <cell r="H9">
            <v>100000.0014681592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64.2</v>
          </cell>
          <cell r="F12">
            <v>68.733021001615526</v>
          </cell>
          <cell r="G12">
            <v>64500</v>
          </cell>
          <cell r="H12">
            <v>62999.998247874981</v>
          </cell>
        </row>
        <row r="13">
          <cell r="E13">
            <v>36</v>
          </cell>
          <cell r="F13">
            <v>30.65678807460711</v>
          </cell>
          <cell r="G13">
            <v>33000</v>
          </cell>
          <cell r="H13">
            <v>31150.371365005652</v>
          </cell>
        </row>
        <row r="14">
          <cell r="E14">
            <v>0</v>
          </cell>
          <cell r="F14">
            <v>0</v>
          </cell>
        </row>
        <row r="15">
          <cell r="E15">
            <v>354.50000000000006</v>
          </cell>
          <cell r="F15">
            <v>299.45591276252014</v>
          </cell>
        </row>
        <row r="16">
          <cell r="E16">
            <v>843</v>
          </cell>
          <cell r="F16">
            <v>751.2512850638858</v>
          </cell>
          <cell r="G16">
            <v>11000</v>
          </cell>
          <cell r="H16">
            <v>11446.886870096792</v>
          </cell>
        </row>
        <row r="17">
          <cell r="E17">
            <v>887.7</v>
          </cell>
          <cell r="F17">
            <v>938.8081950359815</v>
          </cell>
          <cell r="G17">
            <v>17410.359576177849</v>
          </cell>
          <cell r="H17">
            <v>16826.576162581969</v>
          </cell>
        </row>
        <row r="19">
          <cell r="E19">
            <v>3.08</v>
          </cell>
          <cell r="F19">
            <v>2.5103612865325298</v>
          </cell>
        </row>
        <row r="20">
          <cell r="Q20">
            <v>57643.676195773078</v>
          </cell>
          <cell r="R20">
            <v>51467.609340578638</v>
          </cell>
        </row>
        <row r="21">
          <cell r="Q21">
            <v>18301.509015275507</v>
          </cell>
          <cell r="R21">
            <v>19549.051990013217</v>
          </cell>
        </row>
        <row r="22">
          <cell r="Q22">
            <v>115.38461538461539</v>
          </cell>
          <cell r="R22">
            <v>93.774122484946403</v>
          </cell>
        </row>
        <row r="50">
          <cell r="Q50">
            <v>84530.564969094121</v>
          </cell>
          <cell r="R50">
            <v>86469.000146864433</v>
          </cell>
        </row>
        <row r="56">
          <cell r="L56">
            <v>-12741.638064696386</v>
          </cell>
        </row>
        <row r="80">
          <cell r="H80">
            <v>35724.47</v>
          </cell>
          <cell r="I80">
            <v>26767.64</v>
          </cell>
          <cell r="L80">
            <v>8956.8300000000054</v>
          </cell>
        </row>
        <row r="85">
          <cell r="H85">
            <v>31871.415222222218</v>
          </cell>
          <cell r="I85">
            <v>31650.476620000001</v>
          </cell>
          <cell r="L85">
            <v>220.93860222221667</v>
          </cell>
          <cell r="Q85">
            <v>101100.38024584616</v>
          </cell>
          <cell r="R85">
            <v>93119.970523212964</v>
          </cell>
        </row>
        <row r="86">
          <cell r="H86">
            <v>147811.71337555416</v>
          </cell>
          <cell r="I86">
            <v>-12880.63800000005</v>
          </cell>
          <cell r="K86">
            <v>-54147.079968066224</v>
          </cell>
          <cell r="M86">
            <v>-102981.40194501379</v>
          </cell>
        </row>
        <row r="89">
          <cell r="Q89">
            <v>76060.569826433188</v>
          </cell>
          <cell r="R89">
            <v>71110.435453076803</v>
          </cell>
        </row>
        <row r="92">
          <cell r="H92">
            <v>84129.363844876221</v>
          </cell>
          <cell r="I92">
            <v>-56868.132552589959</v>
          </cell>
        </row>
      </sheetData>
      <sheetData sheetId="17">
        <row r="2">
          <cell r="N2">
            <v>12500</v>
          </cell>
        </row>
        <row r="5">
          <cell r="T5">
            <v>12500</v>
          </cell>
          <cell r="U5">
            <v>9987</v>
          </cell>
        </row>
        <row r="9">
          <cell r="E9">
            <v>225.55</v>
          </cell>
          <cell r="F9">
            <v>241.38067004048557</v>
          </cell>
          <cell r="G9">
            <v>100000</v>
          </cell>
          <cell r="H9">
            <v>100000.00000000012</v>
          </cell>
        </row>
        <row r="10">
          <cell r="E10">
            <v>0</v>
          </cell>
          <cell r="F10">
            <v>10.259817813765185</v>
          </cell>
          <cell r="G10">
            <v>0</v>
          </cell>
          <cell r="H10">
            <v>96499.955606854273</v>
          </cell>
        </row>
        <row r="11">
          <cell r="E11">
            <v>0</v>
          </cell>
          <cell r="F11">
            <v>0</v>
          </cell>
        </row>
        <row r="12">
          <cell r="E12">
            <v>76.34</v>
          </cell>
          <cell r="F12">
            <v>58.974303643724703</v>
          </cell>
          <cell r="G12">
            <v>61400</v>
          </cell>
          <cell r="H12">
            <v>59229.146530778205</v>
          </cell>
        </row>
        <row r="13">
          <cell r="E13">
            <v>45.11</v>
          </cell>
          <cell r="F13">
            <v>28.09727732793522</v>
          </cell>
          <cell r="G13">
            <v>35300</v>
          </cell>
          <cell r="H13">
            <v>33322.3895726638</v>
          </cell>
        </row>
        <row r="14">
          <cell r="E14">
            <v>0</v>
          </cell>
          <cell r="F14">
            <v>0</v>
          </cell>
        </row>
        <row r="15">
          <cell r="E15">
            <v>347</v>
          </cell>
          <cell r="F15">
            <v>338.71206882591065</v>
          </cell>
        </row>
        <row r="16">
          <cell r="E16">
            <v>731.96671150921088</v>
          </cell>
          <cell r="F16">
            <v>731.14929149797558</v>
          </cell>
          <cell r="G16">
            <v>11133.333333333332</v>
          </cell>
          <cell r="H16">
            <v>10939.052058105517</v>
          </cell>
        </row>
        <row r="17">
          <cell r="E17">
            <v>970.28145479127932</v>
          </cell>
          <cell r="F17">
            <v>933.20516194331958</v>
          </cell>
          <cell r="G17">
            <v>14763.292547274748</v>
          </cell>
          <cell r="H17">
            <v>14736.772520199695</v>
          </cell>
        </row>
        <row r="19">
          <cell r="E19">
            <v>3.1230000000000002</v>
          </cell>
          <cell r="F19">
            <v>3.2077985829959532</v>
          </cell>
        </row>
        <row r="20">
          <cell r="Q20">
            <v>53494.537358414869</v>
          </cell>
          <cell r="R20">
            <v>53837.244939271259</v>
          </cell>
        </row>
        <row r="21">
          <cell r="Q21">
            <v>18654.754315789476</v>
          </cell>
          <cell r="R21">
            <v>19193.114271255061</v>
          </cell>
        </row>
        <row r="22">
          <cell r="Q22">
            <v>384</v>
          </cell>
          <cell r="R22">
            <v>274.26963562753036</v>
          </cell>
        </row>
        <row r="50">
          <cell r="Q50">
            <v>81495.910074204352</v>
          </cell>
          <cell r="R50">
            <v>82268.216093117415</v>
          </cell>
        </row>
        <row r="56">
          <cell r="L56">
            <v>-7630.3737668608401</v>
          </cell>
        </row>
        <row r="80">
          <cell r="H80">
            <v>36284.270000000004</v>
          </cell>
          <cell r="I80">
            <v>30639.365000000002</v>
          </cell>
          <cell r="L80">
            <v>5644.9050000000007</v>
          </cell>
        </row>
        <row r="85">
          <cell r="H85">
            <v>16332.069325359782</v>
          </cell>
          <cell r="I85">
            <v>15743.9157</v>
          </cell>
          <cell r="L85">
            <v>588.15362535978147</v>
          </cell>
          <cell r="Q85">
            <v>96160.51370000001</v>
          </cell>
          <cell r="R85">
            <v>88369.706477732791</v>
          </cell>
        </row>
        <row r="86">
          <cell r="H86">
            <v>130691.205997086</v>
          </cell>
          <cell r="I86">
            <v>13899.454000000029</v>
          </cell>
          <cell r="K86">
            <v>-76973.175356000123</v>
          </cell>
          <cell r="M86">
            <v>-38421.261499584594</v>
          </cell>
        </row>
        <row r="89">
          <cell r="Q89">
            <v>72533.291674204345</v>
          </cell>
          <cell r="R89">
            <v>73304.62884615385</v>
          </cell>
        </row>
        <row r="92">
          <cell r="H92">
            <v>72450.08512750821</v>
          </cell>
          <cell r="I92">
            <v>-47404.890932291361</v>
          </cell>
        </row>
      </sheetData>
      <sheetData sheetId="18">
        <row r="2">
          <cell r="N2">
            <v>12000</v>
          </cell>
        </row>
        <row r="5">
          <cell r="T5">
            <v>12000</v>
          </cell>
          <cell r="U5">
            <v>9494</v>
          </cell>
        </row>
        <row r="9">
          <cell r="E9">
            <v>246.2</v>
          </cell>
          <cell r="F9">
            <v>221.98694859911521</v>
          </cell>
          <cell r="G9">
            <v>100000</v>
          </cell>
          <cell r="H9">
            <v>100000.00000000001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72.400000000000006</v>
          </cell>
          <cell r="F12">
            <v>92.71203075626714</v>
          </cell>
          <cell r="G12">
            <v>60200</v>
          </cell>
          <cell r="H12">
            <v>59200.072955481577</v>
          </cell>
        </row>
        <row r="13">
          <cell r="E13">
            <v>43.5</v>
          </cell>
          <cell r="F13">
            <v>48.2157699599747</v>
          </cell>
          <cell r="G13">
            <v>37000</v>
          </cell>
          <cell r="H13">
            <v>35011.970888184078</v>
          </cell>
        </row>
        <row r="14">
          <cell r="E14">
            <v>0</v>
          </cell>
          <cell r="F14">
            <v>0</v>
          </cell>
        </row>
        <row r="15">
          <cell r="E15">
            <v>362.1</v>
          </cell>
          <cell r="F15">
            <v>362.91474931535703</v>
          </cell>
        </row>
        <row r="16">
          <cell r="E16">
            <v>798.80000000000007</v>
          </cell>
          <cell r="F16">
            <v>648.36981251316604</v>
          </cell>
          <cell r="G16">
            <v>11533.333333333334</v>
          </cell>
          <cell r="H16">
            <v>11650.067426156542</v>
          </cell>
        </row>
        <row r="17">
          <cell r="E17">
            <v>900.80000000000007</v>
          </cell>
          <cell r="F17">
            <v>853.18759216347189</v>
          </cell>
          <cell r="G17">
            <v>19459.673714824246</v>
          </cell>
          <cell r="H17">
            <v>20205.544258800714</v>
          </cell>
        </row>
        <row r="19">
          <cell r="E19">
            <v>3.26</v>
          </cell>
          <cell r="F19">
            <v>2.9566515694122608</v>
          </cell>
        </row>
        <row r="20">
          <cell r="Q20">
            <v>60264.080748980348</v>
          </cell>
          <cell r="R20">
            <v>56419.982093954073</v>
          </cell>
        </row>
        <row r="21">
          <cell r="Q21">
            <v>21116.784857910905</v>
          </cell>
          <cell r="R21">
            <v>22487.475879502843</v>
          </cell>
        </row>
        <row r="22">
          <cell r="Q22">
            <v>280</v>
          </cell>
          <cell r="R22">
            <v>289.47303560143251</v>
          </cell>
        </row>
        <row r="50">
          <cell r="Q50">
            <v>89101.280532668534</v>
          </cell>
          <cell r="R50">
            <v>90987.685696229193</v>
          </cell>
        </row>
        <row r="56">
          <cell r="L56">
            <v>-17909.548072845049</v>
          </cell>
        </row>
        <row r="80">
          <cell r="H80">
            <v>35535.71</v>
          </cell>
          <cell r="I80">
            <v>28537.179000000004</v>
          </cell>
          <cell r="L80">
            <v>6998.5309999999954</v>
          </cell>
        </row>
        <row r="85">
          <cell r="H85">
            <v>15715.589833060507</v>
          </cell>
          <cell r="I85">
            <v>15633.359550000001</v>
          </cell>
          <cell r="L85">
            <v>82.230283060504917</v>
          </cell>
          <cell r="Q85">
            <v>103629.5</v>
          </cell>
          <cell r="R85">
            <v>100490.72045502423</v>
          </cell>
        </row>
        <row r="86">
          <cell r="H86">
            <v>123087.33377491703</v>
          </cell>
          <cell r="I86">
            <v>46051.255999999987</v>
          </cell>
          <cell r="K86">
            <v>-29799.572999999949</v>
          </cell>
          <cell r="M86">
            <v>-36407.71798513268</v>
          </cell>
        </row>
        <row r="89">
          <cell r="Q89">
            <v>81660.865606891253</v>
          </cell>
          <cell r="R89">
            <v>79196.931009058346</v>
          </cell>
        </row>
        <row r="92">
          <cell r="H92">
            <v>62833.097573309104</v>
          </cell>
          <cell r="I92">
            <v>-20370.710839553627</v>
          </cell>
        </row>
      </sheetData>
      <sheetData sheetId="19">
        <row r="2">
          <cell r="N2">
            <v>21000</v>
          </cell>
        </row>
        <row r="5">
          <cell r="T5">
            <v>21000</v>
          </cell>
          <cell r="U5">
            <v>17801</v>
          </cell>
        </row>
        <row r="9">
          <cell r="E9">
            <v>250.05714285714288</v>
          </cell>
          <cell r="F9">
            <v>258.07944366473913</v>
          </cell>
          <cell r="G9">
            <v>100000</v>
          </cell>
          <cell r="H9">
            <v>99809.58999435381</v>
          </cell>
        </row>
        <row r="10">
          <cell r="E10">
            <v>37.033333333333331</v>
          </cell>
          <cell r="F10">
            <v>18.340261606691744</v>
          </cell>
          <cell r="G10">
            <v>86800</v>
          </cell>
          <cell r="H10">
            <v>86599.972671764728</v>
          </cell>
        </row>
        <row r="11">
          <cell r="E11">
            <v>0</v>
          </cell>
          <cell r="F11">
            <v>0</v>
          </cell>
        </row>
        <row r="12">
          <cell r="E12">
            <v>50.071428571428569</v>
          </cell>
          <cell r="F12">
            <v>60.096362207376608</v>
          </cell>
          <cell r="G12">
            <v>64300</v>
          </cell>
          <cell r="H12">
            <v>62155.104664050778</v>
          </cell>
        </row>
        <row r="13">
          <cell r="E13">
            <v>42.4</v>
          </cell>
          <cell r="F13">
            <v>37.019491944085779</v>
          </cell>
          <cell r="G13">
            <v>42900.000000000007</v>
          </cell>
          <cell r="H13">
            <v>34713.652908479613</v>
          </cell>
        </row>
        <row r="14">
          <cell r="E14">
            <v>0</v>
          </cell>
          <cell r="F14">
            <v>0</v>
          </cell>
        </row>
        <row r="15">
          <cell r="E15">
            <v>379.56190476190477</v>
          </cell>
          <cell r="F15">
            <v>373.53555942289324</v>
          </cell>
        </row>
        <row r="16">
          <cell r="E16">
            <v>867</v>
          </cell>
          <cell r="F16">
            <v>792.13234575871559</v>
          </cell>
          <cell r="G16">
            <v>11399.999999999998</v>
          </cell>
          <cell r="H16">
            <v>10855.887335503729</v>
          </cell>
        </row>
        <row r="17">
          <cell r="E17">
            <v>871</v>
          </cell>
          <cell r="F17">
            <v>946.78695250659632</v>
          </cell>
          <cell r="G17">
            <v>13225.806451612902</v>
          </cell>
          <cell r="H17">
            <v>12567.671232650584</v>
          </cell>
        </row>
        <row r="19">
          <cell r="E19">
            <v>2.8</v>
          </cell>
          <cell r="F19">
            <v>3.1885014876775384</v>
          </cell>
        </row>
        <row r="20">
          <cell r="Q20">
            <v>57042.23789554531</v>
          </cell>
          <cell r="R20">
            <v>56195.699040026935</v>
          </cell>
        </row>
        <row r="21">
          <cell r="Q21">
            <v>20195.060790273557</v>
          </cell>
          <cell r="R21">
            <v>21757.364845899061</v>
          </cell>
        </row>
        <row r="22">
          <cell r="Q22">
            <v>119.04761904761904</v>
          </cell>
          <cell r="R22">
            <v>201.95239431875598</v>
          </cell>
        </row>
        <row r="50">
          <cell r="Q50">
            <v>84824.463343797048</v>
          </cell>
          <cell r="R50">
            <v>86586.78813226294</v>
          </cell>
        </row>
        <row r="56">
          <cell r="L56">
            <v>-31427.740587068794</v>
          </cell>
        </row>
        <row r="80">
          <cell r="H80">
            <v>44388.639999999999</v>
          </cell>
          <cell r="I80">
            <v>46071.574999999997</v>
          </cell>
          <cell r="L80">
            <v>-1682.9349999999936</v>
          </cell>
        </row>
        <row r="85">
          <cell r="H85">
            <v>36801.933444444439</v>
          </cell>
          <cell r="I85">
            <v>36353.797429999999</v>
          </cell>
          <cell r="L85">
            <v>448.13601444443884</v>
          </cell>
          <cell r="Q85">
            <v>103000</v>
          </cell>
          <cell r="R85">
            <v>92894.307005224415</v>
          </cell>
        </row>
        <row r="86">
          <cell r="H86">
            <v>300495.69633581745</v>
          </cell>
          <cell r="I86">
            <v>29798.173999999875</v>
          </cell>
          <cell r="K86">
            <v>-179891.44100000017</v>
          </cell>
          <cell r="M86">
            <v>-58143.541763193265</v>
          </cell>
        </row>
        <row r="89">
          <cell r="Q89">
            <v>77356.346304866485</v>
          </cell>
          <cell r="R89">
            <v>78155.016280244745</v>
          </cell>
        </row>
        <row r="92">
          <cell r="H92">
            <v>202138.46142978882</v>
          </cell>
          <cell r="I92">
            <v>-79081.65794019241</v>
          </cell>
        </row>
      </sheetData>
      <sheetData sheetId="20">
        <row r="2">
          <cell r="N2">
            <v>12000</v>
          </cell>
        </row>
        <row r="5">
          <cell r="T5">
            <v>12000</v>
          </cell>
          <cell r="U5">
            <v>7624</v>
          </cell>
        </row>
        <row r="9">
          <cell r="E9">
            <v>222.35</v>
          </cell>
          <cell r="F9">
            <v>236.79486227701989</v>
          </cell>
          <cell r="G9">
            <v>99999.999999999985</v>
          </cell>
          <cell r="H9">
            <v>99999.999446082846</v>
          </cell>
        </row>
        <row r="10">
          <cell r="E10">
            <v>32.15</v>
          </cell>
          <cell r="F10">
            <v>0</v>
          </cell>
          <cell r="G10">
            <v>96800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53.8</v>
          </cell>
          <cell r="F12">
            <v>97.834342864638018</v>
          </cell>
          <cell r="G12">
            <v>65000</v>
          </cell>
          <cell r="H12">
            <v>62000.027001335555</v>
          </cell>
        </row>
        <row r="13">
          <cell r="E13">
            <v>25.930000000000003</v>
          </cell>
          <cell r="F13">
            <v>18.635503672612799</v>
          </cell>
          <cell r="G13">
            <v>36000</v>
          </cell>
          <cell r="H13">
            <v>34086.631003396185</v>
          </cell>
        </row>
        <row r="14">
          <cell r="E14">
            <v>0</v>
          </cell>
          <cell r="F14">
            <v>0</v>
          </cell>
        </row>
        <row r="15">
          <cell r="E15">
            <v>334.23</v>
          </cell>
          <cell r="F15">
            <v>353.2647088142707</v>
          </cell>
        </row>
        <row r="16">
          <cell r="E16">
            <v>740.85</v>
          </cell>
          <cell r="F16">
            <v>705.0104931794333</v>
          </cell>
          <cell r="G16">
            <v>13333.333333333332</v>
          </cell>
          <cell r="H16">
            <v>14842.806139534883</v>
          </cell>
        </row>
        <row r="17">
          <cell r="E17">
            <v>991.87</v>
          </cell>
          <cell r="F17">
            <v>1013.0528593913948</v>
          </cell>
          <cell r="G17">
            <v>15310.195807375589</v>
          </cell>
          <cell r="H17">
            <v>15948.75014808673</v>
          </cell>
        </row>
        <row r="19">
          <cell r="E19">
            <v>2.25</v>
          </cell>
          <cell r="F19">
            <v>2.314618310598112</v>
          </cell>
        </row>
        <row r="20">
          <cell r="Q20">
            <v>56346.573915461617</v>
          </cell>
          <cell r="R20">
            <v>58785.164349422863</v>
          </cell>
        </row>
        <row r="21">
          <cell r="Q21">
            <v>16092.344210992906</v>
          </cell>
          <cell r="R21">
            <v>16932.899134312695</v>
          </cell>
        </row>
        <row r="22">
          <cell r="Q22">
            <v>250</v>
          </cell>
          <cell r="R22">
            <v>311.85899790136409</v>
          </cell>
        </row>
        <row r="50">
          <cell r="Q50">
            <v>80879.655626454522</v>
          </cell>
          <cell r="R50">
            <v>88864.561253934924</v>
          </cell>
        </row>
        <row r="56">
          <cell r="L56">
            <v>-60876.924013910757</v>
          </cell>
        </row>
        <row r="80">
          <cell r="H80">
            <v>28785.809999999998</v>
          </cell>
          <cell r="I80">
            <v>29719.119000000006</v>
          </cell>
          <cell r="L80">
            <v>-933.30900000000884</v>
          </cell>
        </row>
        <row r="85">
          <cell r="H85">
            <v>21587.247777777779</v>
          </cell>
          <cell r="I85">
            <v>21535.659489999998</v>
          </cell>
          <cell r="L85">
            <v>51.588287777778987</v>
          </cell>
          <cell r="Q85">
            <v>100384.04</v>
          </cell>
          <cell r="R85">
            <v>98660.897429171047</v>
          </cell>
        </row>
        <row r="86">
          <cell r="H86">
            <v>183679.55470476788</v>
          </cell>
          <cell r="I86">
            <v>23432.485000000037</v>
          </cell>
          <cell r="K86">
            <v>-13137.238959999886</v>
          </cell>
          <cell r="M86">
            <v>-85351.186018634995</v>
          </cell>
        </row>
        <row r="89">
          <cell r="Q89">
            <v>72688.918126454519</v>
          </cell>
          <cell r="R89">
            <v>76029.922481636924</v>
          </cell>
        </row>
        <row r="92">
          <cell r="H92">
            <v>128902.87452115527</v>
          </cell>
          <cell r="I92">
            <v>-26094.500099611636</v>
          </cell>
        </row>
      </sheetData>
      <sheetData sheetId="21">
        <row r="2">
          <cell r="N2">
            <v>8000</v>
          </cell>
        </row>
        <row r="5">
          <cell r="T5">
            <v>8000</v>
          </cell>
          <cell r="U5">
            <v>4411</v>
          </cell>
        </row>
        <row r="9">
          <cell r="E9">
            <v>253.6</v>
          </cell>
          <cell r="F9">
            <v>224.89685332124239</v>
          </cell>
          <cell r="G9">
            <v>100000</v>
          </cell>
          <cell r="H9">
            <v>99999.999999999971</v>
          </cell>
        </row>
        <row r="10">
          <cell r="E10">
            <v>2.7</v>
          </cell>
          <cell r="F10">
            <v>37.584450238041256</v>
          </cell>
          <cell r="G10">
            <v>94200</v>
          </cell>
          <cell r="H10">
            <v>93103.453683779968</v>
          </cell>
        </row>
        <row r="11">
          <cell r="E11">
            <v>0</v>
          </cell>
          <cell r="F11">
            <v>0</v>
          </cell>
        </row>
        <row r="12">
          <cell r="E12">
            <v>71.599999999999994</v>
          </cell>
          <cell r="F12">
            <v>64.853774654273408</v>
          </cell>
          <cell r="G12">
            <v>64900.000000000007</v>
          </cell>
          <cell r="H12">
            <v>63404.928863564863</v>
          </cell>
        </row>
        <row r="13">
          <cell r="E13">
            <v>19.100000000000001</v>
          </cell>
          <cell r="F13">
            <v>15.103042394014965</v>
          </cell>
          <cell r="G13">
            <v>39300</v>
          </cell>
          <cell r="H13">
            <v>29923.97723670179</v>
          </cell>
        </row>
        <row r="14">
          <cell r="E14">
            <v>0</v>
          </cell>
          <cell r="F14">
            <v>0</v>
          </cell>
        </row>
        <row r="15">
          <cell r="E15">
            <v>347</v>
          </cell>
          <cell r="F15">
            <v>342.43812060757205</v>
          </cell>
        </row>
        <row r="16">
          <cell r="E16">
            <v>810</v>
          </cell>
          <cell r="F16">
            <v>857.05849013829072</v>
          </cell>
          <cell r="G16">
            <v>14200</v>
          </cell>
          <cell r="H16">
            <v>15165.282232306172</v>
          </cell>
        </row>
        <row r="17">
          <cell r="E17">
            <v>905</v>
          </cell>
          <cell r="F17">
            <v>778.02539106778499</v>
          </cell>
          <cell r="G17">
            <v>15212.903225806449</v>
          </cell>
          <cell r="H17">
            <v>15408.674279620151</v>
          </cell>
        </row>
        <row r="19">
          <cell r="E19">
            <v>2.77</v>
          </cell>
          <cell r="F19">
            <v>2.9609158920879621</v>
          </cell>
        </row>
        <row r="20">
          <cell r="Q20">
            <v>58275.88741935484</v>
          </cell>
          <cell r="R20">
            <v>57793.923600090675</v>
          </cell>
        </row>
        <row r="21">
          <cell r="Q21">
            <v>14094.098014032073</v>
          </cell>
          <cell r="R21">
            <v>13623.49512582181</v>
          </cell>
        </row>
        <row r="22">
          <cell r="Q22">
            <v>56.25</v>
          </cell>
          <cell r="R22">
            <v>48.837451824982999</v>
          </cell>
        </row>
        <row r="50">
          <cell r="Q50">
            <v>79410.701683386913</v>
          </cell>
          <cell r="R50">
            <v>84715.622534572642</v>
          </cell>
        </row>
        <row r="56">
          <cell r="L56">
            <v>-23400.007024580351</v>
          </cell>
        </row>
        <row r="80">
          <cell r="H80">
            <v>10937.019999999999</v>
          </cell>
          <cell r="I80">
            <v>11778.137999999999</v>
          </cell>
          <cell r="L80">
            <v>-841.11800000000017</v>
          </cell>
        </row>
        <row r="85">
          <cell r="H85">
            <v>11605.509666666669</v>
          </cell>
          <cell r="I85">
            <v>10338.11385</v>
          </cell>
          <cell r="L85">
            <v>1267.3958166666689</v>
          </cell>
          <cell r="Q85">
            <v>111404.61250000002</v>
          </cell>
          <cell r="R85">
            <v>109907.44615733394</v>
          </cell>
        </row>
        <row r="86">
          <cell r="H86">
            <v>233408.75686623817</v>
          </cell>
          <cell r="I86">
            <v>89004.880999999994</v>
          </cell>
          <cell r="K86">
            <v>-6604.0007375000869</v>
          </cell>
          <cell r="M86">
            <v>-114826.14592082443</v>
          </cell>
        </row>
        <row r="89">
          <cell r="Q89">
            <v>72426.235433386915</v>
          </cell>
          <cell r="R89">
            <v>71466.256177737465</v>
          </cell>
        </row>
        <row r="92">
          <cell r="H92">
            <v>192881.89735157299</v>
          </cell>
          <cell r="I92">
            <v>57083.761295301578</v>
          </cell>
        </row>
      </sheetData>
      <sheetData sheetId="22">
        <row r="2">
          <cell r="N2">
            <v>5000</v>
          </cell>
        </row>
        <row r="5">
          <cell r="T5">
            <v>5000</v>
          </cell>
          <cell r="U5">
            <v>2075</v>
          </cell>
        </row>
        <row r="9">
          <cell r="E9">
            <v>267.5</v>
          </cell>
          <cell r="F9">
            <v>273.5527807228915</v>
          </cell>
          <cell r="G9">
            <v>100000</v>
          </cell>
          <cell r="H9">
            <v>100000.00000000001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45.400000000000006</v>
          </cell>
          <cell r="F12">
            <v>51.856385542168667</v>
          </cell>
          <cell r="G12">
            <v>64000</v>
          </cell>
          <cell r="H12">
            <v>62011.914276686315</v>
          </cell>
        </row>
        <row r="13">
          <cell r="E13">
            <v>40.5</v>
          </cell>
          <cell r="F13">
            <v>45.007710843373495</v>
          </cell>
          <cell r="G13">
            <v>49000</v>
          </cell>
          <cell r="H13">
            <v>45253.546915655686</v>
          </cell>
        </row>
        <row r="14">
          <cell r="E14">
            <v>0</v>
          </cell>
          <cell r="F14">
            <v>0</v>
          </cell>
        </row>
        <row r="15">
          <cell r="E15">
            <v>353.4</v>
          </cell>
          <cell r="F15">
            <v>370.41687710843365</v>
          </cell>
        </row>
        <row r="16">
          <cell r="E16">
            <v>837.86</v>
          </cell>
          <cell r="F16">
            <v>827.48433734939749</v>
          </cell>
          <cell r="G16">
            <v>13666.666666666664</v>
          </cell>
          <cell r="H16">
            <v>12407.969575371426</v>
          </cell>
        </row>
        <row r="17">
          <cell r="E17">
            <v>921.01</v>
          </cell>
          <cell r="F17">
            <v>886.9686746987951</v>
          </cell>
          <cell r="G17">
            <v>13806.451612903225</v>
          </cell>
          <cell r="H17">
            <v>12213.873162144246</v>
          </cell>
        </row>
        <row r="19">
          <cell r="E19">
            <v>2.9380000000000002</v>
          </cell>
          <cell r="F19">
            <v>2.7632048192771088</v>
          </cell>
        </row>
        <row r="20">
          <cell r="Q20">
            <v>57608.53333333334</v>
          </cell>
          <cell r="R20">
            <v>55630.372048192774</v>
          </cell>
        </row>
        <row r="21">
          <cell r="Q21">
            <v>15173.686346409911</v>
          </cell>
          <cell r="R21">
            <v>14676.203855421687</v>
          </cell>
        </row>
        <row r="22">
          <cell r="Q22">
            <v>280</v>
          </cell>
          <cell r="R22">
            <v>580.49975903614461</v>
          </cell>
        </row>
        <row r="50">
          <cell r="Q50">
            <v>86525.460161319235</v>
          </cell>
          <cell r="R50">
            <v>102888.94843373494</v>
          </cell>
        </row>
        <row r="56">
          <cell r="L56">
            <v>-33954.237025262613</v>
          </cell>
        </row>
        <row r="80">
          <cell r="H80">
            <v>11440.220000000001</v>
          </cell>
          <cell r="I80">
            <v>11588.188</v>
          </cell>
          <cell r="L80">
            <v>-147.96800000000007</v>
          </cell>
        </row>
        <row r="85">
          <cell r="H85">
            <v>6057.137777777777</v>
          </cell>
          <cell r="I85">
            <v>6272.2581399999999</v>
          </cell>
          <cell r="L85">
            <v>-215.12036222222218</v>
          </cell>
          <cell r="Q85">
            <v>112000</v>
          </cell>
          <cell r="R85">
            <v>112542.31325301203</v>
          </cell>
        </row>
        <row r="86">
          <cell r="H86">
            <v>109875.34141562616</v>
          </cell>
          <cell r="I86">
            <v>2170.2869999999675</v>
          </cell>
          <cell r="K86">
            <v>1125.299999999972</v>
          </cell>
          <cell r="M86">
            <v>-74513.029028141289</v>
          </cell>
        </row>
        <row r="89">
          <cell r="Q89">
            <v>73062.219679743255</v>
          </cell>
          <cell r="R89">
            <v>70887.075662650604</v>
          </cell>
        </row>
        <row r="92">
          <cell r="H92">
            <v>84410.685129275691</v>
          </cell>
          <cell r="I92">
            <v>-13205.872702922734</v>
          </cell>
        </row>
      </sheetData>
      <sheetData sheetId="23">
        <row r="2">
          <cell r="N2">
            <v>9000</v>
          </cell>
        </row>
        <row r="5">
          <cell r="T5">
            <v>9000</v>
          </cell>
          <cell r="U5">
            <v>4256</v>
          </cell>
        </row>
        <row r="9">
          <cell r="E9">
            <v>291</v>
          </cell>
          <cell r="F9">
            <v>331.55828477443617</v>
          </cell>
          <cell r="G9">
            <v>117000</v>
          </cell>
          <cell r="H9">
            <v>116999.99998582674</v>
          </cell>
        </row>
        <row r="10">
          <cell r="E10">
            <v>61</v>
          </cell>
          <cell r="F10">
            <v>16.636750469924809</v>
          </cell>
          <cell r="G10">
            <v>117000</v>
          </cell>
          <cell r="H10">
            <v>116999.96935288404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352</v>
          </cell>
          <cell r="F15">
            <v>348.19503524436101</v>
          </cell>
        </row>
        <row r="16">
          <cell r="E16">
            <v>712.3</v>
          </cell>
          <cell r="F16">
            <v>723.10502819548879</v>
          </cell>
          <cell r="G16">
            <v>17666.666666666668</v>
          </cell>
          <cell r="H16">
            <v>18047.263475476313</v>
          </cell>
        </row>
        <row r="17">
          <cell r="E17">
            <v>992.30000000000007</v>
          </cell>
          <cell r="F17">
            <v>1014.2586936090225</v>
          </cell>
          <cell r="G17">
            <v>17551.55520645791</v>
          </cell>
          <cell r="H17">
            <v>19626.790697027925</v>
          </cell>
        </row>
        <row r="19">
          <cell r="E19">
            <v>2.72</v>
          </cell>
          <cell r="F19">
            <v>3.5927725563909774</v>
          </cell>
        </row>
        <row r="20">
          <cell r="Q20">
            <v>73700.874898034846</v>
          </cell>
          <cell r="R20">
            <v>77177.363721804504</v>
          </cell>
        </row>
        <row r="21">
          <cell r="Q21">
            <v>17407.542955326458</v>
          </cell>
          <cell r="R21">
            <v>18584.632753759397</v>
          </cell>
        </row>
        <row r="22">
          <cell r="Q22">
            <v>277.77777777777777</v>
          </cell>
          <cell r="R22">
            <v>524.68961466165422</v>
          </cell>
        </row>
        <row r="50">
          <cell r="Q50">
            <v>98540.974520027972</v>
          </cell>
          <cell r="R50">
            <v>110884.50516917293</v>
          </cell>
        </row>
        <row r="56">
          <cell r="L56">
            <v>-52534.071382760929</v>
          </cell>
        </row>
        <row r="80">
          <cell r="H80">
            <v>15019.560000000001</v>
          </cell>
          <cell r="I80">
            <v>15520.458000000001</v>
          </cell>
          <cell r="L80">
            <v>-500.89800000000002</v>
          </cell>
        </row>
        <row r="85">
          <cell r="H85">
            <v>12417.939286680763</v>
          </cell>
          <cell r="I85">
            <v>12751.86606</v>
          </cell>
          <cell r="L85">
            <v>-333.92677331923812</v>
          </cell>
          <cell r="Q85">
            <v>122995.55555555556</v>
          </cell>
          <cell r="R85">
            <v>124625.73566729324</v>
          </cell>
        </row>
        <row r="86">
          <cell r="H86">
            <v>192653.73003306746</v>
          </cell>
          <cell r="I86">
            <v>30210.348000000071</v>
          </cell>
          <cell r="K86">
            <v>6938.0465555555429</v>
          </cell>
          <cell r="M86">
            <v>-116012.53243254288</v>
          </cell>
        </row>
        <row r="89">
          <cell r="Q89">
            <v>91386.195631139082</v>
          </cell>
          <cell r="R89">
            <v>96286.686090225558</v>
          </cell>
        </row>
        <row r="92">
          <cell r="H92">
            <v>142317.38017103443</v>
          </cell>
          <cell r="I92">
            <v>-4713.5970878556909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5">
          <cell r="W5">
            <v>0.7780171868143817</v>
          </cell>
        </row>
        <row r="85">
          <cell r="Q85">
            <v>100188.19794620456</v>
          </cell>
        </row>
        <row r="89">
          <cell r="Q89">
            <v>77923.897581654513</v>
          </cell>
        </row>
        <row r="90">
          <cell r="Q90">
            <v>22264.300364550043</v>
          </cell>
        </row>
      </sheetData>
      <sheetData sheetId="1">
        <row r="5">
          <cell r="T5">
            <v>82492</v>
          </cell>
        </row>
        <row r="85">
          <cell r="Q85">
            <v>98331.463370409139</v>
          </cell>
        </row>
        <row r="89">
          <cell r="Q89">
            <v>80418.078534923348</v>
          </cell>
        </row>
        <row r="90">
          <cell r="Q90">
            <v>17913.384835485791</v>
          </cell>
        </row>
      </sheetData>
      <sheetData sheetId="2">
        <row r="5">
          <cell r="T5">
            <v>125611.5</v>
          </cell>
        </row>
        <row r="85">
          <cell r="Q85">
            <v>99644.238875411786</v>
          </cell>
        </row>
        <row r="89">
          <cell r="Q89">
            <v>77859.427643832474</v>
          </cell>
        </row>
        <row r="90">
          <cell r="Q90">
            <v>21784.811231579311</v>
          </cell>
        </row>
      </sheetData>
      <sheetData sheetId="3">
        <row r="5">
          <cell r="W5">
            <v>0.83425771298316609</v>
          </cell>
        </row>
      </sheetData>
      <sheetData sheetId="4">
        <row r="5">
          <cell r="W5">
            <v>0.60278373819550424</v>
          </cell>
        </row>
      </sheetData>
      <sheetData sheetId="5">
        <row r="5">
          <cell r="T5">
            <v>49419.5</v>
          </cell>
        </row>
        <row r="85">
          <cell r="Q85">
            <v>104659.87442675063</v>
          </cell>
        </row>
        <row r="89">
          <cell r="Q89">
            <v>73943.591211057981</v>
          </cell>
        </row>
        <row r="90">
          <cell r="Q90">
            <v>30716.283215692645</v>
          </cell>
        </row>
      </sheetData>
      <sheetData sheetId="6">
        <row r="2">
          <cell r="N2">
            <v>29384</v>
          </cell>
        </row>
        <row r="85">
          <cell r="Q85">
            <v>100670.75912060986</v>
          </cell>
        </row>
        <row r="86">
          <cell r="H86">
            <v>305020.32099999982</v>
          </cell>
        </row>
        <row r="89">
          <cell r="Q89">
            <v>80931.093077865502</v>
          </cell>
        </row>
        <row r="92">
          <cell r="H92">
            <v>174787.68838567432</v>
          </cell>
        </row>
      </sheetData>
      <sheetData sheetId="7">
        <row r="2">
          <cell r="N2">
            <v>23235</v>
          </cell>
        </row>
        <row r="85">
          <cell r="Q85">
            <v>99419.045696747504</v>
          </cell>
        </row>
        <row r="86">
          <cell r="H86">
            <v>71619.563009999009</v>
          </cell>
        </row>
        <row r="89">
          <cell r="Q89">
            <v>84513.240547337919</v>
          </cell>
        </row>
        <row r="92">
          <cell r="H92">
            <v>-31241.658906616067</v>
          </cell>
        </row>
      </sheetData>
      <sheetData sheetId="8">
        <row r="2">
          <cell r="N2">
            <v>19024</v>
          </cell>
        </row>
        <row r="85">
          <cell r="Q85">
            <v>95387.216148023537</v>
          </cell>
        </row>
        <row r="86">
          <cell r="H86">
            <v>111925.51999999992</v>
          </cell>
        </row>
        <row r="89">
          <cell r="Q89">
            <v>78173.18660639193</v>
          </cell>
        </row>
        <row r="92">
          <cell r="H92">
            <v>31757.439874016054</v>
          </cell>
        </row>
      </sheetData>
      <sheetData sheetId="9">
        <row r="2">
          <cell r="N2">
            <v>10307</v>
          </cell>
        </row>
        <row r="85">
          <cell r="Q85">
            <v>94621.353643155133</v>
          </cell>
        </row>
        <row r="86">
          <cell r="H86">
            <v>68449.57799999998</v>
          </cell>
        </row>
        <row r="89">
          <cell r="Q89">
            <v>73782.18200329681</v>
          </cell>
        </row>
        <row r="92">
          <cell r="H92">
            <v>24635.65625571883</v>
          </cell>
        </row>
      </sheetData>
      <sheetData sheetId="10">
        <row r="2">
          <cell r="N2">
            <v>15667</v>
          </cell>
        </row>
        <row r="85">
          <cell r="Q85">
            <v>112389.67575157977</v>
          </cell>
        </row>
        <row r="86">
          <cell r="H86">
            <v>114941.55800000003</v>
          </cell>
        </row>
        <row r="89">
          <cell r="Q89">
            <v>87284.553394963354</v>
          </cell>
        </row>
        <row r="92">
          <cell r="H92">
            <v>36307.657680086224</v>
          </cell>
        </row>
      </sheetData>
      <sheetData sheetId="11">
        <row r="2">
          <cell r="N2">
            <v>17863</v>
          </cell>
        </row>
        <row r="85">
          <cell r="Q85">
            <v>99969.048871970008</v>
          </cell>
        </row>
        <row r="86">
          <cell r="H86">
            <v>186731.6920000003</v>
          </cell>
        </row>
        <row r="89">
          <cell r="Q89">
            <v>78079.119043799132</v>
          </cell>
        </row>
        <row r="92">
          <cell r="H92">
            <v>106999.11677263782</v>
          </cell>
        </row>
      </sheetData>
      <sheetData sheetId="12">
        <row r="2">
          <cell r="N2">
            <v>16743</v>
          </cell>
        </row>
        <row r="85">
          <cell r="Q85">
            <v>92674.741683091444</v>
          </cell>
        </row>
        <row r="86">
          <cell r="H86">
            <v>129992.66299999977</v>
          </cell>
        </row>
        <row r="89">
          <cell r="Q89">
            <v>76470.438929701966</v>
          </cell>
        </row>
        <row r="92">
          <cell r="H92">
            <v>60379.681049081089</v>
          </cell>
        </row>
      </sheetData>
      <sheetData sheetId="13">
        <row r="2">
          <cell r="N2">
            <v>18826</v>
          </cell>
        </row>
        <row r="85">
          <cell r="Q85">
            <v>98407.04345054712</v>
          </cell>
        </row>
        <row r="86">
          <cell r="H86">
            <v>117775.05600000001</v>
          </cell>
        </row>
        <row r="89">
          <cell r="Q89">
            <v>81011.244128717604</v>
          </cell>
        </row>
        <row r="92">
          <cell r="H92">
            <v>35041.480371469574</v>
          </cell>
        </row>
      </sheetData>
      <sheetData sheetId="14">
        <row r="2">
          <cell r="N2">
            <v>12848</v>
          </cell>
        </row>
        <row r="85">
          <cell r="Q85">
            <v>88283.344489414681</v>
          </cell>
        </row>
        <row r="86">
          <cell r="H86">
            <v>84714.053999999946</v>
          </cell>
        </row>
        <row r="89">
          <cell r="Q89">
            <v>71277.48894769614</v>
          </cell>
        </row>
        <row r="92">
          <cell r="H92">
            <v>34060.273823003561</v>
          </cell>
        </row>
      </sheetData>
      <sheetData sheetId="15">
        <row r="2">
          <cell r="N2">
            <v>16344</v>
          </cell>
        </row>
        <row r="85">
          <cell r="Q85">
            <v>101808.541360744</v>
          </cell>
        </row>
        <row r="86">
          <cell r="H86">
            <v>252537.70600000006</v>
          </cell>
        </row>
        <row r="89">
          <cell r="Q89">
            <v>75301.225893294177</v>
          </cell>
        </row>
        <row r="92">
          <cell r="H92">
            <v>178228.92708064854</v>
          </cell>
        </row>
      </sheetData>
      <sheetData sheetId="16">
        <row r="2">
          <cell r="N2">
            <v>14626.5</v>
          </cell>
        </row>
        <row r="85">
          <cell r="Q85">
            <v>97392.284552011755</v>
          </cell>
        </row>
        <row r="86">
          <cell r="H86">
            <v>205515.35700000002</v>
          </cell>
        </row>
        <row r="89">
          <cell r="Q89">
            <v>72111.381054934536</v>
          </cell>
        </row>
        <row r="92">
          <cell r="H92">
            <v>141899.91855402268</v>
          </cell>
        </row>
      </sheetData>
      <sheetData sheetId="17">
        <row r="2">
          <cell r="N2">
            <v>12604</v>
          </cell>
        </row>
        <row r="85">
          <cell r="Q85">
            <v>105834.85401459853</v>
          </cell>
        </row>
        <row r="86">
          <cell r="H86">
            <v>205154.54399999999</v>
          </cell>
        </row>
        <row r="89">
          <cell r="Q89">
            <v>79625.721025965817</v>
          </cell>
        </row>
        <row r="92">
          <cell r="H92">
            <v>145583.57486084398</v>
          </cell>
        </row>
      </sheetData>
      <sheetData sheetId="18">
        <row r="2">
          <cell r="N2">
            <v>22751</v>
          </cell>
        </row>
        <row r="85">
          <cell r="Q85">
            <v>99115.398444024453</v>
          </cell>
        </row>
        <row r="86">
          <cell r="H86">
            <v>395177.00600000028</v>
          </cell>
        </row>
        <row r="89">
          <cell r="Q89">
            <v>71709.150780427924</v>
          </cell>
        </row>
        <row r="92">
          <cell r="H92">
            <v>300789.1872912086</v>
          </cell>
        </row>
      </sheetData>
      <sheetData sheetId="19">
        <row r="2">
          <cell r="N2">
            <v>5818</v>
          </cell>
        </row>
        <row r="85">
          <cell r="Q85">
            <v>112050.92815400483</v>
          </cell>
        </row>
        <row r="86">
          <cell r="H86">
            <v>125924.93800000005</v>
          </cell>
        </row>
        <row r="89">
          <cell r="Q89">
            <v>74748.330869714686</v>
          </cell>
        </row>
        <row r="92">
          <cell r="H92">
            <v>98637.453420216407</v>
          </cell>
        </row>
      </sheetData>
      <sheetData sheetId="20">
        <row r="2">
          <cell r="N2">
            <v>7383.5</v>
          </cell>
        </row>
        <row r="85">
          <cell r="Q85">
            <v>117258.21033385252</v>
          </cell>
        </row>
        <row r="86">
          <cell r="H86">
            <v>250954.42300000001</v>
          </cell>
        </row>
        <row r="89">
          <cell r="Q89">
            <v>73218.402951729746</v>
          </cell>
        </row>
        <row r="92">
          <cell r="H92">
            <v>214598.20900491485</v>
          </cell>
        </row>
      </sheetData>
      <sheetData sheetId="21">
        <row r="2">
          <cell r="N2">
            <v>9380</v>
          </cell>
        </row>
        <row r="85">
          <cell r="Q85">
            <v>96478.810554371012</v>
          </cell>
        </row>
        <row r="86">
          <cell r="H86">
            <v>82209.062000000034</v>
          </cell>
        </row>
        <row r="89">
          <cell r="Q89">
            <v>73241.204584221749</v>
          </cell>
        </row>
        <row r="92">
          <cell r="H92">
            <v>44329.137294621498</v>
          </cell>
        </row>
      </sheetData>
      <sheetData sheetId="22">
        <row r="2">
          <cell r="N2">
            <v>4057</v>
          </cell>
        </row>
        <row r="85">
          <cell r="Q85">
            <v>121139.98003450826</v>
          </cell>
        </row>
        <row r="86">
          <cell r="H86">
            <v>43627.251000000033</v>
          </cell>
        </row>
        <row r="89">
          <cell r="Q89">
            <v>88295.429134828679</v>
          </cell>
        </row>
        <row r="92">
          <cell r="H92">
            <v>23055.709624009083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1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8735.5020000000004</v>
          </cell>
          <cell r="F3">
            <v>9724.5229999999992</v>
          </cell>
          <cell r="G3">
            <v>15762.77</v>
          </cell>
          <cell r="H3">
            <v>11123.664999999999</v>
          </cell>
          <cell r="I3">
            <v>10256.286000000002</v>
          </cell>
          <cell r="J3">
            <v>6733.5930000000008</v>
          </cell>
          <cell r="K3">
            <v>7798.8620000000001</v>
          </cell>
          <cell r="L3">
            <v>6814.7489999999989</v>
          </cell>
          <cell r="Q3">
            <v>76949.95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Q4">
            <v>0</v>
          </cell>
        </row>
        <row r="5">
          <cell r="E5">
            <v>8735.5020000000004</v>
          </cell>
          <cell r="F5">
            <v>9724.5229999999992</v>
          </cell>
          <cell r="G5">
            <v>15762.77</v>
          </cell>
          <cell r="H5">
            <v>11123.664999999999</v>
          </cell>
          <cell r="I5">
            <v>10256.286000000002</v>
          </cell>
          <cell r="J5">
            <v>6733.5930000000008</v>
          </cell>
          <cell r="K5">
            <v>7798.8620000000001</v>
          </cell>
          <cell r="L5">
            <v>6814.7489999999989</v>
          </cell>
          <cell r="Q5">
            <v>76949.95</v>
          </cell>
        </row>
        <row r="6">
          <cell r="E6">
            <v>6607708.5209999997</v>
          </cell>
          <cell r="F6">
            <v>7241703.784</v>
          </cell>
          <cell r="G6">
            <v>11603618.745999999</v>
          </cell>
          <cell r="H6">
            <v>8901278.341</v>
          </cell>
          <cell r="I6">
            <v>8184531.8760000002</v>
          </cell>
          <cell r="J6">
            <v>5251635.0710000005</v>
          </cell>
          <cell r="K6">
            <v>6192904.2060000002</v>
          </cell>
          <cell r="L6">
            <v>5219291.6689999998</v>
          </cell>
          <cell r="Q6">
            <v>59202672.214000002</v>
          </cell>
        </row>
        <row r="7">
          <cell r="E7">
            <v>872411.16300000064</v>
          </cell>
          <cell r="F7">
            <v>1035291.3360000001</v>
          </cell>
          <cell r="G7">
            <v>931609.94199999981</v>
          </cell>
          <cell r="H7">
            <v>1246225.8760000002</v>
          </cell>
          <cell r="I7">
            <v>1840573.7359999996</v>
          </cell>
          <cell r="J7">
            <v>1804853.0889999997</v>
          </cell>
          <cell r="K7">
            <v>1161962.4329999993</v>
          </cell>
          <cell r="L7">
            <v>1191782.4460000005</v>
          </cell>
          <cell r="Q7">
            <v>10084710.021</v>
          </cell>
        </row>
        <row r="8">
          <cell r="E8">
            <v>7480119.6840000004</v>
          </cell>
          <cell r="F8">
            <v>8276995.1200000001</v>
          </cell>
          <cell r="G8">
            <v>12535228.687999999</v>
          </cell>
          <cell r="H8">
            <v>10147504.217</v>
          </cell>
          <cell r="I8">
            <v>10025105.612</v>
          </cell>
          <cell r="J8">
            <v>7056488.1600000001</v>
          </cell>
          <cell r="K8">
            <v>7354866.6389999995</v>
          </cell>
          <cell r="L8">
            <v>6411074.1150000002</v>
          </cell>
          <cell r="Q8">
            <v>69287382.234999999</v>
          </cell>
        </row>
        <row r="9">
          <cell r="E9">
            <v>6490572.2549999999</v>
          </cell>
          <cell r="F9">
            <v>7128840.7779999999</v>
          </cell>
          <cell r="G9">
            <v>11586393.280999999</v>
          </cell>
          <cell r="H9">
            <v>8774441.2469999995</v>
          </cell>
          <cell r="I9">
            <v>8048622.2910000002</v>
          </cell>
          <cell r="J9">
            <v>5116718.3039999995</v>
          </cell>
          <cell r="K9">
            <v>6109067.9819999998</v>
          </cell>
          <cell r="L9">
            <v>5101256.4989999989</v>
          </cell>
          <cell r="Q9">
            <v>58355912.636999995</v>
          </cell>
        </row>
        <row r="10">
          <cell r="E10">
            <v>843636.93700000085</v>
          </cell>
          <cell r="F10">
            <v>998493.29900000058</v>
          </cell>
          <cell r="G10">
            <v>911990.84300000034</v>
          </cell>
          <cell r="H10">
            <v>1205319.1109999996</v>
          </cell>
          <cell r="I10">
            <v>1792788.5919999992</v>
          </cell>
          <cell r="J10">
            <v>1764712.0520000001</v>
          </cell>
          <cell r="K10">
            <v>1129219.4780000001</v>
          </cell>
          <cell r="L10">
            <v>1162527.9860000005</v>
          </cell>
          <cell r="Q10">
            <v>9808688.2980000004</v>
          </cell>
        </row>
        <row r="11">
          <cell r="E11">
            <v>7334209.1920000007</v>
          </cell>
          <cell r="F11">
            <v>8127334.0770000005</v>
          </cell>
          <cell r="G11">
            <v>12498384.124</v>
          </cell>
          <cell r="H11">
            <v>9979760.3579999991</v>
          </cell>
          <cell r="I11">
            <v>9841410.8829999994</v>
          </cell>
          <cell r="J11">
            <v>6881430.3559999997</v>
          </cell>
          <cell r="K11">
            <v>7238287.46</v>
          </cell>
          <cell r="L11">
            <v>6263784.4849999994</v>
          </cell>
          <cell r="Q11">
            <v>68164600.935000002</v>
          </cell>
        </row>
        <row r="12">
          <cell r="E12">
            <v>117136.26599999983</v>
          </cell>
          <cell r="F12">
            <v>112863.00600000005</v>
          </cell>
          <cell r="G12">
            <v>17225.464999999851</v>
          </cell>
          <cell r="H12">
            <v>126837.09400000051</v>
          </cell>
          <cell r="I12">
            <v>135909.58499999996</v>
          </cell>
          <cell r="J12">
            <v>134916.76700000092</v>
          </cell>
          <cell r="K12">
            <v>83836.224000000395</v>
          </cell>
          <cell r="L12">
            <v>118035.17000000086</v>
          </cell>
          <cell r="Q12">
            <v>846759.57700000703</v>
          </cell>
        </row>
        <row r="13">
          <cell r="E13">
            <v>28774.225999999791</v>
          </cell>
          <cell r="F13">
            <v>36798.036999999546</v>
          </cell>
          <cell r="G13">
            <v>19619.098999999464</v>
          </cell>
          <cell r="H13">
            <v>40906.765000000596</v>
          </cell>
          <cell r="I13">
            <v>47785.14400000032</v>
          </cell>
          <cell r="J13">
            <v>40141.036999999546</v>
          </cell>
          <cell r="K13">
            <v>32742.954999999143</v>
          </cell>
          <cell r="L13">
            <v>29254.459999999963</v>
          </cell>
          <cell r="Q13">
            <v>276021.7229999993</v>
          </cell>
        </row>
        <row r="14">
          <cell r="E14">
            <v>145910.49199999962</v>
          </cell>
          <cell r="F14">
            <v>149661.0429999996</v>
          </cell>
          <cell r="G14">
            <v>36844.563999999315</v>
          </cell>
          <cell r="H14">
            <v>167743.8590000011</v>
          </cell>
          <cell r="I14">
            <v>183694.72900000028</v>
          </cell>
          <cell r="J14">
            <v>175057.80400000047</v>
          </cell>
          <cell r="K14">
            <v>116579.17899999954</v>
          </cell>
          <cell r="L14">
            <v>147289.63000000082</v>
          </cell>
          <cell r="Q14">
            <v>1122781.299999997</v>
          </cell>
        </row>
        <row r="15">
          <cell r="E15">
            <v>70886.78</v>
          </cell>
          <cell r="F15">
            <v>70297.97</v>
          </cell>
          <cell r="G15">
            <v>70297.97</v>
          </cell>
          <cell r="H15">
            <v>70297.97</v>
          </cell>
          <cell r="I15">
            <v>70297.97</v>
          </cell>
          <cell r="J15">
            <v>72242.73</v>
          </cell>
          <cell r="K15">
            <v>68261.5</v>
          </cell>
          <cell r="L15">
            <v>67095.42</v>
          </cell>
          <cell r="Q15">
            <v>559678.31000000006</v>
          </cell>
        </row>
        <row r="16">
          <cell r="E16">
            <v>15847.56</v>
          </cell>
          <cell r="F16">
            <v>15847.56</v>
          </cell>
          <cell r="G16">
            <v>14791.781999999999</v>
          </cell>
          <cell r="H16">
            <v>15847.56</v>
          </cell>
          <cell r="I16">
            <v>15847.56</v>
          </cell>
          <cell r="J16">
            <v>16463.457999999999</v>
          </cell>
          <cell r="K16">
            <v>15534.69</v>
          </cell>
          <cell r="L16">
            <v>15180.11</v>
          </cell>
          <cell r="Q16">
            <v>125360.28</v>
          </cell>
        </row>
        <row r="17">
          <cell r="E17">
            <v>8648.6849999999995</v>
          </cell>
          <cell r="F17">
            <v>8648.6849999999995</v>
          </cell>
          <cell r="G17">
            <v>8648.6849999999995</v>
          </cell>
          <cell r="H17">
            <v>8648.6849999999995</v>
          </cell>
          <cell r="I17">
            <v>8648.6849999999995</v>
          </cell>
          <cell r="J17">
            <v>8648.6849999999995</v>
          </cell>
          <cell r="K17">
            <v>8648.6849999999995</v>
          </cell>
          <cell r="L17">
            <v>8194.3140000000003</v>
          </cell>
          <cell r="Q17">
            <v>68735.108999999997</v>
          </cell>
        </row>
        <row r="18">
          <cell r="E18">
            <v>95383.024999999994</v>
          </cell>
          <cell r="F18">
            <v>94794.214999999997</v>
          </cell>
          <cell r="G18">
            <v>93738.437000000005</v>
          </cell>
          <cell r="H18">
            <v>94794.214999999997</v>
          </cell>
          <cell r="I18">
            <v>94794.214999999997</v>
          </cell>
          <cell r="J18">
            <v>97354.872999999992</v>
          </cell>
          <cell r="K18">
            <v>92444.875</v>
          </cell>
          <cell r="L18">
            <v>90469.843999999997</v>
          </cell>
          <cell r="Q18">
            <v>753773.69900000002</v>
          </cell>
        </row>
        <row r="19">
          <cell r="E19">
            <v>11423.789000000001</v>
          </cell>
          <cell r="F19">
            <v>9490.2829999999994</v>
          </cell>
          <cell r="G19">
            <v>27505.001</v>
          </cell>
          <cell r="H19">
            <v>14227.584999999999</v>
          </cell>
          <cell r="I19">
            <v>12026.555</v>
          </cell>
          <cell r="J19">
            <v>12722.468999999999</v>
          </cell>
          <cell r="K19">
            <v>10810.249</v>
          </cell>
          <cell r="L19">
            <v>10273.546</v>
          </cell>
          <cell r="Q19">
            <v>108479.477</v>
          </cell>
        </row>
        <row r="20">
          <cell r="E20">
            <v>1332.098</v>
          </cell>
          <cell r="F20">
            <v>4867.2749999999996</v>
          </cell>
          <cell r="G20">
            <v>8562.9760000000006</v>
          </cell>
          <cell r="H20">
            <v>1750.319</v>
          </cell>
          <cell r="I20">
            <v>1482.3530000000001</v>
          </cell>
          <cell r="J20">
            <v>2219.4360000000001</v>
          </cell>
          <cell r="K20">
            <v>1949.855</v>
          </cell>
          <cell r="L20">
            <v>1640.944</v>
          </cell>
          <cell r="Q20">
            <v>23805.256000000001</v>
          </cell>
        </row>
        <row r="21">
          <cell r="E21">
            <v>2590.9499999999998</v>
          </cell>
          <cell r="F21">
            <v>2655.01</v>
          </cell>
          <cell r="G21">
            <v>906.6</v>
          </cell>
          <cell r="H21">
            <v>2268.48</v>
          </cell>
          <cell r="I21">
            <v>2766.7</v>
          </cell>
          <cell r="J21">
            <v>1787.662</v>
          </cell>
          <cell r="K21">
            <v>2813.91</v>
          </cell>
          <cell r="L21">
            <v>1484.14</v>
          </cell>
          <cell r="Q21">
            <v>17273.452000000001</v>
          </cell>
        </row>
        <row r="22">
          <cell r="E22">
            <v>0</v>
          </cell>
          <cell r="F22">
            <v>0</v>
          </cell>
          <cell r="G22">
            <v>350</v>
          </cell>
          <cell r="H22">
            <v>0</v>
          </cell>
          <cell r="I22">
            <v>0</v>
          </cell>
          <cell r="J22">
            <v>0</v>
          </cell>
          <cell r="K22">
            <v>150</v>
          </cell>
          <cell r="L22">
            <v>150</v>
          </cell>
          <cell r="Q22">
            <v>650</v>
          </cell>
        </row>
        <row r="23">
          <cell r="E23">
            <v>1579.2090000000001</v>
          </cell>
          <cell r="F23">
            <v>1603.9970000000001</v>
          </cell>
          <cell r="G23">
            <v>1612.046</v>
          </cell>
          <cell r="H23">
            <v>1701.327</v>
          </cell>
          <cell r="I23">
            <v>1586.297</v>
          </cell>
          <cell r="J23">
            <v>1695.8530000000001</v>
          </cell>
          <cell r="K23">
            <v>1475.009</v>
          </cell>
          <cell r="L23">
            <v>1648.7619999999999</v>
          </cell>
          <cell r="Q23">
            <v>12902.5</v>
          </cell>
        </row>
        <row r="24">
          <cell r="E24">
            <v>452.53500000000003</v>
          </cell>
          <cell r="F24">
            <v>341.00099999999998</v>
          </cell>
          <cell r="G24">
            <v>631.197</v>
          </cell>
          <cell r="H24">
            <v>450.916</v>
          </cell>
          <cell r="I24">
            <v>454.90899999999999</v>
          </cell>
          <cell r="J24">
            <v>566.16300000000001</v>
          </cell>
          <cell r="K24">
            <v>574.34199999999998</v>
          </cell>
          <cell r="L24">
            <v>453.05599999999998</v>
          </cell>
          <cell r="Q24">
            <v>3924.1190000000001</v>
          </cell>
        </row>
        <row r="25">
          <cell r="E25">
            <v>170.892</v>
          </cell>
          <cell r="F25">
            <v>170.892</v>
          </cell>
          <cell r="G25">
            <v>170.892</v>
          </cell>
          <cell r="H25">
            <v>170.892</v>
          </cell>
          <cell r="I25">
            <v>170.892</v>
          </cell>
          <cell r="J25">
            <v>170.892</v>
          </cell>
          <cell r="K25">
            <v>240.892</v>
          </cell>
          <cell r="L25">
            <v>220.892</v>
          </cell>
          <cell r="Q25">
            <v>1487.1360000000002</v>
          </cell>
        </row>
        <row r="26">
          <cell r="E26">
            <v>3462.85</v>
          </cell>
          <cell r="F26">
            <v>3462.85</v>
          </cell>
          <cell r="G26">
            <v>3462.85</v>
          </cell>
          <cell r="H26">
            <v>3462.85</v>
          </cell>
          <cell r="I26">
            <v>3462.85</v>
          </cell>
          <cell r="J26">
            <v>3462.85</v>
          </cell>
          <cell r="K26">
            <v>3810.9</v>
          </cell>
          <cell r="L26">
            <v>3582.8</v>
          </cell>
          <cell r="Q26">
            <v>28170.799999999999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Q27">
            <v>0</v>
          </cell>
        </row>
        <row r="28">
          <cell r="E28">
            <v>1016.34</v>
          </cell>
          <cell r="F28">
            <v>6.71</v>
          </cell>
          <cell r="G28">
            <v>1182.6600000000001</v>
          </cell>
          <cell r="H28">
            <v>29248.03</v>
          </cell>
          <cell r="I28">
            <v>9.4</v>
          </cell>
          <cell r="J28">
            <v>37.6</v>
          </cell>
          <cell r="K28">
            <v>28319.42</v>
          </cell>
          <cell r="L28">
            <v>222.52</v>
          </cell>
          <cell r="Q28">
            <v>60042.679999999993</v>
          </cell>
        </row>
        <row r="29">
          <cell r="E29">
            <v>122.22</v>
          </cell>
          <cell r="F29">
            <v>130.61000000000001</v>
          </cell>
          <cell r="G29">
            <v>59.6</v>
          </cell>
          <cell r="H29">
            <v>172.74</v>
          </cell>
          <cell r="I29">
            <v>90.4</v>
          </cell>
          <cell r="J29">
            <v>125.82</v>
          </cell>
          <cell r="K29">
            <v>55.2</v>
          </cell>
          <cell r="L29">
            <v>89.9</v>
          </cell>
          <cell r="Q29">
            <v>846.49000000000012</v>
          </cell>
        </row>
        <row r="30">
          <cell r="E30">
            <v>6089.4709999999995</v>
          </cell>
          <cell r="F30">
            <v>6078.3440000000001</v>
          </cell>
          <cell r="G30">
            <v>6389.5969999999998</v>
          </cell>
          <cell r="H30">
            <v>6504.049</v>
          </cell>
          <cell r="I30">
            <v>6072.6390000000001</v>
          </cell>
          <cell r="J30">
            <v>6187.9579999999996</v>
          </cell>
          <cell r="K30">
            <v>6411.683</v>
          </cell>
          <cell r="L30">
            <v>6228.8789999999999</v>
          </cell>
          <cell r="Q30">
            <v>49962.619999999995</v>
          </cell>
        </row>
        <row r="31">
          <cell r="E31">
            <v>14376.107</v>
          </cell>
          <cell r="F31">
            <v>9399.77</v>
          </cell>
          <cell r="G31">
            <v>5339.3</v>
          </cell>
          <cell r="H31">
            <v>7303.66</v>
          </cell>
          <cell r="I31">
            <v>8858.6</v>
          </cell>
          <cell r="J31">
            <v>7360.41</v>
          </cell>
          <cell r="K31">
            <v>8734.0300000000007</v>
          </cell>
          <cell r="L31">
            <v>7394.56</v>
          </cell>
          <cell r="Q31">
            <v>68766.436999999991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Q32">
            <v>0</v>
          </cell>
        </row>
        <row r="33">
          <cell r="E33">
            <v>419.411</v>
          </cell>
          <cell r="F33">
            <v>4.032</v>
          </cell>
          <cell r="G33">
            <v>68.8</v>
          </cell>
          <cell r="H33">
            <v>243.922</v>
          </cell>
          <cell r="I33">
            <v>99.524000000000001</v>
          </cell>
          <cell r="J33">
            <v>163.09700000000001</v>
          </cell>
          <cell r="K33">
            <v>425.44299999999998</v>
          </cell>
          <cell r="L33">
            <v>82.5</v>
          </cell>
          <cell r="Q33">
            <v>1506.7289999999998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Q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Q35">
            <v>0</v>
          </cell>
        </row>
        <row r="36">
          <cell r="E36">
            <v>43035.871999999996</v>
          </cell>
          <cell r="F36">
            <v>38210.773999999998</v>
          </cell>
          <cell r="G36">
            <v>56241.519000000008</v>
          </cell>
          <cell r="H36">
            <v>67504.77</v>
          </cell>
          <cell r="I36">
            <v>37081.118999999999</v>
          </cell>
          <cell r="J36">
            <v>36500.21</v>
          </cell>
          <cell r="K36">
            <v>65770.933000000005</v>
          </cell>
          <cell r="L36">
            <v>33472.499000000003</v>
          </cell>
          <cell r="Q36">
            <v>377817.69599999994</v>
          </cell>
        </row>
        <row r="37">
          <cell r="E37">
            <v>138418.897</v>
          </cell>
          <cell r="F37">
            <v>133004.989</v>
          </cell>
          <cell r="G37">
            <v>149979.95600000001</v>
          </cell>
          <cell r="H37">
            <v>162298.98499999999</v>
          </cell>
          <cell r="I37">
            <v>131875.334</v>
          </cell>
          <cell r="J37">
            <v>133855.08299999998</v>
          </cell>
          <cell r="K37">
            <v>158215.80800000002</v>
          </cell>
          <cell r="L37">
            <v>123942.34299999999</v>
          </cell>
          <cell r="Q37">
            <v>1131591.395</v>
          </cell>
        </row>
        <row r="38">
          <cell r="E38">
            <v>7491.5949999996228</v>
          </cell>
          <cell r="F38">
            <v>16656.053999999596</v>
          </cell>
          <cell r="G38">
            <v>-113135.39200000069</v>
          </cell>
          <cell r="H38">
            <v>5444.8740000011167</v>
          </cell>
          <cell r="I38">
            <v>51819.395000000281</v>
          </cell>
          <cell r="J38">
            <v>41202.721000000485</v>
          </cell>
          <cell r="K38">
            <v>-41636.629000000481</v>
          </cell>
          <cell r="L38">
            <v>23347.287000000826</v>
          </cell>
          <cell r="Q38">
            <v>-8810.0950000029989</v>
          </cell>
        </row>
        <row r="39">
          <cell r="E39">
            <v>5794.3459999999995</v>
          </cell>
          <cell r="F39">
            <v>5794.3410000000003</v>
          </cell>
          <cell r="G39">
            <v>5734.9560000000001</v>
          </cell>
          <cell r="H39">
            <v>5716.42</v>
          </cell>
          <cell r="I39">
            <v>5556.6629999999996</v>
          </cell>
          <cell r="J39">
            <v>5556.652</v>
          </cell>
          <cell r="K39">
            <v>5186.2629999999999</v>
          </cell>
          <cell r="L39">
            <v>5186.2529999999997</v>
          </cell>
          <cell r="Q39">
            <v>44525.894</v>
          </cell>
        </row>
        <row r="40">
          <cell r="E40">
            <v>1697.2489999996233</v>
          </cell>
          <cell r="F40">
            <v>10861.712999999596</v>
          </cell>
          <cell r="G40">
            <v>-118870.3480000007</v>
          </cell>
          <cell r="H40">
            <v>-271.54599999888342</v>
          </cell>
          <cell r="I40">
            <v>46262.73200000028</v>
          </cell>
          <cell r="J40">
            <v>35646.069000000483</v>
          </cell>
          <cell r="K40">
            <v>-46822.89200000048</v>
          </cell>
          <cell r="L40">
            <v>18161.034000000825</v>
          </cell>
          <cell r="Q40">
            <v>-53335.989000002999</v>
          </cell>
        </row>
        <row r="41">
          <cell r="E41">
            <v>2.2690131598162048E-4</v>
          </cell>
          <cell r="F41">
            <v>1.3122773231742095E-3</v>
          </cell>
          <cell r="G41">
            <v>-9.482902223698202E-3</v>
          </cell>
          <cell r="H41">
            <v>-2.6759880478193392E-5</v>
          </cell>
          <cell r="I41">
            <v>4.6146877439998263E-3</v>
          </cell>
          <cell r="J41">
            <v>5.0515310437367024E-3</v>
          </cell>
          <cell r="K41">
            <v>-6.3662462282751504E-3</v>
          </cell>
          <cell r="L41">
            <v>2.8327599516451427E-3</v>
          </cell>
          <cell r="Q41">
            <v>-7.697792481047253E-4</v>
          </cell>
        </row>
        <row r="43">
          <cell r="E43" t="str">
            <v>1월</v>
          </cell>
          <cell r="F43" t="str">
            <v>2월</v>
          </cell>
          <cell r="G43" t="str">
            <v>3월</v>
          </cell>
          <cell r="H43" t="str">
            <v>4월</v>
          </cell>
          <cell r="I43" t="str">
            <v>5월</v>
          </cell>
          <cell r="J43" t="str">
            <v>6월</v>
          </cell>
          <cell r="K43" t="str">
            <v>7월</v>
          </cell>
          <cell r="L43" t="str">
            <v>8월</v>
          </cell>
          <cell r="M43" t="str">
            <v>9월</v>
          </cell>
          <cell r="N43" t="str">
            <v>10월</v>
          </cell>
          <cell r="O43" t="str">
            <v>11월</v>
          </cell>
          <cell r="P43" t="str">
            <v>12월</v>
          </cell>
          <cell r="Q43" t="str">
            <v>합계</v>
          </cell>
        </row>
        <row r="44">
          <cell r="E44">
            <v>756420.01123690419</v>
          </cell>
          <cell r="F44">
            <v>744684.72993482568</v>
          </cell>
          <cell r="G44">
            <v>736140.83983969816</v>
          </cell>
          <cell r="H44">
            <v>800210.93236806407</v>
          </cell>
          <cell r="I44">
            <v>798001.52569848381</v>
          </cell>
          <cell r="J44">
            <v>779915.72567572771</v>
          </cell>
          <cell r="K44">
            <v>794077.93162643479</v>
          </cell>
          <cell r="L44">
            <v>765881.71758050087</v>
          </cell>
          <cell r="Q44">
            <v>769365.96078360023</v>
          </cell>
          <cell r="S44">
            <v>64070.092528365902</v>
          </cell>
        </row>
        <row r="45">
          <cell r="E45">
            <v>856289.61953188269</v>
          </cell>
          <cell r="F45">
            <v>851146.6444163894</v>
          </cell>
          <cell r="G45">
            <v>795242.75796703238</v>
          </cell>
          <cell r="H45">
            <v>912244.67987843941</v>
          </cell>
          <cell r="I45">
            <v>977459.63909352734</v>
          </cell>
          <cell r="J45">
            <v>1047952.8774608148</v>
          </cell>
          <cell r="K45">
            <v>943069.21176448558</v>
          </cell>
          <cell r="L45">
            <v>940764.5263237136</v>
          </cell>
          <cell r="Q45">
            <v>900421.4068365217</v>
          </cell>
        </row>
        <row r="46">
          <cell r="E46">
            <v>839586.45902662503</v>
          </cell>
          <cell r="F46">
            <v>835756.57921730459</v>
          </cell>
          <cell r="G46">
            <v>792905.31575351278</v>
          </cell>
          <cell r="H46">
            <v>897164.77060393314</v>
          </cell>
          <cell r="I46">
            <v>959549.18603088858</v>
          </cell>
          <cell r="J46">
            <v>1021955.1962822818</v>
          </cell>
          <cell r="K46">
            <v>928120.98226638709</v>
          </cell>
          <cell r="L46">
            <v>919151.16536206997</v>
          </cell>
          <cell r="Q46">
            <v>885830.34732316271</v>
          </cell>
        </row>
        <row r="47">
          <cell r="E47">
            <v>16703.160505257663</v>
          </cell>
          <cell r="F47">
            <v>15390.065199084813</v>
          </cell>
          <cell r="G47">
            <v>2337.4422135195928</v>
          </cell>
          <cell r="H47">
            <v>15079.909274506266</v>
          </cell>
          <cell r="I47">
            <v>17910.453062638757</v>
          </cell>
          <cell r="J47">
            <v>25997.681178533006</v>
          </cell>
          <cell r="K47">
            <v>14948.229498098488</v>
          </cell>
          <cell r="L47">
            <v>21613.36096164363</v>
          </cell>
        </row>
        <row r="48">
          <cell r="E48">
            <v>0.88336935773018566</v>
          </cell>
          <cell r="F48">
            <v>0.87491942172366532</v>
          </cell>
          <cell r="G48">
            <v>0.92568065847160552</v>
          </cell>
          <cell r="H48">
            <v>0.87718892750867627</v>
          </cell>
          <cell r="I48">
            <v>0.8164035565074903</v>
          </cell>
          <cell r="J48">
            <v>0.74422785837991123</v>
          </cell>
          <cell r="K48">
            <v>0.84201447965914644</v>
          </cell>
          <cell r="L48">
            <v>0.81410565146773373</v>
          </cell>
          <cell r="Q48">
            <v>0.85445098810637732</v>
          </cell>
        </row>
        <row r="49">
          <cell r="E49">
            <v>0.11663064226981433</v>
          </cell>
          <cell r="F49">
            <v>0.12508057827633468</v>
          </cell>
          <cell r="G49">
            <v>7.431934152839445E-2</v>
          </cell>
          <cell r="H49">
            <v>0.12281107249132373</v>
          </cell>
          <cell r="I49">
            <v>0.18359644349250967</v>
          </cell>
          <cell r="J49">
            <v>0.25577214162008877</v>
          </cell>
          <cell r="K49">
            <v>0.1579855203408535</v>
          </cell>
          <cell r="L49">
            <v>0.18589434853226625</v>
          </cell>
          <cell r="Q49">
            <v>0.14554901189362274</v>
          </cell>
        </row>
        <row r="50">
          <cell r="E50">
            <v>1.7727214453804725E-2</v>
          </cell>
          <cell r="F50">
            <v>1.5585145342365754E-2</v>
          </cell>
          <cell r="G50">
            <v>1.4844907762880278E-3</v>
          </cell>
          <cell r="H50">
            <v>1.4249312193258659E-2</v>
          </cell>
          <cell r="I50">
            <v>1.6605663837480539E-2</v>
          </cell>
          <cell r="J50">
            <v>2.5690430727950502E-2</v>
          </cell>
          <cell r="K50">
            <v>1.3537465010160435E-2</v>
          </cell>
          <cell r="L50">
            <v>2.2615170311533105E-2</v>
          </cell>
          <cell r="Q50">
            <v>1.4302725625951878E-2</v>
          </cell>
        </row>
        <row r="51">
          <cell r="E51">
            <v>3.2982413820855441E-2</v>
          </cell>
          <cell r="F51">
            <v>3.5543653965244372E-2</v>
          </cell>
          <cell r="G51">
            <v>2.1059349106859863E-2</v>
          </cell>
          <cell r="H51">
            <v>3.2824519044090679E-2</v>
          </cell>
          <cell r="I51">
            <v>2.5962091637713302E-2</v>
          </cell>
          <cell r="J51">
            <v>2.2240611850707564E-2</v>
          </cell>
          <cell r="K51">
            <v>2.8179013425986693E-2</v>
          </cell>
          <cell r="L51">
            <v>2.4546812296310623E-2</v>
          </cell>
          <cell r="Q51">
            <v>2.7370318276402853E-2</v>
          </cell>
        </row>
        <row r="52">
          <cell r="E52">
            <v>1.9506438153937915E-2</v>
          </cell>
          <cell r="F52">
            <v>1.8081567142448622E-2</v>
          </cell>
          <cell r="G52">
            <v>2.9392813579277332E-3</v>
          </cell>
          <cell r="H52">
            <v>1.6530553268357524E-2</v>
          </cell>
          <cell r="I52">
            <v>1.8323470705397721E-2</v>
          </cell>
          <cell r="J52">
            <v>2.4808063165516665E-2</v>
          </cell>
          <cell r="K52">
            <v>1.5850617655230544E-2</v>
          </cell>
          <cell r="L52">
            <v>2.2974251639890895E-2</v>
          </cell>
          <cell r="Q52">
            <v>1.6204700824053252E-2</v>
          </cell>
        </row>
      </sheetData>
      <sheetData sheetId="1">
        <row r="8">
          <cell r="G8">
            <v>8735.5020000000004</v>
          </cell>
        </row>
      </sheetData>
      <sheetData sheetId="2">
        <row r="8">
          <cell r="G8">
            <v>9724.5229999999992</v>
          </cell>
        </row>
      </sheetData>
      <sheetData sheetId="3">
        <row r="8">
          <cell r="G8">
            <v>15762.77</v>
          </cell>
        </row>
      </sheetData>
      <sheetData sheetId="4">
        <row r="8">
          <cell r="G8">
            <v>11123.664999999999</v>
          </cell>
        </row>
      </sheetData>
      <sheetData sheetId="5">
        <row r="8">
          <cell r="G8">
            <v>10256.286000000002</v>
          </cell>
        </row>
      </sheetData>
      <sheetData sheetId="6">
        <row r="8">
          <cell r="G8">
            <v>6733.5930000000008</v>
          </cell>
        </row>
      </sheetData>
      <sheetData sheetId="7">
        <row r="8">
          <cell r="G8">
            <v>7798.8620000000001</v>
          </cell>
        </row>
      </sheetData>
      <sheetData sheetId="8">
        <row r="8">
          <cell r="G8">
            <v>6814.7489999999989</v>
          </cell>
        </row>
        <row r="9">
          <cell r="G9">
            <v>5219291.6689999998</v>
          </cell>
          <cell r="J9">
            <v>1191782.4460000005</v>
          </cell>
        </row>
        <row r="10">
          <cell r="F10">
            <v>873809.5238095239</v>
          </cell>
          <cell r="G10">
            <v>765881.71758050087</v>
          </cell>
        </row>
        <row r="11">
          <cell r="G11">
            <v>5101256.4989999989</v>
          </cell>
          <cell r="J11">
            <v>1162527.9860000005</v>
          </cell>
        </row>
        <row r="15">
          <cell r="F15">
            <v>2.4058583106267031E-2</v>
          </cell>
          <cell r="G15">
            <v>2.2615170311533105E-2</v>
          </cell>
        </row>
        <row r="19">
          <cell r="M19">
            <v>90469.843999999997</v>
          </cell>
        </row>
        <row r="37">
          <cell r="M37">
            <v>33472.499000000003</v>
          </cell>
        </row>
        <row r="40">
          <cell r="M40">
            <v>5186.2529999999997</v>
          </cell>
        </row>
        <row r="41">
          <cell r="M41">
            <v>18161.034000000825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J3">
            <v>7982.0609999999997</v>
          </cell>
          <cell r="K3">
            <v>12986.909999999998</v>
          </cell>
          <cell r="L3">
            <v>9545.7580000000016</v>
          </cell>
          <cell r="M3">
            <v>7354.6280000000006</v>
          </cell>
          <cell r="N3">
            <v>8972.0079999999998</v>
          </cell>
          <cell r="O3">
            <v>10221.802</v>
          </cell>
          <cell r="P3">
            <v>8003.0569999999998</v>
          </cell>
          <cell r="Q3">
            <v>105164.211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J5">
            <v>7982.0609999999997</v>
          </cell>
          <cell r="K5">
            <v>12986.909999999998</v>
          </cell>
          <cell r="L5">
            <v>9545.7580000000016</v>
          </cell>
          <cell r="M5">
            <v>7354.6280000000006</v>
          </cell>
          <cell r="N5">
            <v>8972.0079999999998</v>
          </cell>
          <cell r="O5">
            <v>10221.802</v>
          </cell>
          <cell r="P5">
            <v>8003.0569999999998</v>
          </cell>
          <cell r="Q5">
            <v>105164.211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J6">
            <v>6266498.0020000003</v>
          </cell>
          <cell r="K6">
            <v>9753808.4920000006</v>
          </cell>
          <cell r="L6">
            <v>8075849.9460000005</v>
          </cell>
          <cell r="M6">
            <v>6468928.017</v>
          </cell>
          <cell r="N6">
            <v>7347594.3459999999</v>
          </cell>
          <cell r="O6">
            <v>8165213.1710000001</v>
          </cell>
          <cell r="P6">
            <v>6020203.7470000004</v>
          </cell>
          <cell r="Q6">
            <v>86728027.841000006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J7">
            <v>1606846.7759999996</v>
          </cell>
          <cell r="K7">
            <v>1560840.1609999985</v>
          </cell>
          <cell r="L7">
            <v>1417328.5140000004</v>
          </cell>
          <cell r="M7">
            <v>1251897.8439999996</v>
          </cell>
          <cell r="N7">
            <v>1331090.9230000013</v>
          </cell>
          <cell r="O7">
            <v>1777655.8499999996</v>
          </cell>
          <cell r="P7">
            <v>1425697.8589999992</v>
          </cell>
          <cell r="Q7">
            <v>17271819.111999996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J8">
            <v>7873344.7779999999</v>
          </cell>
          <cell r="K8">
            <v>11314648.652999999</v>
          </cell>
          <cell r="L8">
            <v>9493178.4600000009</v>
          </cell>
          <cell r="M8">
            <v>7720825.8609999996</v>
          </cell>
          <cell r="N8">
            <v>8678685.2690000013</v>
          </cell>
          <cell r="O8">
            <v>9942869.0209999997</v>
          </cell>
          <cell r="P8">
            <v>7445901.6059999997</v>
          </cell>
          <cell r="Q8">
            <v>103999846.95300001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J9">
            <v>6034261.7359999996</v>
          </cell>
          <cell r="K9">
            <v>9672982.2740000002</v>
          </cell>
          <cell r="L9">
            <v>7922980.0959999999</v>
          </cell>
          <cell r="M9">
            <v>6357038.1430000002</v>
          </cell>
          <cell r="N9">
            <v>7174616.267</v>
          </cell>
          <cell r="O9">
            <v>7971479.4730000002</v>
          </cell>
          <cell r="P9">
            <v>5934990.8200000003</v>
          </cell>
          <cell r="Q9">
            <v>84894973.444999993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J10">
            <v>1558085.8430000003</v>
          </cell>
          <cell r="K10">
            <v>1520030.682</v>
          </cell>
          <cell r="L10">
            <v>1369739.6770000001</v>
          </cell>
          <cell r="M10">
            <v>1218157.1009999998</v>
          </cell>
          <cell r="N10">
            <v>1293553.2259999989</v>
          </cell>
          <cell r="O10">
            <v>1721296.0080000004</v>
          </cell>
          <cell r="P10">
            <v>1375066.2340000002</v>
          </cell>
          <cell r="Q10">
            <v>16808012.739000004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J11">
            <v>7592347.5789999999</v>
          </cell>
          <cell r="K11">
            <v>11193012.956</v>
          </cell>
          <cell r="L11">
            <v>9292719.773</v>
          </cell>
          <cell r="M11">
            <v>7575195.2439999999</v>
          </cell>
          <cell r="N11">
            <v>8468169.4929999989</v>
          </cell>
          <cell r="O11">
            <v>9692775.4810000006</v>
          </cell>
          <cell r="P11">
            <v>7310057.0540000005</v>
          </cell>
          <cell r="Q11">
            <v>101702986.184</v>
          </cell>
          <cell r="S11"/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J12">
            <v>232236.26600000076</v>
          </cell>
          <cell r="K12">
            <v>80826.218000000343</v>
          </cell>
          <cell r="L12">
            <v>152869.85000000056</v>
          </cell>
          <cell r="M12">
            <v>111889.87399999984</v>
          </cell>
          <cell r="N12">
            <v>172978.07899999991</v>
          </cell>
          <cell r="O12">
            <v>193733.69799999986</v>
          </cell>
          <cell r="P12">
            <v>85212.927000000142</v>
          </cell>
          <cell r="Q12">
            <v>1833054.3960000128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J13">
            <v>48760.932999999262</v>
          </cell>
          <cell r="K13">
            <v>40809.47899999842</v>
          </cell>
          <cell r="L13">
            <v>47588.837000000291</v>
          </cell>
          <cell r="M13">
            <v>33740.742999999784</v>
          </cell>
          <cell r="N13">
            <v>37537.697000002488</v>
          </cell>
          <cell r="O13">
            <v>56359.841999999247</v>
          </cell>
          <cell r="P13">
            <v>50631.624999999069</v>
          </cell>
          <cell r="Q13">
            <v>463806.37299999222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J14">
            <v>280997.19900000002</v>
          </cell>
          <cell r="K14">
            <v>121635.69699999876</v>
          </cell>
          <cell r="L14">
            <v>200458.68700000085</v>
          </cell>
          <cell r="M14">
            <v>145630.61699999962</v>
          </cell>
          <cell r="N14">
            <v>210515.7760000024</v>
          </cell>
          <cell r="O14">
            <v>250093.53999999911</v>
          </cell>
          <cell r="P14">
            <v>135844.55199999921</v>
          </cell>
          <cell r="Q14">
            <v>2296860.7690000087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J15">
            <v>68315.210000000006</v>
          </cell>
          <cell r="K15">
            <v>66812.929999999993</v>
          </cell>
          <cell r="L15">
            <v>62651.65</v>
          </cell>
          <cell r="M15">
            <v>77308.009999999995</v>
          </cell>
          <cell r="N15">
            <v>73134.44</v>
          </cell>
          <cell r="O15">
            <v>67295.789999999994</v>
          </cell>
          <cell r="P15">
            <v>71052.55</v>
          </cell>
          <cell r="Q15">
            <v>819972.79</v>
          </cell>
          <cell r="S15"/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J16">
            <v>15956.352999999999</v>
          </cell>
          <cell r="K16">
            <v>14780.06</v>
          </cell>
          <cell r="L16">
            <v>14150</v>
          </cell>
          <cell r="M16">
            <v>22703.37</v>
          </cell>
          <cell r="N16">
            <v>14497.14</v>
          </cell>
          <cell r="O16">
            <v>9728.56</v>
          </cell>
          <cell r="P16">
            <v>71669.45</v>
          </cell>
          <cell r="Q16">
            <v>238343.58600000001</v>
          </cell>
          <cell r="S16"/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J17">
            <v>7310.9949999999999</v>
          </cell>
          <cell r="K17">
            <v>7415.38</v>
          </cell>
          <cell r="L17">
            <v>6838.2650000000003</v>
          </cell>
          <cell r="M17">
            <v>6838.2650000000003</v>
          </cell>
          <cell r="N17">
            <v>6838.2650000000003</v>
          </cell>
          <cell r="O17">
            <v>6838.2650000000003</v>
          </cell>
          <cell r="P17">
            <v>6838.2790000000005</v>
          </cell>
          <cell r="Q17">
            <v>85472.688999999998</v>
          </cell>
          <cell r="S17"/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J18">
            <v>91582.558000000005</v>
          </cell>
          <cell r="K18">
            <v>89008.37</v>
          </cell>
          <cell r="L18">
            <v>83639.914999999994</v>
          </cell>
          <cell r="M18">
            <v>106849.64499999999</v>
          </cell>
          <cell r="N18">
            <v>94469.845000000001</v>
          </cell>
          <cell r="O18">
            <v>83862.614999999991</v>
          </cell>
          <cell r="P18">
            <v>149560.27900000001</v>
          </cell>
          <cell r="Q18">
            <v>1143789.0650000002</v>
          </cell>
          <cell r="S18"/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J19">
            <v>13198.425999999999</v>
          </cell>
          <cell r="K19">
            <v>11393.108</v>
          </cell>
          <cell r="L19">
            <v>9677.1869999999999</v>
          </cell>
          <cell r="M19">
            <v>21372.597000000002</v>
          </cell>
          <cell r="N19">
            <v>9967.1309999999994</v>
          </cell>
          <cell r="O19">
            <v>9827.2720000000008</v>
          </cell>
          <cell r="P19">
            <v>21182.594000000001</v>
          </cell>
          <cell r="Q19">
            <v>156529.709</v>
          </cell>
          <cell r="S19"/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J20">
            <v>2547.7719999999999</v>
          </cell>
          <cell r="K20">
            <v>2306.7460000000001</v>
          </cell>
          <cell r="L20">
            <v>1941.2639999999999</v>
          </cell>
          <cell r="M20">
            <v>1798.2249999999999</v>
          </cell>
          <cell r="N20">
            <v>3033.0569999999998</v>
          </cell>
          <cell r="O20">
            <v>2527.3249999999998</v>
          </cell>
          <cell r="P20">
            <v>2481.9169999999999</v>
          </cell>
          <cell r="Q20">
            <v>24891.651999999998</v>
          </cell>
          <cell r="S20"/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J21">
            <v>2624.902</v>
          </cell>
          <cell r="K21">
            <v>2077.42</v>
          </cell>
          <cell r="L21">
            <v>1457.1</v>
          </cell>
          <cell r="M21">
            <v>2705.88</v>
          </cell>
          <cell r="N21">
            <v>2355.4499999999998</v>
          </cell>
          <cell r="O21">
            <v>2520.4</v>
          </cell>
          <cell r="P21">
            <v>3080.36</v>
          </cell>
          <cell r="Q21">
            <v>36537.991999999998</v>
          </cell>
          <cell r="S21"/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50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1300</v>
          </cell>
          <cell r="S22"/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J23">
            <v>1633.1469999999999</v>
          </cell>
          <cell r="K23">
            <v>1480.127</v>
          </cell>
          <cell r="L23">
            <v>1614.203</v>
          </cell>
          <cell r="M23">
            <v>1493.895</v>
          </cell>
          <cell r="N23">
            <v>1516.5070000000001</v>
          </cell>
          <cell r="O23">
            <v>1503.94</v>
          </cell>
          <cell r="P23">
            <v>1640.039</v>
          </cell>
          <cell r="Q23">
            <v>19062.263999999999</v>
          </cell>
          <cell r="S23"/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J24">
            <v>423.26499999999999</v>
          </cell>
          <cell r="K24">
            <v>760.52200000000005</v>
          </cell>
          <cell r="L24">
            <v>554.88</v>
          </cell>
          <cell r="M24">
            <v>326.77999999999997</v>
          </cell>
          <cell r="N24">
            <v>516.30999999999995</v>
          </cell>
          <cell r="O24">
            <v>534.13</v>
          </cell>
          <cell r="P24">
            <v>699.96900000000005</v>
          </cell>
          <cell r="Q24">
            <v>5435.4959999999992</v>
          </cell>
          <cell r="S24"/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J25">
            <v>194.54499999999999</v>
          </cell>
          <cell r="K25">
            <v>205.7</v>
          </cell>
          <cell r="L25">
            <v>200.34700000000001</v>
          </cell>
          <cell r="M25">
            <v>282.43700000000001</v>
          </cell>
          <cell r="N25">
            <v>282.43700000000001</v>
          </cell>
          <cell r="O25">
            <v>282.43700000000001</v>
          </cell>
          <cell r="P25">
            <v>282.43700000000001</v>
          </cell>
          <cell r="Q25">
            <v>3104.5299999999997</v>
          </cell>
          <cell r="S25"/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J26">
            <v>3221.82</v>
          </cell>
          <cell r="K26">
            <v>3457.45</v>
          </cell>
          <cell r="L26">
            <v>3226.92</v>
          </cell>
          <cell r="M26">
            <v>3226.92</v>
          </cell>
          <cell r="N26">
            <v>3226.92</v>
          </cell>
          <cell r="O26">
            <v>3226.92</v>
          </cell>
          <cell r="P26">
            <v>3226.92</v>
          </cell>
          <cell r="Q26">
            <v>38922.969999999994</v>
          </cell>
          <cell r="S26"/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/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J28">
            <v>49.77</v>
          </cell>
          <cell r="K28">
            <v>31660.799999999999</v>
          </cell>
          <cell r="L28">
            <v>242.3</v>
          </cell>
          <cell r="M28">
            <v>0</v>
          </cell>
          <cell r="N28">
            <v>30591.91</v>
          </cell>
          <cell r="O28">
            <v>12216.17</v>
          </cell>
          <cell r="P28">
            <v>38318.07</v>
          </cell>
          <cell r="Q28">
            <v>146905.07999999999</v>
          </cell>
          <cell r="S28"/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J29">
            <v>73.650000000000006</v>
          </cell>
          <cell r="K29">
            <v>147.93</v>
          </cell>
          <cell r="L29">
            <v>168.34</v>
          </cell>
          <cell r="M29">
            <v>25</v>
          </cell>
          <cell r="N29">
            <v>123.74</v>
          </cell>
          <cell r="O29">
            <v>282.8</v>
          </cell>
          <cell r="P29">
            <v>582.35</v>
          </cell>
          <cell r="Q29">
            <v>2087.2289999999998</v>
          </cell>
          <cell r="S29"/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J30">
            <v>6034.0290000000005</v>
          </cell>
          <cell r="K30">
            <v>6286.6790000000001</v>
          </cell>
          <cell r="L30">
            <v>6745.6779999999999</v>
          </cell>
          <cell r="M30">
            <v>5998.9290000000001</v>
          </cell>
          <cell r="N30">
            <v>5750.1629999999996</v>
          </cell>
          <cell r="O30">
            <v>5490.6790000000001</v>
          </cell>
          <cell r="P30">
            <v>5741.4690000000001</v>
          </cell>
          <cell r="Q30">
            <v>71831.696000000011</v>
          </cell>
          <cell r="S30"/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J31">
            <v>3665</v>
          </cell>
          <cell r="K31">
            <v>7483.3159999999998</v>
          </cell>
          <cell r="L31">
            <v>5718.53</v>
          </cell>
          <cell r="M31">
            <v>11262.32</v>
          </cell>
          <cell r="N31">
            <v>9509.7000000000007</v>
          </cell>
          <cell r="O31">
            <v>5406.44</v>
          </cell>
          <cell r="P31">
            <v>4611.5429999999997</v>
          </cell>
          <cell r="Q31">
            <v>87991.379000000001</v>
          </cell>
          <cell r="S31"/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/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J33">
            <v>28.1</v>
          </cell>
          <cell r="K33">
            <v>-663.24</v>
          </cell>
          <cell r="L33">
            <v>196.892</v>
          </cell>
          <cell r="M33">
            <v>391.423</v>
          </cell>
          <cell r="N33">
            <v>-268.49200000000002</v>
          </cell>
          <cell r="O33">
            <v>-1380.02</v>
          </cell>
          <cell r="P33">
            <v>114.742</v>
          </cell>
          <cell r="Q33">
            <v>-7600.2980000000007</v>
          </cell>
          <cell r="S33"/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/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/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J36">
            <v>33694.425999999999</v>
          </cell>
          <cell r="K36">
            <v>66646.558000000005</v>
          </cell>
          <cell r="L36">
            <v>31743.640999999996</v>
          </cell>
          <cell r="M36">
            <v>48884.406000000003</v>
          </cell>
          <cell r="N36">
            <v>66604.833000000013</v>
          </cell>
          <cell r="O36">
            <v>42438.493000000009</v>
          </cell>
          <cell r="P36">
            <v>81962.410000000018</v>
          </cell>
          <cell r="Q36">
            <v>586999.69900000002</v>
          </cell>
          <cell r="S36"/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J37">
            <v>125276.984</v>
          </cell>
          <cell r="K37">
            <v>155654.92800000001</v>
          </cell>
          <cell r="L37">
            <v>115383.55599999998</v>
          </cell>
          <cell r="M37">
            <v>155734.05099999998</v>
          </cell>
          <cell r="N37">
            <v>161074.67800000001</v>
          </cell>
          <cell r="O37">
            <v>126301.10800000001</v>
          </cell>
          <cell r="P37">
            <v>231522.68900000001</v>
          </cell>
          <cell r="Q37">
            <v>1730788.7640000002</v>
          </cell>
          <cell r="S37"/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J38">
            <v>155720.21500000003</v>
          </cell>
          <cell r="K38">
            <v>-34019.231000001251</v>
          </cell>
          <cell r="L38">
            <v>85075.131000000867</v>
          </cell>
          <cell r="M38">
            <v>-10103.434000000358</v>
          </cell>
          <cell r="N38">
            <v>49441.098000002385</v>
          </cell>
          <cell r="O38">
            <v>123792.4319999991</v>
          </cell>
          <cell r="P38">
            <v>-95678.137000000803</v>
          </cell>
          <cell r="Q38">
            <v>566072.0050000085</v>
          </cell>
          <cell r="S38"/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J39">
            <v>5550.375</v>
          </cell>
          <cell r="K39">
            <v>5550.3850000000002</v>
          </cell>
          <cell r="L39">
            <v>5550.3779999999997</v>
          </cell>
          <cell r="M39">
            <v>5475.768</v>
          </cell>
          <cell r="N39">
            <v>5435.7690000000002</v>
          </cell>
          <cell r="O39">
            <v>5435.7830000000004</v>
          </cell>
          <cell r="P39">
            <v>5423.9359999999997</v>
          </cell>
          <cell r="Q39">
            <v>65313.73</v>
          </cell>
          <cell r="S39"/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J40">
            <v>150169.84000000003</v>
          </cell>
          <cell r="K40">
            <v>-39569.616000001253</v>
          </cell>
          <cell r="L40">
            <v>79524.75300000087</v>
          </cell>
          <cell r="M40">
            <v>-15579.202000000358</v>
          </cell>
          <cell r="N40">
            <v>44005.329000002384</v>
          </cell>
          <cell r="O40">
            <v>118356.6489999991</v>
          </cell>
          <cell r="P40">
            <v>-101102.0730000008</v>
          </cell>
          <cell r="Q40">
            <v>500758.27500000852</v>
          </cell>
          <cell r="S40"/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J41">
            <v>1.9073194967863E-2</v>
          </cell>
          <cell r="K41">
            <v>-3.4972023624887062E-3</v>
          </cell>
          <cell r="L41">
            <v>8.3770418237772027E-3</v>
          </cell>
          <cell r="M41">
            <v>-2.0178154876792603E-3</v>
          </cell>
          <cell r="N41">
            <v>5.0705063769495217E-3</v>
          </cell>
          <cell r="O41">
            <v>1.19036717420316E-2</v>
          </cell>
          <cell r="P41">
            <v>-1.3578217702814055E-2</v>
          </cell>
          <cell r="Q41">
            <v>4.8149904992294172E-3</v>
          </cell>
        </row>
        <row r="42">
          <cell r="E42" t="str">
            <v>1월</v>
          </cell>
          <cell r="F42" t="str">
            <v>2월</v>
          </cell>
          <cell r="G42" t="str">
            <v>3월</v>
          </cell>
          <cell r="H42" t="str">
            <v>4월</v>
          </cell>
          <cell r="I42" t="str">
            <v>5월</v>
          </cell>
          <cell r="J42" t="str">
            <v>6월</v>
          </cell>
          <cell r="K42" t="str">
            <v>7월</v>
          </cell>
          <cell r="L42" t="str">
            <v>8월</v>
          </cell>
          <cell r="M42" t="str">
            <v>9월</v>
          </cell>
          <cell r="N42" t="str">
            <v>10월</v>
          </cell>
          <cell r="O42" t="str">
            <v>11월</v>
          </cell>
          <cell r="P42" t="str">
            <v>12월</v>
          </cell>
          <cell r="Q42" t="str">
            <v>합계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J43">
            <v>785072.67759542307</v>
          </cell>
          <cell r="K43">
            <v>751049.2097042331</v>
          </cell>
          <cell r="L43">
            <v>846014.52770958561</v>
          </cell>
          <cell r="M43">
            <v>879572.42936012533</v>
          </cell>
          <cell r="N43">
            <v>818946.47731031897</v>
          </cell>
          <cell r="O43">
            <v>798803.69146262086</v>
          </cell>
          <cell r="P43">
            <v>752238.01942182856</v>
          </cell>
          <cell r="Q43">
            <v>824691.47076090367</v>
          </cell>
        </row>
        <row r="44"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  <cell r="J46">
            <v>986379.93094765872</v>
          </cell>
          <cell r="K46">
            <v>871234.85517340153</v>
          </cell>
          <cell r="L46">
            <v>994491.84234504995</v>
          </cell>
          <cell r="M46">
            <v>1049791.4865306576</v>
          </cell>
          <cell r="N46">
            <v>967306.90264654264</v>
          </cell>
          <cell r="O46">
            <v>972711.95636542363</v>
          </cell>
          <cell r="P46">
            <v>930382.17846005596</v>
          </cell>
          <cell r="Q46">
            <v>988928.13404932991</v>
          </cell>
          <cell r="R46"/>
          <cell r="S46"/>
          <cell r="T46"/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  <cell r="J47">
            <v>951176.34142359975</v>
          </cell>
          <cell r="K47">
            <v>861868.83223183977</v>
          </cell>
          <cell r="L47">
            <v>973492.07606142946</v>
          </cell>
          <cell r="M47">
            <v>1029990.2651772461</v>
          </cell>
          <cell r="N47">
            <v>943843.28380001429</v>
          </cell>
          <cell r="O47">
            <v>948245.27818089223</v>
          </cell>
          <cell r="P47">
            <v>913408.09568143776</v>
          </cell>
          <cell r="Q47">
            <v>967087.42657708912</v>
          </cell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0.79857121573986001</v>
          </cell>
          <cell r="F49">
            <v>0.87038038040934229</v>
          </cell>
          <cell r="G49">
            <v>0.86407219472961383</v>
          </cell>
          <cell r="H49">
            <v>0.82915389810182005</v>
          </cell>
          <cell r="I49">
            <v>0.81243687934850584</v>
          </cell>
          <cell r="J49">
            <v>0.79591306854871746</v>
          </cell>
          <cell r="K49">
            <v>0.86205138057149011</v>
          </cell>
          <cell r="L49">
            <v>0.85070031918477174</v>
          </cell>
          <cell r="M49">
            <v>0.83785441265763061</v>
          </cell>
          <cell r="N49">
            <v>0.8466252800116375</v>
          </cell>
          <cell r="O49">
            <v>0.82121298729315728</v>
          </cell>
          <cell r="P49">
            <v>0.80852582609322232</v>
          </cell>
          <cell r="Q49">
            <v>0.833924571833211</v>
          </cell>
          <cell r="R49"/>
          <cell r="S49"/>
          <cell r="T49"/>
        </row>
        <row r="50">
          <cell r="E50">
            <v>0.20142878426013996</v>
          </cell>
          <cell r="F50">
            <v>0.12961961959065768</v>
          </cell>
          <cell r="G50">
            <v>0.13592780527038614</v>
          </cell>
          <cell r="H50">
            <v>0.17084610189818</v>
          </cell>
          <cell r="I50">
            <v>0.18756312065149416</v>
          </cell>
          <cell r="J50">
            <v>0.20408693145128257</v>
          </cell>
          <cell r="K50">
            <v>0.13794861942850986</v>
          </cell>
          <cell r="L50">
            <v>0.14929968081522826</v>
          </cell>
          <cell r="M50">
            <v>0.16214558734236936</v>
          </cell>
          <cell r="N50">
            <v>0.15337471998836247</v>
          </cell>
          <cell r="O50">
            <v>0.17878701270684269</v>
          </cell>
          <cell r="P50">
            <v>0.19147417390677768</v>
          </cell>
          <cell r="Q50">
            <v>0.16607542816678894</v>
          </cell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2.7823178707229314E-2</v>
          </cell>
          <cell r="F52">
            <v>2.7130154457106714E-2</v>
          </cell>
          <cell r="G52">
            <v>1.8797000201944851E-2</v>
          </cell>
          <cell r="H52">
            <v>1.8146921038230335E-2</v>
          </cell>
          <cell r="I52">
            <v>2.5679335587291203E-2</v>
          </cell>
          <cell r="J52">
            <v>3.7059976070507129E-2</v>
          </cell>
          <cell r="K52">
            <v>8.2866316338170258E-3</v>
          </cell>
          <cell r="L52">
            <v>1.8929258347069412E-2</v>
          </cell>
          <cell r="M52">
            <v>1.7296509360740942E-2</v>
          </cell>
          <cell r="N52">
            <v>2.3542137855523892E-2</v>
          </cell>
          <cell r="O52">
            <v>2.3726716491380119E-2</v>
          </cell>
          <cell r="P52">
            <v>1.4154492203434744E-2</v>
          </cell>
          <cell r="Q52">
            <v>2.1135663310142175E-2</v>
          </cell>
          <cell r="R52"/>
          <cell r="S52"/>
          <cell r="T52"/>
        </row>
        <row r="53">
          <cell r="E53">
            <v>2.2005694548837322E-2</v>
          </cell>
          <cell r="F53">
            <v>1.5188168703492945E-2</v>
          </cell>
          <cell r="G53">
            <v>1.7650951996336726E-2</v>
          </cell>
          <cell r="H53">
            <v>2.0045029420160815E-2</v>
          </cell>
          <cell r="I53">
            <v>2.7812889049050205E-2</v>
          </cell>
          <cell r="J53">
            <v>3.0345726629506131E-2</v>
          </cell>
          <cell r="K53">
            <v>2.6145841207630523E-2</v>
          </cell>
          <cell r="L53">
            <v>3.3576433783650161E-2</v>
          </cell>
          <cell r="M53">
            <v>2.6951674341249041E-2</v>
          </cell>
          <cell r="N53">
            <v>2.8200700907343241E-2</v>
          </cell>
          <cell r="O53">
            <v>3.1704585564185137E-2</v>
          </cell>
          <cell r="P53">
            <v>3.5513573005933156E-2</v>
          </cell>
          <cell r="Q53">
            <v>2.6853359799128049E-2</v>
          </cell>
          <cell r="R53"/>
          <cell r="S53"/>
          <cell r="T53"/>
        </row>
        <row r="54">
          <cell r="E54">
            <v>2.6651369945751794E-2</v>
          </cell>
          <cell r="F54">
            <v>2.5582238806566245E-2</v>
          </cell>
          <cell r="G54">
            <v>1.8641220384622476E-2</v>
          </cell>
          <cell r="H54">
            <v>1.847120545626342E-2</v>
          </cell>
          <cell r="I54">
            <v>2.607951153265552E-2</v>
          </cell>
          <cell r="J54">
            <v>3.568968550509475E-2</v>
          </cell>
          <cell r="K54">
            <v>1.0750284938609023E-2</v>
          </cell>
          <cell r="L54">
            <v>2.1116076964595568E-2</v>
          </cell>
          <cell r="M54">
            <v>1.8862051757392903E-2</v>
          </cell>
          <cell r="N54">
            <v>2.4256643659144816E-2</v>
          </cell>
          <cell r="O54">
            <v>2.5153055870673239E-2</v>
          </cell>
          <cell r="P54">
            <v>1.8244204555501242E-2</v>
          </cell>
          <cell r="Q54">
            <v>2.2085232202678284E-2</v>
          </cell>
          <cell r="R54"/>
          <cell r="S54"/>
        </row>
        <row r="55">
          <cell r="R55"/>
          <cell r="S55"/>
        </row>
        <row r="56">
          <cell r="R56"/>
          <cell r="S56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G10">
            <v>846014.52770958561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물량"/>
      <sheetName val="금액"/>
      <sheetName val="제품별제조원가raw"/>
      <sheetName val="수불부raw"/>
      <sheetName val="입고내역raw"/>
      <sheetName val="PFT"/>
      <sheetName val="PFTraw"/>
    </sheetNames>
    <sheetDataSet>
      <sheetData sheetId="0">
        <row r="10">
          <cell r="W10">
            <v>15454.552036904013</v>
          </cell>
          <cell r="X10">
            <v>12903</v>
          </cell>
        </row>
        <row r="14">
          <cell r="W14">
            <v>5000</v>
          </cell>
          <cell r="X14">
            <v>8670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금액"/>
      <sheetName val="물량"/>
      <sheetName val="제조원가raw"/>
      <sheetName val="슬러지토사"/>
      <sheetName val="슬러지토사raw"/>
      <sheetName val="PTF손익"/>
      <sheetName val="PFTraw"/>
      <sheetName val="수불부raw"/>
      <sheetName val="입고내역"/>
      <sheetName val="입고내역raw"/>
    </sheetNames>
    <sheetDataSet>
      <sheetData sheetId="0">
        <row r="13">
          <cell r="W13">
            <v>15726.836133333334</v>
          </cell>
          <cell r="X13">
            <v>16580</v>
          </cell>
        </row>
        <row r="15">
          <cell r="W15">
            <v>19000</v>
          </cell>
          <cell r="X15">
            <v>2512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손익"/>
      <sheetName val="제조원가금액"/>
      <sheetName val="제조원가물량"/>
      <sheetName val="제조원가raw"/>
      <sheetName val="PFT손익"/>
      <sheetName val="PFTraw"/>
      <sheetName val="수불부raw"/>
      <sheetName val="입고내역"/>
      <sheetName val="입고내역raw"/>
    </sheetNames>
    <sheetDataSet>
      <sheetData sheetId="0"/>
      <sheetData sheetId="1">
        <row r="10">
          <cell r="F10">
            <v>18949.490322580645</v>
          </cell>
          <cell r="G10">
            <v>14022</v>
          </cell>
        </row>
        <row r="12">
          <cell r="F12">
            <v>21000</v>
          </cell>
          <cell r="G12">
            <v>12400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85">
          <cell r="S85">
            <v>36904</v>
          </cell>
        </row>
        <row r="86">
          <cell r="S86">
            <v>12699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O5">
            <v>1851698.82</v>
          </cell>
        </row>
        <row r="85">
          <cell r="Q85">
            <v>100621.97645210593</v>
          </cell>
          <cell r="R85">
            <v>98398.330527507846</v>
          </cell>
        </row>
        <row r="89">
          <cell r="Q89">
            <v>79526.18349561427</v>
          </cell>
          <cell r="R89">
            <v>79651.417565843672</v>
          </cell>
        </row>
      </sheetData>
      <sheetData sheetId="1">
        <row r="85">
          <cell r="Q85">
            <v>97520.624760771432</v>
          </cell>
          <cell r="R85">
            <v>96047.558831643357</v>
          </cell>
        </row>
        <row r="89">
          <cell r="Q89">
            <v>80883.529271906023</v>
          </cell>
          <cell r="R89">
            <v>80808.95576266959</v>
          </cell>
        </row>
      </sheetData>
      <sheetData sheetId="2">
        <row r="85">
          <cell r="Q85">
            <v>100512.88702318714</v>
          </cell>
          <cell r="R85">
            <v>98652.175655815241</v>
          </cell>
        </row>
        <row r="89">
          <cell r="Q89">
            <v>78973.587161451476</v>
          </cell>
          <cell r="R89">
            <v>78921.876356591471</v>
          </cell>
        </row>
      </sheetData>
      <sheetData sheetId="3" refreshError="1"/>
      <sheetData sheetId="4">
        <row r="85">
          <cell r="Q85">
            <v>106886.32243680982</v>
          </cell>
          <cell r="R85">
            <v>101964.51474953731</v>
          </cell>
        </row>
        <row r="89">
          <cell r="Q89">
            <v>78170.821500955819</v>
          </cell>
          <cell r="R89">
            <v>79272.320273169607</v>
          </cell>
        </row>
      </sheetData>
      <sheetData sheetId="5">
        <row r="2">
          <cell r="N2">
            <v>302000</v>
          </cell>
        </row>
        <row r="85">
          <cell r="Q85">
            <v>98579.757072847686</v>
          </cell>
          <cell r="R85">
            <v>95982.436795710993</v>
          </cell>
        </row>
        <row r="86">
          <cell r="H86">
            <v>2587017.7216698672</v>
          </cell>
          <cell r="I86">
            <v>1691011.8639999945</v>
          </cell>
        </row>
        <row r="89">
          <cell r="Q89">
            <v>81746.587017562604</v>
          </cell>
          <cell r="R89">
            <v>79899.626626845929</v>
          </cell>
        </row>
        <row r="92">
          <cell r="H92">
            <v>832438.44705539732</v>
          </cell>
          <cell r="I92">
            <v>-30809.932080551283</v>
          </cell>
        </row>
      </sheetData>
      <sheetData sheetId="6">
        <row r="2">
          <cell r="N2">
            <v>218000</v>
          </cell>
        </row>
        <row r="85">
          <cell r="Q85">
            <v>98056.812723896379</v>
          </cell>
          <cell r="R85">
            <v>97476.620188979316</v>
          </cell>
        </row>
        <row r="86">
          <cell r="H86">
            <v>860403.07788543671</v>
          </cell>
          <cell r="I86">
            <v>314657.92400999158</v>
          </cell>
        </row>
        <row r="89">
          <cell r="Q89">
            <v>82881.223575992481</v>
          </cell>
          <cell r="R89">
            <v>84146.777017105778</v>
          </cell>
        </row>
        <row r="92">
          <cell r="H92">
            <v>-392929.84672742535</v>
          </cell>
          <cell r="I92">
            <v>-1118266.1353202036</v>
          </cell>
        </row>
      </sheetData>
      <sheetData sheetId="7">
        <row r="2">
          <cell r="N2">
            <v>161000</v>
          </cell>
        </row>
        <row r="85">
          <cell r="Q85">
            <v>96620.748330434799</v>
          </cell>
          <cell r="R85">
            <v>93152.436983383945</v>
          </cell>
        </row>
        <row r="86">
          <cell r="H86">
            <v>792232.52051473409</v>
          </cell>
          <cell r="I86">
            <v>-299743.62399999762</v>
          </cell>
        </row>
        <row r="89">
          <cell r="Q89">
            <v>79857.410509519337</v>
          </cell>
          <cell r="R89">
            <v>78128.539948562262</v>
          </cell>
        </row>
        <row r="92">
          <cell r="H92">
            <v>-117750.7495869915</v>
          </cell>
          <cell r="I92">
            <v>-934743.89210192522</v>
          </cell>
        </row>
      </sheetData>
      <sheetData sheetId="8">
        <row r="2">
          <cell r="N2">
            <v>109000</v>
          </cell>
        </row>
        <row r="85">
          <cell r="Q85">
            <v>94842.947431192675</v>
          </cell>
          <cell r="R85">
            <v>95869.771304106223</v>
          </cell>
        </row>
        <row r="86">
          <cell r="H86">
            <v>660880.65720823815</v>
          </cell>
          <cell r="I86">
            <v>29081.226999999199</v>
          </cell>
        </row>
        <row r="89">
          <cell r="Q89">
            <v>76012.559760576827</v>
          </cell>
          <cell r="R89">
            <v>77974.553668385299</v>
          </cell>
        </row>
        <row r="92">
          <cell r="H92">
            <v>61219.504208089202</v>
          </cell>
          <cell r="I92">
            <v>-495488.75823920249</v>
          </cell>
        </row>
      </sheetData>
      <sheetData sheetId="9">
        <row r="2">
          <cell r="N2">
            <v>157000</v>
          </cell>
        </row>
        <row r="85">
          <cell r="Q85">
            <v>107699.98571403824</v>
          </cell>
          <cell r="R85">
            <v>107511.98515769944</v>
          </cell>
        </row>
        <row r="86">
          <cell r="H86">
            <v>1408170.1952799067</v>
          </cell>
          <cell r="I86">
            <v>1620594.8289999999</v>
          </cell>
        </row>
        <row r="89">
          <cell r="Q89">
            <v>84791.012074901635</v>
          </cell>
          <cell r="R89">
            <v>84343.109408442135</v>
          </cell>
        </row>
        <row r="92">
          <cell r="H92">
            <v>393851.56885568961</v>
          </cell>
          <cell r="I92">
            <v>398085.50494692381</v>
          </cell>
        </row>
      </sheetData>
      <sheetData sheetId="10">
        <row r="2">
          <cell r="N2">
            <v>154000</v>
          </cell>
        </row>
        <row r="85">
          <cell r="Q85">
            <v>99300.01090636375</v>
          </cell>
          <cell r="R85">
            <v>98009.640442702337</v>
          </cell>
        </row>
        <row r="86">
          <cell r="H86">
            <v>1370941.514768739</v>
          </cell>
          <cell r="I86">
            <v>858206.08699999878</v>
          </cell>
        </row>
        <row r="89">
          <cell r="Q89">
            <v>78265.771866739902</v>
          </cell>
          <cell r="R89">
            <v>77535.449028124305</v>
          </cell>
        </row>
        <row r="92">
          <cell r="H92">
            <v>457332.39302967943</v>
          </cell>
          <cell r="I92">
            <v>-47116.361727371695</v>
          </cell>
        </row>
      </sheetData>
      <sheetData sheetId="11">
        <row r="2">
          <cell r="N2">
            <v>108000</v>
          </cell>
        </row>
        <row r="85">
          <cell r="Q85">
            <v>96299.881944444453</v>
          </cell>
          <cell r="R85">
            <v>89770.576264238232</v>
          </cell>
        </row>
        <row r="86">
          <cell r="H86">
            <v>894049.80932611797</v>
          </cell>
          <cell r="I86">
            <v>-230109.82700000063</v>
          </cell>
        </row>
        <row r="89">
          <cell r="Q89">
            <v>76579.814000066806</v>
          </cell>
          <cell r="R89">
            <v>76460.805335129291</v>
          </cell>
        </row>
        <row r="92">
          <cell r="H92">
            <v>264819.0582128528</v>
          </cell>
          <cell r="I92">
            <v>-683479.31859021843</v>
          </cell>
        </row>
      </sheetData>
      <sheetData sheetId="12">
        <row r="2">
          <cell r="N2">
            <v>151000</v>
          </cell>
        </row>
        <row r="85">
          <cell r="Q85">
            <v>101999.8666778808</v>
          </cell>
          <cell r="R85">
            <v>99524.818438321556</v>
          </cell>
        </row>
        <row r="86">
          <cell r="H86">
            <v>1256208.0353559467</v>
          </cell>
          <cell r="I86">
            <v>1463751.1820000035</v>
          </cell>
        </row>
        <row r="89">
          <cell r="Q89">
            <v>82162.650521733987</v>
          </cell>
          <cell r="R89">
            <v>81627.776730980564</v>
          </cell>
        </row>
        <row r="92">
          <cell r="H92">
            <v>327015.21760006552</v>
          </cell>
          <cell r="I92">
            <v>215438.91034129844</v>
          </cell>
        </row>
      </sheetData>
      <sheetData sheetId="13">
        <row r="2">
          <cell r="N2">
            <v>90000</v>
          </cell>
        </row>
        <row r="85">
          <cell r="Q85">
            <v>94568.094444444447</v>
          </cell>
          <cell r="R85">
            <v>92405.853101047702</v>
          </cell>
        </row>
        <row r="86">
          <cell r="H86">
            <v>697112.06608399737</v>
          </cell>
          <cell r="I86">
            <v>2418.3510000006645</v>
          </cell>
        </row>
        <row r="89">
          <cell r="Q89">
            <v>73867.37887067163</v>
          </cell>
          <cell r="R89">
            <v>72933.546664151843</v>
          </cell>
        </row>
        <row r="92">
          <cell r="H92">
            <v>184473.08406454406</v>
          </cell>
          <cell r="I92">
            <v>-389216.66145594057</v>
          </cell>
        </row>
      </sheetData>
      <sheetData sheetId="14">
        <row r="2">
          <cell r="N2">
            <v>91000</v>
          </cell>
        </row>
        <row r="85">
          <cell r="Q85">
            <v>100669.49574276924</v>
          </cell>
          <cell r="R85">
            <v>96031.191755120934</v>
          </cell>
        </row>
        <row r="86">
          <cell r="H86">
            <v>706486.57265940635</v>
          </cell>
          <cell r="I86">
            <v>342529.4640000005</v>
          </cell>
        </row>
        <row r="89">
          <cell r="Q89">
            <v>76026.627924130313</v>
          </cell>
          <cell r="R89">
            <v>73236.455345443333</v>
          </cell>
        </row>
        <row r="92">
          <cell r="H92">
            <v>159813.79966019571</v>
          </cell>
          <cell r="I92">
            <v>-189940.76617120241</v>
          </cell>
        </row>
      </sheetData>
      <sheetData sheetId="15">
        <row r="2">
          <cell r="N2">
            <v>97000</v>
          </cell>
        </row>
        <row r="85">
          <cell r="Q85">
            <v>97147.428053433949</v>
          </cell>
          <cell r="R85">
            <v>89483.068343223742</v>
          </cell>
        </row>
        <row r="86">
          <cell r="H86">
            <v>866040.37137774145</v>
          </cell>
          <cell r="I86">
            <v>42095.103999999934</v>
          </cell>
        </row>
        <row r="89">
          <cell r="Q89">
            <v>73129.688947104558</v>
          </cell>
          <cell r="R89">
            <v>73239.78429352869</v>
          </cell>
        </row>
        <row r="92">
          <cell r="H92">
            <v>300616.09130624821</v>
          </cell>
          <cell r="I92">
            <v>-464370.31583722646</v>
          </cell>
        </row>
      </sheetData>
      <sheetData sheetId="16">
        <row r="2">
          <cell r="N2">
            <v>93000</v>
          </cell>
        </row>
        <row r="85">
          <cell r="Q85">
            <v>101976.41935483871</v>
          </cell>
          <cell r="R85">
            <v>103574.41593016786</v>
          </cell>
        </row>
        <row r="86">
          <cell r="H86">
            <v>654641.16733149509</v>
          </cell>
          <cell r="I86">
            <v>706168.97699999879</v>
          </cell>
        </row>
        <row r="89">
          <cell r="Q89">
            <v>81847.102662084391</v>
          </cell>
          <cell r="R89">
            <v>82056.127411822003</v>
          </cell>
        </row>
        <row r="92">
          <cell r="H92">
            <v>87914.67956779059</v>
          </cell>
          <cell r="I92">
            <v>73280.098686341429</v>
          </cell>
        </row>
      </sheetData>
      <sheetData sheetId="17">
        <row r="2">
          <cell r="N2">
            <v>172000</v>
          </cell>
        </row>
        <row r="85">
          <cell r="Q85">
            <v>103000</v>
          </cell>
          <cell r="R85">
            <v>96650.84801060363</v>
          </cell>
        </row>
        <row r="86">
          <cell r="H86">
            <v>2183033.2390582282</v>
          </cell>
          <cell r="I86">
            <v>696411.30000000075</v>
          </cell>
        </row>
        <row r="89">
          <cell r="Q89">
            <v>78508.140046261571</v>
          </cell>
          <cell r="R89">
            <v>80813.408506891734</v>
          </cell>
        </row>
        <row r="92">
          <cell r="H92">
            <v>1187092.5430697915</v>
          </cell>
          <cell r="I92">
            <v>-398026.46954013663</v>
          </cell>
        </row>
      </sheetData>
      <sheetData sheetId="18">
        <row r="2">
          <cell r="N2">
            <v>83000</v>
          </cell>
        </row>
        <row r="85">
          <cell r="Q85">
            <v>97939.576626506008</v>
          </cell>
          <cell r="R85">
            <v>97102.118250600121</v>
          </cell>
        </row>
        <row r="86">
          <cell r="H86">
            <v>820972.21507846075</v>
          </cell>
          <cell r="I86">
            <v>934761.69699999946</v>
          </cell>
        </row>
        <row r="89">
          <cell r="Q89">
            <v>73159.043339081472</v>
          </cell>
          <cell r="R89">
            <v>75255.322499013084</v>
          </cell>
        </row>
        <row r="92">
          <cell r="H92">
            <v>362626.74609817879</v>
          </cell>
          <cell r="I92">
            <v>285230.32611588412</v>
          </cell>
        </row>
      </sheetData>
      <sheetData sheetId="19">
        <row r="2">
          <cell r="N2">
            <v>54500</v>
          </cell>
        </row>
        <row r="85">
          <cell r="Q85">
            <v>110848.12904587157</v>
          </cell>
          <cell r="R85">
            <v>109931.30550227912</v>
          </cell>
        </row>
        <row r="86">
          <cell r="H86">
            <v>1401916.3793387474</v>
          </cell>
          <cell r="I86">
            <v>842709.55699999956</v>
          </cell>
        </row>
        <row r="89">
          <cell r="Q89">
            <v>72617.2207888915</v>
          </cell>
          <cell r="R89">
            <v>72429.870675268394</v>
          </cell>
        </row>
        <row r="92">
          <cell r="H92">
            <v>1064185.4182169093</v>
          </cell>
          <cell r="I92">
            <v>544534.77273969003</v>
          </cell>
        </row>
      </sheetData>
      <sheetData sheetId="20">
        <row r="2">
          <cell r="N2">
            <v>34000</v>
          </cell>
        </row>
        <row r="85">
          <cell r="Q85">
            <v>112000</v>
          </cell>
          <cell r="R85">
            <v>108365.58098565557</v>
          </cell>
        </row>
        <row r="86">
          <cell r="H86">
            <v>570474.40357013547</v>
          </cell>
          <cell r="I86">
            <v>50290.814999999697</v>
          </cell>
        </row>
        <row r="89">
          <cell r="Q89">
            <v>73375.855341507966</v>
          </cell>
          <cell r="R89">
            <v>71716.263514012258</v>
          </cell>
        </row>
        <row r="92">
          <cell r="H92">
            <v>354255.58954009571</v>
          </cell>
          <cell r="I92">
            <v>-109802.54392943859</v>
          </cell>
        </row>
      </sheetData>
      <sheetData sheetId="21">
        <row r="2">
          <cell r="N2">
            <v>64000</v>
          </cell>
        </row>
        <row r="85">
          <cell r="Q85">
            <v>122843.2578125</v>
          </cell>
          <cell r="R85">
            <v>122503.76343768461</v>
          </cell>
        </row>
        <row r="86">
          <cell r="H86">
            <v>1252538.5979958924</v>
          </cell>
          <cell r="I86">
            <v>596946.55100000091</v>
          </cell>
        </row>
        <row r="89">
          <cell r="Q89">
            <v>91040.491592701306</v>
          </cell>
          <cell r="R89">
            <v>92248.349467372289</v>
          </cell>
        </row>
        <row r="92">
          <cell r="H92">
            <v>801740.24896961451</v>
          </cell>
          <cell r="I92">
            <v>214845.47441425582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21">
          <cell r="Q21">
            <v>17568.153420036528</v>
          </cell>
        </row>
        <row r="85">
          <cell r="Q85">
            <v>101288.08314387737</v>
          </cell>
        </row>
        <row r="89">
          <cell r="Q89">
            <v>78986.868019914386</v>
          </cell>
        </row>
      </sheetData>
      <sheetData sheetId="1">
        <row r="85">
          <cell r="Q85">
            <v>99199.15614018256</v>
          </cell>
        </row>
        <row r="89">
          <cell r="Q89">
            <v>80922.465754364413</v>
          </cell>
        </row>
      </sheetData>
      <sheetData sheetId="2">
        <row r="85">
          <cell r="Q85">
            <v>101283.76507858542</v>
          </cell>
        </row>
        <row r="89">
          <cell r="Q89">
            <v>78709.127185203834</v>
          </cell>
        </row>
      </sheetData>
      <sheetData sheetId="3" refreshError="1"/>
      <sheetData sheetId="4" refreshError="1"/>
      <sheetData sheetId="5">
        <row r="85">
          <cell r="Q85">
            <v>105399.54627623112</v>
          </cell>
        </row>
        <row r="89">
          <cell r="Q89">
            <v>75896.072283220637</v>
          </cell>
        </row>
      </sheetData>
      <sheetData sheetId="6">
        <row r="85">
          <cell r="Q85">
            <v>99620.936766267492</v>
          </cell>
        </row>
        <row r="86">
          <cell r="H86">
            <v>3141697.5189999966</v>
          </cell>
        </row>
        <row r="89">
          <cell r="Q89">
            <v>81422.200070565872</v>
          </cell>
        </row>
        <row r="92">
          <cell r="H92">
            <v>1632137.6839884361</v>
          </cell>
        </row>
      </sheetData>
      <sheetData sheetId="7">
        <row r="85">
          <cell r="Q85">
            <v>100128.89107235288</v>
          </cell>
        </row>
        <row r="86">
          <cell r="H86">
            <v>1666865.0450099998</v>
          </cell>
        </row>
        <row r="89">
          <cell r="Q89">
            <v>82319.971537599617</v>
          </cell>
        </row>
        <row r="92">
          <cell r="H92">
            <v>560397.55247123609</v>
          </cell>
        </row>
      </sheetData>
      <sheetData sheetId="8">
        <row r="85">
          <cell r="Q85">
            <v>97989.519636950383</v>
          </cell>
        </row>
        <row r="86">
          <cell r="H86">
            <v>1514270.1560000009</v>
          </cell>
        </row>
        <row r="89">
          <cell r="Q89">
            <v>81096.027898048997</v>
          </cell>
        </row>
        <row r="92">
          <cell r="H92">
            <v>532916.30086075328</v>
          </cell>
        </row>
      </sheetData>
      <sheetData sheetId="9">
        <row r="85">
          <cell r="Q85">
            <v>98126.894887645627</v>
          </cell>
        </row>
        <row r="86">
          <cell r="H86">
            <v>832095.33599999989</v>
          </cell>
        </row>
        <row r="89">
          <cell r="Q89">
            <v>75514.607042123418</v>
          </cell>
        </row>
        <row r="92">
          <cell r="H92">
            <v>399074.54414501524</v>
          </cell>
        </row>
      </sheetData>
      <sheetData sheetId="10">
        <row r="85">
          <cell r="Q85">
            <v>107563.52893646556</v>
          </cell>
        </row>
        <row r="86">
          <cell r="H86">
            <v>1826032.7640000021</v>
          </cell>
        </row>
        <row r="89">
          <cell r="Q89">
            <v>83908.156897502908</v>
          </cell>
        </row>
        <row r="92">
          <cell r="H92">
            <v>944762.80181249022</v>
          </cell>
        </row>
      </sheetData>
      <sheetData sheetId="11">
        <row r="85">
          <cell r="Q85">
            <v>101148.80639169939</v>
          </cell>
        </row>
        <row r="86">
          <cell r="H86">
            <v>2073324.5339999988</v>
          </cell>
        </row>
        <row r="89">
          <cell r="Q89">
            <v>78981.924407788669</v>
          </cell>
        </row>
        <row r="92">
          <cell r="H92">
            <v>1178103.1231628007</v>
          </cell>
        </row>
      </sheetData>
      <sheetData sheetId="12">
        <row r="85">
          <cell r="Q85">
            <v>96514.170927684419</v>
          </cell>
        </row>
        <row r="86">
          <cell r="H86">
            <v>712387.13399999705</v>
          </cell>
        </row>
        <row r="89">
          <cell r="Q89">
            <v>79108.80404000674</v>
          </cell>
        </row>
        <row r="92">
          <cell r="H92">
            <v>192845.90982267738</v>
          </cell>
        </row>
      </sheetData>
      <sheetData sheetId="13">
        <row r="85">
          <cell r="Q85">
            <v>101428.82886578419</v>
          </cell>
        </row>
        <row r="86">
          <cell r="H86">
            <v>1496705.551999999</v>
          </cell>
        </row>
        <row r="89">
          <cell r="Q89">
            <v>81881.428854384489</v>
          </cell>
        </row>
        <row r="92">
          <cell r="H92">
            <v>691829.94234221848</v>
          </cell>
        </row>
      </sheetData>
      <sheetData sheetId="14">
        <row r="85">
          <cell r="Q85">
            <v>92872.299033541785</v>
          </cell>
        </row>
        <row r="86">
          <cell r="H86">
            <v>864198.10400000017</v>
          </cell>
        </row>
        <row r="89">
          <cell r="Q89">
            <v>73161.402367631075</v>
          </cell>
        </row>
        <row r="92">
          <cell r="H92">
            <v>396855.87433911546</v>
          </cell>
        </row>
      </sheetData>
      <sheetData sheetId="15">
        <row r="85">
          <cell r="Q85">
            <v>101524.52477208548</v>
          </cell>
        </row>
        <row r="86">
          <cell r="H86">
            <v>2209936.5250000032</v>
          </cell>
        </row>
        <row r="89">
          <cell r="Q89">
            <v>74930.299998228555</v>
          </cell>
        </row>
        <row r="92">
          <cell r="H92">
            <v>1481165.2508583316</v>
          </cell>
        </row>
      </sheetData>
      <sheetData sheetId="16">
        <row r="85">
          <cell r="Q85">
            <v>101206.76944435629</v>
          </cell>
        </row>
        <row r="86">
          <cell r="H86">
            <v>1978414.9759999984</v>
          </cell>
        </row>
        <row r="89">
          <cell r="Q89">
            <v>74641.888405992504</v>
          </cell>
        </row>
        <row r="92">
          <cell r="H92">
            <v>1338364.5404119417</v>
          </cell>
        </row>
      </sheetData>
      <sheetData sheetId="17">
        <row r="85">
          <cell r="Q85">
            <v>104833.6058744411</v>
          </cell>
        </row>
        <row r="86">
          <cell r="H86">
            <v>1001959.4010000005</v>
          </cell>
        </row>
        <row r="89">
          <cell r="Q89">
            <v>80478.808635846275</v>
          </cell>
        </row>
        <row r="92">
          <cell r="H92">
            <v>552093.18596081831</v>
          </cell>
        </row>
      </sheetData>
      <sheetData sheetId="18">
        <row r="85">
          <cell r="Q85">
            <v>101509.46209266238</v>
          </cell>
        </row>
        <row r="86">
          <cell r="H86">
            <v>3107873.651999996</v>
          </cell>
        </row>
        <row r="89">
          <cell r="Q89">
            <v>77007.798190798974</v>
          </cell>
        </row>
        <row r="92">
          <cell r="H92">
            <v>2089688.394922805</v>
          </cell>
        </row>
      </sheetData>
      <sheetData sheetId="19">
        <row r="85">
          <cell r="Q85">
            <v>112379.53113536825</v>
          </cell>
        </row>
        <row r="86">
          <cell r="H86">
            <v>1021564.0769999998</v>
          </cell>
        </row>
        <row r="89">
          <cell r="Q89">
            <v>73844.468442231169</v>
          </cell>
        </row>
        <row r="92">
          <cell r="H92">
            <v>780762.67088909796</v>
          </cell>
        </row>
      </sheetData>
      <sheetData sheetId="20">
        <row r="85">
          <cell r="Q85">
            <v>113109.09646993653</v>
          </cell>
        </row>
        <row r="86">
          <cell r="H86">
            <v>2170063.0970000019</v>
          </cell>
        </row>
        <row r="89">
          <cell r="Q89">
            <v>72246.297648113468</v>
          </cell>
        </row>
        <row r="92">
          <cell r="H92">
            <v>1793848.9948014123</v>
          </cell>
        </row>
      </sheetData>
      <sheetData sheetId="21">
        <row r="85">
          <cell r="Q85">
            <v>95820.171575491826</v>
          </cell>
        </row>
        <row r="86">
          <cell r="H86">
            <v>415819.29499999998</v>
          </cell>
        </row>
        <row r="89">
          <cell r="Q89">
            <v>71558.770486661015</v>
          </cell>
        </row>
        <row r="92">
          <cell r="H92">
            <v>125124.37058259227</v>
          </cell>
        </row>
      </sheetData>
      <sheetData sheetId="22">
        <row r="85">
          <cell r="Q85">
            <v>125513.06115843271</v>
          </cell>
        </row>
        <row r="86">
          <cell r="H86">
            <v>365922.7449999997</v>
          </cell>
        </row>
        <row r="89">
          <cell r="Q89">
            <v>89324.615823720291</v>
          </cell>
        </row>
        <row r="92">
          <cell r="H92">
            <v>185966.20008836273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판매계획"/>
      <sheetName val="매입계획"/>
      <sheetName val="비율"/>
      <sheetName val="판매4"/>
      <sheetName val="판매6"/>
      <sheetName val="인별예산"/>
      <sheetName val="계정통제"/>
      <sheetName val="본사산출"/>
    </sheetNames>
    <sheetDataSet>
      <sheetData sheetId="0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9800</v>
          </cell>
          <cell r="H6">
            <v>10200</v>
          </cell>
          <cell r="I6">
            <v>10200</v>
          </cell>
          <cell r="J6">
            <v>11100</v>
          </cell>
          <cell r="K6">
            <v>10700</v>
          </cell>
          <cell r="L6">
            <v>10200</v>
          </cell>
          <cell r="M6">
            <v>13500</v>
          </cell>
          <cell r="N6">
            <v>12600</v>
          </cell>
          <cell r="O6">
            <v>12600</v>
          </cell>
          <cell r="P6">
            <v>11000</v>
          </cell>
          <cell r="Q6">
            <v>12600</v>
          </cell>
          <cell r="R6">
            <v>13100</v>
          </cell>
          <cell r="S6">
            <v>137600</v>
          </cell>
          <cell r="T6"/>
          <cell r="U6"/>
          <cell r="V6">
            <v>20000</v>
          </cell>
          <cell r="W6">
            <v>30200</v>
          </cell>
          <cell r="X6">
            <v>41300</v>
          </cell>
          <cell r="Y6">
            <v>52000</v>
          </cell>
          <cell r="Z6">
            <v>62200</v>
          </cell>
          <cell r="AA6">
            <v>75700</v>
          </cell>
          <cell r="AB6">
            <v>88300</v>
          </cell>
          <cell r="AC6">
            <v>100900</v>
          </cell>
          <cell r="AD6">
            <v>111900</v>
          </cell>
          <cell r="AE6">
            <v>124500</v>
          </cell>
          <cell r="AF6">
            <v>137600</v>
          </cell>
        </row>
        <row r="7">
          <cell r="G7">
            <v>10731322.812054796</v>
          </cell>
          <cell r="H7">
            <v>11165945.543013699</v>
          </cell>
          <cell r="I7">
            <v>11165945.543013699</v>
          </cell>
          <cell r="J7">
            <v>12145191.004931508</v>
          </cell>
          <cell r="K7">
            <v>11710568.273972601</v>
          </cell>
          <cell r="L7">
            <v>11165945.543013699</v>
          </cell>
          <cell r="M7">
            <v>14694152.390399996</v>
          </cell>
          <cell r="N7">
            <v>13712918.880000001</v>
          </cell>
          <cell r="O7">
            <v>13712918.880000001</v>
          </cell>
          <cell r="P7">
            <v>11978568.614399999</v>
          </cell>
          <cell r="Q7">
            <v>13712918.880000001</v>
          </cell>
          <cell r="R7">
            <v>14246035.635199999</v>
          </cell>
          <cell r="S7">
            <v>150142431.99999997</v>
          </cell>
          <cell r="T7">
            <v>1091151.3953488369</v>
          </cell>
          <cell r="U7"/>
          <cell r="V7">
            <v>21897268.355068497</v>
          </cell>
          <cell r="W7">
            <v>33063213.898082197</v>
          </cell>
          <cell r="X7">
            <v>45208404.903013706</v>
          </cell>
          <cell r="Y7">
            <v>56918973.176986307</v>
          </cell>
          <cell r="Z7">
            <v>68084918.719999999</v>
          </cell>
          <cell r="AA7">
            <v>82779071.110399991</v>
          </cell>
          <cell r="AB7">
            <v>96491989.990399987</v>
          </cell>
          <cell r="AC7">
            <v>110204908.87039998</v>
          </cell>
          <cell r="AD7">
            <v>122183477.48479998</v>
          </cell>
          <cell r="AE7">
            <v>135896396.36479998</v>
          </cell>
          <cell r="AF7">
            <v>150142431.99999997</v>
          </cell>
        </row>
        <row r="8">
          <cell r="G8">
            <v>1095032.9400055914</v>
          </cell>
          <cell r="H8">
            <v>1094700.5434327156</v>
          </cell>
          <cell r="I8">
            <v>1094700.5434327156</v>
          </cell>
          <cell r="J8">
            <v>1094161.3517956315</v>
          </cell>
          <cell r="K8">
            <v>1094445.6330815514</v>
          </cell>
          <cell r="L8">
            <v>1094700.5434327156</v>
          </cell>
          <cell r="M8">
            <v>1088455.7326222218</v>
          </cell>
          <cell r="N8">
            <v>1088326.8952380954</v>
          </cell>
          <cell r="O8">
            <v>1088326.8952380954</v>
          </cell>
          <cell r="P8">
            <v>1088960.7831272727</v>
          </cell>
          <cell r="Q8">
            <v>1088326.8952380954</v>
          </cell>
          <cell r="R8">
            <v>1087483.6362748093</v>
          </cell>
          <cell r="S8">
            <v>13097622.392919512</v>
          </cell>
          <cell r="T8">
            <v>95186.209250868545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10441182.304265575</v>
          </cell>
          <cell r="H9">
            <v>10864468.817494512</v>
          </cell>
          <cell r="I9">
            <v>10864468.817494512</v>
          </cell>
          <cell r="J9">
            <v>11817136.843952389</v>
          </cell>
          <cell r="K9">
            <v>11393850.330723453</v>
          </cell>
          <cell r="L9">
            <v>10864468.817494512</v>
          </cell>
          <cell r="M9">
            <v>14298333.470727189</v>
          </cell>
          <cell r="N9">
            <v>13342736.269191843</v>
          </cell>
          <cell r="O9">
            <v>13342736.269191843</v>
          </cell>
          <cell r="P9">
            <v>11655606.716888821</v>
          </cell>
          <cell r="Q9">
            <v>13342736.269191843</v>
          </cell>
          <cell r="R9">
            <v>13862078.619959515</v>
          </cell>
          <cell r="S9">
            <v>146089803.54657599</v>
          </cell>
          <cell r="T9">
            <v>1061699.1536815118</v>
          </cell>
          <cell r="U9"/>
          <cell r="V9">
            <v>21305651.121760085</v>
          </cell>
          <cell r="W9">
            <v>32170119.939254597</v>
          </cell>
          <cell r="X9">
            <v>43987256.783206984</v>
          </cell>
          <cell r="Y9">
            <v>55381107.113930434</v>
          </cell>
          <cell r="Z9">
            <v>66245575.931424946</v>
          </cell>
          <cell r="AA9">
            <v>80543909.402152136</v>
          </cell>
          <cell r="AB9">
            <v>93886645.671343982</v>
          </cell>
          <cell r="AC9">
            <v>107229381.94053583</v>
          </cell>
          <cell r="AD9">
            <v>118884988.65742464</v>
          </cell>
          <cell r="AE9">
            <v>132227724.92661649</v>
          </cell>
          <cell r="AF9">
            <v>146089803.54657599</v>
          </cell>
        </row>
        <row r="10">
          <cell r="G10">
            <v>1065426.7657413853</v>
          </cell>
          <cell r="H10">
            <v>1065144.0017151483</v>
          </cell>
          <cell r="I10">
            <v>1065144.0017151483</v>
          </cell>
          <cell r="J10">
            <v>1064606.9228785937</v>
          </cell>
          <cell r="K10">
            <v>1064845.8253012572</v>
          </cell>
          <cell r="L10">
            <v>1065144.0017151483</v>
          </cell>
          <cell r="M10">
            <v>1059135.8126464584</v>
          </cell>
          <cell r="N10">
            <v>1058947.3229517334</v>
          </cell>
          <cell r="O10">
            <v>1058947.3229517334</v>
          </cell>
          <cell r="P10">
            <v>1059600.6106262563</v>
          </cell>
          <cell r="Q10">
            <v>1058947.3229517334</v>
          </cell>
          <cell r="R10">
            <v>1058173.9404549249</v>
          </cell>
          <cell r="S10">
            <v>12744063.851649521</v>
          </cell>
          <cell r="T10">
            <v>92616.743107918024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290140.50778922066</v>
          </cell>
          <cell r="H11">
            <v>301476.72551918775</v>
          </cell>
          <cell r="I11">
            <v>301476.72551918775</v>
          </cell>
          <cell r="J11">
            <v>328054.1609791182</v>
          </cell>
          <cell r="K11">
            <v>316717.94324914739</v>
          </cell>
          <cell r="L11">
            <v>301476.72551918775</v>
          </cell>
          <cell r="M11">
            <v>395818.91967280768</v>
          </cell>
          <cell r="N11">
            <v>370182.61080815829</v>
          </cell>
          <cell r="O11">
            <v>370182.61080815829</v>
          </cell>
          <cell r="P11">
            <v>322961.89751117863</v>
          </cell>
          <cell r="Q11">
            <v>370182.61080815829</v>
          </cell>
          <cell r="R11">
            <v>383957.01524048485</v>
          </cell>
          <cell r="S11">
            <v>4052628.4534239955</v>
          </cell>
          <cell r="T11">
            <v>29452.24166732555</v>
          </cell>
          <cell r="U11"/>
          <cell r="V11">
            <v>591617.23330841213</v>
          </cell>
          <cell r="W11">
            <v>893093.95882759988</v>
          </cell>
          <cell r="X11">
            <v>1221148.1198067218</v>
          </cell>
          <cell r="Y11">
            <v>1537866.0630558729</v>
          </cell>
          <cell r="Z11">
            <v>1839342.7885750532</v>
          </cell>
          <cell r="AA11">
            <v>2235161.7082478553</v>
          </cell>
          <cell r="AB11">
            <v>2605344.3190560043</v>
          </cell>
          <cell r="AC11">
            <v>2975526.9298641533</v>
          </cell>
          <cell r="AD11">
            <v>3298488.8273753375</v>
          </cell>
          <cell r="AE11">
            <v>3668671.4381834865</v>
          </cell>
          <cell r="AF11">
            <v>4052628.4534239769</v>
          </cell>
        </row>
        <row r="12">
          <cell r="G12">
            <v>29606.174264206187</v>
          </cell>
          <cell r="H12">
            <v>29556.541717567427</v>
          </cell>
          <cell r="I12">
            <v>29556.541717567427</v>
          </cell>
          <cell r="J12">
            <v>29554.428917037676</v>
          </cell>
          <cell r="K12">
            <v>29599.807780294148</v>
          </cell>
          <cell r="L12">
            <v>29556.541717567427</v>
          </cell>
          <cell r="M12">
            <v>29319.919975763532</v>
          </cell>
          <cell r="N12">
            <v>29379.572286361767</v>
          </cell>
          <cell r="O12">
            <v>29379.572286361767</v>
          </cell>
          <cell r="P12">
            <v>29360.172501016241</v>
          </cell>
          <cell r="Q12">
            <v>29379.572286361767</v>
          </cell>
          <cell r="R12">
            <v>29309.695819884339</v>
          </cell>
          <cell r="S12">
            <v>353558.54126998968</v>
          </cell>
          <cell r="T12">
            <v>2569.4661429505063</v>
          </cell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2.7036788741766085E-2</v>
          </cell>
          <cell r="H13">
            <v>2.6999659308549601E-2</v>
          </cell>
          <cell r="I13">
            <v>2.6999659308549601E-2</v>
          </cell>
          <cell r="J13">
            <v>2.7011033490203083E-2</v>
          </cell>
          <cell r="K13">
            <v>2.7045480273837002E-2</v>
          </cell>
          <cell r="L13">
            <v>2.6999659308549601E-2</v>
          </cell>
          <cell r="M13">
            <v>2.6937172635517558E-2</v>
          </cell>
          <cell r="N13">
            <v>2.6995172511963279E-2</v>
          </cell>
          <cell r="O13">
            <v>2.6995172511963279E-2</v>
          </cell>
          <cell r="P13">
            <v>2.6961643574252351E-2</v>
          </cell>
          <cell r="Q13">
            <v>2.6995172511963279E-2</v>
          </cell>
          <cell r="R13">
            <v>2.6951849979357047E-2</v>
          </cell>
          <cell r="S13">
            <v>2.6991892960838655E-2</v>
          </cell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117303.42</v>
          </cell>
          <cell r="H14">
            <v>124380.2</v>
          </cell>
          <cell r="I14">
            <v>131106</v>
          </cell>
          <cell r="J14">
            <v>117386.58000000002</v>
          </cell>
          <cell r="K14">
            <v>118764.58000000002</v>
          </cell>
          <cell r="L14">
            <v>128141.56000000001</v>
          </cell>
          <cell r="M14">
            <v>116814.58000000002</v>
          </cell>
          <cell r="N14">
            <v>116814.58000000002</v>
          </cell>
          <cell r="O14">
            <v>140361.42000000001</v>
          </cell>
          <cell r="P14">
            <v>117425.58000000002</v>
          </cell>
          <cell r="Q14">
            <v>116814.58000000002</v>
          </cell>
          <cell r="R14">
            <v>118641.56000000001</v>
          </cell>
          <cell r="S14">
            <v>1463954.6400000004</v>
          </cell>
          <cell r="T14">
            <v>10639.205232558143</v>
          </cell>
          <cell r="U14"/>
          <cell r="V14">
            <v>241683.62</v>
          </cell>
          <cell r="W14">
            <v>372789.62</v>
          </cell>
          <cell r="X14">
            <v>490176.2</v>
          </cell>
          <cell r="Y14">
            <v>608940.78</v>
          </cell>
          <cell r="Z14">
            <v>737082.34000000008</v>
          </cell>
          <cell r="AA14">
            <v>853896.92000000016</v>
          </cell>
          <cell r="AB14">
            <v>970711.50000000023</v>
          </cell>
          <cell r="AC14">
            <v>1111072.9200000002</v>
          </cell>
          <cell r="AD14">
            <v>1228498.5000000002</v>
          </cell>
          <cell r="AE14">
            <v>1345313.0800000003</v>
          </cell>
          <cell r="AF14">
            <v>1463954.6400000001</v>
          </cell>
        </row>
        <row r="15">
          <cell r="G15">
            <v>87502.28</v>
          </cell>
          <cell r="H15">
            <v>87502.28</v>
          </cell>
          <cell r="I15">
            <v>89090.290000000008</v>
          </cell>
          <cell r="J15">
            <v>89090.290000000008</v>
          </cell>
          <cell r="K15">
            <v>89090.290000000008</v>
          </cell>
          <cell r="L15">
            <v>89090.290000000008</v>
          </cell>
          <cell r="M15">
            <v>89090.290000000008</v>
          </cell>
          <cell r="N15">
            <v>89090.290000000008</v>
          </cell>
          <cell r="O15">
            <v>89090.290000000008</v>
          </cell>
          <cell r="P15">
            <v>89090.290000000008</v>
          </cell>
          <cell r="Q15">
            <v>89090.290000000008</v>
          </cell>
          <cell r="R15">
            <v>89090.290000000008</v>
          </cell>
          <cell r="S15">
            <v>1065907.4600000002</v>
          </cell>
          <cell r="T15">
            <v>7746.420494186048</v>
          </cell>
          <cell r="U15"/>
          <cell r="V15">
            <v>175004.56</v>
          </cell>
          <cell r="W15">
            <v>264094.84999999998</v>
          </cell>
          <cell r="X15">
            <v>353185.14</v>
          </cell>
          <cell r="Y15">
            <v>442275.43000000005</v>
          </cell>
          <cell r="Z15">
            <v>531365.72000000009</v>
          </cell>
          <cell r="AA15">
            <v>620456.01000000013</v>
          </cell>
          <cell r="AB15">
            <v>709546.30000000016</v>
          </cell>
          <cell r="AC15">
            <v>798636.5900000002</v>
          </cell>
          <cell r="AD15">
            <v>887726.88000000024</v>
          </cell>
          <cell r="AE15">
            <v>976817.17000000027</v>
          </cell>
          <cell r="AF15">
            <v>1065907.4600000002</v>
          </cell>
        </row>
        <row r="16">
          <cell r="G16">
            <v>29801.14</v>
          </cell>
          <cell r="H16">
            <v>36877.919999999998</v>
          </cell>
          <cell r="I16">
            <v>42015.71</v>
          </cell>
          <cell r="J16">
            <v>28296.29</v>
          </cell>
          <cell r="K16">
            <v>29674.29</v>
          </cell>
          <cell r="L16">
            <v>39051.270000000004</v>
          </cell>
          <cell r="M16">
            <v>27724.29</v>
          </cell>
          <cell r="N16">
            <v>27724.29</v>
          </cell>
          <cell r="O16">
            <v>51271.130000000005</v>
          </cell>
          <cell r="P16">
            <v>28335.29</v>
          </cell>
          <cell r="Q16">
            <v>27724.29</v>
          </cell>
          <cell r="R16">
            <v>29551.27</v>
          </cell>
          <cell r="S16">
            <v>398047.18</v>
          </cell>
          <cell r="T16">
            <v>2892.7847383720932</v>
          </cell>
          <cell r="U16"/>
          <cell r="V16">
            <v>66679.06</v>
          </cell>
          <cell r="W16">
            <v>108694.76999999999</v>
          </cell>
          <cell r="X16">
            <v>136991.06</v>
          </cell>
          <cell r="Y16">
            <v>166665.35</v>
          </cell>
          <cell r="Z16">
            <v>205716.62</v>
          </cell>
          <cell r="AA16">
            <v>233440.91</v>
          </cell>
          <cell r="AB16">
            <v>261165.2</v>
          </cell>
          <cell r="AC16">
            <v>312436.33</v>
          </cell>
          <cell r="AD16">
            <v>340771.62</v>
          </cell>
          <cell r="AE16">
            <v>368495.91</v>
          </cell>
          <cell r="AF16">
            <v>398047.18</v>
          </cell>
        </row>
        <row r="17">
          <cell r="G17">
            <v>172837.08778922068</v>
          </cell>
          <cell r="H17">
            <v>177096.52551918774</v>
          </cell>
          <cell r="I17">
            <v>170370.72551918775</v>
          </cell>
          <cell r="J17">
            <v>210667.58097911818</v>
          </cell>
          <cell r="K17">
            <v>197953.36324914737</v>
          </cell>
          <cell r="L17">
            <v>173335.16551918775</v>
          </cell>
          <cell r="M17">
            <v>279004.33967280766</v>
          </cell>
          <cell r="N17">
            <v>253368.03080815828</v>
          </cell>
          <cell r="O17">
            <v>229821.19080815828</v>
          </cell>
          <cell r="P17">
            <v>205536.31751117861</v>
          </cell>
          <cell r="Q17">
            <v>253368.03080815828</v>
          </cell>
          <cell r="R17">
            <v>265315.45524048485</v>
          </cell>
          <cell r="S17">
            <v>2588673.8134239954</v>
          </cell>
          <cell r="T17">
            <v>18813.036434767408</v>
          </cell>
          <cell r="U17"/>
          <cell r="V17">
            <v>349933.61330841214</v>
          </cell>
          <cell r="W17">
            <v>520304.33882759989</v>
          </cell>
          <cell r="X17">
            <v>730971.91980672185</v>
          </cell>
          <cell r="Y17">
            <v>928925.28305587289</v>
          </cell>
          <cell r="Z17">
            <v>1102260.4485750531</v>
          </cell>
          <cell r="AA17">
            <v>1381264.7882478551</v>
          </cell>
          <cell r="AB17">
            <v>1634632.8190560041</v>
          </cell>
          <cell r="AC17">
            <v>1864454.0098641531</v>
          </cell>
          <cell r="AD17">
            <v>2069990.3273753372</v>
          </cell>
          <cell r="AE17">
            <v>2323358.3581834864</v>
          </cell>
          <cell r="AF17">
            <v>2588673.8134239768</v>
          </cell>
        </row>
        <row r="18">
          <cell r="G18">
            <v>1.6105851144005093E-2</v>
          </cell>
          <cell r="H18">
            <v>1.5860414582622908E-2</v>
          </cell>
          <cell r="I18">
            <v>1.5258065236202515E-2</v>
          </cell>
          <cell r="J18">
            <v>1.7345761041845899E-2</v>
          </cell>
          <cell r="K18">
            <v>1.6903822138940081E-2</v>
          </cell>
          <cell r="L18">
            <v>1.5523554619844978E-2</v>
          </cell>
          <cell r="M18">
            <v>1.8987440191180212E-2</v>
          </cell>
          <cell r="N18">
            <v>1.8476593716140927E-2</v>
          </cell>
          <cell r="O18">
            <v>1.6759465495223454E-2</v>
          </cell>
          <cell r="P18">
            <v>1.715867096708815E-2</v>
          </cell>
          <cell r="Q18">
            <v>1.8476593716140927E-2</v>
          </cell>
          <cell r="R18">
            <v>1.8623809601102412E-2</v>
          </cell>
          <cell r="S18">
            <v>1.7241453857787491E-2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5475.768</v>
          </cell>
          <cell r="H19">
            <v>5475.768</v>
          </cell>
          <cell r="I19">
            <v>5475.768</v>
          </cell>
          <cell r="J19">
            <v>5475.768</v>
          </cell>
          <cell r="K19">
            <v>5475.768</v>
          </cell>
          <cell r="L19">
            <v>5475.768</v>
          </cell>
          <cell r="M19">
            <v>5475.768</v>
          </cell>
          <cell r="N19">
            <v>5475.768</v>
          </cell>
          <cell r="O19">
            <v>5475.768</v>
          </cell>
          <cell r="P19">
            <v>5475.768</v>
          </cell>
          <cell r="Q19">
            <v>5475.768</v>
          </cell>
          <cell r="R19">
            <v>5475.768</v>
          </cell>
          <cell r="S19">
            <v>65709.215999999986</v>
          </cell>
          <cell r="T19">
            <v>477.53790697674407</v>
          </cell>
          <cell r="U19"/>
          <cell r="V19">
            <v>10951.536</v>
          </cell>
          <cell r="W19">
            <v>16427.304</v>
          </cell>
          <cell r="X19">
            <v>21903.072</v>
          </cell>
          <cell r="Y19">
            <v>27378.84</v>
          </cell>
          <cell r="Z19">
            <v>32854.608</v>
          </cell>
          <cell r="AA19">
            <v>38330.376000000004</v>
          </cell>
          <cell r="AB19">
            <v>43806.144</v>
          </cell>
          <cell r="AC19">
            <v>49281.911999999997</v>
          </cell>
          <cell r="AD19">
            <v>54757.679999999993</v>
          </cell>
          <cell r="AE19">
            <v>60233.447999999989</v>
          </cell>
          <cell r="AF19">
            <v>65709.215999999986</v>
          </cell>
        </row>
        <row r="20">
          <cell r="G20">
            <v>5475.768</v>
          </cell>
          <cell r="H20">
            <v>5475.768</v>
          </cell>
          <cell r="I20">
            <v>5475.768</v>
          </cell>
          <cell r="J20">
            <v>5475.768</v>
          </cell>
          <cell r="K20">
            <v>5475.768</v>
          </cell>
          <cell r="L20">
            <v>5475.768</v>
          </cell>
          <cell r="M20">
            <v>5475.768</v>
          </cell>
          <cell r="N20">
            <v>5475.768</v>
          </cell>
          <cell r="O20">
            <v>5475.768</v>
          </cell>
          <cell r="P20">
            <v>5475.768</v>
          </cell>
          <cell r="Q20">
            <v>5475.768</v>
          </cell>
          <cell r="R20">
            <v>5475.768</v>
          </cell>
          <cell r="S20">
            <v>65709.215999999986</v>
          </cell>
          <cell r="T20">
            <v>477.53790697674407</v>
          </cell>
          <cell r="U20"/>
          <cell r="V20">
            <v>10951.536</v>
          </cell>
          <cell r="W20">
            <v>16427.304</v>
          </cell>
          <cell r="X20">
            <v>21903.072</v>
          </cell>
          <cell r="Y20">
            <v>27378.84</v>
          </cell>
          <cell r="Z20">
            <v>32854.608</v>
          </cell>
          <cell r="AA20">
            <v>38330.376000000004</v>
          </cell>
          <cell r="AB20">
            <v>43806.144</v>
          </cell>
          <cell r="AC20">
            <v>49281.911999999997</v>
          </cell>
          <cell r="AD20">
            <v>54757.679999999993</v>
          </cell>
          <cell r="AE20">
            <v>60233.447999999989</v>
          </cell>
          <cell r="AF20">
            <v>65709.215999999986</v>
          </cell>
        </row>
        <row r="21">
          <cell r="G21">
            <v>167361.31978922067</v>
          </cell>
          <cell r="H21">
            <v>171620.75751918773</v>
          </cell>
          <cell r="I21">
            <v>164894.95751918774</v>
          </cell>
          <cell r="J21">
            <v>205191.81297911817</v>
          </cell>
          <cell r="K21">
            <v>192477.59524914736</v>
          </cell>
          <cell r="L21">
            <v>167859.39751918774</v>
          </cell>
          <cell r="M21">
            <v>273528.57167280768</v>
          </cell>
          <cell r="N21">
            <v>247892.26280815827</v>
          </cell>
          <cell r="O21">
            <v>224345.42280815827</v>
          </cell>
          <cell r="P21">
            <v>200060.5495111786</v>
          </cell>
          <cell r="Q21">
            <v>247892.26280815827</v>
          </cell>
          <cell r="R21">
            <v>259839.68724048484</v>
          </cell>
          <cell r="S21">
            <v>2522964.5974239949</v>
          </cell>
          <cell r="T21">
            <v>18335.498527790664</v>
          </cell>
          <cell r="U21"/>
          <cell r="V21">
            <v>338982.07730841212</v>
          </cell>
          <cell r="W21">
            <v>503877.03482759988</v>
          </cell>
          <cell r="X21">
            <v>709068.84780672181</v>
          </cell>
          <cell r="Y21">
            <v>901546.44305587292</v>
          </cell>
          <cell r="Z21">
            <v>1069405.8405750531</v>
          </cell>
          <cell r="AA21">
            <v>1342934.4122478552</v>
          </cell>
          <cell r="AB21">
            <v>1590826.675056004</v>
          </cell>
          <cell r="AC21">
            <v>1815172.0978641531</v>
          </cell>
          <cell r="AD21">
            <v>2015232.6473753373</v>
          </cell>
          <cell r="AE21">
            <v>2263124.9101834865</v>
          </cell>
          <cell r="AF21">
            <v>2522964.5974239768</v>
          </cell>
        </row>
        <row r="22">
          <cell r="G22">
            <v>1.5595590843769885E-2</v>
          </cell>
          <cell r="H22">
            <v>1.5370015629940743E-2</v>
          </cell>
          <cell r="I22">
            <v>1.476766628352035E-2</v>
          </cell>
          <cell r="J22">
            <v>1.6894902097118178E-2</v>
          </cell>
          <cell r="K22">
            <v>1.6436230142386828E-2</v>
          </cell>
          <cell r="L22">
            <v>1.5033155667162812E-2</v>
          </cell>
          <cell r="M22">
            <v>1.8614790728011622E-2</v>
          </cell>
          <cell r="N22">
            <v>1.8077279168456532E-2</v>
          </cell>
          <cell r="O22">
            <v>1.6360150947539058E-2</v>
          </cell>
          <cell r="P22">
            <v>1.6701540555578272E-2</v>
          </cell>
          <cell r="Q22">
            <v>1.8077279168456532E-2</v>
          </cell>
          <cell r="R22">
            <v>1.8239438247540013E-2</v>
          </cell>
          <cell r="S22">
            <v>1.6803807982969102E-2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S23"/>
        </row>
        <row r="24">
          <cell r="G24">
            <v>9800</v>
          </cell>
          <cell r="H24">
            <v>10200</v>
          </cell>
          <cell r="I24">
            <v>10200</v>
          </cell>
          <cell r="J24">
            <v>11100</v>
          </cell>
          <cell r="K24">
            <v>10700</v>
          </cell>
          <cell r="L24">
            <v>10200</v>
          </cell>
          <cell r="M24">
            <v>13500</v>
          </cell>
          <cell r="N24">
            <v>12600</v>
          </cell>
          <cell r="O24">
            <v>12600</v>
          </cell>
          <cell r="P24">
            <v>11000</v>
          </cell>
          <cell r="Q24">
            <v>12600</v>
          </cell>
          <cell r="R24">
            <v>13100</v>
          </cell>
          <cell r="S24">
            <v>137600</v>
          </cell>
          <cell r="T24"/>
          <cell r="U24"/>
          <cell r="V24">
            <v>20000</v>
          </cell>
          <cell r="W24">
            <v>30200</v>
          </cell>
          <cell r="X24">
            <v>41300</v>
          </cell>
          <cell r="Y24">
            <v>52000</v>
          </cell>
          <cell r="Z24">
            <v>62200</v>
          </cell>
          <cell r="AA24">
            <v>75700</v>
          </cell>
          <cell r="AB24">
            <v>88300</v>
          </cell>
          <cell r="AC24">
            <v>100900</v>
          </cell>
          <cell r="AD24">
            <v>111900</v>
          </cell>
          <cell r="AE24">
            <v>124500</v>
          </cell>
          <cell r="AF24">
            <v>137600</v>
          </cell>
        </row>
        <row r="25">
          <cell r="G25">
            <v>872959.18367346935</v>
          </cell>
          <cell r="H25">
            <v>872058.82352941169</v>
          </cell>
          <cell r="I25">
            <v>872058.82352941169</v>
          </cell>
          <cell r="J25">
            <v>872522.52252252249</v>
          </cell>
          <cell r="K25">
            <v>873364.48598130851</v>
          </cell>
          <cell r="L25">
            <v>872058.82352941169</v>
          </cell>
          <cell r="M25">
            <v>872222.22222222213</v>
          </cell>
          <cell r="N25">
            <v>873809.5238095239</v>
          </cell>
          <cell r="O25">
            <v>873809.5238095239</v>
          </cell>
          <cell r="P25">
            <v>872727.27272727271</v>
          </cell>
          <cell r="Q25">
            <v>873809.5238095239</v>
          </cell>
          <cell r="R25">
            <v>872900.76335877855</v>
          </cell>
          <cell r="S25">
            <v>872892.44186046522</v>
          </cell>
          <cell r="T25"/>
          <cell r="U25"/>
          <cell r="V25">
            <v>872500</v>
          </cell>
          <cell r="W25">
            <v>872350.99337748345</v>
          </cell>
          <cell r="X25">
            <v>872397.09443099273</v>
          </cell>
          <cell r="Y25">
            <v>872596.15384615376</v>
          </cell>
          <cell r="Z25">
            <v>872508.03858520894</v>
          </cell>
          <cell r="AA25">
            <v>872457.06737120217</v>
          </cell>
          <cell r="AB25">
            <v>872650.05662514153</v>
          </cell>
          <cell r="AC25">
            <v>872794.84638255707</v>
          </cell>
          <cell r="AD25">
            <v>872788.20375335123</v>
          </cell>
          <cell r="AE25">
            <v>872891.56626506022</v>
          </cell>
          <cell r="AF25">
            <v>872892.44186046522</v>
          </cell>
        </row>
        <row r="26">
          <cell r="G26">
            <v>8555000</v>
          </cell>
          <cell r="H26">
            <v>8895000</v>
          </cell>
          <cell r="I26">
            <v>8895000</v>
          </cell>
          <cell r="J26">
            <v>9685000</v>
          </cell>
          <cell r="K26">
            <v>9345000</v>
          </cell>
          <cell r="L26">
            <v>8895000</v>
          </cell>
          <cell r="M26">
            <v>11775000</v>
          </cell>
          <cell r="N26">
            <v>11010000</v>
          </cell>
          <cell r="O26">
            <v>11010000</v>
          </cell>
          <cell r="P26">
            <v>9600000</v>
          </cell>
          <cell r="Q26">
            <v>11010000</v>
          </cell>
          <cell r="R26">
            <v>11435000</v>
          </cell>
          <cell r="S26">
            <v>120110000</v>
          </cell>
          <cell r="T26"/>
          <cell r="U26"/>
          <cell r="V26">
            <v>17450000</v>
          </cell>
          <cell r="W26">
            <v>26345000</v>
          </cell>
          <cell r="X26">
            <v>36030000</v>
          </cell>
          <cell r="Y26">
            <v>45375000</v>
          </cell>
          <cell r="Z26">
            <v>54270000</v>
          </cell>
          <cell r="AA26">
            <v>66045000</v>
          </cell>
          <cell r="AB26">
            <v>77055000</v>
          </cell>
          <cell r="AC26">
            <v>88065000</v>
          </cell>
          <cell r="AD26">
            <v>97665000</v>
          </cell>
          <cell r="AE26">
            <v>108675000</v>
          </cell>
          <cell r="AF26">
            <v>120110000</v>
          </cell>
        </row>
        <row r="27">
          <cell r="G27">
            <v>2176322.8120547961</v>
          </cell>
          <cell r="H27">
            <v>2270945.5430136994</v>
          </cell>
          <cell r="I27">
            <v>2270945.5430136994</v>
          </cell>
          <cell r="J27">
            <v>2460191.0049315076</v>
          </cell>
          <cell r="K27">
            <v>2365568.2739726007</v>
          </cell>
          <cell r="L27">
            <v>2270945.5430136994</v>
          </cell>
          <cell r="M27">
            <v>2919152.3903999962</v>
          </cell>
          <cell r="N27">
            <v>2702918.8800000008</v>
          </cell>
          <cell r="O27">
            <v>2702918.8800000008</v>
          </cell>
          <cell r="P27">
            <v>2378568.6143999994</v>
          </cell>
          <cell r="Q27">
            <v>2702918.8800000008</v>
          </cell>
          <cell r="R27">
            <v>2811035.6351999994</v>
          </cell>
          <cell r="S27">
            <v>30032432.000000007</v>
          </cell>
          <cell r="T27"/>
          <cell r="U27"/>
          <cell r="V27">
            <v>4447268.3550684955</v>
          </cell>
          <cell r="W27">
            <v>6718213.8980821948</v>
          </cell>
          <cell r="X27">
            <v>9178404.9030137025</v>
          </cell>
          <cell r="Y27">
            <v>11543973.176986303</v>
          </cell>
          <cell r="Z27">
            <v>13814918.720000003</v>
          </cell>
          <cell r="AA27">
            <v>16734071.110399999</v>
          </cell>
          <cell r="AB27">
            <v>19436989.990400001</v>
          </cell>
          <cell r="AC27">
            <v>22139908.870400004</v>
          </cell>
          <cell r="AD27">
            <v>24518477.484800003</v>
          </cell>
          <cell r="AE27">
            <v>27221396.364800006</v>
          </cell>
          <cell r="AF27">
            <v>30032432.000000007</v>
          </cell>
        </row>
        <row r="28">
          <cell r="G28">
            <v>10731322.812054796</v>
          </cell>
          <cell r="H28">
            <v>11165945.543013699</v>
          </cell>
          <cell r="I28">
            <v>11165945.543013699</v>
          </cell>
          <cell r="J28">
            <v>12145191.004931508</v>
          </cell>
          <cell r="K28">
            <v>11710568.273972601</v>
          </cell>
          <cell r="L28">
            <v>11165945.543013699</v>
          </cell>
          <cell r="M28">
            <v>14694152.390399996</v>
          </cell>
          <cell r="N28">
            <v>13712918.880000001</v>
          </cell>
          <cell r="O28">
            <v>13712918.880000001</v>
          </cell>
          <cell r="P28">
            <v>11978568.614399999</v>
          </cell>
          <cell r="Q28">
            <v>13712918.880000001</v>
          </cell>
          <cell r="R28">
            <v>14246035.635199999</v>
          </cell>
          <cell r="S28">
            <v>150142431.99999997</v>
          </cell>
          <cell r="T28"/>
          <cell r="U28"/>
          <cell r="V28">
            <v>21897268.355068497</v>
          </cell>
          <cell r="W28">
            <v>33063213.898082197</v>
          </cell>
          <cell r="X28">
            <v>45208404.903013706</v>
          </cell>
          <cell r="Y28">
            <v>56918973.176986307</v>
          </cell>
          <cell r="Z28">
            <v>68084918.719999999</v>
          </cell>
          <cell r="AA28">
            <v>82779071.110399991</v>
          </cell>
          <cell r="AB28">
            <v>96491989.990400001</v>
          </cell>
          <cell r="AC28">
            <v>110204908.87040001</v>
          </cell>
          <cell r="AD28">
            <v>122183477.48480001</v>
          </cell>
          <cell r="AE28">
            <v>135896396.36480001</v>
          </cell>
          <cell r="AF28">
            <v>150142432</v>
          </cell>
        </row>
        <row r="29">
          <cell r="G29">
            <v>8349642.5</v>
          </cell>
          <cell r="H29">
            <v>8681992.5</v>
          </cell>
          <cell r="I29">
            <v>8681992.5</v>
          </cell>
          <cell r="J29">
            <v>9452787.5</v>
          </cell>
          <cell r="K29">
            <v>9120437.5</v>
          </cell>
          <cell r="L29">
            <v>8681992.5</v>
          </cell>
          <cell r="M29">
            <v>11492902.5</v>
          </cell>
          <cell r="N29">
            <v>10745115</v>
          </cell>
          <cell r="O29">
            <v>10745115</v>
          </cell>
          <cell r="P29">
            <v>9369700</v>
          </cell>
          <cell r="Q29">
            <v>10745115</v>
          </cell>
          <cell r="R29">
            <v>11160552.5</v>
          </cell>
          <cell r="S29">
            <v>117227345</v>
          </cell>
          <cell r="T29"/>
          <cell r="U29"/>
          <cell r="V29">
            <v>17031635</v>
          </cell>
          <cell r="W29">
            <v>25713627.5</v>
          </cell>
          <cell r="X29">
            <v>35166415</v>
          </cell>
          <cell r="Y29">
            <v>44286852.5</v>
          </cell>
          <cell r="Z29">
            <v>52968845</v>
          </cell>
          <cell r="AA29">
            <v>64461747.5</v>
          </cell>
          <cell r="AB29">
            <v>75206862.5</v>
          </cell>
          <cell r="AC29">
            <v>85951977.5</v>
          </cell>
          <cell r="AD29">
            <v>95321677.5</v>
          </cell>
          <cell r="AE29">
            <v>106066792.5</v>
          </cell>
          <cell r="AF29">
            <v>117227345</v>
          </cell>
        </row>
        <row r="30">
          <cell r="G30">
            <v>2091539.8042655755</v>
          </cell>
          <cell r="H30">
            <v>2182476.3174945116</v>
          </cell>
          <cell r="I30">
            <v>2182476.3174945116</v>
          </cell>
          <cell r="J30">
            <v>2364349.3439523894</v>
          </cell>
          <cell r="K30">
            <v>2273412.8307234533</v>
          </cell>
          <cell r="L30">
            <v>2182476.3174945116</v>
          </cell>
          <cell r="M30">
            <v>2805430.9707271885</v>
          </cell>
          <cell r="N30">
            <v>2597621.2691918425</v>
          </cell>
          <cell r="O30">
            <v>2597621.2691918425</v>
          </cell>
          <cell r="P30">
            <v>2285906.7168888208</v>
          </cell>
          <cell r="Q30">
            <v>2597621.2691918425</v>
          </cell>
          <cell r="R30">
            <v>2701526.1199595146</v>
          </cell>
          <cell r="S30">
            <v>28862458.546576001</v>
          </cell>
          <cell r="T30"/>
          <cell r="U30"/>
          <cell r="V30">
            <v>4274016.1217600871</v>
          </cell>
          <cell r="W30">
            <v>6456492.4392545987</v>
          </cell>
          <cell r="X30">
            <v>8820841.7832069881</v>
          </cell>
          <cell r="Y30">
            <v>11094254.613930441</v>
          </cell>
          <cell r="Z30">
            <v>13276730.931424953</v>
          </cell>
          <cell r="AA30">
            <v>16082161.902152142</v>
          </cell>
          <cell r="AB30">
            <v>18679783.171343982</v>
          </cell>
          <cell r="AC30">
            <v>21277404.440535825</v>
          </cell>
          <cell r="AD30">
            <v>23563311.157424644</v>
          </cell>
          <cell r="AE30">
            <v>26160932.426616486</v>
          </cell>
          <cell r="AF30">
            <v>28862458.546576001</v>
          </cell>
        </row>
        <row r="31">
          <cell r="G31">
            <v>10441182.304265575</v>
          </cell>
          <cell r="H31">
            <v>10864468.817494512</v>
          </cell>
          <cell r="I31">
            <v>10864468.817494512</v>
          </cell>
          <cell r="J31">
            <v>11817136.843952389</v>
          </cell>
          <cell r="K31">
            <v>11393850.330723453</v>
          </cell>
          <cell r="L31">
            <v>10864468.817494512</v>
          </cell>
          <cell r="M31">
            <v>14298333.470727189</v>
          </cell>
          <cell r="N31">
            <v>13342736.269191843</v>
          </cell>
          <cell r="O31">
            <v>13342736.269191843</v>
          </cell>
          <cell r="P31">
            <v>11655606.716888821</v>
          </cell>
          <cell r="Q31">
            <v>13342736.269191843</v>
          </cell>
          <cell r="R31">
            <v>13862078.619959515</v>
          </cell>
          <cell r="S31">
            <v>146089803.54657599</v>
          </cell>
          <cell r="T31"/>
          <cell r="U31"/>
          <cell r="V31">
            <v>21305651.121760085</v>
          </cell>
          <cell r="W31">
            <v>32170119.939254597</v>
          </cell>
          <cell r="X31">
            <v>43987256.783206984</v>
          </cell>
          <cell r="Y31">
            <v>55381107.113930441</v>
          </cell>
          <cell r="Z31">
            <v>66245575.931424953</v>
          </cell>
          <cell r="AA31">
            <v>80543909.402152136</v>
          </cell>
          <cell r="AB31">
            <v>93886645.671343982</v>
          </cell>
          <cell r="AC31">
            <v>107229381.94053583</v>
          </cell>
          <cell r="AD31">
            <v>118884988.65742464</v>
          </cell>
          <cell r="AE31">
            <v>132227724.92661649</v>
          </cell>
          <cell r="AF31">
            <v>146089803.54657599</v>
          </cell>
        </row>
        <row r="32">
          <cell r="G32">
            <v>205357.5</v>
          </cell>
          <cell r="H32">
            <v>213007.5</v>
          </cell>
          <cell r="I32">
            <v>213007.5</v>
          </cell>
          <cell r="J32">
            <v>232212.5</v>
          </cell>
          <cell r="K32">
            <v>224562.5</v>
          </cell>
          <cell r="L32">
            <v>213007.5</v>
          </cell>
          <cell r="M32">
            <v>282097.5</v>
          </cell>
          <cell r="N32">
            <v>264885</v>
          </cell>
          <cell r="O32">
            <v>264885</v>
          </cell>
          <cell r="P32">
            <v>230300</v>
          </cell>
          <cell r="Q32">
            <v>264885</v>
          </cell>
          <cell r="R32">
            <v>274447.5</v>
          </cell>
          <cell r="S32">
            <v>2882655</v>
          </cell>
          <cell r="T32"/>
          <cell r="U32"/>
          <cell r="V32">
            <v>418365</v>
          </cell>
          <cell r="W32">
            <v>631372.5</v>
          </cell>
          <cell r="X32">
            <v>863585</v>
          </cell>
          <cell r="Y32">
            <v>1088147.5</v>
          </cell>
          <cell r="Z32">
            <v>1301155</v>
          </cell>
          <cell r="AA32">
            <v>1583252.5</v>
          </cell>
          <cell r="AB32">
            <v>1848137.5</v>
          </cell>
          <cell r="AC32">
            <v>2113022.5</v>
          </cell>
          <cell r="AD32">
            <v>2343322.5</v>
          </cell>
          <cell r="AE32">
            <v>2608207.5</v>
          </cell>
          <cell r="AF32">
            <v>2882655</v>
          </cell>
        </row>
        <row r="33">
          <cell r="G33">
            <v>2.4004383401519579E-2</v>
          </cell>
          <cell r="H33">
            <v>2.3946880269814501E-2</v>
          </cell>
          <cell r="I33">
            <v>2.3946880269814501E-2</v>
          </cell>
          <cell r="J33">
            <v>2.3976510067114095E-2</v>
          </cell>
          <cell r="K33">
            <v>2.4030230069555913E-2</v>
          </cell>
          <cell r="L33">
            <v>2.3946880269814501E-2</v>
          </cell>
          <cell r="M33">
            <v>2.3957324840764332E-2</v>
          </cell>
          <cell r="N33">
            <v>2.4058583106267031E-2</v>
          </cell>
          <cell r="O33">
            <v>2.4058583106267031E-2</v>
          </cell>
          <cell r="P33">
            <v>2.3989583333333335E-2</v>
          </cell>
          <cell r="Q33">
            <v>2.4058583106267031E-2</v>
          </cell>
          <cell r="R33">
            <v>2.4000655881066899E-2</v>
          </cell>
          <cell r="S33">
            <v>2.4000124885521605E-2</v>
          </cell>
          <cell r="T33"/>
          <cell r="U33"/>
          <cell r="V33">
            <v>2.3975071633237824E-2</v>
          </cell>
          <cell r="W33">
            <v>2.3965553235908141E-2</v>
          </cell>
          <cell r="X33">
            <v>2.3968498473494311E-2</v>
          </cell>
          <cell r="Y33">
            <v>2.3981212121212122E-2</v>
          </cell>
          <cell r="Z33">
            <v>2.3975585037774094E-2</v>
          </cell>
          <cell r="AA33">
            <v>2.3972329472329471E-2</v>
          </cell>
          <cell r="AB33">
            <v>2.3984653818700928E-2</v>
          </cell>
          <cell r="AC33">
            <v>2.3993896553681938E-2</v>
          </cell>
          <cell r="AD33">
            <v>2.3993472584856398E-2</v>
          </cell>
          <cell r="AE33">
            <v>2.4000069013112493E-2</v>
          </cell>
          <cell r="AF33">
            <v>2.4000124885521605E-2</v>
          </cell>
        </row>
        <row r="34">
          <cell r="G34">
            <v>84783.007789220661</v>
          </cell>
          <cell r="H34">
            <v>88469.225519187748</v>
          </cell>
          <cell r="I34">
            <v>88469.225519187748</v>
          </cell>
          <cell r="J34">
            <v>95841.660979118198</v>
          </cell>
          <cell r="K34">
            <v>92155.443249147385</v>
          </cell>
          <cell r="L34">
            <v>88469.225519187748</v>
          </cell>
          <cell r="M34">
            <v>113721.41967280768</v>
          </cell>
          <cell r="N34">
            <v>105297.61080815829</v>
          </cell>
          <cell r="O34">
            <v>105297.61080815829</v>
          </cell>
          <cell r="P34">
            <v>92661.897511178628</v>
          </cell>
          <cell r="Q34">
            <v>105297.61080815829</v>
          </cell>
          <cell r="R34">
            <v>109509.51524048485</v>
          </cell>
          <cell r="S34">
            <v>1169973.4534240067</v>
          </cell>
          <cell r="T34"/>
          <cell r="U34"/>
          <cell r="V34">
            <v>173252.23330840841</v>
          </cell>
          <cell r="W34">
            <v>261721.45882759616</v>
          </cell>
          <cell r="X34">
            <v>357563.11980671436</v>
          </cell>
          <cell r="Y34">
            <v>449718.56305586174</v>
          </cell>
          <cell r="Z34">
            <v>538187.78857504949</v>
          </cell>
          <cell r="AA34">
            <v>651909.20824785717</v>
          </cell>
          <cell r="AB34">
            <v>757206.81905601919</v>
          </cell>
          <cell r="AC34">
            <v>862504.42986417934</v>
          </cell>
          <cell r="AD34">
            <v>955166.32737535983</v>
          </cell>
          <cell r="AE34">
            <v>1060463.93818352</v>
          </cell>
          <cell r="AF34">
            <v>1169973.4534240067</v>
          </cell>
        </row>
        <row r="35">
          <cell r="G35">
            <v>3.8957000000000901E-2</v>
          </cell>
          <cell r="H35">
            <v>3.8957000000001352E-2</v>
          </cell>
          <cell r="I35">
            <v>3.8957000000001352E-2</v>
          </cell>
          <cell r="J35">
            <v>3.8957000000000588E-2</v>
          </cell>
          <cell r="K35">
            <v>3.8956999999998639E-2</v>
          </cell>
          <cell r="L35">
            <v>3.8957000000001352E-2</v>
          </cell>
          <cell r="M35">
            <v>3.8956999999998299E-2</v>
          </cell>
          <cell r="N35">
            <v>3.895699999999936E-2</v>
          </cell>
          <cell r="O35">
            <v>3.895699999999936E-2</v>
          </cell>
          <cell r="P35">
            <v>3.8956999999999097E-2</v>
          </cell>
          <cell r="Q35">
            <v>3.895699999999936E-2</v>
          </cell>
          <cell r="R35">
            <v>3.8956999999999457E-2</v>
          </cell>
          <cell r="S35">
            <v>3.8957000000000214E-2</v>
          </cell>
          <cell r="T35"/>
          <cell r="U35"/>
          <cell r="V35">
            <v>3.895700000000113E-2</v>
          </cell>
          <cell r="W35">
            <v>3.8957000000001206E-2</v>
          </cell>
          <cell r="X35">
            <v>3.8957000000001039E-2</v>
          </cell>
          <cell r="Y35">
            <v>3.8957000000000547E-2</v>
          </cell>
          <cell r="Z35">
            <v>3.8957000000000679E-2</v>
          </cell>
          <cell r="AA35">
            <v>3.8957000000000262E-2</v>
          </cell>
          <cell r="AB35">
            <v>3.8957000000000325E-2</v>
          </cell>
          <cell r="AC35">
            <v>3.895700000000029E-2</v>
          </cell>
          <cell r="AD35">
            <v>3.8957000000000248E-2</v>
          </cell>
          <cell r="AE35">
            <v>3.8957000000000228E-2</v>
          </cell>
          <cell r="AF35">
            <v>3.8957000000000214E-2</v>
          </cell>
        </row>
        <row r="36">
          <cell r="G36">
            <v>290140.50778922066</v>
          </cell>
          <cell r="H36">
            <v>301476.72551918775</v>
          </cell>
          <cell r="I36">
            <v>301476.72551918775</v>
          </cell>
          <cell r="J36">
            <v>328054.1609791182</v>
          </cell>
          <cell r="K36">
            <v>316717.94324914739</v>
          </cell>
          <cell r="L36">
            <v>301476.72551918775</v>
          </cell>
          <cell r="M36">
            <v>395818.91967280768</v>
          </cell>
          <cell r="N36">
            <v>370182.61080815829</v>
          </cell>
          <cell r="O36">
            <v>370182.61080815829</v>
          </cell>
          <cell r="P36">
            <v>322961.89751117863</v>
          </cell>
          <cell r="Q36">
            <v>370182.61080815829</v>
          </cell>
          <cell r="R36">
            <v>383957.01524048485</v>
          </cell>
          <cell r="S36">
            <v>4052628.4534240067</v>
          </cell>
          <cell r="T36"/>
          <cell r="U36"/>
          <cell r="V36">
            <v>591617.23330840841</v>
          </cell>
          <cell r="W36">
            <v>893093.95882759616</v>
          </cell>
          <cell r="X36">
            <v>1221148.1198067144</v>
          </cell>
          <cell r="Y36">
            <v>1537866.0630558617</v>
          </cell>
          <cell r="Z36">
            <v>1839342.7885750495</v>
          </cell>
          <cell r="AA36">
            <v>2235161.7082478572</v>
          </cell>
          <cell r="AB36">
            <v>2605344.3190560192</v>
          </cell>
          <cell r="AC36">
            <v>2975526.9298641793</v>
          </cell>
          <cell r="AD36">
            <v>3298488.8273753598</v>
          </cell>
          <cell r="AE36">
            <v>3668671.43818352</v>
          </cell>
          <cell r="AF36">
            <v>4052628.4534240067</v>
          </cell>
        </row>
        <row r="37">
          <cell r="G37">
            <v>2.7036788741766085E-2</v>
          </cell>
          <cell r="H37">
            <v>2.6999659308549601E-2</v>
          </cell>
          <cell r="I37">
            <v>2.6999659308549601E-2</v>
          </cell>
          <cell r="J37">
            <v>2.7011033490203083E-2</v>
          </cell>
          <cell r="K37">
            <v>2.7045480273837002E-2</v>
          </cell>
          <cell r="L37">
            <v>2.6999659308549601E-2</v>
          </cell>
          <cell r="M37">
            <v>2.6937172635517558E-2</v>
          </cell>
          <cell r="N37">
            <v>2.6995172511963279E-2</v>
          </cell>
          <cell r="O37">
            <v>2.6995172511963279E-2</v>
          </cell>
          <cell r="P37">
            <v>2.6961643574252351E-2</v>
          </cell>
          <cell r="Q37">
            <v>2.6995172511963279E-2</v>
          </cell>
          <cell r="R37">
            <v>2.6951849979357047E-2</v>
          </cell>
          <cell r="S37">
            <v>2.6991892960838728E-2</v>
          </cell>
          <cell r="T37"/>
          <cell r="U37"/>
          <cell r="V37">
            <v>2.7017855547788839E-2</v>
          </cell>
          <cell r="W37">
            <v>2.7011710403609591E-2</v>
          </cell>
          <cell r="X37">
            <v>2.7011528551526259E-2</v>
          </cell>
          <cell r="Y37">
            <v>2.701851381390797E-2</v>
          </cell>
          <cell r="Z37">
            <v>2.7015421669802787E-2</v>
          </cell>
          <cell r="AA37">
            <v>2.7001531646409612E-2</v>
          </cell>
          <cell r="AB37">
            <v>2.7000627920672225E-2</v>
          </cell>
          <cell r="AC37">
            <v>2.6999949098123862E-2</v>
          </cell>
          <cell r="AD37">
            <v>2.6996193718464935E-2</v>
          </cell>
          <cell r="AE37">
            <v>2.6996090671421086E-2</v>
          </cell>
          <cell r="AF37">
            <v>2.6991892960838725E-2</v>
          </cell>
        </row>
        <row r="39">
          <cell r="G39">
            <v>0.79719901729076015</v>
          </cell>
          <cell r="H39">
            <v>0.79661860840485799</v>
          </cell>
          <cell r="I39">
            <v>0.79661860840485799</v>
          </cell>
          <cell r="J39">
            <v>0.79743496796941638</v>
          </cell>
          <cell r="K39">
            <v>0.79799714081935635</v>
          </cell>
          <cell r="L39">
            <v>0.79661860840485799</v>
          </cell>
          <cell r="M39">
            <v>0.80133917814088129</v>
          </cell>
          <cell r="N39">
            <v>0.80289252028303393</v>
          </cell>
          <cell r="O39">
            <v>0.80289252028303393</v>
          </cell>
          <cell r="P39">
            <v>0.80143131529583511</v>
          </cell>
          <cell r="Q39">
            <v>0.80289252028303393</v>
          </cell>
          <cell r="R39">
            <v>0.80267944660658319</v>
          </cell>
          <cell r="S39">
            <v>0.79997372095318142</v>
          </cell>
        </row>
        <row r="40">
          <cell r="G40">
            <v>0.20280098270923988</v>
          </cell>
          <cell r="H40">
            <v>0.20338139159514196</v>
          </cell>
          <cell r="I40">
            <v>0.20338139159514196</v>
          </cell>
          <cell r="J40">
            <v>0.20256503203058368</v>
          </cell>
          <cell r="K40">
            <v>0.20200285918064367</v>
          </cell>
          <cell r="L40">
            <v>0.20338139159514196</v>
          </cell>
          <cell r="M40">
            <v>0.19866082185911865</v>
          </cell>
          <cell r="N40">
            <v>0.19710747971696604</v>
          </cell>
          <cell r="O40">
            <v>0.19710747971696604</v>
          </cell>
          <cell r="P40">
            <v>0.19856868470416494</v>
          </cell>
          <cell r="Q40">
            <v>0.19710747971696604</v>
          </cell>
          <cell r="R40">
            <v>0.19732055339341675</v>
          </cell>
          <cell r="S40">
            <v>0.20002627904681877</v>
          </cell>
        </row>
      </sheetData>
      <sheetData sheetId="1" refreshError="1"/>
      <sheetData sheetId="2" refreshError="1"/>
      <sheetData sheetId="3" refreshError="1"/>
      <sheetData sheetId="4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65764.44</v>
          </cell>
          <cell r="H6">
            <v>65764.44</v>
          </cell>
          <cell r="I6">
            <v>67046.720000000001</v>
          </cell>
          <cell r="J6">
            <v>67046.720000000001</v>
          </cell>
          <cell r="K6">
            <v>67046.720000000001</v>
          </cell>
          <cell r="L6">
            <v>67046.720000000001</v>
          </cell>
          <cell r="M6">
            <v>67046.720000000001</v>
          </cell>
          <cell r="N6">
            <v>67046.720000000001</v>
          </cell>
          <cell r="O6">
            <v>67046.720000000001</v>
          </cell>
          <cell r="P6">
            <v>67046.720000000001</v>
          </cell>
          <cell r="Q6">
            <v>67046.720000000001</v>
          </cell>
          <cell r="R6">
            <v>67046.720000000001</v>
          </cell>
          <cell r="S6">
            <v>801996.07999999984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14899.81</v>
          </cell>
          <cell r="H8">
            <v>14899.81</v>
          </cell>
          <cell r="I8">
            <v>15205.54</v>
          </cell>
          <cell r="J8">
            <v>15205.54</v>
          </cell>
          <cell r="K8">
            <v>15205.54</v>
          </cell>
          <cell r="L8">
            <v>15205.54</v>
          </cell>
          <cell r="M8">
            <v>15205.54</v>
          </cell>
          <cell r="N8">
            <v>15205.54</v>
          </cell>
          <cell r="O8">
            <v>15205.54</v>
          </cell>
          <cell r="P8">
            <v>15205.54</v>
          </cell>
          <cell r="Q8">
            <v>15205.54</v>
          </cell>
          <cell r="R8">
            <v>15205.54</v>
          </cell>
          <cell r="S8">
            <v>181855.02000000005</v>
          </cell>
        </row>
        <row r="9">
          <cell r="G9">
            <v>6838.03</v>
          </cell>
          <cell r="H9">
            <v>6838.03</v>
          </cell>
          <cell r="I9">
            <v>6838.03</v>
          </cell>
          <cell r="J9">
            <v>6838.03</v>
          </cell>
          <cell r="K9">
            <v>6838.03</v>
          </cell>
          <cell r="L9">
            <v>6838.03</v>
          </cell>
          <cell r="M9">
            <v>6838.03</v>
          </cell>
          <cell r="N9">
            <v>6838.03</v>
          </cell>
          <cell r="O9">
            <v>6838.03</v>
          </cell>
          <cell r="P9">
            <v>6838.03</v>
          </cell>
          <cell r="Q9">
            <v>6838.03</v>
          </cell>
          <cell r="R9">
            <v>6838.03</v>
          </cell>
          <cell r="S9">
            <v>82056.36</v>
          </cell>
        </row>
        <row r="10">
          <cell r="G10">
            <v>87502.28</v>
          </cell>
          <cell r="H10">
            <v>87502.28</v>
          </cell>
          <cell r="I10">
            <v>89090.290000000008</v>
          </cell>
          <cell r="J10">
            <v>89090.290000000008</v>
          </cell>
          <cell r="K10">
            <v>89090.290000000008</v>
          </cell>
          <cell r="L10">
            <v>89090.290000000008</v>
          </cell>
          <cell r="M10">
            <v>89090.290000000008</v>
          </cell>
          <cell r="N10">
            <v>89090.290000000008</v>
          </cell>
          <cell r="O10">
            <v>89090.290000000008</v>
          </cell>
          <cell r="P10">
            <v>89090.290000000008</v>
          </cell>
          <cell r="Q10">
            <v>89090.290000000008</v>
          </cell>
          <cell r="R10">
            <v>89090.290000000008</v>
          </cell>
          <cell r="S10">
            <v>1065907.46</v>
          </cell>
        </row>
        <row r="11">
          <cell r="G11">
            <v>11646.22</v>
          </cell>
          <cell r="H11">
            <v>10723</v>
          </cell>
          <cell r="I11">
            <v>23814.19</v>
          </cell>
          <cell r="J11">
            <v>10094.77</v>
          </cell>
          <cell r="K11">
            <v>11472.77</v>
          </cell>
          <cell r="L11">
            <v>20849.75</v>
          </cell>
          <cell r="M11">
            <v>9522.77</v>
          </cell>
          <cell r="N11">
            <v>9522.77</v>
          </cell>
          <cell r="O11">
            <v>25069.61</v>
          </cell>
          <cell r="P11">
            <v>10133.77</v>
          </cell>
          <cell r="Q11">
            <v>9522.77</v>
          </cell>
          <cell r="R11">
            <v>11349.75</v>
          </cell>
          <cell r="S11">
            <v>163722.14000000001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850</v>
          </cell>
          <cell r="H13">
            <v>850</v>
          </cell>
          <cell r="I13">
            <v>850</v>
          </cell>
          <cell r="J13">
            <v>850</v>
          </cell>
          <cell r="K13">
            <v>850</v>
          </cell>
          <cell r="L13">
            <v>850</v>
          </cell>
          <cell r="M13">
            <v>850</v>
          </cell>
          <cell r="N13">
            <v>850</v>
          </cell>
          <cell r="O13">
            <v>850</v>
          </cell>
          <cell r="P13">
            <v>850</v>
          </cell>
          <cell r="Q13">
            <v>850</v>
          </cell>
          <cell r="R13">
            <v>850</v>
          </cell>
          <cell r="S13">
            <v>10200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G18">
            <v>3226.92</v>
          </cell>
          <cell r="H18">
            <v>3226.92</v>
          </cell>
          <cell r="I18">
            <v>3273.52</v>
          </cell>
          <cell r="J18">
            <v>3273.52</v>
          </cell>
          <cell r="K18">
            <v>3273.52</v>
          </cell>
          <cell r="L18">
            <v>3273.52</v>
          </cell>
          <cell r="M18">
            <v>3273.52</v>
          </cell>
          <cell r="N18">
            <v>3273.52</v>
          </cell>
          <cell r="O18">
            <v>3273.52</v>
          </cell>
          <cell r="P18">
            <v>3273.52</v>
          </cell>
          <cell r="Q18">
            <v>3273.52</v>
          </cell>
          <cell r="R18">
            <v>3273.52</v>
          </cell>
          <cell r="S18">
            <v>39189.040000000001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G22">
            <v>6578</v>
          </cell>
          <cell r="H22">
            <v>6578</v>
          </cell>
          <cell r="I22">
            <v>6578</v>
          </cell>
          <cell r="J22">
            <v>6578</v>
          </cell>
          <cell r="K22">
            <v>6578</v>
          </cell>
          <cell r="L22">
            <v>6578</v>
          </cell>
          <cell r="M22">
            <v>6578</v>
          </cell>
          <cell r="N22">
            <v>6578</v>
          </cell>
          <cell r="O22">
            <v>6578</v>
          </cell>
          <cell r="P22">
            <v>6578</v>
          </cell>
          <cell r="Q22">
            <v>6578</v>
          </cell>
          <cell r="R22">
            <v>6578</v>
          </cell>
          <cell r="S22">
            <v>78936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29801.14</v>
          </cell>
          <cell r="H34">
            <v>36877.919999999998</v>
          </cell>
          <cell r="I34">
            <v>42015.71</v>
          </cell>
          <cell r="J34">
            <v>28296.29</v>
          </cell>
          <cell r="K34">
            <v>29674.29</v>
          </cell>
          <cell r="L34">
            <v>39051.270000000004</v>
          </cell>
          <cell r="M34">
            <v>27724.29</v>
          </cell>
          <cell r="N34">
            <v>27724.29</v>
          </cell>
          <cell r="O34">
            <v>51271.130000000005</v>
          </cell>
          <cell r="P34">
            <v>28335.29</v>
          </cell>
          <cell r="Q34">
            <v>27724.29</v>
          </cell>
          <cell r="R34">
            <v>29551.27</v>
          </cell>
          <cell r="S34">
            <v>398047.18000000005</v>
          </cell>
        </row>
        <row r="35">
          <cell r="G35">
            <v>117303.42</v>
          </cell>
          <cell r="H35">
            <v>124380.2</v>
          </cell>
          <cell r="I35">
            <v>131106</v>
          </cell>
          <cell r="J35">
            <v>117386.58000000002</v>
          </cell>
          <cell r="K35">
            <v>118764.58000000002</v>
          </cell>
          <cell r="L35">
            <v>128141.56000000001</v>
          </cell>
          <cell r="M35">
            <v>116814.58000000002</v>
          </cell>
          <cell r="N35">
            <v>116814.58000000002</v>
          </cell>
          <cell r="O35">
            <v>140361.42000000001</v>
          </cell>
          <cell r="P35">
            <v>117425.58000000002</v>
          </cell>
          <cell r="Q35">
            <v>116814.58000000002</v>
          </cell>
          <cell r="R35">
            <v>118641.56000000001</v>
          </cell>
          <cell r="S35">
            <v>1463954.6400000001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5475.768</v>
          </cell>
          <cell r="H37">
            <v>5475.768</v>
          </cell>
          <cell r="I37">
            <v>5475.768</v>
          </cell>
          <cell r="J37">
            <v>5475.768</v>
          </cell>
          <cell r="K37">
            <v>5475.768</v>
          </cell>
          <cell r="L37">
            <v>5475.768</v>
          </cell>
          <cell r="M37">
            <v>5475.768</v>
          </cell>
          <cell r="N37">
            <v>5475.768</v>
          </cell>
          <cell r="O37">
            <v>5475.768</v>
          </cell>
          <cell r="P37">
            <v>5475.768</v>
          </cell>
          <cell r="Q37">
            <v>5475.768</v>
          </cell>
          <cell r="R37">
            <v>5475.768</v>
          </cell>
          <cell r="S37">
            <v>65709.215999999986</v>
          </cell>
        </row>
        <row r="38">
          <cell r="G38">
            <v>122779.18799999999</v>
          </cell>
          <cell r="H38">
            <v>129855.96799999999</v>
          </cell>
          <cell r="I38">
            <v>136581.76800000001</v>
          </cell>
          <cell r="J38">
            <v>122862.34800000001</v>
          </cell>
          <cell r="K38">
            <v>124240.34800000001</v>
          </cell>
          <cell r="L38">
            <v>133617.32800000001</v>
          </cell>
          <cell r="M38">
            <v>122290.34800000001</v>
          </cell>
          <cell r="N38">
            <v>122290.34800000001</v>
          </cell>
          <cell r="O38">
            <v>145837.18800000002</v>
          </cell>
          <cell r="P38">
            <v>122901.34800000001</v>
          </cell>
          <cell r="Q38">
            <v>122290.34800000001</v>
          </cell>
          <cell r="R38">
            <v>124117.32800000001</v>
          </cell>
          <cell r="S38">
            <v>1529663.8560000001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사업장별(당월)_건자재제외"/>
      <sheetName val="사업장별(누계)_건자재제외"/>
      <sheetName val="영업이익"/>
      <sheetName val="공헌이익"/>
      <sheetName val="재료비단가"/>
      <sheetName val="원단위"/>
      <sheetName val="건자재"/>
    </sheetNames>
    <sheetDataSet>
      <sheetData sheetId="0"/>
      <sheetData sheetId="1"/>
      <sheetData sheetId="2">
        <row r="28">
          <cell r="T28">
            <v>273.52857167280769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K10">
            <v>75700</v>
          </cell>
          <cell r="L10">
            <v>70135.201000000001</v>
          </cell>
          <cell r="N10">
            <v>61066.957999999999</v>
          </cell>
        </row>
        <row r="12">
          <cell r="K12">
            <v>66045000</v>
          </cell>
          <cell r="L12">
            <v>53983380.545000002</v>
          </cell>
          <cell r="N12">
            <v>50650238.614000008</v>
          </cell>
        </row>
        <row r="13">
          <cell r="K13">
            <v>16734071.110399999</v>
          </cell>
          <cell r="L13">
            <v>8892927.5749999993</v>
          </cell>
          <cell r="N13">
            <v>10068148.121999998</v>
          </cell>
        </row>
        <row r="15">
          <cell r="K15">
            <v>64461747.5</v>
          </cell>
          <cell r="L15">
            <v>53254656.137999997</v>
          </cell>
          <cell r="N15">
            <v>49533868.645999998</v>
          </cell>
        </row>
        <row r="16">
          <cell r="K16">
            <v>16082161.902152142</v>
          </cell>
          <cell r="L16">
            <v>8646160.3120000008</v>
          </cell>
          <cell r="N16">
            <v>9830200.4930000007</v>
          </cell>
        </row>
        <row r="24">
          <cell r="K24">
            <v>620456.01000000013</v>
          </cell>
          <cell r="L24">
            <v>663303.85499999998</v>
          </cell>
          <cell r="N24">
            <v>625406.76599999995</v>
          </cell>
        </row>
        <row r="25">
          <cell r="K25">
            <v>271771.28600000002</v>
          </cell>
          <cell r="L25">
            <v>383684.83799999999</v>
          </cell>
          <cell r="N25">
            <v>353358.01199999999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52EE-16A8-48EB-8DBA-88364615F2BE}">
  <sheetPr>
    <tabColor theme="1" tint="0.34998626667073579"/>
  </sheetPr>
  <dimension ref="B2:J14"/>
  <sheetViews>
    <sheetView showGridLines="0" zoomScaleNormal="100" workbookViewId="0">
      <selection activeCell="E6" sqref="E6"/>
    </sheetView>
  </sheetViews>
  <sheetFormatPr defaultRowHeight="16.5" x14ac:dyDescent="0.3"/>
  <cols>
    <col min="2" max="3" width="12.75" customWidth="1"/>
    <col min="4" max="8" width="19.875" customWidth="1"/>
  </cols>
  <sheetData>
    <row r="2" spans="2:10" ht="26.25" customHeight="1" x14ac:dyDescent="0.3">
      <c r="B2" s="618" t="s">
        <v>11</v>
      </c>
      <c r="C2" s="619"/>
      <c r="D2" s="570" t="s">
        <v>36</v>
      </c>
      <c r="E2" s="572" t="s">
        <v>37</v>
      </c>
      <c r="F2" s="571" t="s">
        <v>38</v>
      </c>
      <c r="G2" s="572" t="s">
        <v>39</v>
      </c>
      <c r="H2" s="570" t="s">
        <v>38</v>
      </c>
      <c r="J2" s="569" t="s">
        <v>219</v>
      </c>
    </row>
    <row r="3" spans="2:10" ht="26.25" customHeight="1" x14ac:dyDescent="0.3">
      <c r="B3" s="613" t="s">
        <v>89</v>
      </c>
      <c r="C3" s="573" t="s">
        <v>40</v>
      </c>
      <c r="D3" s="574">
        <f>+'사업장별(당월)_건자재제외'!$J$27</f>
        <v>271.5</v>
      </c>
      <c r="E3" s="576">
        <f>+'사업장별(당월)_건자재제외'!$K$27</f>
        <v>200.35731999999999</v>
      </c>
      <c r="F3" s="590">
        <f>+E3/D3</f>
        <v>0.73796434622467766</v>
      </c>
      <c r="G3" s="576">
        <f>+'사업장별(당월)_건자재제외'!$M$27</f>
        <v>257.52300000000002</v>
      </c>
      <c r="H3" s="592">
        <f>+E3/G3</f>
        <v>0.77801718681438148</v>
      </c>
    </row>
    <row r="4" spans="2:10" ht="26.25" customHeight="1" x14ac:dyDescent="0.3">
      <c r="B4" s="614"/>
      <c r="C4" s="577" t="s">
        <v>1</v>
      </c>
      <c r="D4" s="578">
        <f>+'사업장별(당월)_건자재제외'!$J$31</f>
        <v>95.130878492817999</v>
      </c>
      <c r="E4" s="580">
        <f>+'사업장별(당월)_건자재제외'!$K$31</f>
        <v>67.087000000000003</v>
      </c>
      <c r="F4" s="591">
        <f>+E4/D4</f>
        <v>0.70520740544895533</v>
      </c>
      <c r="G4" s="580">
        <f>+'사업장별(당월)_건자재제외'!$M$31</f>
        <v>49.603000000000002</v>
      </c>
      <c r="H4" s="593">
        <f>+E4/G4</f>
        <v>1.3524786807249563</v>
      </c>
    </row>
    <row r="5" spans="2:10" ht="26.25" customHeight="1" x14ac:dyDescent="0.3">
      <c r="B5" s="615" t="s">
        <v>169</v>
      </c>
      <c r="C5" s="573" t="s">
        <v>40</v>
      </c>
      <c r="D5" s="574">
        <f>+'사업장별(당월)_건자재제외'!$O$27</f>
        <v>27523.735312654942</v>
      </c>
      <c r="E5" s="576">
        <f>+'사업장별(당월)_건자재제외'!$P$27</f>
        <v>19450.727809</v>
      </c>
      <c r="F5" s="575">
        <f t="shared" ref="F5:F14" si="0">+E5-D5</f>
        <v>-8073.0075036549424</v>
      </c>
      <c r="G5" s="576">
        <f>+'사업장별(당월)_건자재제외'!$R$27</f>
        <v>25796.841468999999</v>
      </c>
      <c r="H5" s="574">
        <f t="shared" ref="H5:H13" si="1">+E5-G5</f>
        <v>-6346.1136599999991</v>
      </c>
    </row>
    <row r="6" spans="2:10" ht="26.25" customHeight="1" x14ac:dyDescent="0.3">
      <c r="B6" s="616"/>
      <c r="C6" s="581" t="s">
        <v>1</v>
      </c>
      <c r="D6" s="582">
        <f>+'사업장별(당월)_건자재제외'!$O$31</f>
        <v>1712.5157028200954</v>
      </c>
      <c r="E6" s="584">
        <f>+'사업장별(당월)_건자재제외'!$P$31</f>
        <v>1324.6780000000001</v>
      </c>
      <c r="F6" s="583">
        <f t="shared" si="0"/>
        <v>-387.83770282009527</v>
      </c>
      <c r="G6" s="584">
        <f>+'사업장별(당월)'!$R$32</f>
        <v>1021.5105000000001</v>
      </c>
      <c r="H6" s="582">
        <f t="shared" si="1"/>
        <v>303.16750000000002</v>
      </c>
    </row>
    <row r="7" spans="2:10" ht="26.25" customHeight="1" x14ac:dyDescent="0.3">
      <c r="B7" s="616"/>
      <c r="C7" s="577" t="s">
        <v>4</v>
      </c>
      <c r="D7" s="578">
        <f>+D8-D5-D6</f>
        <v>143.7281666666679</v>
      </c>
      <c r="E7" s="580">
        <f>+E8-E5-E6</f>
        <v>119.3174469999974</v>
      </c>
      <c r="F7" s="579">
        <f t="shared" si="0"/>
        <v>-24.410719666670502</v>
      </c>
      <c r="G7" s="580">
        <f>+G8-G5-G6</f>
        <v>166.69162700000402</v>
      </c>
      <c r="H7" s="578">
        <f t="shared" si="1"/>
        <v>-47.374180000006618</v>
      </c>
    </row>
    <row r="8" spans="2:10" ht="26.25" customHeight="1" x14ac:dyDescent="0.3">
      <c r="B8" s="617"/>
      <c r="C8" s="585" t="s">
        <v>8</v>
      </c>
      <c r="D8" s="586">
        <f>+'사업장별(당월)_건자재제외'!$O$42</f>
        <v>29379.979182141706</v>
      </c>
      <c r="E8" s="588">
        <f>+'사업장별(당월)_건자재제외'!$P$42</f>
        <v>20894.723255999997</v>
      </c>
      <c r="F8" s="587">
        <f t="shared" si="0"/>
        <v>-8485.2559261417082</v>
      </c>
      <c r="G8" s="588">
        <f>+'사업장별(당월)_건자재제외'!$R$42</f>
        <v>26985.043596000003</v>
      </c>
      <c r="H8" s="586">
        <f t="shared" si="1"/>
        <v>-6090.3203400000057</v>
      </c>
    </row>
    <row r="9" spans="2:10" ht="26.25" customHeight="1" x14ac:dyDescent="0.3">
      <c r="B9" s="615" t="s">
        <v>7</v>
      </c>
      <c r="C9" s="573" t="s">
        <v>40</v>
      </c>
      <c r="D9" s="574">
        <f>+('사업장별(당월)_건자재제외'!$T$27+'사업장별(당월)_건자재제외'!$T$34)</f>
        <v>1729.840167485926</v>
      </c>
      <c r="E9" s="576">
        <f>+'사업장별(당월)_건자재제외'!$U$27+'사업장별(당월)_건자재제외'!$U$34</f>
        <v>-734.89490014656997</v>
      </c>
      <c r="F9" s="575">
        <f t="shared" si="0"/>
        <v>-2464.7350676324959</v>
      </c>
      <c r="G9" s="576">
        <f>+'사업장별(당월)_건자재제외'!$W$27+'사업장별(당월)_건자재제외'!$W$34</f>
        <v>1619.8494524355569</v>
      </c>
      <c r="H9" s="574">
        <f t="shared" si="1"/>
        <v>-2354.7443525821268</v>
      </c>
    </row>
    <row r="10" spans="2:10" ht="26.25" customHeight="1" x14ac:dyDescent="0.3">
      <c r="B10" s="616"/>
      <c r="C10" s="581" t="s">
        <v>220</v>
      </c>
      <c r="D10" s="594">
        <f>+D9/D5</f>
        <v>6.2849033673513605E-2</v>
      </c>
      <c r="E10" s="596">
        <f>+E9/E5</f>
        <v>-3.7782385695949564E-2</v>
      </c>
      <c r="F10" s="595">
        <f t="shared" si="0"/>
        <v>-0.10063141936946317</v>
      </c>
      <c r="G10" s="596">
        <f>+G9/G5</f>
        <v>6.2792549792660704E-2</v>
      </c>
      <c r="H10" s="594">
        <f>+E10-G10</f>
        <v>-0.10057493548861027</v>
      </c>
    </row>
    <row r="11" spans="2:10" ht="26.25" customHeight="1" x14ac:dyDescent="0.3">
      <c r="B11" s="616"/>
      <c r="C11" s="581" t="s">
        <v>1</v>
      </c>
      <c r="D11" s="582">
        <f>+'사업장별(당월)_건자재제외'!$T$31</f>
        <v>81.219239926068454</v>
      </c>
      <c r="E11" s="584">
        <f>+'사업장별(당월)_건자재제외'!$U$31</f>
        <v>-89.003884844404041</v>
      </c>
      <c r="F11" s="583">
        <f t="shared" si="0"/>
        <v>-170.22312477047251</v>
      </c>
      <c r="G11" s="584">
        <f>+'사업장별(당월)_건자재제외'!$W$31</f>
        <v>-151.01848741546198</v>
      </c>
      <c r="H11" s="582">
        <f t="shared" si="1"/>
        <v>62.014602571057935</v>
      </c>
    </row>
    <row r="12" spans="2:10" ht="26.25" customHeight="1" x14ac:dyDescent="0.3">
      <c r="B12" s="616"/>
      <c r="C12" s="577" t="s">
        <v>4</v>
      </c>
      <c r="D12" s="578">
        <f>+D13-D9-D11</f>
        <v>-4.2619833333460662</v>
      </c>
      <c r="E12" s="580">
        <f>+E13-E9-E11</f>
        <v>42.959930999997567</v>
      </c>
      <c r="F12" s="579">
        <f t="shared" si="0"/>
        <v>47.221914333343634</v>
      </c>
      <c r="G12" s="580">
        <f>+G13-G9-G11</f>
        <v>328.00952200000847</v>
      </c>
      <c r="H12" s="578">
        <f t="shared" si="1"/>
        <v>-285.04959100001088</v>
      </c>
    </row>
    <row r="13" spans="2:10" ht="26.25" customHeight="1" x14ac:dyDescent="0.3">
      <c r="B13" s="616"/>
      <c r="C13" s="589" t="s">
        <v>8</v>
      </c>
      <c r="D13" s="574">
        <f>+'사업장별(당월)_건자재제외'!$T$42</f>
        <v>1806.7974240786484</v>
      </c>
      <c r="E13" s="576">
        <f>+'사업장별(당월)_건자재제외'!$U$42</f>
        <v>-780.93885399097644</v>
      </c>
      <c r="F13" s="575">
        <f t="shared" si="0"/>
        <v>-2587.7362780696249</v>
      </c>
      <c r="G13" s="576">
        <f>+'사업장별(당월)_건자재제외'!$W$42</f>
        <v>1796.8404870201034</v>
      </c>
      <c r="H13" s="574">
        <f t="shared" si="1"/>
        <v>-2577.7793410110799</v>
      </c>
    </row>
    <row r="14" spans="2:10" ht="25.5" x14ac:dyDescent="0.3">
      <c r="B14" s="597"/>
      <c r="C14" s="598"/>
      <c r="D14" s="599">
        <f>+D13/D8</f>
        <v>6.1497573326290515E-2</v>
      </c>
      <c r="E14" s="601">
        <f t="shared" ref="E14" si="2">+E13/E8</f>
        <v>-3.7374931671647141E-2</v>
      </c>
      <c r="F14" s="600">
        <f t="shared" si="0"/>
        <v>-9.8872504997937649E-2</v>
      </c>
      <c r="G14" s="601">
        <f>+G13/G8</f>
        <v>6.6586532670506765E-2</v>
      </c>
      <c r="H14" s="599">
        <f>+E14-G14</f>
        <v>-0.10396146434215391</v>
      </c>
    </row>
  </sheetData>
  <mergeCells count="4">
    <mergeCell ref="B3:B4"/>
    <mergeCell ref="B5:B8"/>
    <mergeCell ref="B9:B13"/>
    <mergeCell ref="B2:C2"/>
  </mergeCells>
  <phoneticPr fontId="1" type="noConversion"/>
  <pageMargins left="0.7" right="0.7" top="0.75" bottom="0.75" header="0.3" footer="0.3"/>
  <pageSetup paperSize="9"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34998626667073579"/>
  </sheetPr>
  <dimension ref="A6:M25"/>
  <sheetViews>
    <sheetView showGridLines="0" view="pageBreakPreview" zoomScaleNormal="100" zoomScaleSheetLayoutView="100" workbookViewId="0">
      <selection activeCell="M16" sqref="M16"/>
    </sheetView>
  </sheetViews>
  <sheetFormatPr defaultRowHeight="16.5" x14ac:dyDescent="0.3"/>
  <cols>
    <col min="13" max="13" width="15.75" customWidth="1"/>
  </cols>
  <sheetData>
    <row r="6" spans="1:13" x14ac:dyDescent="0.3">
      <c r="A6" s="620" t="s">
        <v>208</v>
      </c>
      <c r="B6" s="621"/>
      <c r="C6" s="621"/>
      <c r="D6" s="621"/>
      <c r="E6" s="621"/>
      <c r="F6" s="621"/>
      <c r="G6" s="621"/>
      <c r="H6" s="621"/>
      <c r="I6" s="621"/>
      <c r="J6" s="621"/>
      <c r="K6" s="621"/>
      <c r="L6" s="621"/>
      <c r="M6" s="621"/>
    </row>
    <row r="7" spans="1:13" x14ac:dyDescent="0.3">
      <c r="A7" s="621"/>
      <c r="B7" s="621"/>
      <c r="C7" s="621"/>
      <c r="D7" s="621"/>
      <c r="E7" s="621"/>
      <c r="F7" s="621"/>
      <c r="G7" s="621"/>
      <c r="H7" s="621"/>
      <c r="I7" s="621"/>
      <c r="J7" s="621"/>
      <c r="K7" s="621"/>
      <c r="L7" s="621"/>
      <c r="M7" s="621"/>
    </row>
    <row r="8" spans="1:13" x14ac:dyDescent="0.3">
      <c r="A8" s="621"/>
      <c r="B8" s="621"/>
      <c r="C8" s="621"/>
      <c r="D8" s="621"/>
      <c r="E8" s="621"/>
      <c r="F8" s="621"/>
      <c r="G8" s="621"/>
      <c r="H8" s="621"/>
      <c r="I8" s="621"/>
      <c r="J8" s="621"/>
      <c r="K8" s="621"/>
      <c r="L8" s="621"/>
      <c r="M8" s="621"/>
    </row>
    <row r="9" spans="1:13" x14ac:dyDescent="0.3">
      <c r="A9" s="621"/>
      <c r="B9" s="621"/>
      <c r="C9" s="621"/>
      <c r="D9" s="621"/>
      <c r="E9" s="621"/>
      <c r="F9" s="621"/>
      <c r="G9" s="621"/>
      <c r="H9" s="621"/>
      <c r="I9" s="621"/>
      <c r="J9" s="621"/>
      <c r="K9" s="621"/>
      <c r="L9" s="621"/>
      <c r="M9" s="621"/>
    </row>
    <row r="10" spans="1:13" x14ac:dyDescent="0.3">
      <c r="A10" s="621"/>
      <c r="B10" s="621"/>
      <c r="C10" s="621"/>
      <c r="D10" s="621"/>
      <c r="E10" s="621"/>
      <c r="F10" s="621"/>
      <c r="G10" s="621"/>
      <c r="H10" s="621"/>
      <c r="I10" s="621"/>
      <c r="J10" s="621"/>
      <c r="K10" s="621"/>
      <c r="L10" s="621"/>
      <c r="M10" s="621"/>
    </row>
    <row r="11" spans="1:13" x14ac:dyDescent="0.3">
      <c r="A11" s="621"/>
      <c r="B11" s="621"/>
      <c r="C11" s="621"/>
      <c r="D11" s="621"/>
      <c r="E11" s="621"/>
      <c r="F11" s="621"/>
      <c r="G11" s="621"/>
      <c r="H11" s="621"/>
      <c r="I11" s="621"/>
      <c r="J11" s="621"/>
      <c r="K11" s="621"/>
      <c r="L11" s="621"/>
      <c r="M11" s="621"/>
    </row>
    <row r="12" spans="1:13" x14ac:dyDescent="0.3">
      <c r="A12" s="621"/>
      <c r="B12" s="621"/>
      <c r="C12" s="621"/>
      <c r="D12" s="621"/>
      <c r="E12" s="621"/>
      <c r="F12" s="621"/>
      <c r="G12" s="621"/>
      <c r="H12" s="621"/>
      <c r="I12" s="621"/>
      <c r="J12" s="621"/>
      <c r="K12" s="621"/>
      <c r="L12" s="621"/>
      <c r="M12" s="621"/>
    </row>
    <row r="13" spans="1:13" x14ac:dyDescent="0.3">
      <c r="A13" s="621"/>
      <c r="B13" s="621"/>
      <c r="C13" s="621"/>
      <c r="D13" s="621"/>
      <c r="E13" s="621"/>
      <c r="F13" s="621"/>
      <c r="G13" s="621"/>
      <c r="H13" s="621"/>
      <c r="I13" s="621"/>
      <c r="J13" s="621"/>
      <c r="K13" s="621"/>
      <c r="L13" s="621"/>
      <c r="M13" s="621"/>
    </row>
    <row r="14" spans="1:13" x14ac:dyDescent="0.3">
      <c r="A14" s="621"/>
      <c r="B14" s="621"/>
      <c r="C14" s="621"/>
      <c r="D14" s="621"/>
      <c r="E14" s="621"/>
      <c r="F14" s="621"/>
      <c r="G14" s="621"/>
      <c r="H14" s="621"/>
      <c r="I14" s="621"/>
      <c r="J14" s="621"/>
      <c r="K14" s="621"/>
      <c r="L14" s="621"/>
      <c r="M14" s="621"/>
    </row>
    <row r="24" spans="1:13" x14ac:dyDescent="0.3">
      <c r="A24" s="622" t="s">
        <v>99</v>
      </c>
      <c r="B24" s="622"/>
      <c r="C24" s="622"/>
      <c r="D24" s="622"/>
      <c r="E24" s="622"/>
      <c r="F24" s="622"/>
      <c r="G24" s="622"/>
      <c r="H24" s="622"/>
      <c r="I24" s="622"/>
      <c r="J24" s="622"/>
      <c r="K24" s="622"/>
      <c r="L24" s="622"/>
      <c r="M24" s="622"/>
    </row>
    <row r="25" spans="1:13" x14ac:dyDescent="0.3">
      <c r="A25" s="622"/>
      <c r="B25" s="622"/>
      <c r="C25" s="622"/>
      <c r="D25" s="622"/>
      <c r="E25" s="622"/>
      <c r="F25" s="622"/>
      <c r="G25" s="622"/>
      <c r="H25" s="622"/>
      <c r="I25" s="622"/>
      <c r="J25" s="622"/>
      <c r="K25" s="622"/>
      <c r="L25" s="622"/>
      <c r="M25" s="622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r:id="rId1"/>
  <headerFooter>
    <oddFooter>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34998626667073579"/>
    <pageSetUpPr fitToPage="1"/>
  </sheetPr>
  <dimension ref="A1:AE42"/>
  <sheetViews>
    <sheetView showGridLines="0" view="pageBreakPreview" zoomScale="70" zoomScaleNormal="70" zoomScaleSheetLayoutView="70" workbookViewId="0">
      <selection activeCell="L11" sqref="L11"/>
    </sheetView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25" ht="20.100000000000001" customHeight="1" x14ac:dyDescent="0.3"/>
    <row r="2" spans="1:25" ht="20.100000000000001" customHeight="1" x14ac:dyDescent="0.3"/>
    <row r="3" spans="1:25" ht="20.100000000000001" customHeight="1" x14ac:dyDescent="0.3">
      <c r="C3" s="4" t="s">
        <v>210</v>
      </c>
    </row>
    <row r="4" spans="1:25" ht="20.100000000000001" customHeight="1" x14ac:dyDescent="0.3">
      <c r="H4" s="235"/>
      <c r="X4" s="5" t="s">
        <v>101</v>
      </c>
    </row>
    <row r="5" spans="1:25" ht="27" customHeight="1" thickBot="1" x14ac:dyDescent="0.35">
      <c r="C5" s="625" t="s">
        <v>61</v>
      </c>
      <c r="D5" s="626"/>
      <c r="E5" s="120" t="s">
        <v>190</v>
      </c>
      <c r="F5" s="121"/>
      <c r="G5" s="121"/>
      <c r="H5" s="121"/>
      <c r="I5" s="122"/>
      <c r="J5" s="121" t="s">
        <v>209</v>
      </c>
      <c r="K5" s="121"/>
      <c r="L5" s="121"/>
      <c r="M5" s="121"/>
      <c r="N5" s="122"/>
      <c r="O5" s="123"/>
      <c r="P5" s="625" t="s">
        <v>211</v>
      </c>
      <c r="Q5" s="626"/>
      <c r="R5" s="626"/>
      <c r="S5" s="626"/>
      <c r="T5" s="626"/>
      <c r="U5" s="626"/>
      <c r="V5" s="626"/>
      <c r="W5" s="626"/>
      <c r="X5" s="629"/>
    </row>
    <row r="6" spans="1:25" ht="27" customHeight="1" thickTop="1" x14ac:dyDescent="0.3">
      <c r="C6" s="627"/>
      <c r="D6" s="628"/>
      <c r="E6" s="171" t="s">
        <v>62</v>
      </c>
      <c r="F6" s="204" t="s">
        <v>63</v>
      </c>
      <c r="G6" s="201" t="s">
        <v>64</v>
      </c>
      <c r="H6" s="124" t="s">
        <v>65</v>
      </c>
      <c r="I6" s="125" t="s">
        <v>66</v>
      </c>
      <c r="J6" s="171" t="s">
        <v>62</v>
      </c>
      <c r="K6" s="204" t="s">
        <v>63</v>
      </c>
      <c r="L6" s="201" t="s">
        <v>64</v>
      </c>
      <c r="M6" s="124" t="s">
        <v>65</v>
      </c>
      <c r="N6" s="125" t="s">
        <v>66</v>
      </c>
      <c r="O6" s="123"/>
      <c r="P6" s="627"/>
      <c r="Q6" s="628"/>
      <c r="R6" s="628"/>
      <c r="S6" s="628"/>
      <c r="T6" s="628"/>
      <c r="U6" s="628"/>
      <c r="V6" s="628"/>
      <c r="W6" s="628"/>
      <c r="X6" s="630"/>
    </row>
    <row r="7" spans="1:25" ht="21.75" customHeight="1" x14ac:dyDescent="0.3">
      <c r="A7" s="235"/>
      <c r="B7" s="235"/>
      <c r="C7" s="88" t="s">
        <v>0</v>
      </c>
      <c r="D7" s="89" t="s">
        <v>40</v>
      </c>
      <c r="E7" s="320">
        <f>+'[1]8월'!$Z$7/1000</f>
        <v>271.5</v>
      </c>
      <c r="F7" s="321">
        <f>+'[2]8월'!$Z$7/1000</f>
        <v>200.35732000000002</v>
      </c>
      <c r="G7" s="296">
        <f>+F7-E7</f>
        <v>-71.142679999999984</v>
      </c>
      <c r="H7" s="297">
        <f>+'[3]8월'!$Z$7/1000</f>
        <v>257.52300000000002</v>
      </c>
      <c r="I7" s="298">
        <f>+F7-H7</f>
        <v>-57.165680000000009</v>
      </c>
      <c r="J7" s="320">
        <f>+'[1]8월누계'!$Z$7/1000</f>
        <v>2138.5</v>
      </c>
      <c r="K7" s="321">
        <f>+'[2]8월누계'!$Z$7/1000</f>
        <v>1853.06782</v>
      </c>
      <c r="L7" s="296">
        <f>+K7-J7</f>
        <v>-285.43218000000002</v>
      </c>
      <c r="M7" s="297">
        <f>+'[3]8월누계'!$Z$7/1000</f>
        <v>2292.4292</v>
      </c>
      <c r="N7" s="298">
        <f>+K7-M7</f>
        <v>-439.36138000000005</v>
      </c>
      <c r="O7" s="87"/>
      <c r="P7" s="90"/>
      <c r="Q7" s="91" t="s">
        <v>84</v>
      </c>
      <c r="R7" s="91"/>
      <c r="S7" s="87"/>
      <c r="T7" s="87"/>
      <c r="U7" s="87"/>
      <c r="V7" s="87"/>
      <c r="W7" s="87"/>
      <c r="X7" s="92"/>
      <c r="Y7" s="235"/>
    </row>
    <row r="8" spans="1:25" ht="21.75" customHeight="1" x14ac:dyDescent="0.3">
      <c r="B8" s="235"/>
      <c r="C8" s="88"/>
      <c r="D8" s="93" t="s">
        <v>69</v>
      </c>
      <c r="E8" s="322">
        <f>+'[1]8월'!$AA$7</f>
        <v>12600</v>
      </c>
      <c r="F8" s="323">
        <f>+'[2]8월'!$AO$7</f>
        <v>6814.7489999999989</v>
      </c>
      <c r="G8" s="299">
        <f>+F8-E8</f>
        <v>-5785.2510000000011</v>
      </c>
      <c r="H8" s="300">
        <f>+'[3]8월'!$AO$7</f>
        <v>9545.7580000000016</v>
      </c>
      <c r="I8" s="301">
        <f>+F8-H8</f>
        <v>-2731.0090000000027</v>
      </c>
      <c r="J8" s="322">
        <f>+'[1]8월누계'!$AA$7</f>
        <v>88300</v>
      </c>
      <c r="K8" s="323">
        <f>+'[2]8월누계'!$AO$7</f>
        <v>76949.95</v>
      </c>
      <c r="L8" s="299">
        <f>+K8-J8</f>
        <v>-11350.050000000003</v>
      </c>
      <c r="M8" s="300">
        <f>+'[3]8월누계'!$AO$7</f>
        <v>70612.716</v>
      </c>
      <c r="N8" s="301">
        <f>+K8-M8</f>
        <v>6337.2339999999967</v>
      </c>
      <c r="O8" s="87"/>
      <c r="P8" s="90"/>
      <c r="Q8" s="215" t="s">
        <v>55</v>
      </c>
      <c r="R8" s="216"/>
      <c r="S8" s="217" t="s">
        <v>12</v>
      </c>
      <c r="T8" s="218" t="s">
        <v>67</v>
      </c>
      <c r="U8" s="219" t="s">
        <v>56</v>
      </c>
      <c r="V8" s="218" t="s">
        <v>39</v>
      </c>
      <c r="W8" s="220" t="s">
        <v>57</v>
      </c>
      <c r="X8" s="92"/>
      <c r="Y8" s="235"/>
    </row>
    <row r="9" spans="1:25" ht="21.75" customHeight="1" x14ac:dyDescent="0.3">
      <c r="B9" s="235"/>
      <c r="C9" s="88"/>
      <c r="D9" s="93" t="s">
        <v>1</v>
      </c>
      <c r="E9" s="322">
        <f>+'[1]8월'!$AE$7/1000</f>
        <v>95.130878492817999</v>
      </c>
      <c r="F9" s="323">
        <f>+'[2]8월'!$AN$7/1000</f>
        <v>67.087000000000003</v>
      </c>
      <c r="G9" s="299">
        <f t="shared" ref="G9:G36" si="0">+F9-E9</f>
        <v>-28.043878492817996</v>
      </c>
      <c r="H9" s="300">
        <f>+'[3]8월'!$AN$7/1000</f>
        <v>49.603000000000002</v>
      </c>
      <c r="I9" s="301">
        <f t="shared" ref="I9:I36" si="1">+F9-H9</f>
        <v>17.484000000000002</v>
      </c>
      <c r="J9" s="322">
        <f>+'[1]8월누계'!$AE$7/1000</f>
        <v>758.25042220094213</v>
      </c>
      <c r="K9" s="323">
        <f>+'[2]8월누계'!$AN$7/1000</f>
        <v>509.17</v>
      </c>
      <c r="L9" s="299">
        <f t="shared" ref="L9:L10" si="2">+K9-J9</f>
        <v>-249.08042220094211</v>
      </c>
      <c r="M9" s="300">
        <f>+'[3]8월누계'!$AN$7/1000</f>
        <v>607.26400000000001</v>
      </c>
      <c r="N9" s="301">
        <f t="shared" ref="N9:N10" si="3">+K9-M9</f>
        <v>-98.093999999999994</v>
      </c>
      <c r="O9" s="87"/>
      <c r="P9" s="90"/>
      <c r="Q9" s="94" t="s">
        <v>51</v>
      </c>
      <c r="R9" s="178" t="s">
        <v>16</v>
      </c>
      <c r="S9" s="191">
        <f>+[4]수도권!$T$5/1000</f>
        <v>102</v>
      </c>
      <c r="T9" s="95">
        <f>+[4]수도권!$U$5/1000</f>
        <v>69.484320000000011</v>
      </c>
      <c r="U9" s="296">
        <f>+T9-S9</f>
        <v>-32.515679999999989</v>
      </c>
      <c r="V9" s="297">
        <f>+[5]수도권!$T$5/1000</f>
        <v>82.492000000000004</v>
      </c>
      <c r="W9" s="298">
        <f>+T9-V9</f>
        <v>-13.007679999999993</v>
      </c>
      <c r="X9" s="92"/>
      <c r="Y9" s="235"/>
    </row>
    <row r="10" spans="1:25" ht="21.75" customHeight="1" x14ac:dyDescent="0.3">
      <c r="B10" s="235"/>
      <c r="C10" s="96" t="s">
        <v>2</v>
      </c>
      <c r="D10" s="97" t="s">
        <v>40</v>
      </c>
      <c r="E10" s="324">
        <f>+'[1]8월'!$Z$8/1000</f>
        <v>27523.735312654939</v>
      </c>
      <c r="F10" s="325">
        <f>+'[2]8월'!$Z$8/1000</f>
        <v>19450.727809</v>
      </c>
      <c r="G10" s="326">
        <f t="shared" si="0"/>
        <v>-8073.0075036549388</v>
      </c>
      <c r="H10" s="327">
        <f>+'[3]8월'!$Z$8/1000</f>
        <v>25796.841468999999</v>
      </c>
      <c r="I10" s="328">
        <f t="shared" si="1"/>
        <v>-6346.1136599999991</v>
      </c>
      <c r="J10" s="324">
        <f>+'[1]8월누계'!$Z$8/1000</f>
        <v>215180.09664282852</v>
      </c>
      <c r="K10" s="325">
        <f>+'[2]8월누계'!$Z$8/1000</f>
        <v>182330.54389199999</v>
      </c>
      <c r="L10" s="326">
        <f t="shared" si="2"/>
        <v>-32849.55275082853</v>
      </c>
      <c r="M10" s="327">
        <f>+'[3]8월누계'!$Z$8/1000</f>
        <v>232174.93650599997</v>
      </c>
      <c r="N10" s="328">
        <f t="shared" si="3"/>
        <v>-49844.392613999982</v>
      </c>
      <c r="O10" s="87"/>
      <c r="P10" s="90"/>
      <c r="Q10" s="98"/>
      <c r="R10" s="179" t="s">
        <v>17</v>
      </c>
      <c r="S10" s="192">
        <f>+[4]영남권!$T$5/1000</f>
        <v>114.5</v>
      </c>
      <c r="T10" s="99">
        <f>+[4]영남권!$U$5/1000</f>
        <v>94.706000000000003</v>
      </c>
      <c r="U10" s="299">
        <f t="shared" ref="U10:U20" si="4">+T10-S10</f>
        <v>-19.793999999999997</v>
      </c>
      <c r="V10" s="300">
        <f>+[5]영남권!$T$5/1000</f>
        <v>125.61150000000001</v>
      </c>
      <c r="W10" s="301">
        <f t="shared" ref="W10:W20" si="5">+T10-V10</f>
        <v>-30.905500000000004</v>
      </c>
      <c r="X10" s="92"/>
      <c r="Y10" s="235"/>
    </row>
    <row r="11" spans="1:25" ht="21.75" customHeight="1" x14ac:dyDescent="0.3">
      <c r="B11" s="235"/>
      <c r="C11" s="88"/>
      <c r="D11" s="93" t="s">
        <v>3</v>
      </c>
      <c r="E11" s="322">
        <f>+'[1]8월'!$AA$8/1000</f>
        <v>13712.918880000001</v>
      </c>
      <c r="F11" s="323">
        <f>+'[2]8월'!$AO$8/1000</f>
        <v>6411.0741150000003</v>
      </c>
      <c r="G11" s="299">
        <f>+F11-E11</f>
        <v>-7301.8447650000007</v>
      </c>
      <c r="H11" s="300">
        <f>+'[3]8월'!$AO$8/1000</f>
        <v>9493.178460000001</v>
      </c>
      <c r="I11" s="301">
        <f>+F11-H11</f>
        <v>-3082.1043450000006</v>
      </c>
      <c r="J11" s="322">
        <f>+'[1]8월누계'!$AA$8/1000</f>
        <v>96491.98999039999</v>
      </c>
      <c r="K11" s="323">
        <f>+'[2]8월누계'!$AO$8/1000</f>
        <v>69287.382234999983</v>
      </c>
      <c r="L11" s="299">
        <f>+K11-J11</f>
        <v>-27204.607755400008</v>
      </c>
      <c r="M11" s="300">
        <f>+'[3]8월누계'!$AO$8/1000</f>
        <v>70211.565195999996</v>
      </c>
      <c r="N11" s="301">
        <f>+K11-M11</f>
        <v>-924.18296100001317</v>
      </c>
      <c r="O11" s="87"/>
      <c r="P11" s="90"/>
      <c r="Q11" s="98"/>
      <c r="R11" s="180" t="s">
        <v>106</v>
      </c>
      <c r="S11" s="193">
        <f>+[4]중부권!$T$5/1000</f>
        <v>55</v>
      </c>
      <c r="T11" s="100">
        <f>+[4]중부권!$U$5/1000</f>
        <v>36.167000000000002</v>
      </c>
      <c r="U11" s="302">
        <f t="shared" si="4"/>
        <v>-18.832999999999998</v>
      </c>
      <c r="V11" s="303">
        <f>+[5]중부권!$T$5/1000</f>
        <v>49.419499999999999</v>
      </c>
      <c r="W11" s="304">
        <f t="shared" si="5"/>
        <v>-13.252499999999998</v>
      </c>
      <c r="X11" s="92"/>
      <c r="Y11" s="235"/>
    </row>
    <row r="12" spans="1:25" ht="21.75" customHeight="1" x14ac:dyDescent="0.3">
      <c r="B12" s="235"/>
      <c r="C12" s="88"/>
      <c r="D12" s="93" t="s">
        <v>1</v>
      </c>
      <c r="E12" s="322">
        <f>+'[1]8월'!$AE$8/1000</f>
        <v>1712.5157028200952</v>
      </c>
      <c r="F12" s="323">
        <f>+'[2]8월'!$AN$8/1000</f>
        <v>1324.6780000000001</v>
      </c>
      <c r="G12" s="299">
        <f t="shared" si="0"/>
        <v>-387.83770282009505</v>
      </c>
      <c r="H12" s="300">
        <f>+'[3]8월'!$AN$8/1000</f>
        <v>1021.5105</v>
      </c>
      <c r="I12" s="301">
        <f t="shared" si="1"/>
        <v>303.16750000000013</v>
      </c>
      <c r="J12" s="322">
        <f>+'[1]8월누계'!$AE$8/1000</f>
        <v>14023.065082305466</v>
      </c>
      <c r="K12" s="323">
        <f>+'[2]8월누계'!$AN$8/1000</f>
        <v>10642.5245</v>
      </c>
      <c r="L12" s="299">
        <f t="shared" ref="L12:L15" si="6">+K12-J12</f>
        <v>-3380.5405823054662</v>
      </c>
      <c r="M12" s="300">
        <f>+'[3]8월누계'!$AN$8/1000</f>
        <v>12244.040080000001</v>
      </c>
      <c r="N12" s="301">
        <f t="shared" ref="N12:N15" si="7">+K12-M12</f>
        <v>-1601.5155800000011</v>
      </c>
      <c r="O12" s="87"/>
      <c r="P12" s="90"/>
      <c r="Q12" s="101" t="s">
        <v>58</v>
      </c>
      <c r="R12" s="181"/>
      <c r="S12" s="194">
        <f>SUM(S9:S11)</f>
        <v>271.5</v>
      </c>
      <c r="T12" s="102">
        <f>SUM(T9:T11)</f>
        <v>200.35732000000002</v>
      </c>
      <c r="U12" s="305">
        <f t="shared" si="4"/>
        <v>-71.142679999999984</v>
      </c>
      <c r="V12" s="306">
        <f>SUM(V9:V11)</f>
        <v>257.52300000000002</v>
      </c>
      <c r="W12" s="307">
        <f t="shared" si="5"/>
        <v>-57.165680000000009</v>
      </c>
      <c r="X12" s="92"/>
    </row>
    <row r="13" spans="1:25" ht="21.75" customHeight="1" x14ac:dyDescent="0.3">
      <c r="B13" s="235"/>
      <c r="C13" s="88"/>
      <c r="D13" s="103" t="s">
        <v>4</v>
      </c>
      <c r="E13" s="329">
        <f>+'[1]8월'!$E$8/1000-E10-E11-E12</f>
        <v>143.72816666665722</v>
      </c>
      <c r="F13" s="330">
        <f>+'[2]8월'!$F$8/1000-F10-F11-F12</f>
        <v>119.31744700000013</v>
      </c>
      <c r="G13" s="302">
        <f t="shared" si="0"/>
        <v>-24.410719666657087</v>
      </c>
      <c r="H13" s="303">
        <f>+'[3]8월'!$F$8/1000-H10-H11-H12</f>
        <v>166.69162700000595</v>
      </c>
      <c r="I13" s="304">
        <f t="shared" si="1"/>
        <v>-47.374180000005822</v>
      </c>
      <c r="J13" s="329">
        <f>+'[1]8월누계'!$E$8/1000-J10-J11-J12</f>
        <v>1213.9453333333458</v>
      </c>
      <c r="K13" s="330">
        <f>+'[2]8월누계'!$F$8/1000-K10-K11-K12</f>
        <v>1067.0404900000285</v>
      </c>
      <c r="L13" s="302">
        <f t="shared" si="6"/>
        <v>-146.90484333331733</v>
      </c>
      <c r="M13" s="303">
        <f>+'[3]8월누계'!$F$8/1000-M10-M11-M12</f>
        <v>1323.900960000019</v>
      </c>
      <c r="N13" s="304">
        <f t="shared" si="7"/>
        <v>-256.86046999999053</v>
      </c>
      <c r="O13" s="87"/>
      <c r="P13" s="90"/>
      <c r="Q13" s="94" t="s">
        <v>59</v>
      </c>
      <c r="R13" s="178" t="s">
        <v>16</v>
      </c>
      <c r="S13" s="191">
        <f>+[4]수도권!$T$61</f>
        <v>99005.917153538612</v>
      </c>
      <c r="T13" s="95">
        <f>+[4]수도권!$U$61</f>
        <v>95390.139037595131</v>
      </c>
      <c r="U13" s="296">
        <f t="shared" si="4"/>
        <v>-3615.7781159434817</v>
      </c>
      <c r="V13" s="297">
        <f>+[5]수도권!$Q$85</f>
        <v>98331.463370409139</v>
      </c>
      <c r="W13" s="298">
        <f t="shared" si="5"/>
        <v>-2941.3243328140088</v>
      </c>
      <c r="X13" s="92"/>
    </row>
    <row r="14" spans="1:25" ht="21.75" customHeight="1" x14ac:dyDescent="0.3">
      <c r="A14" s="235"/>
      <c r="B14" s="235"/>
      <c r="C14" s="104" t="s">
        <v>8</v>
      </c>
      <c r="D14" s="105"/>
      <c r="E14" s="329">
        <f>SUM(E10:E13)</f>
        <v>43092.898062141692</v>
      </c>
      <c r="F14" s="330">
        <f>SUM(F10:F13)</f>
        <v>27305.797371000001</v>
      </c>
      <c r="G14" s="302">
        <f t="shared" si="0"/>
        <v>-15787.100691141692</v>
      </c>
      <c r="H14" s="303">
        <f>SUM(H10:H13)</f>
        <v>36478.222056000006</v>
      </c>
      <c r="I14" s="304">
        <f t="shared" si="1"/>
        <v>-9172.4246850000054</v>
      </c>
      <c r="J14" s="329">
        <f>SUM(J10:J13)</f>
        <v>326909.09704886732</v>
      </c>
      <c r="K14" s="330">
        <f>SUM(K10:K13)</f>
        <v>263327.491117</v>
      </c>
      <c r="L14" s="302">
        <f t="shared" si="6"/>
        <v>-63581.605931867321</v>
      </c>
      <c r="M14" s="303">
        <f>SUM(M10:M13)</f>
        <v>315954.44274199998</v>
      </c>
      <c r="N14" s="304">
        <f t="shared" si="7"/>
        <v>-52626.951624999987</v>
      </c>
      <c r="O14" s="87"/>
      <c r="P14" s="90"/>
      <c r="Q14" s="98"/>
      <c r="R14" s="179" t="s">
        <v>17</v>
      </c>
      <c r="S14" s="192">
        <f>+[4]영남권!$T$61</f>
        <v>100430.7981047511</v>
      </c>
      <c r="T14" s="99">
        <f>+[4]영남권!$U$61</f>
        <v>96920.99392319686</v>
      </c>
      <c r="U14" s="299">
        <f t="shared" si="4"/>
        <v>-3509.8041815542383</v>
      </c>
      <c r="V14" s="300">
        <f>+[5]영남권!$Q$85</f>
        <v>99644.238875411786</v>
      </c>
      <c r="W14" s="301">
        <f t="shared" si="5"/>
        <v>-2723.2449522149254</v>
      </c>
      <c r="X14" s="92"/>
      <c r="Y14" s="235"/>
    </row>
    <row r="15" spans="1:25" ht="21.75" customHeight="1" x14ac:dyDescent="0.3">
      <c r="C15" s="88" t="s">
        <v>5</v>
      </c>
      <c r="D15" s="97" t="s">
        <v>40</v>
      </c>
      <c r="E15" s="324">
        <f>+('[1]8월'!$Z$10+'[1]8월'!$Z$19)/1000</f>
        <v>23838.330339425203</v>
      </c>
      <c r="F15" s="325">
        <f>+('[2]8월'!$Z$10+'[2]8월'!$Z$19)/1000</f>
        <v>18207.467086000001</v>
      </c>
      <c r="G15" s="326">
        <f t="shared" si="0"/>
        <v>-5630.8632534252029</v>
      </c>
      <c r="H15" s="327">
        <f>+('[3]8월'!$Z$10+'[3]8월'!$Z$19)/1000</f>
        <v>22394.81135199</v>
      </c>
      <c r="I15" s="328">
        <f t="shared" si="1"/>
        <v>-4187.3442659899993</v>
      </c>
      <c r="J15" s="324">
        <f>+('[1]8월누계'!$Z$10+'[1]8월누계'!$Z$19)/1000</f>
        <v>190831.6708463254</v>
      </c>
      <c r="K15" s="325">
        <f>+('[2]8월누계'!$Z$10+'[2]8월누계'!$Z$19)/1000</f>
        <v>167304.04031199001</v>
      </c>
      <c r="L15" s="326">
        <f t="shared" si="6"/>
        <v>-23527.630534335389</v>
      </c>
      <c r="M15" s="327">
        <f>+('[3]8월누계'!$Z$10+'[3]8월누계'!$Z$19)/1000</f>
        <v>200504.98884198995</v>
      </c>
      <c r="N15" s="328">
        <f t="shared" si="7"/>
        <v>-33200.948529999936</v>
      </c>
      <c r="O15" s="87"/>
      <c r="P15" s="90"/>
      <c r="Q15" s="98"/>
      <c r="R15" s="180" t="s">
        <v>105</v>
      </c>
      <c r="S15" s="193">
        <f>+[4]중부권!$T$61</f>
        <v>107741.916</v>
      </c>
      <c r="T15" s="100">
        <f>+[4]중부권!$U$61</f>
        <v>101046.1585699671</v>
      </c>
      <c r="U15" s="302">
        <f t="shared" si="4"/>
        <v>-6695.7574300328997</v>
      </c>
      <c r="V15" s="303">
        <f>+[5]중부권!$Q$85</f>
        <v>104659.87442675063</v>
      </c>
      <c r="W15" s="304">
        <f t="shared" si="5"/>
        <v>-3613.7158567835286</v>
      </c>
      <c r="X15" s="92"/>
    </row>
    <row r="16" spans="1:25" ht="21.75" customHeight="1" x14ac:dyDescent="0.3">
      <c r="C16" s="88"/>
      <c r="D16" s="93" t="s">
        <v>3</v>
      </c>
      <c r="E16" s="322">
        <f>+('[1]8월'!$AA$10+'[1]8월'!$AA$19)/1000</f>
        <v>13342.736269191842</v>
      </c>
      <c r="F16" s="323">
        <f>+('[2]8월'!$AO$10+'[2]8월'!$AO$19)/1000</f>
        <v>6263.7844849999992</v>
      </c>
      <c r="G16" s="299">
        <f>+F16-E16</f>
        <v>-7078.9517841918432</v>
      </c>
      <c r="H16" s="300">
        <f>+('[3]8월'!$AO$10+'[3]8월'!$AO$19)/1000</f>
        <v>9292.7197730000007</v>
      </c>
      <c r="I16" s="301">
        <f>+F16-H16</f>
        <v>-3028.9352880000015</v>
      </c>
      <c r="J16" s="322">
        <f>+('[1]8월누계'!$AA$10+'[1]8월누계'!$AA$19)/1000</f>
        <v>93886.645671343984</v>
      </c>
      <c r="K16" s="323">
        <f>+('[2]8월누계'!$AO$10+'[2]8월누계'!$AO$19)/1000</f>
        <v>68164.600935000009</v>
      </c>
      <c r="L16" s="299">
        <f>+K16-J16</f>
        <v>-25722.044736343974</v>
      </c>
      <c r="M16" s="300">
        <f>+('[3]8월누계'!$AO$10+'[3]8월누계'!$AO$19)/1000</f>
        <v>68656.788912000004</v>
      </c>
      <c r="N16" s="301">
        <f>+K16-M16</f>
        <v>-492.18797699999413</v>
      </c>
      <c r="O16" s="87"/>
      <c r="P16" s="90"/>
      <c r="Q16" s="101" t="s">
        <v>58</v>
      </c>
      <c r="R16" s="181"/>
      <c r="S16" s="194">
        <f>+[4]합계!$T$61</f>
        <v>101376.55732101267</v>
      </c>
      <c r="T16" s="102">
        <f>+[4]합계!$U$61</f>
        <v>97142.344161233937</v>
      </c>
      <c r="U16" s="305">
        <f>+T16-S16</f>
        <v>-4234.2131597787375</v>
      </c>
      <c r="V16" s="306">
        <f>+[5]합계!$Q$85</f>
        <v>100188.19794620456</v>
      </c>
      <c r="W16" s="307">
        <f>+T16-V16</f>
        <v>-3045.853784970619</v>
      </c>
      <c r="X16" s="92"/>
    </row>
    <row r="17" spans="2:27" ht="21.75" customHeight="1" x14ac:dyDescent="0.3">
      <c r="C17" s="88"/>
      <c r="D17" s="93" t="s">
        <v>1</v>
      </c>
      <c r="E17" s="322">
        <f>+('[1]8월'!$AE$10+'[1]8월'!$AE$19)/1000</f>
        <v>1584.512695185618</v>
      </c>
      <c r="F17" s="323">
        <f>+('[2]8월'!$AN$10+'[2]8월'!$AN$19)/1000</f>
        <v>1367.0543659900002</v>
      </c>
      <c r="G17" s="299">
        <f t="shared" si="0"/>
        <v>-217.45832919561781</v>
      </c>
      <c r="H17" s="300">
        <f>+('[3]8월'!$AN$10+'[3]8월'!$AN$19)/1000</f>
        <v>1098.6589669900002</v>
      </c>
      <c r="I17" s="301">
        <f t="shared" si="1"/>
        <v>268.395399</v>
      </c>
      <c r="J17" s="322">
        <f>+('[1]8월누계'!$AE$10+'[1]8월누계'!$AE$19)/1000</f>
        <v>12342.960756718438</v>
      </c>
      <c r="K17" s="323">
        <f>+('[2]8월누계'!$AN$10+'[2]8월누계'!$AN$19)/1000</f>
        <v>10979.05236397</v>
      </c>
      <c r="L17" s="299">
        <f t="shared" ref="L17:L20" si="8">+K17-J17</f>
        <v>-1363.9083927484371</v>
      </c>
      <c r="M17" s="300">
        <f>+('[3]8월누계'!$AN$10+'[3]8월누계'!$AN$19)/1000</f>
        <v>11343.438962999999</v>
      </c>
      <c r="N17" s="301">
        <f t="shared" ref="N17:N20" si="9">+K17-M17</f>
        <v>-364.38659902999825</v>
      </c>
      <c r="O17" s="87"/>
      <c r="P17" s="90"/>
      <c r="Q17" s="173" t="s">
        <v>60</v>
      </c>
      <c r="R17" s="182" t="s">
        <v>16</v>
      </c>
      <c r="S17" s="195">
        <f>+[4]수도권!$Q$90</f>
        <v>18614.669609322576</v>
      </c>
      <c r="T17" s="106">
        <f>+[4]수도권!$R$90</f>
        <v>15012.539201054518</v>
      </c>
      <c r="U17" s="308">
        <f t="shared" si="4"/>
        <v>-3602.1304082680581</v>
      </c>
      <c r="V17" s="309">
        <f>+[5]수도권!$Q$90</f>
        <v>17913.384835485791</v>
      </c>
      <c r="W17" s="310">
        <f t="shared" si="5"/>
        <v>-2900.8456344312726</v>
      </c>
      <c r="X17" s="92"/>
    </row>
    <row r="18" spans="2:27" ht="21.75" customHeight="1" x14ac:dyDescent="0.3">
      <c r="C18" s="88"/>
      <c r="D18" s="103" t="s">
        <v>4</v>
      </c>
      <c r="E18" s="329">
        <f>+('[1]8월'!$E$10+'[1]8월'!$E$19)/1000-E15-E16-E17</f>
        <v>68.375599000002921</v>
      </c>
      <c r="F18" s="330">
        <f>+('[2]8월'!$F$10+'[2]8월'!$F$19)/1000-F15-F16-F17</f>
        <v>19.32186999999999</v>
      </c>
      <c r="G18" s="302">
        <f t="shared" si="0"/>
        <v>-49.053729000002932</v>
      </c>
      <c r="H18" s="303">
        <f>+('[3]8월'!$F$10+'[3]8월'!$F$19)/1000-H15-H16-H17</f>
        <v>-221.52369300000078</v>
      </c>
      <c r="I18" s="304">
        <f t="shared" si="1"/>
        <v>240.84556300000077</v>
      </c>
      <c r="J18" s="329">
        <f>+('[1]8월누계'!$E$10+'[1]8월누계'!$E$19)/1000-J15-J16-J17</f>
        <v>488.65982200002145</v>
      </c>
      <c r="K18" s="330">
        <f>+('[2]8월누계'!$F$10+'[2]8월누계'!$F$19)/1000-K15-K16-K17</f>
        <v>445.20486299997356</v>
      </c>
      <c r="L18" s="302">
        <f t="shared" si="8"/>
        <v>-43.454959000047893</v>
      </c>
      <c r="M18" s="303">
        <f>+('[3]8월누계'!$F$10+'[3]8월누계'!$F$19)/1000-M15-M16-M17</f>
        <v>129.61519500000031</v>
      </c>
      <c r="N18" s="304">
        <f t="shared" si="9"/>
        <v>315.58966799997324</v>
      </c>
      <c r="O18" s="87"/>
      <c r="P18" s="90"/>
      <c r="Q18" s="174"/>
      <c r="R18" s="183" t="s">
        <v>17</v>
      </c>
      <c r="S18" s="196">
        <f>+[4]영남권!$Q$90</f>
        <v>21890.751043279568</v>
      </c>
      <c r="T18" s="107">
        <f>+[4]영남권!$R$90</f>
        <v>18421.761279089551</v>
      </c>
      <c r="U18" s="311">
        <f t="shared" si="4"/>
        <v>-3468.989764190017</v>
      </c>
      <c r="V18" s="312">
        <f>+[5]영남권!$Q$90</f>
        <v>21784.811231579311</v>
      </c>
      <c r="W18" s="313">
        <f t="shared" si="5"/>
        <v>-3363.0499524897605</v>
      </c>
      <c r="X18" s="92"/>
    </row>
    <row r="19" spans="2:27" ht="21.75" customHeight="1" x14ac:dyDescent="0.3">
      <c r="C19" s="88" t="s">
        <v>8</v>
      </c>
      <c r="D19" s="108"/>
      <c r="E19" s="322">
        <f>SUM(E15:E18)</f>
        <v>38833.954902802667</v>
      </c>
      <c r="F19" s="323">
        <f>SUM(F15:F18)</f>
        <v>25857.62780699</v>
      </c>
      <c r="G19" s="299">
        <f t="shared" si="0"/>
        <v>-12976.327095812667</v>
      </c>
      <c r="H19" s="300">
        <f>SUM(H15:H18)</f>
        <v>32564.666398980004</v>
      </c>
      <c r="I19" s="301">
        <f t="shared" si="1"/>
        <v>-6707.0385919900036</v>
      </c>
      <c r="J19" s="322">
        <f>SUM(J15:J18)</f>
        <v>297549.93709638779</v>
      </c>
      <c r="K19" s="323">
        <f>SUM(K15:K18)</f>
        <v>246892.89847395997</v>
      </c>
      <c r="L19" s="299">
        <f t="shared" si="8"/>
        <v>-50657.038622427819</v>
      </c>
      <c r="M19" s="300">
        <f>SUM(M15:M18)</f>
        <v>280634.83191199001</v>
      </c>
      <c r="N19" s="301">
        <f t="shared" si="9"/>
        <v>-33741.933438030042</v>
      </c>
      <c r="O19" s="87"/>
      <c r="P19" s="90"/>
      <c r="Q19" s="174"/>
      <c r="R19" s="184" t="s">
        <v>105</v>
      </c>
      <c r="S19" s="197">
        <f>+[4]중부권!$Q$90</f>
        <v>30215.606318805192</v>
      </c>
      <c r="T19" s="109">
        <f>+[4]중부권!$R$90</f>
        <v>22438.349951707889</v>
      </c>
      <c r="U19" s="314">
        <f t="shared" si="4"/>
        <v>-7777.2563670973032</v>
      </c>
      <c r="V19" s="315">
        <f>+[5]중부권!$Q$90</f>
        <v>30716.283215692645</v>
      </c>
      <c r="W19" s="316">
        <f t="shared" si="5"/>
        <v>-8277.9332639847562</v>
      </c>
      <c r="X19" s="92"/>
    </row>
    <row r="20" spans="2:27" ht="21.75" customHeight="1" x14ac:dyDescent="0.3">
      <c r="C20" s="96" t="s">
        <v>15</v>
      </c>
      <c r="D20" s="97" t="s">
        <v>40</v>
      </c>
      <c r="E20" s="324">
        <f t="shared" ref="E20:F23" si="10">+E10-E15</f>
        <v>3685.4049732297353</v>
      </c>
      <c r="F20" s="325">
        <f t="shared" si="10"/>
        <v>1243.2607229999994</v>
      </c>
      <c r="G20" s="326">
        <f t="shared" si="0"/>
        <v>-2442.1442502297359</v>
      </c>
      <c r="H20" s="327">
        <f>+H10-H15</f>
        <v>3402.0301170099992</v>
      </c>
      <c r="I20" s="328">
        <f t="shared" si="1"/>
        <v>-2158.7693940099998</v>
      </c>
      <c r="J20" s="324">
        <f t="shared" ref="J20:K20" si="11">+J10-J15</f>
        <v>24348.425796503114</v>
      </c>
      <c r="K20" s="325">
        <f t="shared" si="11"/>
        <v>15026.503580009972</v>
      </c>
      <c r="L20" s="326">
        <f t="shared" si="8"/>
        <v>-9321.9222164931416</v>
      </c>
      <c r="M20" s="327">
        <f>+M10-M15</f>
        <v>31669.947664010018</v>
      </c>
      <c r="N20" s="328">
        <f t="shared" si="9"/>
        <v>-16643.444084000046</v>
      </c>
      <c r="O20" s="87"/>
      <c r="P20" s="90"/>
      <c r="Q20" s="175" t="s">
        <v>58</v>
      </c>
      <c r="R20" s="185"/>
      <c r="S20" s="198">
        <f>+[4]합계!$Q$90</f>
        <v>22346.392788731871</v>
      </c>
      <c r="T20" s="110">
        <f>+[4]합계!$R$90</f>
        <v>17977.150802189295</v>
      </c>
      <c r="U20" s="317">
        <f t="shared" si="4"/>
        <v>-4369.2419865425763</v>
      </c>
      <c r="V20" s="318">
        <f>+[5]합계!$Q$90</f>
        <v>22264.300364550043</v>
      </c>
      <c r="W20" s="319">
        <f t="shared" si="5"/>
        <v>-4287.149562360748</v>
      </c>
      <c r="X20" s="92"/>
    </row>
    <row r="21" spans="2:27" ht="21.75" customHeight="1" x14ac:dyDescent="0.3">
      <c r="C21" s="88"/>
      <c r="D21" s="93" t="s">
        <v>3</v>
      </c>
      <c r="E21" s="322">
        <f t="shared" si="10"/>
        <v>370.18261080815864</v>
      </c>
      <c r="F21" s="323">
        <f t="shared" si="10"/>
        <v>147.28963000000113</v>
      </c>
      <c r="G21" s="299">
        <f>+F21-E21</f>
        <v>-222.89298080815752</v>
      </c>
      <c r="H21" s="300">
        <f>+H11-H16</f>
        <v>200.45868700000028</v>
      </c>
      <c r="I21" s="301">
        <f>+F21-H21</f>
        <v>-53.169056999999157</v>
      </c>
      <c r="J21" s="322">
        <f t="shared" ref="J21:K21" si="12">+J11-J16</f>
        <v>2605.3443190560065</v>
      </c>
      <c r="K21" s="323">
        <f t="shared" si="12"/>
        <v>1122.7812999999733</v>
      </c>
      <c r="L21" s="299">
        <f>+K21-J21</f>
        <v>-1482.5630190560332</v>
      </c>
      <c r="M21" s="300">
        <f>+M11-M16</f>
        <v>1554.7762839999923</v>
      </c>
      <c r="N21" s="301">
        <f>+K21-M21</f>
        <v>-431.99498400001903</v>
      </c>
      <c r="O21" s="87"/>
      <c r="P21" s="90"/>
      <c r="Q21" s="144" t="s">
        <v>85</v>
      </c>
      <c r="R21" s="145"/>
      <c r="S21" s="146"/>
      <c r="T21" s="152"/>
      <c r="U21" s="146"/>
      <c r="X21" s="92"/>
    </row>
    <row r="22" spans="2:27" ht="21.75" customHeight="1" x14ac:dyDescent="0.3">
      <c r="C22" s="88"/>
      <c r="D22" s="93" t="s">
        <v>1</v>
      </c>
      <c r="E22" s="322">
        <f t="shared" si="10"/>
        <v>128.00300763447717</v>
      </c>
      <c r="F22" s="323">
        <f t="shared" si="10"/>
        <v>-42.376365990000068</v>
      </c>
      <c r="G22" s="299">
        <f t="shared" si="0"/>
        <v>-170.37937362447724</v>
      </c>
      <c r="H22" s="300">
        <f>+H12-H17</f>
        <v>-77.148466990000202</v>
      </c>
      <c r="I22" s="301">
        <f t="shared" si="1"/>
        <v>34.772101000000134</v>
      </c>
      <c r="J22" s="322">
        <f t="shared" ref="J22:K22" si="13">+J12-J17</f>
        <v>1680.1043255870281</v>
      </c>
      <c r="K22" s="323">
        <f t="shared" si="13"/>
        <v>-336.52786397000091</v>
      </c>
      <c r="L22" s="299">
        <f t="shared" ref="L22:L25" si="14">+K22-J22</f>
        <v>-2016.6321895570291</v>
      </c>
      <c r="M22" s="300">
        <f>+M12-M17</f>
        <v>900.60111700000198</v>
      </c>
      <c r="N22" s="301">
        <f t="shared" ref="N22:N25" si="15">+K22-M22</f>
        <v>-1237.1289809700029</v>
      </c>
      <c r="O22" s="87"/>
      <c r="P22" s="90"/>
      <c r="Q22" s="221" t="s">
        <v>11</v>
      </c>
      <c r="R22" s="222"/>
      <c r="S22" s="223" t="s">
        <v>12</v>
      </c>
      <c r="T22" s="224" t="s">
        <v>13</v>
      </c>
      <c r="U22" s="225" t="s">
        <v>92</v>
      </c>
      <c r="V22" s="224" t="s">
        <v>14</v>
      </c>
      <c r="W22" s="226" t="s">
        <v>93</v>
      </c>
      <c r="X22" s="92"/>
    </row>
    <row r="23" spans="2:27" ht="21.75" customHeight="1" x14ac:dyDescent="0.3">
      <c r="C23" s="88"/>
      <c r="D23" s="103" t="s">
        <v>4</v>
      </c>
      <c r="E23" s="329">
        <f t="shared" si="10"/>
        <v>75.352567666654295</v>
      </c>
      <c r="F23" s="330">
        <f t="shared" si="10"/>
        <v>99.995577000000139</v>
      </c>
      <c r="G23" s="302">
        <f t="shared" si="0"/>
        <v>24.643009333345844</v>
      </c>
      <c r="H23" s="303">
        <f>+H13-H18</f>
        <v>388.21532000000673</v>
      </c>
      <c r="I23" s="304">
        <f t="shared" si="1"/>
        <v>-288.21974300000659</v>
      </c>
      <c r="J23" s="329">
        <f t="shared" ref="J23:K23" si="16">+J13-J18</f>
        <v>725.28551133332439</v>
      </c>
      <c r="K23" s="330">
        <f t="shared" si="16"/>
        <v>621.83562700005496</v>
      </c>
      <c r="L23" s="302">
        <f t="shared" si="14"/>
        <v>-103.44988433326944</v>
      </c>
      <c r="M23" s="303">
        <f>+M13-M18</f>
        <v>1194.2857650000187</v>
      </c>
      <c r="N23" s="304">
        <f t="shared" si="15"/>
        <v>-572.45013799996377</v>
      </c>
      <c r="O23" s="87"/>
      <c r="P23" s="90"/>
      <c r="Q23" s="147" t="s">
        <v>86</v>
      </c>
      <c r="R23" s="148"/>
      <c r="S23" s="207">
        <f>+'[6]8월'!$F$10</f>
        <v>873809.5238095239</v>
      </c>
      <c r="T23" s="213">
        <f>+'[6]8월'!$G$10</f>
        <v>765881.71758050087</v>
      </c>
      <c r="U23" s="210">
        <f>+T23-S23</f>
        <v>-107927.80622902303</v>
      </c>
      <c r="V23" s="189">
        <f>+'[7]8월'!$G$10</f>
        <v>846014.52770958561</v>
      </c>
      <c r="W23" s="186">
        <f>+T23-V23</f>
        <v>-80132.810129084741</v>
      </c>
      <c r="X23" s="92"/>
    </row>
    <row r="24" spans="2:27" ht="21.75" customHeight="1" x14ac:dyDescent="0.3">
      <c r="C24" s="104" t="s">
        <v>8</v>
      </c>
      <c r="D24" s="105"/>
      <c r="E24" s="329">
        <f>SUM(E20:E23)</f>
        <v>4258.9431593390254</v>
      </c>
      <c r="F24" s="330">
        <f>SUM(F20:F23)</f>
        <v>1448.1695640100006</v>
      </c>
      <c r="G24" s="302">
        <f t="shared" si="0"/>
        <v>-2810.7735953290248</v>
      </c>
      <c r="H24" s="303">
        <f>SUM(H20:H23)</f>
        <v>3913.555657020006</v>
      </c>
      <c r="I24" s="304">
        <f t="shared" si="1"/>
        <v>-2465.3860930100054</v>
      </c>
      <c r="J24" s="329">
        <f>SUM(J20:J23)</f>
        <v>29359.159952479473</v>
      </c>
      <c r="K24" s="330">
        <f>SUM(K20:K23)</f>
        <v>16434.59264304</v>
      </c>
      <c r="L24" s="302">
        <f t="shared" si="14"/>
        <v>-12924.567309439473</v>
      </c>
      <c r="M24" s="303">
        <f>SUM(M20:M23)</f>
        <v>35319.610830010031</v>
      </c>
      <c r="N24" s="304">
        <f t="shared" si="15"/>
        <v>-18885.018186970032</v>
      </c>
      <c r="O24" s="87"/>
      <c r="P24" s="90"/>
      <c r="Q24" s="149" t="s">
        <v>87</v>
      </c>
      <c r="R24" s="150"/>
      <c r="S24" s="208">
        <f>+'[6]8월'!$F$15</f>
        <v>2.4058583106267031E-2</v>
      </c>
      <c r="T24" s="214">
        <f>+'[6]8월'!$G$15</f>
        <v>2.2615170311533105E-2</v>
      </c>
      <c r="U24" s="211">
        <f>+T24-S24</f>
        <v>-1.4434127947339261E-3</v>
      </c>
      <c r="V24" s="190">
        <f>+'[6]8월'!$G$15</f>
        <v>2.2615170311533105E-2</v>
      </c>
      <c r="W24" s="187">
        <f>+T24-V24</f>
        <v>0</v>
      </c>
      <c r="X24" s="92"/>
    </row>
    <row r="25" spans="2:27" ht="21.75" customHeight="1" x14ac:dyDescent="0.3">
      <c r="C25" s="96" t="s">
        <v>6</v>
      </c>
      <c r="D25" s="97" t="s">
        <v>40</v>
      </c>
      <c r="E25" s="324">
        <f>+('[1]8월'!$Z$13+'[1]8월'!$Z$20)/1000</f>
        <v>651.01474300000007</v>
      </c>
      <c r="F25" s="325">
        <f>+('[2]8월'!$Z$13+'[2]8월'!$Z$20)/1000</f>
        <v>662.79208199999994</v>
      </c>
      <c r="G25" s="326">
        <f t="shared" si="0"/>
        <v>11.77733899999987</v>
      </c>
      <c r="H25" s="327">
        <f>+('[3]8월'!$Z$13+'[3]8월'!$Z$20)/1000</f>
        <v>649.75982500000021</v>
      </c>
      <c r="I25" s="328">
        <f t="shared" si="1"/>
        <v>13.032256999999731</v>
      </c>
      <c r="J25" s="324">
        <f>+('[1]8월누계'!$Z$13+'[1]8월누계'!$Z$20)/1000</f>
        <v>5365.3072519999996</v>
      </c>
      <c r="K25" s="325">
        <f>+('[2]8월누계'!$Z$13+'[2]8월누계'!$Z$20)/1000</f>
        <v>5364.7221019999997</v>
      </c>
      <c r="L25" s="326">
        <f t="shared" si="14"/>
        <v>-0.58514999999988504</v>
      </c>
      <c r="M25" s="327">
        <f>+('[3]8월누계'!$Z$13+'[3]8월누계'!$Z$20)/1000</f>
        <v>5270.817751999999</v>
      </c>
      <c r="N25" s="328">
        <f t="shared" si="15"/>
        <v>93.904350000000704</v>
      </c>
      <c r="O25" s="87"/>
      <c r="P25" s="90"/>
      <c r="Q25" s="144" t="s">
        <v>88</v>
      </c>
      <c r="R25" s="151"/>
      <c r="S25" s="71"/>
      <c r="T25" s="152"/>
      <c r="U25" s="71"/>
      <c r="X25" s="92"/>
    </row>
    <row r="26" spans="2:27" ht="21.75" customHeight="1" x14ac:dyDescent="0.3">
      <c r="C26" s="88"/>
      <c r="D26" s="93" t="s">
        <v>68</v>
      </c>
      <c r="E26" s="322">
        <f>+('[1]8월'!$AA$13+'[1]8월'!$AA$20)/1000</f>
        <v>122.29034800000001</v>
      </c>
      <c r="F26" s="323">
        <f>+('[2]8월'!$AO$13+'[2]8월'!$AO$20)/1000</f>
        <v>129.12859599999999</v>
      </c>
      <c r="G26" s="299">
        <f>+F26-E26</f>
        <v>6.8382479999999788</v>
      </c>
      <c r="H26" s="300">
        <f>+('[3]8월'!$AO$13+'[3]8월'!$AO$20)/1000</f>
        <v>120.93393399999998</v>
      </c>
      <c r="I26" s="301">
        <f>+F26-H26</f>
        <v>8.1946620000000081</v>
      </c>
      <c r="J26" s="322">
        <f>+('[1]8월누계'!$AA$13+'[1]8월누계'!$AA$20)/1000</f>
        <v>1014.5176440000002</v>
      </c>
      <c r="K26" s="323">
        <f>+('[2]8월누계'!$AO$13+'[2]8월누계'!$AO$20)/1000</f>
        <v>1176.117289</v>
      </c>
      <c r="L26" s="299">
        <f>+K26-J26</f>
        <v>161.59964499999978</v>
      </c>
      <c r="M26" s="300">
        <f>+('[3]8월누계'!$AO$13+'[3]8월누계'!$AO$20)/1000</f>
        <v>1099.6987119999999</v>
      </c>
      <c r="N26" s="301">
        <f>+K26-M26</f>
        <v>76.418577000000141</v>
      </c>
      <c r="O26" s="87"/>
      <c r="P26" s="90"/>
      <c r="Q26" s="221" t="s">
        <v>11</v>
      </c>
      <c r="R26" s="222"/>
      <c r="S26" s="223" t="s">
        <v>12</v>
      </c>
      <c r="T26" s="224" t="s">
        <v>13</v>
      </c>
      <c r="U26" s="225" t="s">
        <v>92</v>
      </c>
      <c r="V26" s="224" t="s">
        <v>14</v>
      </c>
      <c r="W26" s="226" t="s">
        <v>93</v>
      </c>
      <c r="X26" s="92"/>
    </row>
    <row r="27" spans="2:27" ht="21.75" customHeight="1" x14ac:dyDescent="0.3">
      <c r="C27" s="88"/>
      <c r="D27" s="93" t="s">
        <v>1</v>
      </c>
      <c r="E27" s="322">
        <f>+('[1]8월'!$AE$13+'[1]8월'!$AE$20+'[1]8월'!$AE$22)/1000</f>
        <v>46.78376770840871</v>
      </c>
      <c r="F27" s="323">
        <f>+('[2]8월'!$AN$13+'[2]8월'!$AN$20+'[2]8월'!$AN$22)/1000</f>
        <v>46.627518854404109</v>
      </c>
      <c r="G27" s="299">
        <f t="shared" si="0"/>
        <v>-0.15624885400460187</v>
      </c>
      <c r="H27" s="300">
        <f>+('[3]8월'!$AN$13+'[3]8월'!$AN$20+'[3]8월'!$AN$22)/1000</f>
        <v>73.870020425461959</v>
      </c>
      <c r="I27" s="301">
        <f t="shared" si="1"/>
        <v>-27.242501571057851</v>
      </c>
      <c r="J27" s="322">
        <f>+('[1]8월누계'!$AE$13+'[1]8월누계'!$AE$20+'[1]8월누계'!$AE$22)/1000</f>
        <v>384.37506991457309</v>
      </c>
      <c r="K27" s="323">
        <f>+('[2]8월누계'!$AN$13+'[2]8월누계'!$AN$20+'[2]8월누계'!$AN$22)/1000</f>
        <v>376.58464632864411</v>
      </c>
      <c r="L27" s="299">
        <f t="shared" ref="L27:L31" si="17">+K27-J27</f>
        <v>-7.790423585928977</v>
      </c>
      <c r="M27" s="300">
        <f>+('[3]8월누계'!$AN$13+'[3]8월누계'!$AN$20+'[3]8월누계'!$AN$22)/1000</f>
        <v>441.6580214458732</v>
      </c>
      <c r="N27" s="301">
        <f t="shared" ref="N27:N31" si="18">+K27-M27</f>
        <v>-65.073375117229091</v>
      </c>
      <c r="O27" s="87"/>
      <c r="P27" s="90"/>
      <c r="Q27" s="1" t="s">
        <v>89</v>
      </c>
      <c r="R27" s="176" t="s">
        <v>90</v>
      </c>
      <c r="S27" s="207">
        <f>+[8]원가손익!$W$10+[9]원가손익!$W$13+[10]손익!$F$10</f>
        <v>50130.878492817996</v>
      </c>
      <c r="T27" s="213">
        <f>+[8]원가손익!$X$10+[9]원가손익!$X$13+[10]손익!$G$10</f>
        <v>43505</v>
      </c>
      <c r="U27" s="210">
        <f>+T27-S27</f>
        <v>-6625.8784928179957</v>
      </c>
      <c r="V27" s="189">
        <f>+'[11]부산모래장(당월)'!$S$85</f>
        <v>36904</v>
      </c>
      <c r="W27" s="186">
        <f>+T27-V27</f>
        <v>6601</v>
      </c>
      <c r="X27" s="92"/>
    </row>
    <row r="28" spans="2:27" ht="21.75" customHeight="1" x14ac:dyDescent="0.3">
      <c r="B28" s="85"/>
      <c r="C28" s="88"/>
      <c r="D28" s="103" t="s">
        <v>4</v>
      </c>
      <c r="E28" s="329">
        <f>+('[1]8월'!$E$13+'[1]8월'!$E$20)/1000-E25-E26-E27+('[1]8월'!$E$22/1000)</f>
        <v>1384.1646137438142</v>
      </c>
      <c r="F28" s="330">
        <f>+('[2]8월'!$F$13+'[2]8월'!$F$20)/1000-F25-F26-F27+'[2]8월'!$F$22/1000</f>
        <v>1372.3991871465701</v>
      </c>
      <c r="G28" s="302">
        <f t="shared" si="0"/>
        <v>-11.765426597244186</v>
      </c>
      <c r="H28" s="303">
        <f>+('[3]8월'!$F$13+'[3]8월'!$F$20)/1000-H25-H26-H27+'[3]8월'!$F$22/1000</f>
        <v>1192.6266375744422</v>
      </c>
      <c r="I28" s="304">
        <f t="shared" si="1"/>
        <v>179.7725495721279</v>
      </c>
      <c r="J28" s="329">
        <f>+('[1]8월누계'!$E$13+'[1]8월누계'!$E$20)/1000-J25-J26-J27+('[1]8월누계'!$E$22/1000)</f>
        <v>13206.624963362368</v>
      </c>
      <c r="K28" s="330">
        <f>+('[2]8월누계'!$F$13+'[2]8월누계'!$F$20)/1000-K25-K26-K27+'[2]8월누계'!$F$22/1000</f>
        <v>14523.897301669014</v>
      </c>
      <c r="L28" s="302">
        <f t="shared" si="17"/>
        <v>1317.2723383066459</v>
      </c>
      <c r="M28" s="303">
        <f>+('[3]8월누계'!$F$13+'[3]8월누계'!$F$20)/1000-M25-M26-M27+'[3]8월누계'!$F$22/1000</f>
        <v>12964.238356549889</v>
      </c>
      <c r="N28" s="304">
        <f t="shared" si="18"/>
        <v>1559.6589451191248</v>
      </c>
      <c r="O28" s="87"/>
      <c r="P28" s="90"/>
      <c r="Q28" s="2"/>
      <c r="R28" s="177" t="s">
        <v>91</v>
      </c>
      <c r="S28" s="209">
        <f>+[8]원가손익!$W$14+[9]원가손익!$W$15+[10]손익!$F$12</f>
        <v>45000</v>
      </c>
      <c r="T28" s="141">
        <f>+[8]원가손익!$X$14+[9]원가손익!$X$15+[10]손익!$G$12</f>
        <v>23582</v>
      </c>
      <c r="U28" s="212">
        <f>+T28-S28</f>
        <v>-21418</v>
      </c>
      <c r="V28" s="70">
        <f>+'[11]부산모래장(당월)'!$S$86</f>
        <v>12699</v>
      </c>
      <c r="W28" s="188">
        <f>+T28-V28</f>
        <v>10883</v>
      </c>
      <c r="X28" s="92"/>
    </row>
    <row r="29" spans="2:27" ht="21.75" customHeight="1" x14ac:dyDescent="0.3">
      <c r="C29" s="104" t="s">
        <v>8</v>
      </c>
      <c r="D29" s="105"/>
      <c r="E29" s="329">
        <f>SUM(E25:E28)</f>
        <v>2204.2534724522229</v>
      </c>
      <c r="F29" s="330">
        <f>SUM(F25:F28)</f>
        <v>2210.9473840009741</v>
      </c>
      <c r="G29" s="302">
        <f t="shared" si="0"/>
        <v>6.6939115487512026</v>
      </c>
      <c r="H29" s="303">
        <f>SUM(H25:H28)</f>
        <v>2037.1904169999043</v>
      </c>
      <c r="I29" s="304">
        <f t="shared" si="1"/>
        <v>173.75696700106982</v>
      </c>
      <c r="J29" s="329">
        <f>SUM(J25:J28)</f>
        <v>19970.82492927694</v>
      </c>
      <c r="K29" s="330">
        <f>SUM(K25:K28)</f>
        <v>21441.321338997659</v>
      </c>
      <c r="L29" s="302">
        <f t="shared" si="17"/>
        <v>1470.4964097207194</v>
      </c>
      <c r="M29" s="303">
        <f>SUM(M25:M28)</f>
        <v>19776.412841995763</v>
      </c>
      <c r="N29" s="304">
        <f t="shared" si="18"/>
        <v>1664.9084970018957</v>
      </c>
      <c r="O29" s="87"/>
      <c r="P29" s="90"/>
      <c r="Q29" s="631" t="s">
        <v>100</v>
      </c>
      <c r="R29" s="632"/>
      <c r="S29" s="209">
        <f>SUM(S27:S28)</f>
        <v>95130.878492817996</v>
      </c>
      <c r="T29" s="141">
        <f>SUM(T27:T28)</f>
        <v>67087</v>
      </c>
      <c r="U29" s="212">
        <f>+T29-S29</f>
        <v>-28043.878492817996</v>
      </c>
      <c r="V29" s="70">
        <f>SUM(V27:V28)</f>
        <v>49603</v>
      </c>
      <c r="W29" s="188">
        <f>+T29-V29</f>
        <v>17484</v>
      </c>
      <c r="X29" s="92"/>
    </row>
    <row r="30" spans="2:27" ht="21.75" customHeight="1" x14ac:dyDescent="0.3">
      <c r="B30" s="235"/>
      <c r="C30" s="88" t="s">
        <v>7</v>
      </c>
      <c r="D30" s="97" t="s">
        <v>40</v>
      </c>
      <c r="E30" s="324">
        <f>+E20-E25</f>
        <v>3034.3902302297352</v>
      </c>
      <c r="F30" s="331">
        <f>+F20-F25</f>
        <v>580.46864099999948</v>
      </c>
      <c r="G30" s="326">
        <f t="shared" si="0"/>
        <v>-2453.9215892297357</v>
      </c>
      <c r="H30" s="327">
        <f>+H20-H25</f>
        <v>2752.2702920099991</v>
      </c>
      <c r="I30" s="328">
        <f t="shared" si="1"/>
        <v>-2171.8016510099997</v>
      </c>
      <c r="J30" s="324">
        <f>+J20-J25</f>
        <v>18983.118544503115</v>
      </c>
      <c r="K30" s="331">
        <f>+K20-K25</f>
        <v>9661.7814780099725</v>
      </c>
      <c r="L30" s="326">
        <f t="shared" si="17"/>
        <v>-9321.3370664931426</v>
      </c>
      <c r="M30" s="327">
        <f>+M20-M25</f>
        <v>26399.129912010019</v>
      </c>
      <c r="N30" s="328">
        <f t="shared" si="18"/>
        <v>-16737.348434000047</v>
      </c>
      <c r="O30" s="87"/>
      <c r="P30" s="90"/>
      <c r="Q30" s="144" t="s">
        <v>113</v>
      </c>
      <c r="X30" s="92"/>
      <c r="Z30" s="235"/>
      <c r="AA30" s="235"/>
    </row>
    <row r="31" spans="2:27" ht="21.75" customHeight="1" x14ac:dyDescent="0.3">
      <c r="B31" s="235"/>
      <c r="C31" s="88"/>
      <c r="D31" s="111" t="s">
        <v>10</v>
      </c>
      <c r="E31" s="199">
        <f>+E30/E10</f>
        <v>0.11024630907689971</v>
      </c>
      <c r="F31" s="205">
        <f>+F30/F10</f>
        <v>2.9843029356022979E-2</v>
      </c>
      <c r="G31" s="202">
        <f t="shared" si="0"/>
        <v>-8.0403279720876727E-2</v>
      </c>
      <c r="H31" s="112">
        <f>+H30/H10</f>
        <v>0.10669020450885026</v>
      </c>
      <c r="I31" s="113">
        <f t="shared" si="1"/>
        <v>-7.6847175152827282E-2</v>
      </c>
      <c r="J31" s="199">
        <f>+J30/J10</f>
        <v>8.8219676636787966E-2</v>
      </c>
      <c r="K31" s="205">
        <f>+K30/K10</f>
        <v>5.2990471435948462E-2</v>
      </c>
      <c r="L31" s="202">
        <f t="shared" si="17"/>
        <v>-3.5229205200839504E-2</v>
      </c>
      <c r="M31" s="112">
        <f>+M30/M10</f>
        <v>0.11370361637345727</v>
      </c>
      <c r="N31" s="113">
        <f t="shared" si="18"/>
        <v>-6.071314493750881E-2</v>
      </c>
      <c r="O31" s="87"/>
      <c r="P31" s="90"/>
      <c r="Q31" s="221" t="s">
        <v>11</v>
      </c>
      <c r="R31" s="222"/>
      <c r="S31" s="223" t="s">
        <v>12</v>
      </c>
      <c r="T31" s="224" t="s">
        <v>13</v>
      </c>
      <c r="U31" s="225" t="s">
        <v>92</v>
      </c>
      <c r="V31" s="224" t="s">
        <v>14</v>
      </c>
      <c r="W31" s="226" t="s">
        <v>93</v>
      </c>
      <c r="X31" s="92"/>
    </row>
    <row r="32" spans="2:27" ht="21.75" customHeight="1" x14ac:dyDescent="0.3">
      <c r="B32" s="235"/>
      <c r="C32" s="88"/>
      <c r="D32" s="93" t="s">
        <v>3</v>
      </c>
      <c r="E32" s="322">
        <f t="shared" ref="E32:F34" si="19">+E21-E26</f>
        <v>247.89226280815865</v>
      </c>
      <c r="F32" s="323">
        <f t="shared" si="19"/>
        <v>18.161034000001138</v>
      </c>
      <c r="G32" s="299">
        <f>+F32-E32</f>
        <v>-229.73122880815751</v>
      </c>
      <c r="H32" s="300">
        <f>+H21-H26</f>
        <v>79.524753000000302</v>
      </c>
      <c r="I32" s="301">
        <f>+F32-H32</f>
        <v>-61.363718999999165</v>
      </c>
      <c r="J32" s="322">
        <f t="shared" ref="J32:K32" si="20">+J21-J26</f>
        <v>1590.8266750560063</v>
      </c>
      <c r="K32" s="323">
        <f t="shared" si="20"/>
        <v>-53.335989000026757</v>
      </c>
      <c r="L32" s="299">
        <f>+K32-J32</f>
        <v>-1644.162664056033</v>
      </c>
      <c r="M32" s="300">
        <f>+M21-M26</f>
        <v>455.07757199999241</v>
      </c>
      <c r="N32" s="301">
        <f>+K32-M32</f>
        <v>-508.41356100001917</v>
      </c>
      <c r="O32" s="87"/>
      <c r="P32" s="90"/>
      <c r="Q32" s="633" t="s">
        <v>104</v>
      </c>
      <c r="R32" s="634"/>
      <c r="S32" s="240">
        <f>+'사업장별(당월)'!T33</f>
        <v>48.278887666666662</v>
      </c>
      <c r="T32" s="241">
        <f>+'사업장별(당월)'!U33</f>
        <v>23.588175</v>
      </c>
      <c r="U32" s="242">
        <f>+T32-S32</f>
        <v>-24.690712666666663</v>
      </c>
      <c r="V32" s="243">
        <f>+'사업장별(당월)'!W33</f>
        <v>71.958275999999998</v>
      </c>
      <c r="W32" s="244">
        <f>+T32-V32</f>
        <v>-48.370100999999998</v>
      </c>
      <c r="X32" s="92"/>
      <c r="Z32" s="235"/>
      <c r="AA32" s="235"/>
    </row>
    <row r="33" spans="2:31" ht="21.75" customHeight="1" x14ac:dyDescent="0.3">
      <c r="B33" s="235"/>
      <c r="C33" s="88"/>
      <c r="D33" s="93" t="s">
        <v>1</v>
      </c>
      <c r="E33" s="322">
        <f t="shared" si="19"/>
        <v>81.219239926068468</v>
      </c>
      <c r="F33" s="323">
        <f t="shared" si="19"/>
        <v>-89.003884844404183</v>
      </c>
      <c r="G33" s="299">
        <f t="shared" si="0"/>
        <v>-170.22312477047265</v>
      </c>
      <c r="H33" s="300">
        <f>+H22-H27</f>
        <v>-151.01848741546218</v>
      </c>
      <c r="I33" s="301">
        <f t="shared" si="1"/>
        <v>62.014602571057992</v>
      </c>
      <c r="J33" s="322">
        <f t="shared" ref="J33:K33" si="21">+J22-J27</f>
        <v>1295.7292556724551</v>
      </c>
      <c r="K33" s="323">
        <f t="shared" si="21"/>
        <v>-713.11251029864502</v>
      </c>
      <c r="L33" s="299">
        <f t="shared" ref="L33:L36" si="22">+K33-J33</f>
        <v>-2008.8417659711001</v>
      </c>
      <c r="M33" s="300">
        <f>+M22-M27</f>
        <v>458.94309555412877</v>
      </c>
      <c r="N33" s="301">
        <f t="shared" ref="N33:N36" si="23">+K33-M33</f>
        <v>-1172.0556058527739</v>
      </c>
      <c r="O33" s="87"/>
      <c r="P33" s="90"/>
      <c r="Q33" s="635" t="s">
        <v>44</v>
      </c>
      <c r="R33" s="636"/>
      <c r="S33" s="169">
        <f>+'사업장별(당월)'!T34</f>
        <v>65.141000000000005</v>
      </c>
      <c r="T33" s="250">
        <f>+'사업장별(당월)'!U34</f>
        <v>67.040577999999996</v>
      </c>
      <c r="U33" s="170">
        <f>+T33-S33</f>
        <v>1.8995779999999911</v>
      </c>
      <c r="V33" s="251">
        <f>+'사업장별(당월)'!W34</f>
        <v>63.903671000000003</v>
      </c>
      <c r="W33" s="172">
        <f>+T33-V33</f>
        <v>3.1369069999999937</v>
      </c>
      <c r="X33" s="92"/>
      <c r="Z33" s="235"/>
      <c r="AA33" s="235"/>
    </row>
    <row r="34" spans="2:31" ht="21.75" customHeight="1" x14ac:dyDescent="0.3">
      <c r="B34" s="235"/>
      <c r="C34" s="88"/>
      <c r="D34" s="103" t="s">
        <v>4</v>
      </c>
      <c r="E34" s="329">
        <f t="shared" si="19"/>
        <v>-1308.8120460771599</v>
      </c>
      <c r="F34" s="330">
        <f t="shared" si="19"/>
        <v>-1272.4036101465699</v>
      </c>
      <c r="G34" s="302">
        <f t="shared" si="0"/>
        <v>36.408435930590031</v>
      </c>
      <c r="H34" s="303">
        <f>+H23-H28</f>
        <v>-804.41131757443543</v>
      </c>
      <c r="I34" s="304">
        <f t="shared" si="1"/>
        <v>-467.99229257213449</v>
      </c>
      <c r="J34" s="329">
        <f t="shared" ref="J34:K34" si="24">+J23-J28</f>
        <v>-12481.339452029044</v>
      </c>
      <c r="K34" s="330">
        <f t="shared" si="24"/>
        <v>-13902.061674668959</v>
      </c>
      <c r="L34" s="302">
        <f t="shared" si="22"/>
        <v>-1420.7222226399153</v>
      </c>
      <c r="M34" s="303">
        <f>+M23-M28</f>
        <v>-11769.952591549871</v>
      </c>
      <c r="N34" s="304">
        <f t="shared" si="23"/>
        <v>-2132.1090831190886</v>
      </c>
      <c r="O34" s="87"/>
      <c r="P34" s="90"/>
      <c r="Q34" s="262" t="s">
        <v>29</v>
      </c>
      <c r="R34" s="263"/>
      <c r="S34" s="257">
        <f>+'사업장별(당월)'!T35</f>
        <v>-1304.5500627438141</v>
      </c>
      <c r="T34" s="258">
        <f>+'사업장별(당월)'!U35</f>
        <v>-1315.36354114657</v>
      </c>
      <c r="U34" s="259">
        <f>+T34-S34</f>
        <v>-10.813478402755891</v>
      </c>
      <c r="V34" s="260">
        <f>+'사업장별(당월)'!W35</f>
        <v>-1132.4208395744422</v>
      </c>
      <c r="W34" s="261">
        <f>+T34-V34</f>
        <v>-182.94270157212782</v>
      </c>
      <c r="X34" s="92"/>
      <c r="Z34" s="235"/>
      <c r="AA34" s="235"/>
    </row>
    <row r="35" spans="2:31" ht="21.75" customHeight="1" x14ac:dyDescent="0.3">
      <c r="B35" s="235"/>
      <c r="C35" s="88" t="s">
        <v>8</v>
      </c>
      <c r="D35" s="108"/>
      <c r="E35" s="322">
        <f>SUM(E30,E32:E34)</f>
        <v>2054.6896868868025</v>
      </c>
      <c r="F35" s="332">
        <f>SUM(F30,F32:F34)</f>
        <v>-762.77781999097351</v>
      </c>
      <c r="G35" s="299">
        <f t="shared" si="0"/>
        <v>-2817.467506877776</v>
      </c>
      <c r="H35" s="300">
        <f>SUM(H30,H32:H34)</f>
        <v>1876.3652400201017</v>
      </c>
      <c r="I35" s="301">
        <f t="shared" si="1"/>
        <v>-2639.1430600110752</v>
      </c>
      <c r="J35" s="322">
        <f>SUM(J30,J32:J34)</f>
        <v>9388.335023202535</v>
      </c>
      <c r="K35" s="332">
        <f>SUM(K30,K32:K34)</f>
        <v>-5006.7286959576577</v>
      </c>
      <c r="L35" s="299">
        <f t="shared" si="22"/>
        <v>-14395.063719160193</v>
      </c>
      <c r="M35" s="300">
        <f>SUM(M30,M32:M34)</f>
        <v>15543.197988014268</v>
      </c>
      <c r="N35" s="301">
        <f t="shared" si="23"/>
        <v>-20549.926683971928</v>
      </c>
      <c r="O35" s="87"/>
      <c r="P35" s="90"/>
      <c r="Q35" s="264" t="s">
        <v>103</v>
      </c>
      <c r="R35" s="265"/>
      <c r="S35" s="252">
        <f>+S36-S32-S33-S34</f>
        <v>-117.68187100001273</v>
      </c>
      <c r="T35" s="253">
        <f>+T36-T32-T33-T34</f>
        <v>-47.668822000002592</v>
      </c>
      <c r="U35" s="254">
        <f>+T35-S35</f>
        <v>70.013049000010142</v>
      </c>
      <c r="V35" s="255">
        <f>+V36-V32-V33-V34</f>
        <v>192.1475750000086</v>
      </c>
      <c r="W35" s="256">
        <f>+T35-V35</f>
        <v>-239.81639700001119</v>
      </c>
      <c r="X35" s="92"/>
      <c r="Z35" s="235"/>
      <c r="AA35" s="235"/>
      <c r="AD35" s="86"/>
      <c r="AE35" s="235"/>
    </row>
    <row r="36" spans="2:31" ht="21.75" customHeight="1" thickBot="1" x14ac:dyDescent="0.35">
      <c r="C36" s="114"/>
      <c r="D36" s="115" t="s">
        <v>9</v>
      </c>
      <c r="E36" s="200">
        <f>+E35/E14</f>
        <v>4.7680471244330266E-2</v>
      </c>
      <c r="F36" s="206">
        <f>+F35/F14</f>
        <v>-2.7934647343464077E-2</v>
      </c>
      <c r="G36" s="203">
        <f t="shared" si="0"/>
        <v>-7.561511858779435E-2</v>
      </c>
      <c r="H36" s="116">
        <f>+H35/H14</f>
        <v>5.1437957615905069E-2</v>
      </c>
      <c r="I36" s="117">
        <f t="shared" si="1"/>
        <v>-7.9372604959369153E-2</v>
      </c>
      <c r="J36" s="200">
        <f>+J35/J14</f>
        <v>2.8718488130047782E-2</v>
      </c>
      <c r="K36" s="206">
        <f>+K35/K14</f>
        <v>-1.9013315604534051E-2</v>
      </c>
      <c r="L36" s="203">
        <f t="shared" si="22"/>
        <v>-4.7731803734581829E-2</v>
      </c>
      <c r="M36" s="116">
        <f>+M35/M14</f>
        <v>4.9194427693825565E-2</v>
      </c>
      <c r="N36" s="117">
        <f t="shared" si="23"/>
        <v>-6.8207743298359616E-2</v>
      </c>
      <c r="O36" s="87"/>
      <c r="P36" s="118"/>
      <c r="Q36" s="623" t="s">
        <v>102</v>
      </c>
      <c r="R36" s="624"/>
      <c r="S36" s="245">
        <f>+'사업장별(당월)'!T41</f>
        <v>-1308.8120460771602</v>
      </c>
      <c r="T36" s="246">
        <f>+'사업장별(당월)'!U41</f>
        <v>-1272.4036101465724</v>
      </c>
      <c r="U36" s="247">
        <f>+T36-S36</f>
        <v>36.408435930587757</v>
      </c>
      <c r="V36" s="248">
        <f>+'사업장별(당월)'!W41</f>
        <v>-804.41131757443361</v>
      </c>
      <c r="W36" s="249">
        <f>+T36-V36</f>
        <v>-467.99229257213881</v>
      </c>
      <c r="X36" s="119"/>
      <c r="AA36" s="235"/>
    </row>
    <row r="37" spans="2:31" ht="20.100000000000001" customHeight="1" thickTop="1" x14ac:dyDescent="0.3">
      <c r="F37" s="235"/>
    </row>
    <row r="38" spans="2:31" x14ac:dyDescent="0.3">
      <c r="E38" s="86">
        <f>+'[1]8월'!$E$26/1000</f>
        <v>2054.689686886803</v>
      </c>
      <c r="F38" s="227">
        <f>+'[2]8월'!$F$26/1000</f>
        <v>-762.77781999097624</v>
      </c>
      <c r="H38" s="227">
        <f>+'[3]8월'!$F$26/1000</f>
        <v>1876.3652400201045</v>
      </c>
      <c r="J38" s="237">
        <f>+'[1]8월누계'!$E$26/1000</f>
        <v>9388.3350232025168</v>
      </c>
      <c r="K38" s="237">
        <f>+'[2]8월누계'!$F$26/1000</f>
        <v>-5006.7286959576832</v>
      </c>
      <c r="L38" s="238"/>
      <c r="M38" s="237">
        <f>+'[3]8월누계'!$F$26/1000</f>
        <v>15543.197988014274</v>
      </c>
      <c r="N38" s="238"/>
      <c r="O38" s="238"/>
    </row>
    <row r="39" spans="2:31" x14ac:dyDescent="0.3">
      <c r="E39" t="b">
        <f>+E35=E38</f>
        <v>1</v>
      </c>
      <c r="F39" t="b">
        <f>+F35=F38</f>
        <v>0</v>
      </c>
      <c r="H39" t="b">
        <f>+H35=H38</f>
        <v>1</v>
      </c>
      <c r="J39" t="b">
        <f>+J35=J38</f>
        <v>0</v>
      </c>
      <c r="K39" t="b">
        <f>+K35=K38</f>
        <v>0</v>
      </c>
      <c r="M39" t="b">
        <f>+M35=M38</f>
        <v>1</v>
      </c>
    </row>
    <row r="40" spans="2:31" x14ac:dyDescent="0.3">
      <c r="E40" s="239">
        <f>+E35-E38</f>
        <v>0</v>
      </c>
      <c r="F40" s="239">
        <f>+F35-F38</f>
        <v>2.7284841053187847E-12</v>
      </c>
      <c r="G40" s="236"/>
      <c r="H40" s="239">
        <f>+H35-H38</f>
        <v>-2.7284841053187847E-12</v>
      </c>
      <c r="I40" s="236"/>
      <c r="J40" s="239">
        <f>+J35-J38</f>
        <v>1.8189894035458565E-11</v>
      </c>
      <c r="K40" s="239">
        <f>+K35-K38</f>
        <v>2.5465851649641991E-11</v>
      </c>
      <c r="L40" s="236"/>
      <c r="M40" s="239">
        <f>+M35-M38</f>
        <v>0</v>
      </c>
      <c r="N40" s="236"/>
      <c r="O40" s="86"/>
      <c r="P40" s="86"/>
    </row>
    <row r="42" spans="2:31" x14ac:dyDescent="0.3">
      <c r="E42" s="85"/>
      <c r="F42" s="85"/>
      <c r="G42" s="85"/>
    </row>
  </sheetData>
  <mergeCells count="6">
    <mergeCell ref="Q36:R36"/>
    <mergeCell ref="C5:D6"/>
    <mergeCell ref="P5:X6"/>
    <mergeCell ref="Q29:R29"/>
    <mergeCell ref="Q32:R32"/>
    <mergeCell ref="Q33:R3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2EEB-C23D-41DE-BA19-19AA9A3A8795}">
  <sheetPr>
    <tabColor theme="1" tint="0.34998626667073579"/>
    <pageSetUpPr fitToPage="1"/>
  </sheetPr>
  <dimension ref="A1:AF28"/>
  <sheetViews>
    <sheetView showGridLines="0" showZeros="0" tabSelected="1" topLeftCell="E4" zoomScale="85" zoomScaleNormal="85" zoomScaleSheetLayoutView="85" workbookViewId="0">
      <selection activeCell="U20" sqref="U20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29" width="8.625" customWidth="1"/>
    <col min="30" max="30" width="9.25" bestFit="1" customWidth="1"/>
    <col min="31" max="31" width="8.25" customWidth="1"/>
    <col min="32" max="32" width="12" bestFit="1" customWidth="1"/>
    <col min="33" max="33" width="13.25" bestFit="1" customWidth="1"/>
    <col min="34" max="35" width="9.875" bestFit="1" customWidth="1"/>
  </cols>
  <sheetData>
    <row r="1" spans="1:32" ht="18" customHeight="1" x14ac:dyDescent="0.3">
      <c r="H1" s="4"/>
      <c r="K1" s="6"/>
      <c r="L1" s="6"/>
      <c r="P1" s="6"/>
      <c r="Q1" s="6"/>
    </row>
    <row r="2" spans="1:32" ht="18" customHeight="1" x14ac:dyDescent="0.3">
      <c r="H2" s="7"/>
    </row>
    <row r="3" spans="1:32" ht="26.25" x14ac:dyDescent="0.3">
      <c r="H3" s="4" t="s">
        <v>225</v>
      </c>
    </row>
    <row r="4" spans="1:32" ht="18" customHeight="1" x14ac:dyDescent="0.3">
      <c r="H4" s="7"/>
    </row>
    <row r="5" spans="1:32" ht="18" customHeight="1" x14ac:dyDescent="0.3">
      <c r="H5" s="637" t="s">
        <v>11</v>
      </c>
      <c r="I5" s="638"/>
      <c r="J5" s="610" t="s">
        <v>182</v>
      </c>
      <c r="K5" s="611"/>
      <c r="L5" s="611"/>
      <c r="M5" s="611"/>
      <c r="N5" s="611"/>
      <c r="O5" s="611"/>
      <c r="P5" s="611"/>
      <c r="Q5" s="611"/>
      <c r="R5" s="611"/>
      <c r="S5" s="612"/>
      <c r="T5" s="610" t="s">
        <v>226</v>
      </c>
      <c r="U5" s="611"/>
      <c r="V5" s="611"/>
      <c r="W5" s="611"/>
      <c r="X5" s="611"/>
      <c r="Y5" s="611"/>
      <c r="Z5" s="611"/>
      <c r="AA5" s="611"/>
      <c r="AB5" s="611"/>
      <c r="AC5" s="612"/>
    </row>
    <row r="6" spans="1:32" s="8" customFormat="1" ht="19.5" customHeight="1" x14ac:dyDescent="0.3">
      <c r="G6" s="334"/>
      <c r="H6" s="637"/>
      <c r="I6" s="638"/>
      <c r="J6" s="158" t="s">
        <v>98</v>
      </c>
      <c r="K6" s="159"/>
      <c r="L6" s="159"/>
      <c r="M6" s="159"/>
      <c r="N6" s="160"/>
      <c r="O6" s="158" t="s">
        <v>224</v>
      </c>
      <c r="P6" s="159"/>
      <c r="Q6" s="159"/>
      <c r="R6" s="159"/>
      <c r="S6" s="160"/>
      <c r="T6" s="158" t="s">
        <v>98</v>
      </c>
      <c r="U6" s="159"/>
      <c r="V6" s="159"/>
      <c r="W6" s="159"/>
      <c r="X6" s="160"/>
      <c r="Y6" s="158" t="s">
        <v>98</v>
      </c>
      <c r="Z6" s="159"/>
      <c r="AA6" s="159"/>
      <c r="AB6" s="159"/>
      <c r="AC6" s="160"/>
    </row>
    <row r="7" spans="1:32" s="8" customFormat="1" ht="19.5" customHeight="1" x14ac:dyDescent="0.3">
      <c r="A7" s="8" t="s">
        <v>213</v>
      </c>
      <c r="G7" s="334"/>
      <c r="H7" s="639"/>
      <c r="I7" s="640"/>
      <c r="J7" s="161" t="s">
        <v>12</v>
      </c>
      <c r="K7" s="162" t="s">
        <v>13</v>
      </c>
      <c r="L7" s="163" t="s">
        <v>28</v>
      </c>
      <c r="M7" s="162" t="s">
        <v>14</v>
      </c>
      <c r="N7" s="164" t="s">
        <v>28</v>
      </c>
      <c r="O7" s="161" t="s">
        <v>12</v>
      </c>
      <c r="P7" s="162" t="s">
        <v>13</v>
      </c>
      <c r="Q7" s="163" t="s">
        <v>28</v>
      </c>
      <c r="R7" s="162" t="s">
        <v>14</v>
      </c>
      <c r="S7" s="164" t="s">
        <v>28</v>
      </c>
      <c r="T7" s="161" t="s">
        <v>12</v>
      </c>
      <c r="U7" s="162" t="s">
        <v>13</v>
      </c>
      <c r="V7" s="163" t="s">
        <v>28</v>
      </c>
      <c r="W7" s="162" t="s">
        <v>14</v>
      </c>
      <c r="X7" s="164" t="s">
        <v>28</v>
      </c>
      <c r="Y7" s="161" t="s">
        <v>12</v>
      </c>
      <c r="Z7" s="162" t="s">
        <v>13</v>
      </c>
      <c r="AA7" s="163" t="s">
        <v>28</v>
      </c>
      <c r="AB7" s="162" t="s">
        <v>14</v>
      </c>
      <c r="AC7" s="164" t="s">
        <v>28</v>
      </c>
    </row>
    <row r="8" spans="1:32" s="8" customFormat="1" ht="22.5" customHeight="1" x14ac:dyDescent="0.3">
      <c r="B8" s="8" t="s">
        <v>18</v>
      </c>
      <c r="G8" s="335"/>
      <c r="H8" s="72" t="s">
        <v>40</v>
      </c>
      <c r="I8" s="73" t="s">
        <v>18</v>
      </c>
      <c r="J8" s="35">
        <f>+[4]안양!$H$86/1000</f>
        <v>521.50922853763359</v>
      </c>
      <c r="K8" s="36">
        <f>+[4]안양!$I$86/1000</f>
        <v>88.551492999999923</v>
      </c>
      <c r="L8" s="40">
        <f>+K8-J8</f>
        <v>-432.95773553763365</v>
      </c>
      <c r="M8" s="41">
        <f>+[5]안양!$H$86/1000</f>
        <v>305.0203209999998</v>
      </c>
      <c r="N8" s="39">
        <f>+K8-M8</f>
        <v>-216.46882799999986</v>
      </c>
      <c r="O8" s="35">
        <f>+[4]안양!$H$92/1000</f>
        <v>329.83291937039547</v>
      </c>
      <c r="P8" s="36">
        <f>+[4]안양!$I$92/1000</f>
        <v>-59.7324094972343</v>
      </c>
      <c r="Q8" s="40">
        <f>+P8-O8</f>
        <v>-389.56532886762977</v>
      </c>
      <c r="R8" s="41">
        <f>+[5]안양!$H$92/1000</f>
        <v>174.78768838567433</v>
      </c>
      <c r="S8" s="39">
        <f>+P8-R8</f>
        <v>-234.52009788290863</v>
      </c>
      <c r="T8" s="35">
        <f>+[12]안양!$H$86/1000</f>
        <v>2587.0177216698671</v>
      </c>
      <c r="U8" s="36">
        <f>+[12]안양!$I$86/1000</f>
        <v>1691.0118639999944</v>
      </c>
      <c r="V8" s="40">
        <f>+U8-T8</f>
        <v>-896.00585766987274</v>
      </c>
      <c r="W8" s="41">
        <f>+[13]안양!$H$86/1000</f>
        <v>3141.6975189999966</v>
      </c>
      <c r="X8" s="39">
        <f>+U8-W8</f>
        <v>-1450.6856550000023</v>
      </c>
      <c r="Y8" s="35">
        <f>+[12]안양!$H$92/1000</f>
        <v>832.43844705539732</v>
      </c>
      <c r="Z8" s="36">
        <f>+[12]안양!$I$92/1000</f>
        <v>-30.809932080551285</v>
      </c>
      <c r="AA8" s="40">
        <f>+Z8-Y8</f>
        <v>-863.24837913594865</v>
      </c>
      <c r="AB8" s="41">
        <f>+[13]안양!$H$92/1000</f>
        <v>1632.137683988436</v>
      </c>
      <c r="AC8" s="39">
        <f>+Z8-AB8</f>
        <v>-1662.9476160689874</v>
      </c>
    </row>
    <row r="9" spans="1:32" s="8" customFormat="1" ht="22.5" customHeight="1" x14ac:dyDescent="0.3">
      <c r="B9" s="8" t="s">
        <v>19</v>
      </c>
      <c r="G9" s="336"/>
      <c r="H9" s="74" t="s">
        <v>41</v>
      </c>
      <c r="I9" s="75" t="s">
        <v>19</v>
      </c>
      <c r="J9" s="45">
        <f>+[4]인천!$H$86/1000</f>
        <v>155.95557144980714</v>
      </c>
      <c r="K9" s="46">
        <f>+[4]인천!$I$86/1000</f>
        <v>-70.264611999999872</v>
      </c>
      <c r="L9" s="47">
        <f t="shared" ref="L9:L28" si="0">+K9-J9</f>
        <v>-226.220183449807</v>
      </c>
      <c r="M9" s="48">
        <f>+[5]인천!$H$86/1000</f>
        <v>71.619563009999013</v>
      </c>
      <c r="N9" s="49">
        <f t="shared" ref="N9:N28" si="1">+K9-M9</f>
        <v>-141.8841750099989</v>
      </c>
      <c r="O9" s="45">
        <f>+[4]인천!$H$92/1000</f>
        <v>33.889315093462891</v>
      </c>
      <c r="P9" s="46">
        <f>+[4]인천!$I$92/1000</f>
        <v>-214.17260946265304</v>
      </c>
      <c r="Q9" s="47">
        <f t="shared" ref="Q9:Q28" si="2">+P9-O9</f>
        <v>-248.06192455611594</v>
      </c>
      <c r="R9" s="48">
        <f>+[5]인천!$H$92/1000</f>
        <v>-31.241658906616067</v>
      </c>
      <c r="S9" s="49">
        <f t="shared" ref="S9:S28" si="3">+P9-R9</f>
        <v>-182.93095055603698</v>
      </c>
      <c r="T9" s="45">
        <f>+[12]인천!$H$86/1000</f>
        <v>860.40307788543669</v>
      </c>
      <c r="U9" s="46">
        <f>+[12]인천!$I$86/1000</f>
        <v>314.65792400999158</v>
      </c>
      <c r="V9" s="47">
        <f t="shared" ref="V9:V24" si="4">+U9-T9</f>
        <v>-545.74515387544511</v>
      </c>
      <c r="W9" s="48">
        <f>+[13]인천!$H$86/1000</f>
        <v>1666.8650450099997</v>
      </c>
      <c r="X9" s="49">
        <f t="shared" ref="X9:X24" si="5">+U9-W9</f>
        <v>-1352.2071210000081</v>
      </c>
      <c r="Y9" s="45">
        <f>+[12]인천!$H$92/1000</f>
        <v>-392.92984672742534</v>
      </c>
      <c r="Z9" s="46">
        <f>+[12]인천!$I$92/1000</f>
        <v>-1118.2661353202036</v>
      </c>
      <c r="AA9" s="47">
        <f t="shared" ref="AA9:AA24" si="6">+Z9-Y9</f>
        <v>-725.33628859277826</v>
      </c>
      <c r="AB9" s="48">
        <f>+[13]인천!$H$92/1000</f>
        <v>560.39755247123605</v>
      </c>
      <c r="AC9" s="49">
        <f t="shared" ref="AC9:AC24" si="7">+Z9-AB9</f>
        <v>-1678.6636877914398</v>
      </c>
    </row>
    <row r="10" spans="1:32" s="8" customFormat="1" ht="22.5" customHeight="1" x14ac:dyDescent="0.3">
      <c r="B10" s="8" t="s">
        <v>20</v>
      </c>
      <c r="G10" s="336"/>
      <c r="H10" s="74"/>
      <c r="I10" s="75" t="s">
        <v>20</v>
      </c>
      <c r="J10" s="45">
        <f>+[4]파주!$H$86/1000</f>
        <v>154.51702309676386</v>
      </c>
      <c r="K10" s="46">
        <f>+[4]파주!$I$86/1000</f>
        <v>11.69842799999992</v>
      </c>
      <c r="L10" s="47">
        <f t="shared" si="0"/>
        <v>-142.81859509676394</v>
      </c>
      <c r="M10" s="48">
        <f>+[5]파주!$H$86/1000</f>
        <v>111.92551999999992</v>
      </c>
      <c r="N10" s="49">
        <f t="shared" si="1"/>
        <v>-100.227092</v>
      </c>
      <c r="O10" s="45">
        <f>+[4]파주!$H$92/1000</f>
        <v>52.769215544809761</v>
      </c>
      <c r="P10" s="46">
        <f>+[4]파주!$I$92/1000</f>
        <v>-68.846306639859279</v>
      </c>
      <c r="Q10" s="47">
        <f t="shared" si="2"/>
        <v>-121.61552218466903</v>
      </c>
      <c r="R10" s="48">
        <f>+[5]파주!$H$92/1000</f>
        <v>31.757439874016054</v>
      </c>
      <c r="S10" s="49">
        <f t="shared" si="3"/>
        <v>-100.60374651387534</v>
      </c>
      <c r="T10" s="45">
        <f>+[12]파주!$H$86/1000</f>
        <v>792.23252051473412</v>
      </c>
      <c r="U10" s="46">
        <f>+[12]파주!$I$86/1000</f>
        <v>-299.74362399999762</v>
      </c>
      <c r="V10" s="47">
        <f t="shared" si="4"/>
        <v>-1091.9761445147317</v>
      </c>
      <c r="W10" s="48">
        <f>+[13]파주!$H$86/1000</f>
        <v>1514.270156000001</v>
      </c>
      <c r="X10" s="49">
        <f t="shared" si="5"/>
        <v>-1814.0137799999986</v>
      </c>
      <c r="Y10" s="45">
        <f>+[12]파주!$H$92/1000</f>
        <v>-117.7507495869915</v>
      </c>
      <c r="Z10" s="46">
        <f>+[12]파주!$I$92/1000</f>
        <v>-934.74389210192521</v>
      </c>
      <c r="AA10" s="47">
        <f t="shared" si="6"/>
        <v>-816.99314251493365</v>
      </c>
      <c r="AB10" s="48">
        <f>+[13]파주!$H$92/1000</f>
        <v>532.91630086075327</v>
      </c>
      <c r="AC10" s="49">
        <f t="shared" si="7"/>
        <v>-1467.6601929626786</v>
      </c>
    </row>
    <row r="11" spans="1:32" s="8" customFormat="1" ht="22.5" customHeight="1" x14ac:dyDescent="0.3">
      <c r="B11" s="8" t="s">
        <v>110</v>
      </c>
      <c r="G11" s="336"/>
      <c r="H11" s="74"/>
      <c r="I11" s="75" t="s">
        <v>108</v>
      </c>
      <c r="J11" s="45">
        <f>+[4]김포!$H$86/1000</f>
        <v>110.35006595102423</v>
      </c>
      <c r="K11" s="46">
        <f>+[4]김포!$I$86/1000</f>
        <v>12.679731999999937</v>
      </c>
      <c r="L11" s="47">
        <f t="shared" si="0"/>
        <v>-97.670333951024304</v>
      </c>
      <c r="M11" s="48">
        <f>+[5]김포!$H$86/1000</f>
        <v>68.449577999999974</v>
      </c>
      <c r="N11" s="49">
        <f t="shared" si="1"/>
        <v>-55.769846000000037</v>
      </c>
      <c r="O11" s="45">
        <f>+[4]김포!$H$92/1000</f>
        <v>47.931924090427735</v>
      </c>
      <c r="P11" s="46">
        <f>+[4]김포!$I$92/1000</f>
        <v>-50.462847840009438</v>
      </c>
      <c r="Q11" s="47">
        <f t="shared" si="2"/>
        <v>-98.394771930437173</v>
      </c>
      <c r="R11" s="48">
        <f>+[5]김포!$H$92/1000</f>
        <v>24.635656255718828</v>
      </c>
      <c r="S11" s="49">
        <f t="shared" si="3"/>
        <v>-75.098504095728259</v>
      </c>
      <c r="T11" s="45">
        <f>+[12]김포!$H$86/1000</f>
        <v>660.88065720823818</v>
      </c>
      <c r="U11" s="46">
        <f>+[12]김포!$I$86/1000</f>
        <v>29.081226999999199</v>
      </c>
      <c r="V11" s="47">
        <f t="shared" si="4"/>
        <v>-631.79943020823896</v>
      </c>
      <c r="W11" s="48">
        <f>+[13]김포!$H$86/1000</f>
        <v>832.09533599999986</v>
      </c>
      <c r="X11" s="49">
        <f t="shared" si="5"/>
        <v>-803.01410900000064</v>
      </c>
      <c r="Y11" s="45">
        <f>+[12]김포!$H$92/1000</f>
        <v>61.219504208089205</v>
      </c>
      <c r="Z11" s="46">
        <f>+[12]김포!$I$92/1000</f>
        <v>-495.48875823920247</v>
      </c>
      <c r="AA11" s="47">
        <f t="shared" si="6"/>
        <v>-556.70826244729165</v>
      </c>
      <c r="AB11" s="48">
        <f>+[13]김포!$H$92/1000</f>
        <v>399.07454414501524</v>
      </c>
      <c r="AC11" s="49">
        <f t="shared" si="7"/>
        <v>-894.56330238421765</v>
      </c>
    </row>
    <row r="12" spans="1:32" s="8" customFormat="1" ht="22.5" customHeight="1" x14ac:dyDescent="0.3">
      <c r="B12" s="8" t="s">
        <v>21</v>
      </c>
      <c r="G12" s="334"/>
      <c r="H12" s="74"/>
      <c r="I12" s="76" t="s">
        <v>21</v>
      </c>
      <c r="J12" s="62">
        <f>+[4]부산!$H$86/1000</f>
        <v>137.44551933924024</v>
      </c>
      <c r="K12" s="63">
        <f>+[4]부산!$I$86/1000</f>
        <v>150.88101499999993</v>
      </c>
      <c r="L12" s="64">
        <f t="shared" si="0"/>
        <v>13.435495660759699</v>
      </c>
      <c r="M12" s="65">
        <f>+[5]부산!$H$86/1000</f>
        <v>114.94155800000003</v>
      </c>
      <c r="N12" s="66">
        <f t="shared" si="1"/>
        <v>35.939456999999905</v>
      </c>
      <c r="O12" s="62">
        <f>+[4]부산!$H$92/1000</f>
        <v>48.732293282448403</v>
      </c>
      <c r="P12" s="63">
        <f>+[4]부산!$I$92/1000</f>
        <v>10.586744205670664</v>
      </c>
      <c r="Q12" s="64">
        <f t="shared" si="2"/>
        <v>-38.145549076777741</v>
      </c>
      <c r="R12" s="65">
        <f>+[5]부산!$H$92/1000</f>
        <v>36.307657680086223</v>
      </c>
      <c r="S12" s="66">
        <f t="shared" si="3"/>
        <v>-25.720913474415561</v>
      </c>
      <c r="T12" s="62">
        <f>+[12]부산!$H$86/1000</f>
        <v>1408.1701952799067</v>
      </c>
      <c r="U12" s="63">
        <f>+[12]부산!$I$86/1000</f>
        <v>1620.5948289999999</v>
      </c>
      <c r="V12" s="64">
        <f t="shared" si="4"/>
        <v>212.4246337200932</v>
      </c>
      <c r="W12" s="65">
        <f>+[13]부산!$H$86/1000</f>
        <v>1826.0327640000021</v>
      </c>
      <c r="X12" s="66">
        <f t="shared" si="5"/>
        <v>-205.4379350000022</v>
      </c>
      <c r="Y12" s="62">
        <f>+[12]부산!$H$92/1000</f>
        <v>393.85156885568961</v>
      </c>
      <c r="Z12" s="63">
        <f>+[12]부산!$I$92/1000</f>
        <v>398.08550494692383</v>
      </c>
      <c r="AA12" s="64">
        <f t="shared" si="6"/>
        <v>4.2339360912342272</v>
      </c>
      <c r="AB12" s="65">
        <f>+[13]부산!$H$92/1000</f>
        <v>944.76280181249024</v>
      </c>
      <c r="AC12" s="66">
        <f t="shared" si="7"/>
        <v>-546.6772968655664</v>
      </c>
      <c r="AD12" s="488"/>
      <c r="AE12" s="86"/>
    </row>
    <row r="13" spans="1:32" s="8" customFormat="1" ht="22.5" customHeight="1" x14ac:dyDescent="0.3">
      <c r="B13" s="8" t="s">
        <v>22</v>
      </c>
      <c r="G13" s="334"/>
      <c r="H13" s="74"/>
      <c r="I13" s="75" t="s">
        <v>22</v>
      </c>
      <c r="J13" s="45">
        <f>+[4]서부산!$H$86/1000</f>
        <v>152.69859387601568</v>
      </c>
      <c r="K13" s="46">
        <f>+[4]서부산!$I$86/1000</f>
        <v>122.94463900000004</v>
      </c>
      <c r="L13" s="47">
        <f t="shared" si="0"/>
        <v>-29.753954876015641</v>
      </c>
      <c r="M13" s="48">
        <f>+[5]서부산!$H$86/1000</f>
        <v>186.73169200000029</v>
      </c>
      <c r="N13" s="49">
        <f t="shared" si="1"/>
        <v>-63.787053000000256</v>
      </c>
      <c r="O13" s="45">
        <f>+[4]서부산!$H$92/1000</f>
        <v>70.904782139186167</v>
      </c>
      <c r="P13" s="46">
        <f>+[4]서부산!$I$92/1000</f>
        <v>11.129311887216915</v>
      </c>
      <c r="Q13" s="47">
        <f t="shared" si="2"/>
        <v>-59.775470251969253</v>
      </c>
      <c r="R13" s="48">
        <f>+[5]서부산!$H$92/1000</f>
        <v>106.99911677263782</v>
      </c>
      <c r="S13" s="49">
        <f t="shared" si="3"/>
        <v>-95.869804885420905</v>
      </c>
      <c r="T13" s="45">
        <f>+[12]서부산!$H$86/1000</f>
        <v>1370.9415147687389</v>
      </c>
      <c r="U13" s="46">
        <f>+[12]서부산!$I$86/1000</f>
        <v>858.20608699999877</v>
      </c>
      <c r="V13" s="47">
        <f t="shared" si="4"/>
        <v>-512.73542776874012</v>
      </c>
      <c r="W13" s="48">
        <f>+[13]서부산!$H$86/1000</f>
        <v>2073.3245339999989</v>
      </c>
      <c r="X13" s="49">
        <f t="shared" si="5"/>
        <v>-1215.1184470000003</v>
      </c>
      <c r="Y13" s="45">
        <f>+[12]서부산!$H$92/1000</f>
        <v>457.33239302967945</v>
      </c>
      <c r="Z13" s="46">
        <f>+[12]서부산!$I$92/1000</f>
        <v>-47.116361727371697</v>
      </c>
      <c r="AA13" s="47">
        <f t="shared" si="6"/>
        <v>-504.44875475705112</v>
      </c>
      <c r="AB13" s="48">
        <f>+[13]서부산!$H$92/1000</f>
        <v>1178.1031231628008</v>
      </c>
      <c r="AC13" s="49">
        <f t="shared" si="7"/>
        <v>-1225.2194848901725</v>
      </c>
    </row>
    <row r="14" spans="1:32" s="8" customFormat="1" ht="22.5" customHeight="1" x14ac:dyDescent="0.3">
      <c r="B14" s="8" t="s">
        <v>23</v>
      </c>
      <c r="G14" s="334"/>
      <c r="H14" s="74"/>
      <c r="I14" s="75" t="s">
        <v>23</v>
      </c>
      <c r="J14" s="45">
        <f>+[4]김해!$H$86/1000</f>
        <v>109.16349187466854</v>
      </c>
      <c r="K14" s="46">
        <f>+[4]김해!$I$86/1000</f>
        <v>-52.202860999999857</v>
      </c>
      <c r="L14" s="47">
        <f t="shared" si="0"/>
        <v>-161.36635287466839</v>
      </c>
      <c r="M14" s="48">
        <f>+[5]김해!$H$86/1000</f>
        <v>129.99266299999977</v>
      </c>
      <c r="N14" s="49">
        <f t="shared" si="1"/>
        <v>-182.19552399999964</v>
      </c>
      <c r="O14" s="45">
        <f>+[4]김해!$H$92/1000</f>
        <v>48.505070752393912</v>
      </c>
      <c r="P14" s="46">
        <f>+[4]김해!$I$92/1000</f>
        <v>-97.544173058586424</v>
      </c>
      <c r="Q14" s="47">
        <f t="shared" si="2"/>
        <v>-146.04924381098033</v>
      </c>
      <c r="R14" s="48">
        <f>+[5]김해!$H$92/1000</f>
        <v>60.379681049081093</v>
      </c>
      <c r="S14" s="49">
        <f t="shared" si="3"/>
        <v>-157.92385410766752</v>
      </c>
      <c r="T14" s="45">
        <f>+[12]김해!$H$86/1000</f>
        <v>894.04980932611795</v>
      </c>
      <c r="U14" s="46">
        <f>+[12]김해!$I$86/1000</f>
        <v>-230.10982700000062</v>
      </c>
      <c r="V14" s="47">
        <f t="shared" si="4"/>
        <v>-1124.1596363261185</v>
      </c>
      <c r="W14" s="48">
        <f>+[13]김해!$H$86/1000</f>
        <v>712.3871339999971</v>
      </c>
      <c r="X14" s="49">
        <f t="shared" si="5"/>
        <v>-942.49696099999778</v>
      </c>
      <c r="Y14" s="45">
        <f>+[12]김해!$H$92/1000</f>
        <v>264.81905821285278</v>
      </c>
      <c r="Z14" s="46">
        <f>+[12]김해!$I$92/1000</f>
        <v>-683.47931859021844</v>
      </c>
      <c r="AA14" s="47">
        <f t="shared" si="6"/>
        <v>-948.29837680307128</v>
      </c>
      <c r="AB14" s="48">
        <f>+[13]김해!$H$92/1000</f>
        <v>192.84590982267738</v>
      </c>
      <c r="AC14" s="49">
        <f t="shared" si="7"/>
        <v>-876.32522841289585</v>
      </c>
      <c r="AF14" s="484"/>
    </row>
    <row r="15" spans="1:32" s="8" customFormat="1" ht="22.5" customHeight="1" x14ac:dyDescent="0.3">
      <c r="B15" s="8" t="s">
        <v>24</v>
      </c>
      <c r="G15" s="334"/>
      <c r="H15" s="74"/>
      <c r="I15" s="75" t="s">
        <v>24</v>
      </c>
      <c r="J15" s="45">
        <f>+[4]정관!$H$86/1000</f>
        <v>152.64297229810259</v>
      </c>
      <c r="K15" s="46">
        <f>+[4]정관!$I$86/1000</f>
        <v>156.95553800000008</v>
      </c>
      <c r="L15" s="47">
        <f t="shared" si="0"/>
        <v>4.3125657018974835</v>
      </c>
      <c r="M15" s="48">
        <f>+[5]정관!$H$86/1000</f>
        <v>117.77505600000001</v>
      </c>
      <c r="N15" s="49">
        <f t="shared" si="1"/>
        <v>39.180482000000069</v>
      </c>
      <c r="O15" s="45">
        <f>+[4]정관!$H$92/1000</f>
        <v>63.682586632874404</v>
      </c>
      <c r="P15" s="46">
        <f>+[4]정관!$I$92/1000</f>
        <v>12.653235816706875</v>
      </c>
      <c r="Q15" s="47">
        <f t="shared" si="2"/>
        <v>-51.029350816167529</v>
      </c>
      <c r="R15" s="48">
        <f>+[5]정관!$H$92/1000</f>
        <v>35.041480371469575</v>
      </c>
      <c r="S15" s="49">
        <f t="shared" si="3"/>
        <v>-22.3882445547627</v>
      </c>
      <c r="T15" s="45">
        <f>+[12]정관!$H$86/1000</f>
        <v>1256.2080353559468</v>
      </c>
      <c r="U15" s="46">
        <f>+[12]정관!$I$86/1000</f>
        <v>1463.7511820000036</v>
      </c>
      <c r="V15" s="47">
        <f t="shared" si="4"/>
        <v>207.54314664405683</v>
      </c>
      <c r="W15" s="48">
        <f>+[13]정관!$H$86/1000</f>
        <v>1496.705551999999</v>
      </c>
      <c r="X15" s="49">
        <f t="shared" si="5"/>
        <v>-32.954369999995379</v>
      </c>
      <c r="Y15" s="45">
        <f>+[12]정관!$H$92/1000</f>
        <v>327.01521760006551</v>
      </c>
      <c r="Z15" s="46">
        <f>+[12]정관!$I$92/1000</f>
        <v>215.43891034129845</v>
      </c>
      <c r="AA15" s="47">
        <f t="shared" si="6"/>
        <v>-111.57630725876706</v>
      </c>
      <c r="AB15" s="48">
        <f>+[13]정관!$H$92/1000</f>
        <v>691.82994234221849</v>
      </c>
      <c r="AC15" s="49">
        <f t="shared" si="7"/>
        <v>-476.39103200092006</v>
      </c>
      <c r="AF15" s="484"/>
    </row>
    <row r="16" spans="1:32" s="8" customFormat="1" ht="22.5" customHeight="1" x14ac:dyDescent="0.3">
      <c r="B16" s="8" t="s">
        <v>25</v>
      </c>
      <c r="G16" s="334"/>
      <c r="H16" s="74"/>
      <c r="I16" s="75" t="s">
        <v>25</v>
      </c>
      <c r="J16" s="45">
        <f>+[4]양산!$H$86/1000</f>
        <v>118.40443130340989</v>
      </c>
      <c r="K16" s="46">
        <f>+[4]양산!$I$86/1000</f>
        <v>-62.460977999999976</v>
      </c>
      <c r="L16" s="47">
        <f t="shared" si="0"/>
        <v>-180.86540930340988</v>
      </c>
      <c r="M16" s="48">
        <f>+[5]양산!$H$86/1000</f>
        <v>84.714053999999948</v>
      </c>
      <c r="N16" s="49">
        <f t="shared" si="1"/>
        <v>-147.17503199999993</v>
      </c>
      <c r="O16" s="45">
        <f>+[4]양산!$H$92/1000</f>
        <v>63.528215431406686</v>
      </c>
      <c r="P16" s="46">
        <f>+[4]양산!$I$92/1000</f>
        <v>-87.850244698106337</v>
      </c>
      <c r="Q16" s="47">
        <f t="shared" si="2"/>
        <v>-151.37846012951303</v>
      </c>
      <c r="R16" s="48">
        <f>+[5]양산!$H$92/1000</f>
        <v>34.060273823003563</v>
      </c>
      <c r="S16" s="49">
        <f t="shared" si="3"/>
        <v>-121.91051852110991</v>
      </c>
      <c r="T16" s="45">
        <f>+[12]양산!$H$86/1000</f>
        <v>697.11206608399732</v>
      </c>
      <c r="U16" s="46">
        <f>+[12]양산!$I$86/1000</f>
        <v>2.4183510000006647</v>
      </c>
      <c r="V16" s="47">
        <f t="shared" si="4"/>
        <v>-694.69371508399661</v>
      </c>
      <c r="W16" s="48">
        <f>+[13]양산!$H$86/1000</f>
        <v>864.19810400000017</v>
      </c>
      <c r="X16" s="49">
        <f t="shared" si="5"/>
        <v>-861.77975299999946</v>
      </c>
      <c r="Y16" s="45">
        <f>+[12]양산!$H$92/1000</f>
        <v>184.47308406454405</v>
      </c>
      <c r="Z16" s="46">
        <f>+[12]양산!$I$92/1000</f>
        <v>-389.2166614559406</v>
      </c>
      <c r="AA16" s="47">
        <f t="shared" si="6"/>
        <v>-573.68974552048462</v>
      </c>
      <c r="AB16" s="48">
        <f>+[13]양산!$H$92/1000</f>
        <v>396.85587433911547</v>
      </c>
      <c r="AC16" s="49">
        <f t="shared" si="7"/>
        <v>-786.07253579505607</v>
      </c>
      <c r="AF16" s="484"/>
    </row>
    <row r="17" spans="2:30" s="8" customFormat="1" ht="22.5" customHeight="1" x14ac:dyDescent="0.3">
      <c r="B17" s="8" t="s">
        <v>26</v>
      </c>
      <c r="G17" s="334"/>
      <c r="H17" s="74"/>
      <c r="I17" s="75" t="s">
        <v>26</v>
      </c>
      <c r="J17" s="45">
        <f>+[4]창원!$H$86/1000</f>
        <v>147.81171337555415</v>
      </c>
      <c r="K17" s="46">
        <f>+[4]창원!$I$86/1000</f>
        <v>-12.880638000000049</v>
      </c>
      <c r="L17" s="47">
        <f t="shared" si="0"/>
        <v>-160.69235137555421</v>
      </c>
      <c r="M17" s="48">
        <f>+[5]창원!$H$86/1000</f>
        <v>252.53770600000007</v>
      </c>
      <c r="N17" s="49">
        <f t="shared" si="1"/>
        <v>-265.4183440000001</v>
      </c>
      <c r="O17" s="45">
        <f>+[4]창원!$H$92/1000</f>
        <v>84.129363844876224</v>
      </c>
      <c r="P17" s="46">
        <f>+[4]창원!$I$92/1000</f>
        <v>-56.868132552589962</v>
      </c>
      <c r="Q17" s="47">
        <f t="shared" si="2"/>
        <v>-140.99749639746619</v>
      </c>
      <c r="R17" s="48">
        <f>+[5]창원!$H$92/1000</f>
        <v>178.22892708064853</v>
      </c>
      <c r="S17" s="49">
        <f t="shared" si="3"/>
        <v>-235.0970596332385</v>
      </c>
      <c r="T17" s="45">
        <f>+[12]창원!$H$86/1000</f>
        <v>706.48657265940631</v>
      </c>
      <c r="U17" s="46">
        <f>+[12]창원!$I$86/1000</f>
        <v>342.52946400000053</v>
      </c>
      <c r="V17" s="47">
        <f t="shared" si="4"/>
        <v>-363.95710865940578</v>
      </c>
      <c r="W17" s="48">
        <f>+[13]창원!$H$86/1000</f>
        <v>2209.9365250000033</v>
      </c>
      <c r="X17" s="49">
        <f t="shared" si="5"/>
        <v>-1867.4070610000026</v>
      </c>
      <c r="Y17" s="45">
        <f>+[12]창원!$H$92/1000</f>
        <v>159.81379966019571</v>
      </c>
      <c r="Z17" s="46">
        <f>+[12]창원!$I$92/1000</f>
        <v>-189.94076617120243</v>
      </c>
      <c r="AA17" s="47">
        <f t="shared" si="6"/>
        <v>-349.75456583139817</v>
      </c>
      <c r="AB17" s="48">
        <f>+[13]창원!$H$92/1000</f>
        <v>1481.1652508583315</v>
      </c>
      <c r="AC17" s="49">
        <f t="shared" si="7"/>
        <v>-1671.1060170295341</v>
      </c>
    </row>
    <row r="18" spans="2:30" s="8" customFormat="1" ht="22.5" customHeight="1" x14ac:dyDescent="0.3">
      <c r="B18" s="8" t="s">
        <v>70</v>
      </c>
      <c r="G18" s="334"/>
      <c r="H18" s="74"/>
      <c r="I18" s="75" t="s">
        <v>70</v>
      </c>
      <c r="J18" s="45">
        <f>+[4]대구!$H$86/1000</f>
        <v>130.691205997086</v>
      </c>
      <c r="K18" s="46">
        <f>+[4]대구!$I$86/1000</f>
        <v>13.899454000000029</v>
      </c>
      <c r="L18" s="47">
        <f t="shared" si="0"/>
        <v>-116.79175199708597</v>
      </c>
      <c r="M18" s="48">
        <f>+[5]대구!$H$86/1000</f>
        <v>205.51535700000002</v>
      </c>
      <c r="N18" s="49">
        <f t="shared" si="1"/>
        <v>-191.615903</v>
      </c>
      <c r="O18" s="45">
        <f>+[4]대구!$H$92/1000</f>
        <v>72.450085127508203</v>
      </c>
      <c r="P18" s="46">
        <f>+[4]대구!$I$92/1000</f>
        <v>-47.404890932291359</v>
      </c>
      <c r="Q18" s="47">
        <f t="shared" si="2"/>
        <v>-119.85497605979955</v>
      </c>
      <c r="R18" s="48">
        <f>+[5]대구!$H$92/1000</f>
        <v>141.89991855402266</v>
      </c>
      <c r="S18" s="49">
        <f t="shared" si="3"/>
        <v>-189.30480948631401</v>
      </c>
      <c r="T18" s="45">
        <f>+[12]대구!$H$86/1000</f>
        <v>866.04037137774151</v>
      </c>
      <c r="U18" s="46">
        <f>+[12]대구!$I$86/1000</f>
        <v>42.095103999999935</v>
      </c>
      <c r="V18" s="47">
        <f t="shared" si="4"/>
        <v>-823.94526737774163</v>
      </c>
      <c r="W18" s="48">
        <f>+[13]대구!$H$86/1000</f>
        <v>1978.4149759999984</v>
      </c>
      <c r="X18" s="49">
        <f t="shared" si="5"/>
        <v>-1936.3198719999984</v>
      </c>
      <c r="Y18" s="45">
        <f>+[12]대구!$H$92/1000</f>
        <v>300.61609130624822</v>
      </c>
      <c r="Z18" s="46">
        <f>+[12]대구!$I$92/1000</f>
        <v>-464.37031583722649</v>
      </c>
      <c r="AA18" s="47">
        <f t="shared" si="6"/>
        <v>-764.98640714347471</v>
      </c>
      <c r="AB18" s="48">
        <f>+[13]대구!$H$92/1000</f>
        <v>1338.3645404119418</v>
      </c>
      <c r="AC18" s="49">
        <f t="shared" si="7"/>
        <v>-1802.7348562491684</v>
      </c>
    </row>
    <row r="19" spans="2:30" s="8" customFormat="1" ht="22.5" customHeight="1" x14ac:dyDescent="0.3">
      <c r="B19" s="8" t="s">
        <v>71</v>
      </c>
      <c r="G19" s="336"/>
      <c r="H19" s="74"/>
      <c r="I19" s="77" t="s">
        <v>71</v>
      </c>
      <c r="J19" s="9">
        <f>+[4]울산!$H$86/1000</f>
        <v>123.08733377491703</v>
      </c>
      <c r="K19" s="10">
        <f>+[4]울산!$I$86/1000</f>
        <v>46.051255999999988</v>
      </c>
      <c r="L19" s="11">
        <f t="shared" si="0"/>
        <v>-77.036077774917032</v>
      </c>
      <c r="M19" s="12">
        <f>+[5]울산!$H$86/1000</f>
        <v>205.15454399999999</v>
      </c>
      <c r="N19" s="13">
        <f t="shared" si="1"/>
        <v>-159.10328799999999</v>
      </c>
      <c r="O19" s="9">
        <f>+[4]울산!$H$92/1000</f>
        <v>62.833097573309104</v>
      </c>
      <c r="P19" s="10">
        <f>+[4]울산!$I$92/1000</f>
        <v>-20.370710839553627</v>
      </c>
      <c r="Q19" s="11">
        <f t="shared" si="2"/>
        <v>-83.203808412862728</v>
      </c>
      <c r="R19" s="12">
        <f>+[5]울산!$H$92/1000</f>
        <v>145.58357486084398</v>
      </c>
      <c r="S19" s="13">
        <f t="shared" si="3"/>
        <v>-165.95428570039761</v>
      </c>
      <c r="T19" s="9">
        <f>+[12]울산!$H$86/1000</f>
        <v>654.64116733149513</v>
      </c>
      <c r="U19" s="10">
        <f>+[12]울산!$I$86/1000</f>
        <v>706.16897699999879</v>
      </c>
      <c r="V19" s="11">
        <f t="shared" si="4"/>
        <v>51.527809668503664</v>
      </c>
      <c r="W19" s="12">
        <f>+[13]울산!$H$86/1000</f>
        <v>1001.9594010000005</v>
      </c>
      <c r="X19" s="13">
        <f t="shared" si="5"/>
        <v>-295.79042400000174</v>
      </c>
      <c r="Y19" s="9">
        <f>+[12]울산!$H$92/1000</f>
        <v>87.914679567790586</v>
      </c>
      <c r="Z19" s="10">
        <f>+[12]울산!$I$92/1000</f>
        <v>73.280098686341432</v>
      </c>
      <c r="AA19" s="11">
        <f t="shared" si="6"/>
        <v>-14.634580881449153</v>
      </c>
      <c r="AB19" s="12">
        <f>+[13]울산!$H$92/1000</f>
        <v>552.09318596081835</v>
      </c>
      <c r="AC19" s="13">
        <f t="shared" si="7"/>
        <v>-478.81308727447691</v>
      </c>
    </row>
    <row r="20" spans="2:30" s="8" customFormat="1" ht="22.5" customHeight="1" x14ac:dyDescent="0.3">
      <c r="B20" s="8" t="s">
        <v>76</v>
      </c>
      <c r="G20" s="336"/>
      <c r="H20" s="74"/>
      <c r="I20" s="75" t="s">
        <v>27</v>
      </c>
      <c r="J20" s="45">
        <f>+[4]아산!$H$86/1000</f>
        <v>300.49569633581746</v>
      </c>
      <c r="K20" s="46">
        <f>+[4]아산!$I$86/1000</f>
        <v>29.798173999999875</v>
      </c>
      <c r="L20" s="47">
        <f t="shared" si="0"/>
        <v>-270.69752233581755</v>
      </c>
      <c r="M20" s="48">
        <f>+[5]아산!$H$86/1000</f>
        <v>395.17700600000029</v>
      </c>
      <c r="N20" s="49">
        <f t="shared" si="1"/>
        <v>-365.37883200000044</v>
      </c>
      <c r="O20" s="45">
        <f>+[4]아산!$H$92/1000</f>
        <v>202.1384614297888</v>
      </c>
      <c r="P20" s="46">
        <f>+[4]아산!$I$92/1000</f>
        <v>-79.081657940192414</v>
      </c>
      <c r="Q20" s="47">
        <f t="shared" si="2"/>
        <v>-281.22011936998121</v>
      </c>
      <c r="R20" s="48">
        <f>+[5]아산!$H$92/1000</f>
        <v>300.78918729120858</v>
      </c>
      <c r="S20" s="49">
        <f t="shared" si="3"/>
        <v>-379.87084523140101</v>
      </c>
      <c r="T20" s="45">
        <f>+[12]아산!$H$86/1000</f>
        <v>2183.033239058228</v>
      </c>
      <c r="U20" s="46">
        <f>+[12]아산!$I$86/1000</f>
        <v>696.41130000000078</v>
      </c>
      <c r="V20" s="47">
        <f t="shared" si="4"/>
        <v>-1486.6219390582273</v>
      </c>
      <c r="W20" s="48">
        <f>+[13]아산!$H$86/1000</f>
        <v>3107.8736519999961</v>
      </c>
      <c r="X20" s="49">
        <f t="shared" si="5"/>
        <v>-2411.4623519999955</v>
      </c>
      <c r="Y20" s="45">
        <f>+[12]아산!$H$92/1000</f>
        <v>1187.0925430697914</v>
      </c>
      <c r="Z20" s="46">
        <f>+[12]아산!$I$92/1000</f>
        <v>-398.02646954013665</v>
      </c>
      <c r="AA20" s="47">
        <f t="shared" si="6"/>
        <v>-1585.1190126099282</v>
      </c>
      <c r="AB20" s="48">
        <f>+[13]아산!$H$92/1000</f>
        <v>2089.6883949228049</v>
      </c>
      <c r="AC20" s="49">
        <f t="shared" si="7"/>
        <v>-2487.7148644629415</v>
      </c>
    </row>
    <row r="21" spans="2:30" s="8" customFormat="1" ht="22.5" customHeight="1" x14ac:dyDescent="0.3">
      <c r="B21" s="8" t="s">
        <v>72</v>
      </c>
      <c r="G21" s="336"/>
      <c r="H21" s="74"/>
      <c r="I21" s="75" t="s">
        <v>72</v>
      </c>
      <c r="J21" s="45">
        <f>+[4]전주!$H$86/1000</f>
        <v>183.6795547047679</v>
      </c>
      <c r="K21" s="46">
        <f>+[4]전주!$I$86/1000</f>
        <v>23.432485000000035</v>
      </c>
      <c r="L21" s="47">
        <f t="shared" si="0"/>
        <v>-160.24706970476785</v>
      </c>
      <c r="M21" s="48">
        <f>+[5]전주!$H$86/1000</f>
        <v>82.209062000000031</v>
      </c>
      <c r="N21" s="49">
        <f t="shared" si="1"/>
        <v>-58.776576999999996</v>
      </c>
      <c r="O21" s="45">
        <f>+[4]전주!$H$92/1000</f>
        <v>128.90287452115527</v>
      </c>
      <c r="P21" s="46">
        <f>+[4]전주!$I$92/1000</f>
        <v>-26.094500099611636</v>
      </c>
      <c r="Q21" s="47">
        <f t="shared" si="2"/>
        <v>-154.99737462076689</v>
      </c>
      <c r="R21" s="48">
        <f>+[5]전주!$H$92/1000</f>
        <v>44.329137294621496</v>
      </c>
      <c r="S21" s="49">
        <f t="shared" si="3"/>
        <v>-70.42363739423314</v>
      </c>
      <c r="T21" s="45">
        <f>+[12]전주!$H$86/1000</f>
        <v>820.97221507846075</v>
      </c>
      <c r="U21" s="46">
        <f>+[12]전주!$I$86/1000</f>
        <v>934.76169699999946</v>
      </c>
      <c r="V21" s="47">
        <f t="shared" si="4"/>
        <v>113.78948192153871</v>
      </c>
      <c r="W21" s="48">
        <f>+[13]전주!$H$86/1000</f>
        <v>415.81929500000001</v>
      </c>
      <c r="X21" s="49">
        <f t="shared" si="5"/>
        <v>518.94240199999945</v>
      </c>
      <c r="Y21" s="45">
        <f>+[12]전주!$H$92/1000</f>
        <v>362.62674609817878</v>
      </c>
      <c r="Z21" s="46">
        <f>+[12]전주!$I$92/1000</f>
        <v>285.23032611588411</v>
      </c>
      <c r="AA21" s="47">
        <f t="shared" si="6"/>
        <v>-77.396419982294674</v>
      </c>
      <c r="AB21" s="48">
        <f>+[13]전주!$H$92/1000</f>
        <v>125.12437058259226</v>
      </c>
      <c r="AC21" s="49">
        <f t="shared" si="7"/>
        <v>160.10595553329185</v>
      </c>
    </row>
    <row r="22" spans="2:30" s="8" customFormat="1" ht="22.5" customHeight="1" x14ac:dyDescent="0.3">
      <c r="B22" s="8" t="s">
        <v>73</v>
      </c>
      <c r="G22" s="336"/>
      <c r="H22" s="74"/>
      <c r="I22" s="75" t="s">
        <v>73</v>
      </c>
      <c r="J22" s="45">
        <f>+[4]군산!$H$86/1000</f>
        <v>233.40875686623818</v>
      </c>
      <c r="K22" s="46">
        <f>+[4]군산!$I$86/1000</f>
        <v>89.004880999999997</v>
      </c>
      <c r="L22" s="47">
        <f t="shared" si="0"/>
        <v>-144.4038758662382</v>
      </c>
      <c r="M22" s="48">
        <f>+[5]군산!$H$86/1000</f>
        <v>250.95442300000002</v>
      </c>
      <c r="N22" s="49">
        <f t="shared" si="1"/>
        <v>-161.94954200000001</v>
      </c>
      <c r="O22" s="45">
        <f>+[4]군산!$H$92/1000</f>
        <v>192.881897351573</v>
      </c>
      <c r="P22" s="46">
        <f>+[4]군산!$I$92/1000</f>
        <v>57.083761295301578</v>
      </c>
      <c r="Q22" s="47">
        <f t="shared" si="2"/>
        <v>-135.79813605627143</v>
      </c>
      <c r="R22" s="48">
        <f>+[5]군산!$H$92/1000</f>
        <v>214.59820900491485</v>
      </c>
      <c r="S22" s="49">
        <f t="shared" si="3"/>
        <v>-157.51444770961328</v>
      </c>
      <c r="T22" s="45">
        <f>+[12]군산!$H$86/1000</f>
        <v>1401.9163793387474</v>
      </c>
      <c r="U22" s="46">
        <f>+[12]군산!$I$86/1000</f>
        <v>842.70955699999956</v>
      </c>
      <c r="V22" s="47">
        <f t="shared" si="4"/>
        <v>-559.20682233874788</v>
      </c>
      <c r="W22" s="48">
        <f>+[13]군산!$H$86/1000</f>
        <v>2170.063097000002</v>
      </c>
      <c r="X22" s="49">
        <f t="shared" si="5"/>
        <v>-1327.3535400000023</v>
      </c>
      <c r="Y22" s="45">
        <f>+[12]군산!$H$92/1000</f>
        <v>1064.1854182169093</v>
      </c>
      <c r="Z22" s="46">
        <f>+[12]군산!$I$92/1000</f>
        <v>544.53477273969008</v>
      </c>
      <c r="AA22" s="47">
        <f t="shared" si="6"/>
        <v>-519.6506454772192</v>
      </c>
      <c r="AB22" s="48">
        <f>+[13]군산!$H$92/1000</f>
        <v>1793.8489948014123</v>
      </c>
      <c r="AC22" s="49">
        <f t="shared" si="7"/>
        <v>-1249.3142220617224</v>
      </c>
    </row>
    <row r="23" spans="2:30" s="8" customFormat="1" ht="22.5" customHeight="1" x14ac:dyDescent="0.3">
      <c r="B23" s="8" t="s">
        <v>74</v>
      </c>
      <c r="G23" s="336"/>
      <c r="H23" s="74"/>
      <c r="I23" s="75" t="s">
        <v>74</v>
      </c>
      <c r="J23" s="45">
        <f>+[4]원주!$H$86/1000</f>
        <v>109.87534141562615</v>
      </c>
      <c r="K23" s="46">
        <f>+[4]원주!$I$86/1000</f>
        <v>2.1702869999999677</v>
      </c>
      <c r="L23" s="47">
        <f t="shared" si="0"/>
        <v>-107.70505441562618</v>
      </c>
      <c r="M23" s="48">
        <f>+[5]원주!$H$86/1000</f>
        <v>125.92493800000005</v>
      </c>
      <c r="N23" s="49">
        <f t="shared" si="1"/>
        <v>-123.75465100000008</v>
      </c>
      <c r="O23" s="45">
        <f>+[4]원주!$H$92/1000</f>
        <v>84.410685129275691</v>
      </c>
      <c r="P23" s="46">
        <f>+[4]원주!$I$92/1000</f>
        <v>-13.205872702922735</v>
      </c>
      <c r="Q23" s="47">
        <f t="shared" si="2"/>
        <v>-97.616557832198424</v>
      </c>
      <c r="R23" s="48">
        <f>+[5]원주!$H$92/1000</f>
        <v>98.637453420216403</v>
      </c>
      <c r="S23" s="49">
        <f t="shared" si="3"/>
        <v>-111.84332612313914</v>
      </c>
      <c r="T23" s="45">
        <f>+[12]원주!$H$86/1000</f>
        <v>570.47440357013545</v>
      </c>
      <c r="U23" s="46">
        <f>+[12]원주!$I$86/1000</f>
        <v>50.290814999999697</v>
      </c>
      <c r="V23" s="47">
        <f t="shared" si="4"/>
        <v>-520.18358857013573</v>
      </c>
      <c r="W23" s="48">
        <f>+[13]원주!$H$86/1000</f>
        <v>1021.5640769999998</v>
      </c>
      <c r="X23" s="49">
        <f t="shared" si="5"/>
        <v>-971.27326200000005</v>
      </c>
      <c r="Y23" s="45">
        <f>+[12]원주!$H$92/1000</f>
        <v>354.25558954009568</v>
      </c>
      <c r="Z23" s="46">
        <f>+[12]원주!$I$92/1000</f>
        <v>-109.80254392943858</v>
      </c>
      <c r="AA23" s="47">
        <f t="shared" si="6"/>
        <v>-464.05813346953425</v>
      </c>
      <c r="AB23" s="48">
        <f>+[13]원주!$H$92/1000</f>
        <v>780.76267088909799</v>
      </c>
      <c r="AC23" s="49">
        <f t="shared" si="7"/>
        <v>-890.56521481853656</v>
      </c>
    </row>
    <row r="24" spans="2:30" s="8" customFormat="1" ht="22.5" customHeight="1" x14ac:dyDescent="0.3">
      <c r="B24" s="8" t="s">
        <v>75</v>
      </c>
      <c r="F24" s="84"/>
      <c r="G24" s="334"/>
      <c r="H24" s="74"/>
      <c r="I24" s="75" t="s">
        <v>75</v>
      </c>
      <c r="J24" s="45">
        <f>+[4]제주!$H$86/1000</f>
        <v>192.65373003306746</v>
      </c>
      <c r="K24" s="46">
        <f>+[4]제주!$I$86/1000</f>
        <v>30.210348000000071</v>
      </c>
      <c r="L24" s="47">
        <f t="shared" si="0"/>
        <v>-162.44338203306739</v>
      </c>
      <c r="M24" s="48">
        <f>+[5]제주!$H$86/1000</f>
        <v>43.62725100000003</v>
      </c>
      <c r="N24" s="49">
        <f t="shared" si="1"/>
        <v>-13.416902999999959</v>
      </c>
      <c r="O24" s="45">
        <f>+[4]제주!$H$92/1000</f>
        <v>142.31738017103442</v>
      </c>
      <c r="P24" s="46">
        <f>+[4]제주!$I$92/1000</f>
        <v>-4.7135970878556908</v>
      </c>
      <c r="Q24" s="47">
        <f t="shared" si="2"/>
        <v>-147.03097725889012</v>
      </c>
      <c r="R24" s="48">
        <f>+[5]제주!$H$92/1000</f>
        <v>23.055709624009083</v>
      </c>
      <c r="S24" s="49">
        <f t="shared" si="3"/>
        <v>-27.769306711864772</v>
      </c>
      <c r="T24" s="45">
        <f>+[12]제주!$H$86/1000</f>
        <v>1252.5385979958924</v>
      </c>
      <c r="U24" s="46">
        <f>+[12]제주!$I$86/1000</f>
        <v>596.94655100000091</v>
      </c>
      <c r="V24" s="47">
        <f t="shared" si="4"/>
        <v>-655.59204699589145</v>
      </c>
      <c r="W24" s="48">
        <f>+[13]제주!$H$86/1000</f>
        <v>365.92274499999968</v>
      </c>
      <c r="X24" s="49">
        <f t="shared" si="5"/>
        <v>231.02380600000123</v>
      </c>
      <c r="Y24" s="45">
        <f>+[12]제주!$H$92/1000</f>
        <v>801.74024896961453</v>
      </c>
      <c r="Z24" s="46">
        <f>+[12]제주!$I$92/1000</f>
        <v>214.84547441425582</v>
      </c>
      <c r="AA24" s="47">
        <f t="shared" si="6"/>
        <v>-586.89477455535871</v>
      </c>
      <c r="AB24" s="48">
        <f>+[13]제주!$H$92/1000</f>
        <v>185.96620008836274</v>
      </c>
      <c r="AC24" s="49">
        <f t="shared" si="7"/>
        <v>28.879274325893078</v>
      </c>
    </row>
    <row r="25" spans="2:30" s="8" customFormat="1" ht="22.5" customHeight="1" x14ac:dyDescent="0.3">
      <c r="F25" s="495"/>
      <c r="G25" s="337"/>
      <c r="H25" s="74"/>
      <c r="I25" s="78" t="s">
        <v>42</v>
      </c>
      <c r="J25" s="22">
        <f>SUM(J8:J11)</f>
        <v>942.33188903522887</v>
      </c>
      <c r="K25" s="19">
        <f>SUM(K8:K11)</f>
        <v>42.66504099999991</v>
      </c>
      <c r="L25" s="20">
        <f t="shared" si="0"/>
        <v>-899.66684803522901</v>
      </c>
      <c r="M25" s="24">
        <f>SUM(M8:M11)</f>
        <v>557.01498200999868</v>
      </c>
      <c r="N25" s="21">
        <f t="shared" si="1"/>
        <v>-514.34994100999882</v>
      </c>
      <c r="O25" s="22">
        <f>SUM(O8:O11)</f>
        <v>464.42337409909584</v>
      </c>
      <c r="P25" s="19">
        <f>SUM(P8:P11)</f>
        <v>-393.21417343975605</v>
      </c>
      <c r="Q25" s="20">
        <f t="shared" si="2"/>
        <v>-857.63754753885189</v>
      </c>
      <c r="R25" s="24">
        <f>SUM(R8:R11)</f>
        <v>199.93912560879315</v>
      </c>
      <c r="S25" s="21">
        <f t="shared" si="3"/>
        <v>-593.15329904854923</v>
      </c>
      <c r="T25" s="22">
        <f>SUM(T8:T11)</f>
        <v>4900.5339772782763</v>
      </c>
      <c r="U25" s="19">
        <f>SUM(U8:U11)</f>
        <v>1735.0073910099875</v>
      </c>
      <c r="V25" s="20">
        <f t="shared" ref="V25:V28" si="8">+U25-T25</f>
        <v>-3165.5265862682891</v>
      </c>
      <c r="W25" s="24">
        <f>SUM(W8:W11)</f>
        <v>7154.9280560099978</v>
      </c>
      <c r="X25" s="21">
        <f t="shared" ref="X25:X28" si="9">+U25-W25</f>
        <v>-5419.9206650000106</v>
      </c>
      <c r="Y25" s="22">
        <f>SUM(Y8:Y11)</f>
        <v>382.97735494906965</v>
      </c>
      <c r="Z25" s="19">
        <f>SUM(Z8:Z11)</f>
        <v>-2579.3087177418824</v>
      </c>
      <c r="AA25" s="20">
        <f t="shared" ref="AA25:AA28" si="10">+Z25-Y25</f>
        <v>-2962.2860726909521</v>
      </c>
      <c r="AB25" s="24">
        <f>SUM(AB8:AB11)</f>
        <v>3124.5260814654407</v>
      </c>
      <c r="AC25" s="21">
        <f t="shared" ref="AC25:AC28" si="11">+Z25-AB25</f>
        <v>-5703.8347992073232</v>
      </c>
    </row>
    <row r="26" spans="2:30" s="8" customFormat="1" ht="22.5" customHeight="1" x14ac:dyDescent="0.3">
      <c r="F26" s="495"/>
      <c r="G26" s="334"/>
      <c r="H26" s="74"/>
      <c r="I26" s="78" t="s">
        <v>43</v>
      </c>
      <c r="J26" s="22">
        <f>SUM(J12:J19)</f>
        <v>1071.9452618389939</v>
      </c>
      <c r="K26" s="19">
        <f>SUM(K12:K19)</f>
        <v>363.18742500000019</v>
      </c>
      <c r="L26" s="20">
        <f t="shared" si="0"/>
        <v>-708.75783683899374</v>
      </c>
      <c r="M26" s="24">
        <f>SUM(M12:M19)</f>
        <v>1297.3626300000001</v>
      </c>
      <c r="N26" s="21">
        <f t="shared" si="1"/>
        <v>-934.17520499999989</v>
      </c>
      <c r="O26" s="22">
        <f>SUM(O12:O19)</f>
        <v>514.76549478400307</v>
      </c>
      <c r="P26" s="19">
        <f>SUM(P12:P19)</f>
        <v>-275.66886017153325</v>
      </c>
      <c r="Q26" s="20">
        <f t="shared" si="2"/>
        <v>-790.43435495553626</v>
      </c>
      <c r="R26" s="24">
        <f>SUM(R12:R19)</f>
        <v>738.50063019179345</v>
      </c>
      <c r="S26" s="21">
        <f t="shared" si="3"/>
        <v>-1014.1694903633268</v>
      </c>
      <c r="T26" s="22">
        <f>SUM(T12:T19)</f>
        <v>7853.6497321833504</v>
      </c>
      <c r="U26" s="19">
        <f>SUM(U12:U19)</f>
        <v>4805.6541670000015</v>
      </c>
      <c r="V26" s="20">
        <f t="shared" si="8"/>
        <v>-3047.9955651833488</v>
      </c>
      <c r="W26" s="24">
        <f>SUM(W12:W19)</f>
        <v>12162.958989999999</v>
      </c>
      <c r="X26" s="21">
        <f t="shared" si="9"/>
        <v>-7357.3048229999977</v>
      </c>
      <c r="Y26" s="22">
        <f>SUM(Y12:Y19)</f>
        <v>2175.835892297066</v>
      </c>
      <c r="Z26" s="19">
        <f>SUM(Z12:Z19)</f>
        <v>-1087.3189098073958</v>
      </c>
      <c r="AA26" s="20">
        <f t="shared" si="10"/>
        <v>-3263.1548021044619</v>
      </c>
      <c r="AB26" s="24">
        <f>SUM(AB12:AB19)</f>
        <v>6776.0206287103929</v>
      </c>
      <c r="AC26" s="21">
        <f t="shared" si="11"/>
        <v>-7863.3395385177882</v>
      </c>
    </row>
    <row r="27" spans="2:30" s="8" customFormat="1" ht="22.5" customHeight="1" x14ac:dyDescent="0.3">
      <c r="F27" s="495"/>
      <c r="G27" s="334"/>
      <c r="H27" s="74"/>
      <c r="I27" s="78" t="s">
        <v>106</v>
      </c>
      <c r="J27" s="22">
        <f>SUM(J20:J24)</f>
        <v>1020.1130793555171</v>
      </c>
      <c r="K27" s="19">
        <f>SUM(K20:K24)</f>
        <v>174.61617499999994</v>
      </c>
      <c r="L27" s="20">
        <f t="shared" si="0"/>
        <v>-845.49690435551724</v>
      </c>
      <c r="M27" s="24">
        <f>SUM(M20:M24)</f>
        <v>897.8926800000005</v>
      </c>
      <c r="N27" s="21">
        <f t="shared" si="1"/>
        <v>-723.2765050000005</v>
      </c>
      <c r="O27" s="22">
        <f>SUM(O20:O24)</f>
        <v>750.65129860282707</v>
      </c>
      <c r="P27" s="19">
        <f>SUM(P20:P24)</f>
        <v>-66.011866535280902</v>
      </c>
      <c r="Q27" s="20">
        <f t="shared" si="2"/>
        <v>-816.66316513810796</v>
      </c>
      <c r="R27" s="24">
        <f>SUM(R20:R24)</f>
        <v>681.40969663497037</v>
      </c>
      <c r="S27" s="21">
        <f t="shared" si="3"/>
        <v>-747.42156317025126</v>
      </c>
      <c r="T27" s="22">
        <f>SUM(T20:T24)</f>
        <v>6228.9348350414639</v>
      </c>
      <c r="U27" s="19">
        <f>SUM(U20:U24)</f>
        <v>3121.1199200000005</v>
      </c>
      <c r="V27" s="20">
        <f t="shared" si="8"/>
        <v>-3107.8149150414633</v>
      </c>
      <c r="W27" s="24">
        <f>SUM(W20:W24)</f>
        <v>7081.2428659999978</v>
      </c>
      <c r="X27" s="21">
        <f t="shared" si="9"/>
        <v>-3960.1229459999972</v>
      </c>
      <c r="Y27" s="22">
        <f>SUM(Y20:Y24)</f>
        <v>3769.9005458945899</v>
      </c>
      <c r="Z27" s="19">
        <f>SUM(Z20:Z24)</f>
        <v>536.78155980025485</v>
      </c>
      <c r="AA27" s="20">
        <f t="shared" si="10"/>
        <v>-3233.118986094335</v>
      </c>
      <c r="AB27" s="24">
        <f>SUM(AB20:AB24)</f>
        <v>4975.390631284271</v>
      </c>
      <c r="AC27" s="21">
        <f t="shared" si="11"/>
        <v>-4438.6090714840157</v>
      </c>
    </row>
    <row r="28" spans="2:30" s="3" customFormat="1" ht="22.5" customHeight="1" x14ac:dyDescent="0.3">
      <c r="B28" s="25"/>
      <c r="F28" s="483"/>
      <c r="G28" s="336"/>
      <c r="H28" s="603" t="s">
        <v>94</v>
      </c>
      <c r="I28" s="604"/>
      <c r="J28" s="605">
        <f>SUM(J25:J27)</f>
        <v>3034.3902302297402</v>
      </c>
      <c r="K28" s="606">
        <f>SUM(K25:K27)</f>
        <v>580.46864100000005</v>
      </c>
      <c r="L28" s="607">
        <f t="shared" si="0"/>
        <v>-2453.9215892297402</v>
      </c>
      <c r="M28" s="608">
        <f>SUM(M25:M27)</f>
        <v>2752.2702920099991</v>
      </c>
      <c r="N28" s="609">
        <f t="shared" si="1"/>
        <v>-2171.8016510099992</v>
      </c>
      <c r="O28" s="605">
        <f>SUM(O25:O27)</f>
        <v>1729.840167485926</v>
      </c>
      <c r="P28" s="606">
        <f>SUM(P25:P27)</f>
        <v>-734.89490014657019</v>
      </c>
      <c r="Q28" s="607">
        <f t="shared" si="2"/>
        <v>-2464.7350676324963</v>
      </c>
      <c r="R28" s="608">
        <f>SUM(R25:R27)</f>
        <v>1619.8494524355569</v>
      </c>
      <c r="S28" s="609">
        <f t="shared" si="3"/>
        <v>-2354.7443525821272</v>
      </c>
      <c r="T28" s="605">
        <f>SUM(T25:T27)</f>
        <v>18983.118544503093</v>
      </c>
      <c r="U28" s="606">
        <f>SUM(U25:U27)</f>
        <v>9661.7814780099889</v>
      </c>
      <c r="V28" s="607">
        <f t="shared" si="8"/>
        <v>-9321.3370664931044</v>
      </c>
      <c r="W28" s="608">
        <f>SUM(W25:W27)</f>
        <v>26399.129912009994</v>
      </c>
      <c r="X28" s="609">
        <f t="shared" si="9"/>
        <v>-16737.348434000007</v>
      </c>
      <c r="Y28" s="605">
        <f>SUM(Y25:Y27)</f>
        <v>6328.7137931407251</v>
      </c>
      <c r="Z28" s="606">
        <f>SUM(Z25:Z27)</f>
        <v>-3129.8460677490234</v>
      </c>
      <c r="AA28" s="607">
        <f t="shared" si="10"/>
        <v>-9458.559860889749</v>
      </c>
      <c r="AB28" s="608">
        <f>SUM(AB25:AB27)</f>
        <v>14875.937341460103</v>
      </c>
      <c r="AC28" s="609">
        <f t="shared" si="11"/>
        <v>-18005.783409209125</v>
      </c>
      <c r="AD28" s="25"/>
    </row>
  </sheetData>
  <mergeCells count="1">
    <mergeCell ref="H5:I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6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34998626667073579"/>
    <pageSetUpPr fitToPage="1"/>
  </sheetPr>
  <dimension ref="A1:AQ78"/>
  <sheetViews>
    <sheetView showGridLines="0" showZeros="0" topLeftCell="E1" zoomScale="85" zoomScaleNormal="85" zoomScaleSheetLayoutView="85" workbookViewId="0">
      <selection activeCell="K12" sqref="K12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39" ht="18" customHeight="1" x14ac:dyDescent="0.3">
      <c r="H1" s="4"/>
      <c r="K1" s="6"/>
      <c r="L1" s="6"/>
      <c r="P1" s="6"/>
      <c r="Q1" s="6"/>
    </row>
    <row r="2" spans="1:39" ht="18" customHeight="1" x14ac:dyDescent="0.3">
      <c r="H2" s="7"/>
      <c r="AD2" s="5"/>
      <c r="AG2" s="5"/>
    </row>
    <row r="3" spans="1:39" ht="26.25" x14ac:dyDescent="0.3">
      <c r="H3" s="4" t="s">
        <v>212</v>
      </c>
      <c r="AD3" s="5"/>
      <c r="AG3" s="5"/>
    </row>
    <row r="4" spans="1:39" ht="18" customHeight="1" x14ac:dyDescent="0.3">
      <c r="H4" s="7"/>
      <c r="AD4" s="5"/>
      <c r="AG4" s="5" t="s">
        <v>77</v>
      </c>
    </row>
    <row r="5" spans="1:39" s="8" customFormat="1" ht="19.5" customHeight="1" x14ac:dyDescent="0.3">
      <c r="G5" s="334"/>
      <c r="H5" s="641" t="s">
        <v>35</v>
      </c>
      <c r="I5" s="642"/>
      <c r="J5" s="158" t="s">
        <v>51</v>
      </c>
      <c r="K5" s="159"/>
      <c r="L5" s="159"/>
      <c r="M5" s="159"/>
      <c r="N5" s="160"/>
      <c r="O5" s="158" t="s">
        <v>52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9" s="8" customFormat="1" ht="19.5" customHeight="1" x14ac:dyDescent="0.3">
      <c r="A6" s="8" t="s">
        <v>213</v>
      </c>
      <c r="G6" s="334"/>
      <c r="H6" s="643"/>
      <c r="I6" s="640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9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+IFERROR(HLOOKUP($B7,'[1]8월'!$D$6:$BN$259,2,),)/1000</f>
        <v>40</v>
      </c>
      <c r="K7" s="36">
        <f>+IFERROR(HLOOKUP($B7,'[2]8월'!$F$6:$CP$99,2,),)/1000</f>
        <v>23.449000000000002</v>
      </c>
      <c r="L7" s="37">
        <f t="shared" ref="L7:L26" si="0">+K7-J7</f>
        <v>-16.550999999999998</v>
      </c>
      <c r="M7" s="38">
        <f>+IFERROR(HLOOKUP($B7,'[3]8월'!$F$6:$CC$57,2,),)/1000</f>
        <v>29.384</v>
      </c>
      <c r="N7" s="39">
        <f>+K7-M7</f>
        <v>-5.9349999999999987</v>
      </c>
      <c r="O7" s="35">
        <f>+IFERROR(HLOOKUP($B7,'[1]8월'!$D$6:$BN$259,3,),)/1000</f>
        <v>4050.2794900000004</v>
      </c>
      <c r="P7" s="36">
        <f>+IFERROR(HLOOKUP($B7,'[2]8월'!$F$6:$CP$99,3,),)/1000</f>
        <v>2252.060559</v>
      </c>
      <c r="Q7" s="37">
        <f>+P7-O7</f>
        <v>-1798.2189310000003</v>
      </c>
      <c r="R7" s="38">
        <f>+IFERROR(HLOOKUP($B7,'[3]8월'!$F$6:$CC$57,3,),)/1000</f>
        <v>2958.109586</v>
      </c>
      <c r="S7" s="39">
        <f>+P7-R7</f>
        <v>-706.04902700000002</v>
      </c>
      <c r="T7" s="35">
        <f>+IFERROR(HLOOKUP($B7,'[1]8월'!$D$6:$BN$259,16,),)/1000</f>
        <v>521.50922853763359</v>
      </c>
      <c r="U7" s="36">
        <f>+IFERROR(HLOOKUP($B7,'[2]8월'!$F$6:$CP$99,16,),)/1000</f>
        <v>88.551492999999923</v>
      </c>
      <c r="V7" s="40">
        <f>+U7-T7</f>
        <v>-432.95773553763365</v>
      </c>
      <c r="W7" s="41">
        <f>+IFERROR(HLOOKUP($B7,'[3]8월'!$F$6:$CC$57,16,),)/1000</f>
        <v>305.0203209999998</v>
      </c>
      <c r="X7" s="39">
        <f>+U7-W7</f>
        <v>-216.46882799999986</v>
      </c>
      <c r="Y7" s="35">
        <f>+[4]안양!$Q$85</f>
        <v>101256.98725000001</v>
      </c>
      <c r="Z7" s="36">
        <f>+[4]안양!$R$85</f>
        <v>96040.793168152144</v>
      </c>
      <c r="AA7" s="42">
        <f>+[5]안양!$Q$85</f>
        <v>100670.75912060986</v>
      </c>
      <c r="AB7" s="43">
        <f>+[4]안양!$Q$89</f>
        <v>81036.261122241092</v>
      </c>
      <c r="AC7" s="36">
        <f>+[4]안양!$R$89</f>
        <v>79887.109174585596</v>
      </c>
      <c r="AD7" s="44">
        <f>+[5]안양!$Q$89</f>
        <v>80931.093077865502</v>
      </c>
      <c r="AE7" s="43">
        <f>+Y7-AB7</f>
        <v>20220.726127758913</v>
      </c>
      <c r="AF7" s="36">
        <f>+Z7-AC7</f>
        <v>16153.683993566548</v>
      </c>
      <c r="AG7" s="44">
        <f>+AA7-AD7</f>
        <v>19739.666042744357</v>
      </c>
      <c r="AH7" s="17"/>
      <c r="AI7" s="18"/>
      <c r="AJ7" s="484"/>
      <c r="AK7" s="484"/>
    </row>
    <row r="8" spans="1:39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+IFERROR(HLOOKUP($B8,'[1]8월'!$D$6:$BN$259,2,),)/1000</f>
        <v>26</v>
      </c>
      <c r="K8" s="46">
        <f>+IFERROR(HLOOKUP($B8,'[2]8월'!$F$6:$CP$99,2,),)/1000</f>
        <v>23.225999999999999</v>
      </c>
      <c r="L8" s="47">
        <f t="shared" si="0"/>
        <v>-2.7740000000000009</v>
      </c>
      <c r="M8" s="48">
        <f>+IFERROR(HLOOKUP($B8,'[3]8월'!$F$6:$CC$57,2,),)/1000</f>
        <v>23.503</v>
      </c>
      <c r="N8" s="49">
        <f t="shared" ref="N8:N26" si="2">+K8-M8</f>
        <v>-0.27700000000000102</v>
      </c>
      <c r="O8" s="45">
        <f>+IFERROR(HLOOKUP($B8,'[1]8월'!$D$6:$BN$259,3,),)/1000</f>
        <v>2579.3613028609388</v>
      </c>
      <c r="P8" s="46">
        <f>+IFERROR(HLOOKUP($B8,'[2]8월'!$F$6:$CP$99,3,),)/1000</f>
        <v>2185.601537</v>
      </c>
      <c r="Q8" s="47">
        <f t="shared" ref="Q8:Q26" si="3">+P8-O8</f>
        <v>-393.75976586093884</v>
      </c>
      <c r="R8" s="48">
        <f>+IFERROR(HLOOKUP($B8,'[3]8월'!$F$6:$CC$57,3,),)/1000</f>
        <v>2336.3941929999996</v>
      </c>
      <c r="S8" s="49">
        <f t="shared" ref="S8:S26" si="4">+P8-R8</f>
        <v>-150.79265599999962</v>
      </c>
      <c r="T8" s="45">
        <f>+IFERROR(HLOOKUP($B8,'[1]8월'!$D$6:$BN$259,16,),)/1000</f>
        <v>155.95557144980714</v>
      </c>
      <c r="U8" s="46">
        <f>+IFERROR(HLOOKUP($B8,'[2]8월'!$F$6:$CP$99,16,),)/1000</f>
        <v>-70.264611999999872</v>
      </c>
      <c r="V8" s="47">
        <f t="shared" ref="V8:V26" si="5">+U8-T8</f>
        <v>-226.220183449807</v>
      </c>
      <c r="W8" s="48">
        <f>+IFERROR(HLOOKUP($B8,'[3]8월'!$F$6:$CC$57,16,),)/1000</f>
        <v>71.619563009999013</v>
      </c>
      <c r="X8" s="49">
        <f t="shared" ref="X8:X26" si="6">+U8-W8</f>
        <v>-141.8841750099989</v>
      </c>
      <c r="Y8" s="45">
        <f>+[4]인천!$Q$85</f>
        <v>99206.203956189958</v>
      </c>
      <c r="Z8" s="46">
        <f>+[4]인천!$R$85</f>
        <v>94256.418497767663</v>
      </c>
      <c r="AA8" s="50">
        <f>+[5]인천!$Q$85</f>
        <v>99419.045696747504</v>
      </c>
      <c r="AB8" s="51">
        <f>+[4]인천!$Q$89</f>
        <v>82346.605018366972</v>
      </c>
      <c r="AC8" s="46">
        <f>+[4]인천!$R$89</f>
        <v>83081.085965526305</v>
      </c>
      <c r="AD8" s="52">
        <f>+[5]인천!$Q$89</f>
        <v>84513.240547337919</v>
      </c>
      <c r="AE8" s="51">
        <f t="shared" ref="AE8:AE27" si="7">+Y8-AB8</f>
        <v>16859.598937822986</v>
      </c>
      <c r="AF8" s="46">
        <f t="shared" ref="AF8:AF27" si="8">+Z8-AC8</f>
        <v>11175.332532241358</v>
      </c>
      <c r="AG8" s="52">
        <f t="shared" ref="AG8:AG27" si="9">+AA8-AD8</f>
        <v>14905.805149409585</v>
      </c>
      <c r="AH8" s="17"/>
      <c r="AI8" s="18"/>
      <c r="AJ8" s="484"/>
      <c r="AK8" s="484"/>
    </row>
    <row r="9" spans="1:39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+IFERROR(HLOOKUP($B9,'[1]8월'!$D$6:$BN$259,2,),)/1000</f>
        <v>22</v>
      </c>
      <c r="K9" s="46">
        <f>+IFERROR(HLOOKUP($B9,'[2]8월'!$F$6:$CP$99,2,),)/1000</f>
        <v>12.851000000000001</v>
      </c>
      <c r="L9" s="47">
        <f t="shared" si="0"/>
        <v>-9.1489999999999991</v>
      </c>
      <c r="M9" s="48">
        <f>+IFERROR(HLOOKUP($B9,'[3]8월'!$F$6:$CC$57,2,),)/1000</f>
        <v>19.088000000000001</v>
      </c>
      <c r="N9" s="49">
        <f t="shared" si="2"/>
        <v>-6.2370000000000001</v>
      </c>
      <c r="O9" s="45">
        <f>+IFERROR(HLOOKUP($B9,'[1]8월'!$D$6:$BN$259,3,),)/1000</f>
        <v>2150.0156167999999</v>
      </c>
      <c r="P9" s="46">
        <f>+IFERROR(HLOOKUP($B9,'[2]8월'!$F$6:$CP$99,3,),)/1000</f>
        <v>1223.2725</v>
      </c>
      <c r="Q9" s="47">
        <f t="shared" si="3"/>
        <v>-926.74311679999983</v>
      </c>
      <c r="R9" s="48">
        <f>+IFERROR(HLOOKUP($B9,'[3]8월'!$F$6:$CC$57,3,),)/1000</f>
        <v>1820.9412</v>
      </c>
      <c r="S9" s="49">
        <f t="shared" si="4"/>
        <v>-597.66869999999994</v>
      </c>
      <c r="T9" s="45">
        <f>+IFERROR(HLOOKUP($B9,'[1]8월'!$D$6:$BN$259,16,),)/1000</f>
        <v>154.51702309676386</v>
      </c>
      <c r="U9" s="46">
        <f>+IFERROR(HLOOKUP($B9,'[2]8월'!$F$6:$CP$99,16,),)/1000</f>
        <v>11.69842799999992</v>
      </c>
      <c r="V9" s="47">
        <f t="shared" si="5"/>
        <v>-142.81859509676394</v>
      </c>
      <c r="W9" s="48">
        <f>+IFERROR(HLOOKUP($B9,'[3]8월'!$F$6:$CC$57,16,),)/1000</f>
        <v>111.92551999999992</v>
      </c>
      <c r="X9" s="49">
        <f t="shared" si="6"/>
        <v>-100.227092</v>
      </c>
      <c r="Y9" s="45">
        <f>+[4]파주!$Q$85</f>
        <v>97727.982581818185</v>
      </c>
      <c r="Z9" s="46">
        <f>+[4]파주!$R$85</f>
        <v>95316.059089826071</v>
      </c>
      <c r="AA9" s="50">
        <f>+[5]파주!$Q$85</f>
        <v>95387.216148023537</v>
      </c>
      <c r="AB9" s="51">
        <f>+[4]파주!$Q$89</f>
        <v>80409.824979014578</v>
      </c>
      <c r="AC9" s="46">
        <f>+[4]파주!$R$89</f>
        <v>78428.563229340332</v>
      </c>
      <c r="AD9" s="52">
        <f>+[5]파주!$Q$89</f>
        <v>78173.18660639193</v>
      </c>
      <c r="AE9" s="51">
        <f t="shared" si="7"/>
        <v>17318.157602803607</v>
      </c>
      <c r="AF9" s="46">
        <f t="shared" si="8"/>
        <v>16887.495860485738</v>
      </c>
      <c r="AG9" s="52">
        <f t="shared" si="9"/>
        <v>17214.029541631608</v>
      </c>
      <c r="AH9" s="17"/>
      <c r="AI9" s="18"/>
      <c r="AJ9" s="484"/>
      <c r="AK9" s="488"/>
    </row>
    <row r="10" spans="1:39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+IFERROR(HLOOKUP($B10,'[1]8월'!$D$6:$BN$259,2,),)/1000</f>
        <v>14</v>
      </c>
      <c r="K10" s="46">
        <f>+IFERROR(HLOOKUP($B10,'[2]8월'!$F$6:$CP$99,2,),)/1000</f>
        <v>9.9583200000000005</v>
      </c>
      <c r="L10" s="47">
        <f t="shared" si="0"/>
        <v>-4.0416799999999995</v>
      </c>
      <c r="M10" s="48">
        <f>+IFERROR(HLOOKUP($B10,'[3]8월'!$F$6:$CC$57,2,),)/1000</f>
        <v>10.516999999999999</v>
      </c>
      <c r="N10" s="49">
        <f t="shared" si="2"/>
        <v>-0.55867999999999896</v>
      </c>
      <c r="O10" s="45">
        <f>+IFERROR(HLOOKUP($B10,'[1]8월'!$D$6:$BN$259,3,),)/1000</f>
        <v>1318.9471400000002</v>
      </c>
      <c r="P10" s="46">
        <f>+IFERROR(HLOOKUP($B10,'[2]8월'!$F$6:$CP$99,3,),)/1000</f>
        <v>958.97741600000006</v>
      </c>
      <c r="Q10" s="47">
        <f t="shared" si="3"/>
        <v>-359.96972400000016</v>
      </c>
      <c r="R10" s="48">
        <f>+IFERROR(HLOOKUP($B10,'[3]8월'!$F$6:$CC$57,3,),)/1000</f>
        <v>995.19129199999998</v>
      </c>
      <c r="S10" s="49">
        <f t="shared" si="4"/>
        <v>-36.213875999999914</v>
      </c>
      <c r="T10" s="45">
        <f>+IFERROR(HLOOKUP($B10,'[1]8월'!$D$6:$BN$259,16,),)/1000</f>
        <v>110.35006595102423</v>
      </c>
      <c r="U10" s="46">
        <f>+IFERROR(HLOOKUP($B10,'[2]8월'!$F$6:$CP$99,16,),)/1000</f>
        <v>12.679731999999937</v>
      </c>
      <c r="V10" s="47">
        <f t="shared" si="5"/>
        <v>-97.670333951024304</v>
      </c>
      <c r="W10" s="48">
        <f>+IFERROR(HLOOKUP($B10,'[3]8월'!$F$6:$CC$57,16,),)/1000</f>
        <v>68.449577999999974</v>
      </c>
      <c r="X10" s="49">
        <f t="shared" si="6"/>
        <v>-55.769846000000037</v>
      </c>
      <c r="Y10" s="45">
        <f>+[4]김포!$Q$85</f>
        <v>94210.510000000009</v>
      </c>
      <c r="Z10" s="46">
        <f>+[4]김포!$R$85</f>
        <v>96573.794722463077</v>
      </c>
      <c r="AA10" s="50">
        <f>+[5]김포!$Q$85</f>
        <v>94621.353643155133</v>
      </c>
      <c r="AB10" s="51">
        <f>+[4]김포!$Q$89</f>
        <v>74887.780328895096</v>
      </c>
      <c r="AC10" s="46">
        <f>+[4]김포!$R$89</f>
        <v>77749.629403450861</v>
      </c>
      <c r="AD10" s="52">
        <f>+[5]김포!$Q$89</f>
        <v>73782.18200329681</v>
      </c>
      <c r="AE10" s="51">
        <f t="shared" si="7"/>
        <v>19322.729671104913</v>
      </c>
      <c r="AF10" s="46">
        <f t="shared" si="8"/>
        <v>18824.165319012216</v>
      </c>
      <c r="AG10" s="52">
        <f t="shared" si="9"/>
        <v>20839.171639858323</v>
      </c>
      <c r="AH10" s="17"/>
      <c r="AI10" s="18"/>
      <c r="AJ10" s="484"/>
      <c r="AK10" s="488"/>
    </row>
    <row r="11" spans="1:39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+IFERROR(HLOOKUP($B11,'[1]8월'!$D$6:$BN$259,2,),)/1000</f>
        <v>17</v>
      </c>
      <c r="K11" s="63">
        <f>+IFERROR(HLOOKUP($B11,'[2]8월'!$F$6:$CP$99,2,),)/1000</f>
        <v>19.280999999999999</v>
      </c>
      <c r="L11" s="64">
        <f t="shared" si="0"/>
        <v>2.2809999999999988</v>
      </c>
      <c r="M11" s="65">
        <f>+IFERROR(HLOOKUP($B11,'[3]8월'!$F$6:$CC$57,2,),)/1000</f>
        <v>15.667</v>
      </c>
      <c r="N11" s="66">
        <f t="shared" si="2"/>
        <v>3.613999999999999</v>
      </c>
      <c r="O11" s="62">
        <f>+IFERROR(HLOOKUP($B11,'[1]8월'!$D$6:$BN$259,3,),)/1000</f>
        <v>1830.903419748</v>
      </c>
      <c r="P11" s="63">
        <f>+IFERROR(HLOOKUP($B11,'[2]8월'!$F$6:$CP$99,3,),)/1000</f>
        <v>2015.1315</v>
      </c>
      <c r="Q11" s="64">
        <f t="shared" si="3"/>
        <v>184.22808025199993</v>
      </c>
      <c r="R11" s="65">
        <f>+IFERROR(HLOOKUP($B11,'[3]8월'!$F$6:$CC$57,3,),)/1000</f>
        <v>1760.8090500000001</v>
      </c>
      <c r="S11" s="66">
        <f t="shared" si="4"/>
        <v>254.32244999999989</v>
      </c>
      <c r="T11" s="62">
        <f>+IFERROR(HLOOKUP($B11,'[1]8월'!$D$6:$BN$259,16,),)/1000</f>
        <v>137.44551933924024</v>
      </c>
      <c r="U11" s="63">
        <f>+IFERROR(HLOOKUP($B11,'[2]8월'!$F$6:$CP$99,16,),)/1000</f>
        <v>150.88101499999993</v>
      </c>
      <c r="V11" s="64">
        <f t="shared" si="5"/>
        <v>13.435495660759699</v>
      </c>
      <c r="W11" s="65">
        <f>+IFERROR(HLOOKUP($B11,'[3]8월'!$F$6:$CC$57,16,),)/1000</f>
        <v>114.94155800000003</v>
      </c>
      <c r="X11" s="66">
        <f t="shared" si="6"/>
        <v>35.939456999999905</v>
      </c>
      <c r="Y11" s="62">
        <f>+[4]부산!$Q$85</f>
        <v>107700.20116164706</v>
      </c>
      <c r="Z11" s="63">
        <f>+[4]부산!$R$85</f>
        <v>104513.84782946942</v>
      </c>
      <c r="AA11" s="67">
        <f>+[5]부산!$Q$85</f>
        <v>112389.67575157977</v>
      </c>
      <c r="AB11" s="68">
        <f>+[4]부산!$Q$89</f>
        <v>84793.020053798886</v>
      </c>
      <c r="AC11" s="63">
        <f>+[4]부산!$R$89</f>
        <v>83877.40791703033</v>
      </c>
      <c r="AD11" s="69">
        <f>+[5]부산!$Q$89</f>
        <v>87284.553394963354</v>
      </c>
      <c r="AE11" s="68">
        <f t="shared" si="7"/>
        <v>22907.18110784817</v>
      </c>
      <c r="AF11" s="63">
        <f t="shared" si="8"/>
        <v>20636.439912439091</v>
      </c>
      <c r="AG11" s="69">
        <f t="shared" si="9"/>
        <v>25105.122356616412</v>
      </c>
      <c r="AH11" s="17"/>
      <c r="AI11" s="18"/>
      <c r="AJ11" s="490"/>
      <c r="AK11" s="484"/>
      <c r="AL11" s="488"/>
      <c r="AM11" s="86"/>
    </row>
    <row r="12" spans="1:39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+IFERROR(HLOOKUP($B12,'[1]8월'!$D$6:$BN$259,2,),)/1000</f>
        <v>17</v>
      </c>
      <c r="K12" s="46">
        <f>+IFERROR(HLOOKUP($B12,'[2]8월'!$F$6:$CP$99,2,),)/1000</f>
        <v>16.329000000000001</v>
      </c>
      <c r="L12" s="47">
        <f t="shared" si="0"/>
        <v>-0.67099999999999937</v>
      </c>
      <c r="M12" s="48">
        <f>+IFERROR(HLOOKUP($B12,'[3]8월'!$F$6:$CC$57,2,),)/1000</f>
        <v>17.863</v>
      </c>
      <c r="N12" s="49">
        <f t="shared" si="2"/>
        <v>-1.5339999999999989</v>
      </c>
      <c r="O12" s="45">
        <f>+IFERROR(HLOOKUP($B12,'[1]8월'!$D$6:$BN$259,3,),)/1000</f>
        <v>1688.0974380000021</v>
      </c>
      <c r="P12" s="46">
        <f>+IFERROR(HLOOKUP($B12,'[2]8월'!$F$6:$CP$99,3,),)/1000</f>
        <v>1606.0711999999999</v>
      </c>
      <c r="Q12" s="47">
        <f t="shared" si="3"/>
        <v>-82.026238000002195</v>
      </c>
      <c r="R12" s="48">
        <f>+IFERROR(HLOOKUP($B12,'[3]8월'!$F$6:$CC$57,3,),)/1000</f>
        <v>1785.4111200000002</v>
      </c>
      <c r="S12" s="49">
        <f t="shared" si="4"/>
        <v>-179.33992000000035</v>
      </c>
      <c r="T12" s="45">
        <f>+IFERROR(HLOOKUP($B12,'[1]8월'!$D$6:$BN$259,16,),)/1000</f>
        <v>152.69859387601568</v>
      </c>
      <c r="U12" s="46">
        <f>+IFERROR(HLOOKUP($B12,'[2]8월'!$F$6:$CP$99,16,),)/1000</f>
        <v>122.94463900000004</v>
      </c>
      <c r="V12" s="47">
        <f t="shared" si="5"/>
        <v>-29.753954876015641</v>
      </c>
      <c r="W12" s="48">
        <f>+IFERROR(HLOOKUP($B12,'[3]8월'!$F$6:$CC$57,16,),)/1000</f>
        <v>186.73169200000029</v>
      </c>
      <c r="X12" s="49">
        <f t="shared" si="6"/>
        <v>-63.787053000000256</v>
      </c>
      <c r="Y12" s="45">
        <f>+[4]서부산!$Q$85</f>
        <v>99299.849294117768</v>
      </c>
      <c r="Z12" s="46">
        <f>+[4]서부산!$R$85</f>
        <v>98356.98450609346</v>
      </c>
      <c r="AA12" s="50">
        <f>+[5]서부산!$Q$85</f>
        <v>99969.048871970008</v>
      </c>
      <c r="AB12" s="51">
        <f>+[4]서부산!$Q$89</f>
        <v>77452.150196835806</v>
      </c>
      <c r="AC12" s="46">
        <f>+[4]서부산!$R$89</f>
        <v>77829.948159075182</v>
      </c>
      <c r="AD12" s="52">
        <f>+[5]서부산!$Q$89</f>
        <v>78079.119043799132</v>
      </c>
      <c r="AE12" s="51">
        <f t="shared" si="7"/>
        <v>21847.699097281962</v>
      </c>
      <c r="AF12" s="46">
        <f t="shared" si="8"/>
        <v>20527.036347018278</v>
      </c>
      <c r="AG12" s="52">
        <f t="shared" si="9"/>
        <v>21889.929828170876</v>
      </c>
      <c r="AH12" s="17"/>
      <c r="AI12" s="18"/>
      <c r="AJ12" s="484"/>
      <c r="AK12" s="488"/>
    </row>
    <row r="13" spans="1:39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+IFERROR(HLOOKUP($B13,'[1]8월'!$D$6:$BN$259,2,),)/1000</f>
        <v>13</v>
      </c>
      <c r="K13" s="46">
        <f>+IFERROR(HLOOKUP($B13,'[2]8월'!$F$6:$CP$99,2,),)/1000</f>
        <v>7.1879999999999997</v>
      </c>
      <c r="L13" s="47">
        <f t="shared" si="0"/>
        <v>-5.8120000000000003</v>
      </c>
      <c r="M13" s="48">
        <f>+IFERROR(HLOOKUP($B13,'[3]8월'!$F$6:$CC$57,2,),)/1000</f>
        <v>16.832999999999998</v>
      </c>
      <c r="N13" s="49">
        <f t="shared" si="2"/>
        <v>-9.6449999999999996</v>
      </c>
      <c r="O13" s="45">
        <f>+IFERROR(HLOOKUP($B13,'[1]8월'!$D$6:$BN$259,3,),)/1000</f>
        <v>1251.8957499999999</v>
      </c>
      <c r="P13" s="46">
        <f>+IFERROR(HLOOKUP($B13,'[2]8월'!$F$6:$CP$99,3,),)/1000</f>
        <v>651.26470000000006</v>
      </c>
      <c r="Q13" s="47">
        <f t="shared" si="3"/>
        <v>-600.63104999999985</v>
      </c>
      <c r="R13" s="48">
        <f>+IFERROR(HLOOKUP($B13,'[3]8월'!$F$6:$CC$57,3,),)/1000</f>
        <v>1558.8081999999999</v>
      </c>
      <c r="S13" s="49">
        <f t="shared" si="4"/>
        <v>-907.54349999999988</v>
      </c>
      <c r="T13" s="45">
        <f>+IFERROR(HLOOKUP($B13,'[1]8월'!$D$6:$BN$259,16,),)/1000</f>
        <v>109.16349187466854</v>
      </c>
      <c r="U13" s="46">
        <f>+IFERROR(HLOOKUP($B13,'[2]8월'!$F$6:$CP$99,16,),)/1000</f>
        <v>-52.202860999999857</v>
      </c>
      <c r="V13" s="47">
        <f t="shared" si="5"/>
        <v>-161.36635287466839</v>
      </c>
      <c r="W13" s="48">
        <f>+IFERROR(HLOOKUP($B13,'[3]8월'!$F$6:$CC$57,16,),)/1000</f>
        <v>129.99266299999977</v>
      </c>
      <c r="X13" s="49">
        <f t="shared" si="6"/>
        <v>-182.19552399999964</v>
      </c>
      <c r="Y13" s="45">
        <f>+[4]김해!$Q$85</f>
        <v>96299.673076923078</v>
      </c>
      <c r="Z13" s="46">
        <f>+[4]김해!$R$85</f>
        <v>90295.742516710263</v>
      </c>
      <c r="AA13" s="50">
        <f>+[5]김해!$Q$85</f>
        <v>92674.741683091444</v>
      </c>
      <c r="AB13" s="51">
        <f>+[4]김해!$Q$89</f>
        <v>76704.191052375943</v>
      </c>
      <c r="AC13" s="46">
        <f>+[4]김해!$R$89</f>
        <v>78955.752252252263</v>
      </c>
      <c r="AD13" s="52">
        <f>+[5]김해!$Q$89</f>
        <v>76470.438929701966</v>
      </c>
      <c r="AE13" s="51">
        <f t="shared" si="7"/>
        <v>19595.482024547135</v>
      </c>
      <c r="AF13" s="46">
        <f t="shared" si="8"/>
        <v>11339.990264458</v>
      </c>
      <c r="AG13" s="52">
        <f t="shared" si="9"/>
        <v>16204.302753389478</v>
      </c>
      <c r="AH13" s="17"/>
      <c r="AI13" s="18"/>
      <c r="AJ13" s="484"/>
      <c r="AK13" s="488"/>
    </row>
    <row r="14" spans="1:39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+IFERROR(HLOOKUP($B14,'[1]8월'!$D$6:$BN$259,2,),)/1000</f>
        <v>18</v>
      </c>
      <c r="K14" s="46">
        <f>+IFERROR(HLOOKUP($B14,'[2]8월'!$F$6:$CP$99,2,),)/1000</f>
        <v>21.484999999999999</v>
      </c>
      <c r="L14" s="47">
        <f t="shared" si="0"/>
        <v>3.4849999999999994</v>
      </c>
      <c r="M14" s="48">
        <f>+IFERROR(HLOOKUP($B14,'[3]8월'!$F$6:$CC$57,2,),)/1000</f>
        <v>18.826000000000001</v>
      </c>
      <c r="N14" s="49">
        <f t="shared" si="2"/>
        <v>2.6589999999999989</v>
      </c>
      <c r="O14" s="45">
        <f>+IFERROR(HLOOKUP($B14,'[1]8월'!$D$6:$BN$259,3,),)/1000</f>
        <v>1836.0044108</v>
      </c>
      <c r="P14" s="46">
        <f>+IFERROR(HLOOKUP($B14,'[2]8월'!$F$6:$CP$99,3,),)/1000</f>
        <v>2072.7012800000002</v>
      </c>
      <c r="Q14" s="47">
        <f t="shared" si="3"/>
        <v>236.69686920000026</v>
      </c>
      <c r="R14" s="48">
        <f>+IFERROR(HLOOKUP($B14,'[3]8월'!$F$6:$CC$57,3,),)/1000</f>
        <v>1852.6110000000001</v>
      </c>
      <c r="S14" s="49">
        <f t="shared" si="4"/>
        <v>220.09028000000012</v>
      </c>
      <c r="T14" s="45">
        <f>+IFERROR(HLOOKUP($B14,'[1]8월'!$D$6:$BN$259,16,),)/1000</f>
        <v>152.64297229810259</v>
      </c>
      <c r="U14" s="46">
        <f>+IFERROR(HLOOKUP($B14,'[2]8월'!$F$6:$CP$99,16,),)/1000</f>
        <v>156.95553800000008</v>
      </c>
      <c r="V14" s="47">
        <f t="shared" si="5"/>
        <v>4.3125657018974835</v>
      </c>
      <c r="W14" s="48">
        <f>+IFERROR(HLOOKUP($B14,'[3]8월'!$F$6:$CC$57,16,),)/1000</f>
        <v>117.77505600000001</v>
      </c>
      <c r="X14" s="49">
        <f t="shared" si="6"/>
        <v>39.180482000000069</v>
      </c>
      <c r="Y14" s="45">
        <f>+[4]정관!$Q$85</f>
        <v>102000.24504444444</v>
      </c>
      <c r="Z14" s="46">
        <f>+[4]정관!$R$85</f>
        <v>96472.016755876204</v>
      </c>
      <c r="AA14" s="50">
        <f>+[5]정관!$Q$85</f>
        <v>98407.04345054712</v>
      </c>
      <c r="AB14" s="51">
        <f>+[4]정관!$Q$89</f>
        <v>82394.133404426393</v>
      </c>
      <c r="AC14" s="46">
        <f>+[4]정관!$R$89</f>
        <v>79678.570272909026</v>
      </c>
      <c r="AD14" s="52">
        <f>+[5]정관!$Q$89</f>
        <v>81011.244128717604</v>
      </c>
      <c r="AE14" s="51">
        <f t="shared" si="7"/>
        <v>19606.111640018047</v>
      </c>
      <c r="AF14" s="46">
        <f t="shared" si="8"/>
        <v>16793.446482967178</v>
      </c>
      <c r="AG14" s="52">
        <f t="shared" si="9"/>
        <v>17395.799321829516</v>
      </c>
      <c r="AH14" s="17"/>
      <c r="AI14" s="18"/>
      <c r="AJ14" s="484"/>
      <c r="AK14" s="488"/>
    </row>
    <row r="15" spans="1:39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+IFERROR(HLOOKUP($B15,'[1]8월'!$D$6:$BN$259,2,),)/1000</f>
        <v>12</v>
      </c>
      <c r="K15" s="46">
        <f>+IFERROR(HLOOKUP($B15,'[2]8월'!$F$6:$CP$99,2,),)/1000</f>
        <v>4.157</v>
      </c>
      <c r="L15" s="47">
        <f t="shared" si="0"/>
        <v>-7.843</v>
      </c>
      <c r="M15" s="48">
        <f>+IFERROR(HLOOKUP($B15,'[3]8월'!$F$6:$CC$57,2,),)/1000</f>
        <v>12.848000000000001</v>
      </c>
      <c r="N15" s="49">
        <f t="shared" si="2"/>
        <v>-8.6910000000000007</v>
      </c>
      <c r="O15" s="45">
        <f>+IFERROR(HLOOKUP($B15,'[1]8월'!$D$6:$BN$259,3,),)/1000</f>
        <v>1132.56</v>
      </c>
      <c r="P15" s="46">
        <f>+IFERROR(HLOOKUP($B15,'[2]8월'!$F$6:$CP$99,3,),)/1000</f>
        <v>364.6814</v>
      </c>
      <c r="Q15" s="47">
        <f t="shared" si="3"/>
        <v>-767.87860000000001</v>
      </c>
      <c r="R15" s="48">
        <f>+IFERROR(HLOOKUP($B15,'[3]8월'!$F$6:$CC$57,3,),)/1000</f>
        <v>1134.26441</v>
      </c>
      <c r="S15" s="49">
        <f t="shared" si="4"/>
        <v>-769.58301000000006</v>
      </c>
      <c r="T15" s="45">
        <f>+IFERROR(HLOOKUP($B15,'[1]8월'!$D$6:$BN$259,16,),)/1000</f>
        <v>118.40443130340989</v>
      </c>
      <c r="U15" s="46">
        <f>+IFERROR(HLOOKUP($B15,'[2]8월'!$F$6:$CP$99,16,),)/1000</f>
        <v>-62.460977999999976</v>
      </c>
      <c r="V15" s="47">
        <f t="shared" si="5"/>
        <v>-180.86540930340988</v>
      </c>
      <c r="W15" s="48">
        <f>+IFERROR(HLOOKUP($B15,'[3]8월'!$F$6:$CC$57,16,),)/1000</f>
        <v>84.714053999999948</v>
      </c>
      <c r="X15" s="49">
        <f t="shared" si="6"/>
        <v>-147.17503199999993</v>
      </c>
      <c r="Y15" s="45">
        <f>+[4]양산!$Q$85</f>
        <v>94380</v>
      </c>
      <c r="Z15" s="46">
        <f>+[4]양산!$R$85</f>
        <v>87727.06278566274</v>
      </c>
      <c r="AA15" s="50">
        <f>+[5]양산!$Q$85</f>
        <v>88283.344489414681</v>
      </c>
      <c r="AB15" s="51">
        <f>+[4]양산!$Q$89</f>
        <v>73252.889030271414</v>
      </c>
      <c r="AC15" s="46">
        <f>+[4]양산!$R$89</f>
        <v>71971.93120038489</v>
      </c>
      <c r="AD15" s="52">
        <f>+[5]양산!$Q$89</f>
        <v>71277.48894769614</v>
      </c>
      <c r="AE15" s="51">
        <f t="shared" si="7"/>
        <v>21127.110969728586</v>
      </c>
      <c r="AF15" s="46">
        <f t="shared" si="8"/>
        <v>15755.13158527785</v>
      </c>
      <c r="AG15" s="52">
        <f t="shared" si="9"/>
        <v>17005.855541718542</v>
      </c>
      <c r="AH15" s="17"/>
      <c r="AI15" s="18"/>
      <c r="AJ15" s="484"/>
      <c r="AK15" s="488"/>
    </row>
    <row r="16" spans="1:39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+IFERROR(HLOOKUP($B16,'[1]8월'!$D$6:$BN$259,2,),)/1000</f>
        <v>13</v>
      </c>
      <c r="K16" s="46">
        <f>+IFERROR(HLOOKUP($B16,'[2]8월'!$F$6:$CP$99,2,),)/1000</f>
        <v>6.7850000000000001</v>
      </c>
      <c r="L16" s="47">
        <f t="shared" si="0"/>
        <v>-6.2149999999999999</v>
      </c>
      <c r="M16" s="48">
        <f>+IFERROR(HLOOKUP($B16,'[3]8월'!$F$6:$CC$57,2,),)/1000</f>
        <v>16.344000000000001</v>
      </c>
      <c r="N16" s="49">
        <f t="shared" si="2"/>
        <v>-9.5590000000000011</v>
      </c>
      <c r="O16" s="45">
        <f>+IFERROR(HLOOKUP($B16,'[1]8월'!$D$6:$BN$259,3,),)/1000</f>
        <v>1314.3049431960001</v>
      </c>
      <c r="P16" s="46">
        <f>+IFERROR(HLOOKUP($B16,'[2]8월'!$F$6:$CP$99,3,),)/1000</f>
        <v>631.81899999999996</v>
      </c>
      <c r="Q16" s="47">
        <f t="shared" si="3"/>
        <v>-682.48594319600011</v>
      </c>
      <c r="R16" s="48">
        <f>+IFERROR(HLOOKUP($B16,'[3]8월'!$F$6:$CC$57,3,),)/1000</f>
        <v>1663.9588000000001</v>
      </c>
      <c r="S16" s="49">
        <f t="shared" si="4"/>
        <v>-1032.1398000000002</v>
      </c>
      <c r="T16" s="45">
        <f>+IFERROR(HLOOKUP($B16,'[1]8월'!$D$6:$BN$259,16,),)/1000</f>
        <v>147.81171337555415</v>
      </c>
      <c r="U16" s="46">
        <f>+IFERROR(HLOOKUP($B16,'[2]8월'!$F$6:$CP$99,16,),)/1000</f>
        <v>-12.880638000000049</v>
      </c>
      <c r="V16" s="47">
        <f t="shared" si="5"/>
        <v>-160.69235137555421</v>
      </c>
      <c r="W16" s="48">
        <f>+IFERROR(HLOOKUP($B16,'[3]8월'!$F$6:$CC$57,16,),)/1000</f>
        <v>252.53770600000007</v>
      </c>
      <c r="X16" s="49">
        <f t="shared" si="6"/>
        <v>-265.4183440000001</v>
      </c>
      <c r="Y16" s="45">
        <f>+[4]창원!$Q$85</f>
        <v>101100.38024584616</v>
      </c>
      <c r="Z16" s="46">
        <f>+[4]창원!$R$85</f>
        <v>93119.970523212964</v>
      </c>
      <c r="AA16" s="50">
        <f>+[5]창원!$Q$85</f>
        <v>101808.541360744</v>
      </c>
      <c r="AB16" s="51">
        <f>+[4]창원!$Q$89</f>
        <v>76060.569826433188</v>
      </c>
      <c r="AC16" s="46">
        <f>+[4]창원!$R$89</f>
        <v>71110.435453076803</v>
      </c>
      <c r="AD16" s="52">
        <f>+[5]창원!$Q$89</f>
        <v>75301.225893294177</v>
      </c>
      <c r="AE16" s="51">
        <f t="shared" si="7"/>
        <v>25039.81041941297</v>
      </c>
      <c r="AF16" s="46">
        <f t="shared" si="8"/>
        <v>22009.53507013616</v>
      </c>
      <c r="AG16" s="52">
        <f t="shared" si="9"/>
        <v>26507.315467449822</v>
      </c>
      <c r="AH16" s="17"/>
      <c r="AI16" s="18"/>
      <c r="AJ16" s="484"/>
      <c r="AK16" s="488"/>
    </row>
    <row r="17" spans="2:39" s="8" customFormat="1" ht="22.5" customHeight="1" x14ac:dyDescent="0.3">
      <c r="B17" s="8" t="s">
        <v>78</v>
      </c>
      <c r="G17" s="334" t="str">
        <f t="shared" si="1"/>
        <v>대구</v>
      </c>
      <c r="H17" s="74"/>
      <c r="I17" s="75" t="s">
        <v>70</v>
      </c>
      <c r="J17" s="45">
        <f>+IFERROR(HLOOKUP($B17,'[1]8월'!$D$6:$BN$259,2,),)/1000</f>
        <v>12.5</v>
      </c>
      <c r="K17" s="46">
        <f>+IFERROR(HLOOKUP($B17,'[2]8월'!$F$6:$CP$99,2,),)/1000</f>
        <v>9.9870000000000001</v>
      </c>
      <c r="L17" s="47">
        <f t="shared" si="0"/>
        <v>-2.5129999999999999</v>
      </c>
      <c r="M17" s="48">
        <f>+IFERROR(HLOOKUP($B17,'[3]8월'!$F$6:$CC$57,2,),)/1000</f>
        <v>14.6265</v>
      </c>
      <c r="N17" s="49">
        <f t="shared" si="2"/>
        <v>-4.6395</v>
      </c>
      <c r="O17" s="45">
        <f>+IFERROR(HLOOKUP($B17,'[1]8월'!$D$6:$BN$259,3,),)/1000</f>
        <v>1202.0064212500001</v>
      </c>
      <c r="P17" s="46">
        <f>+IFERROR(HLOOKUP($B17,'[2]8월'!$F$6:$CP$99,3,),)/1000</f>
        <v>880.55139999999994</v>
      </c>
      <c r="Q17" s="47">
        <f t="shared" si="3"/>
        <v>-321.45502125000019</v>
      </c>
      <c r="R17" s="48">
        <f>+IFERROR(HLOOKUP($B17,'[3]8월'!$F$6:$CC$57,3,),)/1000</f>
        <v>1424.5082500000001</v>
      </c>
      <c r="S17" s="49">
        <f t="shared" si="4"/>
        <v>-543.95685000000014</v>
      </c>
      <c r="T17" s="45">
        <f>+IFERROR(HLOOKUP($B17,'[1]8월'!$D$6:$BN$259,16,),)/1000</f>
        <v>130.691205997086</v>
      </c>
      <c r="U17" s="46">
        <f>+IFERROR(HLOOKUP($B17,'[2]8월'!$F$6:$CP$99,16,),)/1000</f>
        <v>13.899454000000029</v>
      </c>
      <c r="V17" s="47">
        <f t="shared" si="5"/>
        <v>-116.79175199708597</v>
      </c>
      <c r="W17" s="48">
        <f>+IFERROR(HLOOKUP($B17,'[3]8월'!$F$6:$CC$57,16,),)/1000</f>
        <v>205.51535700000002</v>
      </c>
      <c r="X17" s="49">
        <f t="shared" si="6"/>
        <v>-191.615903</v>
      </c>
      <c r="Y17" s="45">
        <f>+[4]대구!$Q$85</f>
        <v>96160.51370000001</v>
      </c>
      <c r="Z17" s="46">
        <f>+[4]대구!$R$85</f>
        <v>88369.706477732791</v>
      </c>
      <c r="AA17" s="50">
        <f>+[5]대구!$Q$85</f>
        <v>97392.284552011755</v>
      </c>
      <c r="AB17" s="51">
        <f>+[4]대구!$Q$89</f>
        <v>72533.291674204345</v>
      </c>
      <c r="AC17" s="46">
        <f>+[4]대구!$R$89</f>
        <v>73304.62884615385</v>
      </c>
      <c r="AD17" s="52">
        <f>+[5]대구!$Q$89</f>
        <v>72111.381054934536</v>
      </c>
      <c r="AE17" s="51">
        <f t="shared" si="7"/>
        <v>23627.222025795665</v>
      </c>
      <c r="AF17" s="46">
        <f t="shared" si="8"/>
        <v>15065.077631578941</v>
      </c>
      <c r="AG17" s="52">
        <f t="shared" si="9"/>
        <v>25280.903497077219</v>
      </c>
      <c r="AH17" s="17"/>
      <c r="AI17" s="18"/>
      <c r="AJ17" s="484"/>
      <c r="AK17" s="488"/>
    </row>
    <row r="18" spans="2:39" s="8" customFormat="1" ht="22.5" customHeight="1" x14ac:dyDescent="0.3">
      <c r="B18" s="8" t="s">
        <v>79</v>
      </c>
      <c r="G18" s="336" t="str">
        <f t="shared" si="1"/>
        <v>울산</v>
      </c>
      <c r="H18" s="74"/>
      <c r="I18" s="77" t="s">
        <v>71</v>
      </c>
      <c r="J18" s="9">
        <f>+IFERROR(HLOOKUP($B18,'[1]8월'!$D$6:$BN$259,2,),)/1000</f>
        <v>12</v>
      </c>
      <c r="K18" s="10">
        <f>+IFERROR(HLOOKUP($B18,'[2]8월'!$F$6:$CP$99,2,),)/1000</f>
        <v>9.4939999999999998</v>
      </c>
      <c r="L18" s="11">
        <f t="shared" si="0"/>
        <v>-2.5060000000000002</v>
      </c>
      <c r="M18" s="12">
        <f>+IFERROR(HLOOKUP($B18,'[3]8월'!$F$6:$CC$57,2,),)/1000</f>
        <v>12.603999999999999</v>
      </c>
      <c r="N18" s="13">
        <f t="shared" si="2"/>
        <v>-3.1099999999999994</v>
      </c>
      <c r="O18" s="9">
        <f>+IFERROR(HLOOKUP($B18,'[1]8월'!$D$6:$BN$259,3,),)/1000</f>
        <v>1243.5540000000001</v>
      </c>
      <c r="P18" s="10">
        <f>+IFERROR(HLOOKUP($B18,'[2]8월'!$F$6:$CP$99,3,),)/1000</f>
        <v>954.05889999999999</v>
      </c>
      <c r="Q18" s="11">
        <f t="shared" si="3"/>
        <v>-289.49510000000009</v>
      </c>
      <c r="R18" s="12">
        <f>+IFERROR(HLOOKUP($B18,'[3]8월'!$F$6:$CC$57,3,),)/1000</f>
        <v>1333.9425000000001</v>
      </c>
      <c r="S18" s="13">
        <f t="shared" si="4"/>
        <v>-379.88360000000011</v>
      </c>
      <c r="T18" s="9">
        <f>+IFERROR(HLOOKUP($B18,'[1]8월'!$D$6:$BN$259,16,),)/1000</f>
        <v>123.08733377491703</v>
      </c>
      <c r="U18" s="10">
        <f>+IFERROR(HLOOKUP($B18,'[2]8월'!$F$6:$CP$99,16,),)/1000</f>
        <v>46.051255999999988</v>
      </c>
      <c r="V18" s="11">
        <f t="shared" si="5"/>
        <v>-77.036077774917032</v>
      </c>
      <c r="W18" s="12">
        <f>+IFERROR(HLOOKUP($B18,'[3]8월'!$F$6:$CC$57,16,),)/1000</f>
        <v>205.15454399999999</v>
      </c>
      <c r="X18" s="13">
        <f t="shared" si="6"/>
        <v>-159.10328799999999</v>
      </c>
      <c r="Y18" s="9">
        <f>+[4]울산!$Q$85</f>
        <v>103629.5</v>
      </c>
      <c r="Z18" s="10">
        <f>+[4]울산!$R$85</f>
        <v>100490.72045502423</v>
      </c>
      <c r="AA18" s="14">
        <f>+[5]울산!$Q$85</f>
        <v>105834.85401459853</v>
      </c>
      <c r="AB18" s="15">
        <f>+[4]울산!$Q$89</f>
        <v>81660.865606891253</v>
      </c>
      <c r="AC18" s="10">
        <f>+[4]울산!$R$89</f>
        <v>79196.931009058346</v>
      </c>
      <c r="AD18" s="16">
        <f>+[5]울산!$Q$89</f>
        <v>79625.721025965817</v>
      </c>
      <c r="AE18" s="15">
        <f t="shared" si="7"/>
        <v>21968.634393108747</v>
      </c>
      <c r="AF18" s="10">
        <f t="shared" si="8"/>
        <v>21293.789445965886</v>
      </c>
      <c r="AG18" s="16">
        <f t="shared" si="9"/>
        <v>26209.132988632715</v>
      </c>
      <c r="AH18" s="17"/>
      <c r="AI18" s="18"/>
      <c r="AJ18" s="484"/>
      <c r="AK18" s="488"/>
    </row>
    <row r="19" spans="2:39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+IFERROR(HLOOKUP($B19,'[1]8월'!$D$6:$BN$259,2,),)/1000</f>
        <v>21</v>
      </c>
      <c r="K19" s="46">
        <f>+IFERROR(HLOOKUP($B19,'[2]8월'!$F$6:$CP$99,2,),)/1000</f>
        <v>17.800999999999998</v>
      </c>
      <c r="L19" s="47">
        <f t="shared" si="0"/>
        <v>-3.1990000000000016</v>
      </c>
      <c r="M19" s="48">
        <f>+IFERROR(HLOOKUP($B19,'[3]8월'!$F$6:$CC$57,2,),)/1000</f>
        <v>22.751000000000001</v>
      </c>
      <c r="N19" s="49">
        <f t="shared" si="2"/>
        <v>-4.9500000000000028</v>
      </c>
      <c r="O19" s="45">
        <f>+IFERROR(HLOOKUP($B19,'[1]8월'!$D$6:$BN$259,3,),)/1000</f>
        <v>2163</v>
      </c>
      <c r="P19" s="46">
        <f>+IFERROR(HLOOKUP($B19,'[2]8월'!$F$6:$CP$99,3,),)/1000</f>
        <v>1653.6115589999999</v>
      </c>
      <c r="Q19" s="47">
        <f t="shared" si="3"/>
        <v>-509.38844100000006</v>
      </c>
      <c r="R19" s="48">
        <f>+IFERROR(HLOOKUP($B19,'[3]8월'!$F$6:$CC$57,3,),)/1000</f>
        <v>2254.9744300000002</v>
      </c>
      <c r="S19" s="49">
        <f t="shared" si="4"/>
        <v>-601.36287100000027</v>
      </c>
      <c r="T19" s="45">
        <f>+IFERROR(HLOOKUP($B19,'[1]8월'!$D$6:$BN$259,16,),)/1000</f>
        <v>300.49569633581746</v>
      </c>
      <c r="U19" s="46">
        <f>+IFERROR(HLOOKUP($B19,'[2]8월'!$F$6:$CP$99,16,),)/1000</f>
        <v>29.798173999999875</v>
      </c>
      <c r="V19" s="47">
        <f t="shared" si="5"/>
        <v>-270.69752233581755</v>
      </c>
      <c r="W19" s="48">
        <f>+IFERROR(HLOOKUP($B19,'[3]8월'!$F$6:$CC$57,16,),)/1000</f>
        <v>395.17700600000029</v>
      </c>
      <c r="X19" s="49">
        <f t="shared" si="6"/>
        <v>-365.37883200000044</v>
      </c>
      <c r="Y19" s="45">
        <f>+[4]아산!$Q$85</f>
        <v>103000</v>
      </c>
      <c r="Z19" s="46">
        <f>+[4]아산!$R$85</f>
        <v>92894.307005224415</v>
      </c>
      <c r="AA19" s="50">
        <f>+[5]아산!$Q$85</f>
        <v>99115.398444024453</v>
      </c>
      <c r="AB19" s="51">
        <f>+[4]아산!$Q$89</f>
        <v>77356.346304866485</v>
      </c>
      <c r="AC19" s="46">
        <f>+[4]아산!$R$89</f>
        <v>78155.016280244745</v>
      </c>
      <c r="AD19" s="52">
        <f>+[5]아산!$Q$89</f>
        <v>71709.150780427924</v>
      </c>
      <c r="AE19" s="51">
        <f t="shared" si="7"/>
        <v>25643.653695133515</v>
      </c>
      <c r="AF19" s="46">
        <f t="shared" si="8"/>
        <v>14739.29072497967</v>
      </c>
      <c r="AG19" s="52">
        <f t="shared" si="9"/>
        <v>27406.247663596529</v>
      </c>
      <c r="AH19" s="17"/>
      <c r="AI19" s="18"/>
      <c r="AJ19" s="484"/>
      <c r="AK19" s="488"/>
    </row>
    <row r="20" spans="2:39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+IFERROR(HLOOKUP($B20,'[1]8월'!$D$6:$BN$259,2,),)/1000</f>
        <v>12</v>
      </c>
      <c r="K20" s="46">
        <f>+IFERROR(HLOOKUP($B20,'[2]8월'!$F$6:$CP$99,2,),)/1000</f>
        <v>7.6239999999999997</v>
      </c>
      <c r="L20" s="47">
        <f t="shared" si="0"/>
        <v>-4.3760000000000003</v>
      </c>
      <c r="M20" s="48">
        <f>+IFERROR(HLOOKUP($B20,'[3]8월'!$F$6:$CC$57,2,),)/1000</f>
        <v>9.3800000000000008</v>
      </c>
      <c r="N20" s="49">
        <f t="shared" si="2"/>
        <v>-1.7560000000000011</v>
      </c>
      <c r="O20" s="45">
        <f>+IFERROR(HLOOKUP($B20,'[1]8월'!$D$6:$BN$259,3,),)/1000</f>
        <v>1204.6084799999999</v>
      </c>
      <c r="P20" s="46">
        <f>+IFERROR(HLOOKUP($B20,'[2]8월'!$F$6:$CP$99,3,),)/1000</f>
        <v>752.19068200000004</v>
      </c>
      <c r="Q20" s="47">
        <f t="shared" si="3"/>
        <v>-452.41779799999983</v>
      </c>
      <c r="R20" s="48">
        <f>+IFERROR(HLOOKUP($B20,'[3]8월'!$F$6:$CC$57,3,),)/1000</f>
        <v>904.97124300000007</v>
      </c>
      <c r="S20" s="49">
        <f t="shared" si="4"/>
        <v>-152.78056100000003</v>
      </c>
      <c r="T20" s="45">
        <f>+IFERROR(HLOOKUP($B20,'[1]8월'!$D$6:$BN$259,16,),)/1000</f>
        <v>183.6795547047679</v>
      </c>
      <c r="U20" s="46">
        <f>+IFERROR(HLOOKUP($B20,'[2]8월'!$F$6:$CP$99,16,),)/1000</f>
        <v>23.432485000000035</v>
      </c>
      <c r="V20" s="47">
        <f t="shared" si="5"/>
        <v>-160.24706970476785</v>
      </c>
      <c r="W20" s="48">
        <f>+IFERROR(HLOOKUP($B20,'[3]8월'!$F$6:$CC$57,16,),)/1000</f>
        <v>82.209062000000031</v>
      </c>
      <c r="X20" s="49">
        <f t="shared" si="6"/>
        <v>-58.776576999999996</v>
      </c>
      <c r="Y20" s="45">
        <f>+[4]전주!$Q$85</f>
        <v>100384.04</v>
      </c>
      <c r="Z20" s="46">
        <f>+[4]전주!$R$85</f>
        <v>98660.897429171047</v>
      </c>
      <c r="AA20" s="50">
        <f>+[5]전주!$Q$85</f>
        <v>96478.810554371012</v>
      </c>
      <c r="AB20" s="51">
        <f>+[4]전주!$Q$89</f>
        <v>72688.918126454519</v>
      </c>
      <c r="AC20" s="46">
        <f>+[4]전주!$R$89</f>
        <v>76029.922481636924</v>
      </c>
      <c r="AD20" s="52">
        <f>+[5]전주!$Q$89</f>
        <v>73241.204584221749</v>
      </c>
      <c r="AE20" s="51">
        <f t="shared" si="7"/>
        <v>27695.121873545475</v>
      </c>
      <c r="AF20" s="46">
        <f t="shared" si="8"/>
        <v>22630.974947534123</v>
      </c>
      <c r="AG20" s="52">
        <f t="shared" si="9"/>
        <v>23237.605970149263</v>
      </c>
      <c r="AH20" s="17"/>
      <c r="AI20" s="18"/>
      <c r="AJ20" s="484"/>
      <c r="AK20" s="488"/>
    </row>
    <row r="21" spans="2:39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+IFERROR(HLOOKUP($B21,'[1]8월'!$D$6:$BN$259,2,),)/1000</f>
        <v>8</v>
      </c>
      <c r="K21" s="46">
        <f>+IFERROR(HLOOKUP($B21,'[2]8월'!$F$6:$CP$99,2,),)/1000</f>
        <v>4.4109999999999996</v>
      </c>
      <c r="L21" s="47">
        <f t="shared" si="0"/>
        <v>-3.5890000000000004</v>
      </c>
      <c r="M21" s="48">
        <f>+IFERROR(HLOOKUP($B21,'[3]8월'!$F$6:$CC$57,2,),)/1000</f>
        <v>7.4135</v>
      </c>
      <c r="N21" s="49">
        <f t="shared" si="2"/>
        <v>-3.0025000000000004</v>
      </c>
      <c r="O21" s="45">
        <f>+IFERROR(HLOOKUP($B21,'[1]8월'!$D$6:$BN$259,3,),)/1000</f>
        <v>891.23690000000011</v>
      </c>
      <c r="P21" s="46">
        <f>+IFERROR(HLOOKUP($B21,'[2]8월'!$F$6:$CP$99,3,),)/1000</f>
        <v>484.80174499999998</v>
      </c>
      <c r="Q21" s="47">
        <f t="shared" si="3"/>
        <v>-406.43515500000012</v>
      </c>
      <c r="R21" s="48">
        <f>+IFERROR(HLOOKUP($B21,'[3]8월'!$F$6:$CC$57,3,),)/1000</f>
        <v>868.56899600000008</v>
      </c>
      <c r="S21" s="49">
        <f t="shared" si="4"/>
        <v>-383.7672510000001</v>
      </c>
      <c r="T21" s="45">
        <f>+IFERROR(HLOOKUP($B21,'[1]8월'!$D$6:$BN$259,16,),)/1000</f>
        <v>233.40875686623818</v>
      </c>
      <c r="U21" s="46">
        <f>+IFERROR(HLOOKUP($B21,'[2]8월'!$F$6:$CP$99,16,),)/1000</f>
        <v>89.004880999999997</v>
      </c>
      <c r="V21" s="47">
        <f t="shared" si="5"/>
        <v>-144.4038758662382</v>
      </c>
      <c r="W21" s="48">
        <f>+IFERROR(HLOOKUP($B21,'[3]8월'!$F$6:$CC$57,16,),)/1000</f>
        <v>250.95442300000002</v>
      </c>
      <c r="X21" s="49">
        <f t="shared" si="6"/>
        <v>-161.94954200000001</v>
      </c>
      <c r="Y21" s="45">
        <f>+[4]군산!$Q$85</f>
        <v>111404.61250000002</v>
      </c>
      <c r="Z21" s="46">
        <f>+[4]군산!$R$85</f>
        <v>109907.44615733394</v>
      </c>
      <c r="AA21" s="50">
        <f>+[5]군산!$Q$85</f>
        <v>117258.21033385252</v>
      </c>
      <c r="AB21" s="51">
        <f>+[4]군산!$Q$89</f>
        <v>72426.235433386915</v>
      </c>
      <c r="AC21" s="46">
        <f>+[4]군산!$R$89</f>
        <v>71466.256177737465</v>
      </c>
      <c r="AD21" s="52">
        <f>+[5]군산!$Q$89</f>
        <v>73218.402951729746</v>
      </c>
      <c r="AE21" s="51">
        <f t="shared" si="7"/>
        <v>38978.377066613102</v>
      </c>
      <c r="AF21" s="46">
        <f t="shared" si="8"/>
        <v>38441.189979596471</v>
      </c>
      <c r="AG21" s="52">
        <f t="shared" si="9"/>
        <v>44039.807382122774</v>
      </c>
      <c r="AH21" s="17"/>
      <c r="AI21" s="18"/>
      <c r="AJ21" s="484"/>
      <c r="AK21" s="488"/>
    </row>
    <row r="22" spans="2:39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+IFERROR(HLOOKUP($B22,'[1]8월'!$D$6:$BN$259,2,),)/1000</f>
        <v>5</v>
      </c>
      <c r="K22" s="46">
        <f>+IFERROR(HLOOKUP($B22,'[2]8월'!$F$6:$CP$99,2,),)/1000</f>
        <v>2.0750000000000002</v>
      </c>
      <c r="L22" s="47">
        <f t="shared" si="0"/>
        <v>-2.9249999999999998</v>
      </c>
      <c r="M22" s="48">
        <f>+IFERROR(HLOOKUP($B22,'[3]8월'!$F$6:$CC$57,2,),)/1000</f>
        <v>5.8179999999999996</v>
      </c>
      <c r="N22" s="49">
        <f t="shared" si="2"/>
        <v>-3.7429999999999994</v>
      </c>
      <c r="O22" s="45">
        <f>+IFERROR(HLOOKUP($B22,'[1]8월'!$D$6:$BN$259,3,),)/1000</f>
        <v>560</v>
      </c>
      <c r="P22" s="46">
        <f>+IFERROR(HLOOKUP($B22,'[2]8월'!$F$6:$CP$99,3,),)/1000</f>
        <v>233.52529999999999</v>
      </c>
      <c r="Q22" s="47">
        <f t="shared" si="3"/>
        <v>-326.47469999999998</v>
      </c>
      <c r="R22" s="48">
        <f>+IFERROR(HLOOKUP($B22,'[3]8월'!$F$6:$CC$57,3,),)/1000</f>
        <v>651.91230000000007</v>
      </c>
      <c r="S22" s="49">
        <f t="shared" si="4"/>
        <v>-418.38700000000006</v>
      </c>
      <c r="T22" s="45">
        <f>+IFERROR(HLOOKUP($B22,'[1]8월'!$D$6:$BN$259,16,),)/1000</f>
        <v>109.87534141562615</v>
      </c>
      <c r="U22" s="46">
        <f>+IFERROR(HLOOKUP($B22,'[2]8월'!$F$6:$CP$99,16,),)/1000</f>
        <v>2.1702869999999677</v>
      </c>
      <c r="V22" s="47">
        <f t="shared" si="5"/>
        <v>-107.70505441562618</v>
      </c>
      <c r="W22" s="48">
        <f>+IFERROR(HLOOKUP($B22,'[3]8월'!$F$6:$CC$57,16,),)/1000</f>
        <v>125.92493800000005</v>
      </c>
      <c r="X22" s="49">
        <f t="shared" si="6"/>
        <v>-123.75465100000008</v>
      </c>
      <c r="Y22" s="45">
        <f>+[4]원주!$Q$85</f>
        <v>112000</v>
      </c>
      <c r="Z22" s="46">
        <f>+[4]원주!$R$85</f>
        <v>112542.31325301203</v>
      </c>
      <c r="AA22" s="50">
        <f>+[5]원주!$Q$85</f>
        <v>112050.92815400483</v>
      </c>
      <c r="AB22" s="51">
        <f>+[4]원주!$Q$89</f>
        <v>73062.219679743255</v>
      </c>
      <c r="AC22" s="46">
        <f>+[4]원주!$R$89</f>
        <v>70887.075662650604</v>
      </c>
      <c r="AD22" s="52">
        <f>+[5]원주!$Q$89</f>
        <v>74748.330869714686</v>
      </c>
      <c r="AE22" s="51">
        <f t="shared" si="7"/>
        <v>38937.780320256745</v>
      </c>
      <c r="AF22" s="46">
        <f t="shared" si="8"/>
        <v>41655.23759036143</v>
      </c>
      <c r="AG22" s="52">
        <f t="shared" si="9"/>
        <v>37302.597284290139</v>
      </c>
      <c r="AH22" s="17"/>
      <c r="AI22" s="18"/>
      <c r="AJ22" s="484"/>
      <c r="AK22" s="488"/>
    </row>
    <row r="23" spans="2:39" s="8" customFormat="1" ht="22.5" customHeight="1" x14ac:dyDescent="0.3">
      <c r="B23" s="8" t="s">
        <v>75</v>
      </c>
      <c r="F23" s="84">
        <f>+K27-J27</f>
        <v>-71.142680000000013</v>
      </c>
      <c r="G23" s="334" t="str">
        <f t="shared" si="1"/>
        <v>제주</v>
      </c>
      <c r="H23" s="74"/>
      <c r="I23" s="75" t="s">
        <v>75</v>
      </c>
      <c r="J23" s="45">
        <f>+IFERROR(HLOOKUP($B23,'[1]8월'!$D$6:$BN$259,2,),)/1000</f>
        <v>9</v>
      </c>
      <c r="K23" s="46">
        <f>+IFERROR(HLOOKUP($B23,'[2]8월'!$F$6:$CP$99,2,),)/1000</f>
        <v>4.2560000000000002</v>
      </c>
      <c r="L23" s="47">
        <f t="shared" si="0"/>
        <v>-4.7439999999999998</v>
      </c>
      <c r="M23" s="48">
        <f>+IFERROR(HLOOKUP($B23,'[3]8월'!$F$6:$CC$57,2,),)/1000</f>
        <v>4.0570000000000004</v>
      </c>
      <c r="N23" s="49">
        <f t="shared" si="2"/>
        <v>0.19899999999999984</v>
      </c>
      <c r="O23" s="45">
        <f>+IFERROR(HLOOKUP($B23,'[1]8월'!$D$6:$BN$259,3,),)/1000</f>
        <v>1106.96</v>
      </c>
      <c r="P23" s="46">
        <f>+IFERROR(HLOOKUP($B23,'[2]8월'!$F$6:$CP$99,3,),)/1000</f>
        <v>530.40713100000005</v>
      </c>
      <c r="Q23" s="47">
        <f t="shared" si="3"/>
        <v>-576.55286899999999</v>
      </c>
      <c r="R23" s="48">
        <f>+IFERROR(HLOOKUP($B23,'[3]8월'!$F$6:$CC$57,3,),)/1000</f>
        <v>491.464899</v>
      </c>
      <c r="S23" s="49">
        <f t="shared" si="4"/>
        <v>38.942232000000047</v>
      </c>
      <c r="T23" s="45">
        <f>+IFERROR(HLOOKUP($B23,'[1]8월'!$D$6:$BN$259,16,),)/1000</f>
        <v>192.65373003306746</v>
      </c>
      <c r="U23" s="46">
        <f>+IFERROR(HLOOKUP($B23,'[2]8월'!$F$6:$CP$99,16,),)/1000</f>
        <v>30.210348000000071</v>
      </c>
      <c r="V23" s="47">
        <f t="shared" si="5"/>
        <v>-162.44338203306739</v>
      </c>
      <c r="W23" s="48">
        <f>+IFERROR(HLOOKUP($B23,'[3]8월'!$F$6:$CC$57,16,),)/1000</f>
        <v>43.62725100000003</v>
      </c>
      <c r="X23" s="49">
        <f t="shared" si="6"/>
        <v>-13.416902999999959</v>
      </c>
      <c r="Y23" s="45">
        <f>+[4]제주!$Q$85</f>
        <v>122995.55555555556</v>
      </c>
      <c r="Z23" s="46">
        <f>+[4]제주!$R$85</f>
        <v>124625.73566729324</v>
      </c>
      <c r="AA23" s="50">
        <f>+[5]제주!$Q$85</f>
        <v>121139.98003450826</v>
      </c>
      <c r="AB23" s="51">
        <f>+[4]제주!$Q$89</f>
        <v>91386.195631139082</v>
      </c>
      <c r="AC23" s="46">
        <f>+[4]제주!$R$89</f>
        <v>96286.686090225558</v>
      </c>
      <c r="AD23" s="52">
        <f>+[5]제주!$Q$89</f>
        <v>88295.429134828679</v>
      </c>
      <c r="AE23" s="51">
        <f t="shared" si="7"/>
        <v>31609.35992441648</v>
      </c>
      <c r="AF23" s="46">
        <f t="shared" si="8"/>
        <v>28339.049577067679</v>
      </c>
      <c r="AG23" s="52">
        <f t="shared" si="9"/>
        <v>32844.550899679583</v>
      </c>
      <c r="AH23" s="17"/>
      <c r="AI23" s="18"/>
      <c r="AJ23" s="484"/>
      <c r="AK23" s="488"/>
    </row>
    <row r="24" spans="2:39" s="8" customFormat="1" ht="22.5" customHeight="1" x14ac:dyDescent="0.3">
      <c r="F24" s="495">
        <f>+K24/J24</f>
        <v>0.68121882352941177</v>
      </c>
      <c r="G24" s="337" t="str">
        <f t="shared" si="1"/>
        <v>수도권</v>
      </c>
      <c r="H24" s="74"/>
      <c r="I24" s="78" t="s">
        <v>42</v>
      </c>
      <c r="J24" s="22">
        <f>SUM(J7:J10)</f>
        <v>102</v>
      </c>
      <c r="K24" s="19">
        <f>SUM(K7:K10)</f>
        <v>69.484319999999997</v>
      </c>
      <c r="L24" s="20">
        <f t="shared" si="0"/>
        <v>-32.515680000000003</v>
      </c>
      <c r="M24" s="24">
        <f>SUM(M7:M10)</f>
        <v>82.49199999999999</v>
      </c>
      <c r="N24" s="21">
        <f t="shared" si="2"/>
        <v>-13.007679999999993</v>
      </c>
      <c r="O24" s="22">
        <f>SUM(O7:O10)</f>
        <v>10098.603549660938</v>
      </c>
      <c r="P24" s="19">
        <f>SUM(P7:P10)</f>
        <v>6619.9120119999998</v>
      </c>
      <c r="Q24" s="20">
        <f t="shared" si="3"/>
        <v>-3478.6915376609386</v>
      </c>
      <c r="R24" s="24">
        <f>SUM(R7:R10)</f>
        <v>8110.6362709999994</v>
      </c>
      <c r="S24" s="21">
        <f t="shared" si="4"/>
        <v>-1490.7242589999996</v>
      </c>
      <c r="T24" s="22">
        <f>SUM(T7:T10)</f>
        <v>942.33188903522887</v>
      </c>
      <c r="U24" s="19">
        <f>SUM(U7:U10)</f>
        <v>42.66504099999991</v>
      </c>
      <c r="V24" s="20">
        <f t="shared" si="5"/>
        <v>-899.66684803522901</v>
      </c>
      <c r="W24" s="24">
        <f>SUM(W7:W10)</f>
        <v>557.01498200999868</v>
      </c>
      <c r="X24" s="21">
        <f t="shared" si="6"/>
        <v>-514.34994100999882</v>
      </c>
      <c r="Y24" s="22">
        <f>+[4]수도권!$Q$85</f>
        <v>99005.917153538612</v>
      </c>
      <c r="Z24" s="19">
        <f>+[4]수도권!$R$85</f>
        <v>95390.139037595131</v>
      </c>
      <c r="AA24" s="23">
        <f>+[5]수도권!$Q$85</f>
        <v>98331.463370409139</v>
      </c>
      <c r="AB24" s="28">
        <f>+[4]수도권!$Q$89</f>
        <v>80391.247544216036</v>
      </c>
      <c r="AC24" s="19">
        <f>+[4]수도권!$R$89</f>
        <v>80377.599836540612</v>
      </c>
      <c r="AD24" s="29">
        <f>+[5]수도권!$Q$89</f>
        <v>80418.078534923348</v>
      </c>
      <c r="AE24" s="28">
        <f t="shared" si="7"/>
        <v>18614.669609322576</v>
      </c>
      <c r="AF24" s="19">
        <f t="shared" si="8"/>
        <v>15012.539201054518</v>
      </c>
      <c r="AG24" s="29">
        <f t="shared" si="9"/>
        <v>17913.384835485791</v>
      </c>
      <c r="AH24" s="17"/>
      <c r="AI24" s="18"/>
      <c r="AJ24" s="484"/>
      <c r="AK24" s="488"/>
    </row>
    <row r="25" spans="2:39" s="8" customFormat="1" ht="22.5" customHeight="1" x14ac:dyDescent="0.3">
      <c r="F25" s="495">
        <f t="shared" ref="F25:F26" si="10">+K25/J25</f>
        <v>0.82712663755458504</v>
      </c>
      <c r="G25" s="334" t="str">
        <f t="shared" si="1"/>
        <v>영남권</v>
      </c>
      <c r="H25" s="74"/>
      <c r="I25" s="78" t="s">
        <v>43</v>
      </c>
      <c r="J25" s="22">
        <f>SUM(J11:J18)</f>
        <v>114.5</v>
      </c>
      <c r="K25" s="19">
        <f>SUM(K11:K18)</f>
        <v>94.705999999999989</v>
      </c>
      <c r="L25" s="20">
        <f t="shared" si="0"/>
        <v>-19.794000000000011</v>
      </c>
      <c r="M25" s="24">
        <f>SUM(M11:M18)</f>
        <v>125.61149999999999</v>
      </c>
      <c r="N25" s="21">
        <f t="shared" si="2"/>
        <v>-30.905500000000004</v>
      </c>
      <c r="O25" s="22">
        <f>SUM(O11:O18)</f>
        <v>11499.326382994002</v>
      </c>
      <c r="P25" s="19">
        <f>SUM(P11:P18)</f>
        <v>9176.2793799999999</v>
      </c>
      <c r="Q25" s="20">
        <f t="shared" si="3"/>
        <v>-2323.0470029940025</v>
      </c>
      <c r="R25" s="24">
        <f>SUM(R11:R18)</f>
        <v>12514.313330000001</v>
      </c>
      <c r="S25" s="21">
        <f t="shared" si="4"/>
        <v>-3338.0339500000009</v>
      </c>
      <c r="T25" s="22">
        <f>SUM(T11:T18)</f>
        <v>1071.9452618389939</v>
      </c>
      <c r="U25" s="19">
        <f>SUM(U11:U18)</f>
        <v>363.18742500000019</v>
      </c>
      <c r="V25" s="20">
        <f t="shared" si="5"/>
        <v>-708.75783683899374</v>
      </c>
      <c r="W25" s="24">
        <f>SUM(W11:W18)</f>
        <v>1297.3626300000001</v>
      </c>
      <c r="X25" s="21">
        <f t="shared" si="6"/>
        <v>-934.17520499999989</v>
      </c>
      <c r="Y25" s="22">
        <f>+[4]영남권!$Q$85</f>
        <v>100430.7981047511</v>
      </c>
      <c r="Z25" s="19">
        <f>+[4]영남권!$R$85</f>
        <v>96920.99392319686</v>
      </c>
      <c r="AA25" s="23">
        <f>+[5]영남권!$Q$85</f>
        <v>99644.238875411786</v>
      </c>
      <c r="AB25" s="28">
        <f>+[4]영남권!$Q$89</f>
        <v>78540.04706147153</v>
      </c>
      <c r="AC25" s="19">
        <f>+[4]영남권!$R$89</f>
        <v>78499.232644107309</v>
      </c>
      <c r="AD25" s="29">
        <f>+[5]영남권!$Q$89</f>
        <v>77859.427643832474</v>
      </c>
      <c r="AE25" s="28">
        <f t="shared" si="7"/>
        <v>21890.751043279568</v>
      </c>
      <c r="AF25" s="19">
        <f t="shared" si="8"/>
        <v>18421.761279089551</v>
      </c>
      <c r="AG25" s="29">
        <f t="shared" si="9"/>
        <v>21784.811231579311</v>
      </c>
      <c r="AH25" s="17"/>
      <c r="AI25" s="18"/>
      <c r="AJ25" s="484"/>
      <c r="AK25" s="488"/>
    </row>
    <row r="26" spans="2:39" s="8" customFormat="1" ht="22.5" customHeight="1" x14ac:dyDescent="0.3">
      <c r="F26" s="495">
        <f t="shared" si="10"/>
        <v>0.65758181818181816</v>
      </c>
      <c r="G26" s="334" t="str">
        <f t="shared" si="1"/>
        <v>중부권</v>
      </c>
      <c r="H26" s="74"/>
      <c r="I26" s="78" t="s">
        <v>107</v>
      </c>
      <c r="J26" s="22">
        <f>SUM(J19:J23)</f>
        <v>55</v>
      </c>
      <c r="K26" s="19">
        <f>SUM(K19:K23)</f>
        <v>36.167000000000002</v>
      </c>
      <c r="L26" s="20">
        <f t="shared" si="0"/>
        <v>-18.832999999999998</v>
      </c>
      <c r="M26" s="24">
        <f>SUM(M19:M23)</f>
        <v>49.419499999999999</v>
      </c>
      <c r="N26" s="21">
        <f t="shared" si="2"/>
        <v>-13.252499999999998</v>
      </c>
      <c r="O26" s="22">
        <f>SUM(O19:O23)</f>
        <v>5925.8053799999998</v>
      </c>
      <c r="P26" s="19">
        <f>SUM(P19:P23)</f>
        <v>3654.5364169999998</v>
      </c>
      <c r="Q26" s="20">
        <f t="shared" si="3"/>
        <v>-2271.268963</v>
      </c>
      <c r="R26" s="24">
        <f>SUM(R19:R23)</f>
        <v>5171.8918679999997</v>
      </c>
      <c r="S26" s="21">
        <f t="shared" si="4"/>
        <v>-1517.3554509999999</v>
      </c>
      <c r="T26" s="22">
        <f>SUM(T19:T23)</f>
        <v>1020.1130793555171</v>
      </c>
      <c r="U26" s="19">
        <f>SUM(U19:U23)</f>
        <v>174.61617499999994</v>
      </c>
      <c r="V26" s="20">
        <f t="shared" si="5"/>
        <v>-845.49690435551724</v>
      </c>
      <c r="W26" s="24">
        <f>SUM(W19:W23)</f>
        <v>897.8926800000005</v>
      </c>
      <c r="X26" s="21">
        <f t="shared" si="6"/>
        <v>-723.2765050000005</v>
      </c>
      <c r="Y26" s="22">
        <f>+[4]중부권!$Q$85</f>
        <v>107741.916</v>
      </c>
      <c r="Z26" s="19">
        <f>+[4]중부권!$R$85</f>
        <v>101046.1585699671</v>
      </c>
      <c r="AA26" s="23">
        <f>+[5]중부권!$Q$85</f>
        <v>104659.87442675063</v>
      </c>
      <c r="AB26" s="28">
        <f>+[4]중부권!$Q$89</f>
        <v>77526.309681194805</v>
      </c>
      <c r="AC26" s="19">
        <f>+[4]중부권!$R$89</f>
        <v>78607.808618259209</v>
      </c>
      <c r="AD26" s="29">
        <f>+[5]중부권!$Q$89</f>
        <v>73943.591211057981</v>
      </c>
      <c r="AE26" s="28">
        <f t="shared" si="7"/>
        <v>30215.606318805192</v>
      </c>
      <c r="AF26" s="19">
        <f t="shared" si="8"/>
        <v>22438.349951707889</v>
      </c>
      <c r="AG26" s="29">
        <f t="shared" si="9"/>
        <v>30716.283215692645</v>
      </c>
      <c r="AH26" s="17"/>
      <c r="AI26" s="18"/>
      <c r="AJ26" s="484"/>
      <c r="AK26" s="488"/>
    </row>
    <row r="27" spans="2:39" s="3" customFormat="1" ht="22.5" customHeight="1" x14ac:dyDescent="0.3">
      <c r="B27" s="25"/>
      <c r="F27" s="483">
        <f>+K27/M27</f>
        <v>0.77801718681438148</v>
      </c>
      <c r="G27" s="336">
        <f>+K27/J27</f>
        <v>0.73796434622467766</v>
      </c>
      <c r="H27" s="267" t="s">
        <v>94</v>
      </c>
      <c r="I27" s="268"/>
      <c r="J27" s="269">
        <f>SUM(J24:J26)</f>
        <v>271.5</v>
      </c>
      <c r="K27" s="270">
        <f>SUM(K24:K26)</f>
        <v>200.35731999999999</v>
      </c>
      <c r="L27" s="271">
        <f t="shared" ref="L27:L32" si="11">+K27-J27</f>
        <v>-71.142680000000013</v>
      </c>
      <c r="M27" s="272">
        <f>SUM(M24:M26)</f>
        <v>257.52300000000002</v>
      </c>
      <c r="N27" s="273">
        <f t="shared" ref="N27:N32" si="12">+K27-M27</f>
        <v>-57.165680000000037</v>
      </c>
      <c r="O27" s="269">
        <f>SUM(O24:O26)</f>
        <v>27523.735312654942</v>
      </c>
      <c r="P27" s="270">
        <f>SUM(P24:P26)</f>
        <v>19450.727809</v>
      </c>
      <c r="Q27" s="271">
        <f t="shared" ref="Q27:Q43" si="13">+P27-O27</f>
        <v>-8073.0075036549424</v>
      </c>
      <c r="R27" s="272">
        <f>SUM(R24:R26)</f>
        <v>25796.841468999999</v>
      </c>
      <c r="S27" s="273">
        <f t="shared" ref="S27:S34" si="14">+P27-R27</f>
        <v>-6346.1136599999991</v>
      </c>
      <c r="T27" s="269">
        <f>SUM(T24:T26)</f>
        <v>3034.3902302297402</v>
      </c>
      <c r="U27" s="270">
        <f>SUM(U24:U26)</f>
        <v>580.46864100000005</v>
      </c>
      <c r="V27" s="271">
        <f t="shared" ref="V27:V32" si="15">+U27-T27</f>
        <v>-2453.9215892297402</v>
      </c>
      <c r="W27" s="272">
        <f>SUM(W24:W26)</f>
        <v>2752.2702920099991</v>
      </c>
      <c r="X27" s="273">
        <f t="shared" ref="X27:X32" si="16">+U27-W27</f>
        <v>-2171.8016510099992</v>
      </c>
      <c r="Y27" s="269">
        <f>+[4]합계!$Q$85</f>
        <v>101376.55732101267</v>
      </c>
      <c r="Z27" s="270">
        <f>+[4]합계!$R$85</f>
        <v>97142.344161233937</v>
      </c>
      <c r="AA27" s="274">
        <f>+[5]합계!$Q$85</f>
        <v>100188.19794620456</v>
      </c>
      <c r="AB27" s="275">
        <f>+[4]합계!$Q$89</f>
        <v>79030.164532280804</v>
      </c>
      <c r="AC27" s="270">
        <f>+[4]합계!$R$89</f>
        <v>79165.193359044642</v>
      </c>
      <c r="AD27" s="276">
        <f>+[5]합계!$Q$89</f>
        <v>77923.897581654513</v>
      </c>
      <c r="AE27" s="275">
        <f t="shared" si="7"/>
        <v>22346.392788731871</v>
      </c>
      <c r="AF27" s="270">
        <f t="shared" si="8"/>
        <v>17977.150802189295</v>
      </c>
      <c r="AG27" s="276">
        <f t="shared" si="9"/>
        <v>22264.300364550043</v>
      </c>
      <c r="AH27" s="26"/>
      <c r="AI27" s="493">
        <f t="shared" ref="AI27" si="17">+AF27-AE27</f>
        <v>-4369.2419865425763</v>
      </c>
      <c r="AJ27" s="494">
        <f t="shared" ref="AJ27" si="18">+AF27-AG27</f>
        <v>-4287.149562360748</v>
      </c>
      <c r="AK27" s="488"/>
      <c r="AL27" s="25"/>
    </row>
    <row r="28" spans="2:39" s="8" customFormat="1" ht="22.5" customHeight="1" x14ac:dyDescent="0.3">
      <c r="B28" s="8" t="s">
        <v>114</v>
      </c>
      <c r="E28" s="8" t="s">
        <v>123</v>
      </c>
      <c r="G28" s="334" t="s">
        <v>3</v>
      </c>
      <c r="H28" s="645" t="s">
        <v>48</v>
      </c>
      <c r="I28" s="646"/>
      <c r="J28" s="153">
        <f>+IFERROR(HLOOKUP($B28,'[1]8월'!$D$6:$BN$259,2,),)</f>
        <v>12600</v>
      </c>
      <c r="K28" s="154">
        <f>+IFERROR(HLOOKUP($E28,'[2]8월'!$F$6:$CP$99,2,),)</f>
        <v>6814.7489999999989</v>
      </c>
      <c r="L28" s="155">
        <f>+K28-J28</f>
        <v>-5785.2510000000011</v>
      </c>
      <c r="M28" s="156">
        <f>+IFERROR(HLOOKUP($E28,'[3]8월'!$F$6:$CC$57,2,),)</f>
        <v>9545.7580000000016</v>
      </c>
      <c r="N28" s="157">
        <f>+K28-M28</f>
        <v>-2731.0090000000027</v>
      </c>
      <c r="O28" s="153">
        <f>+IFERROR(HLOOKUP($B28,'[1]8월'!$D$6:$BN$259,3,),)/1000</f>
        <v>13712.918880000001</v>
      </c>
      <c r="P28" s="154">
        <f>+IFERROR(HLOOKUP($E28,'[2]8월'!$F$6:$CP$99,3,),)/1000</f>
        <v>6411.0741150000003</v>
      </c>
      <c r="Q28" s="155">
        <f>+P28-O28</f>
        <v>-7301.8447650000007</v>
      </c>
      <c r="R28" s="156">
        <f>+IFERROR(HLOOKUP($E28,'[3]8월'!$F$6:$CC$57,3,),)/1000</f>
        <v>9493.178460000001</v>
      </c>
      <c r="S28" s="157">
        <f t="shared" si="14"/>
        <v>-3082.1043450000006</v>
      </c>
      <c r="T28" s="153">
        <f>+IFERROR(HLOOKUP($B28,'[1]8월'!$D$6:$BN$259,16,),)/1000</f>
        <v>247.89226280815828</v>
      </c>
      <c r="U28" s="154">
        <f>+IFERROR(HLOOKUP($E28,'[2]8월'!$F$6:$CP$99,16,),)/1000</f>
        <v>18.161034000000825</v>
      </c>
      <c r="V28" s="155">
        <f t="shared" si="15"/>
        <v>-229.73122880815745</v>
      </c>
      <c r="W28" s="156">
        <f>+IFERROR(HLOOKUP($E28,'[3]8월'!$F$6:$CC$57,16,),)/1000</f>
        <v>79.524753000000871</v>
      </c>
      <c r="X28" s="157">
        <f t="shared" si="16"/>
        <v>-61.363719000000046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  <c r="AJ28" s="484"/>
      <c r="AK28" s="488"/>
    </row>
    <row r="29" spans="2:39" s="8" customFormat="1" ht="22.5" customHeight="1" x14ac:dyDescent="0.3">
      <c r="B29" s="8" t="s">
        <v>115</v>
      </c>
      <c r="C29" s="73" t="s">
        <v>46</v>
      </c>
      <c r="G29" s="335" t="str">
        <f>+I29</f>
        <v>부산모래장</v>
      </c>
      <c r="H29" s="80" t="s">
        <v>45</v>
      </c>
      <c r="I29" s="75" t="s">
        <v>115</v>
      </c>
      <c r="J29" s="55">
        <f>+IFERROR(HLOOKUP($B29,'[1]8월'!$D$6:$BN$259,2,),)/1000</f>
        <v>20.454552036904012</v>
      </c>
      <c r="K29" s="56">
        <f>+IFERROR(HLOOKUP($C29,'[2]8월'!$F$6:$CP$99,2,),)/1000</f>
        <v>21.573</v>
      </c>
      <c r="L29" s="37">
        <f t="shared" si="11"/>
        <v>1.1184479630959885</v>
      </c>
      <c r="M29" s="37">
        <f>+IFERROR(HLOOKUP($C29,'[3]8월'!$F$6:$CC$57,2,),)/1000</f>
        <v>14.499000000000001</v>
      </c>
      <c r="N29" s="57">
        <f t="shared" si="12"/>
        <v>7.0739999999999998</v>
      </c>
      <c r="O29" s="55">
        <f>+IFERROR(HLOOKUP($B29,'[1]8월'!$D$6:$BN$259,3,),)/1000</f>
        <v>551.46545365880513</v>
      </c>
      <c r="P29" s="56">
        <f>+IFERROR(HLOOKUP($C29,'[2]8월'!$F$6:$CP$99,3,),)/1000</f>
        <v>608.88800000000003</v>
      </c>
      <c r="Q29" s="37">
        <f t="shared" si="13"/>
        <v>57.422546341194902</v>
      </c>
      <c r="R29" s="37">
        <f>+IFERROR(HLOOKUP($C29,'[3]8월'!$F$6:$CC$57,3,),)/1000</f>
        <v>414.50749999999999</v>
      </c>
      <c r="S29" s="57">
        <f t="shared" si="14"/>
        <v>194.38050000000004</v>
      </c>
      <c r="T29" s="55">
        <f>+IFERROR(HLOOKUP($B29,'[1]8월'!$D$6:$BN$259,21,),)/1000</f>
        <v>40.044264274886253</v>
      </c>
      <c r="U29" s="56">
        <f>+IFERROR(HLOOKUP($C29,'[2]8월'!$F$6:$CP$99,21,),)/1000</f>
        <v>10.712978511850947</v>
      </c>
      <c r="V29" s="37">
        <f t="shared" si="15"/>
        <v>-29.331285763035304</v>
      </c>
      <c r="W29" s="37">
        <f>+IFERROR(HLOOKUP($C29,'[3]8월'!$F$6:$CC$57,21,),)/1000</f>
        <v>61.175451303368511</v>
      </c>
      <c r="X29" s="57">
        <f t="shared" si="16"/>
        <v>-50.462472791517563</v>
      </c>
      <c r="Y29" s="496"/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  <c r="AJ29" s="484"/>
      <c r="AK29" s="488"/>
    </row>
    <row r="30" spans="2:39" s="8" customFormat="1" ht="22.5" customHeight="1" x14ac:dyDescent="0.3">
      <c r="B30" s="8" t="s">
        <v>116</v>
      </c>
      <c r="C30" s="75" t="s">
        <v>47</v>
      </c>
      <c r="G30" s="335" t="str">
        <f>+I30</f>
        <v>서부산CR</v>
      </c>
      <c r="H30" s="79"/>
      <c r="I30" s="75" t="s">
        <v>124</v>
      </c>
      <c r="J30" s="53">
        <f>+IFERROR(HLOOKUP($B30,'[1]8월'!$D$6:$BN$259,2,),)/1000</f>
        <v>39.949490322580651</v>
      </c>
      <c r="K30" s="58">
        <f>+IFERROR(HLOOKUP($C30,'[2]8월'!$F$6:$CP$99,2,),)/1000</f>
        <v>26.422000000000001</v>
      </c>
      <c r="L30" s="47">
        <f t="shared" si="11"/>
        <v>-13.52749032258065</v>
      </c>
      <c r="M30" s="47">
        <f>+IFERROR(HLOOKUP($C30,'[3]8월'!$F$6:$CC$57,2,),)/1000</f>
        <v>5.7779999999999996</v>
      </c>
      <c r="N30" s="59">
        <f t="shared" si="12"/>
        <v>20.644000000000002</v>
      </c>
      <c r="O30" s="53">
        <f>+IFERROR(HLOOKUP($B30,'[1]8월'!$D$6:$BN$259,3,),)/1000</f>
        <v>580.38424516129032</v>
      </c>
      <c r="P30" s="58">
        <f>+IFERROR(HLOOKUP($C30,'[2]8월'!$F$6:$CP$99,3,),)/1000</f>
        <v>351.83199999999999</v>
      </c>
      <c r="Q30" s="47">
        <f t="shared" si="13"/>
        <v>-228.55224516129033</v>
      </c>
      <c r="R30" s="47">
        <f>+IFERROR(HLOOKUP($C30,'[3]8월'!$F$6:$CC$57,3,),)/1000</f>
        <v>93.25</v>
      </c>
      <c r="S30" s="59">
        <f t="shared" si="14"/>
        <v>258.58199999999999</v>
      </c>
      <c r="T30" s="53">
        <f>+IFERROR(HLOOKUP($B30,'[1]8월'!$D$6:$BN$259,21,),)/1000</f>
        <v>36.943004505997372</v>
      </c>
      <c r="U30" s="58">
        <f>+IFERROR(HLOOKUP($C30,'[2]8월'!$F$6:$CP$99,21,),)/1000</f>
        <v>66.909335173744935</v>
      </c>
      <c r="V30" s="47">
        <f t="shared" si="15"/>
        <v>29.966330667747563</v>
      </c>
      <c r="W30" s="47">
        <f>+IFERROR(HLOOKUP($C30,'[3]8월'!$F$6:$CC$57,21,),)/1000</f>
        <v>-93.671378408830506</v>
      </c>
      <c r="X30" s="59">
        <f t="shared" si="16"/>
        <v>160.58071358257544</v>
      </c>
      <c r="Y30" s="496"/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85"/>
      <c r="AK30" s="488"/>
      <c r="AL30" s="86"/>
    </row>
    <row r="31" spans="2:39" s="8" customFormat="1" ht="22.5" customHeight="1" x14ac:dyDescent="0.3">
      <c r="B31" s="8" t="s">
        <v>111</v>
      </c>
      <c r="C31" s="77" t="s">
        <v>111</v>
      </c>
      <c r="G31" s="335" t="str">
        <f>+I31</f>
        <v>부산CR</v>
      </c>
      <c r="H31" s="79"/>
      <c r="I31" s="77" t="s">
        <v>125</v>
      </c>
      <c r="J31" s="53">
        <f>+IFERROR(HLOOKUP($B31,'[1]8월'!$D$6:$BN$259,2,),)/1000</f>
        <v>34.726836133333329</v>
      </c>
      <c r="K31" s="58">
        <f>+IFERROR(HLOOKUP($C31,'[2]8월'!$F$6:$CP$99,2,),)/1000</f>
        <v>19.091999999999999</v>
      </c>
      <c r="L31" s="47">
        <f t="shared" si="11"/>
        <v>-15.63483613333333</v>
      </c>
      <c r="M31" s="47">
        <f>+IFERROR(HLOOKUP($C31,'[3]8월'!$F$6:$CC$57,2,),)/1000</f>
        <v>29.326000000000001</v>
      </c>
      <c r="N31" s="59">
        <f t="shared" si="12"/>
        <v>-10.234000000000002</v>
      </c>
      <c r="O31" s="53">
        <f>+IFERROR(HLOOKUP($B31,'[1]8월'!$D$6:$BN$259,3,),)/1000</f>
        <v>580.66600399999993</v>
      </c>
      <c r="P31" s="58">
        <f>+IFERROR(HLOOKUP($C31,'[2]8월'!$F$6:$CP$99,3,),)/1000</f>
        <v>363.95800000000003</v>
      </c>
      <c r="Q31" s="47">
        <f t="shared" si="13"/>
        <v>-216.7080039999999</v>
      </c>
      <c r="R31" s="47">
        <f>+IFERROR(HLOOKUP($C31,'[3]8월'!$F$6:$CC$57,3,),)/1000</f>
        <v>513.75300000000004</v>
      </c>
      <c r="S31" s="59">
        <f t="shared" si="14"/>
        <v>-149.79500000000002</v>
      </c>
      <c r="T31" s="53">
        <f>+IFERROR(HLOOKUP($B31,'[1]8월'!$D$6:$BN$259,21,),)/1000</f>
        <v>4.2319711451848345</v>
      </c>
      <c r="U31" s="58">
        <f>+IFERROR(HLOOKUP($C31,'[2]8월'!$F$6:$CP$99,21,),)/1000</f>
        <v>-166.62619852999993</v>
      </c>
      <c r="V31" s="47">
        <f t="shared" si="15"/>
        <v>-170.85816967518477</v>
      </c>
      <c r="W31" s="47">
        <f>+IFERROR(HLOOKUP($C31,'[3]8월'!$F$6:$CC$57,21,),)/1000</f>
        <v>-118.52256030999997</v>
      </c>
      <c r="X31" s="59">
        <f t="shared" si="16"/>
        <v>-48.103638219999951</v>
      </c>
      <c r="Y31" s="496"/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485"/>
      <c r="AK31" s="488"/>
      <c r="AL31" s="86"/>
    </row>
    <row r="32" spans="2:39" s="3" customFormat="1" ht="22.5" customHeight="1" x14ac:dyDescent="0.3">
      <c r="G32" s="338"/>
      <c r="H32" s="134" t="s">
        <v>33</v>
      </c>
      <c r="I32" s="135"/>
      <c r="J32" s="136">
        <f>SUM(J29:J31)</f>
        <v>95.130878492817999</v>
      </c>
      <c r="K32" s="140">
        <f>SUM(K29:K31)</f>
        <v>67.087000000000003</v>
      </c>
      <c r="L32" s="138">
        <f t="shared" si="11"/>
        <v>-28.043878492817996</v>
      </c>
      <c r="M32" s="138">
        <f>SUM(M29:M31)</f>
        <v>49.603000000000002</v>
      </c>
      <c r="N32" s="139">
        <f t="shared" si="12"/>
        <v>17.484000000000002</v>
      </c>
      <c r="O32" s="136">
        <f>SUM(O29:O31)</f>
        <v>1712.5157028200954</v>
      </c>
      <c r="P32" s="140">
        <f>SUM(P29:P31)</f>
        <v>1324.6780000000001</v>
      </c>
      <c r="Q32" s="138">
        <f t="shared" si="13"/>
        <v>-387.83770282009527</v>
      </c>
      <c r="R32" s="138">
        <f>SUM(R29:R31)</f>
        <v>1021.5105000000001</v>
      </c>
      <c r="S32" s="139">
        <f t="shared" si="14"/>
        <v>303.16750000000002</v>
      </c>
      <c r="T32" s="136">
        <f>SUM(T29:T31)</f>
        <v>81.219239926068454</v>
      </c>
      <c r="U32" s="140">
        <f>SUM(U29:U31)</f>
        <v>-89.003884844404041</v>
      </c>
      <c r="V32" s="138">
        <f t="shared" si="15"/>
        <v>-170.22312477047251</v>
      </c>
      <c r="W32" s="138">
        <f>SUM(W29:W31)</f>
        <v>-151.01848741546198</v>
      </c>
      <c r="X32" s="139">
        <f t="shared" si="16"/>
        <v>62.014602571057935</v>
      </c>
      <c r="Y32" s="496"/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  <c r="AJ32" s="486"/>
      <c r="AK32" s="484"/>
      <c r="AL32" s="489"/>
      <c r="AM32" s="486"/>
    </row>
    <row r="33" spans="2:43" s="8" customFormat="1" ht="22.5" customHeight="1" x14ac:dyDescent="0.3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49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(IFERROR(HLOOKUP($B33,'[1]8월'!$D$6:$BN$259,3,),)++IFERROR(HLOOKUP($C33,'[1]8월'!$D$6:$BN$259,3,),)+IFERROR(HLOOKUP($D33,'[1]8월'!$D$6:$BN$259,3,),))/1000</f>
        <v>66.666666666666671</v>
      </c>
      <c r="P33" s="46">
        <f>+IFERROR(HLOOKUP($E33,'[2]8월'!$F$6:$CP$99,3,),)/1000</f>
        <v>43.34</v>
      </c>
      <c r="Q33" s="48">
        <f t="shared" si="13"/>
        <v>-23.326666666666668</v>
      </c>
      <c r="R33" s="47">
        <f>+IFERROR(HLOOKUP($E33,'[3]8월'!$F$6:$CC$57,3,),)/1000</f>
        <v>90.84</v>
      </c>
      <c r="S33" s="59">
        <f t="shared" si="14"/>
        <v>-47.5</v>
      </c>
      <c r="T33" s="45">
        <f>(IFERROR(HLOOKUP($B33,'[1]8월'!$D$6:$BN$259,21,),)++IFERROR(HLOOKUP($C33,'[1]8월'!$D$6:$BN$259,21,),)+IFERROR(HLOOKUP($D33,'[1]8월'!$D$6:$BN$259,21,),))/1000</f>
        <v>48.278887666666662</v>
      </c>
      <c r="U33" s="46">
        <f>+IFERROR(HLOOKUP($E33,'[2]8월'!$F$6:$CP$99,16,),)/1000</f>
        <v>23.588175</v>
      </c>
      <c r="V33" s="48">
        <f t="shared" ref="V33:V39" si="19">+U33-T33</f>
        <v>-24.690712666666663</v>
      </c>
      <c r="W33" s="47">
        <f>+IFERROR(HLOOKUP($E33,'[3]8월'!$F$6:$CC$57,16,),)/1000</f>
        <v>71.958275999999998</v>
      </c>
      <c r="X33" s="59">
        <f t="shared" ref="X33:X37" si="20">+U33-W33</f>
        <v>-48.370100999999998</v>
      </c>
      <c r="Y33" s="266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484"/>
      <c r="AK33" s="488"/>
    </row>
    <row r="34" spans="2:43" s="8" customFormat="1" ht="22.5" customHeight="1" x14ac:dyDescent="0.3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21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22">+K34-M34</f>
        <v>0</v>
      </c>
      <c r="O34" s="45">
        <f>(+IFERROR(HLOOKUP($B34,'[1]8월'!$D$6:$BN$259,3,),)+IFERROR(HLOOKUP($C34,'[1]8월'!$D$6:$BN$259,3,),))/1000</f>
        <v>75.291499999999999</v>
      </c>
      <c r="P34" s="46">
        <f>+IFERROR(HLOOKUP($E34,'[2]8월'!$F$6:$CP$99,3,),)/1000</f>
        <v>74.290047000000001</v>
      </c>
      <c r="Q34" s="48">
        <f>+P34-O34</f>
        <v>-1.0014529999999979</v>
      </c>
      <c r="R34" s="47">
        <f>+IFERROR(HLOOKUP($E34,'[3]8월'!$F$6:$CC$57,3,),)/1000</f>
        <v>74.035426999999999</v>
      </c>
      <c r="S34" s="59">
        <f t="shared" si="14"/>
        <v>0.25462000000000273</v>
      </c>
      <c r="T34" s="45">
        <f>(+IFERROR(HLOOKUP($B34,'[1]8월'!$D$6:$BN$259,21,),)+IFERROR(HLOOKUP($C34,'[1]8월'!$D$6:$BN$259,21,),))/1000</f>
        <v>65.141000000000005</v>
      </c>
      <c r="U34" s="46">
        <f>+IFERROR(HLOOKUP($E34,'[2]8월'!$F$6:$CP$99,16,),)/1000</f>
        <v>67.040577999999996</v>
      </c>
      <c r="V34" s="48">
        <f t="shared" si="19"/>
        <v>1.8995779999999911</v>
      </c>
      <c r="W34" s="47">
        <f>+IFERROR(HLOOKUP($E34,'[3]8월'!$F$6:$CC$57,16,),)/1000</f>
        <v>63.903671000000003</v>
      </c>
      <c r="X34" s="59">
        <f t="shared" si="20"/>
        <v>3.1369069999999937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484"/>
      <c r="AK34" s="488"/>
    </row>
    <row r="35" spans="2:43" s="8" customFormat="1" ht="22.5" customHeight="1" x14ac:dyDescent="0.3">
      <c r="B35" s="8" t="s">
        <v>122</v>
      </c>
      <c r="D35"/>
      <c r="E35"/>
      <c r="F35"/>
      <c r="G35" s="334" t="str">
        <f t="shared" si="21"/>
        <v>공통비</v>
      </c>
      <c r="H35" s="81"/>
      <c r="I35" s="82" t="s">
        <v>50</v>
      </c>
      <c r="J35" s="45"/>
      <c r="K35" s="46"/>
      <c r="L35" s="48">
        <f>+K35-J35</f>
        <v>0</v>
      </c>
      <c r="M35" s="47"/>
      <c r="N35" s="59">
        <f t="shared" si="22"/>
        <v>0</v>
      </c>
      <c r="O35" s="45"/>
      <c r="P35" s="46"/>
      <c r="Q35" s="48">
        <f t="shared" ref="Q35:Q38" si="23">+P35-O35</f>
        <v>0</v>
      </c>
      <c r="R35" s="47"/>
      <c r="S35" s="59">
        <f t="shared" ref="S35:S38" si="24">+P35-R35</f>
        <v>0</v>
      </c>
      <c r="T35" s="45">
        <f>-'[1]8월'!$Z$22/1000</f>
        <v>-1304.5500627438141</v>
      </c>
      <c r="U35" s="46">
        <f>+-'[2]8월'!$Z$22/1000</f>
        <v>-1315.36354114657</v>
      </c>
      <c r="V35" s="48">
        <f t="shared" si="19"/>
        <v>-10.813478402755891</v>
      </c>
      <c r="W35" s="47">
        <f>+-'[3]8월'!$Z$22/1000</f>
        <v>-1132.4208395744422</v>
      </c>
      <c r="X35" s="59">
        <f t="shared" si="20"/>
        <v>-182.94270157212782</v>
      </c>
      <c r="Y35" s="479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484"/>
      <c r="AK35" s="488"/>
      <c r="AL35" s="86"/>
    </row>
    <row r="36" spans="2:43" s="8" customFormat="1" ht="22.5" customHeight="1" x14ac:dyDescent="0.3">
      <c r="D36"/>
      <c r="E36"/>
      <c r="F36"/>
      <c r="G36" s="334" t="str">
        <f t="shared" si="21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22"/>
        <v>0</v>
      </c>
      <c r="O36" s="45"/>
      <c r="P36" s="46"/>
      <c r="Q36" s="48">
        <f t="shared" si="23"/>
        <v>0</v>
      </c>
      <c r="R36" s="47"/>
      <c r="S36" s="59">
        <f t="shared" si="24"/>
        <v>0</v>
      </c>
      <c r="T36" s="45"/>
      <c r="U36" s="46">
        <f>'[2]8월'!$BD$26/1000</f>
        <v>0</v>
      </c>
      <c r="V36" s="48">
        <f t="shared" si="19"/>
        <v>0</v>
      </c>
      <c r="W36" s="47">
        <f>'[3]8월'!$BD$26/1000</f>
        <v>250</v>
      </c>
      <c r="X36" s="59">
        <f t="shared" si="20"/>
        <v>-250</v>
      </c>
      <c r="Y36" s="266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484"/>
      <c r="AK36" s="488"/>
      <c r="AL36" s="86"/>
    </row>
    <row r="37" spans="2:43" s="8" customFormat="1" ht="22.5" customHeight="1" x14ac:dyDescent="0.3">
      <c r="D37"/>
      <c r="E37"/>
      <c r="F37"/>
      <c r="G37" s="334" t="str">
        <f t="shared" si="21"/>
        <v>대손</v>
      </c>
      <c r="H37" s="81"/>
      <c r="I37" s="82" t="s">
        <v>96</v>
      </c>
      <c r="J37" s="45"/>
      <c r="K37" s="46"/>
      <c r="L37" s="48"/>
      <c r="M37" s="47"/>
      <c r="N37" s="59">
        <f t="shared" si="22"/>
        <v>0</v>
      </c>
      <c r="O37" s="45"/>
      <c r="P37" s="46"/>
      <c r="Q37" s="48">
        <f t="shared" si="23"/>
        <v>0</v>
      </c>
      <c r="R37" s="47"/>
      <c r="S37" s="59">
        <f t="shared" si="24"/>
        <v>0</v>
      </c>
      <c r="T37" s="45"/>
      <c r="U37" s="46">
        <f>'[2]8월'!$BE$26/1000</f>
        <v>0</v>
      </c>
      <c r="V37" s="48">
        <f t="shared" si="19"/>
        <v>0</v>
      </c>
      <c r="W37" s="47">
        <f>'[3]8월'!$BE$26/1000</f>
        <v>0</v>
      </c>
      <c r="X37" s="59">
        <f t="shared" si="20"/>
        <v>0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484"/>
      <c r="AK37" s="488"/>
      <c r="AL37" s="86"/>
      <c r="AO37" s="484"/>
      <c r="AP37" s="484"/>
      <c r="AQ37" s="484"/>
    </row>
    <row r="38" spans="2:43" s="8" customFormat="1" ht="22.5" customHeight="1" x14ac:dyDescent="0.3">
      <c r="D38"/>
      <c r="E38"/>
      <c r="F38"/>
      <c r="G38" s="334" t="str">
        <f t="shared" si="21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22"/>
        <v>0</v>
      </c>
      <c r="O38" s="45"/>
      <c r="P38" s="46"/>
      <c r="Q38" s="48">
        <f t="shared" si="23"/>
        <v>0</v>
      </c>
      <c r="R38" s="47">
        <f>+IFERROR(HLOOKUP($I$38,'[3]8월'!$F$6:$BJ$50,3,),)/1000</f>
        <v>0</v>
      </c>
      <c r="S38" s="59">
        <f t="shared" si="24"/>
        <v>0</v>
      </c>
      <c r="T38" s="45">
        <f>SUM('[1]8월'!$AM$26:$AQ$26)/1000</f>
        <v>-32.543495999999998</v>
      </c>
      <c r="U38" s="46">
        <f>+'[2]8월'!$BF$26/1000</f>
        <v>-32.290129999999998</v>
      </c>
      <c r="V38" s="48">
        <f t="shared" si="19"/>
        <v>0.25336599999999976</v>
      </c>
      <c r="W38" s="47">
        <f>+'[3]8월'!$BF$26/1000</f>
        <v>-41.095884999999996</v>
      </c>
      <c r="X38" s="59">
        <f>+U38-W38</f>
        <v>8.8057549999999978</v>
      </c>
      <c r="Y38" s="228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484"/>
      <c r="AK38" s="488"/>
      <c r="AL38" s="86"/>
      <c r="AQ38" s="484"/>
    </row>
    <row r="39" spans="2:43" s="8" customFormat="1" ht="22.5" customHeight="1" x14ac:dyDescent="0.3">
      <c r="B39" t="s">
        <v>30</v>
      </c>
      <c r="D39"/>
      <c r="G39" s="334" t="str">
        <f t="shared" si="21"/>
        <v>퇴직위로금</v>
      </c>
      <c r="H39" s="81"/>
      <c r="I39" s="82" t="s">
        <v>163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+'[2]8월'!$BG$26/1000</f>
        <v>0</v>
      </c>
      <c r="V39" s="48">
        <f t="shared" si="19"/>
        <v>0</v>
      </c>
      <c r="W39" s="47"/>
      <c r="X39" s="59">
        <f>+U39-W39</f>
        <v>0</v>
      </c>
      <c r="Y39" s="233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  <c r="AJ39" s="484"/>
      <c r="AK39" s="488"/>
    </row>
    <row r="40" spans="2:43" s="8" customFormat="1" ht="22.5" customHeight="1" x14ac:dyDescent="0.3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IFERROR(HLOOKUP($B39,'[1]8월'!$D$6:$BN$259,3,),)/1000</f>
        <v>1.77</v>
      </c>
      <c r="P40" s="46">
        <f>+('[2]8월'!$F$8-SUM('[2]8월'!$Z$8,'[2]8월'!$AH$8,'[2]8월'!$AN$8,'[2]8월'!$AO$8,'[2]8월'!$BA$8,'[2]8월'!$BD$8,'[2]8월'!$BE$8,'[2]8월'!$BF$8))/1000</f>
        <v>1.6873999999985099</v>
      </c>
      <c r="Q40" s="54">
        <f>+P40-O40</f>
        <v>-8.2600000001490148E-2</v>
      </c>
      <c r="R40" s="60">
        <f>+('[3]8월'!$F$8-SUM('[3]8월'!$Z$8,'[3]8월'!$AH$8,'[3]8월'!$AN$8,'[3]8월'!$AO$8,'[3]8월'!$BA$8,'[3]8월'!$BD$8,'[3]8월'!$BE$8,'[3]8월'!$BF$8))/1000</f>
        <v>1.8162000000029803</v>
      </c>
      <c r="S40" s="61">
        <f>+P40-R40</f>
        <v>-0.12880000000447045</v>
      </c>
      <c r="T40" s="45">
        <f>+('[1]8월'!$E$26-'[1]8월'!$Z$26-'[1]8월'!$AA$26-'[1]8월'!$AE$26-'[1]8월'!$AL$26-'[1]8월'!$AM$26-'[1]8월'!$AN$26-'[1]8월'!$AO$26-'[1]8월'!$AP$26-'[1]8월'!$AQ$26-'[1]8월'!$AS$26+'[1]8월'!$AS$26)/1000</f>
        <v>-85.138375000012715</v>
      </c>
      <c r="U40" s="46">
        <f>+('[2]8월'!$F$26-SUM('[2]8월'!$Z$26,'[2]8월'!$AH$26,'[2]8월'!$AN$26,'[2]8월'!$AO$26,'[2]8월'!$BA$26,'[2]8월'!$BD$26,'[2]8월'!$BE$26,'[2]8월'!$BF$26))/1000-U39</f>
        <v>-15.378692000002367</v>
      </c>
      <c r="V40" s="48">
        <f>+U40-T40</f>
        <v>69.759683000010341</v>
      </c>
      <c r="W40" s="60">
        <f>+('[3]8월'!$F$26-SUM('[3]8월'!$Z$26,'[3]8월'!$AH$26,'[3]8월'!$AN$26,'[3]8월'!$AO$26,'[3]8월'!$BA$26,'[3]8월'!$BD$26,'[3]8월'!$BE$26,'[3]8월'!$BF$26))/1000</f>
        <v>-16.756539999991421</v>
      </c>
      <c r="X40" s="59">
        <f>+U40-W40</f>
        <v>1.3778479999890543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  <c r="AJ40" s="484"/>
      <c r="AK40" s="488"/>
    </row>
    <row r="41" spans="2:43" s="3" customFormat="1" ht="22.5" customHeight="1" x14ac:dyDescent="0.3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22"/>
        <v>0</v>
      </c>
      <c r="O41" s="136">
        <f>SUM(O33:O40)</f>
        <v>143.72816666666668</v>
      </c>
      <c r="P41" s="137">
        <f>SUM(P33:P40)</f>
        <v>119.31744699999851</v>
      </c>
      <c r="Q41" s="141">
        <f t="shared" si="13"/>
        <v>-24.410719666668172</v>
      </c>
      <c r="R41" s="142">
        <f>SUM(R33:R40)</f>
        <v>166.691627000003</v>
      </c>
      <c r="S41" s="143">
        <f>+P41-R41</f>
        <v>-47.374180000004486</v>
      </c>
      <c r="T41" s="136">
        <f>SUM(T33:T40)</f>
        <v>-1308.8120460771602</v>
      </c>
      <c r="U41" s="137">
        <f>SUM(U33:U40)</f>
        <v>-1272.4036101465724</v>
      </c>
      <c r="V41" s="141">
        <f>+U41-T41</f>
        <v>36.408435930587757</v>
      </c>
      <c r="W41" s="142">
        <f>SUM(W33:W40)</f>
        <v>-804.41131757443361</v>
      </c>
      <c r="X41" s="143">
        <f>+U41-W41</f>
        <v>-467.99229257213881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  <c r="AJ41" s="486"/>
      <c r="AK41" s="488"/>
    </row>
    <row r="42" spans="2:43" s="8" customFormat="1" ht="19.5" customHeight="1" x14ac:dyDescent="0.3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  <c r="AJ42" s="484"/>
      <c r="AK42" s="488"/>
      <c r="AO42" s="484"/>
    </row>
    <row r="43" spans="2:43" s="3" customFormat="1" ht="22.5" customHeight="1" x14ac:dyDescent="0.3">
      <c r="G43" s="339">
        <f>+P43/O43</f>
        <v>0.63364959422371481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43092.898062141707</v>
      </c>
      <c r="P43" s="280">
        <f>+P27+P32+P28+P41</f>
        <v>27305.797370999997</v>
      </c>
      <c r="Q43" s="281">
        <f t="shared" si="13"/>
        <v>-15787.10069114171</v>
      </c>
      <c r="R43" s="282">
        <f>+R27+R32+R28+R41</f>
        <v>36478.222055999999</v>
      </c>
      <c r="S43" s="283">
        <f>+P43-R43</f>
        <v>-9172.4246850000018</v>
      </c>
      <c r="T43" s="279">
        <f>+T27+T32+T28+T41</f>
        <v>2054.6896868868066</v>
      </c>
      <c r="U43" s="280">
        <f>+U27+U32+U28+U41</f>
        <v>-762.77781999097556</v>
      </c>
      <c r="V43" s="281">
        <f>+U43-T43</f>
        <v>-2817.4675068777824</v>
      </c>
      <c r="W43" s="282">
        <f>+W27+W32+W28+W41</f>
        <v>1876.3652400201045</v>
      </c>
      <c r="X43" s="283">
        <f>+U43-W43</f>
        <v>-2639.1430600110798</v>
      </c>
      <c r="Y43" s="647"/>
      <c r="Z43" s="648"/>
      <c r="AA43" s="648"/>
      <c r="AB43" s="648"/>
      <c r="AC43" s="648"/>
      <c r="AD43" s="648"/>
      <c r="AE43" s="648"/>
      <c r="AF43" s="648"/>
      <c r="AG43" s="649"/>
      <c r="AH43" s="25"/>
      <c r="AJ43" s="486"/>
      <c r="AK43" s="488"/>
      <c r="AO43" s="486"/>
    </row>
    <row r="44" spans="2:43" s="33" customFormat="1" x14ac:dyDescent="0.3">
      <c r="G44" s="336">
        <f>+U43/T43</f>
        <v>-0.37123747924520401</v>
      </c>
      <c r="P44" s="295">
        <f>+P43/O43</f>
        <v>0.63364959422371481</v>
      </c>
      <c r="R44" s="295">
        <f>+P43/R43</f>
        <v>0.74855066480710497</v>
      </c>
      <c r="T44" s="295">
        <f>+T43/O43</f>
        <v>4.768047124433035E-2</v>
      </c>
      <c r="U44" s="295">
        <f>+U43/P43</f>
        <v>-2.7934647343464153E-2</v>
      </c>
      <c r="AC44" s="34"/>
      <c r="AF44" s="34"/>
      <c r="AJ44" s="487"/>
      <c r="AK44" s="488"/>
    </row>
    <row r="45" spans="2:43" s="33" customFormat="1" ht="17.25" thickBot="1" x14ac:dyDescent="0.35">
      <c r="G45" s="340"/>
      <c r="AC45" s="34"/>
      <c r="AF45" s="34"/>
      <c r="AJ45" s="487"/>
    </row>
    <row r="46" spans="2:43" s="33" customFormat="1" x14ac:dyDescent="0.3">
      <c r="F46" s="295">
        <f>+K28/M28</f>
        <v>0.71390339038555117</v>
      </c>
      <c r="G46" s="336">
        <f>+K28/J28</f>
        <v>0.54085309523809511</v>
      </c>
      <c r="I46" s="644" t="s">
        <v>82</v>
      </c>
      <c r="J46" s="126">
        <f>+'[1]8월'!$Z$7/1000</f>
        <v>271.5</v>
      </c>
      <c r="K46" s="127">
        <f>+'[2]8월'!$AI$7/1000</f>
        <v>200.35732000000002</v>
      </c>
      <c r="L46" s="127"/>
      <c r="M46" s="127">
        <f>+'[3]8월'!$Z$7/1000</f>
        <v>257.52300000000002</v>
      </c>
      <c r="N46" s="127"/>
      <c r="O46" s="127">
        <f>+'[1]8월'!$E$8/1000</f>
        <v>43092.898062141692</v>
      </c>
      <c r="P46" s="127">
        <f>+'[2]8월'!$F$8/1000</f>
        <v>27305.797371000001</v>
      </c>
      <c r="Q46" s="127"/>
      <c r="R46" s="127">
        <f>+'[3]8월'!$F$8/1000</f>
        <v>36478.222056000006</v>
      </c>
      <c r="S46" s="127"/>
      <c r="T46" s="132">
        <f>+'[1]8월'!$E$26/1000</f>
        <v>2054.689686886803</v>
      </c>
      <c r="U46" s="127">
        <f>+'[2]8월'!$F$26/1000</f>
        <v>-762.77781999097624</v>
      </c>
      <c r="V46" s="127"/>
      <c r="W46" s="127">
        <f>+'[3]8월'!$F$26/1000</f>
        <v>1876.3652400201045</v>
      </c>
      <c r="X46" s="128"/>
      <c r="AC46" s="34"/>
      <c r="AF46" s="34"/>
      <c r="AJ46" s="487"/>
    </row>
    <row r="47" spans="2:43" s="33" customFormat="1" ht="17.25" thickBot="1" x14ac:dyDescent="0.35">
      <c r="F47" s="295">
        <f>+K32/M32</f>
        <v>1.3524786807249563</v>
      </c>
      <c r="G47" s="336">
        <f>+K32/J32</f>
        <v>0.70520740544895533</v>
      </c>
      <c r="I47" s="644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-3.637978807091713E-12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  <c r="AJ47" s="487"/>
    </row>
    <row r="48" spans="2:43" x14ac:dyDescent="0.3">
      <c r="T48" s="294"/>
      <c r="U48" s="294"/>
      <c r="V48" s="294"/>
    </row>
    <row r="49" spans="10:33" x14ac:dyDescent="0.3">
      <c r="O49" s="492">
        <f>+O43-O28</f>
        <v>29379.979182141706</v>
      </c>
      <c r="P49" s="492">
        <f>+P43-P28</f>
        <v>20894.723255999997</v>
      </c>
      <c r="Q49" s="492">
        <f>+P49-O49</f>
        <v>-8485.2559261417082</v>
      </c>
      <c r="T49" s="294"/>
      <c r="U49" s="294"/>
      <c r="V49" s="294"/>
      <c r="AC49" s="34"/>
      <c r="AD49" s="33"/>
      <c r="AE49" s="33"/>
      <c r="AF49" s="34"/>
    </row>
    <row r="50" spans="10:33" x14ac:dyDescent="0.3">
      <c r="O50" s="492">
        <f>+O49/100</f>
        <v>293.79979182141705</v>
      </c>
      <c r="P50" s="492">
        <f>+P49/100</f>
        <v>208.94723255999997</v>
      </c>
      <c r="Q50" s="492">
        <f>+P50-O50</f>
        <v>-84.852559261417071</v>
      </c>
      <c r="S50" t="s">
        <v>40</v>
      </c>
      <c r="T50" s="236">
        <f>(+T27+T35)/100</f>
        <v>17.29840167485926</v>
      </c>
      <c r="U50" s="236">
        <f>(+U27+U35)/100</f>
        <v>-7.3489490014656997</v>
      </c>
      <c r="V50" s="236">
        <f>+U50-T50</f>
        <v>-24.647350676324962</v>
      </c>
      <c r="W50" s="235">
        <f>+U50/T50-1</f>
        <v>-1.4248339898446423</v>
      </c>
      <c r="AC50" s="34"/>
      <c r="AD50" s="33"/>
      <c r="AE50" s="33"/>
      <c r="AF50" s="34"/>
    </row>
    <row r="51" spans="10:33" x14ac:dyDescent="0.3">
      <c r="Q51" s="235">
        <f>+P50/O50</f>
        <v>0.71118917840148177</v>
      </c>
      <c r="S51" t="s">
        <v>1</v>
      </c>
      <c r="T51" s="6">
        <f>+T32/100</f>
        <v>0.81219239926068454</v>
      </c>
      <c r="U51" s="6">
        <f>+U32/100</f>
        <v>-0.89003884844404046</v>
      </c>
      <c r="V51" s="236">
        <f>+U51-T51</f>
        <v>-1.702231247704725</v>
      </c>
      <c r="AC51" s="34"/>
      <c r="AD51" s="33"/>
      <c r="AE51" s="33"/>
      <c r="AF51" s="34"/>
    </row>
    <row r="52" spans="10:33" x14ac:dyDescent="0.3">
      <c r="S52" t="s">
        <v>44</v>
      </c>
      <c r="T52" s="6">
        <f>(T33+T34)/100</f>
        <v>1.1341988766666666</v>
      </c>
      <c r="U52" s="6">
        <f>(U33+U34)/100</f>
        <v>0.90628752999999984</v>
      </c>
      <c r="V52" s="294">
        <f>+U52-T52</f>
        <v>-0.22791134666666679</v>
      </c>
      <c r="AC52" s="34"/>
      <c r="AD52" s="33"/>
      <c r="AE52" s="33"/>
      <c r="AF52" s="34"/>
    </row>
    <row r="53" spans="10:33" x14ac:dyDescent="0.3">
      <c r="S53" s="236" t="s">
        <v>4</v>
      </c>
      <c r="T53" s="236">
        <f>((T46-T28)/100)-T50-T51-T52</f>
        <v>-1.1768187100001632</v>
      </c>
      <c r="U53" s="236">
        <f>((U46-U28)/100)-U50-U51-U52</f>
        <v>-0.47668822000003097</v>
      </c>
      <c r="V53" s="236">
        <f>+U53-T53</f>
        <v>0.70013049000013228</v>
      </c>
      <c r="AC53" s="34"/>
      <c r="AD53" s="33"/>
      <c r="AE53" s="33"/>
      <c r="AF53" s="34"/>
    </row>
    <row r="54" spans="10:33" x14ac:dyDescent="0.3"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>
        <f>SUM(T52:T53)</f>
        <v>-4.2619833333496615E-2</v>
      </c>
      <c r="U54" s="236">
        <f>SUM(U52:U53)</f>
        <v>0.42959930999996887</v>
      </c>
      <c r="V54" s="236">
        <f>SUM(V52:V53)</f>
        <v>0.47221914333346549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 x14ac:dyDescent="0.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SUM(T50:T53)</f>
        <v>18.067974240786448</v>
      </c>
      <c r="U55" s="236">
        <f>SUM(U50:U53)</f>
        <v>-7.8093885399097713</v>
      </c>
      <c r="V55" s="236">
        <f>+U55-T55</f>
        <v>-25.87736278069622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 x14ac:dyDescent="0.3">
      <c r="J56" s="236"/>
      <c r="K56" s="236"/>
      <c r="L56" s="236"/>
      <c r="M56" s="236"/>
      <c r="N56" s="236"/>
      <c r="O56" s="236"/>
      <c r="P56" s="236"/>
      <c r="Q56" s="236"/>
      <c r="R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 x14ac:dyDescent="0.3"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 x14ac:dyDescent="0.3">
      <c r="J58" s="236"/>
      <c r="K58" s="236"/>
      <c r="L58" s="236"/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1.1341988766666666</v>
      </c>
      <c r="U58" s="294">
        <f>+(U33+U34)/100</f>
        <v>0.90628752999999984</v>
      </c>
      <c r="V58" s="236">
        <f>+U58-T58</f>
        <v>-0.22791134666666679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 x14ac:dyDescent="0.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25">+T36/100</f>
        <v>0</v>
      </c>
      <c r="U59" s="236">
        <f t="shared" si="25"/>
        <v>0</v>
      </c>
      <c r="V59" s="236">
        <f>+U59-T59</f>
        <v>0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</row>
    <row r="60" spans="10:33" x14ac:dyDescent="0.3">
      <c r="S60" s="236" t="str">
        <f>+I37</f>
        <v>대손</v>
      </c>
      <c r="T60" s="236">
        <f t="shared" si="25"/>
        <v>0</v>
      </c>
      <c r="U60" s="236">
        <f t="shared" si="25"/>
        <v>0</v>
      </c>
      <c r="V60" s="236">
        <f>+U60-T60</f>
        <v>0</v>
      </c>
      <c r="AC60" s="236"/>
      <c r="AD60" s="236"/>
      <c r="AE60" s="236"/>
      <c r="AF60" s="236"/>
    </row>
    <row r="61" spans="10:33" x14ac:dyDescent="0.3">
      <c r="S61" s="236" t="str">
        <f>+I38</f>
        <v>미운영 공장</v>
      </c>
      <c r="T61" s="236">
        <f t="shared" si="25"/>
        <v>-0.32543496</v>
      </c>
      <c r="U61" s="236">
        <f t="shared" si="25"/>
        <v>-0.3229013</v>
      </c>
      <c r="V61" s="236">
        <f>+U61-T61</f>
        <v>2.5336599999999931E-3</v>
      </c>
      <c r="AC61" s="236"/>
      <c r="AD61" s="236"/>
      <c r="AE61" s="236"/>
    </row>
    <row r="62" spans="10:33" x14ac:dyDescent="0.3">
      <c r="S62" s="236" t="str">
        <f>+I40</f>
        <v>기타</v>
      </c>
      <c r="T62" s="236">
        <f>+T40/100</f>
        <v>-0.85138375000012712</v>
      </c>
      <c r="U62" s="236">
        <f>+U40/100</f>
        <v>-0.15378692000002367</v>
      </c>
      <c r="V62" s="236">
        <f>+U62-T62</f>
        <v>0.69759683000010342</v>
      </c>
      <c r="AC62" s="236"/>
      <c r="AD62" s="236"/>
      <c r="AE62" s="236"/>
    </row>
    <row r="63" spans="10:33" x14ac:dyDescent="0.3">
      <c r="T63" s="6">
        <f>SUM(T58:T62)</f>
        <v>-4.2619833333460422E-2</v>
      </c>
      <c r="U63" s="6">
        <f>SUM(U58:U62)</f>
        <v>0.4295993099999762</v>
      </c>
      <c r="V63" s="6">
        <f>SUM(V58:V62)</f>
        <v>0.47221914333343662</v>
      </c>
      <c r="AC63" s="236"/>
      <c r="AE63" s="236"/>
    </row>
    <row r="64" spans="10:33" x14ac:dyDescent="0.3">
      <c r="AC64" s="236"/>
      <c r="AE64" s="236"/>
    </row>
    <row r="65" spans="20:31" x14ac:dyDescent="0.3">
      <c r="AC65" s="236"/>
      <c r="AE65" s="236"/>
    </row>
    <row r="66" spans="20:31" x14ac:dyDescent="0.3">
      <c r="T66" s="6">
        <f>SUM(T33:T34,T36,T38:T40)</f>
        <v>-4.2619833333460377</v>
      </c>
      <c r="U66" s="6">
        <f>SUM(U33:U34,U36,U38:U40)</f>
        <v>42.959930999997624</v>
      </c>
      <c r="V66" s="6">
        <f>+U66-T66</f>
        <v>47.221914333343662</v>
      </c>
      <c r="AC66" s="236"/>
      <c r="AE66" s="236"/>
    </row>
    <row r="67" spans="20:31" x14ac:dyDescent="0.3">
      <c r="AC67" s="236"/>
      <c r="AE67" s="236"/>
    </row>
    <row r="68" spans="20:31" x14ac:dyDescent="0.3">
      <c r="T68" s="492">
        <f>+T43-T28</f>
        <v>1806.7974240786484</v>
      </c>
      <c r="U68" s="492">
        <f>+U43-U28</f>
        <v>-780.93885399097644</v>
      </c>
      <c r="V68" s="492"/>
      <c r="AC68" s="236"/>
      <c r="AE68" s="236"/>
    </row>
    <row r="69" spans="20:31" x14ac:dyDescent="0.3">
      <c r="T69" s="492">
        <f>+T68/100</f>
        <v>18.067974240786484</v>
      </c>
      <c r="U69" s="492">
        <f>+U68/100</f>
        <v>-7.8093885399097642</v>
      </c>
      <c r="V69" s="492">
        <f>+U69-T69</f>
        <v>-25.877362780696249</v>
      </c>
      <c r="AC69" s="236"/>
      <c r="AE69" s="236"/>
    </row>
    <row r="70" spans="20:31" x14ac:dyDescent="0.3">
      <c r="AC70" s="236"/>
      <c r="AE70" s="236"/>
    </row>
    <row r="71" spans="20:31" x14ac:dyDescent="0.3">
      <c r="AC71" s="236"/>
      <c r="AE71" s="236"/>
    </row>
    <row r="72" spans="20:31" x14ac:dyDescent="0.3">
      <c r="AC72" s="236"/>
      <c r="AE72" s="236"/>
    </row>
    <row r="73" spans="20:31" x14ac:dyDescent="0.3">
      <c r="AC73" s="236"/>
      <c r="AE73" s="236"/>
    </row>
    <row r="74" spans="20:31" x14ac:dyDescent="0.3">
      <c r="AC74" s="236"/>
      <c r="AE74" s="236"/>
    </row>
    <row r="75" spans="20:31" x14ac:dyDescent="0.3">
      <c r="AC75" s="236"/>
      <c r="AE75" s="236"/>
    </row>
    <row r="76" spans="20:31" x14ac:dyDescent="0.3">
      <c r="AC76" s="236"/>
      <c r="AE76" s="236"/>
    </row>
    <row r="77" spans="20:31" x14ac:dyDescent="0.3">
      <c r="AC77" s="236"/>
      <c r="AE77" s="236"/>
    </row>
    <row r="78" spans="20:31" x14ac:dyDescent="0.3">
      <c r="AC78" s="236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2D9E-47F7-4148-8969-B6697DB06FB7}">
  <sheetPr>
    <tabColor theme="1" tint="0.34998626667073579"/>
    <pageSetUpPr fitToPage="1"/>
  </sheetPr>
  <dimension ref="A1:AL78"/>
  <sheetViews>
    <sheetView showGridLines="0" showZeros="0" view="pageBreakPreview" topLeftCell="E16" zoomScale="85" zoomScaleNormal="85" zoomScaleSheetLayoutView="85" workbookViewId="0">
      <selection activeCell="M16" sqref="M16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216</v>
      </c>
      <c r="AD3" s="5"/>
      <c r="AG3" s="5"/>
    </row>
    <row r="4" spans="1:36" ht="18" customHeight="1" x14ac:dyDescent="0.3">
      <c r="H4" s="7"/>
      <c r="AD4" s="5"/>
      <c r="AG4" s="5" t="s">
        <v>77</v>
      </c>
    </row>
    <row r="5" spans="1:36" s="8" customFormat="1" ht="19.5" customHeight="1" x14ac:dyDescent="0.3">
      <c r="G5" s="334"/>
      <c r="H5" s="641" t="s">
        <v>11</v>
      </c>
      <c r="I5" s="642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6" s="8" customFormat="1" ht="19.5" customHeight="1" x14ac:dyDescent="0.3">
      <c r="A6" s="8" t="s">
        <v>214</v>
      </c>
      <c r="G6" s="334"/>
      <c r="H6" s="643"/>
      <c r="I6" s="640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6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+IFERROR(HLOOKUP($B7,'[1]8월누계'!$D$6:$BN$259,2,),)/1000</f>
        <v>302</v>
      </c>
      <c r="K7" s="36">
        <f>+IFERROR(HLOOKUP($B7,'[2]8월누계'!$F$6:$CP$99,2,),)/1000</f>
        <v>261.55599999999998</v>
      </c>
      <c r="L7" s="37">
        <f t="shared" ref="L7:L32" si="0">+K7-J7</f>
        <v>-40.444000000000017</v>
      </c>
      <c r="M7" s="38">
        <f>+IFERROR(HLOOKUP($B7,'[3]8월누계'!$F$6:$CC$57,2,),)/1000</f>
        <v>306.21600000000001</v>
      </c>
      <c r="N7" s="39">
        <f>+K7-M7</f>
        <v>-44.660000000000025</v>
      </c>
      <c r="O7" s="35">
        <f>+IFERROR(HLOOKUP($B7,'[1]8월누계'!$D$6:$BN$259,3,),)/1000</f>
        <v>29771.086636</v>
      </c>
      <c r="P7" s="36">
        <f>+IFERROR(HLOOKUP($B7,'[2]8월누계'!$F$6:$CP$99,3,),)/1000</f>
        <v>25108.860621</v>
      </c>
      <c r="Q7" s="37">
        <f>+P7-O7</f>
        <v>-4662.2260150000002</v>
      </c>
      <c r="R7" s="38">
        <f>+IFERROR(HLOOKUP($B7,'[3]8월누계'!$F$6:$CC$57,3,),)/1000</f>
        <v>30507.054101999998</v>
      </c>
      <c r="S7" s="39">
        <f>+P7-R7</f>
        <v>-5398.1934809999984</v>
      </c>
      <c r="T7" s="35">
        <f>+IFERROR(HLOOKUP($B7,'[1]8월누계'!$D$6:$BN$259,16,),)/1000</f>
        <v>2587.0177216698676</v>
      </c>
      <c r="U7" s="36">
        <f>+IFERROR(HLOOKUP($B7,'[2]8월누계'!$F$6:$CP$99,16,),)/1000</f>
        <v>1691.0118639999982</v>
      </c>
      <c r="V7" s="40">
        <f>+U7-T7</f>
        <v>-896.00585766986933</v>
      </c>
      <c r="W7" s="41">
        <f>+IFERROR(HLOOKUP($B7,'[3]8월누계'!$F$6:$CC$57,16,),)/1000</f>
        <v>3141.6975189999971</v>
      </c>
      <c r="X7" s="39">
        <f>+U7-W7</f>
        <v>-1450.6856549999989</v>
      </c>
      <c r="Y7" s="35">
        <f>+[12]안양!$Q$85</f>
        <v>98579.757072847686</v>
      </c>
      <c r="Z7" s="36">
        <f>+[12]안양!$R$85</f>
        <v>95982.436795710993</v>
      </c>
      <c r="AA7" s="42">
        <f>+[13]안양!$Q$85</f>
        <v>99620.936766267492</v>
      </c>
      <c r="AB7" s="43">
        <f>+[12]안양!$Q$89</f>
        <v>81746.587017562604</v>
      </c>
      <c r="AC7" s="36">
        <f>+[12]안양!$R$89</f>
        <v>79899.626626845929</v>
      </c>
      <c r="AD7" s="44">
        <f>+[13]안양!$Q$89</f>
        <v>81422.200070565872</v>
      </c>
      <c r="AE7" s="43">
        <f>+Y7-AB7</f>
        <v>16833.170055285082</v>
      </c>
      <c r="AF7" s="36">
        <f>+Z7-AC7</f>
        <v>16082.810168865064</v>
      </c>
      <c r="AG7" s="44">
        <f>+AA7-AD7</f>
        <v>18198.73669570162</v>
      </c>
      <c r="AH7" s="17"/>
      <c r="AI7" s="493"/>
      <c r="AJ7" s="494"/>
    </row>
    <row r="8" spans="1:36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+IFERROR(HLOOKUP($B8,'[1]8월누계'!$D$6:$BN$259,2,),)/1000</f>
        <v>218</v>
      </c>
      <c r="K8" s="46">
        <f>+IFERROR(HLOOKUP($B8,'[2]8월누계'!$F$6:$CP$99,2,),)/1000</f>
        <v>215.50399999999999</v>
      </c>
      <c r="L8" s="47">
        <f t="shared" si="0"/>
        <v>-2.4960000000000093</v>
      </c>
      <c r="M8" s="48">
        <f>+IFERROR(HLOOKUP($B8,'[3]8월누계'!$F$6:$CC$57,2,),)/1000</f>
        <v>222.28700000000001</v>
      </c>
      <c r="N8" s="49">
        <f t="shared" ref="N8:N32" si="2">+K8-M8</f>
        <v>-6.7830000000000155</v>
      </c>
      <c r="O8" s="45">
        <f>+IFERROR(HLOOKUP($B8,'[1]8월누계'!$D$6:$BN$259,3,),)/1000</f>
        <v>21376.385173809413</v>
      </c>
      <c r="P8" s="46">
        <f>+IFERROR(HLOOKUP($B8,'[2]8월누계'!$F$6:$CP$99,3,),)/1000</f>
        <v>20991.093563999999</v>
      </c>
      <c r="Q8" s="47">
        <f t="shared" ref="Q8:Q43" si="3">+P8-O8</f>
        <v>-385.29160980941379</v>
      </c>
      <c r="R8" s="48">
        <f>+IFERROR(HLOOKUP($B8,'[3]8월누계'!$F$6:$CC$57,3,),)/1000</f>
        <v>22256.215973999999</v>
      </c>
      <c r="S8" s="49">
        <f t="shared" ref="S8:S38" si="4">+P8-R8</f>
        <v>-1265.1224099999999</v>
      </c>
      <c r="T8" s="45">
        <f>+IFERROR(HLOOKUP($B8,'[1]8월누계'!$D$6:$BN$259,16,),)/1000</f>
        <v>860.40307788543669</v>
      </c>
      <c r="U8" s="46">
        <f>+IFERROR(HLOOKUP($B8,'[2]8월누계'!$F$6:$CP$99,16,),)/1000</f>
        <v>314.65792401000277</v>
      </c>
      <c r="V8" s="47">
        <f t="shared" ref="V8:V39" si="5">+U8-T8</f>
        <v>-545.74515387543397</v>
      </c>
      <c r="W8" s="48">
        <f>+IFERROR(HLOOKUP($B8,'[3]8월누계'!$F$6:$CC$57,16,),)/1000</f>
        <v>1666.8650450099997</v>
      </c>
      <c r="X8" s="49">
        <f t="shared" ref="X8:X37" si="6">+U8-W8</f>
        <v>-1352.207120999997</v>
      </c>
      <c r="Y8" s="45">
        <f>+[12]인천!$Q$85</f>
        <v>98056.812723896379</v>
      </c>
      <c r="Z8" s="46">
        <f>+[12]인천!$R$85</f>
        <v>97476.620188979316</v>
      </c>
      <c r="AA8" s="50">
        <f>+[13]인천!$Q$85</f>
        <v>100128.89107235288</v>
      </c>
      <c r="AB8" s="51">
        <f>+[12]인천!$Q$89</f>
        <v>82881.223575992481</v>
      </c>
      <c r="AC8" s="46">
        <f>+[12]인천!$R$89</f>
        <v>84146.777017105778</v>
      </c>
      <c r="AD8" s="52">
        <f>+[13]인천!$Q$89</f>
        <v>82319.971537599617</v>
      </c>
      <c r="AE8" s="51">
        <f t="shared" ref="AE8:AG27" si="7">+Y8-AB8</f>
        <v>15175.589147903898</v>
      </c>
      <c r="AF8" s="46">
        <f t="shared" si="7"/>
        <v>13329.843171873537</v>
      </c>
      <c r="AG8" s="52">
        <f t="shared" si="7"/>
        <v>17808.919534753266</v>
      </c>
      <c r="AH8" s="17"/>
      <c r="AI8" s="493"/>
      <c r="AJ8" s="494"/>
    </row>
    <row r="9" spans="1:36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+IFERROR(HLOOKUP($B9,'[1]8월누계'!$D$6:$BN$259,2,),)/1000</f>
        <v>161</v>
      </c>
      <c r="K9" s="46">
        <f>+IFERROR(HLOOKUP($B9,'[2]8월누계'!$F$6:$CP$99,2,),)/1000</f>
        <v>96.230999999999995</v>
      </c>
      <c r="L9" s="47">
        <f t="shared" si="0"/>
        <v>-64.769000000000005</v>
      </c>
      <c r="M9" s="48">
        <f>+IFERROR(HLOOKUP($B9,'[3]8월누계'!$F$6:$CC$57,2,),)/1000</f>
        <v>198.32220000000001</v>
      </c>
      <c r="N9" s="49">
        <f t="shared" si="2"/>
        <v>-102.09120000000001</v>
      </c>
      <c r="O9" s="45">
        <f>+IFERROR(HLOOKUP($B9,'[1]8월누계'!$D$6:$BN$259,3,),)/1000</f>
        <v>15555.940481200003</v>
      </c>
      <c r="P9" s="46">
        <f>+IFERROR(HLOOKUP($B9,'[2]8월누계'!$F$6:$CP$99,3,),)/1000</f>
        <v>8958.6127430000015</v>
      </c>
      <c r="Q9" s="47">
        <f t="shared" si="3"/>
        <v>-6597.3277382000015</v>
      </c>
      <c r="R9" s="48">
        <f>+IFERROR(HLOOKUP($B9,'[3]8월누계'!$F$6:$CC$57,3,),)/1000</f>
        <v>19428.776544999997</v>
      </c>
      <c r="S9" s="49">
        <f t="shared" si="4"/>
        <v>-10470.163801999995</v>
      </c>
      <c r="T9" s="45">
        <f>+IFERROR(HLOOKUP($B9,'[1]8월누계'!$D$6:$BN$259,16,),)/1000</f>
        <v>792.23252051473412</v>
      </c>
      <c r="U9" s="46">
        <f>+IFERROR(HLOOKUP($B9,'[2]8월누계'!$F$6:$CP$99,16,),)/1000</f>
        <v>-299.74362399999939</v>
      </c>
      <c r="V9" s="47">
        <f t="shared" si="5"/>
        <v>-1091.9761445147335</v>
      </c>
      <c r="W9" s="48">
        <f>+IFERROR(HLOOKUP($B9,'[3]8월누계'!$F$6:$CC$57,16,),)/1000</f>
        <v>1514.270156000001</v>
      </c>
      <c r="X9" s="49">
        <f t="shared" si="6"/>
        <v>-1814.0137800000002</v>
      </c>
      <c r="Y9" s="45">
        <f>+[12]파주!$Q$85</f>
        <v>96620.748330434799</v>
      </c>
      <c r="Z9" s="46">
        <f>+[12]파주!$R$85</f>
        <v>93152.436983383945</v>
      </c>
      <c r="AA9" s="50">
        <f>+[13]파주!$Q$85</f>
        <v>97989.519636950383</v>
      </c>
      <c r="AB9" s="51">
        <f>+[12]파주!$Q$89</f>
        <v>79857.410509519337</v>
      </c>
      <c r="AC9" s="46">
        <f>+[12]파주!$R$89</f>
        <v>78128.539948562262</v>
      </c>
      <c r="AD9" s="52">
        <f>+[13]파주!$Q$89</f>
        <v>81096.027898048997</v>
      </c>
      <c r="AE9" s="51">
        <f t="shared" si="7"/>
        <v>16763.337820915462</v>
      </c>
      <c r="AF9" s="46">
        <f t="shared" si="7"/>
        <v>15023.897034821683</v>
      </c>
      <c r="AG9" s="52">
        <f t="shared" si="7"/>
        <v>16893.491738901386</v>
      </c>
      <c r="AH9" s="17"/>
      <c r="AI9" s="493"/>
      <c r="AJ9" s="494"/>
    </row>
    <row r="10" spans="1:36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+IFERROR(HLOOKUP($B10,'[1]8월누계'!$D$6:$BN$259,2,),)/1000</f>
        <v>109</v>
      </c>
      <c r="K10" s="46">
        <f>+IFERROR(HLOOKUP($B10,'[2]8월누계'!$F$6:$CP$99,2,),)/1000</f>
        <v>79.512320000000003</v>
      </c>
      <c r="L10" s="47">
        <f t="shared" si="0"/>
        <v>-29.487679999999997</v>
      </c>
      <c r="M10" s="48">
        <f>+IFERROR(HLOOKUP($B10,'[3]8월누계'!$F$6:$CC$57,2,),)/1000</f>
        <v>92.797499999999999</v>
      </c>
      <c r="N10" s="49">
        <f t="shared" si="2"/>
        <v>-13.285179999999997</v>
      </c>
      <c r="O10" s="45">
        <f>+IFERROR(HLOOKUP($B10,'[1]8월누계'!$D$6:$BN$259,3,),)/1000</f>
        <v>10337.881270000002</v>
      </c>
      <c r="P10" s="46">
        <f>+IFERROR(HLOOKUP($B10,'[2]8월누계'!$F$6:$CP$99,3,),)/1000</f>
        <v>7616.3468610000009</v>
      </c>
      <c r="Q10" s="47">
        <f t="shared" si="3"/>
        <v>-2721.5344090000008</v>
      </c>
      <c r="R10" s="48">
        <f>+IFERROR(HLOOKUP($B10,'[3]8월누계'!$F$6:$CC$57,3,),)/1000</f>
        <v>9103.976098000001</v>
      </c>
      <c r="S10" s="49">
        <f t="shared" si="4"/>
        <v>-1487.6292370000001</v>
      </c>
      <c r="T10" s="45">
        <f>+IFERROR(HLOOKUP($B10,'[1]8월누계'!$D$6:$BN$259,16,),)/1000</f>
        <v>660.88065720823829</v>
      </c>
      <c r="U10" s="46">
        <f>+IFERROR(HLOOKUP($B10,'[2]8월누계'!$F$6:$CP$99,16,),)/1000</f>
        <v>29.081227000001061</v>
      </c>
      <c r="V10" s="47">
        <f t="shared" si="5"/>
        <v>-631.79943020823725</v>
      </c>
      <c r="W10" s="48">
        <f>+IFERROR(HLOOKUP($B10,'[3]8월누계'!$F$6:$CC$57,16,),)/1000</f>
        <v>832.09533600000077</v>
      </c>
      <c r="X10" s="49">
        <f t="shared" si="6"/>
        <v>-803.01410899999973</v>
      </c>
      <c r="Y10" s="45">
        <f>+[12]김포!$Q$85</f>
        <v>94842.947431192675</v>
      </c>
      <c r="Z10" s="46">
        <f>+[12]김포!$R$85</f>
        <v>95869.771304106223</v>
      </c>
      <c r="AA10" s="50">
        <f>+[13]김포!$Q$85</f>
        <v>98126.894887645627</v>
      </c>
      <c r="AB10" s="51">
        <f>+[12]김포!$Q$89</f>
        <v>76012.559760576827</v>
      </c>
      <c r="AC10" s="46">
        <f>+[12]김포!$R$89</f>
        <v>77974.553668385299</v>
      </c>
      <c r="AD10" s="52">
        <f>+[13]김포!$Q$89</f>
        <v>75514.607042123418</v>
      </c>
      <c r="AE10" s="51">
        <f t="shared" si="7"/>
        <v>18830.387670615848</v>
      </c>
      <c r="AF10" s="46">
        <f t="shared" si="7"/>
        <v>17895.217635720925</v>
      </c>
      <c r="AG10" s="52">
        <f t="shared" si="7"/>
        <v>22612.287845522209</v>
      </c>
      <c r="AH10" s="17"/>
      <c r="AI10" s="493"/>
      <c r="AJ10" s="494"/>
    </row>
    <row r="11" spans="1:36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+IFERROR(HLOOKUP($B11,'[1]8월누계'!$D$6:$BN$259,2,),)/1000</f>
        <v>157</v>
      </c>
      <c r="K11" s="63">
        <f>+IFERROR(HLOOKUP($B11,'[2]8월누계'!$F$6:$CP$99,2,),)/1000</f>
        <v>157.38800000000001</v>
      </c>
      <c r="L11" s="64">
        <f t="shared" si="0"/>
        <v>0.38800000000000523</v>
      </c>
      <c r="M11" s="65">
        <f>+IFERROR(HLOOKUP($B11,'[3]8월누계'!$F$6:$CC$57,2,),)/1000</f>
        <v>164.9735</v>
      </c>
      <c r="N11" s="66">
        <f t="shared" si="2"/>
        <v>-7.5854999999999961</v>
      </c>
      <c r="O11" s="62">
        <f>+IFERROR(HLOOKUP($B11,'[1]8월누계'!$D$6:$BN$259,3,),)/1000</f>
        <v>16908.897757104001</v>
      </c>
      <c r="P11" s="63">
        <f>+IFERROR(HLOOKUP($B11,'[2]8월누계'!$F$6:$CP$99,3,),)/1000</f>
        <v>16921.096320000001</v>
      </c>
      <c r="Q11" s="64">
        <f t="shared" si="3"/>
        <v>12.198562895999203</v>
      </c>
      <c r="R11" s="65">
        <f>+IFERROR(HLOOKUP($B11,'[3]8월누계'!$F$6:$CC$57,3,),)/1000</f>
        <v>17745.131841000002</v>
      </c>
      <c r="S11" s="66">
        <f t="shared" si="4"/>
        <v>-824.03552100000161</v>
      </c>
      <c r="T11" s="62">
        <f>+IFERROR(HLOOKUP($B11,'[1]8월누계'!$D$6:$BN$259,16,),)/1000</f>
        <v>1408.1701952799067</v>
      </c>
      <c r="U11" s="63">
        <f>+IFERROR(HLOOKUP($B11,'[2]8월누계'!$F$6:$CP$99,16,),)/1000</f>
        <v>1620.5948289999999</v>
      </c>
      <c r="V11" s="64">
        <f t="shared" si="5"/>
        <v>212.4246337200932</v>
      </c>
      <c r="W11" s="65">
        <f>+IFERROR(HLOOKUP($B11,'[3]8월누계'!$F$6:$CC$57,16,),)/1000</f>
        <v>1826.0327640000021</v>
      </c>
      <c r="X11" s="66">
        <f t="shared" si="6"/>
        <v>-205.4379350000022</v>
      </c>
      <c r="Y11" s="62">
        <f>+[12]부산!$Q$85</f>
        <v>107699.98571403824</v>
      </c>
      <c r="Z11" s="63">
        <f>+[12]부산!$R$85</f>
        <v>107511.98515769944</v>
      </c>
      <c r="AA11" s="67">
        <f>+[13]부산!$Q$85</f>
        <v>107563.52893646556</v>
      </c>
      <c r="AB11" s="68">
        <f>+[12]부산!$Q$89</f>
        <v>84791.012074901635</v>
      </c>
      <c r="AC11" s="63">
        <f>+[12]부산!$R$89</f>
        <v>84343.109408442135</v>
      </c>
      <c r="AD11" s="69">
        <f>+[13]부산!$Q$89</f>
        <v>83908.156897502908</v>
      </c>
      <c r="AE11" s="68">
        <f t="shared" si="7"/>
        <v>22908.973639136602</v>
      </c>
      <c r="AF11" s="63">
        <f t="shared" si="7"/>
        <v>23168.875749257306</v>
      </c>
      <c r="AG11" s="69">
        <f t="shared" si="7"/>
        <v>23655.372038962654</v>
      </c>
      <c r="AH11" s="17"/>
      <c r="AI11" s="493"/>
      <c r="AJ11" s="494"/>
    </row>
    <row r="12" spans="1:36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+IFERROR(HLOOKUP($B12,'[1]8월누계'!$D$6:$BN$259,2,),)/1000</f>
        <v>154</v>
      </c>
      <c r="K12" s="46">
        <f>+IFERROR(HLOOKUP($B12,'[2]8월누계'!$F$6:$CP$99,2,),)/1000</f>
        <v>130.83000000000001</v>
      </c>
      <c r="L12" s="47">
        <f t="shared" si="0"/>
        <v>-23.169999999999987</v>
      </c>
      <c r="M12" s="48">
        <f>+IFERROR(HLOOKUP($B12,'[3]8월누계'!$F$6:$CC$57,2,),)/1000</f>
        <v>174.505</v>
      </c>
      <c r="N12" s="49">
        <f t="shared" si="2"/>
        <v>-43.674999999999983</v>
      </c>
      <c r="O12" s="45">
        <f>+IFERROR(HLOOKUP($B12,'[1]8월누계'!$D$6:$BN$259,3,),)/1000</f>
        <v>15292.201679580017</v>
      </c>
      <c r="P12" s="46">
        <f>+IFERROR(HLOOKUP($B12,'[2]8월누계'!$F$6:$CP$99,3,),)/1000</f>
        <v>12815.898318</v>
      </c>
      <c r="Q12" s="47">
        <f t="shared" si="3"/>
        <v>-2476.3033615800177</v>
      </c>
      <c r="R12" s="48">
        <f>+IFERROR(HLOOKUP($B12,'[3]8월누계'!$F$6:$CC$57,3,),)/1000</f>
        <v>17650.711531000001</v>
      </c>
      <c r="S12" s="49">
        <f t="shared" si="4"/>
        <v>-4834.8132130000013</v>
      </c>
      <c r="T12" s="45">
        <f>+IFERROR(HLOOKUP($B12,'[1]8월누계'!$D$6:$BN$259,16,),)/1000</f>
        <v>1370.9415147687391</v>
      </c>
      <c r="U12" s="46">
        <f>+IFERROR(HLOOKUP($B12,'[2]8월누계'!$F$6:$CP$99,16,),)/1000</f>
        <v>858.206086999999</v>
      </c>
      <c r="V12" s="47">
        <f t="shared" si="5"/>
        <v>-512.73542776874012</v>
      </c>
      <c r="W12" s="48">
        <f>+IFERROR(HLOOKUP($B12,'[3]8월누계'!$F$6:$CC$57,16,),)/1000</f>
        <v>2073.3245339999989</v>
      </c>
      <c r="X12" s="49">
        <f t="shared" si="6"/>
        <v>-1215.1184469999998</v>
      </c>
      <c r="Y12" s="45">
        <f>+[12]서부산!$Q$85</f>
        <v>99300.01090636375</v>
      </c>
      <c r="Z12" s="46">
        <f>+[12]서부산!$R$85</f>
        <v>98009.640442702337</v>
      </c>
      <c r="AA12" s="50">
        <f>+[13]서부산!$Q$85</f>
        <v>101148.80639169939</v>
      </c>
      <c r="AB12" s="51">
        <f>+[12]서부산!$Q$89</f>
        <v>78265.771866739902</v>
      </c>
      <c r="AC12" s="46">
        <f>+[12]서부산!$R$89</f>
        <v>77535.449028124305</v>
      </c>
      <c r="AD12" s="52">
        <f>+[13]서부산!$Q$89</f>
        <v>78981.924407788669</v>
      </c>
      <c r="AE12" s="51">
        <f t="shared" si="7"/>
        <v>21034.239039623848</v>
      </c>
      <c r="AF12" s="46">
        <f t="shared" si="7"/>
        <v>20474.191414578032</v>
      </c>
      <c r="AG12" s="52">
        <f t="shared" si="7"/>
        <v>22166.881983910716</v>
      </c>
      <c r="AH12" s="17"/>
      <c r="AI12" s="493"/>
      <c r="AJ12" s="494"/>
    </row>
    <row r="13" spans="1:36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+IFERROR(HLOOKUP($B13,'[1]8월누계'!$D$6:$BN$259,2,),)/1000</f>
        <v>108</v>
      </c>
      <c r="K13" s="46">
        <f>+IFERROR(HLOOKUP($B13,'[2]8월누계'!$F$6:$CP$99,2,),)/1000</f>
        <v>69.304000000000002</v>
      </c>
      <c r="L13" s="47">
        <f t="shared" si="0"/>
        <v>-38.695999999999998</v>
      </c>
      <c r="M13" s="48">
        <f>+IFERROR(HLOOKUP($B13,'[3]8월누계'!$F$6:$CC$57,2,),)/1000</f>
        <v>107.923</v>
      </c>
      <c r="N13" s="49">
        <f t="shared" si="2"/>
        <v>-38.619</v>
      </c>
      <c r="O13" s="45">
        <f>+IFERROR(HLOOKUP($B13,'[1]8월누계'!$D$6:$BN$259,3,),)/1000</f>
        <v>10400.38725</v>
      </c>
      <c r="P13" s="46">
        <f>+IFERROR(HLOOKUP($B13,'[2]8월누계'!$F$6:$CP$99,3,),)/1000</f>
        <v>6225.5611000000008</v>
      </c>
      <c r="Q13" s="47">
        <f t="shared" si="3"/>
        <v>-4174.826149999999</v>
      </c>
      <c r="R13" s="48">
        <f>+IFERROR(HLOOKUP($B13,'[3]8월누계'!$F$6:$CC$57,3,),)/1000</f>
        <v>10408.446199999998</v>
      </c>
      <c r="S13" s="49">
        <f t="shared" si="4"/>
        <v>-4182.8850999999977</v>
      </c>
      <c r="T13" s="45">
        <f>+IFERROR(HLOOKUP($B13,'[1]8월누계'!$D$6:$BN$259,16,),)/1000</f>
        <v>894.04980932611795</v>
      </c>
      <c r="U13" s="46">
        <f>+IFERROR(HLOOKUP($B13,'[2]8월누계'!$F$6:$CP$99,16,),)/1000</f>
        <v>-230.10982699999965</v>
      </c>
      <c r="V13" s="47">
        <f t="shared" si="5"/>
        <v>-1124.1596363261176</v>
      </c>
      <c r="W13" s="48">
        <f>+IFERROR(HLOOKUP($B13,'[3]8월누계'!$F$6:$CC$57,16,),)/1000</f>
        <v>712.38713399999915</v>
      </c>
      <c r="X13" s="49">
        <f t="shared" si="6"/>
        <v>-942.49696099999881</v>
      </c>
      <c r="Y13" s="45">
        <f>+[12]김해!$Q$85</f>
        <v>96299.881944444453</v>
      </c>
      <c r="Z13" s="46">
        <f>+[12]김해!$R$85</f>
        <v>89770.576264238232</v>
      </c>
      <c r="AA13" s="50">
        <f>+[13]김해!$Q$85</f>
        <v>96514.170927684419</v>
      </c>
      <c r="AB13" s="51">
        <f>+[12]김해!$Q$89</f>
        <v>76579.814000066806</v>
      </c>
      <c r="AC13" s="46">
        <f>+[12]김해!$R$89</f>
        <v>76460.805335129291</v>
      </c>
      <c r="AD13" s="52">
        <f>+[13]김해!$Q$89</f>
        <v>79108.80404000674</v>
      </c>
      <c r="AE13" s="51">
        <f t="shared" si="7"/>
        <v>19720.067944377646</v>
      </c>
      <c r="AF13" s="46">
        <f t="shared" si="7"/>
        <v>13309.770929108941</v>
      </c>
      <c r="AG13" s="52">
        <f t="shared" si="7"/>
        <v>17405.366887677679</v>
      </c>
      <c r="AH13" s="17"/>
      <c r="AI13" s="493"/>
      <c r="AJ13" s="494"/>
    </row>
    <row r="14" spans="1:36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+IFERROR(HLOOKUP($B14,'[1]8월누계'!$D$6:$BN$259,2,),)/1000</f>
        <v>151</v>
      </c>
      <c r="K14" s="46">
        <f>+IFERROR(HLOOKUP($B14,'[2]8월누계'!$F$6:$CP$99,2,),)/1000</f>
        <v>171.82149999999999</v>
      </c>
      <c r="L14" s="47">
        <f t="shared" si="0"/>
        <v>20.821499999999986</v>
      </c>
      <c r="M14" s="48">
        <f>+IFERROR(HLOOKUP($B14,'[3]8월누계'!$F$6:$CC$57,2,),)/1000</f>
        <v>158.45750000000001</v>
      </c>
      <c r="N14" s="49">
        <f t="shared" si="2"/>
        <v>13.363999999999976</v>
      </c>
      <c r="O14" s="45">
        <f>+IFERROR(HLOOKUP($B14,'[1]8월누계'!$D$6:$BN$259,3,),)/1000</f>
        <v>15401.979868360002</v>
      </c>
      <c r="P14" s="46">
        <f>+IFERROR(HLOOKUP($B14,'[2]8월누계'!$F$6:$CP$99,3,),)/1000</f>
        <v>17097.311249999999</v>
      </c>
      <c r="Q14" s="47">
        <f t="shared" si="3"/>
        <v>1695.3313816399968</v>
      </c>
      <c r="R14" s="48">
        <f>+IFERROR(HLOOKUP($B14,'[3]8월누계'!$F$6:$CC$57,3,),)/1000</f>
        <v>16072.158650000001</v>
      </c>
      <c r="S14" s="49">
        <f t="shared" si="4"/>
        <v>1025.1525999999976</v>
      </c>
      <c r="T14" s="45">
        <f>+IFERROR(HLOOKUP($B14,'[1]8월누계'!$D$6:$BN$259,16,),)/1000</f>
        <v>1256.2080353559468</v>
      </c>
      <c r="U14" s="46">
        <f>+IFERROR(HLOOKUP($B14,'[2]8월누계'!$F$6:$CP$99,16,),)/1000</f>
        <v>1463.751182</v>
      </c>
      <c r="V14" s="47">
        <f t="shared" si="5"/>
        <v>207.54314664405319</v>
      </c>
      <c r="W14" s="48">
        <f>+IFERROR(HLOOKUP($B14,'[3]8월누계'!$F$6:$CC$57,16,),)/1000</f>
        <v>1496.705551999999</v>
      </c>
      <c r="X14" s="49">
        <f t="shared" si="6"/>
        <v>-32.954369999999017</v>
      </c>
      <c r="Y14" s="45">
        <f>+[12]정관!$Q$85</f>
        <v>101999.8666778808</v>
      </c>
      <c r="Z14" s="46">
        <f>+[12]정관!$R$85</f>
        <v>99524.818438321556</v>
      </c>
      <c r="AA14" s="50">
        <f>+[13]정관!$Q$85</f>
        <v>101428.82886578419</v>
      </c>
      <c r="AB14" s="51">
        <f>+[12]정관!$Q$89</f>
        <v>82162.650521733987</v>
      </c>
      <c r="AC14" s="46">
        <f>+[12]정관!$R$89</f>
        <v>81627.776730980564</v>
      </c>
      <c r="AD14" s="52">
        <f>+[13]정관!$Q$89</f>
        <v>81881.428854384489</v>
      </c>
      <c r="AE14" s="51">
        <f t="shared" si="7"/>
        <v>19837.216156146809</v>
      </c>
      <c r="AF14" s="46">
        <f t="shared" si="7"/>
        <v>17897.041707340992</v>
      </c>
      <c r="AG14" s="52">
        <f t="shared" si="7"/>
        <v>19547.400011399703</v>
      </c>
      <c r="AH14" s="17"/>
      <c r="AI14" s="493"/>
      <c r="AJ14" s="494"/>
    </row>
    <row r="15" spans="1:36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+IFERROR(HLOOKUP($B15,'[1]8월누계'!$D$6:$BN$259,2,),)/1000</f>
        <v>90</v>
      </c>
      <c r="K15" s="46">
        <f>+IFERROR(HLOOKUP($B15,'[2]8월누계'!$F$6:$CP$99,2,),)/1000</f>
        <v>58.463000000000001</v>
      </c>
      <c r="L15" s="47">
        <f t="shared" si="0"/>
        <v>-31.536999999999999</v>
      </c>
      <c r="M15" s="48">
        <f>+IFERROR(HLOOKUP($B15,'[3]8월누계'!$F$6:$CC$57,2,),)/1000</f>
        <v>100.26300000000001</v>
      </c>
      <c r="N15" s="49">
        <f t="shared" si="2"/>
        <v>-41.800000000000004</v>
      </c>
      <c r="O15" s="45">
        <f>+IFERROR(HLOOKUP($B15,'[1]8월누계'!$D$6:$BN$259,3,),)/1000</f>
        <v>8511.1285000000007</v>
      </c>
      <c r="P15" s="46">
        <f>+IFERROR(HLOOKUP($B15,'[2]8월누계'!$F$6:$CP$99,3,),)/1000</f>
        <v>5403.4601469999998</v>
      </c>
      <c r="Q15" s="47">
        <f t="shared" si="3"/>
        <v>-3107.6683530000009</v>
      </c>
      <c r="R15" s="48">
        <f>+IFERROR(HLOOKUP($B15,'[3]8월누계'!$F$6:$CC$57,3,),)/1000</f>
        <v>9311.6553179999992</v>
      </c>
      <c r="S15" s="49">
        <f t="shared" si="4"/>
        <v>-3908.1951709999994</v>
      </c>
      <c r="T15" s="45">
        <f>+IFERROR(HLOOKUP($B15,'[1]8월누계'!$D$6:$BN$259,16,),)/1000</f>
        <v>697.11206608399732</v>
      </c>
      <c r="U15" s="46">
        <f>+IFERROR(HLOOKUP($B15,'[2]8월누계'!$F$6:$CP$99,16,),)/1000</f>
        <v>2.4183510000006354</v>
      </c>
      <c r="V15" s="47">
        <f t="shared" si="5"/>
        <v>-694.69371508399672</v>
      </c>
      <c r="W15" s="48">
        <f>+IFERROR(HLOOKUP($B15,'[3]8월누계'!$F$6:$CC$57,16,),)/1000</f>
        <v>864.19810400000017</v>
      </c>
      <c r="X15" s="49">
        <f t="shared" si="6"/>
        <v>-861.77975299999957</v>
      </c>
      <c r="Y15" s="45">
        <f>+[12]양산!$Q$85</f>
        <v>94568.094444444447</v>
      </c>
      <c r="Z15" s="46">
        <f>+[12]양산!$R$85</f>
        <v>92405.853101047702</v>
      </c>
      <c r="AA15" s="50">
        <f>+[13]양산!$Q$85</f>
        <v>92872.299033541785</v>
      </c>
      <c r="AB15" s="51">
        <f>+[12]양산!$Q$89</f>
        <v>73867.37887067163</v>
      </c>
      <c r="AC15" s="46">
        <f>+[12]양산!$R$89</f>
        <v>72933.546664151843</v>
      </c>
      <c r="AD15" s="52">
        <f>+[13]양산!$Q$89</f>
        <v>73161.402367631075</v>
      </c>
      <c r="AE15" s="51">
        <f t="shared" si="7"/>
        <v>20700.715573772817</v>
      </c>
      <c r="AF15" s="46">
        <f t="shared" si="7"/>
        <v>19472.306436895858</v>
      </c>
      <c r="AG15" s="52">
        <f t="shared" si="7"/>
        <v>19710.89666591071</v>
      </c>
      <c r="AH15" s="17"/>
      <c r="AI15" s="493"/>
      <c r="AJ15" s="494"/>
    </row>
    <row r="16" spans="1:36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+IFERROR(HLOOKUP($B16,'[1]8월누계'!$D$6:$BN$259,2,),)/1000</f>
        <v>91</v>
      </c>
      <c r="K16" s="46">
        <f>+IFERROR(HLOOKUP($B16,'[2]8월누계'!$F$6:$CP$99,2,),)/1000</f>
        <v>77.817999999999998</v>
      </c>
      <c r="L16" s="47">
        <f t="shared" si="0"/>
        <v>-13.182000000000002</v>
      </c>
      <c r="M16" s="48">
        <f>+IFERROR(HLOOKUP($B16,'[3]8월누계'!$F$6:$CC$57,2,),)/1000</f>
        <v>141.1165</v>
      </c>
      <c r="N16" s="49">
        <f t="shared" si="2"/>
        <v>-63.298500000000004</v>
      </c>
      <c r="O16" s="45">
        <f>+IFERROR(HLOOKUP($B16,'[1]8월누계'!$D$6:$BN$259,3,),)/1000</f>
        <v>9160.9241125919998</v>
      </c>
      <c r="P16" s="46">
        <f>+IFERROR(HLOOKUP($B16,'[2]8월누계'!$F$6:$CP$99,3,),)/1000</f>
        <v>7472.9552800000001</v>
      </c>
      <c r="Q16" s="47">
        <f t="shared" si="3"/>
        <v>-1687.9688325919997</v>
      </c>
      <c r="R16" s="48">
        <f>+IFERROR(HLOOKUP($B16,'[3]8월누계'!$F$6:$CC$57,3,),)/1000</f>
        <v>14326.785600000001</v>
      </c>
      <c r="S16" s="49">
        <f t="shared" si="4"/>
        <v>-6853.8303200000009</v>
      </c>
      <c r="T16" s="45">
        <f>+IFERROR(HLOOKUP($B16,'[1]8월누계'!$D$6:$BN$259,16,),)/1000</f>
        <v>706.48657265940619</v>
      </c>
      <c r="U16" s="46">
        <f>+IFERROR(HLOOKUP($B16,'[2]8월누계'!$F$6:$CP$99,16,),)/1000</f>
        <v>342.52946400000036</v>
      </c>
      <c r="V16" s="47">
        <f t="shared" si="5"/>
        <v>-363.95710865940583</v>
      </c>
      <c r="W16" s="48">
        <f>+IFERROR(HLOOKUP($B16,'[3]8월누계'!$F$6:$CC$57,16,),)/1000</f>
        <v>2209.9365250000033</v>
      </c>
      <c r="X16" s="49">
        <f t="shared" si="6"/>
        <v>-1867.4070610000028</v>
      </c>
      <c r="Y16" s="45">
        <f>+[12]창원!$Q$85</f>
        <v>100669.49574276924</v>
      </c>
      <c r="Z16" s="46">
        <f>+[12]창원!$R$85</f>
        <v>96031.191755120934</v>
      </c>
      <c r="AA16" s="50">
        <f>+[13]창원!$Q$85</f>
        <v>101524.52477208548</v>
      </c>
      <c r="AB16" s="51">
        <f>+[12]창원!$Q$89</f>
        <v>76026.627924130313</v>
      </c>
      <c r="AC16" s="46">
        <f>+[12]창원!$R$89</f>
        <v>73236.455345443333</v>
      </c>
      <c r="AD16" s="52">
        <f>+[13]창원!$Q$89</f>
        <v>74930.299998228555</v>
      </c>
      <c r="AE16" s="51">
        <f t="shared" si="7"/>
        <v>24642.86781863893</v>
      </c>
      <c r="AF16" s="46">
        <f t="shared" si="7"/>
        <v>22794.7364096776</v>
      </c>
      <c r="AG16" s="52">
        <f t="shared" si="7"/>
        <v>26594.224773856928</v>
      </c>
      <c r="AH16" s="17"/>
      <c r="AI16" s="493"/>
      <c r="AJ16" s="494"/>
    </row>
    <row r="17" spans="2:38" s="8" customFormat="1" ht="22.5" customHeight="1" x14ac:dyDescent="0.3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+IFERROR(HLOOKUP($B17,'[1]8월누계'!$D$6:$BN$259,2,),)/1000</f>
        <v>97</v>
      </c>
      <c r="K17" s="46">
        <f>+IFERROR(HLOOKUP($B17,'[2]8월누계'!$F$6:$CP$99,2,),)/1000</f>
        <v>78.044499999999999</v>
      </c>
      <c r="L17" s="47">
        <f t="shared" si="0"/>
        <v>-18.955500000000001</v>
      </c>
      <c r="M17" s="48">
        <f>+IFERROR(HLOOKUP($B17,'[3]8월누계'!$F$6:$CC$57,2,),)/1000</f>
        <v>126.05200000000001</v>
      </c>
      <c r="N17" s="49">
        <f t="shared" si="2"/>
        <v>-48.007500000000007</v>
      </c>
      <c r="O17" s="45">
        <f>+IFERROR(HLOOKUP($B17,'[1]8월누계'!$D$6:$BN$259,3,),)/1000</f>
        <v>9423.3005211830932</v>
      </c>
      <c r="P17" s="46">
        <f>+IFERROR(HLOOKUP($B17,'[2]8월누계'!$F$6:$CP$99,3,),)/1000</f>
        <v>6981.5453389999993</v>
      </c>
      <c r="Q17" s="47">
        <f t="shared" si="3"/>
        <v>-2441.7551821830939</v>
      </c>
      <c r="R17" s="48">
        <f>+IFERROR(HLOOKUP($B17,'[3]8월누계'!$F$6:$CC$57,3,),)/1000</f>
        <v>12757.315702</v>
      </c>
      <c r="S17" s="49">
        <f t="shared" si="4"/>
        <v>-5775.7703630000005</v>
      </c>
      <c r="T17" s="45">
        <f>+IFERROR(HLOOKUP($B17,'[1]8월누계'!$D$6:$BN$259,16,),)/1000</f>
        <v>866.04037137774151</v>
      </c>
      <c r="U17" s="46">
        <f>+IFERROR(HLOOKUP($B17,'[2]8월누계'!$F$6:$CP$99,16,),)/1000</f>
        <v>42.095103999999935</v>
      </c>
      <c r="V17" s="47">
        <f t="shared" si="5"/>
        <v>-823.94526737774163</v>
      </c>
      <c r="W17" s="48">
        <f>+IFERROR(HLOOKUP($B17,'[3]8월누계'!$F$6:$CC$57,16,),)/1000</f>
        <v>1978.4149759999984</v>
      </c>
      <c r="X17" s="49">
        <f t="shared" si="6"/>
        <v>-1936.3198719999984</v>
      </c>
      <c r="Y17" s="45">
        <f>+[12]대구!$Q$85</f>
        <v>97147.428053433949</v>
      </c>
      <c r="Z17" s="46">
        <f>+[12]대구!$R$85</f>
        <v>89483.068343223742</v>
      </c>
      <c r="AA17" s="50">
        <f>+[13]대구!$Q$85</f>
        <v>101206.76944435629</v>
      </c>
      <c r="AB17" s="51">
        <f>+[12]대구!$Q$89</f>
        <v>73129.688947104558</v>
      </c>
      <c r="AC17" s="46">
        <f>+[12]대구!$R$89</f>
        <v>73239.78429352869</v>
      </c>
      <c r="AD17" s="52">
        <f>+[13]대구!$Q$89</f>
        <v>74641.888405992504</v>
      </c>
      <c r="AE17" s="51">
        <f t="shared" si="7"/>
        <v>24017.739106329391</v>
      </c>
      <c r="AF17" s="46">
        <f t="shared" si="7"/>
        <v>16243.284049695052</v>
      </c>
      <c r="AG17" s="52">
        <f t="shared" si="7"/>
        <v>26564.88103836379</v>
      </c>
      <c r="AH17" s="17"/>
      <c r="AI17" s="493"/>
      <c r="AJ17" s="494"/>
    </row>
    <row r="18" spans="2:38" s="8" customFormat="1" ht="22.5" customHeight="1" x14ac:dyDescent="0.3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+IFERROR(HLOOKUP($B18,'[1]8월누계'!$D$6:$BN$259,2,),)/1000</f>
        <v>93</v>
      </c>
      <c r="K18" s="10">
        <f>+IFERROR(HLOOKUP($B18,'[2]8월누계'!$F$6:$CP$99,2,),)/1000</f>
        <v>87.180499999999995</v>
      </c>
      <c r="L18" s="11">
        <f t="shared" si="0"/>
        <v>-5.819500000000005</v>
      </c>
      <c r="M18" s="12">
        <f>+IFERROR(HLOOKUP($B18,'[3]8월누계'!$F$6:$CC$57,2,),)/1000</f>
        <v>82.527000000000001</v>
      </c>
      <c r="N18" s="13">
        <f t="shared" si="2"/>
        <v>4.653499999999994</v>
      </c>
      <c r="O18" s="9">
        <f>+IFERROR(HLOOKUP($B18,'[1]8월누계'!$D$6:$BN$259,3,),)/1000</f>
        <v>9483.8070000000007</v>
      </c>
      <c r="P18" s="10">
        <f>+IFERROR(HLOOKUP($B18,'[2]8월누계'!$F$6:$CP$99,3,),)/1000</f>
        <v>9029.6693679999989</v>
      </c>
      <c r="Q18" s="11">
        <f t="shared" si="3"/>
        <v>-454.13763200000176</v>
      </c>
      <c r="R18" s="12">
        <f>+IFERROR(HLOOKUP($B18,'[3]8월누계'!$F$6:$CC$57,3,),)/1000</f>
        <v>8651.6029920000001</v>
      </c>
      <c r="S18" s="13">
        <f t="shared" si="4"/>
        <v>378.06637599999885</v>
      </c>
      <c r="T18" s="9">
        <f>+IFERROR(HLOOKUP($B18,'[1]8월누계'!$D$6:$BN$259,16,),)/1000</f>
        <v>654.64116733149513</v>
      </c>
      <c r="U18" s="10">
        <f>+IFERROR(HLOOKUP($B18,'[2]8월누계'!$F$6:$CP$99,16,),)/1000</f>
        <v>706.16897699999879</v>
      </c>
      <c r="V18" s="11">
        <f t="shared" si="5"/>
        <v>51.527809668503664</v>
      </c>
      <c r="W18" s="12">
        <f>+IFERROR(HLOOKUP($B18,'[3]8월누계'!$F$6:$CC$57,16,),)/1000</f>
        <v>1001.9594010000005</v>
      </c>
      <c r="X18" s="13">
        <f t="shared" si="6"/>
        <v>-295.79042400000174</v>
      </c>
      <c r="Y18" s="9">
        <f>+[12]울산!$Q$85</f>
        <v>101976.41935483871</v>
      </c>
      <c r="Z18" s="10">
        <f>+[12]울산!$R$85</f>
        <v>103574.41593016786</v>
      </c>
      <c r="AA18" s="14">
        <f>+[13]울산!$Q$85</f>
        <v>104833.6058744411</v>
      </c>
      <c r="AB18" s="15">
        <f>+[12]울산!$Q$89</f>
        <v>81847.102662084391</v>
      </c>
      <c r="AC18" s="10">
        <f>+[12]울산!$R$89</f>
        <v>82056.127411822003</v>
      </c>
      <c r="AD18" s="16">
        <f>+[13]울산!$Q$89</f>
        <v>80478.808635846275</v>
      </c>
      <c r="AE18" s="15">
        <f t="shared" si="7"/>
        <v>20129.316692754321</v>
      </c>
      <c r="AF18" s="10">
        <f t="shared" si="7"/>
        <v>21518.288518345857</v>
      </c>
      <c r="AG18" s="16">
        <f t="shared" si="7"/>
        <v>24354.797238594823</v>
      </c>
      <c r="AH18" s="17"/>
      <c r="AI18" s="493"/>
      <c r="AJ18" s="494"/>
    </row>
    <row r="19" spans="2:38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+IFERROR(HLOOKUP($B19,'[1]8월누계'!$D$6:$BN$259,2,),)/1000</f>
        <v>172</v>
      </c>
      <c r="K19" s="46">
        <f>+IFERROR(HLOOKUP($B19,'[2]8월누계'!$F$6:$CP$99,2,),)/1000</f>
        <v>164.62200000000001</v>
      </c>
      <c r="L19" s="47">
        <f t="shared" si="0"/>
        <v>-7.3779999999999859</v>
      </c>
      <c r="M19" s="48">
        <f>+IFERROR(HLOOKUP($B19,'[3]8월누계'!$F$6:$CC$57,2,),)/1000</f>
        <v>208.56700000000001</v>
      </c>
      <c r="N19" s="49">
        <f t="shared" si="2"/>
        <v>-43.944999999999993</v>
      </c>
      <c r="O19" s="45">
        <f>+IFERROR(HLOOKUP($B19,'[1]8월누계'!$D$6:$BN$259,3,),)/1000</f>
        <v>17716</v>
      </c>
      <c r="P19" s="46">
        <f>+IFERROR(HLOOKUP($B19,'[2]8월누계'!$F$6:$CP$99,3,),)/1000</f>
        <v>15913.053274</v>
      </c>
      <c r="Q19" s="47">
        <f t="shared" si="3"/>
        <v>-1802.9467260000001</v>
      </c>
      <c r="R19" s="48">
        <f>+IFERROR(HLOOKUP($B19,'[3]8월누계'!$F$6:$CC$57,3,),)/1000</f>
        <v>21181.423341000002</v>
      </c>
      <c r="S19" s="49">
        <f t="shared" si="4"/>
        <v>-5268.3700670000017</v>
      </c>
      <c r="T19" s="45">
        <f>+IFERROR(HLOOKUP($B19,'[1]8월누계'!$D$6:$BN$259,16,),)/1000</f>
        <v>2183.033239058228</v>
      </c>
      <c r="U19" s="46">
        <f>+IFERROR(HLOOKUP($B19,'[2]8월누계'!$F$6:$CP$99,16,),)/1000</f>
        <v>696.41130000000078</v>
      </c>
      <c r="V19" s="47">
        <f t="shared" si="5"/>
        <v>-1486.6219390582273</v>
      </c>
      <c r="W19" s="48">
        <f>+IFERROR(HLOOKUP($B19,'[3]8월누계'!$F$6:$CC$57,16,),)/1000</f>
        <v>3107.8736520000034</v>
      </c>
      <c r="X19" s="49">
        <f t="shared" si="6"/>
        <v>-2411.4623520000027</v>
      </c>
      <c r="Y19" s="45">
        <f>+[12]아산!$Q$85</f>
        <v>103000</v>
      </c>
      <c r="Z19" s="46">
        <f>+[12]아산!$R$85</f>
        <v>96650.84801060363</v>
      </c>
      <c r="AA19" s="50">
        <f>+[13]아산!$Q$85</f>
        <v>101509.46209266238</v>
      </c>
      <c r="AB19" s="51">
        <f>+[12]아산!$Q$89</f>
        <v>78508.140046261571</v>
      </c>
      <c r="AC19" s="46">
        <f>+[12]아산!$R$89</f>
        <v>80813.408506891734</v>
      </c>
      <c r="AD19" s="52">
        <f>+[13]아산!$Q$89</f>
        <v>77007.798190798974</v>
      </c>
      <c r="AE19" s="51">
        <f t="shared" si="7"/>
        <v>24491.859953738429</v>
      </c>
      <c r="AF19" s="46">
        <f t="shared" si="7"/>
        <v>15837.439503711896</v>
      </c>
      <c r="AG19" s="52">
        <f t="shared" si="7"/>
        <v>24501.663901863401</v>
      </c>
      <c r="AH19" s="17"/>
      <c r="AI19" s="493"/>
      <c r="AJ19" s="494"/>
    </row>
    <row r="20" spans="2:38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+IFERROR(HLOOKUP($B20,'[1]8월누계'!$D$6:$BN$259,2,),)/1000</f>
        <v>83</v>
      </c>
      <c r="K20" s="46">
        <f>+IFERROR(HLOOKUP($B20,'[2]8월누계'!$F$6:$CP$99,2,),)/1000</f>
        <v>98.830500000000001</v>
      </c>
      <c r="L20" s="47">
        <f t="shared" si="0"/>
        <v>15.830500000000001</v>
      </c>
      <c r="M20" s="48">
        <f>+IFERROR(HLOOKUP($B20,'[3]8월누계'!$F$6:$CC$57,2,),)/1000</f>
        <v>65.377499999999998</v>
      </c>
      <c r="N20" s="49">
        <f t="shared" si="2"/>
        <v>33.453000000000003</v>
      </c>
      <c r="O20" s="45">
        <f>+IFERROR(HLOOKUP($B20,'[1]8월누계'!$D$6:$BN$259,3,),)/1000</f>
        <v>8128.9848599999996</v>
      </c>
      <c r="P20" s="46">
        <f>+IFERROR(HLOOKUP($B20,'[2]8월누계'!$F$6:$CP$99,3,),)/1000</f>
        <v>9596.6658869999992</v>
      </c>
      <c r="Q20" s="47">
        <f t="shared" si="3"/>
        <v>1467.6810269999996</v>
      </c>
      <c r="R20" s="48">
        <f>+IFERROR(HLOOKUP($B20,'[3]8월누계'!$F$6:$CC$57,3,),)/1000</f>
        <v>6264.3745410000001</v>
      </c>
      <c r="S20" s="49">
        <f t="shared" si="4"/>
        <v>3332.2913459999991</v>
      </c>
      <c r="T20" s="45">
        <f>+IFERROR(HLOOKUP($B20,'[1]8월누계'!$D$6:$BN$259,16,),)/1000</f>
        <v>820.97221507846075</v>
      </c>
      <c r="U20" s="46">
        <f>+IFERROR(HLOOKUP($B20,'[2]8월누계'!$F$6:$CP$99,16,),)/1000</f>
        <v>934.76169699999946</v>
      </c>
      <c r="V20" s="47">
        <f t="shared" si="5"/>
        <v>113.78948192153871</v>
      </c>
      <c r="W20" s="48">
        <f>+IFERROR(HLOOKUP($B20,'[3]8월누계'!$F$6:$CC$57,16,),)/1000</f>
        <v>415.81929500000001</v>
      </c>
      <c r="X20" s="49">
        <f t="shared" si="6"/>
        <v>518.94240199999945</v>
      </c>
      <c r="Y20" s="45">
        <f>+[12]전주!$Q$85</f>
        <v>97939.576626506008</v>
      </c>
      <c r="Z20" s="46">
        <f>+[12]전주!$R$85</f>
        <v>97102.118250600121</v>
      </c>
      <c r="AA20" s="50">
        <f>+[13]전주!$Q$85</f>
        <v>95820.171575491826</v>
      </c>
      <c r="AB20" s="51">
        <f>+[12]전주!$Q$89</f>
        <v>73159.043339081472</v>
      </c>
      <c r="AC20" s="46">
        <f>+[12]전주!$R$89</f>
        <v>75255.322499013084</v>
      </c>
      <c r="AD20" s="52">
        <f>+[13]전주!$Q$89</f>
        <v>71558.770486661015</v>
      </c>
      <c r="AE20" s="51">
        <f t="shared" si="7"/>
        <v>24780.533287424536</v>
      </c>
      <c r="AF20" s="46">
        <f t="shared" si="7"/>
        <v>21846.795751587037</v>
      </c>
      <c r="AG20" s="52">
        <f t="shared" si="7"/>
        <v>24261.401088830811</v>
      </c>
      <c r="AH20" s="17"/>
      <c r="AI20" s="493"/>
      <c r="AJ20" s="494"/>
    </row>
    <row r="21" spans="2:38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+IFERROR(HLOOKUP($B21,'[1]8월누계'!$D$6:$BN$259,2,),)/1000</f>
        <v>54.5</v>
      </c>
      <c r="K21" s="46">
        <f>+IFERROR(HLOOKUP($B21,'[2]8월누계'!$F$6:$CP$99,2,),)/1000</f>
        <v>40.146999999999998</v>
      </c>
      <c r="L21" s="47">
        <f t="shared" si="0"/>
        <v>-14.353000000000002</v>
      </c>
      <c r="M21" s="48">
        <f>+IFERROR(HLOOKUP($B21,'[3]8월누계'!$F$6:$CC$57,2,),)/1000</f>
        <v>68.680499999999995</v>
      </c>
      <c r="N21" s="49">
        <f t="shared" si="2"/>
        <v>-28.533499999999997</v>
      </c>
      <c r="O21" s="45">
        <f>+IFERROR(HLOOKUP($B21,'[1]8월누계'!$D$6:$BN$259,3,),)/1000</f>
        <v>6041.2230330000011</v>
      </c>
      <c r="P21" s="46">
        <f>+IFERROR(HLOOKUP($B21,'[2]8월누계'!$F$6:$CP$99,3,),)/1000</f>
        <v>4413.4121219999997</v>
      </c>
      <c r="Q21" s="47">
        <f t="shared" si="3"/>
        <v>-1627.8109110000014</v>
      </c>
      <c r="R21" s="48">
        <f>+IFERROR(HLOOKUP($B21,'[3]8월누계'!$F$6:$CC$57,3,),)/1000</f>
        <v>7767.1513359999999</v>
      </c>
      <c r="S21" s="49">
        <f t="shared" si="4"/>
        <v>-3353.7392140000002</v>
      </c>
      <c r="T21" s="45">
        <f>+IFERROR(HLOOKUP($B21,'[1]8월누계'!$D$6:$BN$259,16,),)/1000</f>
        <v>1401.9163793387474</v>
      </c>
      <c r="U21" s="46">
        <f>+IFERROR(HLOOKUP($B21,'[2]8월누계'!$F$6:$CP$99,16,),)/1000</f>
        <v>842.70955699999956</v>
      </c>
      <c r="V21" s="47">
        <f t="shared" si="5"/>
        <v>-559.20682233874788</v>
      </c>
      <c r="W21" s="48">
        <f>+IFERROR(HLOOKUP($B21,'[3]8월누계'!$F$6:$CC$57,16,),)/1000</f>
        <v>2170.0630970000011</v>
      </c>
      <c r="X21" s="49">
        <f t="shared" si="6"/>
        <v>-1327.3535400000014</v>
      </c>
      <c r="Y21" s="45">
        <f>+[12]군산!$Q$85</f>
        <v>110848.12904587157</v>
      </c>
      <c r="Z21" s="46">
        <f>+[12]군산!$R$85</f>
        <v>109931.30550227912</v>
      </c>
      <c r="AA21" s="50">
        <f>+[13]군산!$Q$85</f>
        <v>113109.09646993653</v>
      </c>
      <c r="AB21" s="51">
        <f>+[12]군산!$Q$89</f>
        <v>72617.2207888915</v>
      </c>
      <c r="AC21" s="46">
        <f>+[12]군산!$R$89</f>
        <v>72429.870675268394</v>
      </c>
      <c r="AD21" s="52">
        <f>+[13]군산!$Q$89</f>
        <v>72246.297648113468</v>
      </c>
      <c r="AE21" s="51">
        <f t="shared" si="7"/>
        <v>38230.908256980067</v>
      </c>
      <c r="AF21" s="46">
        <f t="shared" si="7"/>
        <v>37501.434827010729</v>
      </c>
      <c r="AG21" s="52">
        <f t="shared" si="7"/>
        <v>40862.79882182306</v>
      </c>
      <c r="AH21" s="17"/>
      <c r="AI21" s="493"/>
      <c r="AJ21" s="494"/>
    </row>
    <row r="22" spans="2:38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+IFERROR(HLOOKUP($B22,'[1]8월누계'!$D$6:$BN$259,2,),)/1000</f>
        <v>34</v>
      </c>
      <c r="K22" s="46">
        <f>+IFERROR(HLOOKUP($B22,'[2]8월누계'!$F$6:$CP$99,2,),)/1000</f>
        <v>20.327500000000001</v>
      </c>
      <c r="L22" s="47">
        <f t="shared" si="0"/>
        <v>-13.672499999999999</v>
      </c>
      <c r="M22" s="48">
        <f>+IFERROR(HLOOKUP($B22,'[3]8월누계'!$F$6:$CC$57,2,),)/1000</f>
        <v>45.014000000000003</v>
      </c>
      <c r="N22" s="49">
        <f t="shared" si="2"/>
        <v>-24.686500000000002</v>
      </c>
      <c r="O22" s="45">
        <f>+IFERROR(HLOOKUP($B22,'[1]8월누계'!$D$6:$BN$259,3,),)/1000</f>
        <v>3808</v>
      </c>
      <c r="P22" s="46">
        <f>+IFERROR(HLOOKUP($B22,'[2]8월누계'!$F$6:$CP$99,3,),)/1000</f>
        <v>2202.7637539999996</v>
      </c>
      <c r="Q22" s="47">
        <f t="shared" si="3"/>
        <v>-1605.2362460000004</v>
      </c>
      <c r="R22" s="48">
        <f>+IFERROR(HLOOKUP($B22,'[3]8월누계'!$F$6:$CC$57,3,),)/1000</f>
        <v>5058.3483900000001</v>
      </c>
      <c r="S22" s="49">
        <f t="shared" si="4"/>
        <v>-2855.5846360000005</v>
      </c>
      <c r="T22" s="45">
        <f>+IFERROR(HLOOKUP($B22,'[1]8월누계'!$D$6:$BN$259,16,),)/1000</f>
        <v>570.47440357013545</v>
      </c>
      <c r="U22" s="46">
        <f>+IFERROR(HLOOKUP($B22,'[2]8월누계'!$F$6:$CP$99,16,),)/1000</f>
        <v>50.290814999999697</v>
      </c>
      <c r="V22" s="47">
        <f t="shared" si="5"/>
        <v>-520.18358857013573</v>
      </c>
      <c r="W22" s="48">
        <f>+IFERROR(HLOOKUP($B22,'[3]8월누계'!$F$6:$CC$57,16,),)/1000</f>
        <v>1021.5640769999998</v>
      </c>
      <c r="X22" s="49">
        <f t="shared" si="6"/>
        <v>-971.27326200000005</v>
      </c>
      <c r="Y22" s="45">
        <f>+[12]원주!$Q$85</f>
        <v>112000</v>
      </c>
      <c r="Z22" s="46">
        <f>+[12]원주!$R$85</f>
        <v>108365.58098565557</v>
      </c>
      <c r="AA22" s="50">
        <f>+[13]원주!$Q$85</f>
        <v>112379.53113536825</v>
      </c>
      <c r="AB22" s="51">
        <f>+[12]원주!$Q$89</f>
        <v>73375.855341507966</v>
      </c>
      <c r="AC22" s="46">
        <f>+[12]원주!$R$89</f>
        <v>71716.263514012258</v>
      </c>
      <c r="AD22" s="52">
        <f>+[13]원주!$Q$89</f>
        <v>73844.468442231169</v>
      </c>
      <c r="AE22" s="51">
        <f t="shared" si="7"/>
        <v>38624.144658492034</v>
      </c>
      <c r="AF22" s="46">
        <f t="shared" si="7"/>
        <v>36649.317471643313</v>
      </c>
      <c r="AG22" s="52">
        <f t="shared" si="7"/>
        <v>38535.062693137079</v>
      </c>
      <c r="AH22" s="17"/>
      <c r="AI22" s="493"/>
      <c r="AJ22" s="494"/>
    </row>
    <row r="23" spans="2:38" s="8" customFormat="1" ht="22.5" customHeight="1" x14ac:dyDescent="0.3">
      <c r="B23" s="8" t="s">
        <v>75</v>
      </c>
      <c r="F23" s="84">
        <f>+K27-J27</f>
        <v>-285.43218000000002</v>
      </c>
      <c r="G23" s="334" t="str">
        <f t="shared" si="1"/>
        <v>제주</v>
      </c>
      <c r="H23" s="74"/>
      <c r="I23" s="75" t="s">
        <v>75</v>
      </c>
      <c r="J23" s="45">
        <f>+IFERROR(HLOOKUP($B23,'[1]8월누계'!$D$6:$BN$259,2,),)/1000</f>
        <v>64</v>
      </c>
      <c r="K23" s="46">
        <f>+IFERROR(HLOOKUP($B23,'[2]8월누계'!$F$6:$CP$99,2,),)/1000</f>
        <v>45.488</v>
      </c>
      <c r="L23" s="47">
        <f t="shared" si="0"/>
        <v>-18.512</v>
      </c>
      <c r="M23" s="48">
        <f>+IFERROR(HLOOKUP($B23,'[3]8월누계'!$F$6:$CC$57,2,),)/1000</f>
        <v>29.35</v>
      </c>
      <c r="N23" s="49">
        <f t="shared" si="2"/>
        <v>16.137999999999998</v>
      </c>
      <c r="O23" s="45">
        <f>+IFERROR(HLOOKUP($B23,'[1]8월누계'!$D$6:$BN$259,3,),)/1000</f>
        <v>7861.9684999999999</v>
      </c>
      <c r="P23" s="46">
        <f>+IFERROR(HLOOKUP($B23,'[2]8월누계'!$F$6:$CP$99,3,),)/1000</f>
        <v>5582.2379440000013</v>
      </c>
      <c r="Q23" s="47">
        <f t="shared" si="3"/>
        <v>-2279.7305559999986</v>
      </c>
      <c r="R23" s="48">
        <f>+IFERROR(HLOOKUP($B23,'[3]8월누계'!$F$6:$CC$57,3,),)/1000</f>
        <v>3683.8083449999999</v>
      </c>
      <c r="S23" s="49">
        <f t="shared" si="4"/>
        <v>1898.4295990000014</v>
      </c>
      <c r="T23" s="45">
        <f>+IFERROR(HLOOKUP($B23,'[1]8월누계'!$D$6:$BN$259,16,),)/1000</f>
        <v>1252.5385979958924</v>
      </c>
      <c r="U23" s="46">
        <f>+IFERROR(HLOOKUP($B23,'[2]8월누계'!$F$6:$CP$99,16,),)/1000</f>
        <v>596.946551</v>
      </c>
      <c r="V23" s="47">
        <f t="shared" si="5"/>
        <v>-655.59204699589236</v>
      </c>
      <c r="W23" s="48">
        <f>+IFERROR(HLOOKUP($B23,'[3]8월누계'!$F$6:$CC$57,16,),)/1000</f>
        <v>365.92274499999968</v>
      </c>
      <c r="X23" s="49">
        <f t="shared" si="6"/>
        <v>231.02380600000032</v>
      </c>
      <c r="Y23" s="45">
        <f>+[12]제주!$Q$85</f>
        <v>122843.2578125</v>
      </c>
      <c r="Z23" s="46">
        <f>+[12]제주!$R$85</f>
        <v>122503.76343768461</v>
      </c>
      <c r="AA23" s="50">
        <f>+[13]제주!$Q$85</f>
        <v>125513.06115843271</v>
      </c>
      <c r="AB23" s="51">
        <f>+[12]제주!$Q$89</f>
        <v>91040.491592701306</v>
      </c>
      <c r="AC23" s="46">
        <f>+[12]제주!$R$89</f>
        <v>92248.349467372289</v>
      </c>
      <c r="AD23" s="52">
        <f>+[13]제주!$Q$89</f>
        <v>89324.615823720291</v>
      </c>
      <c r="AE23" s="51">
        <f t="shared" si="7"/>
        <v>31802.766219798694</v>
      </c>
      <c r="AF23" s="46">
        <f t="shared" si="7"/>
        <v>30255.413970312322</v>
      </c>
      <c r="AG23" s="52">
        <f t="shared" si="7"/>
        <v>36188.445334712422</v>
      </c>
      <c r="AH23" s="17"/>
      <c r="AI23" s="493"/>
      <c r="AJ23" s="494"/>
    </row>
    <row r="24" spans="2:38" s="8" customFormat="1" ht="22.5" customHeight="1" x14ac:dyDescent="0.3">
      <c r="F24" s="495">
        <f>+K24/J24</f>
        <v>0.82633331645569619</v>
      </c>
      <c r="G24" s="337" t="str">
        <f t="shared" si="1"/>
        <v>수도권</v>
      </c>
      <c r="H24" s="74"/>
      <c r="I24" s="78" t="s">
        <v>42</v>
      </c>
      <c r="J24" s="22">
        <f>SUM(J7:J10)</f>
        <v>790</v>
      </c>
      <c r="K24" s="19">
        <f>SUM(K7:K10)</f>
        <v>652.80331999999999</v>
      </c>
      <c r="L24" s="20">
        <f t="shared" si="0"/>
        <v>-137.19668000000001</v>
      </c>
      <c r="M24" s="24">
        <f>SUM(M7:M10)</f>
        <v>819.62270000000001</v>
      </c>
      <c r="N24" s="21">
        <f t="shared" si="2"/>
        <v>-166.81938000000002</v>
      </c>
      <c r="O24" s="22">
        <f>SUM(O7:O10)</f>
        <v>77041.293561009414</v>
      </c>
      <c r="P24" s="19">
        <f>SUM(P7:P10)</f>
        <v>62674.913788999998</v>
      </c>
      <c r="Q24" s="20">
        <f t="shared" si="3"/>
        <v>-14366.379772009415</v>
      </c>
      <c r="R24" s="24">
        <f>SUM(R7:R10)</f>
        <v>81296.022719000001</v>
      </c>
      <c r="S24" s="21">
        <f t="shared" si="4"/>
        <v>-18621.108930000002</v>
      </c>
      <c r="T24" s="22">
        <f>SUM(T7:T10)</f>
        <v>4900.5339772782772</v>
      </c>
      <c r="U24" s="19">
        <f>SUM(U7:U10)</f>
        <v>1735.0073910100027</v>
      </c>
      <c r="V24" s="20">
        <f t="shared" si="5"/>
        <v>-3165.5265862682745</v>
      </c>
      <c r="W24" s="24">
        <f>SUM(W7:W10)</f>
        <v>7154.9280560099978</v>
      </c>
      <c r="X24" s="21">
        <f t="shared" si="6"/>
        <v>-5419.9206649999951</v>
      </c>
      <c r="Y24" s="22">
        <f>+[12]수도권!$Q$85</f>
        <v>97520.624760771432</v>
      </c>
      <c r="Z24" s="19">
        <f>+[12]수도권!$R$85</f>
        <v>96047.558831643357</v>
      </c>
      <c r="AA24" s="23">
        <f>+[13]수도권!$Q$85</f>
        <v>99199.15614018256</v>
      </c>
      <c r="AB24" s="28">
        <f>+[12]수도권!$Q$89</f>
        <v>80883.529271906023</v>
      </c>
      <c r="AC24" s="19">
        <f>+[12]수도권!$R$89</f>
        <v>80808.95576266959</v>
      </c>
      <c r="AD24" s="29">
        <f>+[13]수도권!$Q$89</f>
        <v>80922.465754364413</v>
      </c>
      <c r="AE24" s="28">
        <f t="shared" si="7"/>
        <v>16637.095488865409</v>
      </c>
      <c r="AF24" s="19">
        <f t="shared" si="7"/>
        <v>15238.603068973767</v>
      </c>
      <c r="AG24" s="29">
        <f t="shared" si="7"/>
        <v>18276.690385818147</v>
      </c>
      <c r="AH24" s="17"/>
      <c r="AI24" s="493"/>
      <c r="AJ24" s="494"/>
    </row>
    <row r="25" spans="2:38" s="8" customFormat="1" ht="22.5" customHeight="1" x14ac:dyDescent="0.3">
      <c r="F25" s="495">
        <f t="shared" ref="F25:F26" si="8">+K25/J25</f>
        <v>0.88294314558979814</v>
      </c>
      <c r="G25" s="334" t="str">
        <f t="shared" si="1"/>
        <v>영남권</v>
      </c>
      <c r="H25" s="74"/>
      <c r="I25" s="78" t="s">
        <v>43</v>
      </c>
      <c r="J25" s="22">
        <f>SUM(J11:J18)</f>
        <v>941</v>
      </c>
      <c r="K25" s="19">
        <f>SUM(K11:K18)</f>
        <v>830.84950000000003</v>
      </c>
      <c r="L25" s="20">
        <f t="shared" si="0"/>
        <v>-110.15049999999997</v>
      </c>
      <c r="M25" s="24">
        <f>SUM(M11:M18)</f>
        <v>1055.8175000000001</v>
      </c>
      <c r="N25" s="21">
        <f t="shared" si="2"/>
        <v>-224.96800000000007</v>
      </c>
      <c r="O25" s="22">
        <f>SUM(O11:O18)</f>
        <v>94582.626688819102</v>
      </c>
      <c r="P25" s="19">
        <f>SUM(P11:P18)</f>
        <v>81947.497122000001</v>
      </c>
      <c r="Q25" s="20">
        <f t="shared" si="3"/>
        <v>-12635.129566819101</v>
      </c>
      <c r="R25" s="24">
        <f>SUM(R11:R18)</f>
        <v>106923.80783400001</v>
      </c>
      <c r="S25" s="21">
        <f t="shared" si="4"/>
        <v>-24976.310712000006</v>
      </c>
      <c r="T25" s="22">
        <f>SUM(T11:T18)</f>
        <v>7853.6497321833504</v>
      </c>
      <c r="U25" s="19">
        <f>SUM(U11:U18)</f>
        <v>4805.6541669999979</v>
      </c>
      <c r="V25" s="20">
        <f t="shared" si="5"/>
        <v>-3047.9955651833525</v>
      </c>
      <c r="W25" s="24">
        <f>SUM(W11:W18)</f>
        <v>12162.958990000001</v>
      </c>
      <c r="X25" s="21">
        <f t="shared" si="6"/>
        <v>-7357.3048230000031</v>
      </c>
      <c r="Y25" s="22">
        <f>+[12]영남권!$Q$85</f>
        <v>100512.88702318714</v>
      </c>
      <c r="Z25" s="19">
        <f>+[12]영남권!$R$85</f>
        <v>98652.175655815241</v>
      </c>
      <c r="AA25" s="23">
        <f>+[13]영남권!$Q$85</f>
        <v>101283.76507858542</v>
      </c>
      <c r="AB25" s="28">
        <f>+[12]영남권!$Q$89</f>
        <v>78973.587161451476</v>
      </c>
      <c r="AC25" s="19">
        <f>+[12]영남권!$R$89</f>
        <v>78921.876356591471</v>
      </c>
      <c r="AD25" s="29">
        <f>+[13]영남권!$Q$89</f>
        <v>78709.127185203834</v>
      </c>
      <c r="AE25" s="28">
        <f t="shared" si="7"/>
        <v>21539.299861735664</v>
      </c>
      <c r="AF25" s="19">
        <f t="shared" si="7"/>
        <v>19730.299299223771</v>
      </c>
      <c r="AG25" s="29">
        <f t="shared" si="7"/>
        <v>22574.637893381587</v>
      </c>
      <c r="AH25" s="17"/>
      <c r="AI25" s="493"/>
      <c r="AJ25" s="494"/>
    </row>
    <row r="26" spans="2:38" s="8" customFormat="1" ht="22.5" customHeight="1" x14ac:dyDescent="0.3">
      <c r="F26" s="495">
        <f t="shared" si="8"/>
        <v>0.90653987730061336</v>
      </c>
      <c r="G26" s="334" t="str">
        <f t="shared" si="1"/>
        <v>중부권</v>
      </c>
      <c r="H26" s="74"/>
      <c r="I26" s="78" t="s">
        <v>106</v>
      </c>
      <c r="J26" s="22">
        <f>SUM(J19:J23)</f>
        <v>407.5</v>
      </c>
      <c r="K26" s="19">
        <f>SUM(K19:K23)</f>
        <v>369.41499999999996</v>
      </c>
      <c r="L26" s="20">
        <f t="shared" si="0"/>
        <v>-38.085000000000036</v>
      </c>
      <c r="M26" s="24">
        <f>SUM(M19:M23)</f>
        <v>416.98900000000003</v>
      </c>
      <c r="N26" s="21">
        <f t="shared" si="2"/>
        <v>-47.574000000000069</v>
      </c>
      <c r="O26" s="22">
        <f>SUM(O19:O23)</f>
        <v>43556.176393000002</v>
      </c>
      <c r="P26" s="19">
        <f>SUM(P19:P23)</f>
        <v>37708.132981000002</v>
      </c>
      <c r="Q26" s="20">
        <f t="shared" si="3"/>
        <v>-5848.0434119999991</v>
      </c>
      <c r="R26" s="24">
        <f>SUM(R19:R23)</f>
        <v>43955.105952999998</v>
      </c>
      <c r="S26" s="21">
        <f t="shared" si="4"/>
        <v>-6246.9729719999959</v>
      </c>
      <c r="T26" s="22">
        <f>SUM(T19:T23)</f>
        <v>6228.9348350414639</v>
      </c>
      <c r="U26" s="19">
        <f>SUM(U19:U23)</f>
        <v>3121.1199199999996</v>
      </c>
      <c r="V26" s="20">
        <f t="shared" si="5"/>
        <v>-3107.8149150414642</v>
      </c>
      <c r="W26" s="24">
        <f>SUM(W19:W23)</f>
        <v>7081.2428660000041</v>
      </c>
      <c r="X26" s="21">
        <f t="shared" si="6"/>
        <v>-3960.1229460000045</v>
      </c>
      <c r="Y26" s="22">
        <f>+[12]중부권!$Q$85</f>
        <v>106886.32243680982</v>
      </c>
      <c r="Z26" s="19">
        <f>+[12]중부권!$R$85</f>
        <v>101964.51474953731</v>
      </c>
      <c r="AA26" s="23">
        <f>+[13]중부권!$Q$85</f>
        <v>105399.54627623112</v>
      </c>
      <c r="AB26" s="28">
        <f>+[12]중부권!$Q$89</f>
        <v>78170.821500955819</v>
      </c>
      <c r="AC26" s="19">
        <f>+[12]중부권!$R$89</f>
        <v>79272.320273169607</v>
      </c>
      <c r="AD26" s="29">
        <f>+[13]중부권!$Q$89</f>
        <v>75896.072283220637</v>
      </c>
      <c r="AE26" s="28">
        <f t="shared" si="7"/>
        <v>28715.500935853997</v>
      </c>
      <c r="AF26" s="19">
        <f t="shared" si="7"/>
        <v>22692.194476367702</v>
      </c>
      <c r="AG26" s="29">
        <f t="shared" si="7"/>
        <v>29503.473993010484</v>
      </c>
      <c r="AH26" s="17"/>
      <c r="AI26" s="493"/>
      <c r="AJ26" s="494"/>
    </row>
    <row r="27" spans="2:38" s="3" customFormat="1" ht="22.5" customHeight="1" x14ac:dyDescent="0.3">
      <c r="B27" s="25"/>
      <c r="F27" s="483">
        <f>+K27/M27</f>
        <v>0.80834244302942915</v>
      </c>
      <c r="G27" s="336">
        <f>+K27/J27</f>
        <v>0.86652692073883564</v>
      </c>
      <c r="H27" s="267" t="s">
        <v>94</v>
      </c>
      <c r="I27" s="268"/>
      <c r="J27" s="269">
        <f>SUM(J24:J26)</f>
        <v>2138.5</v>
      </c>
      <c r="K27" s="270">
        <f>SUM(K24:K26)</f>
        <v>1853.06782</v>
      </c>
      <c r="L27" s="271">
        <f t="shared" si="0"/>
        <v>-285.43218000000002</v>
      </c>
      <c r="M27" s="272">
        <f>SUM(M24:M26)</f>
        <v>2292.4292</v>
      </c>
      <c r="N27" s="273">
        <f t="shared" si="2"/>
        <v>-439.36138000000005</v>
      </c>
      <c r="O27" s="269">
        <f>SUM(O24:O26)</f>
        <v>215180.09664282852</v>
      </c>
      <c r="P27" s="270">
        <f>SUM(P24:P26)</f>
        <v>182330.54389199999</v>
      </c>
      <c r="Q27" s="271">
        <f t="shared" si="3"/>
        <v>-32849.55275082853</v>
      </c>
      <c r="R27" s="272">
        <f>SUM(R24:R26)</f>
        <v>232174.936506</v>
      </c>
      <c r="S27" s="273">
        <f t="shared" si="4"/>
        <v>-49844.392614000011</v>
      </c>
      <c r="T27" s="269">
        <f>SUM(T24:T26)</f>
        <v>18983.118544503093</v>
      </c>
      <c r="U27" s="270">
        <f>SUM(U24:U26)</f>
        <v>9661.7814780099998</v>
      </c>
      <c r="V27" s="271">
        <f t="shared" si="5"/>
        <v>-9321.3370664930935</v>
      </c>
      <c r="W27" s="272">
        <f>SUM(W24:W26)</f>
        <v>26399.129912010005</v>
      </c>
      <c r="X27" s="273">
        <f t="shared" si="6"/>
        <v>-16737.348434000007</v>
      </c>
      <c r="Y27" s="269">
        <f>+[12]합계!$Q$85</f>
        <v>100621.97645210593</v>
      </c>
      <c r="Z27" s="270">
        <f>+[12]합계!$R$85</f>
        <v>98398.330527507846</v>
      </c>
      <c r="AA27" s="274">
        <f>+[13]합계!$Q$85</f>
        <v>101288.08314387737</v>
      </c>
      <c r="AB27" s="275">
        <f>+[12]합계!$Q$89</f>
        <v>79526.18349561427</v>
      </c>
      <c r="AC27" s="270">
        <f>+[12]합계!$R$89</f>
        <v>79651.417565843672</v>
      </c>
      <c r="AD27" s="276">
        <f>+[13]합계!$Q$89</f>
        <v>78986.868019914386</v>
      </c>
      <c r="AE27" s="275">
        <f t="shared" si="7"/>
        <v>21095.792956491656</v>
      </c>
      <c r="AF27" s="270">
        <f t="shared" si="7"/>
        <v>18746.912961664173</v>
      </c>
      <c r="AG27" s="276">
        <f t="shared" si="7"/>
        <v>22301.215123962989</v>
      </c>
      <c r="AH27" s="26"/>
      <c r="AI27" s="493"/>
      <c r="AJ27" s="495">
        <f>+P27/O27</f>
        <v>0.84733926016700978</v>
      </c>
      <c r="AK27" s="483">
        <f>+P27/R27</f>
        <v>0.78531536020163006</v>
      </c>
      <c r="AL27" s="25"/>
    </row>
    <row r="28" spans="2:38" s="8" customFormat="1" ht="22.5" customHeight="1" x14ac:dyDescent="0.3">
      <c r="B28" s="8" t="s">
        <v>3</v>
      </c>
      <c r="E28" s="8" t="s">
        <v>123</v>
      </c>
      <c r="G28" s="334" t="s">
        <v>3</v>
      </c>
      <c r="H28" s="645" t="s">
        <v>3</v>
      </c>
      <c r="I28" s="646"/>
      <c r="J28" s="153">
        <f>+IFERROR(HLOOKUP($B28,'[1]8월누계'!$D$6:$BN$259,2,),)</f>
        <v>88300</v>
      </c>
      <c r="K28" s="154">
        <f>+IFERROR(HLOOKUP($E28,'[2]8월누계'!$F$6:$CP$99,2,),)</f>
        <v>76949.95</v>
      </c>
      <c r="L28" s="155">
        <f>+K28-J28</f>
        <v>-11350.050000000003</v>
      </c>
      <c r="M28" s="156">
        <f>+IFERROR(HLOOKUP($E28,'[3]8월누계'!$F$6:$CC$57,2,),)</f>
        <v>70612.716</v>
      </c>
      <c r="N28" s="157">
        <f>+K28-M28</f>
        <v>6337.2339999999967</v>
      </c>
      <c r="O28" s="153">
        <f>+IFERROR(HLOOKUP($B28,'[1]8월누계'!$D$6:$BN$259,3,),)/1000</f>
        <v>96491.98999039999</v>
      </c>
      <c r="P28" s="154">
        <f>+IFERROR(HLOOKUP($E28,'[2]8월누계'!$F$6:$CP$99,3,),)/1000</f>
        <v>69287.382234999983</v>
      </c>
      <c r="Q28" s="155">
        <f>+P28-O28</f>
        <v>-27204.607755400008</v>
      </c>
      <c r="R28" s="156">
        <f>+IFERROR(HLOOKUP($E28,'[3]8월누계'!$F$6:$CC$57,3,),)/1000</f>
        <v>70211.565195999996</v>
      </c>
      <c r="S28" s="157">
        <f t="shared" si="4"/>
        <v>-924.18296100001317</v>
      </c>
      <c r="T28" s="153">
        <f>+IFERROR(HLOOKUP($B28,'[1]8월누계'!$D$6:$BN$259,16,),)/1000</f>
        <v>1590.826675056004</v>
      </c>
      <c r="U28" s="154">
        <f>+IFERROR(HLOOKUP($E28,'[2]8월누계'!$F$6:$CP$99,16,),)/1000</f>
        <v>-53.335989000017904</v>
      </c>
      <c r="V28" s="155">
        <f t="shared" si="5"/>
        <v>-1644.1626640560219</v>
      </c>
      <c r="W28" s="156">
        <f>+IFERROR(HLOOKUP($E28,'[3]8월누계'!$F$6:$CC$57,16,),)/1000</f>
        <v>455.07757199999452</v>
      </c>
      <c r="X28" s="157">
        <f t="shared" si="6"/>
        <v>-508.41356100001241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  <c r="AJ28" s="495">
        <f t="shared" ref="AJ28:AJ32" si="9">+P28/O28</f>
        <v>0.71806356405224314</v>
      </c>
      <c r="AK28" s="483">
        <f>+P28/R28</f>
        <v>0.98683716908432251</v>
      </c>
    </row>
    <row r="29" spans="2:38" s="8" customFormat="1" ht="22.5" customHeight="1" x14ac:dyDescent="0.3">
      <c r="B29" s="8" t="s">
        <v>115</v>
      </c>
      <c r="C29" s="73" t="s">
        <v>46</v>
      </c>
      <c r="F29" s="495">
        <f>+K29/J29</f>
        <v>1.1855153814408494</v>
      </c>
      <c r="G29" s="335" t="str">
        <f>+I29</f>
        <v>부산모래장</v>
      </c>
      <c r="H29" s="80" t="s">
        <v>1</v>
      </c>
      <c r="I29" s="75" t="s">
        <v>115</v>
      </c>
      <c r="J29" s="55">
        <f>+IFERROR(HLOOKUP($B29,'[1]8월누계'!$D$6:$BN$259,2,),)/1000</f>
        <v>162.96456631814647</v>
      </c>
      <c r="K29" s="56">
        <f>+IFERROR(HLOOKUP($C29,'[2]8월누계'!$F$6:$CP$99,2,),)/1000</f>
        <v>193.197</v>
      </c>
      <c r="L29" s="37">
        <f t="shared" si="0"/>
        <v>30.232433681853536</v>
      </c>
      <c r="M29" s="37">
        <f>+IFERROR(HLOOKUP($C29,'[3]8월누계'!$F$6:$CC$57,2,),)/1000</f>
        <v>160.56399999999999</v>
      </c>
      <c r="N29" s="57">
        <f t="shared" si="2"/>
        <v>32.63300000000001</v>
      </c>
      <c r="O29" s="55">
        <f>+IFERROR(HLOOKUP($B29,'[1]8월누계'!$D$6:$BN$259,3,),)/1000</f>
        <v>4826.8716647974006</v>
      </c>
      <c r="P29" s="56">
        <f>+IFERROR(HLOOKUP($C29,'[2]8월누계'!$F$6:$CP$99,3,),)/1000</f>
        <v>5505.808</v>
      </c>
      <c r="Q29" s="37">
        <f t="shared" si="3"/>
        <v>678.93633520259937</v>
      </c>
      <c r="R29" s="37">
        <f>+IFERROR(HLOOKUP($C29,'[3]8월누계'!$F$6:$CC$57,3,),)/1000</f>
        <v>4760.6780799999997</v>
      </c>
      <c r="S29" s="57">
        <f t="shared" si="4"/>
        <v>745.12992000000031</v>
      </c>
      <c r="T29" s="55">
        <f>+IFERROR(HLOOKUP($B29,'[1]8월누계'!$D$6:$BN$259,21,),)/1000</f>
        <v>583.80529523763369</v>
      </c>
      <c r="U29" s="56">
        <f>+IFERROR(HLOOKUP($C29,'[2]8월누계'!$F$6:$CP$99,21,),)/1000</f>
        <v>64.659285659156737</v>
      </c>
      <c r="V29" s="37">
        <f t="shared" si="5"/>
        <v>-519.14600957847699</v>
      </c>
      <c r="W29" s="37">
        <f>+IFERROR(HLOOKUP($C29,'[3]8월누계'!$F$6:$CC$57,21,),)/1000</f>
        <v>308.88633444818709</v>
      </c>
      <c r="X29" s="57">
        <f t="shared" si="6"/>
        <v>-244.22704878903033</v>
      </c>
      <c r="Y29" s="497"/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  <c r="AJ29" s="495"/>
      <c r="AK29" s="495"/>
    </row>
    <row r="30" spans="2:38" s="8" customFormat="1" ht="22.5" customHeight="1" x14ac:dyDescent="0.3">
      <c r="B30" s="8" t="s">
        <v>116</v>
      </c>
      <c r="C30" s="75" t="s">
        <v>47</v>
      </c>
      <c r="F30" s="495">
        <f t="shared" ref="F30:F32" si="10">+K30/J30</f>
        <v>0.43327275246766944</v>
      </c>
      <c r="G30" s="335" t="str">
        <f>+I30</f>
        <v>서부산CR</v>
      </c>
      <c r="H30" s="79"/>
      <c r="I30" s="75" t="s">
        <v>124</v>
      </c>
      <c r="J30" s="53">
        <f>+IFERROR(HLOOKUP($B30,'[1]8월누계'!$D$6:$BN$259,2,),)/1000</f>
        <v>392.57949878279572</v>
      </c>
      <c r="K30" s="58">
        <f>+IFERROR(HLOOKUP($C30,'[2]8월누계'!$F$6:$CP$99,2,),)/1000</f>
        <v>170.09399999999999</v>
      </c>
      <c r="L30" s="47">
        <f t="shared" si="0"/>
        <v>-222.48549878279573</v>
      </c>
      <c r="M30" s="47">
        <f>+IFERROR(HLOOKUP($C30,'[3]8월누계'!$F$6:$CC$57,2,),)/1000</f>
        <v>167.48</v>
      </c>
      <c r="N30" s="59">
        <f t="shared" si="2"/>
        <v>2.6140000000000043</v>
      </c>
      <c r="O30" s="53">
        <f>+IFERROR(HLOOKUP($B30,'[1]8월누계'!$D$6:$BN$259,3,),)/1000</f>
        <v>5731.0272493913972</v>
      </c>
      <c r="P30" s="58">
        <f>+IFERROR(HLOOKUP($C30,'[2]8월누계'!$F$6:$CP$99,3,),)/1000</f>
        <v>2358.038</v>
      </c>
      <c r="Q30" s="47">
        <f t="shared" si="3"/>
        <v>-3372.9892493913972</v>
      </c>
      <c r="R30" s="47">
        <f>+IFERROR(HLOOKUP($C30,'[3]8월누계'!$F$6:$CC$57,3,),)/1000</f>
        <v>2360.0239999999999</v>
      </c>
      <c r="S30" s="59">
        <f t="shared" si="4"/>
        <v>-1.9859999999998763</v>
      </c>
      <c r="T30" s="53">
        <f>+IFERROR(HLOOKUP($B30,'[1]8월누계'!$D$6:$BN$259,21,),)/1000</f>
        <v>945.23227496102822</v>
      </c>
      <c r="U30" s="58">
        <f>+IFERROR(HLOOKUP($C30,'[2]8월누계'!$F$6:$CP$99,21,),)/1000</f>
        <v>286.15190453219901</v>
      </c>
      <c r="V30" s="47">
        <f t="shared" si="5"/>
        <v>-659.08037042882916</v>
      </c>
      <c r="W30" s="47">
        <f>+IFERROR(HLOOKUP($C30,'[3]8월누계'!$F$6:$CC$57,21,),)/1000</f>
        <v>114.95376736593951</v>
      </c>
      <c r="X30" s="59">
        <f t="shared" si="6"/>
        <v>171.1981371662595</v>
      </c>
      <c r="Y30" s="266"/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95"/>
      <c r="AK30" s="567"/>
      <c r="AL30" s="86"/>
    </row>
    <row r="31" spans="2:38" s="8" customFormat="1" ht="22.5" customHeight="1" x14ac:dyDescent="0.3">
      <c r="B31" s="8" t="s">
        <v>111</v>
      </c>
      <c r="C31" s="77" t="s">
        <v>111</v>
      </c>
      <c r="F31" s="495">
        <f t="shared" si="10"/>
        <v>0.71965675910220395</v>
      </c>
      <c r="G31" s="335" t="str">
        <f>+I31</f>
        <v>부산CR</v>
      </c>
      <c r="H31" s="79"/>
      <c r="I31" s="77" t="s">
        <v>125</v>
      </c>
      <c r="J31" s="53">
        <f>+IFERROR(HLOOKUP($B31,'[1]8월누계'!$D$6:$BN$259,2,),)/1000</f>
        <v>202.70635709999996</v>
      </c>
      <c r="K31" s="58">
        <f>+IFERROR(HLOOKUP($C31,'[2]8월누계'!$F$6:$CP$99,2,),)/1000</f>
        <v>145.87899999999999</v>
      </c>
      <c r="L31" s="47">
        <f t="shared" si="0"/>
        <v>-56.827357099999972</v>
      </c>
      <c r="M31" s="47">
        <f>+IFERROR(HLOOKUP($C31,'[3]8월누계'!$F$6:$CC$57,2,),)/1000</f>
        <v>279.22000000000003</v>
      </c>
      <c r="N31" s="59">
        <f t="shared" si="2"/>
        <v>-133.34100000000004</v>
      </c>
      <c r="O31" s="53">
        <f>+IFERROR(HLOOKUP($B31,'[1]8월누계'!$D$6:$BN$259,3,),)/1000</f>
        <v>3465.1661681166665</v>
      </c>
      <c r="P31" s="58">
        <f>+IFERROR(HLOOKUP($C31,'[2]8월누계'!$F$6:$CP$99,3,),)/1000</f>
        <v>2778.6785</v>
      </c>
      <c r="Q31" s="47">
        <f t="shared" si="3"/>
        <v>-686.48766811666655</v>
      </c>
      <c r="R31" s="47">
        <f>+IFERROR(HLOOKUP($C31,'[3]8월누계'!$F$6:$CC$57,3,),)/1000</f>
        <v>5123.3379999999997</v>
      </c>
      <c r="S31" s="59">
        <f t="shared" si="4"/>
        <v>-2344.6594999999998</v>
      </c>
      <c r="T31" s="53">
        <f>+IFERROR(HLOOKUP($B31,'[1]8월누계'!$D$6:$BN$259,21,),)/1000</f>
        <v>-233.30831452620893</v>
      </c>
      <c r="U31" s="58">
        <f>+IFERROR(HLOOKUP($C31,'[2]8월누계'!$F$6:$CP$99,21,),)/1000</f>
        <v>-1063.9237004899996</v>
      </c>
      <c r="V31" s="47">
        <f t="shared" si="5"/>
        <v>-830.61538596379069</v>
      </c>
      <c r="W31" s="47">
        <f>+IFERROR(HLOOKUP($C31,'[3]8월누계'!$F$6:$CC$57,21,),)/1000</f>
        <v>35.102993740000649</v>
      </c>
      <c r="X31" s="59">
        <f t="shared" si="6"/>
        <v>-1099.0266942300002</v>
      </c>
      <c r="Y31" s="482"/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495"/>
      <c r="AK31" s="567"/>
      <c r="AL31" s="86"/>
    </row>
    <row r="32" spans="2:38" s="3" customFormat="1" ht="22.5" customHeight="1" x14ac:dyDescent="0.3">
      <c r="F32" s="495">
        <f t="shared" si="10"/>
        <v>0.67150638508324634</v>
      </c>
      <c r="G32" s="338"/>
      <c r="H32" s="134" t="s">
        <v>33</v>
      </c>
      <c r="I32" s="135"/>
      <c r="J32" s="136">
        <f>SUM(J29:J31)</f>
        <v>758.25042220094213</v>
      </c>
      <c r="K32" s="140">
        <f>SUM(K29:K31)</f>
        <v>509.16999999999996</v>
      </c>
      <c r="L32" s="138">
        <f t="shared" si="0"/>
        <v>-249.08042220094217</v>
      </c>
      <c r="M32" s="138">
        <f>SUM(M29:M31)</f>
        <v>607.26400000000001</v>
      </c>
      <c r="N32" s="139">
        <f t="shared" si="2"/>
        <v>-98.094000000000051</v>
      </c>
      <c r="O32" s="136">
        <f>SUM(O29:O31)</f>
        <v>14023.065082305464</v>
      </c>
      <c r="P32" s="140">
        <f>SUM(P29:P31)</f>
        <v>10642.5245</v>
      </c>
      <c r="Q32" s="138">
        <f t="shared" si="3"/>
        <v>-3380.5405823054643</v>
      </c>
      <c r="R32" s="138">
        <f>SUM(R29:R31)</f>
        <v>12244.040079999999</v>
      </c>
      <c r="S32" s="139">
        <f t="shared" si="4"/>
        <v>-1601.5155799999993</v>
      </c>
      <c r="T32" s="136">
        <f>SUM(T29:T31)</f>
        <v>1295.7292556724528</v>
      </c>
      <c r="U32" s="140">
        <f>SUM(U29:U31)</f>
        <v>-713.11251029864388</v>
      </c>
      <c r="V32" s="138">
        <f t="shared" si="5"/>
        <v>-2008.8417659710967</v>
      </c>
      <c r="W32" s="138">
        <f>SUM(W29:W31)</f>
        <v>458.94309555412724</v>
      </c>
      <c r="X32" s="139">
        <f t="shared" si="6"/>
        <v>-1172.0556058527711</v>
      </c>
      <c r="Y32" s="482"/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  <c r="AJ32" s="495">
        <f t="shared" si="9"/>
        <v>0.75892997982508925</v>
      </c>
      <c r="AK32" s="483">
        <f>+P32/R32</f>
        <v>0.86920039712904962</v>
      </c>
    </row>
    <row r="33" spans="2:38" s="8" customFormat="1" ht="22.5" customHeight="1" x14ac:dyDescent="0.3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(IFERROR(HLOOKUP($B33,'[1]8월누계'!$D$6:$BN$259,3,),)++IFERROR(HLOOKUP($C33,'[1]8월누계'!$D$6:$BN$259,3,),)+IFERROR(HLOOKUP($D33,'[1]8월누계'!$D$6:$BN$259,3,),))/1000</f>
        <v>605.85333333333324</v>
      </c>
      <c r="P33" s="46">
        <f>+IFERROR(HLOOKUP($E33,'[2]8월누계'!$F$6:$CP$99,3,),)/1000</f>
        <v>464.22</v>
      </c>
      <c r="Q33" s="48">
        <f t="shared" si="3"/>
        <v>-141.63333333333321</v>
      </c>
      <c r="R33" s="47">
        <f>+IFERROR(HLOOKUP($E33,'[3]8월누계'!$F$6:$CC$57,3,),)/1000</f>
        <v>726.72</v>
      </c>
      <c r="S33" s="59">
        <f t="shared" si="4"/>
        <v>-262.5</v>
      </c>
      <c r="T33" s="45">
        <f>(IFERROR(HLOOKUP($B33,'[1]8월누계'!$D$6:$BN$259,21,),)++IFERROR(HLOOKUP($C33,'[1]8월누계'!$D$6:$BN$259,21,),)+IFERROR(HLOOKUP($D33,'[1]8월누계'!$D$6:$BN$259,21,),))/1000</f>
        <v>412.09754333333336</v>
      </c>
      <c r="U33" s="46">
        <f>+IFERROR(HLOOKUP($E33,'[2]8월누계'!$F$6:$CP$99,16,),)/1000</f>
        <v>252.23502199999999</v>
      </c>
      <c r="V33" s="48">
        <f t="shared" si="5"/>
        <v>-159.86252133333338</v>
      </c>
      <c r="W33" s="47">
        <f>+IFERROR(HLOOKUP($E33,'[3]8월누계'!$F$6:$CC$57,16,),)/1000</f>
        <v>480.78375800000003</v>
      </c>
      <c r="X33" s="59">
        <f t="shared" si="6"/>
        <v>-228.54873600000005</v>
      </c>
      <c r="Y33" s="479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K33" s="495"/>
    </row>
    <row r="34" spans="2:38" s="8" customFormat="1" ht="22.5" customHeight="1" x14ac:dyDescent="0.3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11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12">+K34-M34</f>
        <v>0</v>
      </c>
      <c r="O34" s="45">
        <f>(+IFERROR(HLOOKUP($B34,'[1]8월누계'!$D$6:$BN$259,3,),)+IFERROR(HLOOKUP($C34,'[1]8월누계'!$D$6:$BN$259,3,),))/1000</f>
        <v>593.93200000000002</v>
      </c>
      <c r="P34" s="46">
        <f>+IFERROR(HLOOKUP($E34,'[2]8월누계'!$F$6:$CP$99,3,),)/1000</f>
        <v>589.37824000000001</v>
      </c>
      <c r="Q34" s="48">
        <f>+P34-O34</f>
        <v>-4.5537600000000111</v>
      </c>
      <c r="R34" s="47">
        <f>+IFERROR(HLOOKUP($E34,'[3]8월누계'!$F$6:$CC$57,3,),)/1000</f>
        <v>583.33096</v>
      </c>
      <c r="S34" s="59">
        <f t="shared" si="4"/>
        <v>6.0472800000000007</v>
      </c>
      <c r="T34" s="45">
        <f>(+IFERROR(HLOOKUP($B34,'[1]8월누계'!$D$6:$BN$259,21,),)+IFERROR(HLOOKUP($C34,'[1]8월누계'!$D$6:$BN$259,21,),))/1000</f>
        <v>538.05188800000008</v>
      </c>
      <c r="U34" s="46">
        <f>+IFERROR(HLOOKUP($E34,'[2]8월누계'!$F$6:$CP$99,16,),)/1000</f>
        <v>539.26332800000012</v>
      </c>
      <c r="V34" s="48">
        <f t="shared" si="5"/>
        <v>1.2114400000000387</v>
      </c>
      <c r="W34" s="47">
        <f>+IFERROR(HLOOKUP($E34,'[3]8월누계'!$F$6:$CC$57,16,),)/1000</f>
        <v>527.61157600000013</v>
      </c>
      <c r="X34" s="59">
        <f t="shared" si="6"/>
        <v>11.651751999999988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K34" s="495"/>
    </row>
    <row r="35" spans="2:38" s="8" customFormat="1" ht="22.5" customHeight="1" x14ac:dyDescent="0.3">
      <c r="B35" s="8" t="s">
        <v>122</v>
      </c>
      <c r="D35"/>
      <c r="E35"/>
      <c r="F35"/>
      <c r="G35" s="334" t="str">
        <f t="shared" si="11"/>
        <v>공통비</v>
      </c>
      <c r="H35" s="81"/>
      <c r="I35" s="82" t="s">
        <v>29</v>
      </c>
      <c r="J35" s="45"/>
      <c r="K35" s="46"/>
      <c r="L35" s="48">
        <f>+K35-J35</f>
        <v>0</v>
      </c>
      <c r="M35" s="47"/>
      <c r="N35" s="59">
        <f t="shared" si="12"/>
        <v>0</v>
      </c>
      <c r="O35" s="45"/>
      <c r="P35" s="46"/>
      <c r="Q35" s="48">
        <f t="shared" ref="Q35:Q38" si="13">+P35-O35</f>
        <v>0</v>
      </c>
      <c r="R35" s="47"/>
      <c r="S35" s="59">
        <f t="shared" si="4"/>
        <v>0</v>
      </c>
      <c r="T35" s="45">
        <f>-'[1]8월누계'!$Z$22/1000</f>
        <v>-12654.404751362366</v>
      </c>
      <c r="U35" s="46">
        <f>+-'[2]8월누계'!$Z$22/1000</f>
        <v>-12791.627545759011</v>
      </c>
      <c r="V35" s="48">
        <f t="shared" si="5"/>
        <v>-137.22279439664453</v>
      </c>
      <c r="W35" s="47">
        <f>+-'[3]8월누계'!$Z$22/1000</f>
        <v>-11523.192570549891</v>
      </c>
      <c r="X35" s="59">
        <f t="shared" si="6"/>
        <v>-1268.4349752091202</v>
      </c>
      <c r="Y35" s="266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K35" s="495"/>
      <c r="AL35" s="86"/>
    </row>
    <row r="36" spans="2:38" s="8" customFormat="1" ht="22.5" customHeight="1" x14ac:dyDescent="0.3">
      <c r="D36"/>
      <c r="E36"/>
      <c r="F36"/>
      <c r="G36" s="334" t="str">
        <f t="shared" si="11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12"/>
        <v>0</v>
      </c>
      <c r="O36" s="45"/>
      <c r="P36" s="46"/>
      <c r="Q36" s="48">
        <f t="shared" si="13"/>
        <v>0</v>
      </c>
      <c r="R36" s="47"/>
      <c r="S36" s="59">
        <f t="shared" si="4"/>
        <v>0</v>
      </c>
      <c r="T36" s="45"/>
      <c r="U36" s="46">
        <f>'[2]8월누계'!$BD$26/1000</f>
        <v>0</v>
      </c>
      <c r="V36" s="48">
        <f t="shared" si="5"/>
        <v>0</v>
      </c>
      <c r="W36" s="47">
        <f>'[3]8월누계'!$BD$26/1000</f>
        <v>250</v>
      </c>
      <c r="X36" s="59">
        <f t="shared" si="6"/>
        <v>-250</v>
      </c>
      <c r="Y36" s="266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K36" s="567"/>
      <c r="AL36" s="86"/>
    </row>
    <row r="37" spans="2:38" s="8" customFormat="1" ht="22.5" customHeight="1" x14ac:dyDescent="0.3">
      <c r="D37"/>
      <c r="E37"/>
      <c r="F37"/>
      <c r="G37" s="334" t="str">
        <f t="shared" si="11"/>
        <v>대손</v>
      </c>
      <c r="H37" s="81"/>
      <c r="I37" s="82" t="s">
        <v>96</v>
      </c>
      <c r="J37" s="45"/>
      <c r="K37" s="46"/>
      <c r="L37" s="48"/>
      <c r="M37" s="47"/>
      <c r="N37" s="59">
        <f t="shared" si="12"/>
        <v>0</v>
      </c>
      <c r="O37" s="45"/>
      <c r="P37" s="46"/>
      <c r="Q37" s="48">
        <f t="shared" si="13"/>
        <v>0</v>
      </c>
      <c r="R37" s="47"/>
      <c r="S37" s="59">
        <f t="shared" si="4"/>
        <v>0</v>
      </c>
      <c r="T37" s="45"/>
      <c r="U37" s="46">
        <f>'[2]8월누계'!$BE$26/1000</f>
        <v>-828.70973399999991</v>
      </c>
      <c r="V37" s="48">
        <f t="shared" si="5"/>
        <v>-828.70973399999991</v>
      </c>
      <c r="W37" s="47">
        <f>'[3]8월누계'!$BE$26/1000</f>
        <v>-975.50771499999996</v>
      </c>
      <c r="X37" s="59">
        <f t="shared" si="6"/>
        <v>146.79798100000005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84"/>
      <c r="AK37" s="567"/>
      <c r="AL37" s="86"/>
    </row>
    <row r="38" spans="2:38" s="8" customFormat="1" ht="22.5" customHeight="1" x14ac:dyDescent="0.3">
      <c r="D38"/>
      <c r="E38"/>
      <c r="F38"/>
      <c r="G38" s="334" t="str">
        <f t="shared" si="11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12"/>
        <v>0</v>
      </c>
      <c r="O38" s="45"/>
      <c r="P38" s="46"/>
      <c r="Q38" s="48">
        <f t="shared" si="13"/>
        <v>0</v>
      </c>
      <c r="R38" s="47">
        <f>+IFERROR(HLOOKUP($I$38,'[3]8월누계'!$F$6:$BJ$50,3,),)/1000</f>
        <v>0</v>
      </c>
      <c r="S38" s="59">
        <f t="shared" si="4"/>
        <v>0</v>
      </c>
      <c r="T38" s="45">
        <f>SUM('[1]8월누계'!$AM$26:$AQ$26)/1000</f>
        <v>-252.560034</v>
      </c>
      <c r="U38" s="46">
        <f>+'[2]8월누계'!$BF$26/1000</f>
        <v>-252.53512299999997</v>
      </c>
      <c r="V38" s="48">
        <f t="shared" si="5"/>
        <v>2.4911000000031436E-2</v>
      </c>
      <c r="W38" s="47">
        <f>+'[3]8월누계'!$BF$26/1000</f>
        <v>-336.47023799999994</v>
      </c>
      <c r="X38" s="59">
        <f>+U38-W38</f>
        <v>83.935114999999968</v>
      </c>
      <c r="Y38" s="479"/>
      <c r="Z38" s="491"/>
      <c r="AA38" s="229"/>
      <c r="AB38" s="229"/>
      <c r="AC38" s="229"/>
      <c r="AD38" s="229"/>
      <c r="AE38" s="229"/>
      <c r="AF38" s="229"/>
      <c r="AG38" s="50"/>
      <c r="AH38" s="17"/>
      <c r="AI38" s="18"/>
      <c r="AK38" s="567"/>
      <c r="AL38" s="86"/>
    </row>
    <row r="39" spans="2:38" s="8" customFormat="1" ht="22.5" customHeight="1" x14ac:dyDescent="0.3">
      <c r="B39" t="s">
        <v>30</v>
      </c>
      <c r="D39"/>
      <c r="G39" s="334" t="str">
        <f t="shared" si="11"/>
        <v>퇴직위로금</v>
      </c>
      <c r="H39" s="81"/>
      <c r="I39" s="82" t="s">
        <v>162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+'[2]8월누계'!$BG$26/1000</f>
        <v>-759.34318890999998</v>
      </c>
      <c r="V39" s="48">
        <f t="shared" si="5"/>
        <v>-759.34318890999998</v>
      </c>
      <c r="W39" s="47"/>
      <c r="X39" s="59">
        <f>+U39-W39</f>
        <v>-759.34318890999998</v>
      </c>
      <c r="Y39" s="266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  <c r="AK39" s="495"/>
    </row>
    <row r="40" spans="2:38" s="8" customFormat="1" ht="22.5" customHeight="1" x14ac:dyDescent="0.3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IFERROR(HLOOKUP($B39,'[1]8월누계'!$D$6:$BN$259,3,),)/1000</f>
        <v>14.16</v>
      </c>
      <c r="P40" s="46">
        <f>+('[2]8월누계'!$F$8-SUM('[2]8월누계'!$Z$8,'[2]8월누계'!$AH$8,'[2]8월누계'!$AN$8,'[2]8월누계'!$AO$8,'[2]8월누계'!$BA$8,'[2]8월누계'!$BD$8,'[2]8월누계'!$BE$8,'[2]8월누계'!$BF$8))/1000</f>
        <v>13.44225</v>
      </c>
      <c r="Q40" s="54">
        <f>+P40-O40</f>
        <v>-0.71775000000000055</v>
      </c>
      <c r="R40" s="60">
        <f>+('[3]8월누계'!$F$8-SUM('[3]8월누계'!$Z$8,'[3]8월누계'!$AH$8,'[3]8월누계'!$AN$8,'[3]8월누계'!$AO$8,'[3]8월누계'!$BA$8,'[3]8월누계'!$BD$8,'[3]8월누계'!$BE$8,'[3]8월누계'!$BF$8))/1000</f>
        <v>13.85</v>
      </c>
      <c r="S40" s="61">
        <f>+P40-R40</f>
        <v>-0.40775000000000006</v>
      </c>
      <c r="T40" s="45">
        <f>+('[1]8월누계'!$E$26-'[1]8월누계'!$Z$26-'[1]8월누계'!$AA$26-'[1]8월누계'!$AE$26-'[1]8월누계'!$AL$26-'[1]8월누계'!$AM$26-'[1]8월누계'!$AN$26-'[1]8월누계'!$AO$26-'[1]8월누계'!$AP$26-'[1]8월누계'!$AQ$26-'[1]8월누계'!$AS$26)/1000+'[1]8월누계'!$AS$26/1000</f>
        <v>-524.52409800002329</v>
      </c>
      <c r="U40" s="46">
        <f>+('[2]8월누계'!$F$26-SUM('[2]8월누계'!$Z$26,'[2]8월누계'!$AH$26,'[2]8월누계'!$AN$26,'[2]8월누계'!$AO$26,'[2]8월누계'!$BA$26,'[2]8월누계'!$BD$26,'[2]8월누계'!$BE$26,'[2]8월누계'!$BF$26))/1000-U39</f>
        <v>-61.344433000008166</v>
      </c>
      <c r="V40" s="48">
        <f>+U40-T40</f>
        <v>463.17966500001512</v>
      </c>
      <c r="W40" s="60">
        <f>+('[3]8월누계'!$F$26-SUM('[3]8월누계'!$Z$26,'[3]8월누계'!$AH$26,'[3]8월누계'!$AN$26,'[3]8월누계'!$AO$26,'[3]8월누계'!$BA$26,'[3]8월누계'!$BD$26,'[3]8월누계'!$BE$26,'[3]8월누계'!$BF$26))/1000</f>
        <v>-193.17740199995973</v>
      </c>
      <c r="X40" s="59">
        <f>+U40-W40</f>
        <v>131.83296899995156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  <c r="AK40" s="495"/>
    </row>
    <row r="41" spans="2:38" s="3" customFormat="1" ht="22.5" customHeight="1" x14ac:dyDescent="0.3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12"/>
        <v>0</v>
      </c>
      <c r="O41" s="136">
        <f>SUM(O33:O40)</f>
        <v>1213.9453333333333</v>
      </c>
      <c r="P41" s="137">
        <f>SUM(P33:P40)</f>
        <v>1067.0404900000001</v>
      </c>
      <c r="Q41" s="141">
        <f t="shared" si="3"/>
        <v>-146.90484333333325</v>
      </c>
      <c r="R41" s="142">
        <f>SUM(R33:R40)</f>
        <v>1323.9009599999999</v>
      </c>
      <c r="S41" s="143">
        <f>+P41-R41</f>
        <v>-256.86046999999985</v>
      </c>
      <c r="T41" s="136">
        <f>SUM(T33:T40)</f>
        <v>-12481.339452029057</v>
      </c>
      <c r="U41" s="137">
        <f>SUM(U33:U40)</f>
        <v>-13902.061674669018</v>
      </c>
      <c r="V41" s="141">
        <f>+U41-T41</f>
        <v>-1420.7222226399608</v>
      </c>
      <c r="W41" s="142">
        <f>SUM(W33:W40)</f>
        <v>-11769.952591549849</v>
      </c>
      <c r="X41" s="143">
        <f>+U41-W41</f>
        <v>-2132.1090831191686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  <c r="AJ41" s="495">
        <f t="shared" ref="AJ41" si="14">+P41/O41</f>
        <v>0.87898561879227954</v>
      </c>
      <c r="AK41" s="483">
        <f>+P41/R41</f>
        <v>0.80598211062555625</v>
      </c>
    </row>
    <row r="42" spans="2:38" s="8" customFormat="1" ht="19.5" customHeight="1" x14ac:dyDescent="0.3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  <c r="AK42" s="495"/>
    </row>
    <row r="43" spans="2:38" s="3" customFormat="1" ht="22.5" customHeight="1" x14ac:dyDescent="0.3">
      <c r="G43" s="339">
        <f>+P43/O43</f>
        <v>0.80550677082454203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326909.09704886732</v>
      </c>
      <c r="P43" s="280">
        <f>+P27+P32+P28+P41</f>
        <v>263327.49111699994</v>
      </c>
      <c r="Q43" s="281">
        <f t="shared" si="3"/>
        <v>-63581.60593186738</v>
      </c>
      <c r="R43" s="282">
        <f>+R27+R32+R28+R41</f>
        <v>315954.44274199998</v>
      </c>
      <c r="S43" s="283">
        <f>+P43-R43</f>
        <v>-52626.951625000045</v>
      </c>
      <c r="T43" s="279">
        <f>+T27+T32+T28+T41</f>
        <v>9388.3350232024932</v>
      </c>
      <c r="U43" s="280">
        <f>+U27+U32+U28+U41</f>
        <v>-5006.7286959576795</v>
      </c>
      <c r="V43" s="281">
        <f>+U43-T43</f>
        <v>-14395.063719160173</v>
      </c>
      <c r="W43" s="282">
        <f>+W27+W32+W28+W41</f>
        <v>15543.197988014279</v>
      </c>
      <c r="X43" s="283">
        <f>+U43-W43</f>
        <v>-20549.926683971957</v>
      </c>
      <c r="Y43" s="647"/>
      <c r="Z43" s="648"/>
      <c r="AA43" s="648"/>
      <c r="AB43" s="648"/>
      <c r="AC43" s="648"/>
      <c r="AD43" s="648"/>
      <c r="AE43" s="648"/>
      <c r="AF43" s="648"/>
      <c r="AG43" s="649"/>
      <c r="AH43" s="25"/>
      <c r="AJ43" s="495">
        <f t="shared" ref="AJ43" si="15">+P43/O43</f>
        <v>0.80550677082454203</v>
      </c>
      <c r="AK43" s="483">
        <f>+P43/R43</f>
        <v>0.83343500041246832</v>
      </c>
    </row>
    <row r="44" spans="2:38" s="33" customFormat="1" x14ac:dyDescent="0.3">
      <c r="G44" s="336">
        <f>+U43/T43</f>
        <v>-0.53329250432413877</v>
      </c>
      <c r="K44" s="295">
        <f>+K28/J28</f>
        <v>0.87146036240090596</v>
      </c>
      <c r="L44" s="295"/>
      <c r="M44" s="295">
        <f>+K28/M28</f>
        <v>1.0897463567326882</v>
      </c>
      <c r="P44" s="295">
        <f>+P43/O43</f>
        <v>0.80550677082454203</v>
      </c>
      <c r="R44" s="295">
        <f>+P43/R43</f>
        <v>0.83343500041246832</v>
      </c>
      <c r="T44" s="295">
        <f>+T43/O43</f>
        <v>2.8718488130047657E-2</v>
      </c>
      <c r="U44" s="295">
        <f>+U43/P43</f>
        <v>-1.9013315604534137E-2</v>
      </c>
      <c r="V44" s="33">
        <f>+V43/100</f>
        <v>-143.95063719160171</v>
      </c>
      <c r="X44" s="33">
        <f>+X43/100</f>
        <v>-205.49926683971955</v>
      </c>
      <c r="AC44" s="34"/>
      <c r="AF44" s="34"/>
      <c r="AK44" s="3"/>
    </row>
    <row r="45" spans="2:38" s="33" customFormat="1" ht="17.25" thickBot="1" x14ac:dyDescent="0.35">
      <c r="G45" s="340"/>
      <c r="K45" s="295">
        <f>+K32/J32</f>
        <v>0.67150638508324634</v>
      </c>
      <c r="L45" s="295"/>
      <c r="M45" s="295">
        <f>+K32/M32</f>
        <v>0.83846564262001366</v>
      </c>
      <c r="AC45" s="34"/>
      <c r="AF45" s="34"/>
    </row>
    <row r="46" spans="2:38" s="33" customFormat="1" x14ac:dyDescent="0.3">
      <c r="G46" s="340"/>
      <c r="I46" s="644" t="s">
        <v>82</v>
      </c>
      <c r="J46" s="126">
        <f>+'[1]8월누계'!$Z$7/1000</f>
        <v>2138.5</v>
      </c>
      <c r="K46" s="127">
        <f>+'[2]8월누계'!$AI$7/1000</f>
        <v>1853.06782</v>
      </c>
      <c r="L46" s="127"/>
      <c r="M46" s="127">
        <f>+'[3]8월누계'!$Z$7/1000</f>
        <v>2292.4292</v>
      </c>
      <c r="N46" s="127"/>
      <c r="O46" s="127">
        <f>+'[1]8월누계'!$E$8/1000</f>
        <v>326909.09704886732</v>
      </c>
      <c r="P46" s="127">
        <f>+'[2]8월누계'!$F$8/1000</f>
        <v>263327.491117</v>
      </c>
      <c r="Q46" s="127"/>
      <c r="R46" s="127">
        <f>+'[3]8월누계'!$F$8/1000</f>
        <v>315954.44274199998</v>
      </c>
      <c r="S46" s="127"/>
      <c r="T46" s="132">
        <f>+'[1]8월누계'!$E$26/1000</f>
        <v>9388.3350232025168</v>
      </c>
      <c r="U46" s="127">
        <f>+'[2]8월누계'!$F$26/1000</f>
        <v>-5006.7286959576832</v>
      </c>
      <c r="V46" s="127"/>
      <c r="W46" s="127">
        <f>+'[3]8월누계'!$F$26/1000</f>
        <v>15543.197988014274</v>
      </c>
      <c r="X46" s="128"/>
      <c r="AC46" s="34"/>
      <c r="AF46" s="34"/>
    </row>
    <row r="47" spans="2:38" s="33" customFormat="1" ht="17.25" thickBot="1" x14ac:dyDescent="0.35">
      <c r="G47" s="340"/>
      <c r="I47" s="644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2.3646862246096134E-11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</row>
    <row r="48" spans="2:38" x14ac:dyDescent="0.3">
      <c r="T48" s="294"/>
      <c r="U48" s="294"/>
      <c r="V48" s="294"/>
    </row>
    <row r="49" spans="10:33" x14ac:dyDescent="0.3">
      <c r="O49" s="492">
        <f>+O43-O28</f>
        <v>230417.10705846734</v>
      </c>
      <c r="P49" s="492">
        <f>+P43-P28</f>
        <v>194040.10888199997</v>
      </c>
      <c r="Q49" s="492">
        <f>+P49-O49</f>
        <v>-36376.998176467372</v>
      </c>
      <c r="T49" s="294"/>
      <c r="U49" s="294"/>
      <c r="V49" s="294"/>
      <c r="AC49" s="34"/>
      <c r="AD49" s="33"/>
      <c r="AE49" s="33"/>
      <c r="AF49" s="34"/>
    </row>
    <row r="50" spans="10:33" x14ac:dyDescent="0.3">
      <c r="O50" s="492">
        <f>+O49/100</f>
        <v>2304.1710705846735</v>
      </c>
      <c r="P50" s="492">
        <f>+P49/100</f>
        <v>1940.4010888199998</v>
      </c>
      <c r="Q50" s="492">
        <f>+P50-O50</f>
        <v>-363.76998176467373</v>
      </c>
      <c r="S50" t="s">
        <v>40</v>
      </c>
      <c r="T50" s="236">
        <f>(+T27+T35)/100</f>
        <v>63.287137931407273</v>
      </c>
      <c r="U50" s="236">
        <f>(+U27+U35)/100</f>
        <v>-31.298460677490112</v>
      </c>
      <c r="V50" s="236">
        <f>+U50-T50</f>
        <v>-94.585598608897385</v>
      </c>
      <c r="W50" s="235">
        <f>+U50/T50-1</f>
        <v>-1.4945469443003163</v>
      </c>
      <c r="AC50" s="34"/>
      <c r="AD50" s="33"/>
      <c r="AE50" s="33"/>
      <c r="AF50" s="34"/>
    </row>
    <row r="51" spans="10:33" x14ac:dyDescent="0.3">
      <c r="Q51" s="235">
        <f>+P50/O50</f>
        <v>0.84212544528112288</v>
      </c>
      <c r="S51" t="s">
        <v>1</v>
      </c>
      <c r="T51" s="6">
        <f>+T32/100</f>
        <v>12.957292556724529</v>
      </c>
      <c r="U51" s="6">
        <f>+U32/100</f>
        <v>-7.1311251029864389</v>
      </c>
      <c r="V51" s="236">
        <f>+U51-T51</f>
        <v>-20.088417659710966</v>
      </c>
      <c r="Y51" s="228" t="s">
        <v>215</v>
      </c>
      <c r="AC51" s="34"/>
      <c r="AD51" s="33"/>
      <c r="AE51" s="33"/>
      <c r="AF51" s="34"/>
    </row>
    <row r="52" spans="10:33" x14ac:dyDescent="0.3">
      <c r="S52" t="s">
        <v>44</v>
      </c>
      <c r="T52" s="6">
        <f>(T33+T34)/100</f>
        <v>9.5014943133333354</v>
      </c>
      <c r="U52" s="6">
        <f>(U33+U34)/100</f>
        <v>7.9149835000000008</v>
      </c>
      <c r="V52" s="294">
        <f>+U52-T52</f>
        <v>-1.5865108133333345</v>
      </c>
      <c r="AC52" s="34"/>
      <c r="AD52" s="33"/>
      <c r="AE52" s="33"/>
      <c r="AF52" s="34"/>
    </row>
    <row r="53" spans="10:33" x14ac:dyDescent="0.3">
      <c r="S53" s="236" t="s">
        <v>4</v>
      </c>
      <c r="T53" s="236">
        <f>((T46-T28)/100)-T50-T51-T52</f>
        <v>-7.7708413200000166</v>
      </c>
      <c r="U53" s="236">
        <f>((U46-U28)/100)-U50-U51-U52</f>
        <v>-19.0193247891001</v>
      </c>
      <c r="V53" s="236">
        <f>+U53-T53</f>
        <v>-11.248483469100083</v>
      </c>
      <c r="AC53" s="34"/>
      <c r="AD53" s="33"/>
      <c r="AE53" s="33"/>
      <c r="AF53" s="34"/>
    </row>
    <row r="54" spans="10:33" x14ac:dyDescent="0.3"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>
        <f>SUM(T52:T53)</f>
        <v>1.7306529933333188</v>
      </c>
      <c r="U54" s="236">
        <f>SUM(U52:U53)</f>
        <v>-11.104341289100098</v>
      </c>
      <c r="V54" s="236">
        <f>SUM(V52:V53)</f>
        <v>-12.834994282433417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 x14ac:dyDescent="0.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SUM(T50:T53)</f>
        <v>77.97508348146512</v>
      </c>
      <c r="U55" s="236">
        <f>SUM(U50:U53)</f>
        <v>-49.533927069576649</v>
      </c>
      <c r="V55" s="236">
        <f>+U55-T55</f>
        <v>-127.50901055104177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 x14ac:dyDescent="0.3"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 x14ac:dyDescent="0.3">
      <c r="J57" s="236">
        <f>+J32*1000</f>
        <v>758250.42220094218</v>
      </c>
      <c r="K57" s="236">
        <f>+K32*1000</f>
        <v>509169.99999999994</v>
      </c>
      <c r="L57" s="236">
        <f>+K57-J57</f>
        <v>-249080.42220094224</v>
      </c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 x14ac:dyDescent="0.3">
      <c r="J58" s="294">
        <f>+T32/100</f>
        <v>12.957292556724529</v>
      </c>
      <c r="K58" s="294">
        <f>+U32/100</f>
        <v>-7.1311251029864389</v>
      </c>
      <c r="L58" s="294">
        <f>+K58-J58</f>
        <v>-20.088417659710966</v>
      </c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9.5014943133333354</v>
      </c>
      <c r="U58" s="294">
        <f>+(U33+U34)/100</f>
        <v>7.9149835000000008</v>
      </c>
      <c r="V58" s="236">
        <f>+U58-T58</f>
        <v>-1.5865108133333345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 x14ac:dyDescent="0.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16">+T36/100</f>
        <v>0</v>
      </c>
      <c r="U59" s="236">
        <f t="shared" si="16"/>
        <v>0</v>
      </c>
      <c r="V59" s="236">
        <f>+U59-T59</f>
        <v>0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</row>
    <row r="60" spans="10:33" x14ac:dyDescent="0.3">
      <c r="S60" s="236" t="str">
        <f>+I37</f>
        <v>대손</v>
      </c>
      <c r="T60" s="236">
        <f t="shared" si="16"/>
        <v>0</v>
      </c>
      <c r="U60" s="236">
        <f t="shared" si="16"/>
        <v>-8.287097339999999</v>
      </c>
      <c r="V60" s="236">
        <f>+U60-T60</f>
        <v>-8.287097339999999</v>
      </c>
      <c r="AC60" s="236"/>
      <c r="AD60" s="236"/>
      <c r="AE60" s="236"/>
      <c r="AF60" s="236"/>
    </row>
    <row r="61" spans="10:33" x14ac:dyDescent="0.3">
      <c r="S61" s="236" t="str">
        <f>+I38</f>
        <v>미운영 공장</v>
      </c>
      <c r="T61" s="236">
        <f t="shared" si="16"/>
        <v>-2.52560034</v>
      </c>
      <c r="U61" s="236">
        <f t="shared" si="16"/>
        <v>-2.5253512299999996</v>
      </c>
      <c r="V61" s="236">
        <f>+U61-T61</f>
        <v>2.4911000000038541E-4</v>
      </c>
      <c r="AC61" s="236"/>
      <c r="AD61" s="236"/>
      <c r="AE61" s="236"/>
    </row>
    <row r="62" spans="10:33" x14ac:dyDescent="0.3">
      <c r="S62" s="236" t="str">
        <f>+I40</f>
        <v>기타</v>
      </c>
      <c r="T62" s="236">
        <f>+T40/100</f>
        <v>-5.2452409800002329</v>
      </c>
      <c r="U62" s="236">
        <f>+U40/100</f>
        <v>-0.61344433000008169</v>
      </c>
      <c r="V62" s="236">
        <f>+U62-T62</f>
        <v>4.6317966500001511</v>
      </c>
      <c r="AC62" s="236"/>
      <c r="AD62" s="236"/>
      <c r="AE62" s="236"/>
    </row>
    <row r="63" spans="10:33" x14ac:dyDescent="0.3">
      <c r="T63" s="6">
        <f>SUM(T58:T62)</f>
        <v>1.7306529933331021</v>
      </c>
      <c r="U63" s="6">
        <f>SUM(U58:U62)</f>
        <v>-3.5109094000000796</v>
      </c>
      <c r="V63" s="6">
        <f>SUM(V58:V62)</f>
        <v>-5.2415623933331812</v>
      </c>
      <c r="AC63" s="236"/>
      <c r="AE63" s="236"/>
    </row>
    <row r="64" spans="10:33" x14ac:dyDescent="0.3">
      <c r="AC64" s="236"/>
      <c r="AE64" s="236"/>
    </row>
    <row r="65" spans="20:31" x14ac:dyDescent="0.3">
      <c r="AC65" s="236"/>
      <c r="AE65" s="236"/>
    </row>
    <row r="66" spans="20:31" x14ac:dyDescent="0.3">
      <c r="AC66" s="236"/>
      <c r="AE66" s="236"/>
    </row>
    <row r="67" spans="20:31" x14ac:dyDescent="0.3">
      <c r="AC67" s="236"/>
      <c r="AE67" s="236"/>
    </row>
    <row r="68" spans="20:31" x14ac:dyDescent="0.3">
      <c r="AC68" s="236"/>
      <c r="AE68" s="236"/>
    </row>
    <row r="69" spans="20:31" x14ac:dyDescent="0.3">
      <c r="T69" s="6">
        <f>SUM(T33:T34,T36,T38:T39,T40,Y37)</f>
        <v>173.06529933331024</v>
      </c>
      <c r="U69" s="6">
        <f>SUM(U33:U34,U36,U38:U39,U40,Z37)</f>
        <v>-281.72439491000807</v>
      </c>
      <c r="V69" s="6">
        <f>+U69-T69</f>
        <v>-454.78969424331831</v>
      </c>
      <c r="AC69" s="236"/>
      <c r="AE69" s="236"/>
    </row>
    <row r="70" spans="20:31" x14ac:dyDescent="0.3">
      <c r="AC70" s="236"/>
      <c r="AE70" s="236"/>
    </row>
    <row r="71" spans="20:31" x14ac:dyDescent="0.3">
      <c r="T71" s="492">
        <f>+T43-T28</f>
        <v>7797.508348146489</v>
      </c>
      <c r="U71" s="492">
        <f>+U43-U28</f>
        <v>-4953.3927069576612</v>
      </c>
      <c r="V71" s="492">
        <f>+U71-T71</f>
        <v>-12750.90105510415</v>
      </c>
      <c r="AC71" s="236"/>
      <c r="AE71" s="236"/>
    </row>
    <row r="72" spans="20:31" x14ac:dyDescent="0.3">
      <c r="T72" s="492">
        <f>+T71/100</f>
        <v>77.975083481464893</v>
      </c>
      <c r="U72" s="492">
        <f>+U71/100</f>
        <v>-49.533927069576613</v>
      </c>
      <c r="V72" s="492">
        <f>+U72-T72</f>
        <v>-127.50901055104151</v>
      </c>
      <c r="AC72" s="236"/>
      <c r="AE72" s="236"/>
    </row>
    <row r="73" spans="20:31" x14ac:dyDescent="0.3">
      <c r="AC73" s="236"/>
      <c r="AE73" s="236"/>
    </row>
    <row r="74" spans="20:31" x14ac:dyDescent="0.3">
      <c r="AC74" s="236"/>
      <c r="AE74" s="236"/>
    </row>
    <row r="75" spans="20:31" x14ac:dyDescent="0.3">
      <c r="U75" s="492">
        <f>+U71-U37-U39</f>
        <v>-3365.3397840476609</v>
      </c>
      <c r="AC75" s="236"/>
      <c r="AE75" s="236"/>
    </row>
    <row r="76" spans="20:31" x14ac:dyDescent="0.3">
      <c r="U76" s="492">
        <f>+U75/100</f>
        <v>-33.653397840476607</v>
      </c>
      <c r="AC76" s="236"/>
      <c r="AE76" s="236"/>
    </row>
    <row r="77" spans="20:31" x14ac:dyDescent="0.3">
      <c r="AC77" s="236"/>
      <c r="AE77" s="236"/>
    </row>
    <row r="78" spans="20:31" x14ac:dyDescent="0.3">
      <c r="AC78" s="236"/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6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2048-9796-4FE9-85E5-BA6F10045AB3}">
  <sheetPr>
    <tabColor theme="1" tint="0.34998626667073579"/>
    <pageSetUpPr fitToPage="1"/>
  </sheetPr>
  <dimension ref="A1:AQ77"/>
  <sheetViews>
    <sheetView showGridLines="0" showZeros="0" topLeftCell="E1" zoomScale="85" zoomScaleNormal="85" zoomScaleSheetLayoutView="85" workbookViewId="0">
      <selection activeCell="U11" sqref="U11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39" ht="18" customHeight="1" x14ac:dyDescent="0.3">
      <c r="H1" s="4"/>
      <c r="K1" s="6"/>
      <c r="L1" s="6"/>
      <c r="P1" s="6"/>
      <c r="Q1" s="6"/>
    </row>
    <row r="2" spans="1:39" ht="18" customHeight="1" x14ac:dyDescent="0.3">
      <c r="H2" s="7"/>
      <c r="AD2" s="5"/>
      <c r="AG2" s="5"/>
    </row>
    <row r="3" spans="1:39" ht="26.25" x14ac:dyDescent="0.3">
      <c r="H3" s="4" t="s">
        <v>217</v>
      </c>
      <c r="AD3" s="5"/>
      <c r="AG3" s="5"/>
    </row>
    <row r="4" spans="1:39" ht="18" customHeight="1" x14ac:dyDescent="0.3">
      <c r="H4" s="7"/>
      <c r="AD4" s="5"/>
      <c r="AG4" s="5" t="s">
        <v>77</v>
      </c>
    </row>
    <row r="5" spans="1:39" s="8" customFormat="1" ht="19.5" customHeight="1" x14ac:dyDescent="0.3">
      <c r="G5" s="334"/>
      <c r="H5" s="641" t="s">
        <v>11</v>
      </c>
      <c r="I5" s="642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9" s="8" customFormat="1" ht="19.5" customHeight="1" x14ac:dyDescent="0.3">
      <c r="A6" s="8" t="s">
        <v>213</v>
      </c>
      <c r="G6" s="334"/>
      <c r="H6" s="643"/>
      <c r="I6" s="640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9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+IFERROR(HLOOKUP($B7,'[1]8월'!$D$6:$BN$259,2,),)/1000</f>
        <v>40</v>
      </c>
      <c r="K7" s="36">
        <f>+IFERROR(HLOOKUP($B7,'[2]8월'!$F$6:$CP$99,2,),)/1000</f>
        <v>23.449000000000002</v>
      </c>
      <c r="L7" s="37">
        <f t="shared" ref="L7:L31" si="0">+K7-J7</f>
        <v>-16.550999999999998</v>
      </c>
      <c r="M7" s="38">
        <f>+IFERROR(HLOOKUP($B7,'[3]8월'!$F$6:$CC$57,2,),)/1000</f>
        <v>29.384</v>
      </c>
      <c r="N7" s="39">
        <f>+K7-M7</f>
        <v>-5.9349999999999987</v>
      </c>
      <c r="O7" s="35">
        <f>+IFERROR(HLOOKUP($B7,'[1]8월'!$D$6:$BN$259,3,),)/1000</f>
        <v>4050.2794900000004</v>
      </c>
      <c r="P7" s="36">
        <f>+IFERROR(HLOOKUP($B7,'[2]8월'!$F$6:$CP$99,3,),)/1000</f>
        <v>2252.060559</v>
      </c>
      <c r="Q7" s="37">
        <f>+P7-O7</f>
        <v>-1798.2189310000003</v>
      </c>
      <c r="R7" s="38">
        <f>+IFERROR(HLOOKUP($B7,'[3]8월'!$F$6:$CC$57,3,),)/1000</f>
        <v>2958.109586</v>
      </c>
      <c r="S7" s="39">
        <f>+P7-R7</f>
        <v>-706.04902700000002</v>
      </c>
      <c r="T7" s="35">
        <f>+IFERROR(HLOOKUP($B7,'[1]8월'!$D$6:$BN$259,16,),)/1000</f>
        <v>521.50922853763359</v>
      </c>
      <c r="U7" s="36">
        <f>+IFERROR(HLOOKUP($B7,'[2]8월'!$F$6:$CP$99,16,),)/1000</f>
        <v>88.551492999999923</v>
      </c>
      <c r="V7" s="40">
        <f>+U7-T7</f>
        <v>-432.95773553763365</v>
      </c>
      <c r="W7" s="41">
        <f>+IFERROR(HLOOKUP($B7,'[3]8월'!$F$6:$CC$57,16,),)/1000</f>
        <v>305.0203209999998</v>
      </c>
      <c r="X7" s="39">
        <f>+U7-W7</f>
        <v>-216.46882799999986</v>
      </c>
      <c r="Y7" s="35">
        <f>+[4]안양!$Q$85</f>
        <v>101256.98725000001</v>
      </c>
      <c r="Z7" s="36">
        <f>+[4]안양!$R$85</f>
        <v>96040.793168152144</v>
      </c>
      <c r="AA7" s="42">
        <f>+[5]안양!$Q$85</f>
        <v>100670.75912060986</v>
      </c>
      <c r="AB7" s="43">
        <f>+[4]안양!$Q$89</f>
        <v>81036.261122241092</v>
      </c>
      <c r="AC7" s="36">
        <f>+[4]안양!$R$89</f>
        <v>79887.109174585596</v>
      </c>
      <c r="AD7" s="44">
        <f>+[5]안양!$Q$89</f>
        <v>80931.093077865502</v>
      </c>
      <c r="AE7" s="43">
        <f>+Y7-AB7</f>
        <v>20220.726127758913</v>
      </c>
      <c r="AF7" s="36">
        <f>+Z7-AC7</f>
        <v>16153.683993566548</v>
      </c>
      <c r="AG7" s="44">
        <f>+AA7-AD7</f>
        <v>19739.666042744357</v>
      </c>
      <c r="AH7" s="17"/>
      <c r="AI7" s="18"/>
      <c r="AJ7" s="484"/>
      <c r="AK7" s="484"/>
    </row>
    <row r="8" spans="1:39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+IFERROR(HLOOKUP($B8,'[1]8월'!$D$6:$BN$259,2,),)/1000</f>
        <v>26</v>
      </c>
      <c r="K8" s="46">
        <f>+IFERROR(HLOOKUP($B8,'[2]8월'!$F$6:$CP$99,2,),)/1000</f>
        <v>23.225999999999999</v>
      </c>
      <c r="L8" s="47">
        <f t="shared" si="0"/>
        <v>-2.7740000000000009</v>
      </c>
      <c r="M8" s="48">
        <f>+IFERROR(HLOOKUP($B8,'[3]8월'!$F$6:$CC$57,2,),)/1000</f>
        <v>23.503</v>
      </c>
      <c r="N8" s="49">
        <f t="shared" ref="N8:N31" si="2">+K8-M8</f>
        <v>-0.27700000000000102</v>
      </c>
      <c r="O8" s="45">
        <f>+IFERROR(HLOOKUP($B8,'[1]8월'!$D$6:$BN$259,3,),)/1000</f>
        <v>2579.3613028609388</v>
      </c>
      <c r="P8" s="46">
        <f>+IFERROR(HLOOKUP($B8,'[2]8월'!$F$6:$CP$99,3,),)/1000</f>
        <v>2185.601537</v>
      </c>
      <c r="Q8" s="47">
        <f t="shared" ref="Q8:Q42" si="3">+P8-O8</f>
        <v>-393.75976586093884</v>
      </c>
      <c r="R8" s="48">
        <f>+IFERROR(HLOOKUP($B8,'[3]8월'!$F$6:$CC$57,3,),)/1000</f>
        <v>2336.3941929999996</v>
      </c>
      <c r="S8" s="49">
        <f t="shared" ref="S8:S37" si="4">+P8-R8</f>
        <v>-150.79265599999962</v>
      </c>
      <c r="T8" s="45">
        <f>+IFERROR(HLOOKUP($B8,'[1]8월'!$D$6:$BN$259,16,),)/1000</f>
        <v>155.95557144980714</v>
      </c>
      <c r="U8" s="46">
        <f>+IFERROR(HLOOKUP($B8,'[2]8월'!$F$6:$CP$99,16,),)/1000</f>
        <v>-70.264611999999872</v>
      </c>
      <c r="V8" s="47">
        <f t="shared" ref="V8:V38" si="5">+U8-T8</f>
        <v>-226.220183449807</v>
      </c>
      <c r="W8" s="48">
        <f>+IFERROR(HLOOKUP($B8,'[3]8월'!$F$6:$CC$57,16,),)/1000</f>
        <v>71.619563009999013</v>
      </c>
      <c r="X8" s="49">
        <f t="shared" ref="X8:X36" si="6">+U8-W8</f>
        <v>-141.8841750099989</v>
      </c>
      <c r="Y8" s="45">
        <f>+[4]인천!$Q$85</f>
        <v>99206.203956189958</v>
      </c>
      <c r="Z8" s="46">
        <f>+[4]인천!$R$85</f>
        <v>94256.418497767663</v>
      </c>
      <c r="AA8" s="50">
        <f>+[5]인천!$Q$85</f>
        <v>99419.045696747504</v>
      </c>
      <c r="AB8" s="51">
        <f>+[4]인천!$Q$89</f>
        <v>82346.605018366972</v>
      </c>
      <c r="AC8" s="46">
        <f>+[4]인천!$R$89</f>
        <v>83081.085965526305</v>
      </c>
      <c r="AD8" s="52">
        <f>+[5]인천!$Q$89</f>
        <v>84513.240547337919</v>
      </c>
      <c r="AE8" s="51">
        <f t="shared" ref="AE8:AG27" si="7">+Y8-AB8</f>
        <v>16859.598937822986</v>
      </c>
      <c r="AF8" s="46">
        <f t="shared" si="7"/>
        <v>11175.332532241358</v>
      </c>
      <c r="AG8" s="52">
        <f t="shared" si="7"/>
        <v>14905.805149409585</v>
      </c>
      <c r="AH8" s="17"/>
      <c r="AI8" s="18"/>
      <c r="AJ8" s="484"/>
      <c r="AK8" s="484"/>
    </row>
    <row r="9" spans="1:39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+IFERROR(HLOOKUP($B9,'[1]8월'!$D$6:$BN$259,2,),)/1000</f>
        <v>22</v>
      </c>
      <c r="K9" s="46">
        <f>+IFERROR(HLOOKUP($B9,'[2]8월'!$F$6:$CP$99,2,),)/1000</f>
        <v>12.851000000000001</v>
      </c>
      <c r="L9" s="47">
        <f t="shared" si="0"/>
        <v>-9.1489999999999991</v>
      </c>
      <c r="M9" s="48">
        <f>+IFERROR(HLOOKUP($B9,'[3]8월'!$F$6:$CC$57,2,),)/1000</f>
        <v>19.088000000000001</v>
      </c>
      <c r="N9" s="49">
        <f t="shared" si="2"/>
        <v>-6.2370000000000001</v>
      </c>
      <c r="O9" s="45">
        <f>+IFERROR(HLOOKUP($B9,'[1]8월'!$D$6:$BN$259,3,),)/1000</f>
        <v>2150.0156167999999</v>
      </c>
      <c r="P9" s="46">
        <f>+IFERROR(HLOOKUP($B9,'[2]8월'!$F$6:$CP$99,3,),)/1000</f>
        <v>1223.2725</v>
      </c>
      <c r="Q9" s="47">
        <f t="shared" si="3"/>
        <v>-926.74311679999983</v>
      </c>
      <c r="R9" s="48">
        <f>+IFERROR(HLOOKUP($B9,'[3]8월'!$F$6:$CC$57,3,),)/1000</f>
        <v>1820.9412</v>
      </c>
      <c r="S9" s="49">
        <f t="shared" si="4"/>
        <v>-597.66869999999994</v>
      </c>
      <c r="T9" s="45">
        <f>+IFERROR(HLOOKUP($B9,'[1]8월'!$D$6:$BN$259,16,),)/1000</f>
        <v>154.51702309676386</v>
      </c>
      <c r="U9" s="46">
        <f>+IFERROR(HLOOKUP($B9,'[2]8월'!$F$6:$CP$99,16,),)/1000</f>
        <v>11.69842799999992</v>
      </c>
      <c r="V9" s="47">
        <f t="shared" si="5"/>
        <v>-142.81859509676394</v>
      </c>
      <c r="W9" s="48">
        <f>+IFERROR(HLOOKUP($B9,'[3]8월'!$F$6:$CC$57,16,),)/1000</f>
        <v>111.92551999999992</v>
      </c>
      <c r="X9" s="49">
        <f t="shared" si="6"/>
        <v>-100.227092</v>
      </c>
      <c r="Y9" s="45">
        <f>+[4]파주!$Q$85</f>
        <v>97727.982581818185</v>
      </c>
      <c r="Z9" s="46">
        <f>+[4]파주!$R$85</f>
        <v>95316.059089826071</v>
      </c>
      <c r="AA9" s="50">
        <f>+[5]파주!$Q$85</f>
        <v>95387.216148023537</v>
      </c>
      <c r="AB9" s="51">
        <f>+[4]파주!$Q$89</f>
        <v>80409.824979014578</v>
      </c>
      <c r="AC9" s="46">
        <f>+[4]파주!$R$89</f>
        <v>78428.563229340332</v>
      </c>
      <c r="AD9" s="52">
        <f>+[5]파주!$Q$89</f>
        <v>78173.18660639193</v>
      </c>
      <c r="AE9" s="51">
        <f t="shared" si="7"/>
        <v>17318.157602803607</v>
      </c>
      <c r="AF9" s="46">
        <f t="shared" si="7"/>
        <v>16887.495860485738</v>
      </c>
      <c r="AG9" s="52">
        <f t="shared" si="7"/>
        <v>17214.029541631608</v>
      </c>
      <c r="AH9" s="17"/>
      <c r="AI9" s="18"/>
      <c r="AJ9" s="484"/>
      <c r="AK9" s="488"/>
    </row>
    <row r="10" spans="1:39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+IFERROR(HLOOKUP($B10,'[1]8월'!$D$6:$BN$259,2,),)/1000</f>
        <v>14</v>
      </c>
      <c r="K10" s="46">
        <f>+IFERROR(HLOOKUP($B10,'[2]8월'!$F$6:$CP$99,2,),)/1000</f>
        <v>9.9583200000000005</v>
      </c>
      <c r="L10" s="47">
        <f t="shared" si="0"/>
        <v>-4.0416799999999995</v>
      </c>
      <c r="M10" s="48">
        <f>+IFERROR(HLOOKUP($B10,'[3]8월'!$F$6:$CC$57,2,),)/1000</f>
        <v>10.516999999999999</v>
      </c>
      <c r="N10" s="49">
        <f t="shared" si="2"/>
        <v>-0.55867999999999896</v>
      </c>
      <c r="O10" s="45">
        <f>+IFERROR(HLOOKUP($B10,'[1]8월'!$D$6:$BN$259,3,),)/1000</f>
        <v>1318.9471400000002</v>
      </c>
      <c r="P10" s="46">
        <f>+IFERROR(HLOOKUP($B10,'[2]8월'!$F$6:$CP$99,3,),)/1000</f>
        <v>958.97741600000006</v>
      </c>
      <c r="Q10" s="47">
        <f t="shared" si="3"/>
        <v>-359.96972400000016</v>
      </c>
      <c r="R10" s="48">
        <f>+IFERROR(HLOOKUP($B10,'[3]8월'!$F$6:$CC$57,3,),)/1000</f>
        <v>995.19129199999998</v>
      </c>
      <c r="S10" s="49">
        <f t="shared" si="4"/>
        <v>-36.213875999999914</v>
      </c>
      <c r="T10" s="45">
        <f>+IFERROR(HLOOKUP($B10,'[1]8월'!$D$6:$BN$259,16,),)/1000</f>
        <v>110.35006595102423</v>
      </c>
      <c r="U10" s="46">
        <f>+IFERROR(HLOOKUP($B10,'[2]8월'!$F$6:$CP$99,16,),)/1000</f>
        <v>12.679731999999937</v>
      </c>
      <c r="V10" s="47">
        <f t="shared" si="5"/>
        <v>-97.670333951024304</v>
      </c>
      <c r="W10" s="48">
        <f>+IFERROR(HLOOKUP($B10,'[3]8월'!$F$6:$CC$57,16,),)/1000</f>
        <v>68.449577999999974</v>
      </c>
      <c r="X10" s="49">
        <f t="shared" si="6"/>
        <v>-55.769846000000037</v>
      </c>
      <c r="Y10" s="45">
        <f>+[4]김포!$Q$85</f>
        <v>94210.510000000009</v>
      </c>
      <c r="Z10" s="46">
        <f>+[4]김포!$R$85</f>
        <v>96573.794722463077</v>
      </c>
      <c r="AA10" s="50">
        <f>+[5]김포!$Q$85</f>
        <v>94621.353643155133</v>
      </c>
      <c r="AB10" s="51">
        <f>+[4]김포!$Q$89</f>
        <v>74887.780328895096</v>
      </c>
      <c r="AC10" s="46">
        <f>+[4]김포!$R$89</f>
        <v>77749.629403450861</v>
      </c>
      <c r="AD10" s="52">
        <f>+[5]김포!$Q$89</f>
        <v>73782.18200329681</v>
      </c>
      <c r="AE10" s="51">
        <f t="shared" si="7"/>
        <v>19322.729671104913</v>
      </c>
      <c r="AF10" s="46">
        <f t="shared" si="7"/>
        <v>18824.165319012216</v>
      </c>
      <c r="AG10" s="52">
        <f t="shared" si="7"/>
        <v>20839.171639858323</v>
      </c>
      <c r="AH10" s="17"/>
      <c r="AI10" s="18"/>
      <c r="AJ10" s="484"/>
      <c r="AK10" s="488"/>
    </row>
    <row r="11" spans="1:39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+IFERROR(HLOOKUP($B11,'[1]8월'!$D$6:$BN$259,2,),)/1000</f>
        <v>17</v>
      </c>
      <c r="K11" s="63">
        <f>+IFERROR(HLOOKUP($B11,'[2]8월'!$F$6:$CP$99,2,),)/1000</f>
        <v>19.280999999999999</v>
      </c>
      <c r="L11" s="64">
        <f t="shared" si="0"/>
        <v>2.2809999999999988</v>
      </c>
      <c r="M11" s="65">
        <f>+IFERROR(HLOOKUP($B11,'[3]8월'!$F$6:$CC$57,2,),)/1000</f>
        <v>15.667</v>
      </c>
      <c r="N11" s="66">
        <f t="shared" si="2"/>
        <v>3.613999999999999</v>
      </c>
      <c r="O11" s="62">
        <f>+IFERROR(HLOOKUP($B11,'[1]8월'!$D$6:$BN$259,3,),)/1000</f>
        <v>1830.903419748</v>
      </c>
      <c r="P11" s="63">
        <f>+IFERROR(HLOOKUP($B11,'[2]8월'!$F$6:$CP$99,3,),)/1000</f>
        <v>2015.1315</v>
      </c>
      <c r="Q11" s="64">
        <f t="shared" si="3"/>
        <v>184.22808025199993</v>
      </c>
      <c r="R11" s="65">
        <f>+IFERROR(HLOOKUP($B11,'[3]8월'!$F$6:$CC$57,3,),)/1000</f>
        <v>1760.8090500000001</v>
      </c>
      <c r="S11" s="66">
        <f t="shared" si="4"/>
        <v>254.32244999999989</v>
      </c>
      <c r="T11" s="62">
        <f>+IFERROR(HLOOKUP($B11,'[1]8월'!$D$6:$BN$259,16,),)/1000</f>
        <v>137.44551933924024</v>
      </c>
      <c r="U11" s="63">
        <f>+IFERROR(HLOOKUP($B11,'[2]8월'!$F$6:$CP$99,16,),)/1000</f>
        <v>150.88101499999993</v>
      </c>
      <c r="V11" s="64">
        <f t="shared" si="5"/>
        <v>13.435495660759699</v>
      </c>
      <c r="W11" s="65">
        <f>+IFERROR(HLOOKUP($B11,'[3]8월'!$F$6:$CC$57,16,),)/1000</f>
        <v>114.94155800000003</v>
      </c>
      <c r="X11" s="66">
        <f t="shared" si="6"/>
        <v>35.939456999999905</v>
      </c>
      <c r="Y11" s="62">
        <f>+[4]부산!$Q$85</f>
        <v>107700.20116164706</v>
      </c>
      <c r="Z11" s="63">
        <f>+[4]부산!$R$85</f>
        <v>104513.84782946942</v>
      </c>
      <c r="AA11" s="67">
        <f>+[5]부산!$Q$85</f>
        <v>112389.67575157977</v>
      </c>
      <c r="AB11" s="68">
        <f>+[4]부산!$Q$89</f>
        <v>84793.020053798886</v>
      </c>
      <c r="AC11" s="63">
        <f>+[4]부산!$R$89</f>
        <v>83877.40791703033</v>
      </c>
      <c r="AD11" s="69">
        <f>+[5]부산!$Q$89</f>
        <v>87284.553394963354</v>
      </c>
      <c r="AE11" s="68">
        <f t="shared" si="7"/>
        <v>22907.18110784817</v>
      </c>
      <c r="AF11" s="63">
        <f t="shared" si="7"/>
        <v>20636.439912439091</v>
      </c>
      <c r="AG11" s="69">
        <f t="shared" si="7"/>
        <v>25105.122356616412</v>
      </c>
      <c r="AH11" s="17"/>
      <c r="AI11" s="18"/>
      <c r="AJ11" s="490"/>
      <c r="AK11" s="484"/>
      <c r="AL11" s="488"/>
      <c r="AM11" s="86"/>
    </row>
    <row r="12" spans="1:39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+IFERROR(HLOOKUP($B12,'[1]8월'!$D$6:$BN$259,2,),)/1000</f>
        <v>17</v>
      </c>
      <c r="K12" s="46">
        <f>+IFERROR(HLOOKUP($B12,'[2]8월'!$F$6:$CP$99,2,),)/1000</f>
        <v>16.329000000000001</v>
      </c>
      <c r="L12" s="47">
        <f t="shared" si="0"/>
        <v>-0.67099999999999937</v>
      </c>
      <c r="M12" s="48">
        <f>+IFERROR(HLOOKUP($B12,'[3]8월'!$F$6:$CC$57,2,),)/1000</f>
        <v>17.863</v>
      </c>
      <c r="N12" s="49">
        <f t="shared" si="2"/>
        <v>-1.5339999999999989</v>
      </c>
      <c r="O12" s="45">
        <f>+IFERROR(HLOOKUP($B12,'[1]8월'!$D$6:$BN$259,3,),)/1000</f>
        <v>1688.0974380000021</v>
      </c>
      <c r="P12" s="46">
        <f>+IFERROR(HLOOKUP($B12,'[2]8월'!$F$6:$CP$99,3,),)/1000</f>
        <v>1606.0711999999999</v>
      </c>
      <c r="Q12" s="47">
        <f t="shared" si="3"/>
        <v>-82.026238000002195</v>
      </c>
      <c r="R12" s="48">
        <f>+IFERROR(HLOOKUP($B12,'[3]8월'!$F$6:$CC$57,3,),)/1000</f>
        <v>1785.4111200000002</v>
      </c>
      <c r="S12" s="49">
        <f t="shared" si="4"/>
        <v>-179.33992000000035</v>
      </c>
      <c r="T12" s="45">
        <f>+IFERROR(HLOOKUP($B12,'[1]8월'!$D$6:$BN$259,16,),)/1000</f>
        <v>152.69859387601568</v>
      </c>
      <c r="U12" s="46">
        <f>+IFERROR(HLOOKUP($B12,'[2]8월'!$F$6:$CP$99,16,),)/1000</f>
        <v>122.94463900000004</v>
      </c>
      <c r="V12" s="47">
        <f t="shared" si="5"/>
        <v>-29.753954876015641</v>
      </c>
      <c r="W12" s="48">
        <f>+IFERROR(HLOOKUP($B12,'[3]8월'!$F$6:$CC$57,16,),)/1000</f>
        <v>186.73169200000029</v>
      </c>
      <c r="X12" s="49">
        <f t="shared" si="6"/>
        <v>-63.787053000000256</v>
      </c>
      <c r="Y12" s="45">
        <f>+[4]서부산!$Q$85</f>
        <v>99299.849294117768</v>
      </c>
      <c r="Z12" s="46">
        <f>+[4]서부산!$R$85</f>
        <v>98356.98450609346</v>
      </c>
      <c r="AA12" s="50">
        <f>+[5]서부산!$Q$85</f>
        <v>99969.048871970008</v>
      </c>
      <c r="AB12" s="51">
        <f>+[4]서부산!$Q$89</f>
        <v>77452.150196835806</v>
      </c>
      <c r="AC12" s="46">
        <f>+[4]서부산!$R$89</f>
        <v>77829.948159075182</v>
      </c>
      <c r="AD12" s="52">
        <f>+[5]서부산!$Q$89</f>
        <v>78079.119043799132</v>
      </c>
      <c r="AE12" s="51">
        <f t="shared" si="7"/>
        <v>21847.699097281962</v>
      </c>
      <c r="AF12" s="46">
        <f t="shared" si="7"/>
        <v>20527.036347018278</v>
      </c>
      <c r="AG12" s="52">
        <f t="shared" si="7"/>
        <v>21889.929828170876</v>
      </c>
      <c r="AH12" s="17"/>
      <c r="AI12" s="18"/>
      <c r="AJ12" s="484"/>
      <c r="AK12" s="488"/>
    </row>
    <row r="13" spans="1:39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+IFERROR(HLOOKUP($B13,'[1]8월'!$D$6:$BN$259,2,),)/1000</f>
        <v>13</v>
      </c>
      <c r="K13" s="46">
        <f>+IFERROR(HLOOKUP($B13,'[2]8월'!$F$6:$CP$99,2,),)/1000</f>
        <v>7.1879999999999997</v>
      </c>
      <c r="L13" s="47">
        <f t="shared" si="0"/>
        <v>-5.8120000000000003</v>
      </c>
      <c r="M13" s="48">
        <f>+IFERROR(HLOOKUP($B13,'[3]8월'!$F$6:$CC$57,2,),)/1000</f>
        <v>16.832999999999998</v>
      </c>
      <c r="N13" s="49">
        <f t="shared" si="2"/>
        <v>-9.6449999999999996</v>
      </c>
      <c r="O13" s="45">
        <f>+IFERROR(HLOOKUP($B13,'[1]8월'!$D$6:$BN$259,3,),)/1000</f>
        <v>1251.8957499999999</v>
      </c>
      <c r="P13" s="46">
        <f>+IFERROR(HLOOKUP($B13,'[2]8월'!$F$6:$CP$99,3,),)/1000</f>
        <v>651.26470000000006</v>
      </c>
      <c r="Q13" s="47">
        <f t="shared" si="3"/>
        <v>-600.63104999999985</v>
      </c>
      <c r="R13" s="48">
        <f>+IFERROR(HLOOKUP($B13,'[3]8월'!$F$6:$CC$57,3,),)/1000</f>
        <v>1558.8081999999999</v>
      </c>
      <c r="S13" s="49">
        <f t="shared" si="4"/>
        <v>-907.54349999999988</v>
      </c>
      <c r="T13" s="45">
        <f>+IFERROR(HLOOKUP($B13,'[1]8월'!$D$6:$BN$259,16,),)/1000</f>
        <v>109.16349187466854</v>
      </c>
      <c r="U13" s="46">
        <f>+IFERROR(HLOOKUP($B13,'[2]8월'!$F$6:$CP$99,16,),)/1000</f>
        <v>-52.202860999999857</v>
      </c>
      <c r="V13" s="47">
        <f t="shared" si="5"/>
        <v>-161.36635287466839</v>
      </c>
      <c r="W13" s="48">
        <f>+IFERROR(HLOOKUP($B13,'[3]8월'!$F$6:$CC$57,16,),)/1000</f>
        <v>129.99266299999977</v>
      </c>
      <c r="X13" s="49">
        <f t="shared" si="6"/>
        <v>-182.19552399999964</v>
      </c>
      <c r="Y13" s="45">
        <f>+[4]김해!$Q$85</f>
        <v>96299.673076923078</v>
      </c>
      <c r="Z13" s="46">
        <f>+[4]김해!$R$85</f>
        <v>90295.742516710263</v>
      </c>
      <c r="AA13" s="50">
        <f>+[5]김해!$Q$85</f>
        <v>92674.741683091444</v>
      </c>
      <c r="AB13" s="51">
        <f>+[4]김해!$Q$89</f>
        <v>76704.191052375943</v>
      </c>
      <c r="AC13" s="46">
        <f>+[4]김해!$R$89</f>
        <v>78955.752252252263</v>
      </c>
      <c r="AD13" s="52">
        <f>+[5]김해!$Q$89</f>
        <v>76470.438929701966</v>
      </c>
      <c r="AE13" s="51">
        <f t="shared" si="7"/>
        <v>19595.482024547135</v>
      </c>
      <c r="AF13" s="46">
        <f t="shared" si="7"/>
        <v>11339.990264458</v>
      </c>
      <c r="AG13" s="52">
        <f t="shared" si="7"/>
        <v>16204.302753389478</v>
      </c>
      <c r="AH13" s="17"/>
      <c r="AI13" s="18"/>
      <c r="AJ13" s="484"/>
      <c r="AK13" s="488"/>
    </row>
    <row r="14" spans="1:39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+IFERROR(HLOOKUP($B14,'[1]8월'!$D$6:$BN$259,2,),)/1000</f>
        <v>18</v>
      </c>
      <c r="K14" s="46">
        <f>+IFERROR(HLOOKUP($B14,'[2]8월'!$F$6:$CP$99,2,),)/1000</f>
        <v>21.484999999999999</v>
      </c>
      <c r="L14" s="47">
        <f t="shared" si="0"/>
        <v>3.4849999999999994</v>
      </c>
      <c r="M14" s="48">
        <f>+IFERROR(HLOOKUP($B14,'[3]8월'!$F$6:$CC$57,2,),)/1000</f>
        <v>18.826000000000001</v>
      </c>
      <c r="N14" s="49">
        <f t="shared" si="2"/>
        <v>2.6589999999999989</v>
      </c>
      <c r="O14" s="45">
        <f>+IFERROR(HLOOKUP($B14,'[1]8월'!$D$6:$BN$259,3,),)/1000</f>
        <v>1836.0044108</v>
      </c>
      <c r="P14" s="46">
        <f>+IFERROR(HLOOKUP($B14,'[2]8월'!$F$6:$CP$99,3,),)/1000</f>
        <v>2072.7012800000002</v>
      </c>
      <c r="Q14" s="47">
        <f t="shared" si="3"/>
        <v>236.69686920000026</v>
      </c>
      <c r="R14" s="48">
        <f>+IFERROR(HLOOKUP($B14,'[3]8월'!$F$6:$CC$57,3,),)/1000</f>
        <v>1852.6110000000001</v>
      </c>
      <c r="S14" s="49">
        <f t="shared" si="4"/>
        <v>220.09028000000012</v>
      </c>
      <c r="T14" s="45">
        <f>+IFERROR(HLOOKUP($B14,'[1]8월'!$D$6:$BN$259,16,),)/1000</f>
        <v>152.64297229810259</v>
      </c>
      <c r="U14" s="46">
        <f>+IFERROR(HLOOKUP($B14,'[2]8월'!$F$6:$CP$99,16,),)/1000</f>
        <v>156.95553800000008</v>
      </c>
      <c r="V14" s="47">
        <f t="shared" si="5"/>
        <v>4.3125657018974835</v>
      </c>
      <c r="W14" s="48">
        <f>+IFERROR(HLOOKUP($B14,'[3]8월'!$F$6:$CC$57,16,),)/1000</f>
        <v>117.77505600000001</v>
      </c>
      <c r="X14" s="49">
        <f t="shared" si="6"/>
        <v>39.180482000000069</v>
      </c>
      <c r="Y14" s="45">
        <f>+[4]정관!$Q$85</f>
        <v>102000.24504444444</v>
      </c>
      <c r="Z14" s="46">
        <f>+[4]정관!$R$85</f>
        <v>96472.016755876204</v>
      </c>
      <c r="AA14" s="50">
        <f>+[5]정관!$Q$85</f>
        <v>98407.04345054712</v>
      </c>
      <c r="AB14" s="51">
        <f>+[4]정관!$Q$89</f>
        <v>82394.133404426393</v>
      </c>
      <c r="AC14" s="46">
        <f>+[4]정관!$R$89</f>
        <v>79678.570272909026</v>
      </c>
      <c r="AD14" s="52">
        <f>+[5]정관!$Q$89</f>
        <v>81011.244128717604</v>
      </c>
      <c r="AE14" s="51">
        <f t="shared" si="7"/>
        <v>19606.111640018047</v>
      </c>
      <c r="AF14" s="46">
        <f t="shared" si="7"/>
        <v>16793.446482967178</v>
      </c>
      <c r="AG14" s="52">
        <f t="shared" si="7"/>
        <v>17395.799321829516</v>
      </c>
      <c r="AH14" s="17"/>
      <c r="AI14" s="18"/>
      <c r="AJ14" s="484"/>
      <c r="AK14" s="488"/>
    </row>
    <row r="15" spans="1:39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+IFERROR(HLOOKUP($B15,'[1]8월'!$D$6:$BN$259,2,),)/1000</f>
        <v>12</v>
      </c>
      <c r="K15" s="46">
        <f>+IFERROR(HLOOKUP($B15,'[2]8월'!$F$6:$CP$99,2,),)/1000</f>
        <v>4.157</v>
      </c>
      <c r="L15" s="47">
        <f t="shared" si="0"/>
        <v>-7.843</v>
      </c>
      <c r="M15" s="48">
        <f>+IFERROR(HLOOKUP($B15,'[3]8월'!$F$6:$CC$57,2,),)/1000</f>
        <v>12.848000000000001</v>
      </c>
      <c r="N15" s="49">
        <f t="shared" si="2"/>
        <v>-8.6910000000000007</v>
      </c>
      <c r="O15" s="45">
        <f>+IFERROR(HLOOKUP($B15,'[1]8월'!$D$6:$BN$259,3,),)/1000</f>
        <v>1132.56</v>
      </c>
      <c r="P15" s="46">
        <f>+IFERROR(HLOOKUP($B15,'[2]8월'!$F$6:$CP$99,3,),)/1000</f>
        <v>364.6814</v>
      </c>
      <c r="Q15" s="47">
        <f t="shared" si="3"/>
        <v>-767.87860000000001</v>
      </c>
      <c r="R15" s="48">
        <f>+IFERROR(HLOOKUP($B15,'[3]8월'!$F$6:$CC$57,3,),)/1000</f>
        <v>1134.26441</v>
      </c>
      <c r="S15" s="49">
        <f t="shared" si="4"/>
        <v>-769.58301000000006</v>
      </c>
      <c r="T15" s="45">
        <f>+IFERROR(HLOOKUP($B15,'[1]8월'!$D$6:$BN$259,16,),)/1000</f>
        <v>118.40443130340989</v>
      </c>
      <c r="U15" s="46">
        <f>+IFERROR(HLOOKUP($B15,'[2]8월'!$F$6:$CP$99,16,),)/1000</f>
        <v>-62.460977999999976</v>
      </c>
      <c r="V15" s="47">
        <f t="shared" si="5"/>
        <v>-180.86540930340988</v>
      </c>
      <c r="W15" s="48">
        <f>+IFERROR(HLOOKUP($B15,'[3]8월'!$F$6:$CC$57,16,),)/1000</f>
        <v>84.714053999999948</v>
      </c>
      <c r="X15" s="49">
        <f t="shared" si="6"/>
        <v>-147.17503199999993</v>
      </c>
      <c r="Y15" s="45">
        <f>+[4]양산!$Q$85</f>
        <v>94380</v>
      </c>
      <c r="Z15" s="46">
        <f>+[4]양산!$R$85</f>
        <v>87727.06278566274</v>
      </c>
      <c r="AA15" s="50">
        <f>+[5]양산!$Q$85</f>
        <v>88283.344489414681</v>
      </c>
      <c r="AB15" s="51">
        <f>+[4]양산!$Q$89</f>
        <v>73252.889030271414</v>
      </c>
      <c r="AC15" s="46">
        <f>+[4]양산!$R$89</f>
        <v>71971.93120038489</v>
      </c>
      <c r="AD15" s="52">
        <f>+[5]양산!$Q$89</f>
        <v>71277.48894769614</v>
      </c>
      <c r="AE15" s="51">
        <f t="shared" si="7"/>
        <v>21127.110969728586</v>
      </c>
      <c r="AF15" s="46">
        <f t="shared" si="7"/>
        <v>15755.13158527785</v>
      </c>
      <c r="AG15" s="52">
        <f t="shared" si="7"/>
        <v>17005.855541718542</v>
      </c>
      <c r="AH15" s="17"/>
      <c r="AI15" s="18"/>
      <c r="AJ15" s="484"/>
      <c r="AK15" s="488"/>
    </row>
    <row r="16" spans="1:39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+IFERROR(HLOOKUP($B16,'[1]8월'!$D$6:$BN$259,2,),)/1000</f>
        <v>13</v>
      </c>
      <c r="K16" s="46">
        <f>+IFERROR(HLOOKUP($B16,'[2]8월'!$F$6:$CP$99,2,),)/1000</f>
        <v>6.7850000000000001</v>
      </c>
      <c r="L16" s="47">
        <f t="shared" si="0"/>
        <v>-6.2149999999999999</v>
      </c>
      <c r="M16" s="48">
        <f>+IFERROR(HLOOKUP($B16,'[3]8월'!$F$6:$CC$57,2,),)/1000</f>
        <v>16.344000000000001</v>
      </c>
      <c r="N16" s="49">
        <f t="shared" si="2"/>
        <v>-9.5590000000000011</v>
      </c>
      <c r="O16" s="45">
        <f>+IFERROR(HLOOKUP($B16,'[1]8월'!$D$6:$BN$259,3,),)/1000</f>
        <v>1314.3049431960001</v>
      </c>
      <c r="P16" s="46">
        <f>+IFERROR(HLOOKUP($B16,'[2]8월'!$F$6:$CP$99,3,),)/1000</f>
        <v>631.81899999999996</v>
      </c>
      <c r="Q16" s="47">
        <f t="shared" si="3"/>
        <v>-682.48594319600011</v>
      </c>
      <c r="R16" s="48">
        <f>+IFERROR(HLOOKUP($B16,'[3]8월'!$F$6:$CC$57,3,),)/1000</f>
        <v>1663.9588000000001</v>
      </c>
      <c r="S16" s="49">
        <f t="shared" si="4"/>
        <v>-1032.1398000000002</v>
      </c>
      <c r="T16" s="45">
        <f>+IFERROR(HLOOKUP($B16,'[1]8월'!$D$6:$BN$259,16,),)/1000</f>
        <v>147.81171337555415</v>
      </c>
      <c r="U16" s="46">
        <f>+IFERROR(HLOOKUP($B16,'[2]8월'!$F$6:$CP$99,16,),)/1000</f>
        <v>-12.880638000000049</v>
      </c>
      <c r="V16" s="47">
        <f t="shared" si="5"/>
        <v>-160.69235137555421</v>
      </c>
      <c r="W16" s="48">
        <f>+IFERROR(HLOOKUP($B16,'[3]8월'!$F$6:$CC$57,16,),)/1000</f>
        <v>252.53770600000007</v>
      </c>
      <c r="X16" s="49">
        <f t="shared" si="6"/>
        <v>-265.4183440000001</v>
      </c>
      <c r="Y16" s="45">
        <f>+[4]창원!$Q$85</f>
        <v>101100.38024584616</v>
      </c>
      <c r="Z16" s="46">
        <f>+[4]창원!$R$85</f>
        <v>93119.970523212964</v>
      </c>
      <c r="AA16" s="50">
        <f>+[5]창원!$Q$85</f>
        <v>101808.541360744</v>
      </c>
      <c r="AB16" s="51">
        <f>+[4]창원!$Q$89</f>
        <v>76060.569826433188</v>
      </c>
      <c r="AC16" s="46">
        <f>+[4]창원!$R$89</f>
        <v>71110.435453076803</v>
      </c>
      <c r="AD16" s="52">
        <f>+[5]창원!$Q$89</f>
        <v>75301.225893294177</v>
      </c>
      <c r="AE16" s="51">
        <f t="shared" si="7"/>
        <v>25039.81041941297</v>
      </c>
      <c r="AF16" s="46">
        <f t="shared" si="7"/>
        <v>22009.53507013616</v>
      </c>
      <c r="AG16" s="52">
        <f t="shared" si="7"/>
        <v>26507.315467449822</v>
      </c>
      <c r="AH16" s="17"/>
      <c r="AI16" s="18"/>
      <c r="AJ16" s="484"/>
      <c r="AK16" s="488"/>
    </row>
    <row r="17" spans="2:39" s="8" customFormat="1" ht="22.5" customHeight="1" x14ac:dyDescent="0.3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+IFERROR(HLOOKUP($B17,'[1]8월'!$D$6:$BN$259,2,),)/1000</f>
        <v>12.5</v>
      </c>
      <c r="K17" s="46">
        <f>+IFERROR(HLOOKUP($B17,'[2]8월'!$F$6:$CP$99,2,),)/1000</f>
        <v>9.9870000000000001</v>
      </c>
      <c r="L17" s="47">
        <f t="shared" si="0"/>
        <v>-2.5129999999999999</v>
      </c>
      <c r="M17" s="48">
        <f>+IFERROR(HLOOKUP($B17,'[3]8월'!$F$6:$CC$57,2,),)/1000</f>
        <v>14.6265</v>
      </c>
      <c r="N17" s="49">
        <f t="shared" si="2"/>
        <v>-4.6395</v>
      </c>
      <c r="O17" s="45">
        <f>+IFERROR(HLOOKUP($B17,'[1]8월'!$D$6:$BN$259,3,),)/1000</f>
        <v>1202.0064212500001</v>
      </c>
      <c r="P17" s="46">
        <f>+IFERROR(HLOOKUP($B17,'[2]8월'!$F$6:$CP$99,3,),)/1000</f>
        <v>880.55139999999994</v>
      </c>
      <c r="Q17" s="47">
        <f t="shared" si="3"/>
        <v>-321.45502125000019</v>
      </c>
      <c r="R17" s="48">
        <f>+IFERROR(HLOOKUP($B17,'[3]8월'!$F$6:$CC$57,3,),)/1000</f>
        <v>1424.5082500000001</v>
      </c>
      <c r="S17" s="49">
        <f t="shared" si="4"/>
        <v>-543.95685000000014</v>
      </c>
      <c r="T17" s="45">
        <f>+IFERROR(HLOOKUP($B17,'[1]8월'!$D$6:$BN$259,16,),)/1000</f>
        <v>130.691205997086</v>
      </c>
      <c r="U17" s="46">
        <f>+IFERROR(HLOOKUP($B17,'[2]8월'!$F$6:$CP$99,16,),)/1000</f>
        <v>13.899454000000029</v>
      </c>
      <c r="V17" s="47">
        <f t="shared" si="5"/>
        <v>-116.79175199708597</v>
      </c>
      <c r="W17" s="48">
        <f>+IFERROR(HLOOKUP($B17,'[3]8월'!$F$6:$CC$57,16,),)/1000</f>
        <v>205.51535700000002</v>
      </c>
      <c r="X17" s="49">
        <f t="shared" si="6"/>
        <v>-191.615903</v>
      </c>
      <c r="Y17" s="45">
        <f>+[4]대구!$Q$85</f>
        <v>96160.51370000001</v>
      </c>
      <c r="Z17" s="46">
        <f>+[4]대구!$R$85</f>
        <v>88369.706477732791</v>
      </c>
      <c r="AA17" s="50">
        <f>+[5]대구!$Q$85</f>
        <v>97392.284552011755</v>
      </c>
      <c r="AB17" s="51">
        <f>+[4]대구!$Q$89</f>
        <v>72533.291674204345</v>
      </c>
      <c r="AC17" s="46">
        <f>+[4]대구!$R$89</f>
        <v>73304.62884615385</v>
      </c>
      <c r="AD17" s="52">
        <f>+[5]대구!$Q$89</f>
        <v>72111.381054934536</v>
      </c>
      <c r="AE17" s="51">
        <f t="shared" si="7"/>
        <v>23627.222025795665</v>
      </c>
      <c r="AF17" s="46">
        <f t="shared" si="7"/>
        <v>15065.077631578941</v>
      </c>
      <c r="AG17" s="52">
        <f t="shared" si="7"/>
        <v>25280.903497077219</v>
      </c>
      <c r="AH17" s="17"/>
      <c r="AI17" s="18"/>
      <c r="AJ17" s="484"/>
      <c r="AK17" s="488"/>
    </row>
    <row r="18" spans="2:39" s="8" customFormat="1" ht="22.5" customHeight="1" x14ac:dyDescent="0.3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+IFERROR(HLOOKUP($B18,'[1]8월'!$D$6:$BN$259,2,),)/1000</f>
        <v>12</v>
      </c>
      <c r="K18" s="10">
        <f>+IFERROR(HLOOKUP($B18,'[2]8월'!$F$6:$CP$99,2,),)/1000</f>
        <v>9.4939999999999998</v>
      </c>
      <c r="L18" s="11">
        <f t="shared" si="0"/>
        <v>-2.5060000000000002</v>
      </c>
      <c r="M18" s="12">
        <f>+IFERROR(HLOOKUP($B18,'[3]8월'!$F$6:$CC$57,2,),)/1000</f>
        <v>12.603999999999999</v>
      </c>
      <c r="N18" s="13">
        <f t="shared" si="2"/>
        <v>-3.1099999999999994</v>
      </c>
      <c r="O18" s="9">
        <f>+IFERROR(HLOOKUP($B18,'[1]8월'!$D$6:$BN$259,3,),)/1000</f>
        <v>1243.5540000000001</v>
      </c>
      <c r="P18" s="10">
        <f>+IFERROR(HLOOKUP($B18,'[2]8월'!$F$6:$CP$99,3,),)/1000</f>
        <v>954.05889999999999</v>
      </c>
      <c r="Q18" s="11">
        <f t="shared" si="3"/>
        <v>-289.49510000000009</v>
      </c>
      <c r="R18" s="12">
        <f>+IFERROR(HLOOKUP($B18,'[3]8월'!$F$6:$CC$57,3,),)/1000</f>
        <v>1333.9425000000001</v>
      </c>
      <c r="S18" s="13">
        <f t="shared" si="4"/>
        <v>-379.88360000000011</v>
      </c>
      <c r="T18" s="9">
        <f>+IFERROR(HLOOKUP($B18,'[1]8월'!$D$6:$BN$259,16,),)/1000</f>
        <v>123.08733377491703</v>
      </c>
      <c r="U18" s="10">
        <f>+IFERROR(HLOOKUP($B18,'[2]8월'!$F$6:$CP$99,16,),)/1000</f>
        <v>46.051255999999988</v>
      </c>
      <c r="V18" s="11">
        <f t="shared" si="5"/>
        <v>-77.036077774917032</v>
      </c>
      <c r="W18" s="12">
        <f>+IFERROR(HLOOKUP($B18,'[3]8월'!$F$6:$CC$57,16,),)/1000</f>
        <v>205.15454399999999</v>
      </c>
      <c r="X18" s="13">
        <f t="shared" si="6"/>
        <v>-159.10328799999999</v>
      </c>
      <c r="Y18" s="9">
        <f>+[4]울산!$Q$85</f>
        <v>103629.5</v>
      </c>
      <c r="Z18" s="10">
        <f>+[4]울산!$R$85</f>
        <v>100490.72045502423</v>
      </c>
      <c r="AA18" s="14">
        <f>+[5]울산!$Q$85</f>
        <v>105834.85401459853</v>
      </c>
      <c r="AB18" s="15">
        <f>+[4]울산!$Q$89</f>
        <v>81660.865606891253</v>
      </c>
      <c r="AC18" s="10">
        <f>+[4]울산!$R$89</f>
        <v>79196.931009058346</v>
      </c>
      <c r="AD18" s="16">
        <f>+[5]울산!$Q$89</f>
        <v>79625.721025965817</v>
      </c>
      <c r="AE18" s="15">
        <f t="shared" si="7"/>
        <v>21968.634393108747</v>
      </c>
      <c r="AF18" s="10">
        <f t="shared" si="7"/>
        <v>21293.789445965886</v>
      </c>
      <c r="AG18" s="16">
        <f t="shared" si="7"/>
        <v>26209.132988632715</v>
      </c>
      <c r="AH18" s="17"/>
      <c r="AI18" s="18"/>
      <c r="AJ18" s="484"/>
      <c r="AK18" s="488"/>
    </row>
    <row r="19" spans="2:39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+IFERROR(HLOOKUP($B19,'[1]8월'!$D$6:$BN$259,2,),)/1000</f>
        <v>21</v>
      </c>
      <c r="K19" s="46">
        <f>+IFERROR(HLOOKUP($B19,'[2]8월'!$F$6:$CP$99,2,),)/1000</f>
        <v>17.800999999999998</v>
      </c>
      <c r="L19" s="47">
        <f t="shared" si="0"/>
        <v>-3.1990000000000016</v>
      </c>
      <c r="M19" s="48">
        <f>+IFERROR(HLOOKUP($B19,'[3]8월'!$F$6:$CC$57,2,),)/1000</f>
        <v>22.751000000000001</v>
      </c>
      <c r="N19" s="49">
        <f t="shared" si="2"/>
        <v>-4.9500000000000028</v>
      </c>
      <c r="O19" s="45">
        <f>+IFERROR(HLOOKUP($B19,'[1]8월'!$D$6:$BN$259,3,),)/1000</f>
        <v>2163</v>
      </c>
      <c r="P19" s="46">
        <f>+IFERROR(HLOOKUP($B19,'[2]8월'!$F$6:$CP$99,3,),)/1000</f>
        <v>1653.6115589999999</v>
      </c>
      <c r="Q19" s="47">
        <f t="shared" si="3"/>
        <v>-509.38844100000006</v>
      </c>
      <c r="R19" s="48">
        <f>+IFERROR(HLOOKUP($B19,'[3]8월'!$F$6:$CC$57,3,),)/1000</f>
        <v>2254.9744300000002</v>
      </c>
      <c r="S19" s="49">
        <f t="shared" si="4"/>
        <v>-601.36287100000027</v>
      </c>
      <c r="T19" s="45">
        <f>+IFERROR(HLOOKUP($B19,'[1]8월'!$D$6:$BN$259,16,),)/1000</f>
        <v>300.49569633581746</v>
      </c>
      <c r="U19" s="46">
        <f>+IFERROR(HLOOKUP($B19,'[2]8월'!$F$6:$CP$99,16,),)/1000</f>
        <v>29.798173999999875</v>
      </c>
      <c r="V19" s="47">
        <f t="shared" si="5"/>
        <v>-270.69752233581755</v>
      </c>
      <c r="W19" s="48">
        <f>+IFERROR(HLOOKUP($B19,'[3]8월'!$F$6:$CC$57,16,),)/1000</f>
        <v>395.17700600000029</v>
      </c>
      <c r="X19" s="49">
        <f t="shared" si="6"/>
        <v>-365.37883200000044</v>
      </c>
      <c r="Y19" s="45">
        <f>+[4]아산!$Q$85</f>
        <v>103000</v>
      </c>
      <c r="Z19" s="46">
        <f>+[4]아산!$R$85</f>
        <v>92894.307005224415</v>
      </c>
      <c r="AA19" s="50">
        <f>+[5]아산!$Q$85</f>
        <v>99115.398444024453</v>
      </c>
      <c r="AB19" s="51">
        <f>+[4]아산!$Q$89</f>
        <v>77356.346304866485</v>
      </c>
      <c r="AC19" s="46">
        <f>+[4]아산!$R$89</f>
        <v>78155.016280244745</v>
      </c>
      <c r="AD19" s="52">
        <f>+[5]아산!$Q$89</f>
        <v>71709.150780427924</v>
      </c>
      <c r="AE19" s="51">
        <f t="shared" si="7"/>
        <v>25643.653695133515</v>
      </c>
      <c r="AF19" s="46">
        <f t="shared" si="7"/>
        <v>14739.29072497967</v>
      </c>
      <c r="AG19" s="52">
        <f t="shared" si="7"/>
        <v>27406.247663596529</v>
      </c>
      <c r="AH19" s="17"/>
      <c r="AI19" s="18"/>
      <c r="AJ19" s="484"/>
      <c r="AK19" s="488"/>
    </row>
    <row r="20" spans="2:39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+IFERROR(HLOOKUP($B20,'[1]8월'!$D$6:$BN$259,2,),)/1000</f>
        <v>12</v>
      </c>
      <c r="K20" s="46">
        <f>+IFERROR(HLOOKUP($B20,'[2]8월'!$F$6:$CP$99,2,),)/1000</f>
        <v>7.6239999999999997</v>
      </c>
      <c r="L20" s="47">
        <f t="shared" si="0"/>
        <v>-4.3760000000000003</v>
      </c>
      <c r="M20" s="48">
        <f>+IFERROR(HLOOKUP($B20,'[3]8월'!$F$6:$CC$57,2,),)/1000</f>
        <v>9.3800000000000008</v>
      </c>
      <c r="N20" s="49">
        <f t="shared" si="2"/>
        <v>-1.7560000000000011</v>
      </c>
      <c r="O20" s="45">
        <f>+IFERROR(HLOOKUP($B20,'[1]8월'!$D$6:$BN$259,3,),)/1000</f>
        <v>1204.6084799999999</v>
      </c>
      <c r="P20" s="46">
        <f>+IFERROR(HLOOKUP($B20,'[2]8월'!$F$6:$CP$99,3,),)/1000</f>
        <v>752.19068200000004</v>
      </c>
      <c r="Q20" s="47">
        <f t="shared" si="3"/>
        <v>-452.41779799999983</v>
      </c>
      <c r="R20" s="48">
        <f>+IFERROR(HLOOKUP($B20,'[3]8월'!$F$6:$CC$57,3,),)/1000</f>
        <v>904.97124300000007</v>
      </c>
      <c r="S20" s="49">
        <f t="shared" si="4"/>
        <v>-152.78056100000003</v>
      </c>
      <c r="T20" s="45">
        <f>+IFERROR(HLOOKUP($B20,'[1]8월'!$D$6:$BN$259,16,),)/1000</f>
        <v>183.6795547047679</v>
      </c>
      <c r="U20" s="46">
        <f>+IFERROR(HLOOKUP($B20,'[2]8월'!$F$6:$CP$99,16,),)/1000</f>
        <v>23.432485000000035</v>
      </c>
      <c r="V20" s="47">
        <f t="shared" si="5"/>
        <v>-160.24706970476785</v>
      </c>
      <c r="W20" s="48">
        <f>+IFERROR(HLOOKUP($B20,'[3]8월'!$F$6:$CC$57,16,),)/1000</f>
        <v>82.209062000000031</v>
      </c>
      <c r="X20" s="49">
        <f t="shared" si="6"/>
        <v>-58.776576999999996</v>
      </c>
      <c r="Y20" s="45">
        <f>+[4]전주!$Q$85</f>
        <v>100384.04</v>
      </c>
      <c r="Z20" s="46">
        <f>+[4]전주!$R$85</f>
        <v>98660.897429171047</v>
      </c>
      <c r="AA20" s="50">
        <f>+[5]전주!$Q$85</f>
        <v>96478.810554371012</v>
      </c>
      <c r="AB20" s="51">
        <f>+[4]전주!$Q$89</f>
        <v>72688.918126454519</v>
      </c>
      <c r="AC20" s="46">
        <f>+[4]전주!$R$89</f>
        <v>76029.922481636924</v>
      </c>
      <c r="AD20" s="52">
        <f>+[5]전주!$Q$89</f>
        <v>73241.204584221749</v>
      </c>
      <c r="AE20" s="51">
        <f t="shared" si="7"/>
        <v>27695.121873545475</v>
      </c>
      <c r="AF20" s="46">
        <f t="shared" si="7"/>
        <v>22630.974947534123</v>
      </c>
      <c r="AG20" s="52">
        <f t="shared" si="7"/>
        <v>23237.605970149263</v>
      </c>
      <c r="AH20" s="17"/>
      <c r="AI20" s="18"/>
      <c r="AJ20" s="484"/>
      <c r="AK20" s="488"/>
    </row>
    <row r="21" spans="2:39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+IFERROR(HLOOKUP($B21,'[1]8월'!$D$6:$BN$259,2,),)/1000</f>
        <v>8</v>
      </c>
      <c r="K21" s="46">
        <f>+IFERROR(HLOOKUP($B21,'[2]8월'!$F$6:$CP$99,2,),)/1000</f>
        <v>4.4109999999999996</v>
      </c>
      <c r="L21" s="47">
        <f t="shared" si="0"/>
        <v>-3.5890000000000004</v>
      </c>
      <c r="M21" s="48">
        <f>+IFERROR(HLOOKUP($B21,'[3]8월'!$F$6:$CC$57,2,),)/1000</f>
        <v>7.4135</v>
      </c>
      <c r="N21" s="49">
        <f t="shared" si="2"/>
        <v>-3.0025000000000004</v>
      </c>
      <c r="O21" s="45">
        <f>+IFERROR(HLOOKUP($B21,'[1]8월'!$D$6:$BN$259,3,),)/1000</f>
        <v>891.23690000000011</v>
      </c>
      <c r="P21" s="46">
        <f>+IFERROR(HLOOKUP($B21,'[2]8월'!$F$6:$CP$99,3,),)/1000</f>
        <v>484.80174499999998</v>
      </c>
      <c r="Q21" s="47">
        <f t="shared" si="3"/>
        <v>-406.43515500000012</v>
      </c>
      <c r="R21" s="48">
        <f>+IFERROR(HLOOKUP($B21,'[3]8월'!$F$6:$CC$57,3,),)/1000</f>
        <v>868.56899600000008</v>
      </c>
      <c r="S21" s="49">
        <f t="shared" si="4"/>
        <v>-383.7672510000001</v>
      </c>
      <c r="T21" s="45">
        <f>+IFERROR(HLOOKUP($B21,'[1]8월'!$D$6:$BN$259,16,),)/1000</f>
        <v>233.40875686623818</v>
      </c>
      <c r="U21" s="46">
        <f>+IFERROR(HLOOKUP($B21,'[2]8월'!$F$6:$CP$99,16,),)/1000</f>
        <v>89.004880999999997</v>
      </c>
      <c r="V21" s="47">
        <f t="shared" si="5"/>
        <v>-144.4038758662382</v>
      </c>
      <c r="W21" s="48">
        <f>+IFERROR(HLOOKUP($B21,'[3]8월'!$F$6:$CC$57,16,),)/1000</f>
        <v>250.95442300000002</v>
      </c>
      <c r="X21" s="49">
        <f t="shared" si="6"/>
        <v>-161.94954200000001</v>
      </c>
      <c r="Y21" s="45">
        <f>+[4]군산!$Q$85</f>
        <v>111404.61250000002</v>
      </c>
      <c r="Z21" s="46">
        <f>+[4]군산!$R$85</f>
        <v>109907.44615733394</v>
      </c>
      <c r="AA21" s="50">
        <f>+[5]군산!$Q$85</f>
        <v>117258.21033385252</v>
      </c>
      <c r="AB21" s="51">
        <f>+[4]군산!$Q$89</f>
        <v>72426.235433386915</v>
      </c>
      <c r="AC21" s="46">
        <f>+[4]군산!$R$89</f>
        <v>71466.256177737465</v>
      </c>
      <c r="AD21" s="52">
        <f>+[5]군산!$Q$89</f>
        <v>73218.402951729746</v>
      </c>
      <c r="AE21" s="51">
        <f t="shared" si="7"/>
        <v>38978.377066613102</v>
      </c>
      <c r="AF21" s="46">
        <f t="shared" si="7"/>
        <v>38441.189979596471</v>
      </c>
      <c r="AG21" s="52">
        <f t="shared" si="7"/>
        <v>44039.807382122774</v>
      </c>
      <c r="AH21" s="17"/>
      <c r="AI21" s="18"/>
      <c r="AJ21" s="484"/>
      <c r="AK21" s="488"/>
    </row>
    <row r="22" spans="2:39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+IFERROR(HLOOKUP($B22,'[1]8월'!$D$6:$BN$259,2,),)/1000</f>
        <v>5</v>
      </c>
      <c r="K22" s="46">
        <f>+IFERROR(HLOOKUP($B22,'[2]8월'!$F$6:$CP$99,2,),)/1000</f>
        <v>2.0750000000000002</v>
      </c>
      <c r="L22" s="47">
        <f t="shared" si="0"/>
        <v>-2.9249999999999998</v>
      </c>
      <c r="M22" s="48">
        <f>+IFERROR(HLOOKUP($B22,'[3]8월'!$F$6:$CC$57,2,),)/1000</f>
        <v>5.8179999999999996</v>
      </c>
      <c r="N22" s="49">
        <f t="shared" si="2"/>
        <v>-3.7429999999999994</v>
      </c>
      <c r="O22" s="45">
        <f>+IFERROR(HLOOKUP($B22,'[1]8월'!$D$6:$BN$259,3,),)/1000</f>
        <v>560</v>
      </c>
      <c r="P22" s="46">
        <f>+IFERROR(HLOOKUP($B22,'[2]8월'!$F$6:$CP$99,3,),)/1000</f>
        <v>233.52529999999999</v>
      </c>
      <c r="Q22" s="47">
        <f t="shared" si="3"/>
        <v>-326.47469999999998</v>
      </c>
      <c r="R22" s="48">
        <f>+IFERROR(HLOOKUP($B22,'[3]8월'!$F$6:$CC$57,3,),)/1000</f>
        <v>651.91230000000007</v>
      </c>
      <c r="S22" s="49">
        <f t="shared" si="4"/>
        <v>-418.38700000000006</v>
      </c>
      <c r="T22" s="45">
        <f>+IFERROR(HLOOKUP($B22,'[1]8월'!$D$6:$BN$259,16,),)/1000</f>
        <v>109.87534141562615</v>
      </c>
      <c r="U22" s="46">
        <f>+IFERROR(HLOOKUP($B22,'[2]8월'!$F$6:$CP$99,16,),)/1000</f>
        <v>2.1702869999999677</v>
      </c>
      <c r="V22" s="47">
        <f t="shared" si="5"/>
        <v>-107.70505441562618</v>
      </c>
      <c r="W22" s="48">
        <f>+IFERROR(HLOOKUP($B22,'[3]8월'!$F$6:$CC$57,16,),)/1000</f>
        <v>125.92493800000005</v>
      </c>
      <c r="X22" s="49">
        <f t="shared" si="6"/>
        <v>-123.75465100000008</v>
      </c>
      <c r="Y22" s="45">
        <f>+[4]원주!$Q$85</f>
        <v>112000</v>
      </c>
      <c r="Z22" s="46">
        <f>+[4]원주!$R$85</f>
        <v>112542.31325301203</v>
      </c>
      <c r="AA22" s="50">
        <f>+[5]원주!$Q$85</f>
        <v>112050.92815400483</v>
      </c>
      <c r="AB22" s="51">
        <f>+[4]원주!$Q$89</f>
        <v>73062.219679743255</v>
      </c>
      <c r="AC22" s="46">
        <f>+[4]원주!$R$89</f>
        <v>70887.075662650604</v>
      </c>
      <c r="AD22" s="52">
        <f>+[5]원주!$Q$89</f>
        <v>74748.330869714686</v>
      </c>
      <c r="AE22" s="51">
        <f t="shared" si="7"/>
        <v>38937.780320256745</v>
      </c>
      <c r="AF22" s="46">
        <f t="shared" si="7"/>
        <v>41655.23759036143</v>
      </c>
      <c r="AG22" s="52">
        <f t="shared" si="7"/>
        <v>37302.597284290139</v>
      </c>
      <c r="AH22" s="17"/>
      <c r="AI22" s="18"/>
      <c r="AJ22" s="484"/>
      <c r="AK22" s="488"/>
    </row>
    <row r="23" spans="2:39" s="8" customFormat="1" ht="22.5" customHeight="1" x14ac:dyDescent="0.3">
      <c r="B23" s="8" t="s">
        <v>75</v>
      </c>
      <c r="F23" s="84"/>
      <c r="G23" s="334" t="str">
        <f t="shared" si="1"/>
        <v>제주</v>
      </c>
      <c r="H23" s="74"/>
      <c r="I23" s="75" t="s">
        <v>75</v>
      </c>
      <c r="J23" s="45">
        <f>+IFERROR(HLOOKUP($B23,'[1]8월'!$D$6:$BN$259,2,),)/1000</f>
        <v>9</v>
      </c>
      <c r="K23" s="46">
        <f>+IFERROR(HLOOKUP($B23,'[2]8월'!$F$6:$CP$99,2,),)/1000</f>
        <v>4.2560000000000002</v>
      </c>
      <c r="L23" s="47">
        <f t="shared" si="0"/>
        <v>-4.7439999999999998</v>
      </c>
      <c r="M23" s="48">
        <f>+IFERROR(HLOOKUP($B23,'[3]8월'!$F$6:$CC$57,2,),)/1000</f>
        <v>4.0570000000000004</v>
      </c>
      <c r="N23" s="49">
        <f t="shared" si="2"/>
        <v>0.19899999999999984</v>
      </c>
      <c r="O23" s="45">
        <f>+IFERROR(HLOOKUP($B23,'[1]8월'!$D$6:$BN$259,3,),)/1000</f>
        <v>1106.96</v>
      </c>
      <c r="P23" s="46">
        <f>+IFERROR(HLOOKUP($B23,'[2]8월'!$F$6:$CP$99,3,),)/1000</f>
        <v>530.40713100000005</v>
      </c>
      <c r="Q23" s="47">
        <f t="shared" si="3"/>
        <v>-576.55286899999999</v>
      </c>
      <c r="R23" s="48">
        <f>+IFERROR(HLOOKUP($B23,'[3]8월'!$F$6:$CC$57,3,),)/1000</f>
        <v>491.464899</v>
      </c>
      <c r="S23" s="49">
        <f t="shared" si="4"/>
        <v>38.942232000000047</v>
      </c>
      <c r="T23" s="45">
        <f>+IFERROR(HLOOKUP($B23,'[1]8월'!$D$6:$BN$259,16,),)/1000</f>
        <v>192.65373003306746</v>
      </c>
      <c r="U23" s="46">
        <f>+IFERROR(HLOOKUP($B23,'[2]8월'!$F$6:$CP$99,16,),)/1000</f>
        <v>30.210348000000071</v>
      </c>
      <c r="V23" s="47">
        <f t="shared" si="5"/>
        <v>-162.44338203306739</v>
      </c>
      <c r="W23" s="48">
        <f>+IFERROR(HLOOKUP($B23,'[3]8월'!$F$6:$CC$57,16,),)/1000</f>
        <v>43.62725100000003</v>
      </c>
      <c r="X23" s="49">
        <f t="shared" si="6"/>
        <v>-13.416902999999959</v>
      </c>
      <c r="Y23" s="45">
        <f>+[4]제주!$Q$85</f>
        <v>122995.55555555556</v>
      </c>
      <c r="Z23" s="46">
        <f>+[4]제주!$R$85</f>
        <v>124625.73566729324</v>
      </c>
      <c r="AA23" s="50">
        <f>+[5]제주!$Q$85</f>
        <v>121139.98003450826</v>
      </c>
      <c r="AB23" s="51">
        <f>+[4]제주!$Q$89</f>
        <v>91386.195631139082</v>
      </c>
      <c r="AC23" s="46">
        <f>+[4]제주!$R$89</f>
        <v>96286.686090225558</v>
      </c>
      <c r="AD23" s="52">
        <f>+[5]제주!$Q$89</f>
        <v>88295.429134828679</v>
      </c>
      <c r="AE23" s="51">
        <f t="shared" si="7"/>
        <v>31609.35992441648</v>
      </c>
      <c r="AF23" s="46">
        <f t="shared" si="7"/>
        <v>28339.049577067679</v>
      </c>
      <c r="AG23" s="52">
        <f t="shared" si="7"/>
        <v>32844.550899679583</v>
      </c>
      <c r="AH23" s="17"/>
      <c r="AI23" s="18"/>
      <c r="AJ23" s="484"/>
      <c r="AK23" s="488"/>
    </row>
    <row r="24" spans="2:39" s="8" customFormat="1" ht="22.5" customHeight="1" x14ac:dyDescent="0.3">
      <c r="F24" s="495">
        <f>+K24/J24</f>
        <v>0.68121882352941177</v>
      </c>
      <c r="G24" s="337" t="str">
        <f t="shared" si="1"/>
        <v>수도권</v>
      </c>
      <c r="H24" s="74"/>
      <c r="I24" s="78" t="s">
        <v>42</v>
      </c>
      <c r="J24" s="22">
        <f>SUM(J7:J10)</f>
        <v>102</v>
      </c>
      <c r="K24" s="19">
        <f>SUM(K7:K10)</f>
        <v>69.484319999999997</v>
      </c>
      <c r="L24" s="20">
        <f t="shared" si="0"/>
        <v>-32.515680000000003</v>
      </c>
      <c r="M24" s="24">
        <f>SUM(M7:M10)</f>
        <v>82.49199999999999</v>
      </c>
      <c r="N24" s="21">
        <f t="shared" si="2"/>
        <v>-13.007679999999993</v>
      </c>
      <c r="O24" s="22">
        <f>SUM(O7:O10)</f>
        <v>10098.603549660938</v>
      </c>
      <c r="P24" s="19">
        <f>SUM(P7:P10)</f>
        <v>6619.9120119999998</v>
      </c>
      <c r="Q24" s="20">
        <f t="shared" si="3"/>
        <v>-3478.6915376609386</v>
      </c>
      <c r="R24" s="24">
        <f>SUM(R7:R10)</f>
        <v>8110.6362709999994</v>
      </c>
      <c r="S24" s="21">
        <f t="shared" si="4"/>
        <v>-1490.7242589999996</v>
      </c>
      <c r="T24" s="22">
        <f>SUM(T7:T10)</f>
        <v>942.33188903522887</v>
      </c>
      <c r="U24" s="19">
        <f>SUM(U7:U10)</f>
        <v>42.66504099999991</v>
      </c>
      <c r="V24" s="20">
        <f t="shared" si="5"/>
        <v>-899.66684803522901</v>
      </c>
      <c r="W24" s="24">
        <f>SUM(W7:W10)</f>
        <v>557.01498200999868</v>
      </c>
      <c r="X24" s="21">
        <f t="shared" si="6"/>
        <v>-514.34994100999882</v>
      </c>
      <c r="Y24" s="22">
        <f>+[4]수도권!$Q$85</f>
        <v>99005.917153538612</v>
      </c>
      <c r="Z24" s="19">
        <f>+[4]수도권!$R$85</f>
        <v>95390.139037595131</v>
      </c>
      <c r="AA24" s="23">
        <f>+[5]수도권!$Q$85</f>
        <v>98331.463370409139</v>
      </c>
      <c r="AB24" s="28">
        <f>+[4]수도권!$Q$89</f>
        <v>80391.247544216036</v>
      </c>
      <c r="AC24" s="19">
        <f>+[4]수도권!$R$89</f>
        <v>80377.599836540612</v>
      </c>
      <c r="AD24" s="29">
        <f>+[5]수도권!$Q$89</f>
        <v>80418.078534923348</v>
      </c>
      <c r="AE24" s="28">
        <f t="shared" si="7"/>
        <v>18614.669609322576</v>
      </c>
      <c r="AF24" s="19">
        <f t="shared" si="7"/>
        <v>15012.539201054518</v>
      </c>
      <c r="AG24" s="29">
        <f t="shared" si="7"/>
        <v>17913.384835485791</v>
      </c>
      <c r="AH24" s="17"/>
      <c r="AI24" s="18"/>
      <c r="AJ24" s="484"/>
      <c r="AK24" s="488"/>
    </row>
    <row r="25" spans="2:39" s="8" customFormat="1" ht="22.5" customHeight="1" x14ac:dyDescent="0.3">
      <c r="F25" s="495">
        <f t="shared" ref="F25:F26" si="8">+K25/J25</f>
        <v>0.82712663755458504</v>
      </c>
      <c r="G25" s="334" t="str">
        <f t="shared" si="1"/>
        <v>영남권</v>
      </c>
      <c r="H25" s="74"/>
      <c r="I25" s="78" t="s">
        <v>43</v>
      </c>
      <c r="J25" s="22">
        <f>SUM(J11:J18)</f>
        <v>114.5</v>
      </c>
      <c r="K25" s="19">
        <f>SUM(K11:K18)</f>
        <v>94.705999999999989</v>
      </c>
      <c r="L25" s="20">
        <f t="shared" si="0"/>
        <v>-19.794000000000011</v>
      </c>
      <c r="M25" s="24">
        <f>SUM(M11:M18)</f>
        <v>125.61149999999999</v>
      </c>
      <c r="N25" s="21">
        <f t="shared" si="2"/>
        <v>-30.905500000000004</v>
      </c>
      <c r="O25" s="22">
        <f>SUM(O11:O18)</f>
        <v>11499.326382994002</v>
      </c>
      <c r="P25" s="19">
        <f>SUM(P11:P18)</f>
        <v>9176.2793799999999</v>
      </c>
      <c r="Q25" s="20">
        <f t="shared" si="3"/>
        <v>-2323.0470029940025</v>
      </c>
      <c r="R25" s="24">
        <f>SUM(R11:R18)</f>
        <v>12514.313330000001</v>
      </c>
      <c r="S25" s="21">
        <f t="shared" si="4"/>
        <v>-3338.0339500000009</v>
      </c>
      <c r="T25" s="22">
        <f>SUM(T11:T18)</f>
        <v>1071.9452618389939</v>
      </c>
      <c r="U25" s="19">
        <f>SUM(U11:U18)</f>
        <v>363.18742500000019</v>
      </c>
      <c r="V25" s="20">
        <f t="shared" si="5"/>
        <v>-708.75783683899374</v>
      </c>
      <c r="W25" s="24">
        <f>SUM(W11:W18)</f>
        <v>1297.3626300000001</v>
      </c>
      <c r="X25" s="21">
        <f t="shared" si="6"/>
        <v>-934.17520499999989</v>
      </c>
      <c r="Y25" s="22">
        <f>+[4]영남권!$Q$85</f>
        <v>100430.7981047511</v>
      </c>
      <c r="Z25" s="19">
        <f>+[4]영남권!$R$85</f>
        <v>96920.99392319686</v>
      </c>
      <c r="AA25" s="23">
        <f>+[5]영남권!$Q$85</f>
        <v>99644.238875411786</v>
      </c>
      <c r="AB25" s="28">
        <f>+[4]영남권!$Q$89</f>
        <v>78540.04706147153</v>
      </c>
      <c r="AC25" s="19">
        <f>+[4]영남권!$R$89</f>
        <v>78499.232644107309</v>
      </c>
      <c r="AD25" s="29">
        <f>+[5]영남권!$Q$89</f>
        <v>77859.427643832474</v>
      </c>
      <c r="AE25" s="28">
        <f t="shared" si="7"/>
        <v>21890.751043279568</v>
      </c>
      <c r="AF25" s="19">
        <f t="shared" si="7"/>
        <v>18421.761279089551</v>
      </c>
      <c r="AG25" s="29">
        <f t="shared" si="7"/>
        <v>21784.811231579311</v>
      </c>
      <c r="AH25" s="17"/>
      <c r="AI25" s="18"/>
      <c r="AJ25" s="484"/>
      <c r="AK25" s="488"/>
    </row>
    <row r="26" spans="2:39" s="8" customFormat="1" ht="22.5" customHeight="1" x14ac:dyDescent="0.3">
      <c r="F26" s="495">
        <f t="shared" si="8"/>
        <v>0.65758181818181816</v>
      </c>
      <c r="G26" s="334" t="str">
        <f t="shared" si="1"/>
        <v>중부권</v>
      </c>
      <c r="H26" s="74"/>
      <c r="I26" s="78" t="s">
        <v>106</v>
      </c>
      <c r="J26" s="22">
        <f>SUM(J19:J23)</f>
        <v>55</v>
      </c>
      <c r="K26" s="19">
        <f>SUM(K19:K23)</f>
        <v>36.167000000000002</v>
      </c>
      <c r="L26" s="20">
        <f t="shared" si="0"/>
        <v>-18.832999999999998</v>
      </c>
      <c r="M26" s="24">
        <f>SUM(M19:M23)</f>
        <v>49.419499999999999</v>
      </c>
      <c r="N26" s="21">
        <f t="shared" si="2"/>
        <v>-13.252499999999998</v>
      </c>
      <c r="O26" s="22">
        <f>SUM(O19:O23)</f>
        <v>5925.8053799999998</v>
      </c>
      <c r="P26" s="19">
        <f>SUM(P19:P23)</f>
        <v>3654.5364169999998</v>
      </c>
      <c r="Q26" s="20">
        <f t="shared" si="3"/>
        <v>-2271.268963</v>
      </c>
      <c r="R26" s="24">
        <f>SUM(R19:R23)</f>
        <v>5171.8918679999997</v>
      </c>
      <c r="S26" s="21">
        <f t="shared" si="4"/>
        <v>-1517.3554509999999</v>
      </c>
      <c r="T26" s="22">
        <f>SUM(T19:T23)</f>
        <v>1020.1130793555171</v>
      </c>
      <c r="U26" s="19">
        <f>SUM(U19:U23)</f>
        <v>174.61617499999994</v>
      </c>
      <c r="V26" s="20">
        <f t="shared" si="5"/>
        <v>-845.49690435551724</v>
      </c>
      <c r="W26" s="24">
        <f>SUM(W19:W23)</f>
        <v>897.8926800000005</v>
      </c>
      <c r="X26" s="21">
        <f t="shared" si="6"/>
        <v>-723.2765050000005</v>
      </c>
      <c r="Y26" s="22">
        <f>+[4]중부권!$Q$85</f>
        <v>107741.916</v>
      </c>
      <c r="Z26" s="19">
        <f>+[4]중부권!$R$85</f>
        <v>101046.1585699671</v>
      </c>
      <c r="AA26" s="23">
        <f>+[5]중부권!$Q$85</f>
        <v>104659.87442675063</v>
      </c>
      <c r="AB26" s="28">
        <f>+[4]중부권!$Q$89</f>
        <v>77526.309681194805</v>
      </c>
      <c r="AC26" s="19">
        <f>+[4]중부권!$R$89</f>
        <v>78607.808618259209</v>
      </c>
      <c r="AD26" s="29">
        <f>+[5]중부권!$Q$89</f>
        <v>73943.591211057981</v>
      </c>
      <c r="AE26" s="28">
        <f t="shared" si="7"/>
        <v>30215.606318805192</v>
      </c>
      <c r="AF26" s="19">
        <f t="shared" si="7"/>
        <v>22438.349951707889</v>
      </c>
      <c r="AG26" s="29">
        <f t="shared" si="7"/>
        <v>30716.283215692645</v>
      </c>
      <c r="AH26" s="17"/>
      <c r="AI26" s="18"/>
      <c r="AJ26" s="484"/>
      <c r="AK26" s="488"/>
    </row>
    <row r="27" spans="2:39" s="3" customFormat="1" ht="22.5" customHeight="1" x14ac:dyDescent="0.3">
      <c r="B27" s="25"/>
      <c r="F27" s="483">
        <f>+K27/M27</f>
        <v>0.77801718681438148</v>
      </c>
      <c r="G27" s="336">
        <f>+K27/J27</f>
        <v>0.73796434622467766</v>
      </c>
      <c r="H27" s="267" t="s">
        <v>94</v>
      </c>
      <c r="I27" s="268"/>
      <c r="J27" s="269">
        <f>SUM(J24:J26)</f>
        <v>271.5</v>
      </c>
      <c r="K27" s="270">
        <f>SUM(K24:K26)</f>
        <v>200.35731999999999</v>
      </c>
      <c r="L27" s="271">
        <f t="shared" si="0"/>
        <v>-71.142680000000013</v>
      </c>
      <c r="M27" s="272">
        <f>SUM(M24:M26)</f>
        <v>257.52300000000002</v>
      </c>
      <c r="N27" s="273">
        <f t="shared" si="2"/>
        <v>-57.165680000000037</v>
      </c>
      <c r="O27" s="269">
        <f>SUM(O24:O26)</f>
        <v>27523.735312654942</v>
      </c>
      <c r="P27" s="270">
        <f>SUM(P24:P26)</f>
        <v>19450.727809</v>
      </c>
      <c r="Q27" s="271">
        <f t="shared" si="3"/>
        <v>-8073.0075036549424</v>
      </c>
      <c r="R27" s="272">
        <f>SUM(R24:R26)</f>
        <v>25796.841468999999</v>
      </c>
      <c r="S27" s="273">
        <f t="shared" si="4"/>
        <v>-6346.1136599999991</v>
      </c>
      <c r="T27" s="269">
        <f>SUM(T24:T26)</f>
        <v>3034.3902302297402</v>
      </c>
      <c r="U27" s="270">
        <f>SUM(U24:U26)</f>
        <v>580.46864100000005</v>
      </c>
      <c r="V27" s="271">
        <f t="shared" si="5"/>
        <v>-2453.9215892297402</v>
      </c>
      <c r="W27" s="272">
        <f>SUM(W24:W26)</f>
        <v>2752.2702920099991</v>
      </c>
      <c r="X27" s="273">
        <f t="shared" si="6"/>
        <v>-2171.8016510099992</v>
      </c>
      <c r="Y27" s="269">
        <f>+[4]합계!$Q$85</f>
        <v>101376.55732101267</v>
      </c>
      <c r="Z27" s="270">
        <f>+[4]합계!$R$85</f>
        <v>97142.344161233937</v>
      </c>
      <c r="AA27" s="274">
        <f>+[5]합계!$Q$85</f>
        <v>100188.19794620456</v>
      </c>
      <c r="AB27" s="275">
        <f>+[4]합계!$Q$89</f>
        <v>79030.164532280804</v>
      </c>
      <c r="AC27" s="270">
        <f>+[4]합계!$R$89</f>
        <v>79165.193359044642</v>
      </c>
      <c r="AD27" s="276">
        <f>+[5]합계!$Q$89</f>
        <v>77923.897581654513</v>
      </c>
      <c r="AE27" s="275">
        <f t="shared" si="7"/>
        <v>22346.392788731871</v>
      </c>
      <c r="AF27" s="270">
        <f t="shared" si="7"/>
        <v>17977.150802189295</v>
      </c>
      <c r="AG27" s="276">
        <f t="shared" si="7"/>
        <v>22264.300364550043</v>
      </c>
      <c r="AH27" s="26"/>
      <c r="AI27" s="493">
        <f t="shared" ref="AI27" si="9">+AF27-AE27</f>
        <v>-4369.2419865425763</v>
      </c>
      <c r="AJ27" s="494">
        <f t="shared" ref="AJ27" si="10">+AF27-AG27</f>
        <v>-4287.149562360748</v>
      </c>
      <c r="AK27" s="488"/>
      <c r="AL27" s="25"/>
    </row>
    <row r="28" spans="2:39" s="8" customFormat="1" ht="22.5" customHeight="1" x14ac:dyDescent="0.3">
      <c r="B28" s="8" t="s">
        <v>115</v>
      </c>
      <c r="C28" s="73" t="s">
        <v>46</v>
      </c>
      <c r="G28" s="335" t="str">
        <f>+I28</f>
        <v>부산모래장</v>
      </c>
      <c r="H28" s="80" t="s">
        <v>1</v>
      </c>
      <c r="I28" s="73" t="s">
        <v>115</v>
      </c>
      <c r="J28" s="55">
        <f>+IFERROR(HLOOKUP($B28,'[1]8월'!$D$6:$BN$259,2,),)/1000</f>
        <v>20.454552036904012</v>
      </c>
      <c r="K28" s="56">
        <f>+IFERROR(HLOOKUP($C28,'[2]8월'!$F$6:$CP$99,2,),)/1000</f>
        <v>21.573</v>
      </c>
      <c r="L28" s="37">
        <f t="shared" si="0"/>
        <v>1.1184479630959885</v>
      </c>
      <c r="M28" s="37">
        <f>+IFERROR(HLOOKUP($C28,'[3]8월'!$F$6:$CC$57,2,),)/1000</f>
        <v>14.499000000000001</v>
      </c>
      <c r="N28" s="57">
        <f t="shared" si="2"/>
        <v>7.0739999999999998</v>
      </c>
      <c r="O28" s="55">
        <f>+IFERROR(HLOOKUP($B28,'[1]8월'!$D$6:$BN$259,3,),)/1000</f>
        <v>551.46545365880513</v>
      </c>
      <c r="P28" s="56">
        <f>+IFERROR(HLOOKUP($C28,'[2]8월'!$F$6:$CP$99,3,),)/1000</f>
        <v>608.88800000000003</v>
      </c>
      <c r="Q28" s="37">
        <f t="shared" si="3"/>
        <v>57.422546341194902</v>
      </c>
      <c r="R28" s="37">
        <f>+IFERROR(HLOOKUP($C28,'[3]8월'!$F$6:$CC$57,3,),)/1000</f>
        <v>414.50749999999999</v>
      </c>
      <c r="S28" s="57">
        <f t="shared" si="4"/>
        <v>194.38050000000004</v>
      </c>
      <c r="T28" s="55">
        <f>+IFERROR(HLOOKUP($B28,'[1]8월'!$D$6:$BN$259,21,),)/1000</f>
        <v>40.044264274886253</v>
      </c>
      <c r="U28" s="56">
        <f>+IFERROR(HLOOKUP($C28,'[2]8월'!$F$6:$CP$99,21,),)/1000</f>
        <v>10.712978511850947</v>
      </c>
      <c r="V28" s="37">
        <f t="shared" si="5"/>
        <v>-29.331285763035304</v>
      </c>
      <c r="W28" s="37">
        <f>+IFERROR(HLOOKUP($C28,'[3]8월'!$F$6:$CC$57,21,),)/1000</f>
        <v>61.175451303368511</v>
      </c>
      <c r="X28" s="57">
        <f t="shared" si="6"/>
        <v>-50.462472791517563</v>
      </c>
      <c r="Y28" s="287" t="s">
        <v>109</v>
      </c>
      <c r="Z28" s="498"/>
      <c r="AA28" s="498"/>
      <c r="AB28" s="499"/>
      <c r="AC28" s="498"/>
      <c r="AD28" s="498"/>
      <c r="AE28" s="498"/>
      <c r="AF28" s="498"/>
      <c r="AG28" s="42"/>
      <c r="AH28" s="17"/>
      <c r="AI28" s="18"/>
      <c r="AJ28" s="484"/>
      <c r="AK28" s="488"/>
    </row>
    <row r="29" spans="2:39" s="8" customFormat="1" ht="22.5" customHeight="1" x14ac:dyDescent="0.3">
      <c r="B29" s="8" t="s">
        <v>116</v>
      </c>
      <c r="C29" s="75" t="s">
        <v>47</v>
      </c>
      <c r="G29" s="335" t="str">
        <f>+I29</f>
        <v>서부산CR</v>
      </c>
      <c r="H29" s="79"/>
      <c r="I29" s="75" t="s">
        <v>124</v>
      </c>
      <c r="J29" s="53">
        <f>+IFERROR(HLOOKUP($B29,'[1]8월'!$D$6:$BN$259,2,),)/1000</f>
        <v>39.949490322580651</v>
      </c>
      <c r="K29" s="58">
        <f>+IFERROR(HLOOKUP($C29,'[2]8월'!$F$6:$CP$99,2,),)/1000</f>
        <v>26.422000000000001</v>
      </c>
      <c r="L29" s="47">
        <f t="shared" si="0"/>
        <v>-13.52749032258065</v>
      </c>
      <c r="M29" s="47">
        <f>+IFERROR(HLOOKUP($C29,'[3]8월'!$F$6:$CC$57,2,),)/1000</f>
        <v>5.7779999999999996</v>
      </c>
      <c r="N29" s="59">
        <f t="shared" si="2"/>
        <v>20.644000000000002</v>
      </c>
      <c r="O29" s="53">
        <f>+IFERROR(HLOOKUP($B29,'[1]8월'!$D$6:$BN$259,3,),)/1000</f>
        <v>580.38424516129032</v>
      </c>
      <c r="P29" s="58">
        <f>+IFERROR(HLOOKUP($C29,'[2]8월'!$F$6:$CP$99,3,),)/1000</f>
        <v>351.83199999999999</v>
      </c>
      <c r="Q29" s="47">
        <f t="shared" si="3"/>
        <v>-228.55224516129033</v>
      </c>
      <c r="R29" s="47">
        <f>+IFERROR(HLOOKUP($C29,'[3]8월'!$F$6:$CC$57,3,),)/1000</f>
        <v>93.25</v>
      </c>
      <c r="S29" s="59">
        <f t="shared" si="4"/>
        <v>258.58199999999999</v>
      </c>
      <c r="T29" s="53">
        <f>+IFERROR(HLOOKUP($B29,'[1]8월'!$D$6:$BN$259,21,),)/1000</f>
        <v>36.943004505997372</v>
      </c>
      <c r="U29" s="58">
        <f>+IFERROR(HLOOKUP($C29,'[2]8월'!$F$6:$CP$99,21,),)/1000</f>
        <v>66.909335173744935</v>
      </c>
      <c r="V29" s="47">
        <f t="shared" si="5"/>
        <v>29.966330667747563</v>
      </c>
      <c r="W29" s="47">
        <f>+IFERROR(HLOOKUP($C29,'[3]8월'!$F$6:$CC$57,21,),)/1000</f>
        <v>-93.671378408830506</v>
      </c>
      <c r="X29" s="59">
        <f t="shared" si="6"/>
        <v>160.58071358257544</v>
      </c>
      <c r="Y29" s="496" t="s">
        <v>221</v>
      </c>
      <c r="Z29" s="229"/>
      <c r="AA29" s="229"/>
      <c r="AB29" s="229"/>
      <c r="AC29" s="229"/>
      <c r="AD29" s="229"/>
      <c r="AE29" s="229"/>
      <c r="AF29" s="229"/>
      <c r="AG29" s="50"/>
      <c r="AH29" s="17"/>
      <c r="AI29" s="18"/>
      <c r="AJ29" s="485"/>
      <c r="AK29" s="488"/>
      <c r="AL29" s="86"/>
    </row>
    <row r="30" spans="2:39" s="8" customFormat="1" ht="22.5" customHeight="1" x14ac:dyDescent="0.3">
      <c r="B30" s="8" t="s">
        <v>111</v>
      </c>
      <c r="C30" s="77" t="s">
        <v>111</v>
      </c>
      <c r="G30" s="335" t="str">
        <f>+I30</f>
        <v>부산CR</v>
      </c>
      <c r="H30" s="79"/>
      <c r="I30" s="77" t="s">
        <v>125</v>
      </c>
      <c r="J30" s="53">
        <f>+IFERROR(HLOOKUP($B30,'[1]8월'!$D$6:$BN$259,2,),)/1000</f>
        <v>34.726836133333329</v>
      </c>
      <c r="K30" s="58">
        <f>+IFERROR(HLOOKUP($C30,'[2]8월'!$F$6:$CP$99,2,),)/1000</f>
        <v>19.091999999999999</v>
      </c>
      <c r="L30" s="47">
        <f t="shared" si="0"/>
        <v>-15.63483613333333</v>
      </c>
      <c r="M30" s="47">
        <f>+IFERROR(HLOOKUP($C30,'[3]8월'!$F$6:$CC$57,2,),)/1000</f>
        <v>29.326000000000001</v>
      </c>
      <c r="N30" s="59">
        <f t="shared" si="2"/>
        <v>-10.234000000000002</v>
      </c>
      <c r="O30" s="53">
        <f>+IFERROR(HLOOKUP($B30,'[1]8월'!$D$6:$BN$259,3,),)/1000</f>
        <v>580.66600399999993</v>
      </c>
      <c r="P30" s="58">
        <f>+IFERROR(HLOOKUP($C30,'[2]8월'!$F$6:$CP$99,3,),)/1000</f>
        <v>363.95800000000003</v>
      </c>
      <c r="Q30" s="47">
        <f t="shared" si="3"/>
        <v>-216.7080039999999</v>
      </c>
      <c r="R30" s="47">
        <f>+IFERROR(HLOOKUP($C30,'[3]8월'!$F$6:$CC$57,3,),)/1000</f>
        <v>513.75300000000004</v>
      </c>
      <c r="S30" s="59">
        <f t="shared" si="4"/>
        <v>-149.79500000000002</v>
      </c>
      <c r="T30" s="53">
        <f>+IFERROR(HLOOKUP($B30,'[1]8월'!$D$6:$BN$259,21,),)/1000</f>
        <v>4.2319711451848345</v>
      </c>
      <c r="U30" s="58">
        <f>+IFERROR(HLOOKUP($C30,'[2]8월'!$F$6:$CP$99,21,),)/1000</f>
        <v>-166.62619852999993</v>
      </c>
      <c r="V30" s="47">
        <f t="shared" si="5"/>
        <v>-170.85816967518477</v>
      </c>
      <c r="W30" s="47">
        <f>+IFERROR(HLOOKUP($C30,'[3]8월'!$F$6:$CC$57,21,),)/1000</f>
        <v>-118.52256030999997</v>
      </c>
      <c r="X30" s="59">
        <f t="shared" si="6"/>
        <v>-48.103638219999951</v>
      </c>
      <c r="Y30" s="496"/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85"/>
      <c r="AK30" s="488"/>
      <c r="AL30" s="86"/>
    </row>
    <row r="31" spans="2:39" s="3" customFormat="1" ht="22.5" customHeight="1" x14ac:dyDescent="0.3">
      <c r="G31" s="339">
        <f>+K31/J31</f>
        <v>0.70520740544895533</v>
      </c>
      <c r="H31" s="134" t="s">
        <v>33</v>
      </c>
      <c r="I31" s="135"/>
      <c r="J31" s="136">
        <f>SUM(J28:J30)</f>
        <v>95.130878492817999</v>
      </c>
      <c r="K31" s="140">
        <f>SUM(K28:K30)</f>
        <v>67.087000000000003</v>
      </c>
      <c r="L31" s="138">
        <f t="shared" si="0"/>
        <v>-28.043878492817996</v>
      </c>
      <c r="M31" s="138">
        <f>SUM(M28:M30)</f>
        <v>49.603000000000002</v>
      </c>
      <c r="N31" s="139">
        <f t="shared" si="2"/>
        <v>17.484000000000002</v>
      </c>
      <c r="O31" s="136">
        <f>SUM(O28:O30)</f>
        <v>1712.5157028200954</v>
      </c>
      <c r="P31" s="140">
        <f>SUM(P28:P30)</f>
        <v>1324.6780000000001</v>
      </c>
      <c r="Q31" s="138">
        <f t="shared" si="3"/>
        <v>-387.83770282009527</v>
      </c>
      <c r="R31" s="138">
        <f>SUM(R28:R30)</f>
        <v>1021.5105000000001</v>
      </c>
      <c r="S31" s="139">
        <f t="shared" si="4"/>
        <v>303.16750000000002</v>
      </c>
      <c r="T31" s="136">
        <f>SUM(T28:T30)</f>
        <v>81.219239926068454</v>
      </c>
      <c r="U31" s="140">
        <f>SUM(U28:U30)</f>
        <v>-89.003884844404041</v>
      </c>
      <c r="V31" s="138">
        <f t="shared" si="5"/>
        <v>-170.22312477047251</v>
      </c>
      <c r="W31" s="138">
        <f>SUM(W28:W30)</f>
        <v>-151.01848741546198</v>
      </c>
      <c r="X31" s="139">
        <f t="shared" si="6"/>
        <v>62.014602571057935</v>
      </c>
      <c r="Y31" s="496"/>
      <c r="Z31" s="229"/>
      <c r="AA31" s="229"/>
      <c r="AB31" s="229"/>
      <c r="AC31" s="229"/>
      <c r="AD31" s="229"/>
      <c r="AE31" s="229"/>
      <c r="AF31" s="229"/>
      <c r="AG31" s="50"/>
      <c r="AH31" s="26"/>
      <c r="AI31" s="27"/>
      <c r="AJ31" s="486"/>
      <c r="AK31" s="484"/>
      <c r="AL31" s="489"/>
      <c r="AM31" s="486"/>
    </row>
    <row r="32" spans="2:39" s="8" customFormat="1" ht="22.5" customHeight="1" x14ac:dyDescent="0.3">
      <c r="B32" s="8" t="s">
        <v>119</v>
      </c>
      <c r="C32" s="8" t="s">
        <v>118</v>
      </c>
      <c r="D32" t="s">
        <v>117</v>
      </c>
      <c r="E32" t="s">
        <v>81</v>
      </c>
      <c r="F32"/>
      <c r="G32" s="334" t="str">
        <f>+I32</f>
        <v>레미콘임대</v>
      </c>
      <c r="H32" s="83" t="s">
        <v>4</v>
      </c>
      <c r="I32" s="82" t="s">
        <v>80</v>
      </c>
      <c r="J32" s="45"/>
      <c r="K32" s="46"/>
      <c r="L32" s="48">
        <f>+K32-J32</f>
        <v>0</v>
      </c>
      <c r="M32" s="47"/>
      <c r="N32" s="59">
        <f>+K32-M32</f>
        <v>0</v>
      </c>
      <c r="O32" s="45">
        <f>(IFERROR(HLOOKUP($B32,'[1]8월'!$D$6:$BN$259,3,),)++IFERROR(HLOOKUP($C32,'[1]8월'!$D$6:$BN$259,3,),)+IFERROR(HLOOKUP($D32,'[1]8월'!$D$6:$BN$259,3,),))/1000</f>
        <v>66.666666666666671</v>
      </c>
      <c r="P32" s="46">
        <f>+IFERROR(HLOOKUP($E32,'[2]8월'!$F$6:$CP$99,3,),)/1000</f>
        <v>43.34</v>
      </c>
      <c r="Q32" s="48">
        <f t="shared" si="3"/>
        <v>-23.326666666666668</v>
      </c>
      <c r="R32" s="47">
        <f>+IFERROR(HLOOKUP($E32,'[3]8월'!$F$6:$CC$57,3,),)/1000</f>
        <v>90.84</v>
      </c>
      <c r="S32" s="59">
        <f t="shared" si="4"/>
        <v>-47.5</v>
      </c>
      <c r="T32" s="45">
        <f>(IFERROR(HLOOKUP($B32,'[1]8월'!$D$6:$BN$259,21,),)++IFERROR(HLOOKUP($C32,'[1]8월'!$D$6:$BN$259,21,),)+IFERROR(HLOOKUP($D32,'[1]8월'!$D$6:$BN$259,21,),))/1000</f>
        <v>48.278887666666662</v>
      </c>
      <c r="U32" s="46">
        <f>+IFERROR(HLOOKUP($E32,'[2]8월'!$F$6:$CP$99,16,),)/1000</f>
        <v>23.588175</v>
      </c>
      <c r="V32" s="48">
        <f t="shared" si="5"/>
        <v>-24.690712666666663</v>
      </c>
      <c r="W32" s="47">
        <f>+IFERROR(HLOOKUP($E32,'[3]8월'!$F$6:$CC$57,16,),)/1000</f>
        <v>71.958275999999998</v>
      </c>
      <c r="X32" s="59">
        <f t="shared" si="6"/>
        <v>-48.370100999999998</v>
      </c>
      <c r="Y32" s="496"/>
      <c r="Z32" s="229"/>
      <c r="AA32" s="229"/>
      <c r="AB32" s="229"/>
      <c r="AC32" s="229"/>
      <c r="AD32" s="229"/>
      <c r="AE32" s="229"/>
      <c r="AF32" s="229"/>
      <c r="AG32" s="50"/>
      <c r="AH32" s="17"/>
      <c r="AI32" s="18"/>
      <c r="AJ32" s="484"/>
      <c r="AK32" s="488"/>
    </row>
    <row r="33" spans="2:43" s="8" customFormat="1" ht="22.5" customHeight="1" x14ac:dyDescent="0.3">
      <c r="B33" s="8" t="s">
        <v>120</v>
      </c>
      <c r="C33" s="8" t="s">
        <v>121</v>
      </c>
      <c r="D33"/>
      <c r="E33" t="s">
        <v>31</v>
      </c>
      <c r="F33"/>
      <c r="G33" s="334" t="str">
        <f t="shared" ref="G33:G38" si="11">+I33</f>
        <v>임대</v>
      </c>
      <c r="H33" s="83"/>
      <c r="I33" s="82" t="s">
        <v>44</v>
      </c>
      <c r="J33" s="45"/>
      <c r="K33" s="46"/>
      <c r="L33" s="48">
        <f>+K33-J33</f>
        <v>0</v>
      </c>
      <c r="M33" s="47">
        <v>0</v>
      </c>
      <c r="N33" s="59">
        <f t="shared" ref="N33:N40" si="12">+K33-M33</f>
        <v>0</v>
      </c>
      <c r="O33" s="45">
        <f>(+IFERROR(HLOOKUP($B33,'[1]8월'!$D$6:$BN$259,3,),)+IFERROR(HLOOKUP($C33,'[1]8월'!$D$6:$BN$259,3,),))/1000</f>
        <v>75.291499999999999</v>
      </c>
      <c r="P33" s="46">
        <f>+IFERROR(HLOOKUP($E33,'[2]8월'!$F$6:$CP$99,3,),)/1000</f>
        <v>74.290047000000001</v>
      </c>
      <c r="Q33" s="48">
        <f>+P33-O33</f>
        <v>-1.0014529999999979</v>
      </c>
      <c r="R33" s="47">
        <f>+IFERROR(HLOOKUP($E33,'[3]8월'!$F$6:$CC$57,3,),)/1000</f>
        <v>74.035426999999999</v>
      </c>
      <c r="S33" s="59">
        <f t="shared" si="4"/>
        <v>0.25462000000000273</v>
      </c>
      <c r="T33" s="45">
        <f>(+IFERROR(HLOOKUP($B33,'[1]8월'!$D$6:$BN$259,21,),)+IFERROR(HLOOKUP($C33,'[1]8월'!$D$6:$BN$259,21,),))/1000</f>
        <v>65.141000000000005</v>
      </c>
      <c r="U33" s="46">
        <f>+IFERROR(HLOOKUP($E33,'[2]8월'!$F$6:$CP$99,16,),)/1000</f>
        <v>67.040577999999996</v>
      </c>
      <c r="V33" s="48">
        <f t="shared" si="5"/>
        <v>1.8995779999999911</v>
      </c>
      <c r="W33" s="47">
        <f>+IFERROR(HLOOKUP($E33,'[3]8월'!$F$6:$CC$57,16,),)/1000</f>
        <v>63.903671000000003</v>
      </c>
      <c r="X33" s="59">
        <f t="shared" si="6"/>
        <v>3.1369069999999937</v>
      </c>
      <c r="Y33" s="266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484"/>
      <c r="AK33" s="488"/>
    </row>
    <row r="34" spans="2:43" s="8" customFormat="1" ht="22.5" customHeight="1" x14ac:dyDescent="0.3">
      <c r="B34" s="8" t="s">
        <v>122</v>
      </c>
      <c r="D34"/>
      <c r="E34"/>
      <c r="F34"/>
      <c r="G34" s="334" t="str">
        <f t="shared" si="11"/>
        <v>공통비</v>
      </c>
      <c r="H34" s="81"/>
      <c r="I34" s="82" t="s">
        <v>29</v>
      </c>
      <c r="J34" s="45"/>
      <c r="K34" s="46"/>
      <c r="L34" s="48">
        <f>+K34-J34</f>
        <v>0</v>
      </c>
      <c r="M34" s="47"/>
      <c r="N34" s="59">
        <f t="shared" si="12"/>
        <v>0</v>
      </c>
      <c r="O34" s="45"/>
      <c r="P34" s="46"/>
      <c r="Q34" s="48">
        <f t="shared" ref="Q34:Q37" si="13">+P34-O34</f>
        <v>0</v>
      </c>
      <c r="R34" s="47"/>
      <c r="S34" s="59">
        <f t="shared" si="4"/>
        <v>0</v>
      </c>
      <c r="T34" s="45">
        <f>-'[1]8월'!$Z$22/1000</f>
        <v>-1304.5500627438141</v>
      </c>
      <c r="U34" s="46">
        <f>+-'[2]8월'!$Z$22/1000</f>
        <v>-1315.36354114657</v>
      </c>
      <c r="V34" s="48">
        <f t="shared" si="5"/>
        <v>-10.813478402755891</v>
      </c>
      <c r="W34" s="47">
        <f>+-'[3]8월'!$Z$22/1000</f>
        <v>-1132.4208395744422</v>
      </c>
      <c r="X34" s="59">
        <f t="shared" si="6"/>
        <v>-182.94270157212782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484"/>
      <c r="AK34" s="488"/>
      <c r="AL34" s="86"/>
    </row>
    <row r="35" spans="2:43" s="8" customFormat="1" ht="22.5" customHeight="1" x14ac:dyDescent="0.3">
      <c r="D35"/>
      <c r="E35"/>
      <c r="F35"/>
      <c r="G35" s="334" t="str">
        <f t="shared" si="11"/>
        <v>OPC 소급분</v>
      </c>
      <c r="H35" s="81"/>
      <c r="I35" s="82" t="s">
        <v>95</v>
      </c>
      <c r="J35" s="45"/>
      <c r="K35" s="46"/>
      <c r="L35" s="48"/>
      <c r="M35" s="47"/>
      <c r="N35" s="59">
        <f t="shared" si="12"/>
        <v>0</v>
      </c>
      <c r="O35" s="45"/>
      <c r="P35" s="46"/>
      <c r="Q35" s="48">
        <f t="shared" si="13"/>
        <v>0</v>
      </c>
      <c r="R35" s="47"/>
      <c r="S35" s="59">
        <f t="shared" si="4"/>
        <v>0</v>
      </c>
      <c r="T35" s="45"/>
      <c r="U35" s="46">
        <f>'[2]8월'!$BD$26/1000</f>
        <v>0</v>
      </c>
      <c r="V35" s="48">
        <f t="shared" si="5"/>
        <v>0</v>
      </c>
      <c r="W35" s="47">
        <f>+'[3]8월'!$BD$26/1000</f>
        <v>250</v>
      </c>
      <c r="X35" s="59">
        <f t="shared" si="6"/>
        <v>-250</v>
      </c>
      <c r="Y35" s="266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484"/>
      <c r="AK35" s="488"/>
      <c r="AL35" s="86"/>
    </row>
    <row r="36" spans="2:43" s="8" customFormat="1" ht="22.5" customHeight="1" x14ac:dyDescent="0.3">
      <c r="D36"/>
      <c r="E36"/>
      <c r="F36"/>
      <c r="G36" s="334" t="str">
        <f t="shared" si="11"/>
        <v>대손</v>
      </c>
      <c r="H36" s="81"/>
      <c r="I36" s="82" t="s">
        <v>96</v>
      </c>
      <c r="J36" s="45"/>
      <c r="K36" s="46"/>
      <c r="L36" s="48"/>
      <c r="M36" s="47"/>
      <c r="N36" s="59">
        <f t="shared" si="12"/>
        <v>0</v>
      </c>
      <c r="O36" s="45"/>
      <c r="P36" s="46"/>
      <c r="Q36" s="48">
        <f t="shared" si="13"/>
        <v>0</v>
      </c>
      <c r="R36" s="47"/>
      <c r="S36" s="59">
        <f t="shared" si="4"/>
        <v>0</v>
      </c>
      <c r="T36" s="45"/>
      <c r="U36" s="46">
        <f>'[2]8월'!$BE$26/1000</f>
        <v>0</v>
      </c>
      <c r="V36" s="48">
        <f t="shared" si="5"/>
        <v>0</v>
      </c>
      <c r="W36" s="47">
        <f>'[3]8월'!$BE$26/1000</f>
        <v>0</v>
      </c>
      <c r="X36" s="59">
        <f t="shared" si="6"/>
        <v>0</v>
      </c>
      <c r="Y36" s="228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484"/>
      <c r="AK36" s="488"/>
      <c r="AL36" s="86"/>
      <c r="AO36" s="484"/>
      <c r="AP36" s="484"/>
      <c r="AQ36" s="484"/>
    </row>
    <row r="37" spans="2:43" s="8" customFormat="1" ht="22.5" customHeight="1" x14ac:dyDescent="0.3">
      <c r="D37"/>
      <c r="E37"/>
      <c r="F37"/>
      <c r="G37" s="334" t="str">
        <f t="shared" si="11"/>
        <v>미운영 공장</v>
      </c>
      <c r="H37" s="81"/>
      <c r="I37" s="82" t="s">
        <v>112</v>
      </c>
      <c r="J37" s="45"/>
      <c r="K37" s="46"/>
      <c r="L37" s="48"/>
      <c r="M37" s="47">
        <f>SUM(M53:M58)</f>
        <v>0</v>
      </c>
      <c r="N37" s="59">
        <f t="shared" si="12"/>
        <v>0</v>
      </c>
      <c r="O37" s="45"/>
      <c r="P37" s="46"/>
      <c r="Q37" s="48">
        <f t="shared" si="13"/>
        <v>0</v>
      </c>
      <c r="R37" s="47">
        <f>+IFERROR(HLOOKUP($I$37,'[3]8월'!$F$6:$BJ$50,3,),)/1000</f>
        <v>0</v>
      </c>
      <c r="S37" s="59">
        <f t="shared" si="4"/>
        <v>0</v>
      </c>
      <c r="T37" s="45">
        <f>SUM('[1]8월'!$AM$26:$AQ$26)/1000</f>
        <v>-32.543495999999998</v>
      </c>
      <c r="U37" s="46">
        <f>+'[2]8월'!$BF$26/1000</f>
        <v>-32.290129999999998</v>
      </c>
      <c r="V37" s="48">
        <f t="shared" si="5"/>
        <v>0.25336599999999976</v>
      </c>
      <c r="W37" s="47">
        <f>+'[3]8월'!$BF$26/1000</f>
        <v>-41.095884999999996</v>
      </c>
      <c r="X37" s="59">
        <f>+U37-W37</f>
        <v>8.8057549999999978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484"/>
      <c r="AK37" s="488"/>
      <c r="AL37" s="86"/>
      <c r="AQ37" s="484"/>
    </row>
    <row r="38" spans="2:43" s="8" customFormat="1" ht="22.5" customHeight="1" x14ac:dyDescent="0.3">
      <c r="B38" t="s">
        <v>30</v>
      </c>
      <c r="D38"/>
      <c r="G38" s="334" t="str">
        <f t="shared" si="11"/>
        <v>퇴직위로금</v>
      </c>
      <c r="H38" s="81"/>
      <c r="I38" s="82" t="s">
        <v>163</v>
      </c>
      <c r="J38" s="45"/>
      <c r="K38" s="46"/>
      <c r="L38" s="48"/>
      <c r="M38" s="47"/>
      <c r="N38" s="59"/>
      <c r="O38" s="45"/>
      <c r="P38" s="46"/>
      <c r="Q38" s="48"/>
      <c r="R38" s="47"/>
      <c r="S38" s="59"/>
      <c r="T38" s="45"/>
      <c r="U38" s="46">
        <f>+'[2]8월'!$BG$26/1000</f>
        <v>0</v>
      </c>
      <c r="V38" s="48">
        <f t="shared" si="5"/>
        <v>0</v>
      </c>
      <c r="W38" s="47"/>
      <c r="X38" s="59">
        <f>+U38-W38</f>
        <v>0</v>
      </c>
      <c r="Y38" s="233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484"/>
      <c r="AK38" s="488"/>
    </row>
    <row r="39" spans="2:43" s="8" customFormat="1" ht="22.5" customHeight="1" x14ac:dyDescent="0.3">
      <c r="G39" s="334" t="str">
        <f>+I39</f>
        <v>기타</v>
      </c>
      <c r="H39" s="81"/>
      <c r="I39" s="82" t="s">
        <v>4</v>
      </c>
      <c r="J39" s="45"/>
      <c r="K39" s="46"/>
      <c r="L39" s="54">
        <f>+K39-J39</f>
        <v>0</v>
      </c>
      <c r="M39" s="60"/>
      <c r="N39" s="61">
        <f>+K39-M39</f>
        <v>0</v>
      </c>
      <c r="O39" s="45">
        <f>IFERROR(HLOOKUP($B38,'[1]8월'!$D$6:$BN$259,3,),)/1000</f>
        <v>1.77</v>
      </c>
      <c r="P39" s="46">
        <f>+('[2]8월'!$F$8-SUM('[2]8월'!$Z$8,'[2]8월'!$AH$8,'[2]8월'!$AN$8,'[2]8월'!$AO$8,'[2]8월'!$BA$8,'[2]8월'!$BD$8,'[2]8월'!$BE$8,'[2]8월'!$BF$8))/1000</f>
        <v>1.6873999999985099</v>
      </c>
      <c r="Q39" s="54">
        <f>+P39-O39</f>
        <v>-8.2600000001490148E-2</v>
      </c>
      <c r="R39" s="60">
        <f>+('[3]8월'!$F$8-SUM('[3]8월'!$Z$8,'[3]8월'!$AH$8,'[3]8월'!$AN$8,'[3]8월'!$AO$8,'[3]8월'!$BA$8,'[3]8월'!$BD$8,'[3]8월'!$BE$8,'[3]8월'!$BF$8))/1000</f>
        <v>1.8162000000029803</v>
      </c>
      <c r="S39" s="61">
        <f>+P39-R39</f>
        <v>-0.12880000000447045</v>
      </c>
      <c r="T39" s="45">
        <f>+('[1]8월'!$E$26-'[1]8월'!$Z$26-'[1]8월'!$AA$26-'[1]8월'!$AE$26-'[1]8월'!$AL$26-'[1]8월'!$AM$26-'[1]8월'!$AN$26-'[1]8월'!$AO$26-'[1]8월'!$AP$26-'[1]8월'!$AQ$26-'[1]8월'!$AS$26+'[1]8월'!$AS$26)/1000</f>
        <v>-85.138375000012715</v>
      </c>
      <c r="U39" s="46">
        <f>+('[2]8월'!$F$26-SUM('[2]8월'!$Z$26,'[2]8월'!$AH$26,'[2]8월'!$AN$26,'[2]8월'!$AO$26,'[2]8월'!$BA$26,'[2]8월'!$BD$26,'[2]8월'!$BE$26,'[2]8월'!$BF$26))/1000-U38</f>
        <v>-15.378692000002367</v>
      </c>
      <c r="V39" s="48">
        <f>+U39-T39</f>
        <v>69.759683000010341</v>
      </c>
      <c r="W39" s="60">
        <f>+('[3]8월'!$F$26-SUM('[3]8월'!$Z$26,'[3]8월'!$AH$26,'[3]8월'!$AN$26,'[3]8월'!$AO$26,'[3]8월'!$BA$26,'[3]8월'!$BD$26,'[3]8월'!$BE$26,'[3]8월'!$BF$26))/1000</f>
        <v>-16.756539999991421</v>
      </c>
      <c r="X39" s="59">
        <f>+U39-W39</f>
        <v>1.3778479999890543</v>
      </c>
      <c r="Y39" s="228"/>
      <c r="Z39" s="229"/>
      <c r="AA39" s="229"/>
      <c r="AB39" s="229"/>
      <c r="AC39" s="229"/>
      <c r="AD39" s="229"/>
      <c r="AE39" s="229"/>
      <c r="AF39" s="229"/>
      <c r="AG39" s="50"/>
      <c r="AH39" s="30"/>
      <c r="AJ39" s="484"/>
      <c r="AK39" s="488"/>
    </row>
    <row r="40" spans="2:43" s="3" customFormat="1" ht="22.5" customHeight="1" x14ac:dyDescent="0.3">
      <c r="D40" s="293"/>
      <c r="G40" s="338"/>
      <c r="H40" s="134" t="s">
        <v>97</v>
      </c>
      <c r="I40" s="135"/>
      <c r="J40" s="284">
        <f>SUM(J32:J39)</f>
        <v>0</v>
      </c>
      <c r="K40" s="285">
        <f>SUM(K32:K39)</f>
        <v>0</v>
      </c>
      <c r="L40" s="285">
        <f>+K40-J40</f>
        <v>0</v>
      </c>
      <c r="M40" s="285">
        <f>SUM(M32:M39)</f>
        <v>0</v>
      </c>
      <c r="N40" s="286">
        <f t="shared" si="12"/>
        <v>0</v>
      </c>
      <c r="O40" s="136">
        <f>SUM(O32:O39)</f>
        <v>143.72816666666668</v>
      </c>
      <c r="P40" s="137">
        <f>SUM(P32:P39)</f>
        <v>119.31744699999851</v>
      </c>
      <c r="Q40" s="141">
        <f t="shared" si="3"/>
        <v>-24.410719666668172</v>
      </c>
      <c r="R40" s="142">
        <f>SUM(R32:R39)</f>
        <v>166.691627000003</v>
      </c>
      <c r="S40" s="143">
        <f>+P40-R40</f>
        <v>-47.374180000004486</v>
      </c>
      <c r="T40" s="136">
        <f>SUM(T32:T39)</f>
        <v>-1308.8120460771602</v>
      </c>
      <c r="U40" s="137">
        <f>SUM(U32:U39)</f>
        <v>-1272.4036101465724</v>
      </c>
      <c r="V40" s="141">
        <f>+U40-T40</f>
        <v>36.408435930587757</v>
      </c>
      <c r="W40" s="142">
        <f>SUM(W32:W39)</f>
        <v>-804.41131757443361</v>
      </c>
      <c r="X40" s="143">
        <f>+U40-W40</f>
        <v>-467.99229257213881</v>
      </c>
      <c r="Y40" s="230"/>
      <c r="Z40" s="231"/>
      <c r="AA40" s="231"/>
      <c r="AB40" s="231"/>
      <c r="AC40" s="231"/>
      <c r="AD40" s="231"/>
      <c r="AE40" s="231"/>
      <c r="AF40" s="231"/>
      <c r="AG40" s="232"/>
      <c r="AH40" s="25"/>
      <c r="AJ40" s="486"/>
      <c r="AK40" s="488"/>
    </row>
    <row r="41" spans="2:43" s="8" customFormat="1" ht="19.5" customHeight="1" x14ac:dyDescent="0.3">
      <c r="G41" s="334"/>
      <c r="J41" s="32"/>
      <c r="K41" s="32"/>
      <c r="L41" s="31"/>
      <c r="M41" s="31"/>
      <c r="N41" s="31"/>
      <c r="O41" s="32"/>
      <c r="P41" s="32"/>
      <c r="Q41" s="31"/>
      <c r="R41" s="31"/>
      <c r="S41" s="31"/>
      <c r="T41" s="32"/>
      <c r="U41" s="32">
        <v>19</v>
      </c>
      <c r="V41" s="31">
        <v>12.4</v>
      </c>
      <c r="W41" s="31"/>
      <c r="X41" s="31"/>
      <c r="Y41" s="32"/>
      <c r="Z41" s="32"/>
      <c r="AA41" s="32"/>
      <c r="AB41" s="32"/>
      <c r="AC41" s="32"/>
      <c r="AD41" s="32"/>
      <c r="AE41" s="32"/>
      <c r="AF41" s="32"/>
      <c r="AG41" s="32"/>
      <c r="AH41" s="30"/>
      <c r="AJ41" s="484"/>
      <c r="AK41" s="488"/>
      <c r="AO41" s="484"/>
    </row>
    <row r="42" spans="2:43" s="3" customFormat="1" ht="22.5" customHeight="1" x14ac:dyDescent="0.3">
      <c r="G42" s="339">
        <f>+P42/O42</f>
        <v>0.71118917840148177</v>
      </c>
      <c r="H42" s="277" t="s">
        <v>32</v>
      </c>
      <c r="I42" s="278"/>
      <c r="J42" s="290"/>
      <c r="K42" s="291"/>
      <c r="L42" s="291"/>
      <c r="M42" s="291"/>
      <c r="N42" s="292"/>
      <c r="O42" s="280">
        <f>+O27+O31+O40</f>
        <v>29379.979182141706</v>
      </c>
      <c r="P42" s="280">
        <f>+P27+P31+P40</f>
        <v>20894.723255999997</v>
      </c>
      <c r="Q42" s="281">
        <f t="shared" si="3"/>
        <v>-8485.2559261417082</v>
      </c>
      <c r="R42" s="280">
        <f>+R27+R31+R40</f>
        <v>26985.043596000003</v>
      </c>
      <c r="S42" s="283">
        <f>+P42-R42</f>
        <v>-6090.3203400000057</v>
      </c>
      <c r="T42" s="280">
        <f>+T27+T31+T40</f>
        <v>1806.7974240786484</v>
      </c>
      <c r="U42" s="280">
        <f>+U27+U31+U40</f>
        <v>-780.93885399097644</v>
      </c>
      <c r="V42" s="281">
        <f>+U42-T42</f>
        <v>-2587.7362780696249</v>
      </c>
      <c r="W42" s="280">
        <f>+W27+W31+W40</f>
        <v>1796.8404870201034</v>
      </c>
      <c r="X42" s="283">
        <f>+U42-W42</f>
        <v>-2577.7793410110799</v>
      </c>
      <c r="Y42" s="647"/>
      <c r="Z42" s="648"/>
      <c r="AA42" s="648"/>
      <c r="AB42" s="648"/>
      <c r="AC42" s="648"/>
      <c r="AD42" s="648"/>
      <c r="AE42" s="648"/>
      <c r="AF42" s="648"/>
      <c r="AG42" s="649"/>
      <c r="AH42" s="25"/>
      <c r="AJ42" s="486"/>
      <c r="AK42" s="488"/>
      <c r="AO42" s="486"/>
    </row>
    <row r="43" spans="2:43" s="33" customFormat="1" x14ac:dyDescent="0.3">
      <c r="G43" s="336">
        <f>+U42/T42</f>
        <v>-0.43222269612721276</v>
      </c>
      <c r="P43" s="295">
        <f>+P42/O42</f>
        <v>0.71118917840148177</v>
      </c>
      <c r="R43" s="295">
        <f>+P42/R42</f>
        <v>0.77430755972902066</v>
      </c>
      <c r="T43" s="295">
        <f>+T42/O42</f>
        <v>6.1497573326290515E-2</v>
      </c>
      <c r="U43" s="295">
        <f>+U42/P42</f>
        <v>-3.7374931671647141E-2</v>
      </c>
      <c r="AC43" s="34"/>
      <c r="AF43" s="34"/>
      <c r="AJ43" s="487"/>
      <c r="AK43" s="488"/>
    </row>
    <row r="44" spans="2:43" s="33" customFormat="1" ht="17.25" thickBot="1" x14ac:dyDescent="0.35">
      <c r="G44" s="340"/>
      <c r="AC44" s="34"/>
      <c r="AF44" s="34"/>
      <c r="AJ44" s="487"/>
    </row>
    <row r="45" spans="2:43" s="33" customFormat="1" x14ac:dyDescent="0.3">
      <c r="F45" s="295" t="e">
        <f>+#REF!/#REF!</f>
        <v>#REF!</v>
      </c>
      <c r="G45" s="336" t="e">
        <f>+#REF!/#REF!</f>
        <v>#REF!</v>
      </c>
      <c r="I45" s="644" t="s">
        <v>82</v>
      </c>
      <c r="J45" s="126">
        <f>+'[1]8월'!$Z$7/1000</f>
        <v>271.5</v>
      </c>
      <c r="K45" s="127">
        <f>+'[2]8월'!$AI$7/1000</f>
        <v>200.35732000000002</v>
      </c>
      <c r="L45" s="127"/>
      <c r="M45" s="127">
        <f>+'[3]8월'!$Z$7/1000</f>
        <v>257.52300000000002</v>
      </c>
      <c r="N45" s="127"/>
      <c r="O45" s="127">
        <f>('[1]8월'!$E$8-'[1]8월'!$AA$8)/1000</f>
        <v>29379.979182141691</v>
      </c>
      <c r="P45" s="127">
        <f>('[2]8월'!$F$8-'[2]8월'!$AO$8)/1000</f>
        <v>20894.723255999997</v>
      </c>
      <c r="Q45" s="127"/>
      <c r="R45" s="127">
        <f>('[3]8월'!$F$8-'[3]8월'!$AO$8)/1000</f>
        <v>26985.043596000007</v>
      </c>
      <c r="S45" s="127"/>
      <c r="T45" s="132">
        <f>('[1]8월'!$E$26-'[1]8월'!$AA$26)/1000</f>
        <v>1806.7974240786446</v>
      </c>
      <c r="U45" s="127">
        <f>('[2]8월'!$F$26-'[2]8월'!$AO$26)/1000</f>
        <v>-780.93885399097701</v>
      </c>
      <c r="V45" s="127"/>
      <c r="W45" s="127">
        <f>('[3]8월'!$F$26-'[3]8월'!$AO$26)/1000</f>
        <v>1796.8404870201034</v>
      </c>
      <c r="X45" s="128"/>
      <c r="AC45" s="34"/>
      <c r="AF45" s="34"/>
      <c r="AJ45" s="487"/>
    </row>
    <row r="46" spans="2:43" s="33" customFormat="1" ht="17.25" thickBot="1" x14ac:dyDescent="0.35">
      <c r="F46" s="295">
        <f>+K31/M31</f>
        <v>1.3524786807249563</v>
      </c>
      <c r="G46" s="336">
        <f>+K31/J31</f>
        <v>0.70520740544895533</v>
      </c>
      <c r="I46" s="644"/>
      <c r="J46" s="131">
        <f>+J45-J27</f>
        <v>0</v>
      </c>
      <c r="K46" s="129">
        <f>+K45-K27</f>
        <v>0</v>
      </c>
      <c r="L46" s="129"/>
      <c r="M46" s="129">
        <f>+M45-M27</f>
        <v>0</v>
      </c>
      <c r="N46" s="129"/>
      <c r="O46" s="133">
        <f>+O45-O42</f>
        <v>0</v>
      </c>
      <c r="P46" s="133">
        <f>+P45-P42</f>
        <v>0</v>
      </c>
      <c r="Q46" s="129"/>
      <c r="R46" s="133">
        <f>+R45-R42</f>
        <v>0</v>
      </c>
      <c r="S46" s="129"/>
      <c r="T46" s="133">
        <f>+T45-T42</f>
        <v>-3.865352482534945E-12</v>
      </c>
      <c r="U46" s="133">
        <f>+U45-U42</f>
        <v>0</v>
      </c>
      <c r="V46" s="129"/>
      <c r="W46" s="129">
        <f>+W45-W42</f>
        <v>0</v>
      </c>
      <c r="X46" s="130"/>
      <c r="AC46" s="34"/>
      <c r="AF46" s="34"/>
      <c r="AG46" s="33" t="s">
        <v>83</v>
      </c>
      <c r="AJ46" s="487"/>
    </row>
    <row r="47" spans="2:43" x14ac:dyDescent="0.3">
      <c r="T47" s="294"/>
      <c r="U47" s="294"/>
      <c r="V47" s="294"/>
    </row>
    <row r="48" spans="2:43" x14ac:dyDescent="0.3">
      <c r="O48" s="492"/>
      <c r="P48" s="492"/>
      <c r="Q48" s="492"/>
      <c r="T48" s="236">
        <f>+(T27+T34)/100</f>
        <v>17.29840167485926</v>
      </c>
      <c r="U48" s="236">
        <f t="shared" ref="U48" si="14">+(U27+U34)/100</f>
        <v>-7.3489490014656997</v>
      </c>
      <c r="V48" s="236">
        <f>+U48-T48</f>
        <v>-24.647350676324962</v>
      </c>
      <c r="AC48" s="34"/>
      <c r="AD48" s="33"/>
      <c r="AE48" s="33"/>
      <c r="AF48" s="34"/>
    </row>
    <row r="49" spans="7:33" x14ac:dyDescent="0.3">
      <c r="O49" s="492"/>
      <c r="P49" s="492"/>
      <c r="Q49" s="492"/>
      <c r="T49" s="236">
        <f>+T31/100</f>
        <v>0.81219239926068454</v>
      </c>
      <c r="U49" s="236">
        <f>+U31/100</f>
        <v>-0.89003884844404046</v>
      </c>
      <c r="V49" s="236">
        <f t="shared" ref="V49:V52" si="15">+U49-T49</f>
        <v>-1.702231247704725</v>
      </c>
      <c r="W49" s="235"/>
      <c r="AC49" s="34"/>
      <c r="AD49" s="33"/>
      <c r="AE49" s="33"/>
      <c r="AF49" s="34"/>
    </row>
    <row r="50" spans="7:33" x14ac:dyDescent="0.3">
      <c r="Q50" s="235"/>
      <c r="T50" s="6">
        <f>+(T32+T33)/100</f>
        <v>1.1341988766666666</v>
      </c>
      <c r="U50" s="6">
        <f>+(U32+U33)/100</f>
        <v>0.90628752999999984</v>
      </c>
      <c r="V50" s="294">
        <f t="shared" si="15"/>
        <v>-0.22791134666666679</v>
      </c>
      <c r="AC50" s="34"/>
      <c r="AD50" s="33"/>
      <c r="AE50" s="33"/>
      <c r="AF50" s="34"/>
    </row>
    <row r="51" spans="7:33" x14ac:dyDescent="0.3">
      <c r="G51" s="568"/>
      <c r="I51" s="492"/>
      <c r="T51" s="6">
        <f>+T42/100-T48-T49-T50</f>
        <v>-1.1768187100001277</v>
      </c>
      <c r="U51" s="602">
        <f>+U42/100-U48-U49-U50</f>
        <v>-0.47668822000002387</v>
      </c>
      <c r="V51" s="294">
        <f t="shared" si="15"/>
        <v>0.70013049000010386</v>
      </c>
      <c r="AC51" s="34"/>
      <c r="AD51" s="33"/>
      <c r="AE51" s="33"/>
      <c r="AF51" s="34"/>
    </row>
    <row r="52" spans="7:33" x14ac:dyDescent="0.3">
      <c r="G52" s="568"/>
      <c r="I52" s="492"/>
      <c r="N52" s="492"/>
      <c r="S52" s="236"/>
      <c r="T52" s="236">
        <f>+SUM(T48:T51)</f>
        <v>18.067974240786484</v>
      </c>
      <c r="U52" s="236">
        <f>+SUM(U48:U51)</f>
        <v>-7.8093885399097642</v>
      </c>
      <c r="V52" s="236">
        <f t="shared" si="15"/>
        <v>-25.877362780696249</v>
      </c>
      <c r="AC52" s="34"/>
      <c r="AD52" s="33"/>
      <c r="AE52" s="33"/>
      <c r="AF52" s="34"/>
    </row>
    <row r="53" spans="7:33" x14ac:dyDescent="0.3">
      <c r="G53" s="568"/>
      <c r="I53" s="485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6"/>
      <c r="AG53" s="236"/>
    </row>
    <row r="54" spans="7:33" x14ac:dyDescent="0.3">
      <c r="G54" s="568"/>
      <c r="I54" s="485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7:33" x14ac:dyDescent="0.3">
      <c r="G55" s="568"/>
      <c r="J55" s="236"/>
      <c r="K55" s="236"/>
      <c r="L55" s="236"/>
      <c r="M55" s="236"/>
      <c r="N55" s="236"/>
      <c r="O55" s="236"/>
      <c r="P55" s="236"/>
      <c r="Q55" s="236"/>
      <c r="R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7:33" x14ac:dyDescent="0.3">
      <c r="G56" s="568"/>
      <c r="I56" s="492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7:33" x14ac:dyDescent="0.3">
      <c r="G57" s="568"/>
      <c r="I57" s="492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94"/>
      <c r="U57" s="294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7:33" x14ac:dyDescent="0.3"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7:33" x14ac:dyDescent="0.3">
      <c r="G59" s="568"/>
      <c r="I59" s="492"/>
      <c r="S59" s="236"/>
      <c r="T59" s="236"/>
      <c r="U59" s="236"/>
      <c r="V59" s="236"/>
      <c r="AC59" s="236"/>
      <c r="AD59" s="236"/>
      <c r="AE59" s="236"/>
      <c r="AF59" s="236"/>
    </row>
    <row r="60" spans="7:33" x14ac:dyDescent="0.3">
      <c r="G60" s="568"/>
      <c r="I60" s="492"/>
      <c r="S60" s="236"/>
      <c r="T60" s="236"/>
      <c r="U60" s="236"/>
      <c r="V60" s="236"/>
      <c r="AC60" s="236"/>
      <c r="AD60" s="236"/>
      <c r="AE60" s="236"/>
    </row>
    <row r="61" spans="7:33" x14ac:dyDescent="0.3">
      <c r="G61" s="568"/>
      <c r="I61" s="492"/>
      <c r="S61" s="236"/>
      <c r="T61" s="236"/>
      <c r="U61" s="236"/>
      <c r="V61" s="236"/>
      <c r="AC61" s="236"/>
      <c r="AD61" s="236"/>
      <c r="AE61" s="236"/>
    </row>
    <row r="62" spans="7:33" x14ac:dyDescent="0.3">
      <c r="G62" s="568"/>
      <c r="I62" s="492"/>
      <c r="T62" s="6"/>
      <c r="U62" s="6"/>
      <c r="V62" s="6"/>
      <c r="AC62" s="236"/>
      <c r="AE62" s="236"/>
    </row>
    <row r="63" spans="7:33" x14ac:dyDescent="0.3">
      <c r="G63" s="568"/>
      <c r="AC63" s="236"/>
      <c r="AE63" s="236"/>
    </row>
    <row r="64" spans="7:33" x14ac:dyDescent="0.3">
      <c r="G64" s="568"/>
      <c r="AC64" s="236"/>
      <c r="AE64" s="236"/>
    </row>
    <row r="65" spans="7:31" x14ac:dyDescent="0.3">
      <c r="G65" s="568"/>
      <c r="T65" s="6"/>
      <c r="U65" s="6"/>
      <c r="V65" s="6"/>
      <c r="AC65" s="236"/>
      <c r="AE65" s="236"/>
    </row>
    <row r="66" spans="7:31" x14ac:dyDescent="0.3">
      <c r="AC66" s="236"/>
      <c r="AE66" s="236"/>
    </row>
    <row r="67" spans="7:31" x14ac:dyDescent="0.3">
      <c r="T67" s="492"/>
      <c r="U67" s="492"/>
      <c r="V67" s="492"/>
      <c r="AC67" s="236"/>
      <c r="AE67" s="236"/>
    </row>
    <row r="68" spans="7:31" x14ac:dyDescent="0.3">
      <c r="G68" s="568"/>
      <c r="T68" s="492"/>
      <c r="U68" s="492"/>
      <c r="V68" s="492"/>
      <c r="AC68" s="236"/>
      <c r="AE68" s="236"/>
    </row>
    <row r="69" spans="7:31" x14ac:dyDescent="0.3">
      <c r="AC69" s="236"/>
      <c r="AE69" s="236"/>
    </row>
    <row r="70" spans="7:31" x14ac:dyDescent="0.3">
      <c r="AC70" s="236"/>
      <c r="AE70" s="236"/>
    </row>
    <row r="71" spans="7:31" x14ac:dyDescent="0.3">
      <c r="AC71" s="236"/>
      <c r="AE71" s="236"/>
    </row>
    <row r="72" spans="7:31" x14ac:dyDescent="0.3">
      <c r="AC72" s="236"/>
      <c r="AE72" s="236"/>
    </row>
    <row r="73" spans="7:31" x14ac:dyDescent="0.3">
      <c r="AC73" s="236"/>
      <c r="AE73" s="236"/>
    </row>
    <row r="74" spans="7:31" x14ac:dyDescent="0.3">
      <c r="AC74" s="236"/>
      <c r="AE74" s="236"/>
    </row>
    <row r="75" spans="7:31" x14ac:dyDescent="0.3">
      <c r="AC75" s="236"/>
      <c r="AE75" s="236"/>
    </row>
    <row r="76" spans="7:31" x14ac:dyDescent="0.3">
      <c r="AC76" s="236"/>
      <c r="AE76" s="236"/>
    </row>
    <row r="77" spans="7:31" x14ac:dyDescent="0.3">
      <c r="AC77" s="236"/>
    </row>
  </sheetData>
  <mergeCells count="3">
    <mergeCell ref="H5:I6"/>
    <mergeCell ref="Y42:AG42"/>
    <mergeCell ref="I45:I46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7925-3FD4-4329-BC8D-2F90C8DFF3BE}">
  <sheetPr>
    <tabColor theme="1" tint="0.34998626667073579"/>
    <pageSetUpPr fitToPage="1"/>
  </sheetPr>
  <dimension ref="A1:AR52"/>
  <sheetViews>
    <sheetView showGridLines="0" showZeros="0" topLeftCell="E1" zoomScale="85" zoomScaleNormal="85" zoomScaleSheetLayoutView="85" workbookViewId="0">
      <selection activeCell="U11" sqref="U11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218</v>
      </c>
      <c r="AD3" s="5"/>
      <c r="AG3" s="5"/>
    </row>
    <row r="4" spans="1:36" ht="18" customHeight="1" x14ac:dyDescent="0.3">
      <c r="H4" s="7"/>
      <c r="AD4" s="5"/>
      <c r="AG4" s="5" t="s">
        <v>77</v>
      </c>
    </row>
    <row r="5" spans="1:36" s="8" customFormat="1" ht="19.5" customHeight="1" x14ac:dyDescent="0.3">
      <c r="G5" s="334"/>
      <c r="H5" s="641" t="s">
        <v>11</v>
      </c>
      <c r="I5" s="642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6" s="8" customFormat="1" ht="19.5" customHeight="1" x14ac:dyDescent="0.3">
      <c r="A6" s="8" t="s">
        <v>214</v>
      </c>
      <c r="G6" s="334"/>
      <c r="H6" s="643"/>
      <c r="I6" s="640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6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+IFERROR(HLOOKUP($B7,'[1]8월누계'!$D$6:$BN$259,2,),)/1000</f>
        <v>302</v>
      </c>
      <c r="K7" s="36">
        <f>+IFERROR(HLOOKUP($B7,'[2]8월누계'!$F$6:$CP$99,2,),)/1000</f>
        <v>261.55599999999998</v>
      </c>
      <c r="L7" s="37">
        <f t="shared" ref="L7:L31" si="0">+K7-J7</f>
        <v>-40.444000000000017</v>
      </c>
      <c r="M7" s="38">
        <f>+IFERROR(HLOOKUP($B7,'[3]8월누계'!$F$6:$CC$57,2,),)/1000</f>
        <v>306.21600000000001</v>
      </c>
      <c r="N7" s="39">
        <f>+K7-M7</f>
        <v>-44.660000000000025</v>
      </c>
      <c r="O7" s="35">
        <f>+IFERROR(HLOOKUP($B7,'[1]8월누계'!$D$6:$BN$259,3,),)/1000</f>
        <v>29771.086636</v>
      </c>
      <c r="P7" s="36">
        <f>+IFERROR(HLOOKUP($B7,'[2]8월누계'!$F$6:$CP$99,3,),)/1000</f>
        <v>25108.860621</v>
      </c>
      <c r="Q7" s="37">
        <f>+P7-O7</f>
        <v>-4662.2260150000002</v>
      </c>
      <c r="R7" s="38">
        <f>+IFERROR(HLOOKUP($B7,'[3]8월누계'!$F$6:$CC$57,3,),)/1000</f>
        <v>30507.054101999998</v>
      </c>
      <c r="S7" s="39">
        <f>+P7-R7</f>
        <v>-5398.1934809999984</v>
      </c>
      <c r="T7" s="35">
        <f>+IFERROR(HLOOKUP($B7,'[1]8월누계'!$D$6:$BN$259,16,),)/1000</f>
        <v>2587.0177216698676</v>
      </c>
      <c r="U7" s="36">
        <f>+IFERROR(HLOOKUP($B7,'[2]8월누계'!$F$6:$CP$99,16,),)/1000</f>
        <v>1691.0118639999982</v>
      </c>
      <c r="V7" s="40">
        <f>+U7-T7</f>
        <v>-896.00585766986933</v>
      </c>
      <c r="W7" s="41">
        <f>+IFERROR(HLOOKUP($B7,'[3]8월누계'!$F$6:$CC$57,16,),)/1000</f>
        <v>3141.6975189999971</v>
      </c>
      <c r="X7" s="39">
        <f>+U7-W7</f>
        <v>-1450.6856549999989</v>
      </c>
      <c r="Y7" s="35">
        <f>+[12]안양!$Q$85</f>
        <v>98579.757072847686</v>
      </c>
      <c r="Z7" s="36">
        <f>+[12]안양!$R$85</f>
        <v>95982.436795710993</v>
      </c>
      <c r="AA7" s="42">
        <f>+[13]안양!$Q$85</f>
        <v>99620.936766267492</v>
      </c>
      <c r="AB7" s="43">
        <f>+[12]안양!$Q$89</f>
        <v>81746.587017562604</v>
      </c>
      <c r="AC7" s="36">
        <f>+[12]안양!$R$89</f>
        <v>79899.626626845929</v>
      </c>
      <c r="AD7" s="44">
        <f>+[13]안양!$Q$89</f>
        <v>81422.200070565872</v>
      </c>
      <c r="AE7" s="43">
        <f>+Y7-AB7</f>
        <v>16833.170055285082</v>
      </c>
      <c r="AF7" s="36">
        <f>+Z7-AC7</f>
        <v>16082.810168865064</v>
      </c>
      <c r="AG7" s="44">
        <f>+AA7-AD7</f>
        <v>18198.73669570162</v>
      </c>
      <c r="AH7" s="17"/>
      <c r="AI7" s="493"/>
      <c r="AJ7" s="494"/>
    </row>
    <row r="8" spans="1:36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+IFERROR(HLOOKUP($B8,'[1]8월누계'!$D$6:$BN$259,2,),)/1000</f>
        <v>218</v>
      </c>
      <c r="K8" s="46">
        <f>+IFERROR(HLOOKUP($B8,'[2]8월누계'!$F$6:$CP$99,2,),)/1000</f>
        <v>215.50399999999999</v>
      </c>
      <c r="L8" s="47">
        <f t="shared" si="0"/>
        <v>-2.4960000000000093</v>
      </c>
      <c r="M8" s="48">
        <f>+IFERROR(HLOOKUP($B8,'[3]8월누계'!$F$6:$CC$57,2,),)/1000</f>
        <v>222.28700000000001</v>
      </c>
      <c r="N8" s="49">
        <f t="shared" ref="N8:N31" si="2">+K8-M8</f>
        <v>-6.7830000000000155</v>
      </c>
      <c r="O8" s="45">
        <f>+IFERROR(HLOOKUP($B8,'[1]8월누계'!$D$6:$BN$259,3,),)/1000</f>
        <v>21376.385173809413</v>
      </c>
      <c r="P8" s="46">
        <f>+IFERROR(HLOOKUP($B8,'[2]8월누계'!$F$6:$CP$99,3,),)/1000</f>
        <v>20991.093563999999</v>
      </c>
      <c r="Q8" s="47">
        <f t="shared" ref="Q8:Q42" si="3">+P8-O8</f>
        <v>-385.29160980941379</v>
      </c>
      <c r="R8" s="48">
        <f>+IFERROR(HLOOKUP($B8,'[3]8월누계'!$F$6:$CC$57,3,),)/1000</f>
        <v>22256.215973999999</v>
      </c>
      <c r="S8" s="49">
        <f t="shared" ref="S8:S37" si="4">+P8-R8</f>
        <v>-1265.1224099999999</v>
      </c>
      <c r="T8" s="45">
        <f>+IFERROR(HLOOKUP($B8,'[1]8월누계'!$D$6:$BN$259,16,),)/1000</f>
        <v>860.40307788543669</v>
      </c>
      <c r="U8" s="46">
        <f>+IFERROR(HLOOKUP($B8,'[2]8월누계'!$F$6:$CP$99,16,),)/1000</f>
        <v>314.65792401000277</v>
      </c>
      <c r="V8" s="47">
        <f t="shared" ref="V8:V38" si="5">+U8-T8</f>
        <v>-545.74515387543397</v>
      </c>
      <c r="W8" s="48">
        <f>+IFERROR(HLOOKUP($B8,'[3]8월누계'!$F$6:$CC$57,16,),)/1000</f>
        <v>1666.8650450099997</v>
      </c>
      <c r="X8" s="49">
        <f t="shared" ref="X8:X36" si="6">+U8-W8</f>
        <v>-1352.207120999997</v>
      </c>
      <c r="Y8" s="45">
        <f>+[12]인천!$Q$85</f>
        <v>98056.812723896379</v>
      </c>
      <c r="Z8" s="46">
        <f>+[12]인천!$R$85</f>
        <v>97476.620188979316</v>
      </c>
      <c r="AA8" s="50">
        <f>+[13]인천!$Q$85</f>
        <v>100128.89107235288</v>
      </c>
      <c r="AB8" s="51">
        <f>+[12]인천!$Q$89</f>
        <v>82881.223575992481</v>
      </c>
      <c r="AC8" s="46">
        <f>+[12]인천!$R$89</f>
        <v>84146.777017105778</v>
      </c>
      <c r="AD8" s="52">
        <f>+[13]인천!$Q$89</f>
        <v>82319.971537599617</v>
      </c>
      <c r="AE8" s="51">
        <f t="shared" ref="AE8:AG27" si="7">+Y8-AB8</f>
        <v>15175.589147903898</v>
      </c>
      <c r="AF8" s="46">
        <f t="shared" si="7"/>
        <v>13329.843171873537</v>
      </c>
      <c r="AG8" s="52">
        <f t="shared" si="7"/>
        <v>17808.919534753266</v>
      </c>
      <c r="AH8" s="17"/>
      <c r="AI8" s="493"/>
      <c r="AJ8" s="494"/>
    </row>
    <row r="9" spans="1:36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+IFERROR(HLOOKUP($B9,'[1]8월누계'!$D$6:$BN$259,2,),)/1000</f>
        <v>161</v>
      </c>
      <c r="K9" s="46">
        <f>+IFERROR(HLOOKUP($B9,'[2]8월누계'!$F$6:$CP$99,2,),)/1000</f>
        <v>96.230999999999995</v>
      </c>
      <c r="L9" s="47">
        <f t="shared" si="0"/>
        <v>-64.769000000000005</v>
      </c>
      <c r="M9" s="48">
        <f>+IFERROR(HLOOKUP($B9,'[3]8월누계'!$F$6:$CC$57,2,),)/1000</f>
        <v>198.32220000000001</v>
      </c>
      <c r="N9" s="49">
        <f t="shared" si="2"/>
        <v>-102.09120000000001</v>
      </c>
      <c r="O9" s="45">
        <f>+IFERROR(HLOOKUP($B9,'[1]8월누계'!$D$6:$BN$259,3,),)/1000</f>
        <v>15555.940481200003</v>
      </c>
      <c r="P9" s="46">
        <f>+IFERROR(HLOOKUP($B9,'[2]8월누계'!$F$6:$CP$99,3,),)/1000</f>
        <v>8958.6127430000015</v>
      </c>
      <c r="Q9" s="47">
        <f t="shared" si="3"/>
        <v>-6597.3277382000015</v>
      </c>
      <c r="R9" s="48">
        <f>+IFERROR(HLOOKUP($B9,'[3]8월누계'!$F$6:$CC$57,3,),)/1000</f>
        <v>19428.776544999997</v>
      </c>
      <c r="S9" s="49">
        <f t="shared" si="4"/>
        <v>-10470.163801999995</v>
      </c>
      <c r="T9" s="45">
        <f>+IFERROR(HLOOKUP($B9,'[1]8월누계'!$D$6:$BN$259,16,),)/1000</f>
        <v>792.23252051473412</v>
      </c>
      <c r="U9" s="46">
        <f>+IFERROR(HLOOKUP($B9,'[2]8월누계'!$F$6:$CP$99,16,),)/1000</f>
        <v>-299.74362399999939</v>
      </c>
      <c r="V9" s="47">
        <f t="shared" si="5"/>
        <v>-1091.9761445147335</v>
      </c>
      <c r="W9" s="48">
        <f>+IFERROR(HLOOKUP($B9,'[3]8월누계'!$F$6:$CC$57,16,),)/1000</f>
        <v>1514.270156000001</v>
      </c>
      <c r="X9" s="49">
        <f t="shared" si="6"/>
        <v>-1814.0137800000002</v>
      </c>
      <c r="Y9" s="45">
        <f>+[12]파주!$Q$85</f>
        <v>96620.748330434799</v>
      </c>
      <c r="Z9" s="46">
        <f>+[12]파주!$R$85</f>
        <v>93152.436983383945</v>
      </c>
      <c r="AA9" s="50">
        <f>+[13]파주!$Q$85</f>
        <v>97989.519636950383</v>
      </c>
      <c r="AB9" s="51">
        <f>+[12]파주!$Q$89</f>
        <v>79857.410509519337</v>
      </c>
      <c r="AC9" s="46">
        <f>+[12]파주!$R$89</f>
        <v>78128.539948562262</v>
      </c>
      <c r="AD9" s="52">
        <f>+[13]파주!$Q$89</f>
        <v>81096.027898048997</v>
      </c>
      <c r="AE9" s="51">
        <f t="shared" si="7"/>
        <v>16763.337820915462</v>
      </c>
      <c r="AF9" s="46">
        <f t="shared" si="7"/>
        <v>15023.897034821683</v>
      </c>
      <c r="AG9" s="52">
        <f t="shared" si="7"/>
        <v>16893.491738901386</v>
      </c>
      <c r="AH9" s="17"/>
      <c r="AI9" s="493"/>
      <c r="AJ9" s="494"/>
    </row>
    <row r="10" spans="1:36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+IFERROR(HLOOKUP($B10,'[1]8월누계'!$D$6:$BN$259,2,),)/1000</f>
        <v>109</v>
      </c>
      <c r="K10" s="46">
        <f>+IFERROR(HLOOKUP($B10,'[2]8월누계'!$F$6:$CP$99,2,),)/1000</f>
        <v>79.512320000000003</v>
      </c>
      <c r="L10" s="47">
        <f t="shared" si="0"/>
        <v>-29.487679999999997</v>
      </c>
      <c r="M10" s="48">
        <f>+IFERROR(HLOOKUP($B10,'[3]8월누계'!$F$6:$CC$57,2,),)/1000</f>
        <v>92.797499999999999</v>
      </c>
      <c r="N10" s="49">
        <f t="shared" si="2"/>
        <v>-13.285179999999997</v>
      </c>
      <c r="O10" s="45">
        <f>+IFERROR(HLOOKUP($B10,'[1]8월누계'!$D$6:$BN$259,3,),)/1000</f>
        <v>10337.881270000002</v>
      </c>
      <c r="P10" s="46">
        <f>+IFERROR(HLOOKUP($B10,'[2]8월누계'!$F$6:$CP$99,3,),)/1000</f>
        <v>7616.3468610000009</v>
      </c>
      <c r="Q10" s="47">
        <f t="shared" si="3"/>
        <v>-2721.5344090000008</v>
      </c>
      <c r="R10" s="48">
        <f>+IFERROR(HLOOKUP($B10,'[3]8월누계'!$F$6:$CC$57,3,),)/1000</f>
        <v>9103.976098000001</v>
      </c>
      <c r="S10" s="49">
        <f t="shared" si="4"/>
        <v>-1487.6292370000001</v>
      </c>
      <c r="T10" s="45">
        <f>+IFERROR(HLOOKUP($B10,'[1]8월누계'!$D$6:$BN$259,16,),)/1000</f>
        <v>660.88065720823829</v>
      </c>
      <c r="U10" s="46">
        <f>+IFERROR(HLOOKUP($B10,'[2]8월누계'!$F$6:$CP$99,16,),)/1000</f>
        <v>29.081227000001061</v>
      </c>
      <c r="V10" s="47">
        <f t="shared" si="5"/>
        <v>-631.79943020823725</v>
      </c>
      <c r="W10" s="48">
        <f>+IFERROR(HLOOKUP($B10,'[3]8월누계'!$F$6:$CC$57,16,),)/1000</f>
        <v>832.09533600000077</v>
      </c>
      <c r="X10" s="49">
        <f t="shared" si="6"/>
        <v>-803.01410899999973</v>
      </c>
      <c r="Y10" s="45">
        <f>+[12]김포!$Q$85</f>
        <v>94842.947431192675</v>
      </c>
      <c r="Z10" s="46">
        <f>+[12]김포!$R$85</f>
        <v>95869.771304106223</v>
      </c>
      <c r="AA10" s="50">
        <f>+[13]김포!$Q$85</f>
        <v>98126.894887645627</v>
      </c>
      <c r="AB10" s="51">
        <f>+[12]김포!$Q$89</f>
        <v>76012.559760576827</v>
      </c>
      <c r="AC10" s="46">
        <f>+[12]김포!$R$89</f>
        <v>77974.553668385299</v>
      </c>
      <c r="AD10" s="52">
        <f>+[13]김포!$Q$89</f>
        <v>75514.607042123418</v>
      </c>
      <c r="AE10" s="51">
        <f t="shared" si="7"/>
        <v>18830.387670615848</v>
      </c>
      <c r="AF10" s="46">
        <f t="shared" si="7"/>
        <v>17895.217635720925</v>
      </c>
      <c r="AG10" s="52">
        <f t="shared" si="7"/>
        <v>22612.287845522209</v>
      </c>
      <c r="AH10" s="17"/>
      <c r="AI10" s="493"/>
      <c r="AJ10" s="494"/>
    </row>
    <row r="11" spans="1:36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+IFERROR(HLOOKUP($B11,'[1]8월누계'!$D$6:$BN$259,2,),)/1000</f>
        <v>157</v>
      </c>
      <c r="K11" s="63">
        <f>+IFERROR(HLOOKUP($B11,'[2]8월누계'!$F$6:$CP$99,2,),)/1000</f>
        <v>157.38800000000001</v>
      </c>
      <c r="L11" s="64">
        <f t="shared" si="0"/>
        <v>0.38800000000000523</v>
      </c>
      <c r="M11" s="65">
        <f>+IFERROR(HLOOKUP($B11,'[3]8월누계'!$F$6:$CC$57,2,),)/1000</f>
        <v>164.9735</v>
      </c>
      <c r="N11" s="66">
        <f t="shared" si="2"/>
        <v>-7.5854999999999961</v>
      </c>
      <c r="O11" s="62">
        <f>+IFERROR(HLOOKUP($B11,'[1]8월누계'!$D$6:$BN$259,3,),)/1000</f>
        <v>16908.897757104001</v>
      </c>
      <c r="P11" s="63">
        <f>+IFERROR(HLOOKUP($B11,'[2]8월누계'!$F$6:$CP$99,3,),)/1000</f>
        <v>16921.096320000001</v>
      </c>
      <c r="Q11" s="64">
        <f t="shared" si="3"/>
        <v>12.198562895999203</v>
      </c>
      <c r="R11" s="65">
        <f>+IFERROR(HLOOKUP($B11,'[3]8월누계'!$F$6:$CC$57,3,),)/1000</f>
        <v>17745.131841000002</v>
      </c>
      <c r="S11" s="66">
        <f t="shared" si="4"/>
        <v>-824.03552100000161</v>
      </c>
      <c r="T11" s="62">
        <f>+IFERROR(HLOOKUP($B11,'[1]8월누계'!$D$6:$BN$259,16,),)/1000</f>
        <v>1408.1701952799067</v>
      </c>
      <c r="U11" s="63">
        <f>+IFERROR(HLOOKUP($B11,'[2]8월누계'!$F$6:$CP$99,16,),)/1000</f>
        <v>1620.5948289999999</v>
      </c>
      <c r="V11" s="64">
        <f t="shared" si="5"/>
        <v>212.4246337200932</v>
      </c>
      <c r="W11" s="65">
        <f>+IFERROR(HLOOKUP($B11,'[3]8월누계'!$F$6:$CC$57,16,),)/1000</f>
        <v>1826.0327640000021</v>
      </c>
      <c r="X11" s="66">
        <f t="shared" si="6"/>
        <v>-205.4379350000022</v>
      </c>
      <c r="Y11" s="62">
        <f>+[12]부산!$Q$85</f>
        <v>107699.98571403824</v>
      </c>
      <c r="Z11" s="63">
        <f>+[12]부산!$R$85</f>
        <v>107511.98515769944</v>
      </c>
      <c r="AA11" s="67">
        <f>+[13]부산!$Q$85</f>
        <v>107563.52893646556</v>
      </c>
      <c r="AB11" s="68">
        <f>+[12]부산!$Q$89</f>
        <v>84791.012074901635</v>
      </c>
      <c r="AC11" s="63">
        <f>+[12]부산!$R$89</f>
        <v>84343.109408442135</v>
      </c>
      <c r="AD11" s="69">
        <f>+[13]부산!$Q$89</f>
        <v>83908.156897502908</v>
      </c>
      <c r="AE11" s="68">
        <f t="shared" si="7"/>
        <v>22908.973639136602</v>
      </c>
      <c r="AF11" s="63">
        <f t="shared" si="7"/>
        <v>23168.875749257306</v>
      </c>
      <c r="AG11" s="69">
        <f t="shared" si="7"/>
        <v>23655.372038962654</v>
      </c>
      <c r="AH11" s="17"/>
      <c r="AI11" s="493"/>
      <c r="AJ11" s="494"/>
    </row>
    <row r="12" spans="1:36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+IFERROR(HLOOKUP($B12,'[1]8월누계'!$D$6:$BN$259,2,),)/1000</f>
        <v>154</v>
      </c>
      <c r="K12" s="46">
        <f>+IFERROR(HLOOKUP($B12,'[2]8월누계'!$F$6:$CP$99,2,),)/1000</f>
        <v>130.83000000000001</v>
      </c>
      <c r="L12" s="47">
        <f t="shared" si="0"/>
        <v>-23.169999999999987</v>
      </c>
      <c r="M12" s="48">
        <f>+IFERROR(HLOOKUP($B12,'[3]8월누계'!$F$6:$CC$57,2,),)/1000</f>
        <v>174.505</v>
      </c>
      <c r="N12" s="49">
        <f t="shared" si="2"/>
        <v>-43.674999999999983</v>
      </c>
      <c r="O12" s="45">
        <f>+IFERROR(HLOOKUP($B12,'[1]8월누계'!$D$6:$BN$259,3,),)/1000</f>
        <v>15292.201679580017</v>
      </c>
      <c r="P12" s="46">
        <f>+IFERROR(HLOOKUP($B12,'[2]8월누계'!$F$6:$CP$99,3,),)/1000</f>
        <v>12815.898318</v>
      </c>
      <c r="Q12" s="47">
        <f t="shared" si="3"/>
        <v>-2476.3033615800177</v>
      </c>
      <c r="R12" s="48">
        <f>+IFERROR(HLOOKUP($B12,'[3]8월누계'!$F$6:$CC$57,3,),)/1000</f>
        <v>17650.711531000001</v>
      </c>
      <c r="S12" s="49">
        <f t="shared" si="4"/>
        <v>-4834.8132130000013</v>
      </c>
      <c r="T12" s="45">
        <f>+IFERROR(HLOOKUP($B12,'[1]8월누계'!$D$6:$BN$259,16,),)/1000</f>
        <v>1370.9415147687391</v>
      </c>
      <c r="U12" s="46">
        <f>+IFERROR(HLOOKUP($B12,'[2]8월누계'!$F$6:$CP$99,16,),)/1000</f>
        <v>858.206086999999</v>
      </c>
      <c r="V12" s="47">
        <f t="shared" si="5"/>
        <v>-512.73542776874012</v>
      </c>
      <c r="W12" s="48">
        <f>+IFERROR(HLOOKUP($B12,'[3]8월누계'!$F$6:$CC$57,16,),)/1000</f>
        <v>2073.3245339999989</v>
      </c>
      <c r="X12" s="49">
        <f t="shared" si="6"/>
        <v>-1215.1184469999998</v>
      </c>
      <c r="Y12" s="45">
        <f>+[12]서부산!$Q$85</f>
        <v>99300.01090636375</v>
      </c>
      <c r="Z12" s="46">
        <f>+[12]서부산!$R$85</f>
        <v>98009.640442702337</v>
      </c>
      <c r="AA12" s="50">
        <f>+[13]서부산!$Q$85</f>
        <v>101148.80639169939</v>
      </c>
      <c r="AB12" s="51">
        <f>+[12]서부산!$Q$89</f>
        <v>78265.771866739902</v>
      </c>
      <c r="AC12" s="46">
        <f>+[12]서부산!$R$89</f>
        <v>77535.449028124305</v>
      </c>
      <c r="AD12" s="52">
        <f>+[13]서부산!$Q$89</f>
        <v>78981.924407788669</v>
      </c>
      <c r="AE12" s="51">
        <f t="shared" si="7"/>
        <v>21034.239039623848</v>
      </c>
      <c r="AF12" s="46">
        <f t="shared" si="7"/>
        <v>20474.191414578032</v>
      </c>
      <c r="AG12" s="52">
        <f t="shared" si="7"/>
        <v>22166.881983910716</v>
      </c>
      <c r="AH12" s="17"/>
      <c r="AI12" s="493"/>
      <c r="AJ12" s="494"/>
    </row>
    <row r="13" spans="1:36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+IFERROR(HLOOKUP($B13,'[1]8월누계'!$D$6:$BN$259,2,),)/1000</f>
        <v>108</v>
      </c>
      <c r="K13" s="46">
        <f>+IFERROR(HLOOKUP($B13,'[2]8월누계'!$F$6:$CP$99,2,),)/1000</f>
        <v>69.304000000000002</v>
      </c>
      <c r="L13" s="47">
        <f t="shared" si="0"/>
        <v>-38.695999999999998</v>
      </c>
      <c r="M13" s="48">
        <f>+IFERROR(HLOOKUP($B13,'[3]8월누계'!$F$6:$CC$57,2,),)/1000</f>
        <v>107.923</v>
      </c>
      <c r="N13" s="49">
        <f t="shared" si="2"/>
        <v>-38.619</v>
      </c>
      <c r="O13" s="45">
        <f>+IFERROR(HLOOKUP($B13,'[1]8월누계'!$D$6:$BN$259,3,),)/1000</f>
        <v>10400.38725</v>
      </c>
      <c r="P13" s="46">
        <f>+IFERROR(HLOOKUP($B13,'[2]8월누계'!$F$6:$CP$99,3,),)/1000</f>
        <v>6225.5611000000008</v>
      </c>
      <c r="Q13" s="47">
        <f t="shared" si="3"/>
        <v>-4174.826149999999</v>
      </c>
      <c r="R13" s="48">
        <f>+IFERROR(HLOOKUP($B13,'[3]8월누계'!$F$6:$CC$57,3,),)/1000</f>
        <v>10408.446199999998</v>
      </c>
      <c r="S13" s="49">
        <f t="shared" si="4"/>
        <v>-4182.8850999999977</v>
      </c>
      <c r="T13" s="45">
        <f>+IFERROR(HLOOKUP($B13,'[1]8월누계'!$D$6:$BN$259,16,),)/1000</f>
        <v>894.04980932611795</v>
      </c>
      <c r="U13" s="46">
        <f>+IFERROR(HLOOKUP($B13,'[2]8월누계'!$F$6:$CP$99,16,),)/1000</f>
        <v>-230.10982699999965</v>
      </c>
      <c r="V13" s="47">
        <f t="shared" si="5"/>
        <v>-1124.1596363261176</v>
      </c>
      <c r="W13" s="48">
        <f>+IFERROR(HLOOKUP($B13,'[3]8월누계'!$F$6:$CC$57,16,),)/1000</f>
        <v>712.38713399999915</v>
      </c>
      <c r="X13" s="49">
        <f t="shared" si="6"/>
        <v>-942.49696099999881</v>
      </c>
      <c r="Y13" s="45">
        <f>+[12]김해!$Q$85</f>
        <v>96299.881944444453</v>
      </c>
      <c r="Z13" s="46">
        <f>+[12]김해!$R$85</f>
        <v>89770.576264238232</v>
      </c>
      <c r="AA13" s="50">
        <f>+[13]김해!$Q$85</f>
        <v>96514.170927684419</v>
      </c>
      <c r="AB13" s="51">
        <f>+[12]김해!$Q$89</f>
        <v>76579.814000066806</v>
      </c>
      <c r="AC13" s="46">
        <f>+[12]김해!$R$89</f>
        <v>76460.805335129291</v>
      </c>
      <c r="AD13" s="52">
        <f>+[13]김해!$Q$89</f>
        <v>79108.80404000674</v>
      </c>
      <c r="AE13" s="51">
        <f t="shared" si="7"/>
        <v>19720.067944377646</v>
      </c>
      <c r="AF13" s="46">
        <f t="shared" si="7"/>
        <v>13309.770929108941</v>
      </c>
      <c r="AG13" s="52">
        <f t="shared" si="7"/>
        <v>17405.366887677679</v>
      </c>
      <c r="AH13" s="17"/>
      <c r="AI13" s="493"/>
      <c r="AJ13" s="494"/>
    </row>
    <row r="14" spans="1:36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+IFERROR(HLOOKUP($B14,'[1]8월누계'!$D$6:$BN$259,2,),)/1000</f>
        <v>151</v>
      </c>
      <c r="K14" s="46">
        <f>+IFERROR(HLOOKUP($B14,'[2]8월누계'!$F$6:$CP$99,2,),)/1000</f>
        <v>171.82149999999999</v>
      </c>
      <c r="L14" s="47">
        <f t="shared" si="0"/>
        <v>20.821499999999986</v>
      </c>
      <c r="M14" s="48">
        <f>+IFERROR(HLOOKUP($B14,'[3]8월누계'!$F$6:$CC$57,2,),)/1000</f>
        <v>158.45750000000001</v>
      </c>
      <c r="N14" s="49">
        <f t="shared" si="2"/>
        <v>13.363999999999976</v>
      </c>
      <c r="O14" s="45">
        <f>+IFERROR(HLOOKUP($B14,'[1]8월누계'!$D$6:$BN$259,3,),)/1000</f>
        <v>15401.979868360002</v>
      </c>
      <c r="P14" s="46">
        <f>+IFERROR(HLOOKUP($B14,'[2]8월누계'!$F$6:$CP$99,3,),)/1000</f>
        <v>17097.311249999999</v>
      </c>
      <c r="Q14" s="47">
        <f t="shared" si="3"/>
        <v>1695.3313816399968</v>
      </c>
      <c r="R14" s="48">
        <f>+IFERROR(HLOOKUP($B14,'[3]8월누계'!$F$6:$CC$57,3,),)/1000</f>
        <v>16072.158650000001</v>
      </c>
      <c r="S14" s="49">
        <f t="shared" si="4"/>
        <v>1025.1525999999976</v>
      </c>
      <c r="T14" s="45">
        <f>+IFERROR(HLOOKUP($B14,'[1]8월누계'!$D$6:$BN$259,16,),)/1000</f>
        <v>1256.2080353559468</v>
      </c>
      <c r="U14" s="46">
        <f>+IFERROR(HLOOKUP($B14,'[2]8월누계'!$F$6:$CP$99,16,),)/1000</f>
        <v>1463.751182</v>
      </c>
      <c r="V14" s="47">
        <f t="shared" si="5"/>
        <v>207.54314664405319</v>
      </c>
      <c r="W14" s="48">
        <f>+IFERROR(HLOOKUP($B14,'[3]8월누계'!$F$6:$CC$57,16,),)/1000</f>
        <v>1496.705551999999</v>
      </c>
      <c r="X14" s="49">
        <f t="shared" si="6"/>
        <v>-32.954369999999017</v>
      </c>
      <c r="Y14" s="45">
        <f>+[12]정관!$Q$85</f>
        <v>101999.8666778808</v>
      </c>
      <c r="Z14" s="46">
        <f>+[12]정관!$R$85</f>
        <v>99524.818438321556</v>
      </c>
      <c r="AA14" s="50">
        <f>+[13]정관!$Q$85</f>
        <v>101428.82886578419</v>
      </c>
      <c r="AB14" s="51">
        <f>+[12]정관!$Q$89</f>
        <v>82162.650521733987</v>
      </c>
      <c r="AC14" s="46">
        <f>+[12]정관!$R$89</f>
        <v>81627.776730980564</v>
      </c>
      <c r="AD14" s="52">
        <f>+[13]정관!$Q$89</f>
        <v>81881.428854384489</v>
      </c>
      <c r="AE14" s="51">
        <f t="shared" si="7"/>
        <v>19837.216156146809</v>
      </c>
      <c r="AF14" s="46">
        <f t="shared" si="7"/>
        <v>17897.041707340992</v>
      </c>
      <c r="AG14" s="52">
        <f t="shared" si="7"/>
        <v>19547.400011399703</v>
      </c>
      <c r="AH14" s="17"/>
      <c r="AI14" s="493"/>
      <c r="AJ14" s="494"/>
    </row>
    <row r="15" spans="1:36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+IFERROR(HLOOKUP($B15,'[1]8월누계'!$D$6:$BN$259,2,),)/1000</f>
        <v>90</v>
      </c>
      <c r="K15" s="46">
        <f>+IFERROR(HLOOKUP($B15,'[2]8월누계'!$F$6:$CP$99,2,),)/1000</f>
        <v>58.463000000000001</v>
      </c>
      <c r="L15" s="47">
        <f t="shared" si="0"/>
        <v>-31.536999999999999</v>
      </c>
      <c r="M15" s="48">
        <f>+IFERROR(HLOOKUP($B15,'[3]8월누계'!$F$6:$CC$57,2,),)/1000</f>
        <v>100.26300000000001</v>
      </c>
      <c r="N15" s="49">
        <f t="shared" si="2"/>
        <v>-41.800000000000004</v>
      </c>
      <c r="O15" s="45">
        <f>+IFERROR(HLOOKUP($B15,'[1]8월누계'!$D$6:$BN$259,3,),)/1000</f>
        <v>8511.1285000000007</v>
      </c>
      <c r="P15" s="46">
        <f>+IFERROR(HLOOKUP($B15,'[2]8월누계'!$F$6:$CP$99,3,),)/1000</f>
        <v>5403.4601469999998</v>
      </c>
      <c r="Q15" s="47">
        <f t="shared" si="3"/>
        <v>-3107.6683530000009</v>
      </c>
      <c r="R15" s="48">
        <f>+IFERROR(HLOOKUP($B15,'[3]8월누계'!$F$6:$CC$57,3,),)/1000</f>
        <v>9311.6553179999992</v>
      </c>
      <c r="S15" s="49">
        <f t="shared" si="4"/>
        <v>-3908.1951709999994</v>
      </c>
      <c r="T15" s="45">
        <f>+IFERROR(HLOOKUP($B15,'[1]8월누계'!$D$6:$BN$259,16,),)/1000</f>
        <v>697.11206608399732</v>
      </c>
      <c r="U15" s="46">
        <f>+IFERROR(HLOOKUP($B15,'[2]8월누계'!$F$6:$CP$99,16,),)/1000</f>
        <v>2.4183510000006354</v>
      </c>
      <c r="V15" s="47">
        <f t="shared" si="5"/>
        <v>-694.69371508399672</v>
      </c>
      <c r="W15" s="48">
        <f>+IFERROR(HLOOKUP($B15,'[3]8월누계'!$F$6:$CC$57,16,),)/1000</f>
        <v>864.19810400000017</v>
      </c>
      <c r="X15" s="49">
        <f t="shared" si="6"/>
        <v>-861.77975299999957</v>
      </c>
      <c r="Y15" s="45">
        <f>+[12]양산!$Q$85</f>
        <v>94568.094444444447</v>
      </c>
      <c r="Z15" s="46">
        <f>+[12]양산!$R$85</f>
        <v>92405.853101047702</v>
      </c>
      <c r="AA15" s="50">
        <f>+[13]양산!$Q$85</f>
        <v>92872.299033541785</v>
      </c>
      <c r="AB15" s="51">
        <f>+[12]양산!$Q$89</f>
        <v>73867.37887067163</v>
      </c>
      <c r="AC15" s="46">
        <f>+[12]양산!$R$89</f>
        <v>72933.546664151843</v>
      </c>
      <c r="AD15" s="52">
        <f>+[13]양산!$Q$89</f>
        <v>73161.402367631075</v>
      </c>
      <c r="AE15" s="51">
        <f t="shared" si="7"/>
        <v>20700.715573772817</v>
      </c>
      <c r="AF15" s="46">
        <f t="shared" si="7"/>
        <v>19472.306436895858</v>
      </c>
      <c r="AG15" s="52">
        <f t="shared" si="7"/>
        <v>19710.89666591071</v>
      </c>
      <c r="AH15" s="17"/>
      <c r="AI15" s="493"/>
      <c r="AJ15" s="494"/>
    </row>
    <row r="16" spans="1:36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+IFERROR(HLOOKUP($B16,'[1]8월누계'!$D$6:$BN$259,2,),)/1000</f>
        <v>91</v>
      </c>
      <c r="K16" s="46">
        <f>+IFERROR(HLOOKUP($B16,'[2]8월누계'!$F$6:$CP$99,2,),)/1000</f>
        <v>77.817999999999998</v>
      </c>
      <c r="L16" s="47">
        <f t="shared" si="0"/>
        <v>-13.182000000000002</v>
      </c>
      <c r="M16" s="48">
        <f>+IFERROR(HLOOKUP($B16,'[3]8월누계'!$F$6:$CC$57,2,),)/1000</f>
        <v>141.1165</v>
      </c>
      <c r="N16" s="49">
        <f t="shared" si="2"/>
        <v>-63.298500000000004</v>
      </c>
      <c r="O16" s="45">
        <f>+IFERROR(HLOOKUP($B16,'[1]8월누계'!$D$6:$BN$259,3,),)/1000</f>
        <v>9160.9241125919998</v>
      </c>
      <c r="P16" s="46">
        <f>+IFERROR(HLOOKUP($B16,'[2]8월누계'!$F$6:$CP$99,3,),)/1000</f>
        <v>7472.9552800000001</v>
      </c>
      <c r="Q16" s="47">
        <f t="shared" si="3"/>
        <v>-1687.9688325919997</v>
      </c>
      <c r="R16" s="48">
        <f>+IFERROR(HLOOKUP($B16,'[3]8월누계'!$F$6:$CC$57,3,),)/1000</f>
        <v>14326.785600000001</v>
      </c>
      <c r="S16" s="49">
        <f t="shared" si="4"/>
        <v>-6853.8303200000009</v>
      </c>
      <c r="T16" s="45">
        <f>+IFERROR(HLOOKUP($B16,'[1]8월누계'!$D$6:$BN$259,16,),)/1000</f>
        <v>706.48657265940619</v>
      </c>
      <c r="U16" s="46">
        <f>+IFERROR(HLOOKUP($B16,'[2]8월누계'!$F$6:$CP$99,16,),)/1000</f>
        <v>342.52946400000036</v>
      </c>
      <c r="V16" s="47">
        <f t="shared" si="5"/>
        <v>-363.95710865940583</v>
      </c>
      <c r="W16" s="48">
        <f>+IFERROR(HLOOKUP($B16,'[3]8월누계'!$F$6:$CC$57,16,),)/1000</f>
        <v>2209.9365250000033</v>
      </c>
      <c r="X16" s="49">
        <f t="shared" si="6"/>
        <v>-1867.4070610000028</v>
      </c>
      <c r="Y16" s="45">
        <f>+[12]창원!$Q$85</f>
        <v>100669.49574276924</v>
      </c>
      <c r="Z16" s="46">
        <f>+[12]창원!$R$85</f>
        <v>96031.191755120934</v>
      </c>
      <c r="AA16" s="50">
        <f>+[13]창원!$Q$85</f>
        <v>101524.52477208548</v>
      </c>
      <c r="AB16" s="51">
        <f>+[12]창원!$Q$89</f>
        <v>76026.627924130313</v>
      </c>
      <c r="AC16" s="46">
        <f>+[12]창원!$R$89</f>
        <v>73236.455345443333</v>
      </c>
      <c r="AD16" s="52">
        <f>+[13]창원!$Q$89</f>
        <v>74930.299998228555</v>
      </c>
      <c r="AE16" s="51">
        <f t="shared" si="7"/>
        <v>24642.86781863893</v>
      </c>
      <c r="AF16" s="46">
        <f t="shared" si="7"/>
        <v>22794.7364096776</v>
      </c>
      <c r="AG16" s="52">
        <f t="shared" si="7"/>
        <v>26594.224773856928</v>
      </c>
      <c r="AH16" s="17"/>
      <c r="AI16" s="493"/>
      <c r="AJ16" s="494"/>
    </row>
    <row r="17" spans="2:44" s="8" customFormat="1" ht="22.5" customHeight="1" x14ac:dyDescent="0.3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+IFERROR(HLOOKUP($B17,'[1]8월누계'!$D$6:$BN$259,2,),)/1000</f>
        <v>97</v>
      </c>
      <c r="K17" s="46">
        <f>+IFERROR(HLOOKUP($B17,'[2]8월누계'!$F$6:$CP$99,2,),)/1000</f>
        <v>78.044499999999999</v>
      </c>
      <c r="L17" s="47">
        <f t="shared" si="0"/>
        <v>-18.955500000000001</v>
      </c>
      <c r="M17" s="48">
        <f>+IFERROR(HLOOKUP($B17,'[3]8월누계'!$F$6:$CC$57,2,),)/1000</f>
        <v>126.05200000000001</v>
      </c>
      <c r="N17" s="49">
        <f t="shared" si="2"/>
        <v>-48.007500000000007</v>
      </c>
      <c r="O17" s="45">
        <f>+IFERROR(HLOOKUP($B17,'[1]8월누계'!$D$6:$BN$259,3,),)/1000</f>
        <v>9423.3005211830932</v>
      </c>
      <c r="P17" s="46">
        <f>+IFERROR(HLOOKUP($B17,'[2]8월누계'!$F$6:$CP$99,3,),)/1000</f>
        <v>6981.5453389999993</v>
      </c>
      <c r="Q17" s="47">
        <f t="shared" si="3"/>
        <v>-2441.7551821830939</v>
      </c>
      <c r="R17" s="48">
        <f>+IFERROR(HLOOKUP($B17,'[3]8월누계'!$F$6:$CC$57,3,),)/1000</f>
        <v>12757.315702</v>
      </c>
      <c r="S17" s="49">
        <f t="shared" si="4"/>
        <v>-5775.7703630000005</v>
      </c>
      <c r="T17" s="45">
        <f>+IFERROR(HLOOKUP($B17,'[1]8월누계'!$D$6:$BN$259,16,),)/1000</f>
        <v>866.04037137774151</v>
      </c>
      <c r="U17" s="46">
        <f>+IFERROR(HLOOKUP($B17,'[2]8월누계'!$F$6:$CP$99,16,),)/1000</f>
        <v>42.095103999999935</v>
      </c>
      <c r="V17" s="47">
        <f t="shared" si="5"/>
        <v>-823.94526737774163</v>
      </c>
      <c r="W17" s="48">
        <f>+IFERROR(HLOOKUP($B17,'[3]8월누계'!$F$6:$CC$57,16,),)/1000</f>
        <v>1978.4149759999984</v>
      </c>
      <c r="X17" s="49">
        <f t="shared" si="6"/>
        <v>-1936.3198719999984</v>
      </c>
      <c r="Y17" s="45">
        <f>+[12]대구!$Q$85</f>
        <v>97147.428053433949</v>
      </c>
      <c r="Z17" s="46">
        <f>+[12]대구!$R$85</f>
        <v>89483.068343223742</v>
      </c>
      <c r="AA17" s="50">
        <f>+[13]대구!$Q$85</f>
        <v>101206.76944435629</v>
      </c>
      <c r="AB17" s="51">
        <f>+[12]대구!$Q$89</f>
        <v>73129.688947104558</v>
      </c>
      <c r="AC17" s="46">
        <f>+[12]대구!$R$89</f>
        <v>73239.78429352869</v>
      </c>
      <c r="AD17" s="52">
        <f>+[13]대구!$Q$89</f>
        <v>74641.888405992504</v>
      </c>
      <c r="AE17" s="51">
        <f t="shared" si="7"/>
        <v>24017.739106329391</v>
      </c>
      <c r="AF17" s="46">
        <f t="shared" si="7"/>
        <v>16243.284049695052</v>
      </c>
      <c r="AG17" s="52">
        <f t="shared" si="7"/>
        <v>26564.88103836379</v>
      </c>
      <c r="AH17" s="17"/>
      <c r="AI17" s="493"/>
      <c r="AJ17" s="494"/>
    </row>
    <row r="18" spans="2:44" s="8" customFormat="1" ht="22.5" customHeight="1" x14ac:dyDescent="0.3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+IFERROR(HLOOKUP($B18,'[1]8월누계'!$D$6:$BN$259,2,),)/1000</f>
        <v>93</v>
      </c>
      <c r="K18" s="10">
        <f>+IFERROR(HLOOKUP($B18,'[2]8월누계'!$F$6:$CP$99,2,),)/1000</f>
        <v>87.180499999999995</v>
      </c>
      <c r="L18" s="11">
        <f t="shared" si="0"/>
        <v>-5.819500000000005</v>
      </c>
      <c r="M18" s="12">
        <f>+IFERROR(HLOOKUP($B18,'[3]8월누계'!$F$6:$CC$57,2,),)/1000</f>
        <v>82.527000000000001</v>
      </c>
      <c r="N18" s="13">
        <f t="shared" si="2"/>
        <v>4.653499999999994</v>
      </c>
      <c r="O18" s="9">
        <f>+IFERROR(HLOOKUP($B18,'[1]8월누계'!$D$6:$BN$259,3,),)/1000</f>
        <v>9483.8070000000007</v>
      </c>
      <c r="P18" s="10">
        <f>+IFERROR(HLOOKUP($B18,'[2]8월누계'!$F$6:$CP$99,3,),)/1000</f>
        <v>9029.6693679999989</v>
      </c>
      <c r="Q18" s="11">
        <f t="shared" si="3"/>
        <v>-454.13763200000176</v>
      </c>
      <c r="R18" s="12">
        <f>+IFERROR(HLOOKUP($B18,'[3]8월누계'!$F$6:$CC$57,3,),)/1000</f>
        <v>8651.6029920000001</v>
      </c>
      <c r="S18" s="13">
        <f t="shared" si="4"/>
        <v>378.06637599999885</v>
      </c>
      <c r="T18" s="9">
        <f>+IFERROR(HLOOKUP($B18,'[1]8월누계'!$D$6:$BN$259,16,),)/1000</f>
        <v>654.64116733149513</v>
      </c>
      <c r="U18" s="10">
        <f>+IFERROR(HLOOKUP($B18,'[2]8월누계'!$F$6:$CP$99,16,),)/1000</f>
        <v>706.16897699999879</v>
      </c>
      <c r="V18" s="11">
        <f t="shared" si="5"/>
        <v>51.527809668503664</v>
      </c>
      <c r="W18" s="12">
        <f>+IFERROR(HLOOKUP($B18,'[3]8월누계'!$F$6:$CC$57,16,),)/1000</f>
        <v>1001.9594010000005</v>
      </c>
      <c r="X18" s="13">
        <f t="shared" si="6"/>
        <v>-295.79042400000174</v>
      </c>
      <c r="Y18" s="9">
        <f>+[12]울산!$Q$85</f>
        <v>101976.41935483871</v>
      </c>
      <c r="Z18" s="10">
        <f>+[12]울산!$R$85</f>
        <v>103574.41593016786</v>
      </c>
      <c r="AA18" s="14">
        <f>+[13]울산!$Q$85</f>
        <v>104833.6058744411</v>
      </c>
      <c r="AB18" s="15">
        <f>+[12]울산!$Q$89</f>
        <v>81847.102662084391</v>
      </c>
      <c r="AC18" s="10">
        <f>+[12]울산!$R$89</f>
        <v>82056.127411822003</v>
      </c>
      <c r="AD18" s="16">
        <f>+[13]울산!$Q$89</f>
        <v>80478.808635846275</v>
      </c>
      <c r="AE18" s="15">
        <f t="shared" si="7"/>
        <v>20129.316692754321</v>
      </c>
      <c r="AF18" s="10">
        <f t="shared" si="7"/>
        <v>21518.288518345857</v>
      </c>
      <c r="AG18" s="16">
        <f t="shared" si="7"/>
        <v>24354.797238594823</v>
      </c>
      <c r="AH18" s="17"/>
      <c r="AI18" s="493"/>
      <c r="AJ18" s="494"/>
    </row>
    <row r="19" spans="2:44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+IFERROR(HLOOKUP($B19,'[1]8월누계'!$D$6:$BN$259,2,),)/1000</f>
        <v>172</v>
      </c>
      <c r="K19" s="46">
        <f>+IFERROR(HLOOKUP($B19,'[2]8월누계'!$F$6:$CP$99,2,),)/1000</f>
        <v>164.62200000000001</v>
      </c>
      <c r="L19" s="47">
        <f t="shared" si="0"/>
        <v>-7.3779999999999859</v>
      </c>
      <c r="M19" s="48">
        <f>+IFERROR(HLOOKUP($B19,'[3]8월누계'!$F$6:$CC$57,2,),)/1000</f>
        <v>208.56700000000001</v>
      </c>
      <c r="N19" s="49">
        <f t="shared" si="2"/>
        <v>-43.944999999999993</v>
      </c>
      <c r="O19" s="45">
        <f>+IFERROR(HLOOKUP($B19,'[1]8월누계'!$D$6:$BN$259,3,),)/1000</f>
        <v>17716</v>
      </c>
      <c r="P19" s="46">
        <f>+IFERROR(HLOOKUP($B19,'[2]8월누계'!$F$6:$CP$99,3,),)/1000</f>
        <v>15913.053274</v>
      </c>
      <c r="Q19" s="47">
        <f t="shared" si="3"/>
        <v>-1802.9467260000001</v>
      </c>
      <c r="R19" s="48">
        <f>+IFERROR(HLOOKUP($B19,'[3]8월누계'!$F$6:$CC$57,3,),)/1000</f>
        <v>21181.423341000002</v>
      </c>
      <c r="S19" s="49">
        <f t="shared" si="4"/>
        <v>-5268.3700670000017</v>
      </c>
      <c r="T19" s="45">
        <f>+IFERROR(HLOOKUP($B19,'[1]8월누계'!$D$6:$BN$259,16,),)/1000</f>
        <v>2183.033239058228</v>
      </c>
      <c r="U19" s="46">
        <f>+IFERROR(HLOOKUP($B19,'[2]8월누계'!$F$6:$CP$99,16,),)/1000</f>
        <v>696.41130000000078</v>
      </c>
      <c r="V19" s="47">
        <f t="shared" si="5"/>
        <v>-1486.6219390582273</v>
      </c>
      <c r="W19" s="48">
        <f>+IFERROR(HLOOKUP($B19,'[3]8월누계'!$F$6:$CC$57,16,),)/1000</f>
        <v>3107.8736520000034</v>
      </c>
      <c r="X19" s="49">
        <f t="shared" si="6"/>
        <v>-2411.4623520000027</v>
      </c>
      <c r="Y19" s="45">
        <f>+[12]아산!$Q$85</f>
        <v>103000</v>
      </c>
      <c r="Z19" s="46">
        <f>+[12]아산!$R$85</f>
        <v>96650.84801060363</v>
      </c>
      <c r="AA19" s="50">
        <f>+[13]아산!$Q$85</f>
        <v>101509.46209266238</v>
      </c>
      <c r="AB19" s="51">
        <f>+[12]아산!$Q$89</f>
        <v>78508.140046261571</v>
      </c>
      <c r="AC19" s="46">
        <f>+[12]아산!$R$89</f>
        <v>80813.408506891734</v>
      </c>
      <c r="AD19" s="52">
        <f>+[13]아산!$Q$89</f>
        <v>77007.798190798974</v>
      </c>
      <c r="AE19" s="51">
        <f t="shared" si="7"/>
        <v>24491.859953738429</v>
      </c>
      <c r="AF19" s="46">
        <f t="shared" si="7"/>
        <v>15837.439503711896</v>
      </c>
      <c r="AG19" s="52">
        <f t="shared" si="7"/>
        <v>24501.663901863401</v>
      </c>
      <c r="AH19" s="17"/>
      <c r="AI19" s="493"/>
      <c r="AJ19" s="494"/>
    </row>
    <row r="20" spans="2:44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+IFERROR(HLOOKUP($B20,'[1]8월누계'!$D$6:$BN$259,2,),)/1000</f>
        <v>83</v>
      </c>
      <c r="K20" s="46">
        <f>+IFERROR(HLOOKUP($B20,'[2]8월누계'!$F$6:$CP$99,2,),)/1000</f>
        <v>98.830500000000001</v>
      </c>
      <c r="L20" s="47">
        <f t="shared" si="0"/>
        <v>15.830500000000001</v>
      </c>
      <c r="M20" s="48">
        <f>+IFERROR(HLOOKUP($B20,'[3]8월누계'!$F$6:$CC$57,2,),)/1000</f>
        <v>65.377499999999998</v>
      </c>
      <c r="N20" s="49">
        <f t="shared" si="2"/>
        <v>33.453000000000003</v>
      </c>
      <c r="O20" s="45">
        <f>+IFERROR(HLOOKUP($B20,'[1]8월누계'!$D$6:$BN$259,3,),)/1000</f>
        <v>8128.9848599999996</v>
      </c>
      <c r="P20" s="46">
        <f>+IFERROR(HLOOKUP($B20,'[2]8월누계'!$F$6:$CP$99,3,),)/1000</f>
        <v>9596.6658869999992</v>
      </c>
      <c r="Q20" s="47">
        <f t="shared" si="3"/>
        <v>1467.6810269999996</v>
      </c>
      <c r="R20" s="48">
        <f>+IFERROR(HLOOKUP($B20,'[3]8월누계'!$F$6:$CC$57,3,),)/1000</f>
        <v>6264.3745410000001</v>
      </c>
      <c r="S20" s="49">
        <f t="shared" si="4"/>
        <v>3332.2913459999991</v>
      </c>
      <c r="T20" s="45">
        <f>+IFERROR(HLOOKUP($B20,'[1]8월누계'!$D$6:$BN$259,16,),)/1000</f>
        <v>820.97221507846075</v>
      </c>
      <c r="U20" s="46">
        <f>+IFERROR(HLOOKUP($B20,'[2]8월누계'!$F$6:$CP$99,16,),)/1000</f>
        <v>934.76169699999946</v>
      </c>
      <c r="V20" s="47">
        <f t="shared" si="5"/>
        <v>113.78948192153871</v>
      </c>
      <c r="W20" s="48">
        <f>+IFERROR(HLOOKUP($B20,'[3]8월누계'!$F$6:$CC$57,16,),)/1000</f>
        <v>415.81929500000001</v>
      </c>
      <c r="X20" s="49">
        <f t="shared" si="6"/>
        <v>518.94240199999945</v>
      </c>
      <c r="Y20" s="45">
        <f>+[12]전주!$Q$85</f>
        <v>97939.576626506008</v>
      </c>
      <c r="Z20" s="46">
        <f>+[12]전주!$R$85</f>
        <v>97102.118250600121</v>
      </c>
      <c r="AA20" s="50">
        <f>+[13]전주!$Q$85</f>
        <v>95820.171575491826</v>
      </c>
      <c r="AB20" s="51">
        <f>+[12]전주!$Q$89</f>
        <v>73159.043339081472</v>
      </c>
      <c r="AC20" s="46">
        <f>+[12]전주!$R$89</f>
        <v>75255.322499013084</v>
      </c>
      <c r="AD20" s="52">
        <f>+[13]전주!$Q$89</f>
        <v>71558.770486661015</v>
      </c>
      <c r="AE20" s="51">
        <f t="shared" si="7"/>
        <v>24780.533287424536</v>
      </c>
      <c r="AF20" s="46">
        <f t="shared" si="7"/>
        <v>21846.795751587037</v>
      </c>
      <c r="AG20" s="52">
        <f t="shared" si="7"/>
        <v>24261.401088830811</v>
      </c>
      <c r="AH20" s="17"/>
      <c r="AI20" s="493"/>
      <c r="AJ20" s="494"/>
    </row>
    <row r="21" spans="2:44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+IFERROR(HLOOKUP($B21,'[1]8월누계'!$D$6:$BN$259,2,),)/1000</f>
        <v>54.5</v>
      </c>
      <c r="K21" s="46">
        <f>+IFERROR(HLOOKUP($B21,'[2]8월누계'!$F$6:$CP$99,2,),)/1000</f>
        <v>40.146999999999998</v>
      </c>
      <c r="L21" s="47">
        <f t="shared" si="0"/>
        <v>-14.353000000000002</v>
      </c>
      <c r="M21" s="48">
        <f>+IFERROR(HLOOKUP($B21,'[3]8월누계'!$F$6:$CC$57,2,),)/1000</f>
        <v>68.680499999999995</v>
      </c>
      <c r="N21" s="49">
        <f t="shared" si="2"/>
        <v>-28.533499999999997</v>
      </c>
      <c r="O21" s="45">
        <f>+IFERROR(HLOOKUP($B21,'[1]8월누계'!$D$6:$BN$259,3,),)/1000</f>
        <v>6041.2230330000011</v>
      </c>
      <c r="P21" s="46">
        <f>+IFERROR(HLOOKUP($B21,'[2]8월누계'!$F$6:$CP$99,3,),)/1000</f>
        <v>4413.4121219999997</v>
      </c>
      <c r="Q21" s="47">
        <f t="shared" si="3"/>
        <v>-1627.8109110000014</v>
      </c>
      <c r="R21" s="48">
        <f>+IFERROR(HLOOKUP($B21,'[3]8월누계'!$F$6:$CC$57,3,),)/1000</f>
        <v>7767.1513359999999</v>
      </c>
      <c r="S21" s="49">
        <f t="shared" si="4"/>
        <v>-3353.7392140000002</v>
      </c>
      <c r="T21" s="45">
        <f>+IFERROR(HLOOKUP($B21,'[1]8월누계'!$D$6:$BN$259,16,),)/1000</f>
        <v>1401.9163793387474</v>
      </c>
      <c r="U21" s="46">
        <f>+IFERROR(HLOOKUP($B21,'[2]8월누계'!$F$6:$CP$99,16,),)/1000</f>
        <v>842.70955699999956</v>
      </c>
      <c r="V21" s="47">
        <f t="shared" si="5"/>
        <v>-559.20682233874788</v>
      </c>
      <c r="W21" s="48">
        <f>+IFERROR(HLOOKUP($B21,'[3]8월누계'!$F$6:$CC$57,16,),)/1000</f>
        <v>2170.0630970000011</v>
      </c>
      <c r="X21" s="49">
        <f t="shared" si="6"/>
        <v>-1327.3535400000014</v>
      </c>
      <c r="Y21" s="45">
        <f>+[12]군산!$Q$85</f>
        <v>110848.12904587157</v>
      </c>
      <c r="Z21" s="46">
        <f>+[12]군산!$R$85</f>
        <v>109931.30550227912</v>
      </c>
      <c r="AA21" s="50">
        <f>+[13]군산!$Q$85</f>
        <v>113109.09646993653</v>
      </c>
      <c r="AB21" s="51">
        <f>+[12]군산!$Q$89</f>
        <v>72617.2207888915</v>
      </c>
      <c r="AC21" s="46">
        <f>+[12]군산!$R$89</f>
        <v>72429.870675268394</v>
      </c>
      <c r="AD21" s="52">
        <f>+[13]군산!$Q$89</f>
        <v>72246.297648113468</v>
      </c>
      <c r="AE21" s="51">
        <f t="shared" si="7"/>
        <v>38230.908256980067</v>
      </c>
      <c r="AF21" s="46">
        <f t="shared" si="7"/>
        <v>37501.434827010729</v>
      </c>
      <c r="AG21" s="52">
        <f t="shared" si="7"/>
        <v>40862.79882182306</v>
      </c>
      <c r="AH21" s="17"/>
      <c r="AI21" s="493"/>
      <c r="AJ21" s="494"/>
    </row>
    <row r="22" spans="2:44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+IFERROR(HLOOKUP($B22,'[1]8월누계'!$D$6:$BN$259,2,),)/1000</f>
        <v>34</v>
      </c>
      <c r="K22" s="46">
        <f>+IFERROR(HLOOKUP($B22,'[2]8월누계'!$F$6:$CP$99,2,),)/1000</f>
        <v>20.327500000000001</v>
      </c>
      <c r="L22" s="47">
        <f t="shared" si="0"/>
        <v>-13.672499999999999</v>
      </c>
      <c r="M22" s="48">
        <f>+IFERROR(HLOOKUP($B22,'[3]8월누계'!$F$6:$CC$57,2,),)/1000</f>
        <v>45.014000000000003</v>
      </c>
      <c r="N22" s="49">
        <f t="shared" si="2"/>
        <v>-24.686500000000002</v>
      </c>
      <c r="O22" s="45">
        <f>+IFERROR(HLOOKUP($B22,'[1]8월누계'!$D$6:$BN$259,3,),)/1000</f>
        <v>3808</v>
      </c>
      <c r="P22" s="46">
        <f>+IFERROR(HLOOKUP($B22,'[2]8월누계'!$F$6:$CP$99,3,),)/1000</f>
        <v>2202.7637539999996</v>
      </c>
      <c r="Q22" s="47">
        <f t="shared" si="3"/>
        <v>-1605.2362460000004</v>
      </c>
      <c r="R22" s="48">
        <f>+IFERROR(HLOOKUP($B22,'[3]8월누계'!$F$6:$CC$57,3,),)/1000</f>
        <v>5058.3483900000001</v>
      </c>
      <c r="S22" s="49">
        <f t="shared" si="4"/>
        <v>-2855.5846360000005</v>
      </c>
      <c r="T22" s="45">
        <f>+IFERROR(HLOOKUP($B22,'[1]8월누계'!$D$6:$BN$259,16,),)/1000</f>
        <v>570.47440357013545</v>
      </c>
      <c r="U22" s="46">
        <f>+IFERROR(HLOOKUP($B22,'[2]8월누계'!$F$6:$CP$99,16,),)/1000</f>
        <v>50.290814999999697</v>
      </c>
      <c r="V22" s="47">
        <f t="shared" si="5"/>
        <v>-520.18358857013573</v>
      </c>
      <c r="W22" s="48">
        <f>+IFERROR(HLOOKUP($B22,'[3]8월누계'!$F$6:$CC$57,16,),)/1000</f>
        <v>1021.5640769999998</v>
      </c>
      <c r="X22" s="49">
        <f t="shared" si="6"/>
        <v>-971.27326200000005</v>
      </c>
      <c r="Y22" s="45">
        <f>+[12]원주!$Q$85</f>
        <v>112000</v>
      </c>
      <c r="Z22" s="46">
        <f>+[12]원주!$R$85</f>
        <v>108365.58098565557</v>
      </c>
      <c r="AA22" s="50">
        <f>+[13]원주!$Q$85</f>
        <v>112379.53113536825</v>
      </c>
      <c r="AB22" s="51">
        <f>+[12]원주!$Q$89</f>
        <v>73375.855341507966</v>
      </c>
      <c r="AC22" s="46">
        <f>+[12]원주!$R$89</f>
        <v>71716.263514012258</v>
      </c>
      <c r="AD22" s="52">
        <f>+[13]원주!$Q$89</f>
        <v>73844.468442231169</v>
      </c>
      <c r="AE22" s="51">
        <f t="shared" si="7"/>
        <v>38624.144658492034</v>
      </c>
      <c r="AF22" s="46">
        <f t="shared" si="7"/>
        <v>36649.317471643313</v>
      </c>
      <c r="AG22" s="52">
        <f t="shared" si="7"/>
        <v>38535.062693137079</v>
      </c>
      <c r="AH22" s="17"/>
      <c r="AI22" s="493"/>
      <c r="AJ22" s="494"/>
    </row>
    <row r="23" spans="2:44" s="8" customFormat="1" ht="22.5" customHeight="1" x14ac:dyDescent="0.3">
      <c r="B23" s="8" t="s">
        <v>75</v>
      </c>
      <c r="F23" s="84"/>
      <c r="G23" s="334" t="str">
        <f t="shared" si="1"/>
        <v>제주</v>
      </c>
      <c r="H23" s="74"/>
      <c r="I23" s="75" t="s">
        <v>75</v>
      </c>
      <c r="J23" s="45">
        <f>+IFERROR(HLOOKUP($B23,'[1]8월누계'!$D$6:$BN$259,2,),)/1000</f>
        <v>64</v>
      </c>
      <c r="K23" s="46">
        <f>+IFERROR(HLOOKUP($B23,'[2]8월누계'!$F$6:$CP$99,2,),)/1000</f>
        <v>45.488</v>
      </c>
      <c r="L23" s="47">
        <f t="shared" si="0"/>
        <v>-18.512</v>
      </c>
      <c r="M23" s="48">
        <f>+IFERROR(HLOOKUP($B23,'[3]8월누계'!$F$6:$CC$57,2,),)/1000</f>
        <v>29.35</v>
      </c>
      <c r="N23" s="49">
        <f t="shared" si="2"/>
        <v>16.137999999999998</v>
      </c>
      <c r="O23" s="45">
        <f>+IFERROR(HLOOKUP($B23,'[1]8월누계'!$D$6:$BN$259,3,),)/1000</f>
        <v>7861.9684999999999</v>
      </c>
      <c r="P23" s="46">
        <f>+IFERROR(HLOOKUP($B23,'[2]8월누계'!$F$6:$CP$99,3,),)/1000</f>
        <v>5582.2379440000013</v>
      </c>
      <c r="Q23" s="47">
        <f t="shared" si="3"/>
        <v>-2279.7305559999986</v>
      </c>
      <c r="R23" s="48">
        <f>+IFERROR(HLOOKUP($B23,'[3]8월누계'!$F$6:$CC$57,3,),)/1000</f>
        <v>3683.8083449999999</v>
      </c>
      <c r="S23" s="49">
        <f t="shared" si="4"/>
        <v>1898.4295990000014</v>
      </c>
      <c r="T23" s="45">
        <f>+IFERROR(HLOOKUP($B23,'[1]8월누계'!$D$6:$BN$259,16,),)/1000</f>
        <v>1252.5385979958924</v>
      </c>
      <c r="U23" s="46">
        <f>+IFERROR(HLOOKUP($B23,'[2]8월누계'!$F$6:$CP$99,16,),)/1000</f>
        <v>596.946551</v>
      </c>
      <c r="V23" s="47">
        <f t="shared" si="5"/>
        <v>-655.59204699589236</v>
      </c>
      <c r="W23" s="48">
        <f>+IFERROR(HLOOKUP($B23,'[3]8월누계'!$F$6:$CC$57,16,),)/1000</f>
        <v>365.92274499999968</v>
      </c>
      <c r="X23" s="49">
        <f t="shared" si="6"/>
        <v>231.02380600000032</v>
      </c>
      <c r="Y23" s="45">
        <f>+[12]제주!$Q$85</f>
        <v>122843.2578125</v>
      </c>
      <c r="Z23" s="46">
        <f>+[12]제주!$R$85</f>
        <v>122503.76343768461</v>
      </c>
      <c r="AA23" s="50">
        <f>+[13]제주!$Q$85</f>
        <v>125513.06115843271</v>
      </c>
      <c r="AB23" s="51">
        <f>+[12]제주!$Q$89</f>
        <v>91040.491592701306</v>
      </c>
      <c r="AC23" s="46">
        <f>+[12]제주!$R$89</f>
        <v>92248.349467372289</v>
      </c>
      <c r="AD23" s="52">
        <f>+[13]제주!$Q$89</f>
        <v>89324.615823720291</v>
      </c>
      <c r="AE23" s="51">
        <f t="shared" si="7"/>
        <v>31802.766219798694</v>
      </c>
      <c r="AF23" s="46">
        <f t="shared" si="7"/>
        <v>30255.413970312322</v>
      </c>
      <c r="AG23" s="52">
        <f t="shared" si="7"/>
        <v>36188.445334712422</v>
      </c>
      <c r="AH23" s="17"/>
      <c r="AI23" s="493"/>
      <c r="AJ23" s="494"/>
    </row>
    <row r="24" spans="2:44" s="8" customFormat="1" ht="22.5" customHeight="1" x14ac:dyDescent="0.3">
      <c r="F24" s="495">
        <f>+K24/J24</f>
        <v>0.82633331645569619</v>
      </c>
      <c r="G24" s="337" t="str">
        <f t="shared" si="1"/>
        <v>수도권</v>
      </c>
      <c r="H24" s="74"/>
      <c r="I24" s="78" t="s">
        <v>42</v>
      </c>
      <c r="J24" s="22">
        <f>SUM(J7:J10)</f>
        <v>790</v>
      </c>
      <c r="K24" s="19">
        <f>SUM(K7:K10)</f>
        <v>652.80331999999999</v>
      </c>
      <c r="L24" s="20">
        <f t="shared" si="0"/>
        <v>-137.19668000000001</v>
      </c>
      <c r="M24" s="24">
        <f>SUM(M7:M10)</f>
        <v>819.62270000000001</v>
      </c>
      <c r="N24" s="21">
        <f t="shared" si="2"/>
        <v>-166.81938000000002</v>
      </c>
      <c r="O24" s="22">
        <f>SUM(O7:O10)</f>
        <v>77041.293561009414</v>
      </c>
      <c r="P24" s="19">
        <f>SUM(P7:P10)</f>
        <v>62674.913788999998</v>
      </c>
      <c r="Q24" s="20">
        <f t="shared" si="3"/>
        <v>-14366.379772009415</v>
      </c>
      <c r="R24" s="24">
        <f>SUM(R7:R10)</f>
        <v>81296.022719000001</v>
      </c>
      <c r="S24" s="21">
        <f t="shared" si="4"/>
        <v>-18621.108930000002</v>
      </c>
      <c r="T24" s="22">
        <f>SUM(T7:T10)</f>
        <v>4900.5339772782772</v>
      </c>
      <c r="U24" s="19">
        <f>SUM(U7:U10)</f>
        <v>1735.0073910100027</v>
      </c>
      <c r="V24" s="20">
        <f t="shared" si="5"/>
        <v>-3165.5265862682745</v>
      </c>
      <c r="W24" s="24">
        <f>SUM(W7:W10)</f>
        <v>7154.9280560099978</v>
      </c>
      <c r="X24" s="21">
        <f t="shared" si="6"/>
        <v>-5419.9206649999951</v>
      </c>
      <c r="Y24" s="22">
        <f>+[12]수도권!$Q$85</f>
        <v>97520.624760771432</v>
      </c>
      <c r="Z24" s="19">
        <f>+[12]수도권!$R$85</f>
        <v>96047.558831643357</v>
      </c>
      <c r="AA24" s="23">
        <f>+[13]수도권!$Q$85</f>
        <v>99199.15614018256</v>
      </c>
      <c r="AB24" s="28">
        <f>+[12]수도권!$Q$89</f>
        <v>80883.529271906023</v>
      </c>
      <c r="AC24" s="19">
        <f>+[12]수도권!$R$89</f>
        <v>80808.95576266959</v>
      </c>
      <c r="AD24" s="29">
        <f>+[13]수도권!$Q$89</f>
        <v>80922.465754364413</v>
      </c>
      <c r="AE24" s="28">
        <f t="shared" si="7"/>
        <v>16637.095488865409</v>
      </c>
      <c r="AF24" s="19">
        <f t="shared" si="7"/>
        <v>15238.603068973767</v>
      </c>
      <c r="AG24" s="29">
        <f t="shared" si="7"/>
        <v>18276.690385818147</v>
      </c>
      <c r="AH24" s="17"/>
      <c r="AI24" s="493"/>
      <c r="AJ24" s="494"/>
    </row>
    <row r="25" spans="2:44" s="8" customFormat="1" ht="22.5" customHeight="1" x14ac:dyDescent="0.3">
      <c r="F25" s="495">
        <f t="shared" ref="F25:F26" si="8">+K25/J25</f>
        <v>0.88294314558979814</v>
      </c>
      <c r="G25" s="334" t="str">
        <f t="shared" si="1"/>
        <v>영남권</v>
      </c>
      <c r="H25" s="74"/>
      <c r="I25" s="78" t="s">
        <v>43</v>
      </c>
      <c r="J25" s="22">
        <f>SUM(J11:J18)</f>
        <v>941</v>
      </c>
      <c r="K25" s="19">
        <f>SUM(K11:K18)</f>
        <v>830.84950000000003</v>
      </c>
      <c r="L25" s="20">
        <f t="shared" si="0"/>
        <v>-110.15049999999997</v>
      </c>
      <c r="M25" s="24">
        <f>SUM(M11:M18)</f>
        <v>1055.8175000000001</v>
      </c>
      <c r="N25" s="21">
        <f t="shared" si="2"/>
        <v>-224.96800000000007</v>
      </c>
      <c r="O25" s="22">
        <f>SUM(O11:O18)</f>
        <v>94582.626688819102</v>
      </c>
      <c r="P25" s="19">
        <f>SUM(P11:P18)</f>
        <v>81947.497122000001</v>
      </c>
      <c r="Q25" s="20">
        <f t="shared" si="3"/>
        <v>-12635.129566819101</v>
      </c>
      <c r="R25" s="24">
        <f>SUM(R11:R18)</f>
        <v>106923.80783400001</v>
      </c>
      <c r="S25" s="21">
        <f t="shared" si="4"/>
        <v>-24976.310712000006</v>
      </c>
      <c r="T25" s="22">
        <f>SUM(T11:T18)</f>
        <v>7853.6497321833504</v>
      </c>
      <c r="U25" s="19">
        <f>SUM(U11:U18)</f>
        <v>4805.6541669999979</v>
      </c>
      <c r="V25" s="20">
        <f t="shared" si="5"/>
        <v>-3047.9955651833525</v>
      </c>
      <c r="W25" s="24">
        <f>SUM(W11:W18)</f>
        <v>12162.958990000001</v>
      </c>
      <c r="X25" s="21">
        <f t="shared" si="6"/>
        <v>-7357.3048230000031</v>
      </c>
      <c r="Y25" s="22">
        <f>+[12]영남권!$Q$85</f>
        <v>100512.88702318714</v>
      </c>
      <c r="Z25" s="19">
        <f>+[12]영남권!$R$85</f>
        <v>98652.175655815241</v>
      </c>
      <c r="AA25" s="23">
        <f>+[13]영남권!$Q$85</f>
        <v>101283.76507858542</v>
      </c>
      <c r="AB25" s="28">
        <f>+[12]영남권!$Q$89</f>
        <v>78973.587161451476</v>
      </c>
      <c r="AC25" s="19">
        <f>+[12]영남권!$R$89</f>
        <v>78921.876356591471</v>
      </c>
      <c r="AD25" s="29">
        <f>+[13]영남권!$Q$89</f>
        <v>78709.127185203834</v>
      </c>
      <c r="AE25" s="28">
        <f t="shared" si="7"/>
        <v>21539.299861735664</v>
      </c>
      <c r="AF25" s="19">
        <f t="shared" si="7"/>
        <v>19730.299299223771</v>
      </c>
      <c r="AG25" s="29">
        <f t="shared" si="7"/>
        <v>22574.637893381587</v>
      </c>
      <c r="AH25" s="17"/>
      <c r="AI25" s="493"/>
      <c r="AJ25" s="494"/>
    </row>
    <row r="26" spans="2:44" s="8" customFormat="1" ht="22.5" customHeight="1" x14ac:dyDescent="0.3">
      <c r="F26" s="495">
        <f t="shared" si="8"/>
        <v>0.90653987730061336</v>
      </c>
      <c r="G26" s="334" t="str">
        <f t="shared" si="1"/>
        <v>중부권</v>
      </c>
      <c r="H26" s="74"/>
      <c r="I26" s="78" t="s">
        <v>106</v>
      </c>
      <c r="J26" s="22">
        <f>SUM(J19:J23)</f>
        <v>407.5</v>
      </c>
      <c r="K26" s="19">
        <f>SUM(K19:K23)</f>
        <v>369.41499999999996</v>
      </c>
      <c r="L26" s="20">
        <f t="shared" si="0"/>
        <v>-38.085000000000036</v>
      </c>
      <c r="M26" s="24">
        <f>SUM(M19:M23)</f>
        <v>416.98900000000003</v>
      </c>
      <c r="N26" s="21">
        <f t="shared" si="2"/>
        <v>-47.574000000000069</v>
      </c>
      <c r="O26" s="22">
        <f>SUM(O19:O23)</f>
        <v>43556.176393000002</v>
      </c>
      <c r="P26" s="19">
        <f>SUM(P19:P23)</f>
        <v>37708.132981000002</v>
      </c>
      <c r="Q26" s="20">
        <f t="shared" si="3"/>
        <v>-5848.0434119999991</v>
      </c>
      <c r="R26" s="24">
        <f>SUM(R19:R23)</f>
        <v>43955.105952999998</v>
      </c>
      <c r="S26" s="21">
        <f t="shared" si="4"/>
        <v>-6246.9729719999959</v>
      </c>
      <c r="T26" s="22">
        <f>SUM(T19:T23)</f>
        <v>6228.9348350414639</v>
      </c>
      <c r="U26" s="19">
        <f>SUM(U19:U23)</f>
        <v>3121.1199199999996</v>
      </c>
      <c r="V26" s="20">
        <f t="shared" si="5"/>
        <v>-3107.8149150414642</v>
      </c>
      <c r="W26" s="24">
        <f>SUM(W19:W23)</f>
        <v>7081.2428660000041</v>
      </c>
      <c r="X26" s="21">
        <f t="shared" si="6"/>
        <v>-3960.1229460000045</v>
      </c>
      <c r="Y26" s="22">
        <f>+[12]중부권!$Q$85</f>
        <v>106886.32243680982</v>
      </c>
      <c r="Z26" s="19">
        <f>+[12]중부권!$R$85</f>
        <v>101964.51474953731</v>
      </c>
      <c r="AA26" s="23">
        <f>+[13]중부권!$Q$85</f>
        <v>105399.54627623112</v>
      </c>
      <c r="AB26" s="28">
        <f>+[12]중부권!$Q$89</f>
        <v>78170.821500955819</v>
      </c>
      <c r="AC26" s="19">
        <f>+[12]중부권!$R$89</f>
        <v>79272.320273169607</v>
      </c>
      <c r="AD26" s="29">
        <f>+[13]중부권!$Q$89</f>
        <v>75896.072283220637</v>
      </c>
      <c r="AE26" s="28">
        <f t="shared" si="7"/>
        <v>28715.500935853997</v>
      </c>
      <c r="AF26" s="19">
        <f t="shared" si="7"/>
        <v>22692.194476367702</v>
      </c>
      <c r="AG26" s="29">
        <f t="shared" si="7"/>
        <v>29503.473993010484</v>
      </c>
      <c r="AH26" s="17"/>
      <c r="AI26" s="493"/>
      <c r="AJ26" s="494"/>
    </row>
    <row r="27" spans="2:44" s="3" customFormat="1" ht="22.5" customHeight="1" x14ac:dyDescent="0.3">
      <c r="B27" s="25"/>
      <c r="F27" s="483">
        <f>+K27/M27</f>
        <v>0.80834244302942915</v>
      </c>
      <c r="G27" s="336">
        <f>+K27/J27</f>
        <v>0.86652692073883564</v>
      </c>
      <c r="H27" s="267" t="s">
        <v>94</v>
      </c>
      <c r="I27" s="268"/>
      <c r="J27" s="269">
        <f>SUM(J24:J26)</f>
        <v>2138.5</v>
      </c>
      <c r="K27" s="270">
        <f>SUM(K24:K26)</f>
        <v>1853.06782</v>
      </c>
      <c r="L27" s="271">
        <f t="shared" si="0"/>
        <v>-285.43218000000002</v>
      </c>
      <c r="M27" s="272">
        <f>SUM(M24:M26)</f>
        <v>2292.4292</v>
      </c>
      <c r="N27" s="273">
        <f t="shared" si="2"/>
        <v>-439.36138000000005</v>
      </c>
      <c r="O27" s="269">
        <f>SUM(O24:O26)</f>
        <v>215180.09664282852</v>
      </c>
      <c r="P27" s="270">
        <f>SUM(P24:P26)</f>
        <v>182330.54389199999</v>
      </c>
      <c r="Q27" s="271">
        <f t="shared" si="3"/>
        <v>-32849.55275082853</v>
      </c>
      <c r="R27" s="272">
        <f>SUM(R24:R26)</f>
        <v>232174.936506</v>
      </c>
      <c r="S27" s="273">
        <f t="shared" si="4"/>
        <v>-49844.392614000011</v>
      </c>
      <c r="T27" s="269">
        <f>SUM(T24:T26)</f>
        <v>18983.118544503093</v>
      </c>
      <c r="U27" s="270">
        <f>SUM(U24:U26)</f>
        <v>9661.7814780099998</v>
      </c>
      <c r="V27" s="271">
        <f t="shared" si="5"/>
        <v>-9321.3370664930935</v>
      </c>
      <c r="W27" s="272">
        <f>SUM(W24:W26)</f>
        <v>26399.129912010005</v>
      </c>
      <c r="X27" s="273">
        <f t="shared" si="6"/>
        <v>-16737.348434000007</v>
      </c>
      <c r="Y27" s="269">
        <f>+[12]합계!$Q$85</f>
        <v>100621.97645210593</v>
      </c>
      <c r="Z27" s="270">
        <f>+[12]합계!$R$85</f>
        <v>98398.330527507846</v>
      </c>
      <c r="AA27" s="274">
        <f>+[13]합계!$Q$85</f>
        <v>101288.08314387737</v>
      </c>
      <c r="AB27" s="275">
        <f>+[12]합계!$Q$89</f>
        <v>79526.18349561427</v>
      </c>
      <c r="AC27" s="270">
        <f>+[12]합계!$R$89</f>
        <v>79651.417565843672</v>
      </c>
      <c r="AD27" s="276">
        <f>+[13]합계!$Q$89</f>
        <v>78986.868019914386</v>
      </c>
      <c r="AE27" s="275">
        <f t="shared" si="7"/>
        <v>21095.792956491656</v>
      </c>
      <c r="AF27" s="270">
        <f t="shared" si="7"/>
        <v>18746.912961664173</v>
      </c>
      <c r="AG27" s="276">
        <f t="shared" si="7"/>
        <v>22301.215123962989</v>
      </c>
      <c r="AH27" s="26"/>
      <c r="AI27" s="493">
        <f t="shared" ref="AI27" si="9">+AF27-AE27</f>
        <v>-2348.8799948274827</v>
      </c>
      <c r="AJ27" s="494">
        <f t="shared" ref="AJ27" si="10">+AF27-AG27</f>
        <v>-3554.3021622988163</v>
      </c>
      <c r="AL27" s="25"/>
    </row>
    <row r="28" spans="2:44" s="8" customFormat="1" ht="22.5" customHeight="1" x14ac:dyDescent="0.3">
      <c r="B28" s="8" t="s">
        <v>115</v>
      </c>
      <c r="C28" s="73" t="s">
        <v>46</v>
      </c>
      <c r="F28" s="495"/>
      <c r="G28" s="335" t="str">
        <f>+I28</f>
        <v>부산모래장</v>
      </c>
      <c r="H28" s="80" t="s">
        <v>1</v>
      </c>
      <c r="I28" s="73" t="s">
        <v>115</v>
      </c>
      <c r="J28" s="55">
        <f>+IFERROR(HLOOKUP($B28,'[1]8월누계'!$D$6:$BN$259,2,),)/1000</f>
        <v>162.96456631814647</v>
      </c>
      <c r="K28" s="56">
        <f>+IFERROR(HLOOKUP($C28,'[2]8월누계'!$F$6:$CP$99,2,),)/1000</f>
        <v>193.197</v>
      </c>
      <c r="L28" s="37">
        <f t="shared" si="0"/>
        <v>30.232433681853536</v>
      </c>
      <c r="M28" s="37">
        <f>+IFERROR(HLOOKUP($C28,'[3]8월누계'!$F$6:$CC$57,2,),)/1000</f>
        <v>160.56399999999999</v>
      </c>
      <c r="N28" s="57">
        <f t="shared" si="2"/>
        <v>32.63300000000001</v>
      </c>
      <c r="O28" s="55">
        <f>+IFERROR(HLOOKUP($B28,'[1]8월누계'!$D$6:$BN$259,3,),)/1000</f>
        <v>4826.8716647974006</v>
      </c>
      <c r="P28" s="56">
        <f>+IFERROR(HLOOKUP($C28,'[2]8월누계'!$F$6:$CP$99,3,),)/1000</f>
        <v>5505.808</v>
      </c>
      <c r="Q28" s="37">
        <f t="shared" si="3"/>
        <v>678.93633520259937</v>
      </c>
      <c r="R28" s="37">
        <f>+IFERROR(HLOOKUP($C28,'[3]8월누계'!$F$6:$CC$57,3,),)/1000</f>
        <v>4760.6780799999997</v>
      </c>
      <c r="S28" s="57">
        <f t="shared" si="4"/>
        <v>745.12992000000031</v>
      </c>
      <c r="T28" s="55">
        <f>+IFERROR(HLOOKUP($B28,'[1]8월누계'!$D$6:$BN$259,21,),)/1000</f>
        <v>583.80529523763369</v>
      </c>
      <c r="U28" s="56">
        <f>+IFERROR(HLOOKUP($C28,'[2]8월누계'!$F$6:$CP$99,21,),)/1000</f>
        <v>64.659285659156737</v>
      </c>
      <c r="V28" s="37">
        <f t="shared" si="5"/>
        <v>-519.14600957847699</v>
      </c>
      <c r="W28" s="37">
        <f>+IFERROR(HLOOKUP($C28,'[3]8월누계'!$F$6:$CC$57,21,),)/1000</f>
        <v>308.88633444818709</v>
      </c>
      <c r="X28" s="57">
        <f t="shared" si="6"/>
        <v>-244.22704878903033</v>
      </c>
      <c r="Y28" s="287" t="s">
        <v>109</v>
      </c>
      <c r="Z28" s="498"/>
      <c r="AA28" s="498"/>
      <c r="AB28" s="499"/>
      <c r="AC28" s="498"/>
      <c r="AD28" s="498"/>
      <c r="AE28" s="498"/>
      <c r="AF28" s="498"/>
      <c r="AG28" s="42"/>
      <c r="AH28" s="17"/>
      <c r="AI28" s="18"/>
    </row>
    <row r="29" spans="2:44" s="8" customFormat="1" ht="22.5" customHeight="1" x14ac:dyDescent="0.3">
      <c r="B29" s="8" t="s">
        <v>116</v>
      </c>
      <c r="C29" s="75" t="s">
        <v>47</v>
      </c>
      <c r="G29" s="335" t="str">
        <f>+I29</f>
        <v>서부산CR</v>
      </c>
      <c r="H29" s="79"/>
      <c r="I29" s="75" t="s">
        <v>124</v>
      </c>
      <c r="J29" s="53">
        <f>+IFERROR(HLOOKUP($B29,'[1]8월누계'!$D$6:$BN$259,2,),)/1000</f>
        <v>392.57949878279572</v>
      </c>
      <c r="K29" s="58">
        <f>+IFERROR(HLOOKUP($C29,'[2]8월누계'!$F$6:$CP$99,2,),)/1000</f>
        <v>170.09399999999999</v>
      </c>
      <c r="L29" s="47">
        <f t="shared" si="0"/>
        <v>-222.48549878279573</v>
      </c>
      <c r="M29" s="47">
        <f>+IFERROR(HLOOKUP($C29,'[3]8월누계'!$F$6:$CC$57,2,),)/1000</f>
        <v>167.48</v>
      </c>
      <c r="N29" s="59">
        <f t="shared" si="2"/>
        <v>2.6140000000000043</v>
      </c>
      <c r="O29" s="53">
        <f>+IFERROR(HLOOKUP($B29,'[1]8월누계'!$D$6:$BN$259,3,),)/1000</f>
        <v>5731.0272493913972</v>
      </c>
      <c r="P29" s="58">
        <f>+IFERROR(HLOOKUP($C29,'[2]8월누계'!$F$6:$CP$99,3,),)/1000</f>
        <v>2358.038</v>
      </c>
      <c r="Q29" s="47">
        <f t="shared" si="3"/>
        <v>-3372.9892493913972</v>
      </c>
      <c r="R29" s="47">
        <f>+IFERROR(HLOOKUP($C29,'[3]8월누계'!$F$6:$CC$57,3,),)/1000</f>
        <v>2360.0239999999999</v>
      </c>
      <c r="S29" s="59">
        <f t="shared" si="4"/>
        <v>-1.9859999999998763</v>
      </c>
      <c r="T29" s="53">
        <f>+IFERROR(HLOOKUP($B29,'[1]8월누계'!$D$6:$BN$259,21,),)/1000</f>
        <v>945.23227496102822</v>
      </c>
      <c r="U29" s="58">
        <f>+IFERROR(HLOOKUP($C29,'[2]8월누계'!$F$6:$CP$99,21,),)/1000</f>
        <v>286.15190453219901</v>
      </c>
      <c r="V29" s="47">
        <f t="shared" si="5"/>
        <v>-659.08037042882916</v>
      </c>
      <c r="W29" s="47">
        <f>+IFERROR(HLOOKUP($C29,'[3]8월누계'!$F$6:$CC$57,21,),)/1000</f>
        <v>114.95376736593951</v>
      </c>
      <c r="X29" s="59">
        <f t="shared" si="6"/>
        <v>171.1981371662595</v>
      </c>
      <c r="Y29" s="497" t="s">
        <v>164</v>
      </c>
      <c r="Z29" s="229"/>
      <c r="AA29" s="229"/>
      <c r="AB29" s="229"/>
      <c r="AC29" s="229"/>
      <c r="AD29" s="229"/>
      <c r="AE29" s="229"/>
      <c r="AF29" s="229"/>
      <c r="AG29" s="50"/>
      <c r="AH29" s="17"/>
      <c r="AI29" s="18"/>
      <c r="AJ29" s="333"/>
      <c r="AK29" s="86"/>
      <c r="AL29" s="86"/>
    </row>
    <row r="30" spans="2:44" s="8" customFormat="1" ht="22.5" customHeight="1" x14ac:dyDescent="0.3">
      <c r="B30" s="8" t="s">
        <v>111</v>
      </c>
      <c r="C30" s="77" t="s">
        <v>111</v>
      </c>
      <c r="G30" s="335" t="str">
        <f>+I30</f>
        <v>부산CR</v>
      </c>
      <c r="H30" s="79"/>
      <c r="I30" s="77" t="s">
        <v>125</v>
      </c>
      <c r="J30" s="53">
        <f>+IFERROR(HLOOKUP($B30,'[1]8월누계'!$D$6:$BN$259,2,),)/1000</f>
        <v>202.70635709999996</v>
      </c>
      <c r="K30" s="58">
        <f>+IFERROR(HLOOKUP($C30,'[2]8월누계'!$F$6:$CP$99,2,),)/1000</f>
        <v>145.87899999999999</v>
      </c>
      <c r="L30" s="47">
        <f t="shared" si="0"/>
        <v>-56.827357099999972</v>
      </c>
      <c r="M30" s="47">
        <f>+IFERROR(HLOOKUP($C30,'[3]8월누계'!$F$6:$CC$57,2,),)/1000</f>
        <v>279.22000000000003</v>
      </c>
      <c r="N30" s="59">
        <f t="shared" si="2"/>
        <v>-133.34100000000004</v>
      </c>
      <c r="O30" s="53">
        <f>+IFERROR(HLOOKUP($B30,'[1]8월누계'!$D$6:$BN$259,3,),)/1000</f>
        <v>3465.1661681166665</v>
      </c>
      <c r="P30" s="58">
        <f>+IFERROR(HLOOKUP($C30,'[2]8월누계'!$F$6:$CP$99,3,),)/1000</f>
        <v>2778.6785</v>
      </c>
      <c r="Q30" s="47">
        <f t="shared" si="3"/>
        <v>-686.48766811666655</v>
      </c>
      <c r="R30" s="47">
        <f>+IFERROR(HLOOKUP($C30,'[3]8월누계'!$F$6:$CC$57,3,),)/1000</f>
        <v>5123.3379999999997</v>
      </c>
      <c r="S30" s="59">
        <f t="shared" si="4"/>
        <v>-2344.6594999999998</v>
      </c>
      <c r="T30" s="53">
        <f>+IFERROR(HLOOKUP($B30,'[1]8월누계'!$D$6:$BN$259,21,),)/1000</f>
        <v>-233.30831452620893</v>
      </c>
      <c r="U30" s="58">
        <f>+IFERROR(HLOOKUP($C30,'[2]8월누계'!$F$6:$CP$99,21,),)/1000</f>
        <v>-1063.9237004899996</v>
      </c>
      <c r="V30" s="47">
        <f t="shared" si="5"/>
        <v>-830.61538596379069</v>
      </c>
      <c r="W30" s="47">
        <f>+IFERROR(HLOOKUP($C30,'[3]8월누계'!$F$6:$CC$57,21,),)/1000</f>
        <v>35.102993740000649</v>
      </c>
      <c r="X30" s="59">
        <f t="shared" si="6"/>
        <v>-1099.0266942300002</v>
      </c>
      <c r="Y30" s="266" t="s">
        <v>198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333"/>
      <c r="AK30" s="86"/>
      <c r="AL30" s="86"/>
    </row>
    <row r="31" spans="2:44" s="3" customFormat="1" ht="22.5" customHeight="1" x14ac:dyDescent="0.3">
      <c r="G31" s="338"/>
      <c r="H31" s="134" t="s">
        <v>33</v>
      </c>
      <c r="I31" s="135"/>
      <c r="J31" s="136">
        <f>SUM(J28:J30)</f>
        <v>758.25042220094213</v>
      </c>
      <c r="K31" s="140">
        <f>SUM(K28:K30)</f>
        <v>509.16999999999996</v>
      </c>
      <c r="L31" s="138">
        <f t="shared" si="0"/>
        <v>-249.08042220094217</v>
      </c>
      <c r="M31" s="138">
        <f>SUM(M28:M30)</f>
        <v>607.26400000000001</v>
      </c>
      <c r="N31" s="139">
        <f t="shared" si="2"/>
        <v>-98.094000000000051</v>
      </c>
      <c r="O31" s="136">
        <f>SUM(O28:O30)</f>
        <v>14023.065082305464</v>
      </c>
      <c r="P31" s="140">
        <f>SUM(P28:P30)</f>
        <v>10642.5245</v>
      </c>
      <c r="Q31" s="138">
        <f t="shared" si="3"/>
        <v>-3380.5405823054643</v>
      </c>
      <c r="R31" s="138">
        <f>SUM(R28:R30)</f>
        <v>12244.040079999999</v>
      </c>
      <c r="S31" s="139">
        <f t="shared" si="4"/>
        <v>-1601.5155799999993</v>
      </c>
      <c r="T31" s="136">
        <f>SUM(T28:T30)</f>
        <v>1295.7292556724528</v>
      </c>
      <c r="U31" s="140">
        <f>SUM(U28:U30)</f>
        <v>-713.11251029864388</v>
      </c>
      <c r="V31" s="138">
        <f t="shared" si="5"/>
        <v>-2008.8417659710967</v>
      </c>
      <c r="W31" s="138">
        <f>SUM(W28:W30)</f>
        <v>458.94309555412724</v>
      </c>
      <c r="X31" s="139">
        <f t="shared" si="6"/>
        <v>-1172.0556058527711</v>
      </c>
      <c r="Y31" s="482" t="s">
        <v>222</v>
      </c>
      <c r="Z31" s="229"/>
      <c r="AA31" s="229"/>
      <c r="AB31" s="229"/>
      <c r="AC31" s="229"/>
      <c r="AD31" s="229"/>
      <c r="AE31" s="229"/>
      <c r="AF31" s="229"/>
      <c r="AG31" s="50"/>
      <c r="AH31" s="26"/>
      <c r="AI31" s="18"/>
      <c r="AJ31" s="333"/>
    </row>
    <row r="32" spans="2:44" s="8" customFormat="1" ht="22.5" customHeight="1" x14ac:dyDescent="0.3">
      <c r="B32" s="8" t="s">
        <v>119</v>
      </c>
      <c r="C32" s="8" t="s">
        <v>118</v>
      </c>
      <c r="D32" t="s">
        <v>117</v>
      </c>
      <c r="E32" t="s">
        <v>81</v>
      </c>
      <c r="F32"/>
      <c r="G32" s="334" t="str">
        <f>+I32</f>
        <v>레미콘임대</v>
      </c>
      <c r="H32" s="83" t="s">
        <v>4</v>
      </c>
      <c r="I32" s="82" t="s">
        <v>80</v>
      </c>
      <c r="J32" s="45"/>
      <c r="K32" s="46"/>
      <c r="L32" s="48">
        <f>+K32-J32</f>
        <v>0</v>
      </c>
      <c r="M32" s="47"/>
      <c r="N32" s="59">
        <f>+K32-M32</f>
        <v>0</v>
      </c>
      <c r="O32" s="45">
        <f>(IFERROR(HLOOKUP($B32,'[1]8월누계'!$D$6:$BN$259,3,),)++IFERROR(HLOOKUP($C32,'[1]8월누계'!$D$6:$BN$259,3,),)+IFERROR(HLOOKUP($D32,'[1]8월누계'!$D$6:$BN$259,3,),))/1000</f>
        <v>605.85333333333324</v>
      </c>
      <c r="P32" s="46">
        <f>+IFERROR(HLOOKUP($E32,'[2]8월누계'!$F$6:$CP$99,3,),)/1000</f>
        <v>464.22</v>
      </c>
      <c r="Q32" s="48">
        <f t="shared" si="3"/>
        <v>-141.63333333333321</v>
      </c>
      <c r="R32" s="47">
        <f>+IFERROR(HLOOKUP($E32,'[3]8월누계'!$F$6:$CC$57,3,),)/1000</f>
        <v>726.72</v>
      </c>
      <c r="S32" s="59">
        <f t="shared" si="4"/>
        <v>-262.5</v>
      </c>
      <c r="T32" s="45">
        <f>(IFERROR(HLOOKUP($B32,'[1]8월누계'!$D$6:$BN$259,21,),)++IFERROR(HLOOKUP($C32,'[1]8월누계'!$D$6:$BN$259,21,),)+IFERROR(HLOOKUP($D32,'[1]8월누계'!$D$6:$BN$259,21,),))/1000</f>
        <v>412.09754333333336</v>
      </c>
      <c r="U32" s="46">
        <f>+IFERROR(HLOOKUP($E32,'[2]8월누계'!$F$6:$CP$99,16,),)/1000</f>
        <v>252.23502199999999</v>
      </c>
      <c r="V32" s="48">
        <f t="shared" si="5"/>
        <v>-159.86252133333338</v>
      </c>
      <c r="W32" s="47">
        <f>+IFERROR(HLOOKUP($E32,'[3]8월누계'!$F$6:$CC$57,16,),)/1000</f>
        <v>480.78375800000003</v>
      </c>
      <c r="X32" s="59">
        <f t="shared" si="6"/>
        <v>-228.54873600000005</v>
      </c>
      <c r="Y32" s="482"/>
      <c r="Z32" s="229"/>
      <c r="AA32" s="229"/>
      <c r="AB32" s="229"/>
      <c r="AC32" s="229"/>
      <c r="AD32" s="229"/>
      <c r="AE32" s="229"/>
      <c r="AF32" s="229"/>
      <c r="AG32" s="50"/>
      <c r="AH32" s="17"/>
      <c r="AI32" s="18"/>
      <c r="AJ32" s="333"/>
      <c r="AK32" s="229"/>
      <c r="AL32" s="229"/>
      <c r="AM32" s="229"/>
      <c r="AN32" s="229"/>
      <c r="AO32" s="229"/>
      <c r="AP32" s="229"/>
      <c r="AQ32" s="229"/>
      <c r="AR32" s="50"/>
    </row>
    <row r="33" spans="2:44" s="8" customFormat="1" ht="22.5" customHeight="1" x14ac:dyDescent="0.3">
      <c r="B33" s="8" t="s">
        <v>120</v>
      </c>
      <c r="C33" s="8" t="s">
        <v>121</v>
      </c>
      <c r="D33"/>
      <c r="E33" t="s">
        <v>31</v>
      </c>
      <c r="F33"/>
      <c r="G33" s="334" t="str">
        <f t="shared" ref="G33:G38" si="11">+I33</f>
        <v>임대</v>
      </c>
      <c r="H33" s="83"/>
      <c r="I33" s="82" t="s">
        <v>44</v>
      </c>
      <c r="J33" s="45"/>
      <c r="K33" s="46"/>
      <c r="L33" s="48">
        <f>+K33-J33</f>
        <v>0</v>
      </c>
      <c r="M33" s="47">
        <v>0</v>
      </c>
      <c r="N33" s="59">
        <f t="shared" ref="N33:N40" si="12">+K33-M33</f>
        <v>0</v>
      </c>
      <c r="O33" s="45">
        <f>(+IFERROR(HLOOKUP($B33,'[1]8월누계'!$D$6:$BN$259,3,),)+IFERROR(HLOOKUP($C33,'[1]8월누계'!$D$6:$BN$259,3,),))/1000</f>
        <v>593.93200000000002</v>
      </c>
      <c r="P33" s="46">
        <f>+IFERROR(HLOOKUP($E33,'[2]8월누계'!$F$6:$CP$99,3,),)/1000</f>
        <v>589.37824000000001</v>
      </c>
      <c r="Q33" s="48">
        <f>+P33-O33</f>
        <v>-4.5537600000000111</v>
      </c>
      <c r="R33" s="47">
        <f>+IFERROR(HLOOKUP($E33,'[3]8월누계'!$F$6:$CC$57,3,),)/1000</f>
        <v>583.33096</v>
      </c>
      <c r="S33" s="59">
        <f t="shared" si="4"/>
        <v>6.0472800000000007</v>
      </c>
      <c r="T33" s="45">
        <f>(+IFERROR(HLOOKUP($B33,'[1]8월누계'!$D$6:$BN$259,21,),)+IFERROR(HLOOKUP($C33,'[1]8월누계'!$D$6:$BN$259,21,),))/1000</f>
        <v>538.05188800000008</v>
      </c>
      <c r="U33" s="46">
        <f>+IFERROR(HLOOKUP($E33,'[2]8월누계'!$F$6:$CP$99,16,),)/1000</f>
        <v>539.26332800000012</v>
      </c>
      <c r="V33" s="48">
        <f t="shared" si="5"/>
        <v>1.2114400000000387</v>
      </c>
      <c r="W33" s="47">
        <f>+IFERROR(HLOOKUP($E33,'[3]8월누계'!$F$6:$CC$57,16,),)/1000</f>
        <v>527.61157600000013</v>
      </c>
      <c r="X33" s="59">
        <f t="shared" si="6"/>
        <v>11.651751999999988</v>
      </c>
      <c r="Y33" s="479" t="s">
        <v>201</v>
      </c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333"/>
      <c r="AK33" s="229"/>
      <c r="AL33" s="229"/>
      <c r="AM33" s="229"/>
      <c r="AN33" s="229"/>
      <c r="AO33" s="229"/>
      <c r="AP33" s="229"/>
      <c r="AQ33" s="229"/>
      <c r="AR33" s="50"/>
    </row>
    <row r="34" spans="2:44" s="8" customFormat="1" ht="22.5" customHeight="1" x14ac:dyDescent="0.3">
      <c r="B34" s="8" t="s">
        <v>122</v>
      </c>
      <c r="D34"/>
      <c r="E34"/>
      <c r="F34"/>
      <c r="G34" s="334" t="str">
        <f t="shared" si="11"/>
        <v>공통비</v>
      </c>
      <c r="H34" s="81"/>
      <c r="I34" s="82" t="s">
        <v>29</v>
      </c>
      <c r="J34" s="45"/>
      <c r="K34" s="46"/>
      <c r="L34" s="48">
        <f>+K34-J34</f>
        <v>0</v>
      </c>
      <c r="M34" s="47"/>
      <c r="N34" s="59">
        <f t="shared" si="12"/>
        <v>0</v>
      </c>
      <c r="O34" s="45"/>
      <c r="P34" s="46"/>
      <c r="Q34" s="48">
        <f t="shared" ref="Q34:Q37" si="13">+P34-O34</f>
        <v>0</v>
      </c>
      <c r="R34" s="47"/>
      <c r="S34" s="59">
        <f t="shared" si="4"/>
        <v>0</v>
      </c>
      <c r="T34" s="45">
        <f>-'[1]8월누계'!$Z$22/1000</f>
        <v>-12654.404751362366</v>
      </c>
      <c r="U34" s="46">
        <f>+-'[2]8월누계'!$Z$22/1000</f>
        <v>-12791.627545759011</v>
      </c>
      <c r="V34" s="48">
        <f t="shared" si="5"/>
        <v>-137.22279439664453</v>
      </c>
      <c r="W34" s="47">
        <f>+-'[3]8월누계'!$Z$22/1000</f>
        <v>-11523.192570549891</v>
      </c>
      <c r="X34" s="59">
        <f t="shared" si="6"/>
        <v>-1268.4349752091202</v>
      </c>
      <c r="Y34" s="266" t="s">
        <v>165</v>
      </c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333"/>
      <c r="AK34" s="234"/>
      <c r="AL34" s="86"/>
    </row>
    <row r="35" spans="2:44" s="8" customFormat="1" ht="22.5" customHeight="1" x14ac:dyDescent="0.3">
      <c r="D35"/>
      <c r="E35"/>
      <c r="F35"/>
      <c r="G35" s="334" t="str">
        <f t="shared" si="11"/>
        <v>OPC 소급분</v>
      </c>
      <c r="H35" s="81"/>
      <c r="I35" s="82" t="s">
        <v>95</v>
      </c>
      <c r="J35" s="45"/>
      <c r="K35" s="46"/>
      <c r="L35" s="48"/>
      <c r="M35" s="47"/>
      <c r="N35" s="59">
        <f t="shared" si="12"/>
        <v>0</v>
      </c>
      <c r="O35" s="45"/>
      <c r="P35" s="46"/>
      <c r="Q35" s="48">
        <f t="shared" si="13"/>
        <v>0</v>
      </c>
      <c r="R35" s="47"/>
      <c r="S35" s="59">
        <f t="shared" si="4"/>
        <v>0</v>
      </c>
      <c r="T35" s="45"/>
      <c r="U35" s="46">
        <f>'[2]8월누계'!$BD$26/1000</f>
        <v>0</v>
      </c>
      <c r="V35" s="48">
        <f t="shared" si="5"/>
        <v>0</v>
      </c>
      <c r="W35" s="47">
        <f>'[3]8월누계'!$BD$26/1000</f>
        <v>250</v>
      </c>
      <c r="X35" s="59">
        <f t="shared" si="6"/>
        <v>-250</v>
      </c>
      <c r="Y35" s="266" t="s">
        <v>199</v>
      </c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333"/>
      <c r="AK35" s="86"/>
      <c r="AL35" s="86"/>
    </row>
    <row r="36" spans="2:44" s="8" customFormat="1" ht="22.5" customHeight="1" x14ac:dyDescent="0.3">
      <c r="D36"/>
      <c r="E36"/>
      <c r="F36"/>
      <c r="G36" s="334" t="str">
        <f t="shared" si="11"/>
        <v>대손</v>
      </c>
      <c r="H36" s="81"/>
      <c r="I36" s="82" t="s">
        <v>96</v>
      </c>
      <c r="J36" s="45"/>
      <c r="K36" s="46"/>
      <c r="L36" s="48"/>
      <c r="M36" s="47"/>
      <c r="N36" s="59">
        <f t="shared" si="12"/>
        <v>0</v>
      </c>
      <c r="O36" s="45"/>
      <c r="P36" s="46"/>
      <c r="Q36" s="48">
        <f t="shared" si="13"/>
        <v>0</v>
      </c>
      <c r="R36" s="47"/>
      <c r="S36" s="59">
        <f t="shared" si="4"/>
        <v>0</v>
      </c>
      <c r="T36" s="45"/>
      <c r="U36" s="46">
        <f>'[2]8월누계'!$BE$26/1000</f>
        <v>-828.70973399999991</v>
      </c>
      <c r="V36" s="48">
        <f t="shared" si="5"/>
        <v>-828.70973399999991</v>
      </c>
      <c r="W36" s="47">
        <f>'[3]8월누계'!$BE$26/1000</f>
        <v>-975.50771499999996</v>
      </c>
      <c r="X36" s="59">
        <f t="shared" si="6"/>
        <v>146.79798100000005</v>
      </c>
      <c r="Y36" s="266" t="s">
        <v>200</v>
      </c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333"/>
      <c r="AK36" s="86"/>
      <c r="AL36" s="86"/>
    </row>
    <row r="37" spans="2:44" s="8" customFormat="1" ht="22.5" customHeight="1" x14ac:dyDescent="0.3">
      <c r="D37"/>
      <c r="E37"/>
      <c r="F37"/>
      <c r="G37" s="334" t="str">
        <f t="shared" si="11"/>
        <v>미운영 공장</v>
      </c>
      <c r="H37" s="81"/>
      <c r="I37" s="82" t="s">
        <v>112</v>
      </c>
      <c r="J37" s="45"/>
      <c r="K37" s="46"/>
      <c r="L37" s="48"/>
      <c r="M37" s="47"/>
      <c r="N37" s="59"/>
      <c r="O37" s="45"/>
      <c r="P37" s="46"/>
      <c r="Q37" s="48">
        <f t="shared" si="13"/>
        <v>0</v>
      </c>
      <c r="R37" s="47">
        <f>+IFERROR(HLOOKUP($I$37,'[3]8월누계'!$F$6:$BJ$50,3,),)/1000</f>
        <v>0</v>
      </c>
      <c r="S37" s="59">
        <f t="shared" si="4"/>
        <v>0</v>
      </c>
      <c r="T37" s="45">
        <f>SUM('[1]8월누계'!$AM$26:$AQ$26)/1000</f>
        <v>-252.560034</v>
      </c>
      <c r="U37" s="46">
        <f>+'[2]8월누계'!$BF$26/1000</f>
        <v>-252.53512299999997</v>
      </c>
      <c r="V37" s="48">
        <f t="shared" si="5"/>
        <v>2.4911000000031436E-2</v>
      </c>
      <c r="W37" s="47">
        <f>+'[3]8월누계'!$BF$26/1000</f>
        <v>-336.47023799999994</v>
      </c>
      <c r="X37" s="59">
        <f>+U37-W37</f>
        <v>83.935114999999968</v>
      </c>
      <c r="Y37" s="266"/>
      <c r="Z37" s="491"/>
      <c r="AA37" s="229"/>
      <c r="AB37" s="229"/>
      <c r="AC37" s="229"/>
      <c r="AD37" s="229"/>
      <c r="AE37" s="229"/>
      <c r="AF37" s="229"/>
      <c r="AG37" s="50"/>
      <c r="AH37" s="17"/>
      <c r="AI37" s="18"/>
      <c r="AJ37" s="333"/>
      <c r="AK37" s="86"/>
      <c r="AL37" s="86"/>
    </row>
    <row r="38" spans="2:44" s="8" customFormat="1" ht="22.5" customHeight="1" x14ac:dyDescent="0.3">
      <c r="B38" t="s">
        <v>30</v>
      </c>
      <c r="D38"/>
      <c r="G38" s="334" t="str">
        <f t="shared" si="11"/>
        <v>퇴직위로금</v>
      </c>
      <c r="H38" s="81"/>
      <c r="I38" s="82" t="s">
        <v>162</v>
      </c>
      <c r="J38" s="45"/>
      <c r="K38" s="46"/>
      <c r="L38" s="48"/>
      <c r="M38" s="47"/>
      <c r="N38" s="59"/>
      <c r="O38" s="45"/>
      <c r="P38" s="46"/>
      <c r="Q38" s="48"/>
      <c r="R38" s="47"/>
      <c r="S38" s="59"/>
      <c r="T38" s="45"/>
      <c r="U38" s="46">
        <f>+'[2]8월누계'!$BG$26/1000</f>
        <v>-759.34318890999998</v>
      </c>
      <c r="V38" s="48">
        <f t="shared" si="5"/>
        <v>-759.34318890999998</v>
      </c>
      <c r="W38" s="47"/>
      <c r="X38" s="59">
        <f>+U38-W38</f>
        <v>-759.34318890999998</v>
      </c>
      <c r="Y38" s="479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333"/>
    </row>
    <row r="39" spans="2:44" s="8" customFormat="1" ht="22.5" customHeight="1" x14ac:dyDescent="0.3">
      <c r="G39" s="334" t="str">
        <f>+I39</f>
        <v>기타</v>
      </c>
      <c r="H39" s="81"/>
      <c r="I39" s="82" t="s">
        <v>4</v>
      </c>
      <c r="J39" s="45"/>
      <c r="K39" s="46"/>
      <c r="L39" s="54">
        <f>+K39-J39</f>
        <v>0</v>
      </c>
      <c r="M39" s="60"/>
      <c r="N39" s="61">
        <f>+K39-M39</f>
        <v>0</v>
      </c>
      <c r="O39" s="45">
        <f>IFERROR(HLOOKUP($B38,'[1]8월누계'!$D$6:$BN$259,3,),)/1000</f>
        <v>14.16</v>
      </c>
      <c r="P39" s="46">
        <f>+('[2]8월누계'!$F$8-SUM('[2]8월누계'!$Z$8,'[2]8월누계'!$AH$8,'[2]8월누계'!$AN$8,'[2]8월누계'!$AO$8,'[2]8월누계'!$BA$8,'[2]8월누계'!$BD$8,'[2]8월누계'!$BE$8,'[2]8월누계'!$BF$8))/1000</f>
        <v>13.44225</v>
      </c>
      <c r="Q39" s="54">
        <f>+P39-O39</f>
        <v>-0.71775000000000055</v>
      </c>
      <c r="R39" s="60">
        <f>+('[3]8월누계'!$F$8-SUM('[3]8월누계'!$Z$8,'[3]8월누계'!$AH$8,'[3]8월누계'!$AN$8,'[3]8월누계'!$AO$8,'[3]8월누계'!$BA$8,'[3]8월누계'!$BD$8,'[3]8월누계'!$BE$8,'[3]8월누계'!$BF$8))/1000</f>
        <v>13.85</v>
      </c>
      <c r="S39" s="61">
        <f>+P39-R39</f>
        <v>-0.40775000000000006</v>
      </c>
      <c r="T39" s="45">
        <f>+('[1]8월누계'!$E$26-'[1]8월누계'!$Z$26-'[1]8월누계'!$AA$26-'[1]8월누계'!$AE$26-'[1]8월누계'!$AL$26-'[1]8월누계'!$AM$26-'[1]8월누계'!$AN$26-'[1]8월누계'!$AO$26-'[1]8월누계'!$AP$26-'[1]8월누계'!$AQ$26-'[1]8월누계'!$AS$26)/1000+'[1]8월누계'!$AS$26/1000</f>
        <v>-524.52409800002329</v>
      </c>
      <c r="U39" s="46">
        <f>+('[2]8월누계'!$F$26-SUM('[2]8월누계'!$Z$26,'[2]8월누계'!$AH$26,'[2]8월누계'!$AN$26,'[2]8월누계'!$AO$26,'[2]8월누계'!$BA$26,'[2]8월누계'!$BD$26,'[2]8월누계'!$BE$26,'[2]8월누계'!$BF$26))/1000-U38</f>
        <v>-61.344433000008166</v>
      </c>
      <c r="V39" s="48">
        <f>+U39-T39</f>
        <v>463.17966500001512</v>
      </c>
      <c r="W39" s="60">
        <f>+('[3]8월누계'!$F$26-SUM('[3]8월누계'!$Z$26,'[3]8월누계'!$AH$26,'[3]8월누계'!$AN$26,'[3]8월누계'!$AO$26,'[3]8월누계'!$BA$26,'[3]8월누계'!$BD$26,'[3]8월누계'!$BE$26,'[3]8월누계'!$BF$26))/1000</f>
        <v>-193.17740199995973</v>
      </c>
      <c r="X39" s="59">
        <f>+U39-W39</f>
        <v>131.83296899995156</v>
      </c>
      <c r="Y39" s="266"/>
      <c r="Z39" s="229"/>
      <c r="AA39" s="229"/>
      <c r="AB39" s="229"/>
      <c r="AC39" s="229"/>
      <c r="AD39" s="229"/>
      <c r="AE39" s="229"/>
      <c r="AF39" s="229"/>
      <c r="AG39" s="50"/>
      <c r="AH39" s="30"/>
      <c r="AI39" s="18"/>
      <c r="AJ39" s="333"/>
    </row>
    <row r="40" spans="2:44" s="3" customFormat="1" ht="22.5" customHeight="1" x14ac:dyDescent="0.3">
      <c r="D40" s="293"/>
      <c r="G40" s="338"/>
      <c r="H40" s="134" t="s">
        <v>97</v>
      </c>
      <c r="I40" s="135"/>
      <c r="J40" s="284">
        <f>SUM(J32:J39)</f>
        <v>0</v>
      </c>
      <c r="K40" s="285">
        <f>SUM(K32:K39)</f>
        <v>0</v>
      </c>
      <c r="L40" s="285">
        <f>+K40-J40</f>
        <v>0</v>
      </c>
      <c r="M40" s="285">
        <f>SUM(M32:M39)</f>
        <v>0</v>
      </c>
      <c r="N40" s="286">
        <f t="shared" si="12"/>
        <v>0</v>
      </c>
      <c r="O40" s="136">
        <f>SUM(O32:O39)</f>
        <v>1213.9453333333333</v>
      </c>
      <c r="P40" s="137">
        <f>SUM(P32:P39)</f>
        <v>1067.0404900000001</v>
      </c>
      <c r="Q40" s="141">
        <f t="shared" si="3"/>
        <v>-146.90484333333325</v>
      </c>
      <c r="R40" s="142">
        <f>SUM(R32:R39)</f>
        <v>1323.9009599999999</v>
      </c>
      <c r="S40" s="143">
        <f>+P40-R40</f>
        <v>-256.86046999999985</v>
      </c>
      <c r="T40" s="136">
        <f>SUM(T32:T39)</f>
        <v>-12481.339452029057</v>
      </c>
      <c r="U40" s="137">
        <f>SUM(U32:U39)</f>
        <v>-13902.061674669018</v>
      </c>
      <c r="V40" s="141">
        <f>+U40-T40</f>
        <v>-1420.7222226399608</v>
      </c>
      <c r="W40" s="142">
        <f>SUM(W32:W39)</f>
        <v>-11769.952591549849</v>
      </c>
      <c r="X40" s="143">
        <f>+U40-W40</f>
        <v>-2132.1090831191686</v>
      </c>
      <c r="Y40" s="230"/>
      <c r="Z40" s="231"/>
      <c r="AA40" s="231"/>
      <c r="AB40" s="231"/>
      <c r="AC40" s="231"/>
      <c r="AD40" s="231"/>
      <c r="AE40" s="231"/>
      <c r="AF40" s="231"/>
      <c r="AG40" s="232"/>
      <c r="AH40" s="25"/>
      <c r="AI40" s="18"/>
      <c r="AJ40" s="333"/>
    </row>
    <row r="41" spans="2:44" s="8" customFormat="1" ht="19.5" customHeight="1" x14ac:dyDescent="0.3">
      <c r="G41" s="334"/>
      <c r="J41" s="32"/>
      <c r="K41" s="32"/>
      <c r="L41" s="31"/>
      <c r="M41" s="31"/>
      <c r="N41" s="31"/>
      <c r="O41" s="32"/>
      <c r="P41" s="32"/>
      <c r="Q41" s="31"/>
      <c r="R41" s="31"/>
      <c r="S41" s="31"/>
      <c r="T41" s="32"/>
      <c r="U41" s="32">
        <v>19</v>
      </c>
      <c r="V41" s="31">
        <v>12.4</v>
      </c>
      <c r="W41" s="31"/>
      <c r="X41" s="31"/>
      <c r="Y41" s="32"/>
      <c r="Z41" s="32"/>
      <c r="AA41" s="32"/>
      <c r="AB41" s="32"/>
      <c r="AC41" s="32"/>
      <c r="AD41" s="32"/>
      <c r="AE41" s="32"/>
      <c r="AF41" s="32"/>
      <c r="AG41" s="32"/>
      <c r="AH41" s="30"/>
      <c r="AI41" s="18"/>
      <c r="AJ41" s="333"/>
    </row>
    <row r="42" spans="2:44" s="3" customFormat="1" ht="22.5" customHeight="1" x14ac:dyDescent="0.3">
      <c r="G42" s="339">
        <f>+P42/O42</f>
        <v>0.8421254452811231</v>
      </c>
      <c r="H42" s="277" t="s">
        <v>32</v>
      </c>
      <c r="I42" s="278"/>
      <c r="J42" s="290"/>
      <c r="K42" s="291"/>
      <c r="L42" s="291"/>
      <c r="M42" s="291"/>
      <c r="N42" s="292"/>
      <c r="O42" s="279">
        <f>+O27+O31+O40</f>
        <v>230417.10705846731</v>
      </c>
      <c r="P42" s="279">
        <f>+P27+P31+P40</f>
        <v>194040.108882</v>
      </c>
      <c r="Q42" s="281">
        <f t="shared" si="3"/>
        <v>-36376.998176467314</v>
      </c>
      <c r="R42" s="279">
        <f>+R27+R31+R40</f>
        <v>245742.877546</v>
      </c>
      <c r="S42" s="283">
        <f>+P42-R42</f>
        <v>-51702.768664000003</v>
      </c>
      <c r="T42" s="279">
        <f>+T27+T31+T40</f>
        <v>7797.5083481464899</v>
      </c>
      <c r="U42" s="279">
        <f>+U27+U31+U40</f>
        <v>-4953.3927069576621</v>
      </c>
      <c r="V42" s="281">
        <f>+U42-T42</f>
        <v>-12750.901055104152</v>
      </c>
      <c r="W42" s="279">
        <f>+W27+W31+W40</f>
        <v>15088.120416014284</v>
      </c>
      <c r="X42" s="283">
        <f>+U42-W42</f>
        <v>-20041.513122971948</v>
      </c>
      <c r="Y42" s="647"/>
      <c r="Z42" s="648"/>
      <c r="AA42" s="648"/>
      <c r="AB42" s="648"/>
      <c r="AC42" s="648"/>
      <c r="AD42" s="648"/>
      <c r="AE42" s="648"/>
      <c r="AF42" s="648"/>
      <c r="AG42" s="649"/>
      <c r="AH42" s="25"/>
    </row>
    <row r="43" spans="2:44" s="33" customFormat="1" x14ac:dyDescent="0.3">
      <c r="G43" s="336">
        <f>+U42/T42</f>
        <v>-0.63525327396861464</v>
      </c>
      <c r="K43" s="295"/>
      <c r="L43" s="295"/>
      <c r="M43" s="295"/>
      <c r="P43" s="295">
        <f>+P42/O42</f>
        <v>0.8421254452811231</v>
      </c>
      <c r="R43" s="295">
        <f>+P42/R42</f>
        <v>0.78960623729848733</v>
      </c>
      <c r="T43" s="295">
        <f>+T42/O42</f>
        <v>3.3840839543948911E-2</v>
      </c>
      <c r="U43" s="295">
        <f>+U42/P42</f>
        <v>-2.5527674332371807E-2</v>
      </c>
      <c r="V43" s="33">
        <f>+V42/100</f>
        <v>-127.50901055104151</v>
      </c>
      <c r="X43" s="33">
        <f>+X42/100</f>
        <v>-200.41513122971949</v>
      </c>
      <c r="AC43" s="34"/>
      <c r="AF43" s="34"/>
    </row>
    <row r="44" spans="2:44" s="33" customFormat="1" ht="17.25" thickBot="1" x14ac:dyDescent="0.35">
      <c r="G44" s="340"/>
      <c r="K44" s="295">
        <f>+K31/J31</f>
        <v>0.67150638508324634</v>
      </c>
      <c r="L44" s="295"/>
      <c r="M44" s="295">
        <f>+K31/M31</f>
        <v>0.83846564262001366</v>
      </c>
      <c r="AC44" s="34"/>
      <c r="AF44" s="34"/>
    </row>
    <row r="45" spans="2:44" s="33" customFormat="1" x14ac:dyDescent="0.3">
      <c r="G45" s="340"/>
      <c r="I45" s="644" t="s">
        <v>82</v>
      </c>
      <c r="J45" s="126">
        <f>+'[1]8월누계'!$Z$7/1000</f>
        <v>2138.5</v>
      </c>
      <c r="K45" s="127">
        <f>+'[2]8월누계'!$AI$7/1000</f>
        <v>1853.06782</v>
      </c>
      <c r="L45" s="127"/>
      <c r="M45" s="127">
        <f>+'[3]8월누계'!$Z$7/1000</f>
        <v>2292.4292</v>
      </c>
      <c r="N45" s="127"/>
      <c r="O45" s="127">
        <f>('[1]8월누계'!$E$8-'[1]8월누계'!$AA$8)/1000</f>
        <v>230417.10705846737</v>
      </c>
      <c r="P45" s="127">
        <f>('[2]8월누계'!$F$8-'[2]8월누계'!$AO$8)/1000</f>
        <v>194040.108882</v>
      </c>
      <c r="Q45" s="127"/>
      <c r="R45" s="127">
        <f>('[3]8월누계'!$F$8-'[3]8월누계'!$AO$8)/1000</f>
        <v>245742.877546</v>
      </c>
      <c r="S45" s="127"/>
      <c r="T45" s="132">
        <f>('[1]8월누계'!$E$26-'[1]8월누계'!$AA$26)/1000</f>
        <v>7797.5083481465126</v>
      </c>
      <c r="U45" s="127">
        <f>('[2]8월누계'!$F$26-'[2]8월누계'!$AO$26)/1000</f>
        <v>-4953.3927069576657</v>
      </c>
      <c r="V45" s="127"/>
      <c r="W45" s="127">
        <f>('[3]8월누계'!$F$26-'[3]8월누계'!$AO$26)/1000</f>
        <v>15088.120416014279</v>
      </c>
      <c r="X45" s="128"/>
      <c r="AC45" s="34"/>
      <c r="AF45" s="34"/>
    </row>
    <row r="46" spans="2:44" s="33" customFormat="1" ht="17.25" thickBot="1" x14ac:dyDescent="0.35">
      <c r="G46" s="340"/>
      <c r="I46" s="644"/>
      <c r="J46" s="131">
        <f>+J45-J27</f>
        <v>0</v>
      </c>
      <c r="K46" s="129">
        <f>+K45-K27</f>
        <v>0</v>
      </c>
      <c r="L46" s="129"/>
      <c r="M46" s="129">
        <f>+M45-M27</f>
        <v>0</v>
      </c>
      <c r="N46" s="129"/>
      <c r="O46" s="133">
        <f>+O45-O42</f>
        <v>0</v>
      </c>
      <c r="P46" s="133">
        <f>+P45-P42</f>
        <v>0</v>
      </c>
      <c r="Q46" s="129"/>
      <c r="R46" s="133">
        <f>+R45-R42</f>
        <v>0</v>
      </c>
      <c r="S46" s="129"/>
      <c r="T46" s="133">
        <f>+T45-T42</f>
        <v>2.2737367544323206E-11</v>
      </c>
      <c r="U46" s="133">
        <f>+U45-U42</f>
        <v>0</v>
      </c>
      <c r="V46" s="129"/>
      <c r="W46" s="129">
        <f>+W45-W42</f>
        <v>0</v>
      </c>
      <c r="X46" s="130"/>
      <c r="AC46" s="34"/>
      <c r="AF46" s="34"/>
      <c r="AG46" s="33" t="s">
        <v>83</v>
      </c>
    </row>
    <row r="48" spans="2:44" x14ac:dyDescent="0.3">
      <c r="T48" s="236">
        <f>+(T27+T34)/100</f>
        <v>63.287137931407273</v>
      </c>
      <c r="U48" s="236">
        <f t="shared" ref="U48" si="14">+(U27+U34)/100</f>
        <v>-31.298460677490112</v>
      </c>
      <c r="V48" s="236">
        <f>+U48-T48</f>
        <v>-94.585598608897385</v>
      </c>
    </row>
    <row r="49" spans="20:22" x14ac:dyDescent="0.3">
      <c r="T49" s="236">
        <f>+T31/100</f>
        <v>12.957292556724529</v>
      </c>
      <c r="U49" s="236">
        <f>+U31/100</f>
        <v>-7.1311251029864389</v>
      </c>
      <c r="V49" s="236">
        <f t="shared" ref="V49:V52" si="15">+U49-T49</f>
        <v>-20.088417659710966</v>
      </c>
    </row>
    <row r="50" spans="20:22" x14ac:dyDescent="0.3">
      <c r="T50" s="6">
        <f>+(T32+T33)/100</f>
        <v>9.5014943133333354</v>
      </c>
      <c r="U50" s="6">
        <f>+(U32+U33)/100</f>
        <v>7.9149835000000008</v>
      </c>
      <c r="V50" s="294">
        <f t="shared" si="15"/>
        <v>-1.5865108133333345</v>
      </c>
    </row>
    <row r="51" spans="20:22" x14ac:dyDescent="0.3">
      <c r="T51" s="6">
        <f>+T42/100-T48-T49-T50</f>
        <v>-7.770841320000244</v>
      </c>
      <c r="U51" s="602">
        <f>+U42/100-U48-U49-U50</f>
        <v>-19.019324789100072</v>
      </c>
      <c r="V51" s="294">
        <f t="shared" si="15"/>
        <v>-11.248483469099828</v>
      </c>
    </row>
    <row r="52" spans="20:22" x14ac:dyDescent="0.3">
      <c r="T52" s="236">
        <f>+SUM(T48:T51)</f>
        <v>77.975083481464893</v>
      </c>
      <c r="U52" s="236">
        <f>+SUM(U48:U51)</f>
        <v>-49.53392706957662</v>
      </c>
      <c r="V52" s="236">
        <f t="shared" si="15"/>
        <v>-127.50901055104151</v>
      </c>
    </row>
  </sheetData>
  <mergeCells count="3">
    <mergeCell ref="H5:I6"/>
    <mergeCell ref="Y42:AG42"/>
    <mergeCell ref="I45:I46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D905-614A-44EA-9ACC-3DB31372882A}">
  <sheetPr>
    <tabColor theme="1" tint="0.34998626667073579"/>
    <pageSetUpPr fitToPage="1"/>
  </sheetPr>
  <dimension ref="A1:Z52"/>
  <sheetViews>
    <sheetView showGridLines="0" showZeros="0" view="pageBreakPreview" zoomScale="60" zoomScaleNormal="85" workbookViewId="0">
      <pane xSplit="4" ySplit="7" topLeftCell="E8" activePane="bottomRight" state="frozen"/>
      <selection activeCell="M16" sqref="M16"/>
      <selection pane="topRight" activeCell="M16" sqref="M16"/>
      <selection pane="bottomLeft" activeCell="M16" sqref="M16"/>
      <selection pane="bottomRight" activeCell="M16" sqref="M16"/>
    </sheetView>
  </sheetViews>
  <sheetFormatPr defaultRowHeight="16.5" x14ac:dyDescent="0.3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1:26" ht="9.9499999999999993" customHeight="1" x14ac:dyDescent="0.3"/>
    <row r="2" spans="1:26" ht="9.9499999999999993" hidden="1" customHeight="1" x14ac:dyDescent="0.3"/>
    <row r="3" spans="1:26" ht="9.9499999999999993" customHeight="1" x14ac:dyDescent="0.3"/>
    <row r="4" spans="1:26" ht="31.5" x14ac:dyDescent="0.3">
      <c r="D4" s="398" t="s">
        <v>202</v>
      </c>
      <c r="F4" s="398"/>
      <c r="I4" s="398"/>
      <c r="J4" s="398"/>
    </row>
    <row r="5" spans="1:26" ht="21.95" customHeight="1" x14ac:dyDescent="0.3">
      <c r="W5" s="397" t="s">
        <v>140</v>
      </c>
    </row>
    <row r="6" spans="1:26" ht="24" customHeight="1" thickBot="1" x14ac:dyDescent="0.35">
      <c r="A6" s="6" t="s">
        <v>139</v>
      </c>
      <c r="D6" s="650" t="s">
        <v>11</v>
      </c>
      <c r="E6" s="396" t="s">
        <v>138</v>
      </c>
      <c r="F6" s="395"/>
      <c r="G6" s="394"/>
      <c r="H6" s="396" t="s">
        <v>137</v>
      </c>
      <c r="I6" s="395"/>
      <c r="J6" s="395"/>
      <c r="K6" s="394"/>
      <c r="L6" s="396" t="s">
        <v>136</v>
      </c>
      <c r="M6" s="395"/>
      <c r="N6" s="395"/>
      <c r="O6" s="394"/>
      <c r="P6" s="396" t="s">
        <v>135</v>
      </c>
      <c r="Q6" s="395"/>
      <c r="R6" s="395"/>
      <c r="S6" s="394"/>
      <c r="T6" s="396" t="s">
        <v>134</v>
      </c>
      <c r="U6" s="395"/>
      <c r="V6" s="395"/>
      <c r="W6" s="394"/>
    </row>
    <row r="7" spans="1:26" ht="24" customHeight="1" x14ac:dyDescent="0.3">
      <c r="D7" s="651"/>
      <c r="E7" s="392" t="s">
        <v>36</v>
      </c>
      <c r="F7" s="391" t="s">
        <v>37</v>
      </c>
      <c r="G7" s="393" t="s">
        <v>38</v>
      </c>
      <c r="H7" s="392" t="s">
        <v>12</v>
      </c>
      <c r="I7" s="391" t="s">
        <v>13</v>
      </c>
      <c r="J7" s="390" t="s">
        <v>38</v>
      </c>
      <c r="K7" s="389" t="s">
        <v>133</v>
      </c>
      <c r="L7" s="392" t="s">
        <v>12</v>
      </c>
      <c r="M7" s="391" t="s">
        <v>13</v>
      </c>
      <c r="N7" s="390" t="s">
        <v>38</v>
      </c>
      <c r="O7" s="389" t="s">
        <v>133</v>
      </c>
      <c r="P7" s="392" t="s">
        <v>12</v>
      </c>
      <c r="Q7" s="391" t="s">
        <v>13</v>
      </c>
      <c r="R7" s="390" t="s">
        <v>38</v>
      </c>
      <c r="S7" s="389" t="s">
        <v>133</v>
      </c>
      <c r="T7" s="392" t="s">
        <v>12</v>
      </c>
      <c r="U7" s="391" t="s">
        <v>13</v>
      </c>
      <c r="V7" s="390" t="s">
        <v>38</v>
      </c>
      <c r="W7" s="389" t="s">
        <v>133</v>
      </c>
    </row>
    <row r="8" spans="1:26" ht="24" customHeight="1" x14ac:dyDescent="0.3">
      <c r="D8" s="388" t="s">
        <v>32</v>
      </c>
      <c r="E8" s="386">
        <f>+[4]합계!$H$86/1000</f>
        <v>3034.3902302297365</v>
      </c>
      <c r="F8" s="385">
        <f>+[4]합계!$I$86/1000</f>
        <v>580.46864100000096</v>
      </c>
      <c r="G8" s="384">
        <f t="shared" ref="G8:G28" si="0">+F8-E8</f>
        <v>-2453.9215892297357</v>
      </c>
      <c r="H8" s="386">
        <f>+[4]합계!$T$5/1000</f>
        <v>271.5</v>
      </c>
      <c r="I8" s="385">
        <f>+[4]합계!$U$5/1000</f>
        <v>200.35732000000002</v>
      </c>
      <c r="J8" s="384">
        <f t="shared" ref="J8:J28" si="1">+I8-H8</f>
        <v>-71.142679999999984</v>
      </c>
      <c r="K8" s="387">
        <f>+[4]합계!$M$86/1000</f>
        <v>-1076.9581487484268</v>
      </c>
      <c r="L8" s="386">
        <f>+[4]합계!$Q$85</f>
        <v>101376.55732101267</v>
      </c>
      <c r="M8" s="385">
        <f>+[4]합계!$R$85</f>
        <v>97142.344161233937</v>
      </c>
      <c r="N8" s="384">
        <f t="shared" ref="N8:N28" si="2">+M8-L8</f>
        <v>-4234.2131597787375</v>
      </c>
      <c r="O8" s="387">
        <f>+[4]합계!$K$86/1000</f>
        <v>-843.14328460231218</v>
      </c>
      <c r="P8" s="386">
        <f>+[4]합계!$Q$50</f>
        <v>86455.575705203883</v>
      </c>
      <c r="Q8" s="385">
        <f>+[4]합계!$R$50</f>
        <v>89099.89154263922</v>
      </c>
      <c r="R8" s="384">
        <f t="shared" ref="R8:R28" si="3">+Q8-P8</f>
        <v>2644.315837435337</v>
      </c>
      <c r="S8" s="387">
        <f>+[4]합계!$L$56/1000</f>
        <v>-443.32182264134093</v>
      </c>
      <c r="T8" s="386">
        <f>+([4]합계!$H$80+[4]합계!$H$85)/1000</f>
        <v>1016.6562784623455</v>
      </c>
      <c r="U8" s="385">
        <f>+([4]합계!$I$80+[4]합계!$I$85)/1000</f>
        <v>1107.1546117</v>
      </c>
      <c r="V8" s="384">
        <f t="shared" ref="V8:V28" si="4">+U8-T8</f>
        <v>90.498333237654492</v>
      </c>
      <c r="W8" s="383">
        <f>+([4]합계!$L$80+[4]합계!$L$85)/1000</f>
        <v>-90.498333237654435</v>
      </c>
      <c r="Y8" s="6">
        <f t="shared" ref="Y8:Y28" si="5">+G8-K8-O8-S8-W8</f>
        <v>-1.3642420526593924E-12</v>
      </c>
      <c r="Z8" s="6">
        <f t="shared" ref="Z8:Z28" si="6">+Y8*1000000</f>
        <v>-1.3642420526593924E-6</v>
      </c>
    </row>
    <row r="9" spans="1:26" ht="24" customHeight="1" x14ac:dyDescent="0.3">
      <c r="D9" s="382" t="s">
        <v>16</v>
      </c>
      <c r="E9" s="381">
        <f>+[4]수도권!$H$86/1000</f>
        <v>942.3318890352291</v>
      </c>
      <c r="F9" s="380">
        <f>+[4]수도권!$I$86/1000</f>
        <v>42.665041000000343</v>
      </c>
      <c r="G9" s="379">
        <f t="shared" si="0"/>
        <v>-899.66684803522878</v>
      </c>
      <c r="H9" s="381">
        <f>+[4]수도권!$T$5/1000</f>
        <v>102</v>
      </c>
      <c r="I9" s="380">
        <f>+[4]수도권!$U$5/1000</f>
        <v>69.484320000000011</v>
      </c>
      <c r="J9" s="379">
        <f t="shared" si="1"/>
        <v>-32.515679999999989</v>
      </c>
      <c r="K9" s="378">
        <f>+[4]수도권!$M$86/1000</f>
        <v>-408.05889577018468</v>
      </c>
      <c r="L9" s="381">
        <f>+[4]수도권!$Q$85</f>
        <v>99005.917153538612</v>
      </c>
      <c r="M9" s="380">
        <f>+[4]수도권!$R$85</f>
        <v>95390.139037595131</v>
      </c>
      <c r="N9" s="379">
        <f t="shared" si="2"/>
        <v>-3615.7781159434817</v>
      </c>
      <c r="O9" s="378">
        <f>+[4]수도권!$K$86/1000</f>
        <v>-248.28217715837224</v>
      </c>
      <c r="P9" s="381">
        <f>+[4]수도권!$Q$50</f>
        <v>86685.75641010479</v>
      </c>
      <c r="Q9" s="380">
        <f>+[4]수도권!$R$50</f>
        <v>89990.876443221729</v>
      </c>
      <c r="R9" s="379">
        <f t="shared" si="3"/>
        <v>3305.1200331169384</v>
      </c>
      <c r="S9" s="378">
        <f>+[4]수도권!$L$56/1000</f>
        <v>-226.75056423169198</v>
      </c>
      <c r="T9" s="381">
        <f>+([4]수도권!$H$80+[4]수도권!$H$85)/1000</f>
        <v>314.32450679502222</v>
      </c>
      <c r="U9" s="380">
        <f>+([4]수도권!$I$80+[4]수도권!$I$85)/1000</f>
        <v>330.89971767000003</v>
      </c>
      <c r="V9" s="379">
        <f t="shared" si="4"/>
        <v>16.575210874977813</v>
      </c>
      <c r="W9" s="378">
        <f>+([4]수도권!$L$80+[4]수도권!$L$85)/1000</f>
        <v>-16.57521087497777</v>
      </c>
      <c r="Y9" s="6">
        <f t="shared" si="5"/>
        <v>-2.1174173525650986E-12</v>
      </c>
      <c r="Z9" s="6">
        <f t="shared" si="6"/>
        <v>-2.1174173525650986E-6</v>
      </c>
    </row>
    <row r="10" spans="1:26" ht="24" customHeight="1" x14ac:dyDescent="0.3">
      <c r="D10" s="377" t="s">
        <v>17</v>
      </c>
      <c r="E10" s="376">
        <f>+[4]영남권!$H$86/1000</f>
        <v>1071.9452618389937</v>
      </c>
      <c r="F10" s="375">
        <f>+[4]영남권!$I$86/1000</f>
        <v>363.18742500000201</v>
      </c>
      <c r="G10" s="374">
        <f t="shared" si="0"/>
        <v>-708.75783683899169</v>
      </c>
      <c r="H10" s="376">
        <f>+[4]영남권!$T$5/1000</f>
        <v>114.5</v>
      </c>
      <c r="I10" s="375">
        <f>+[4]영남권!$U$5/1000</f>
        <v>94.706000000000003</v>
      </c>
      <c r="J10" s="374">
        <f t="shared" si="1"/>
        <v>-19.793999999999997</v>
      </c>
      <c r="K10" s="373">
        <f>+[4]영남권!$M$86/1000</f>
        <v>-277.68740232557946</v>
      </c>
      <c r="L10" s="376">
        <f>+[4]영남권!$Q$85</f>
        <v>100430.7981047511</v>
      </c>
      <c r="M10" s="375">
        <f>+[4]영남권!$R$85</f>
        <v>96920.99392319686</v>
      </c>
      <c r="N10" s="374">
        <f t="shared" si="2"/>
        <v>-3509.8041815542383</v>
      </c>
      <c r="O10" s="373">
        <f>+[4]영남권!$K$86/1000</f>
        <v>-330.94996569129376</v>
      </c>
      <c r="P10" s="376">
        <f>+[4]영남권!$Q$50</f>
        <v>86673.278318262281</v>
      </c>
      <c r="Q10" s="375">
        <f>+[4]영남권!$R$50</f>
        <v>87869.599869221085</v>
      </c>
      <c r="R10" s="374">
        <f t="shared" si="3"/>
        <v>1196.3215509588044</v>
      </c>
      <c r="S10" s="373">
        <f>+[4]영남권!$L$56/1000</f>
        <v>-29.085501476092048</v>
      </c>
      <c r="T10" s="376">
        <f>+([4]영남권!$H$80+[4]영남권!$H$85)/1000</f>
        <v>503.2907537139759</v>
      </c>
      <c r="U10" s="375">
        <f>+([4]영남권!$I$80+[4]영남권!$I$85)/1000</f>
        <v>574.32572105999998</v>
      </c>
      <c r="V10" s="374">
        <f t="shared" si="4"/>
        <v>71.034967346024075</v>
      </c>
      <c r="W10" s="373">
        <f>+([4]영남권!$L$80+[4]영남권!$L$85)/1000</f>
        <v>-71.034967346024132</v>
      </c>
      <c r="Y10" s="6">
        <f t="shared" si="5"/>
        <v>-2.3021584638627246E-12</v>
      </c>
      <c r="Z10" s="6">
        <f t="shared" si="6"/>
        <v>-2.3021584638627246E-6</v>
      </c>
    </row>
    <row r="11" spans="1:26" ht="24" customHeight="1" x14ac:dyDescent="0.3">
      <c r="D11" s="372" t="s">
        <v>132</v>
      </c>
      <c r="E11" s="371">
        <f>+[4]중부권!$H$86/1000</f>
        <v>1020.1130793555174</v>
      </c>
      <c r="F11" s="370">
        <f>+[4]중부권!$I$86/1000</f>
        <v>174.616175</v>
      </c>
      <c r="G11" s="369">
        <f t="shared" si="0"/>
        <v>-845.49690435551736</v>
      </c>
      <c r="H11" s="371">
        <f>+[4]중부권!$T$5/1000</f>
        <v>55</v>
      </c>
      <c r="I11" s="370">
        <f>+[4]중부권!$U$5/1000</f>
        <v>36.167000000000002</v>
      </c>
      <c r="J11" s="369">
        <f t="shared" si="1"/>
        <v>-18.832999999999998</v>
      </c>
      <c r="K11" s="368">
        <f>+[4]중부권!$M$86/1000</f>
        <v>-417.46052935668803</v>
      </c>
      <c r="L11" s="371">
        <f>+[4]중부권!$Q$85</f>
        <v>107741.916</v>
      </c>
      <c r="M11" s="370">
        <f>+[4]중부권!$R$85</f>
        <v>101046.1585699671</v>
      </c>
      <c r="N11" s="369">
        <f t="shared" si="2"/>
        <v>-6695.7574300328997</v>
      </c>
      <c r="O11" s="368">
        <f>+[4]중부권!$K$86/1000</f>
        <v>-242.16545897199987</v>
      </c>
      <c r="P11" s="371">
        <f>+[4]중부권!$Q$50</f>
        <v>85575.477867111549</v>
      </c>
      <c r="Q11" s="370">
        <f>+[4]중부권!$R$50</f>
        <v>90631.955139721933</v>
      </c>
      <c r="R11" s="369">
        <f t="shared" si="3"/>
        <v>5056.4772726103838</v>
      </c>
      <c r="S11" s="368">
        <f>+[4]중부권!$L$56/1000</f>
        <v>-182.98276101017672</v>
      </c>
      <c r="T11" s="371">
        <f>+([4]중부권!$H$80+[4]중부권!$H$85)/1000</f>
        <v>199.04101795334742</v>
      </c>
      <c r="U11" s="370">
        <f>+([4]중부권!$I$80+[4]중부권!$I$85)/1000</f>
        <v>201.92917297000002</v>
      </c>
      <c r="V11" s="369">
        <f t="shared" si="4"/>
        <v>2.888155016652604</v>
      </c>
      <c r="W11" s="368">
        <f>+([4]중부권!$L$80+[4]중부권!$L$85)/1000</f>
        <v>-2.8881550166525729</v>
      </c>
      <c r="Y11" s="6">
        <f t="shared" si="5"/>
        <v>-1.7319479184152442E-13</v>
      </c>
      <c r="Z11" s="6">
        <f t="shared" si="6"/>
        <v>-1.7319479184152442E-7</v>
      </c>
    </row>
    <row r="12" spans="1:26" ht="24" customHeight="1" x14ac:dyDescent="0.3">
      <c r="D12" s="367" t="s">
        <v>18</v>
      </c>
      <c r="E12" s="365">
        <f>+[4]안양!$H$86/1000</f>
        <v>521.50922853763359</v>
      </c>
      <c r="F12" s="364">
        <f>+[4]안양!$I$86/1000</f>
        <v>88.551492999999923</v>
      </c>
      <c r="G12" s="366">
        <f t="shared" si="0"/>
        <v>-432.95773553763365</v>
      </c>
      <c r="H12" s="365">
        <f>+[4]안양!$T$5/1000</f>
        <v>40</v>
      </c>
      <c r="I12" s="364">
        <f>+[4]안양!$U$5/1000</f>
        <v>23.449000000000002</v>
      </c>
      <c r="J12" s="363">
        <f t="shared" si="1"/>
        <v>-16.550999999999998</v>
      </c>
      <c r="K12" s="362">
        <f>+[4]안양!$M$86/1000</f>
        <v>-255.52961130135901</v>
      </c>
      <c r="L12" s="365">
        <f>+[4]안양!$Q$85</f>
        <v>101256.98725000001</v>
      </c>
      <c r="M12" s="364">
        <f>+[4]안양!$R$85</f>
        <v>96040.793168152144</v>
      </c>
      <c r="N12" s="363">
        <f t="shared" si="2"/>
        <v>-5216.1940818478615</v>
      </c>
      <c r="O12" s="362">
        <f>+[4]안양!$K$86/1000</f>
        <v>-122.31453502525052</v>
      </c>
      <c r="P12" s="365">
        <f>+[4]안양!$Q$50</f>
        <v>85818.064447670273</v>
      </c>
      <c r="Q12" s="364">
        <f>+[4]안양!$R$50</f>
        <v>88227.119742617288</v>
      </c>
      <c r="R12" s="363">
        <f t="shared" si="3"/>
        <v>2409.0552949470148</v>
      </c>
      <c r="S12" s="362">
        <f>+[4]안양!$L$56/1000</f>
        <v>-56.371026876579343</v>
      </c>
      <c r="T12" s="365">
        <f>+([4]안양!$H$80+[4]안양!$H$85)/1000</f>
        <v>96.047683555555551</v>
      </c>
      <c r="U12" s="364">
        <f>+([4]안양!$I$80+[4]안양!$I$85)/1000</f>
        <v>94.790245889999994</v>
      </c>
      <c r="V12" s="363">
        <f t="shared" si="4"/>
        <v>-1.2574376655555568</v>
      </c>
      <c r="W12" s="362">
        <f>+([4]안양!$L$80+[4]안양!$L$85)/1000</f>
        <v>1.2574376655555526</v>
      </c>
      <c r="Y12" s="6">
        <f t="shared" si="5"/>
        <v>-3.2973623831367149E-13</v>
      </c>
      <c r="Z12" s="6">
        <f t="shared" si="6"/>
        <v>-3.2973623831367149E-7</v>
      </c>
    </row>
    <row r="13" spans="1:26" ht="24" customHeight="1" x14ac:dyDescent="0.3">
      <c r="D13" s="354" t="s">
        <v>19</v>
      </c>
      <c r="E13" s="351">
        <f>+[4]인천!$H$86/1000</f>
        <v>155.95557144980714</v>
      </c>
      <c r="F13" s="350">
        <f>+[4]인천!$I$86/1000</f>
        <v>-70.264611999999872</v>
      </c>
      <c r="G13" s="352">
        <f t="shared" si="0"/>
        <v>-226.220183449807</v>
      </c>
      <c r="H13" s="351">
        <f>+[4]인천!$T$5/1000</f>
        <v>26</v>
      </c>
      <c r="I13" s="350">
        <f>+[4]인천!$U$5/1000</f>
        <v>23.225999999999999</v>
      </c>
      <c r="J13" s="152">
        <f t="shared" si="1"/>
        <v>-2.7740000000000009</v>
      </c>
      <c r="K13" s="349">
        <f>+[4]인천!$M$86/1000</f>
        <v>-29.040645908494596</v>
      </c>
      <c r="L13" s="351">
        <f>+[4]인천!$Q$85</f>
        <v>99206.203956189958</v>
      </c>
      <c r="M13" s="350">
        <f>+[4]인천!$R$85</f>
        <v>94256.418497767663</v>
      </c>
      <c r="N13" s="152">
        <f t="shared" si="2"/>
        <v>-4949.7854584222951</v>
      </c>
      <c r="O13" s="349">
        <f>+[4]인천!$K$86/1000</f>
        <v>-113.08279858311576</v>
      </c>
      <c r="P13" s="351">
        <f>+[4]인천!$Q$50</f>
        <v>89541.382805747809</v>
      </c>
      <c r="Q13" s="350">
        <f>+[4]인천!$R$50</f>
        <v>92863.234097471344</v>
      </c>
      <c r="R13" s="152">
        <f t="shared" si="3"/>
        <v>3321.8512917235348</v>
      </c>
      <c r="S13" s="349">
        <f>+[4]인천!$L$56/1000</f>
        <v>-75.950177909885952</v>
      </c>
      <c r="T13" s="351">
        <f>+([4]인천!$H$80+[4]인천!$H$85)/1000</f>
        <v>95.329778461688903</v>
      </c>
      <c r="U13" s="350">
        <f>+([4]인천!$I$80+[4]인천!$I$85)/1000</f>
        <v>103.47633950999999</v>
      </c>
      <c r="V13" s="152">
        <f t="shared" si="4"/>
        <v>8.1465610483110851</v>
      </c>
      <c r="W13" s="349">
        <f>+([4]인천!$L$80+[4]인천!$L$85)/1000</f>
        <v>-8.1465610483111011</v>
      </c>
      <c r="Y13" s="6">
        <f t="shared" si="5"/>
        <v>3.9968028886505635E-13</v>
      </c>
      <c r="Z13" s="6">
        <f t="shared" si="6"/>
        <v>3.9968028886505635E-7</v>
      </c>
    </row>
    <row r="14" spans="1:26" ht="24" customHeight="1" x14ac:dyDescent="0.3">
      <c r="D14" s="354" t="s">
        <v>20</v>
      </c>
      <c r="E14" s="351">
        <f>+[4]파주!$H$86/1000</f>
        <v>154.51702309676386</v>
      </c>
      <c r="F14" s="350">
        <f>+[4]파주!$I$86/1000</f>
        <v>11.69842799999992</v>
      </c>
      <c r="G14" s="352">
        <f t="shared" si="0"/>
        <v>-142.81859509676394</v>
      </c>
      <c r="H14" s="351">
        <f>+[4]파주!$T$5/1000</f>
        <v>22</v>
      </c>
      <c r="I14" s="350">
        <f>+[4]파주!$U$5/1000</f>
        <v>12.851000000000001</v>
      </c>
      <c r="J14" s="152">
        <f t="shared" si="1"/>
        <v>-9.1489999999999991</v>
      </c>
      <c r="K14" s="349">
        <f>+[4]파주!$M$86/1000</f>
        <v>-95.449017513581325</v>
      </c>
      <c r="L14" s="351">
        <f>+[4]파주!$Q$85</f>
        <v>97727.982581818185</v>
      </c>
      <c r="M14" s="350">
        <f>+[4]파주!$R$85</f>
        <v>95316.059089826071</v>
      </c>
      <c r="N14" s="152">
        <f t="shared" si="2"/>
        <v>-2411.9234919921146</v>
      </c>
      <c r="O14" s="349">
        <f>+[4]파주!$K$86/1000</f>
        <v>-30.368528687672715</v>
      </c>
      <c r="P14" s="351">
        <f>+[4]파주!$Q$50</f>
        <v>87500.51765317739</v>
      </c>
      <c r="Q14" s="350">
        <f>+[4]파주!$R$50</f>
        <v>88489.645868063846</v>
      </c>
      <c r="R14" s="152">
        <f t="shared" si="3"/>
        <v>989.12821488645568</v>
      </c>
      <c r="S14" s="349">
        <f>+[4]파주!$L$56/1000</f>
        <v>-12.457011128843554</v>
      </c>
      <c r="T14" s="351">
        <f>+([4]파주!$H$80+[4]파주!$H$85)/1000</f>
        <v>70.487205333333335</v>
      </c>
      <c r="U14" s="350">
        <f>+([4]파주!$I$80+[4]파주!$I$85)/1000</f>
        <v>75.031243099999998</v>
      </c>
      <c r="V14" s="152">
        <f t="shared" si="4"/>
        <v>4.544037766666662</v>
      </c>
      <c r="W14" s="349">
        <f>+([4]파주!$L$80+[4]파주!$L$85)/1000</f>
        <v>-4.5440377666666656</v>
      </c>
      <c r="Y14" s="6">
        <f t="shared" si="5"/>
        <v>3.1619151741324458E-13</v>
      </c>
      <c r="Z14" s="6">
        <f t="shared" si="6"/>
        <v>3.1619151741324458E-7</v>
      </c>
    </row>
    <row r="15" spans="1:26" ht="24" customHeight="1" x14ac:dyDescent="0.3">
      <c r="D15" s="354" t="s">
        <v>108</v>
      </c>
      <c r="E15" s="351">
        <f>+[4]김포!$H$86/1000</f>
        <v>110.35006595102423</v>
      </c>
      <c r="F15" s="350">
        <f>+[4]김포!$I$86/1000</f>
        <v>12.679731999999937</v>
      </c>
      <c r="G15" s="352">
        <f t="shared" si="0"/>
        <v>-97.670333951024304</v>
      </c>
      <c r="H15" s="351">
        <f>+[4]김포!$T$5/1000</f>
        <v>14</v>
      </c>
      <c r="I15" s="350">
        <f>+[4]김포!$U$5/1000</f>
        <v>9.9583200000000005</v>
      </c>
      <c r="J15" s="152">
        <f t="shared" si="1"/>
        <v>-4.0416799999999995</v>
      </c>
      <c r="K15" s="349">
        <f>+[4]김포!$M$86/1000</f>
        <v>-48.677835828510808</v>
      </c>
      <c r="L15" s="351">
        <f>+[4]김포!$Q$85</f>
        <v>94210.510000000009</v>
      </c>
      <c r="M15" s="350">
        <f>+[4]김포!$R$85</f>
        <v>96573.794722463077</v>
      </c>
      <c r="N15" s="152">
        <f t="shared" si="2"/>
        <v>2363.2847224630677</v>
      </c>
      <c r="O15" s="349">
        <f>+[4]김포!$K$86/1000</f>
        <v>23.11368083679999</v>
      </c>
      <c r="P15" s="351">
        <f>+[4]김포!$Q$50</f>
        <v>82581.231043180815</v>
      </c>
      <c r="Q15" s="361">
        <f>+[4]김포!$R$50</f>
        <v>89443.991617920983</v>
      </c>
      <c r="R15" s="152">
        <f t="shared" si="3"/>
        <v>6862.7605747401685</v>
      </c>
      <c r="S15" s="349">
        <f>+[4]김포!$L$56/1000</f>
        <v>-66.964129233757873</v>
      </c>
      <c r="T15" s="351">
        <f>+([4]김포!$H$80+[4]김포!$H$85)/1000</f>
        <v>52.459839444444448</v>
      </c>
      <c r="U15" s="350">
        <f>+([4]김포!$I$80+[4]김포!$I$85)/1000</f>
        <v>57.60188917</v>
      </c>
      <c r="V15" s="152">
        <f t="shared" si="4"/>
        <v>5.1420497255555517</v>
      </c>
      <c r="W15" s="349">
        <f>+([4]김포!$L$80+[4]김포!$L$85)/1000</f>
        <v>-5.1420497255555544</v>
      </c>
      <c r="Y15" s="6">
        <f t="shared" si="5"/>
        <v>-5.4178883601707639E-14</v>
      </c>
      <c r="Z15" s="6">
        <f t="shared" si="6"/>
        <v>-5.4178883601707639E-8</v>
      </c>
    </row>
    <row r="16" spans="1:26" ht="24" customHeight="1" x14ac:dyDescent="0.3">
      <c r="D16" s="360" t="s">
        <v>21</v>
      </c>
      <c r="E16" s="358">
        <f>+[4]부산!$H$86/1000</f>
        <v>137.44551933924024</v>
      </c>
      <c r="F16" s="357">
        <f>+[4]부산!$I$86/1000</f>
        <v>150.88101499999993</v>
      </c>
      <c r="G16" s="359">
        <f t="shared" si="0"/>
        <v>13.435495660759699</v>
      </c>
      <c r="H16" s="358">
        <f>+[4]부산!$T$5/1000</f>
        <v>17</v>
      </c>
      <c r="I16" s="357">
        <f>+[4]부산!$U$5/1000</f>
        <v>19.280999999999999</v>
      </c>
      <c r="J16" s="356">
        <f t="shared" si="1"/>
        <v>2.2809999999999988</v>
      </c>
      <c r="K16" s="355">
        <f>+[4]부산!$M$86/1000</f>
        <v>30.947406569766404</v>
      </c>
      <c r="L16" s="358">
        <f>+[4]부산!$Q$85</f>
        <v>107700.20116164706</v>
      </c>
      <c r="M16" s="357">
        <f>+[4]부산!$R$85</f>
        <v>104513.84782946942</v>
      </c>
      <c r="N16" s="356">
        <f t="shared" si="2"/>
        <v>-3186.353332177634</v>
      </c>
      <c r="O16" s="355">
        <f>+[4]부산!$K$86/1000</f>
        <v>-61.436078597716964</v>
      </c>
      <c r="P16" s="358">
        <f>+[4]부산!$Q$50</f>
        <v>94132.727873717886</v>
      </c>
      <c r="Q16" s="357">
        <f>+[4]부산!$R$50</f>
        <v>91291.301124403137</v>
      </c>
      <c r="R16" s="356">
        <f t="shared" si="3"/>
        <v>-2841.426749314749</v>
      </c>
      <c r="S16" s="355">
        <f>+[4]부산!$L$56/1000</f>
        <v>118.6539783731549</v>
      </c>
      <c r="T16" s="358">
        <f>+([4]부산!$H$80+[4]부산!$H$85)/1000</f>
        <v>93.201526555555546</v>
      </c>
      <c r="U16" s="357">
        <f>+([4]부산!$I$80+[4]부산!$I$85)/1000</f>
        <v>167.93133724</v>
      </c>
      <c r="V16" s="356">
        <f t="shared" si="4"/>
        <v>74.729810684444459</v>
      </c>
      <c r="W16" s="355">
        <f>+([4]부산!$L$80+[4]부산!$L$85)/1000</f>
        <v>-74.729810684444445</v>
      </c>
      <c r="Y16" s="6">
        <f t="shared" si="5"/>
        <v>-1.9895196601282805E-13</v>
      </c>
      <c r="Z16" s="6">
        <f t="shared" si="6"/>
        <v>-1.9895196601282805E-7</v>
      </c>
    </row>
    <row r="17" spans="4:26" ht="24" customHeight="1" x14ac:dyDescent="0.3">
      <c r="D17" s="354" t="s">
        <v>22</v>
      </c>
      <c r="E17" s="351">
        <f>+[4]서부산!$H$86/1000</f>
        <v>152.69859387601568</v>
      </c>
      <c r="F17" s="350">
        <f>+[4]서부산!$I$86/1000</f>
        <v>122.94463900000004</v>
      </c>
      <c r="G17" s="352">
        <f t="shared" si="0"/>
        <v>-29.753954876015641</v>
      </c>
      <c r="H17" s="351">
        <f>+[4]서부산!$T$5/1000</f>
        <v>17</v>
      </c>
      <c r="I17" s="350">
        <f>+[4]서부산!$U$5/1000</f>
        <v>16.329000000000001</v>
      </c>
      <c r="J17" s="152">
        <f t="shared" si="1"/>
        <v>-0.67099999999999937</v>
      </c>
      <c r="K17" s="349">
        <f>+[4]서부산!$M$86/1000</f>
        <v>-9.0359893178056154</v>
      </c>
      <c r="L17" s="351">
        <f>+[4]서부산!$Q$85</f>
        <v>99299.849294117768</v>
      </c>
      <c r="M17" s="350">
        <f>+[4]서부산!$R$85</f>
        <v>98356.98450609346</v>
      </c>
      <c r="N17" s="152">
        <f t="shared" si="2"/>
        <v>-942.86478802430793</v>
      </c>
      <c r="O17" s="349">
        <f>+[4]서부산!$K$86/1000</f>
        <v>-15.396039123648926</v>
      </c>
      <c r="P17" s="351">
        <f>+[4]서부산!$Q$50</f>
        <v>85833.397255659336</v>
      </c>
      <c r="Q17" s="350">
        <f>+[4]서부산!$R$50</f>
        <v>85641.017430833599</v>
      </c>
      <c r="R17" s="152">
        <f t="shared" si="3"/>
        <v>-192.37982482573716</v>
      </c>
      <c r="S17" s="349">
        <f>+[4]서부산!$L$56/1000</f>
        <v>12.242620457661141</v>
      </c>
      <c r="T17" s="351">
        <f>+([4]서부산!$H$80+[4]서부산!$H$85)/1000</f>
        <v>76.23109077777778</v>
      </c>
      <c r="U17" s="350">
        <f>+([4]서부산!$I$80+[4]서부산!$I$85)/1000</f>
        <v>93.795637669999991</v>
      </c>
      <c r="V17" s="152">
        <f t="shared" si="4"/>
        <v>17.564546892222211</v>
      </c>
      <c r="W17" s="349">
        <f>+([4]서부산!$L$80+[4]서부산!$L$85)/1000</f>
        <v>-17.564546892222229</v>
      </c>
      <c r="Y17" s="6">
        <f t="shared" si="5"/>
        <v>0</v>
      </c>
      <c r="Z17" s="6">
        <f t="shared" si="6"/>
        <v>0</v>
      </c>
    </row>
    <row r="18" spans="4:26" ht="24" customHeight="1" x14ac:dyDescent="0.3">
      <c r="D18" s="354" t="s">
        <v>23</v>
      </c>
      <c r="E18" s="351">
        <f>+[4]김해!$H$86/1000</f>
        <v>109.16349187466854</v>
      </c>
      <c r="F18" s="350">
        <f>+[4]김해!$I$86/1000</f>
        <v>-52.202860999999857</v>
      </c>
      <c r="G18" s="352">
        <f t="shared" si="0"/>
        <v>-161.36635287466839</v>
      </c>
      <c r="H18" s="351">
        <f>+[4]김해!$T$5/1000</f>
        <v>13</v>
      </c>
      <c r="I18" s="350">
        <f>+[4]김해!$U$5/1000</f>
        <v>7.1879999999999997</v>
      </c>
      <c r="J18" s="152">
        <f t="shared" si="1"/>
        <v>-5.8120000000000003</v>
      </c>
      <c r="K18" s="349">
        <f>+[4]김해!$M$86/1000</f>
        <v>-75.162926387717945</v>
      </c>
      <c r="L18" s="351">
        <f>+[4]김해!$Q$85</f>
        <v>96299.673076923078</v>
      </c>
      <c r="M18" s="350">
        <f>+[4]김해!$R$85</f>
        <v>90295.742516710263</v>
      </c>
      <c r="N18" s="152">
        <f t="shared" si="2"/>
        <v>-6003.9305602128152</v>
      </c>
      <c r="O18" s="349">
        <f>+[4]김해!$K$86/1000</f>
        <v>-41.319050115384591</v>
      </c>
      <c r="P18" s="351">
        <f>+[4]김해!$Q$50</f>
        <v>83963.333360068253</v>
      </c>
      <c r="Q18" s="350">
        <f>+[4]김해!$R$50</f>
        <v>91506.909038070327</v>
      </c>
      <c r="R18" s="152">
        <f t="shared" si="3"/>
        <v>7543.5756780020747</v>
      </c>
      <c r="S18" s="349">
        <f>+[4]김해!$L$56/1000</f>
        <v>-49.330850496010335</v>
      </c>
      <c r="T18" s="351">
        <f>+([4]김해!$H$80+[4]김해!$H$85)/1000</f>
        <v>51.208924444444442</v>
      </c>
      <c r="U18" s="350">
        <f>+([4]김해!$I$80+[4]김해!$I$85)/1000</f>
        <v>46.762450320000006</v>
      </c>
      <c r="V18" s="152">
        <f t="shared" si="4"/>
        <v>-4.4464741244444355</v>
      </c>
      <c r="W18" s="349">
        <f>+([4]김해!$L$80+[4]김해!$L$85)/1000</f>
        <v>4.4464741244444443</v>
      </c>
      <c r="Y18" s="6">
        <f t="shared" si="5"/>
        <v>3.3750779948604759E-14</v>
      </c>
      <c r="Z18" s="6">
        <f t="shared" si="6"/>
        <v>3.3750779948604759E-8</v>
      </c>
    </row>
    <row r="19" spans="4:26" ht="24" customHeight="1" x14ac:dyDescent="0.3">
      <c r="D19" s="354" t="s">
        <v>24</v>
      </c>
      <c r="E19" s="351">
        <f>+[4]정관!$H$86/1000</f>
        <v>152.64297229810259</v>
      </c>
      <c r="F19" s="350">
        <f>+[4]정관!$I$86/1000</f>
        <v>156.95553800000008</v>
      </c>
      <c r="G19" s="352">
        <f t="shared" si="0"/>
        <v>4.3125657018974835</v>
      </c>
      <c r="H19" s="351">
        <f>+[4]정관!$T$5/1000</f>
        <v>18</v>
      </c>
      <c r="I19" s="350">
        <f>+[4]정관!$U$5/1000</f>
        <v>21.484999999999999</v>
      </c>
      <c r="J19" s="152">
        <f t="shared" si="1"/>
        <v>3.4849999999999994</v>
      </c>
      <c r="K19" s="349">
        <f>+[4]정관!$M$86/1000</f>
        <v>43.512540496018367</v>
      </c>
      <c r="L19" s="351">
        <f>+[4]정관!$Q$85</f>
        <v>102000.24504444444</v>
      </c>
      <c r="M19" s="350">
        <f>+[4]정관!$R$85</f>
        <v>96472.016755876204</v>
      </c>
      <c r="N19" s="152">
        <f t="shared" si="2"/>
        <v>-5528.2282885682362</v>
      </c>
      <c r="O19" s="349">
        <f>+[4]정관!$K$86/1000</f>
        <v>-118.77398477988856</v>
      </c>
      <c r="P19" s="351">
        <f>+[4]정관!$Q$50</f>
        <v>89514.580626648618</v>
      </c>
      <c r="Q19" s="350">
        <f>+[4]정관!$R$50</f>
        <v>85952.080477939468</v>
      </c>
      <c r="R19" s="152">
        <f t="shared" si="3"/>
        <v>-3562.5001487091504</v>
      </c>
      <c r="S19" s="349">
        <f>+[4]정관!$L$56/1000</f>
        <v>84.035093963545535</v>
      </c>
      <c r="T19" s="351">
        <f>+([4]정관!$H$80+[4]정관!$H$85)/1000</f>
        <v>72.09898722222222</v>
      </c>
      <c r="U19" s="350">
        <f>+([4]정관!$I$80+[4]정관!$I$85)/1000</f>
        <v>76.560071199999996</v>
      </c>
      <c r="V19" s="152">
        <f t="shared" si="4"/>
        <v>4.4610839777777755</v>
      </c>
      <c r="W19" s="349">
        <f>+([4]정관!$L$80+[4]정관!$L$85)/1000</f>
        <v>-4.4610839777777684</v>
      </c>
      <c r="Y19" s="6">
        <f t="shared" si="5"/>
        <v>-9.2370555648813024E-14</v>
      </c>
      <c r="Z19" s="6">
        <f t="shared" si="6"/>
        <v>-9.2370555648813024E-8</v>
      </c>
    </row>
    <row r="20" spans="4:26" ht="24" customHeight="1" x14ac:dyDescent="0.3">
      <c r="D20" s="354" t="s">
        <v>25</v>
      </c>
      <c r="E20" s="351">
        <f>+[4]양산!$H$86/1000</f>
        <v>118.40443130340989</v>
      </c>
      <c r="F20" s="350">
        <f>+[4]양산!$I$86/1000</f>
        <v>-62.460977999999976</v>
      </c>
      <c r="G20" s="352">
        <f t="shared" si="0"/>
        <v>-180.86540930340988</v>
      </c>
      <c r="H20" s="351">
        <f>+[4]양산!$T$5/1000</f>
        <v>12</v>
      </c>
      <c r="I20" s="350">
        <f>+[4]양산!$U$5/1000</f>
        <v>4.157</v>
      </c>
      <c r="J20" s="152">
        <f t="shared" si="1"/>
        <v>-7.843</v>
      </c>
      <c r="K20" s="349">
        <f>+[4]양산!$M$86/1000</f>
        <v>-102.93357878558128</v>
      </c>
      <c r="L20" s="351">
        <f>+[4]양산!$Q$85</f>
        <v>94380</v>
      </c>
      <c r="M20" s="350">
        <f>+[4]양산!$R$85</f>
        <v>87727.06278566274</v>
      </c>
      <c r="N20" s="152">
        <f t="shared" si="2"/>
        <v>-6652.9372143372602</v>
      </c>
      <c r="O20" s="349">
        <f>+[4]양산!$K$86/1000</f>
        <v>-27.656259999999993</v>
      </c>
      <c r="P20" s="351">
        <f>+[4]양산!$Q$50</f>
        <v>81255.739030271419</v>
      </c>
      <c r="Q20" s="350">
        <f>+[4]양산!$R$50</f>
        <v>93127.273033437581</v>
      </c>
      <c r="R20" s="152">
        <f t="shared" si="3"/>
        <v>11871.534003166162</v>
      </c>
      <c r="S20" s="349">
        <f>+[4]양산!$L$56/1000</f>
        <v>-49.057982091161762</v>
      </c>
      <c r="T20" s="351">
        <f>+([4]양산!$H$80+[4]양산!$H$85)/1000</f>
        <v>39.086700333333326</v>
      </c>
      <c r="U20" s="350">
        <f>+([4]양산!$I$80+[4]양산!$I$85)/1000</f>
        <v>40.304288759999999</v>
      </c>
      <c r="V20" s="152">
        <f t="shared" si="4"/>
        <v>1.2175884266666728</v>
      </c>
      <c r="W20" s="349">
        <f>+([4]양산!$L$80+[4]양산!$L$85)/1000</f>
        <v>-1.2175884266666726</v>
      </c>
      <c r="Y20" s="6">
        <f t="shared" si="5"/>
        <v>-1.7785772854495008E-13</v>
      </c>
      <c r="Z20" s="6">
        <f t="shared" si="6"/>
        <v>-1.7785772854495008E-7</v>
      </c>
    </row>
    <row r="21" spans="4:26" ht="24" customHeight="1" x14ac:dyDescent="0.3">
      <c r="D21" s="354" t="s">
        <v>26</v>
      </c>
      <c r="E21" s="351">
        <f>+[4]창원!$H$86/1000</f>
        <v>147.81171337555415</v>
      </c>
      <c r="F21" s="350">
        <f>+[4]창원!$I$86/1000</f>
        <v>-12.880638000000049</v>
      </c>
      <c r="G21" s="352">
        <f t="shared" si="0"/>
        <v>-160.69235137555421</v>
      </c>
      <c r="H21" s="351">
        <f>+[4]창원!$T$5/1000</f>
        <v>13</v>
      </c>
      <c r="I21" s="350">
        <f>+[4]창원!$U$5/1000</f>
        <v>6.7850000000000001</v>
      </c>
      <c r="J21" s="152">
        <f t="shared" si="1"/>
        <v>-6.2149999999999999</v>
      </c>
      <c r="K21" s="349">
        <f>+[4]창원!$M$86/1000</f>
        <v>-102.98140194501379</v>
      </c>
      <c r="L21" s="351">
        <f>+[4]창원!$Q$85</f>
        <v>101100.38024584616</v>
      </c>
      <c r="M21" s="350">
        <f>+[4]창원!$R$85</f>
        <v>93119.970523212964</v>
      </c>
      <c r="N21" s="152">
        <f t="shared" si="2"/>
        <v>-7980.4097226331942</v>
      </c>
      <c r="O21" s="349">
        <f>+[4]창원!$K$86/1000</f>
        <v>-54.147079968066222</v>
      </c>
      <c r="P21" s="351">
        <f>+[4]창원!$Q$50</f>
        <v>84530.564969094121</v>
      </c>
      <c r="Q21" s="350">
        <f>+[4]창원!$R$50</f>
        <v>86469.000146864433</v>
      </c>
      <c r="R21" s="152">
        <f t="shared" si="3"/>
        <v>1938.4351777703123</v>
      </c>
      <c r="S21" s="349">
        <f>+[4]창원!$L$56/1000</f>
        <v>-12.741638064696387</v>
      </c>
      <c r="T21" s="351">
        <f>+([4]창원!$H$80+[4]창원!$H$85)/1000</f>
        <v>67.595885222222222</v>
      </c>
      <c r="U21" s="350">
        <f>+([4]창원!$I$80+[4]창원!$I$85)/1000</f>
        <v>58.418116619999999</v>
      </c>
      <c r="V21" s="152">
        <f t="shared" si="4"/>
        <v>-9.1777686022222227</v>
      </c>
      <c r="W21" s="349">
        <f>+([4]창원!$L$80+[4]창원!$L$85)/1000</f>
        <v>9.1777686022222227</v>
      </c>
      <c r="Y21" s="6">
        <f t="shared" si="5"/>
        <v>-3.730349362740526E-14</v>
      </c>
      <c r="Z21" s="6">
        <f t="shared" si="6"/>
        <v>-3.730349362740526E-8</v>
      </c>
    </row>
    <row r="22" spans="4:26" ht="24" customHeight="1" x14ac:dyDescent="0.3">
      <c r="D22" s="354" t="s">
        <v>131</v>
      </c>
      <c r="E22" s="351">
        <f>+[4]대구!$H$86/1000</f>
        <v>130.691205997086</v>
      </c>
      <c r="F22" s="350">
        <f>+[4]대구!$I$86/1000</f>
        <v>13.899454000000029</v>
      </c>
      <c r="G22" s="352">
        <f t="shared" si="0"/>
        <v>-116.79175199708597</v>
      </c>
      <c r="H22" s="351">
        <f>+[4]대구!$T$5/1000</f>
        <v>12.5</v>
      </c>
      <c r="I22" s="350">
        <f>+[4]대구!$U$5/1000</f>
        <v>9.9870000000000001</v>
      </c>
      <c r="J22" s="152">
        <f t="shared" si="1"/>
        <v>-2.5129999999999999</v>
      </c>
      <c r="K22" s="349">
        <f>+[4]대구!$M$86/1000</f>
        <v>-38.421261499584595</v>
      </c>
      <c r="L22" s="351">
        <f>+[4]대구!$Q$85</f>
        <v>96160.51370000001</v>
      </c>
      <c r="M22" s="350">
        <f>+[4]대구!$R$85</f>
        <v>88369.706477732791</v>
      </c>
      <c r="N22" s="152">
        <f t="shared" si="2"/>
        <v>-7790.8072222672199</v>
      </c>
      <c r="O22" s="349">
        <f>+[4]대구!$K$86/1000</f>
        <v>-76.973175356000127</v>
      </c>
      <c r="P22" s="351">
        <f>+[4]대구!$Q$50</f>
        <v>81495.910074204352</v>
      </c>
      <c r="Q22" s="350">
        <f>+[4]대구!$R$50</f>
        <v>82268.216093117415</v>
      </c>
      <c r="R22" s="152">
        <f t="shared" si="3"/>
        <v>772.30601891306287</v>
      </c>
      <c r="S22" s="349">
        <f>+[4]대구!$L$56/1000</f>
        <v>-7.6303737668608402</v>
      </c>
      <c r="T22" s="351">
        <f>+([4]대구!$H$80+[4]대구!$H$85)/1000</f>
        <v>52.616339325359789</v>
      </c>
      <c r="U22" s="350">
        <f>+([4]대구!$I$80+[4]대구!$I$85)/1000</f>
        <v>46.3832807</v>
      </c>
      <c r="V22" s="152">
        <f t="shared" si="4"/>
        <v>-6.2330586253597886</v>
      </c>
      <c r="W22" s="349">
        <f>+([4]대구!$L$80+[4]대구!$L$85)/1000</f>
        <v>6.2330586253597824</v>
      </c>
      <c r="Y22" s="6">
        <f t="shared" si="5"/>
        <v>-1.9451107391432743E-13</v>
      </c>
      <c r="Z22" s="6">
        <f t="shared" si="6"/>
        <v>-1.9451107391432743E-7</v>
      </c>
    </row>
    <row r="23" spans="4:26" ht="24" customHeight="1" x14ac:dyDescent="0.3">
      <c r="D23" s="354" t="s">
        <v>130</v>
      </c>
      <c r="E23" s="351">
        <f>+[4]울산!$H$86/1000</f>
        <v>123.08733377491703</v>
      </c>
      <c r="F23" s="350">
        <f>+[4]울산!$I$86/1000</f>
        <v>46.051255999999988</v>
      </c>
      <c r="G23" s="352">
        <f t="shared" si="0"/>
        <v>-77.036077774917032</v>
      </c>
      <c r="H23" s="351">
        <f>+[4]울산!$T$5/1000</f>
        <v>12</v>
      </c>
      <c r="I23" s="350">
        <f>+[4]울산!$U$5/1000</f>
        <v>9.4939999999999998</v>
      </c>
      <c r="J23" s="152">
        <f t="shared" si="1"/>
        <v>-2.5060000000000002</v>
      </c>
      <c r="K23" s="349">
        <f>+[4]울산!$M$86/1000</f>
        <v>-36.407717985132678</v>
      </c>
      <c r="L23" s="351">
        <f>+[4]울산!$Q$85</f>
        <v>103629.5</v>
      </c>
      <c r="M23" s="350">
        <f>+[4]울산!$R$85</f>
        <v>100490.72045502423</v>
      </c>
      <c r="N23" s="152">
        <f t="shared" si="2"/>
        <v>-3138.7795449757687</v>
      </c>
      <c r="O23" s="349">
        <f>+[4]울산!$K$86/1000</f>
        <v>-29.799572999999949</v>
      </c>
      <c r="P23" s="351">
        <f>+[4]울산!$Q$50</f>
        <v>89101.280532668534</v>
      </c>
      <c r="Q23" s="350">
        <f>+[4]울산!$R$50</f>
        <v>90987.685696229193</v>
      </c>
      <c r="R23" s="152">
        <f t="shared" si="3"/>
        <v>1886.4051635606593</v>
      </c>
      <c r="S23" s="349">
        <f>+[4]울산!$L$56/1000</f>
        <v>-17.909548072845048</v>
      </c>
      <c r="T23" s="351">
        <f>+([4]울산!$H$80+[4]울산!$H$85)/1000</f>
        <v>51.251299833060507</v>
      </c>
      <c r="U23" s="350">
        <f>+([4]울산!$I$80+[4]울산!$I$85)/1000</f>
        <v>44.170538550000003</v>
      </c>
      <c r="V23" s="152">
        <f t="shared" si="4"/>
        <v>-7.0807612830605038</v>
      </c>
      <c r="W23" s="349">
        <f>+([4]울산!$L$80+[4]울산!$L$85)/1000</f>
        <v>7.0807612830605002</v>
      </c>
      <c r="Y23" s="6">
        <f t="shared" si="5"/>
        <v>1.4210854715202004E-13</v>
      </c>
      <c r="Z23" s="6">
        <f t="shared" si="6"/>
        <v>1.4210854715202004E-7</v>
      </c>
    </row>
    <row r="24" spans="4:26" ht="24" customHeight="1" x14ac:dyDescent="0.3">
      <c r="D24" s="360" t="s">
        <v>27</v>
      </c>
      <c r="E24" s="358">
        <f>+[4]아산!$H$86/1000</f>
        <v>300.49569633581746</v>
      </c>
      <c r="F24" s="357">
        <f>+[4]아산!$I$86/1000</f>
        <v>29.798173999999875</v>
      </c>
      <c r="G24" s="359">
        <f t="shared" si="0"/>
        <v>-270.69752233581755</v>
      </c>
      <c r="H24" s="358">
        <f>+[4]아산!$T$5/1000</f>
        <v>21</v>
      </c>
      <c r="I24" s="357">
        <f>+[4]아산!$U$5/1000</f>
        <v>17.800999999999998</v>
      </c>
      <c r="J24" s="356">
        <f t="shared" si="1"/>
        <v>-3.1990000000000016</v>
      </c>
      <c r="K24" s="355">
        <f>+[4]아산!$M$86/1000</f>
        <v>-58.143541763193262</v>
      </c>
      <c r="L24" s="358">
        <f>+[4]아산!$Q$85</f>
        <v>103000</v>
      </c>
      <c r="M24" s="357">
        <f>+[4]아산!$R$85</f>
        <v>92894.307005224415</v>
      </c>
      <c r="N24" s="356">
        <f t="shared" si="2"/>
        <v>-10105.692994775585</v>
      </c>
      <c r="O24" s="355">
        <f>+[4]아산!$K$86/1000</f>
        <v>-179.89144100000016</v>
      </c>
      <c r="P24" s="358">
        <f>+[4]아산!$Q$50</f>
        <v>84824.463343797048</v>
      </c>
      <c r="Q24" s="357">
        <f>+[4]아산!$R$50</f>
        <v>86586.78813226294</v>
      </c>
      <c r="R24" s="356">
        <f t="shared" si="3"/>
        <v>1762.3247884658922</v>
      </c>
      <c r="S24" s="355">
        <f>+[4]아산!$L$56/1000</f>
        <v>-31.427740587068794</v>
      </c>
      <c r="T24" s="358">
        <f>+([4]아산!$H$80+[4]아산!$H$85)/1000</f>
        <v>81.190573444444439</v>
      </c>
      <c r="U24" s="357">
        <f>+([4]아산!$I$80+[4]아산!$I$85)/1000</f>
        <v>82.425372429999982</v>
      </c>
      <c r="V24" s="356">
        <f t="shared" si="4"/>
        <v>1.2347989855555426</v>
      </c>
      <c r="W24" s="355">
        <f>+([4]아산!$L$80+[4]아산!$L$85)/1000</f>
        <v>-1.2347989855555548</v>
      </c>
      <c r="Y24" s="6">
        <f t="shared" si="5"/>
        <v>2.2182256032010628E-13</v>
      </c>
      <c r="Z24" s="6">
        <f t="shared" si="6"/>
        <v>2.2182256032010628E-7</v>
      </c>
    </row>
    <row r="25" spans="4:26" ht="24" customHeight="1" x14ac:dyDescent="0.3">
      <c r="D25" s="354" t="s">
        <v>129</v>
      </c>
      <c r="E25" s="351">
        <f>+[4]전주!$H$86/1000</f>
        <v>183.6795547047679</v>
      </c>
      <c r="F25" s="350">
        <f>+[4]전주!$I$86/1000</f>
        <v>23.432485000000035</v>
      </c>
      <c r="G25" s="352">
        <f t="shared" si="0"/>
        <v>-160.24706970476785</v>
      </c>
      <c r="H25" s="351">
        <f>+[4]전주!$T$5/1000</f>
        <v>12</v>
      </c>
      <c r="I25" s="350">
        <f>+[4]전주!$U$5/1000</f>
        <v>7.6239999999999997</v>
      </c>
      <c r="J25" s="152">
        <f t="shared" si="1"/>
        <v>-4.3760000000000003</v>
      </c>
      <c r="K25" s="349">
        <f>+[4]전주!$M$86/1000</f>
        <v>-85.351186018634991</v>
      </c>
      <c r="L25" s="351">
        <f>+[4]전주!$Q$85</f>
        <v>100384.04</v>
      </c>
      <c r="M25" s="350">
        <f>+[4]전주!$R$85</f>
        <v>98660.897429171047</v>
      </c>
      <c r="N25" s="152">
        <f t="shared" si="2"/>
        <v>-1723.1425708289462</v>
      </c>
      <c r="O25" s="349">
        <f>+[4]전주!$K$86/1000</f>
        <v>-13.137238959999886</v>
      </c>
      <c r="P25" s="351">
        <f>+[4]전주!$Q$50</f>
        <v>80879.655626454522</v>
      </c>
      <c r="Q25" s="350">
        <f>+[4]전주!$R$50</f>
        <v>88864.561253934924</v>
      </c>
      <c r="R25" s="152">
        <f t="shared" si="3"/>
        <v>7984.9056274804025</v>
      </c>
      <c r="S25" s="349">
        <f>+[4]전주!$L$56/1000</f>
        <v>-60.876924013910759</v>
      </c>
      <c r="T25" s="351">
        <f>+([4]전주!$H$80+[4]전주!$H$85)/1000</f>
        <v>50.373057777777781</v>
      </c>
      <c r="U25" s="350">
        <f>+([4]전주!$I$80+[4]전주!$I$85)/1000</f>
        <v>51.254778490000007</v>
      </c>
      <c r="V25" s="152">
        <f t="shared" si="4"/>
        <v>0.8817207122222257</v>
      </c>
      <c r="W25" s="349">
        <f>+([4]전주!$L$80+[4]전주!$L$85)/1000</f>
        <v>-0.88172071222222981</v>
      </c>
      <c r="Y25" s="6">
        <f t="shared" si="5"/>
        <v>1.1213252548714081E-14</v>
      </c>
      <c r="Z25" s="6">
        <f t="shared" si="6"/>
        <v>1.1213252548714081E-8</v>
      </c>
    </row>
    <row r="26" spans="4:26" ht="24" customHeight="1" x14ac:dyDescent="0.3">
      <c r="D26" s="353" t="s">
        <v>128</v>
      </c>
      <c r="E26" s="351">
        <f>+[4]군산!$H$86/1000</f>
        <v>233.40875686623818</v>
      </c>
      <c r="F26" s="350">
        <f>+[4]군산!$I$86/1000</f>
        <v>89.004880999999997</v>
      </c>
      <c r="G26" s="352">
        <f t="shared" si="0"/>
        <v>-144.4038758662382</v>
      </c>
      <c r="H26" s="351">
        <f>+[4]군산!$T$5/1000</f>
        <v>8</v>
      </c>
      <c r="I26" s="350">
        <f>+[4]군산!$U$5/1000</f>
        <v>4.4109999999999996</v>
      </c>
      <c r="J26" s="152">
        <f t="shared" si="1"/>
        <v>-3.5890000000000004</v>
      </c>
      <c r="K26" s="349">
        <f>+[4]군산!$M$86/1000</f>
        <v>-114.82614592082443</v>
      </c>
      <c r="L26" s="351">
        <f>+[4]군산!$Q$85</f>
        <v>111404.61250000002</v>
      </c>
      <c r="M26" s="350">
        <f>+[4]군산!$R$85</f>
        <v>109907.44615733394</v>
      </c>
      <c r="N26" s="152">
        <f t="shared" si="2"/>
        <v>-1497.1663426660816</v>
      </c>
      <c r="O26" s="349">
        <f>+[4]군산!$K$86/1000</f>
        <v>-6.6040007375000869</v>
      </c>
      <c r="P26" s="351">
        <f>+[4]군산!$Q$50</f>
        <v>79410.701683386913</v>
      </c>
      <c r="Q26" s="350">
        <f>+[4]군산!$R$50</f>
        <v>84715.622534572642</v>
      </c>
      <c r="R26" s="152">
        <f t="shared" si="3"/>
        <v>5304.9208511857287</v>
      </c>
      <c r="S26" s="349">
        <f>+[4]군산!$L$56/1000</f>
        <v>-23.400007024580351</v>
      </c>
      <c r="T26" s="351">
        <f>+([4]군산!$H$80+[4]군산!$H$85)/1000</f>
        <v>22.54252966666667</v>
      </c>
      <c r="U26" s="350">
        <f>+([4]군산!$I$80+[4]군산!$I$85)/1000</f>
        <v>22.116251850000001</v>
      </c>
      <c r="V26" s="152">
        <f t="shared" si="4"/>
        <v>-0.4262778166666692</v>
      </c>
      <c r="W26" s="349">
        <f>+([4]군산!$L$80+[4]군산!$L$85)/1000</f>
        <v>0.42627781666666875</v>
      </c>
      <c r="Y26" s="6">
        <f t="shared" si="5"/>
        <v>3.9968028886505635E-15</v>
      </c>
      <c r="Z26" s="6">
        <f t="shared" si="6"/>
        <v>3.9968028886505635E-9</v>
      </c>
    </row>
    <row r="27" spans="4:26" ht="24" customHeight="1" x14ac:dyDescent="0.3">
      <c r="D27" s="353" t="s">
        <v>127</v>
      </c>
      <c r="E27" s="351">
        <f>+[4]원주!$H$86/1000</f>
        <v>109.87534141562615</v>
      </c>
      <c r="F27" s="350">
        <f>+[4]원주!$I$86/1000</f>
        <v>2.1702869999999677</v>
      </c>
      <c r="G27" s="352">
        <f t="shared" si="0"/>
        <v>-107.70505441562618</v>
      </c>
      <c r="H27" s="351">
        <f>+[4]원주!$T$5/1000</f>
        <v>5</v>
      </c>
      <c r="I27" s="350">
        <f>+[4]원주!$U$5/1000</f>
        <v>2.0750000000000002</v>
      </c>
      <c r="J27" s="152">
        <f t="shared" si="1"/>
        <v>-2.9249999999999998</v>
      </c>
      <c r="K27" s="349">
        <f>+[4]원주!$M$86/1000</f>
        <v>-74.51302902814129</v>
      </c>
      <c r="L27" s="351">
        <f>+[4]원주!$Q$85</f>
        <v>112000</v>
      </c>
      <c r="M27" s="350">
        <f>+[4]원주!$R$85</f>
        <v>112542.31325301203</v>
      </c>
      <c r="N27" s="152">
        <f t="shared" si="2"/>
        <v>542.31325301203469</v>
      </c>
      <c r="O27" s="349">
        <f>+[4]원주!$K$86/1000</f>
        <v>1.125299999999972</v>
      </c>
      <c r="P27" s="351">
        <f>+[4]원주!$Q$50</f>
        <v>86525.460161319235</v>
      </c>
      <c r="Q27" s="350">
        <f>+[4]원주!$R$50</f>
        <v>102888.94843373494</v>
      </c>
      <c r="R27" s="152">
        <f t="shared" si="3"/>
        <v>16363.488272415707</v>
      </c>
      <c r="S27" s="349">
        <f>+[4]원주!$L$56/1000</f>
        <v>-33.954237025262614</v>
      </c>
      <c r="T27" s="351">
        <f>+([4]원주!$H$80+[4]원주!$H$85)/1000</f>
        <v>17.497357777777779</v>
      </c>
      <c r="U27" s="350">
        <f>+([4]원주!$I$80+[4]원주!$I$85)/1000</f>
        <v>17.860446140000001</v>
      </c>
      <c r="V27" s="152">
        <f t="shared" si="4"/>
        <v>0.36308836222222141</v>
      </c>
      <c r="W27" s="349">
        <f>+([4]원주!$L$80+[4]원주!$L$85)/1000</f>
        <v>-0.36308836222222224</v>
      </c>
      <c r="Y27" s="6">
        <f t="shared" si="5"/>
        <v>-2.758904216193514E-14</v>
      </c>
      <c r="Z27" s="6">
        <f t="shared" si="6"/>
        <v>-2.758904216193514E-8</v>
      </c>
    </row>
    <row r="28" spans="4:26" ht="24" customHeight="1" thickBot="1" x14ac:dyDescent="0.35">
      <c r="D28" s="348" t="s">
        <v>126</v>
      </c>
      <c r="E28" s="346">
        <f>+[4]제주!$H$86/1000</f>
        <v>192.65373003306746</v>
      </c>
      <c r="F28" s="345">
        <f>+[4]제주!$I$86/1000</f>
        <v>30.210348000000071</v>
      </c>
      <c r="G28" s="347">
        <f t="shared" si="0"/>
        <v>-162.44338203306739</v>
      </c>
      <c r="H28" s="346">
        <f>+[4]제주!$T$5/1000</f>
        <v>9</v>
      </c>
      <c r="I28" s="345">
        <f>+[4]제주!$U$5/1000</f>
        <v>4.2560000000000002</v>
      </c>
      <c r="J28" s="344">
        <f t="shared" si="1"/>
        <v>-4.7439999999999998</v>
      </c>
      <c r="K28" s="343">
        <f>+[4]제주!$M$86/1000</f>
        <v>-116.01253243254288</v>
      </c>
      <c r="L28" s="346">
        <f>+[4]제주!$Q$85</f>
        <v>122995.55555555556</v>
      </c>
      <c r="M28" s="345">
        <f>+[4]제주!$R$85</f>
        <v>124625.73566729324</v>
      </c>
      <c r="N28" s="344">
        <f t="shared" si="2"/>
        <v>1630.1801117376745</v>
      </c>
      <c r="O28" s="343">
        <f>+[4]제주!$K$86/1000</f>
        <v>6.9380465555555428</v>
      </c>
      <c r="P28" s="346">
        <f>+[4]제주!$Q$50</f>
        <v>98540.974520027972</v>
      </c>
      <c r="Q28" s="345">
        <f>+[4]제주!$R$50</f>
        <v>110884.50516917293</v>
      </c>
      <c r="R28" s="344">
        <f t="shared" si="3"/>
        <v>12343.530649144959</v>
      </c>
      <c r="S28" s="343">
        <f>+[4]제주!$L$56/1000</f>
        <v>-52.534071382760928</v>
      </c>
      <c r="T28" s="346">
        <f>+([4]제주!$H$80+[4]제주!$H$85)/1000</f>
        <v>27.437499286680765</v>
      </c>
      <c r="U28" s="345">
        <f>+([4]제주!$I$80+[4]제주!$I$85)/1000</f>
        <v>28.272324059999999</v>
      </c>
      <c r="V28" s="344">
        <f t="shared" si="4"/>
        <v>0.83482477331923377</v>
      </c>
      <c r="W28" s="343">
        <f>+([4]제주!$L$80+[4]제주!$L$85)/1000</f>
        <v>-0.8348247733192381</v>
      </c>
      <c r="Y28" s="6">
        <f t="shared" si="5"/>
        <v>1.1091128016005314E-13</v>
      </c>
      <c r="Z28" s="6">
        <f t="shared" si="6"/>
        <v>1.1091128016005314E-7</v>
      </c>
    </row>
    <row r="29" spans="4:26" ht="24" customHeight="1" x14ac:dyDescent="0.3">
      <c r="Y29" s="480"/>
    </row>
    <row r="30" spans="4:26" ht="24" customHeight="1" x14ac:dyDescent="0.3">
      <c r="Y30" s="480"/>
    </row>
    <row r="31" spans="4:26" ht="24" customHeight="1" x14ac:dyDescent="0.3">
      <c r="Y31" s="480"/>
    </row>
    <row r="32" spans="4:26" ht="21.95" customHeight="1" x14ac:dyDescent="0.3">
      <c r="F32" s="342"/>
      <c r="Y32" s="480"/>
    </row>
    <row r="33" spans="25:25" ht="21.95" customHeight="1" x14ac:dyDescent="0.3"/>
    <row r="34" spans="25:25" ht="21.95" customHeight="1" x14ac:dyDescent="0.3">
      <c r="Y34" s="481"/>
    </row>
    <row r="35" spans="25:25" ht="21.95" customHeight="1" x14ac:dyDescent="0.3">
      <c r="Y35" s="6" t="s">
        <v>161</v>
      </c>
    </row>
    <row r="36" spans="25:25" ht="21.95" customHeight="1" x14ac:dyDescent="0.3"/>
    <row r="37" spans="25:25" ht="21.95" customHeight="1" x14ac:dyDescent="0.3"/>
    <row r="38" spans="25:25" ht="21.95" customHeight="1" x14ac:dyDescent="0.3"/>
    <row r="39" spans="25:25" ht="21.95" customHeight="1" x14ac:dyDescent="0.3"/>
    <row r="40" spans="25:25" ht="21.95" customHeight="1" x14ac:dyDescent="0.3"/>
    <row r="41" spans="25:25" ht="21.95" customHeight="1" x14ac:dyDescent="0.3"/>
    <row r="42" spans="25:25" ht="21.95" customHeight="1" x14ac:dyDescent="0.3"/>
    <row r="43" spans="25:25" ht="21.95" customHeight="1" x14ac:dyDescent="0.3"/>
    <row r="44" spans="25:25" ht="21.95" customHeight="1" x14ac:dyDescent="0.3"/>
    <row r="45" spans="25:25" ht="21.95" customHeight="1" x14ac:dyDescent="0.3"/>
    <row r="46" spans="25:25" ht="21.95" customHeight="1" x14ac:dyDescent="0.3"/>
    <row r="47" spans="25:25" ht="21.95" customHeight="1" x14ac:dyDescent="0.3"/>
    <row r="48" spans="25:25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9EA2-7FA8-4EF3-8BE8-88EBED6DB771}">
  <sheetPr>
    <tabColor theme="1" tint="0.34998626667073579"/>
    <pageSetUpPr fitToPage="1"/>
  </sheetPr>
  <dimension ref="A1:V52"/>
  <sheetViews>
    <sheetView showGridLines="0" showZeros="0" view="pageBreakPreview" zoomScale="60" zoomScaleNormal="85" workbookViewId="0">
      <pane xSplit="4" ySplit="7" topLeftCell="E8" activePane="bottomRight" state="frozen"/>
      <selection activeCell="M16" sqref="M16"/>
      <selection pane="topRight" activeCell="M16" sqref="M16"/>
      <selection pane="bottomLeft" activeCell="M16" sqref="M16"/>
      <selection pane="bottomRight" activeCell="AD23" sqref="AD23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205</v>
      </c>
      <c r="F4" s="398"/>
      <c r="I4" s="398"/>
    </row>
    <row r="5" spans="1:22" ht="21.95" customHeight="1" x14ac:dyDescent="0.3">
      <c r="V5" s="397" t="s">
        <v>146</v>
      </c>
    </row>
    <row r="6" spans="1:22" ht="24" customHeight="1" thickBot="1" x14ac:dyDescent="0.35">
      <c r="A6" s="6" t="s">
        <v>139</v>
      </c>
      <c r="D6" s="650" t="s">
        <v>11</v>
      </c>
      <c r="E6" s="396" t="s">
        <v>53</v>
      </c>
      <c r="F6" s="395"/>
      <c r="G6" s="394"/>
      <c r="H6" s="396" t="s">
        <v>145</v>
      </c>
      <c r="I6" s="395"/>
      <c r="J6" s="394"/>
      <c r="K6" s="396" t="s">
        <v>144</v>
      </c>
      <c r="L6" s="395"/>
      <c r="M6" s="394"/>
      <c r="N6" s="396" t="s">
        <v>143</v>
      </c>
      <c r="O6" s="395"/>
      <c r="P6" s="394"/>
      <c r="Q6" s="396" t="s">
        <v>142</v>
      </c>
      <c r="R6" s="395"/>
      <c r="S6" s="394"/>
      <c r="T6" s="396" t="s">
        <v>54</v>
      </c>
      <c r="U6" s="395"/>
      <c r="V6" s="394"/>
    </row>
    <row r="7" spans="1:22" ht="24" customHeight="1" x14ac:dyDescent="0.3">
      <c r="D7" s="651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386">
        <f>+[4]합계!$Q$85</f>
        <v>101376.55732101267</v>
      </c>
      <c r="F8" s="385">
        <f>+[4]합계!$R$85</f>
        <v>97142.344161233937</v>
      </c>
      <c r="G8" s="416">
        <f t="shared" ref="G8:G28" si="0">+F8-E8</f>
        <v>-4234.2131597787375</v>
      </c>
      <c r="H8" s="386">
        <f>+[4]합계!$Q$20</f>
        <v>60092.182574281265</v>
      </c>
      <c r="I8" s="385">
        <f>+[4]합계!$R$20</f>
        <v>59396.547585892375</v>
      </c>
      <c r="J8" s="416">
        <f t="shared" ref="J8:J28" si="1">+I8-H8</f>
        <v>-695.63498838889063</v>
      </c>
      <c r="K8" s="386">
        <f>+[4]합계!$Q$21</f>
        <v>18719.280300540977</v>
      </c>
      <c r="L8" s="385">
        <f>+[4]합계!$R$21</f>
        <v>19546.196541562153</v>
      </c>
      <c r="M8" s="416">
        <f t="shared" ref="M8:M28" si="2">+L8-K8</f>
        <v>826.91624102117567</v>
      </c>
      <c r="N8" s="386">
        <f>+[4]합계!$Q$22</f>
        <v>218.70165745856355</v>
      </c>
      <c r="O8" s="385">
        <f>+[4]합계!$R$22</f>
        <v>222.44923159011407</v>
      </c>
      <c r="P8" s="416">
        <f t="shared" ref="P8:P28" si="3">+O8-N8</f>
        <v>3.7475741315505218</v>
      </c>
      <c r="Q8" s="386">
        <f t="shared" ref="Q8:Q28" si="4">H8+K8+N8</f>
        <v>79030.164532280804</v>
      </c>
      <c r="R8" s="385">
        <f t="shared" ref="R8:R28" si="5">I8+L8+O8</f>
        <v>79165.193359044642</v>
      </c>
      <c r="S8" s="416">
        <f t="shared" ref="S8:S28" si="6">+R8-Q8</f>
        <v>135.02882676383888</v>
      </c>
      <c r="T8" s="386">
        <f t="shared" ref="T8:T28" si="7">+E8-Q8</f>
        <v>22346.392788731871</v>
      </c>
      <c r="U8" s="385">
        <f t="shared" ref="U8:U28" si="8">+F8-R8</f>
        <v>17977.150802189295</v>
      </c>
      <c r="V8" s="416">
        <f t="shared" ref="V8:V28" si="9">+U8-T8</f>
        <v>-4369.2419865425763</v>
      </c>
    </row>
    <row r="9" spans="1:22" ht="24" customHeight="1" x14ac:dyDescent="0.3">
      <c r="D9" s="382" t="s">
        <v>16</v>
      </c>
      <c r="E9" s="381">
        <f>+[4]수도권!$Q$85</f>
        <v>99005.917153538612</v>
      </c>
      <c r="F9" s="380">
        <f>+[4]수도권!$R$85</f>
        <v>95390.139037595131</v>
      </c>
      <c r="G9" s="415">
        <f t="shared" si="0"/>
        <v>-3615.7781159434817</v>
      </c>
      <c r="H9" s="381">
        <f>+[4]수도권!$Q$20</f>
        <v>61451.813409869006</v>
      </c>
      <c r="I9" s="380">
        <f>+[4]수도권!$R$20</f>
        <v>60839.453974077012</v>
      </c>
      <c r="J9" s="415">
        <f t="shared" si="1"/>
        <v>-612.35943579199375</v>
      </c>
      <c r="K9" s="381">
        <f>+[4]수도권!$Q$21</f>
        <v>18693.674330425467</v>
      </c>
      <c r="L9" s="380">
        <f>+[4]수도권!$R$21</f>
        <v>19295.150006577951</v>
      </c>
      <c r="M9" s="415">
        <f t="shared" si="2"/>
        <v>601.47567615248408</v>
      </c>
      <c r="N9" s="381">
        <f>+[4]수도권!$Q$22</f>
        <v>245.75980392156862</v>
      </c>
      <c r="O9" s="380">
        <f>+[4]수도권!$R$22</f>
        <v>242.99585588564364</v>
      </c>
      <c r="P9" s="415">
        <f t="shared" si="3"/>
        <v>-2.7639480359249831</v>
      </c>
      <c r="Q9" s="381">
        <f t="shared" si="4"/>
        <v>80391.247544216036</v>
      </c>
      <c r="R9" s="380">
        <f t="shared" si="5"/>
        <v>80377.599836540612</v>
      </c>
      <c r="S9" s="415">
        <f t="shared" si="6"/>
        <v>-13.64770767542359</v>
      </c>
      <c r="T9" s="381">
        <f t="shared" si="7"/>
        <v>18614.669609322576</v>
      </c>
      <c r="U9" s="380">
        <f t="shared" si="8"/>
        <v>15012.539201054518</v>
      </c>
      <c r="V9" s="415">
        <f t="shared" si="9"/>
        <v>-3602.1304082680581</v>
      </c>
    </row>
    <row r="10" spans="1:22" ht="24" customHeight="1" x14ac:dyDescent="0.3">
      <c r="D10" s="377" t="s">
        <v>17</v>
      </c>
      <c r="E10" s="376">
        <f>+[4]영남권!$Q$85</f>
        <v>100430.7981047511</v>
      </c>
      <c r="F10" s="375">
        <f>+[4]영남권!$R$85</f>
        <v>96920.99392319686</v>
      </c>
      <c r="G10" s="414">
        <f t="shared" si="0"/>
        <v>-3509.8041815542383</v>
      </c>
      <c r="H10" s="376">
        <f>+[4]영남권!$Q$20</f>
        <v>58998.594569562571</v>
      </c>
      <c r="I10" s="375">
        <f>+[4]영남권!$R$20</f>
        <v>58360.213243475555</v>
      </c>
      <c r="J10" s="414">
        <f t="shared" si="1"/>
        <v>-638.38132608701562</v>
      </c>
      <c r="K10" s="376">
        <f>+[4]영남권!$Q$21</f>
        <v>19327.828037760479</v>
      </c>
      <c r="L10" s="375">
        <f>+[4]영남권!$R$21</f>
        <v>19948.124651300146</v>
      </c>
      <c r="M10" s="414">
        <f t="shared" si="2"/>
        <v>620.29661353966731</v>
      </c>
      <c r="N10" s="376">
        <f>+[4]영남권!$Q$22</f>
        <v>213.62445414847161</v>
      </c>
      <c r="O10" s="375">
        <f>+[4]영남권!$R$22</f>
        <v>190.89474933160369</v>
      </c>
      <c r="P10" s="414">
        <f t="shared" si="3"/>
        <v>-22.729704816867923</v>
      </c>
      <c r="Q10" s="376">
        <f t="shared" si="4"/>
        <v>78540.04706147153</v>
      </c>
      <c r="R10" s="375">
        <f t="shared" si="5"/>
        <v>78499.232644107309</v>
      </c>
      <c r="S10" s="414">
        <f t="shared" si="6"/>
        <v>-40.814417364221299</v>
      </c>
      <c r="T10" s="376">
        <f t="shared" si="7"/>
        <v>21890.751043279568</v>
      </c>
      <c r="U10" s="375">
        <f t="shared" si="8"/>
        <v>18421.761279089551</v>
      </c>
      <c r="V10" s="414">
        <f t="shared" si="9"/>
        <v>-3468.989764190017</v>
      </c>
    </row>
    <row r="11" spans="1:22" ht="24" customHeight="1" x14ac:dyDescent="0.3">
      <c r="D11" s="372" t="s">
        <v>132</v>
      </c>
      <c r="E11" s="371">
        <f>+[4]중부권!$Q$85</f>
        <v>107741.916</v>
      </c>
      <c r="F11" s="370">
        <f>+[4]중부권!$R$85</f>
        <v>101046.1585699671</v>
      </c>
      <c r="G11" s="413">
        <f t="shared" si="0"/>
        <v>-6695.7574300328997</v>
      </c>
      <c r="H11" s="371">
        <f>+[4]중부권!$Q$20</f>
        <v>59847.336779923819</v>
      </c>
      <c r="I11" s="370">
        <f>+[4]중부권!$R$20</f>
        <v>59372.037894911409</v>
      </c>
      <c r="J11" s="413">
        <f t="shared" si="1"/>
        <v>-475.2988850124093</v>
      </c>
      <c r="K11" s="371">
        <f>+[4]중부권!$Q$21</f>
        <v>17499.881992180068</v>
      </c>
      <c r="L11" s="370">
        <f>+[4]중부권!$R$21</f>
        <v>18969.648691229722</v>
      </c>
      <c r="M11" s="413">
        <f t="shared" si="2"/>
        <v>1469.7666990496546</v>
      </c>
      <c r="N11" s="371">
        <f>+[4]중부권!$Q$22</f>
        <v>179.09090909090907</v>
      </c>
      <c r="O11" s="370">
        <f>+[4]중부권!$R$22</f>
        <v>266.12203211807957</v>
      </c>
      <c r="P11" s="413">
        <f t="shared" si="3"/>
        <v>87.031123027170509</v>
      </c>
      <c r="Q11" s="371">
        <f t="shared" si="4"/>
        <v>77526.309681194805</v>
      </c>
      <c r="R11" s="370">
        <f t="shared" si="5"/>
        <v>78607.808618259209</v>
      </c>
      <c r="S11" s="413">
        <f t="shared" si="6"/>
        <v>1081.4989370644034</v>
      </c>
      <c r="T11" s="371">
        <f t="shared" si="7"/>
        <v>30215.606318805192</v>
      </c>
      <c r="U11" s="370">
        <f t="shared" si="8"/>
        <v>22438.349951707889</v>
      </c>
      <c r="V11" s="413">
        <f t="shared" si="9"/>
        <v>-7777.2563670973032</v>
      </c>
    </row>
    <row r="12" spans="1:22" ht="24" customHeight="1" x14ac:dyDescent="0.3">
      <c r="D12" s="412" t="s">
        <v>18</v>
      </c>
      <c r="E12" s="411">
        <f>+[4]안양!$Q$85</f>
        <v>101256.98725000001</v>
      </c>
      <c r="F12" s="410">
        <f>+[4]안양!$R$85</f>
        <v>96040.793168152144</v>
      </c>
      <c r="G12" s="409">
        <f t="shared" si="0"/>
        <v>-5216.1940818478615</v>
      </c>
      <c r="H12" s="411">
        <f>+[4]안양!$Q$20</f>
        <v>62913.305806451615</v>
      </c>
      <c r="I12" s="410">
        <f>+[4]안양!$R$20</f>
        <v>60909.957898325309</v>
      </c>
      <c r="J12" s="409">
        <f t="shared" si="1"/>
        <v>-2003.3479081263067</v>
      </c>
      <c r="K12" s="411">
        <f>+[4]안양!$Q$21</f>
        <v>17935.455315789473</v>
      </c>
      <c r="L12" s="410">
        <f>+[4]안양!$R$21</f>
        <v>18767.922785187711</v>
      </c>
      <c r="M12" s="409">
        <f t="shared" si="2"/>
        <v>832.46746939823788</v>
      </c>
      <c r="N12" s="411">
        <f>+[4]안양!$Q$22</f>
        <v>187.5</v>
      </c>
      <c r="O12" s="410">
        <f>+[4]안양!$R$22</f>
        <v>209.22849107256999</v>
      </c>
      <c r="P12" s="409">
        <f t="shared" si="3"/>
        <v>21.728491072569994</v>
      </c>
      <c r="Q12" s="411">
        <f t="shared" si="4"/>
        <v>81036.261122241092</v>
      </c>
      <c r="R12" s="410">
        <f t="shared" si="5"/>
        <v>79887.109174585596</v>
      </c>
      <c r="S12" s="409">
        <f t="shared" si="6"/>
        <v>-1149.1519476554968</v>
      </c>
      <c r="T12" s="411">
        <f t="shared" si="7"/>
        <v>20220.726127758913</v>
      </c>
      <c r="U12" s="410">
        <f t="shared" si="8"/>
        <v>16153.683993566548</v>
      </c>
      <c r="V12" s="409">
        <f t="shared" si="9"/>
        <v>-4067.0421341923648</v>
      </c>
    </row>
    <row r="13" spans="1:22" ht="24" customHeight="1" x14ac:dyDescent="0.3">
      <c r="D13" s="353" t="s">
        <v>19</v>
      </c>
      <c r="E13" s="404">
        <f>+[4]인천!$Q$85</f>
        <v>99206.203956189958</v>
      </c>
      <c r="F13" s="403">
        <f>+[4]인천!$R$85</f>
        <v>94256.418497767663</v>
      </c>
      <c r="G13" s="402">
        <f t="shared" si="0"/>
        <v>-4949.7854584222951</v>
      </c>
      <c r="H13" s="404">
        <f>+[4]인천!$Q$20</f>
        <v>63512.901099519484</v>
      </c>
      <c r="I13" s="403">
        <f>+[4]인천!$R$20</f>
        <v>63146.046417009369</v>
      </c>
      <c r="J13" s="402">
        <f t="shared" si="1"/>
        <v>-366.8546825101148</v>
      </c>
      <c r="K13" s="404">
        <f>+[4]인천!$Q$21</f>
        <v>18372.165457309013</v>
      </c>
      <c r="L13" s="403">
        <f>+[4]인천!$R$21</f>
        <v>19557.091827806456</v>
      </c>
      <c r="M13" s="402">
        <f t="shared" si="2"/>
        <v>1184.9263704974437</v>
      </c>
      <c r="N13" s="404">
        <f>+[4]인천!$Q$22</f>
        <v>461.53846153846155</v>
      </c>
      <c r="O13" s="403">
        <f>+[4]인천!$R$22</f>
        <v>377.94772071047339</v>
      </c>
      <c r="P13" s="402">
        <f t="shared" si="3"/>
        <v>-83.590740827988157</v>
      </c>
      <c r="Q13" s="404">
        <f t="shared" si="4"/>
        <v>82346.605018366972</v>
      </c>
      <c r="R13" s="403">
        <f t="shared" si="5"/>
        <v>83081.085965526305</v>
      </c>
      <c r="S13" s="402">
        <f t="shared" si="6"/>
        <v>734.48094715933257</v>
      </c>
      <c r="T13" s="404">
        <f t="shared" si="7"/>
        <v>16859.598937822986</v>
      </c>
      <c r="U13" s="403">
        <f t="shared" si="8"/>
        <v>11175.332532241358</v>
      </c>
      <c r="V13" s="402">
        <f t="shared" si="9"/>
        <v>-5684.2664055816276</v>
      </c>
    </row>
    <row r="14" spans="1:22" ht="24" customHeight="1" x14ac:dyDescent="0.3">
      <c r="D14" s="353" t="s">
        <v>20</v>
      </c>
      <c r="E14" s="404">
        <f>+[4]파주!$Q$85</f>
        <v>97727.982581818185</v>
      </c>
      <c r="F14" s="403">
        <f>+[4]파주!$R$85</f>
        <v>95316.059089826071</v>
      </c>
      <c r="G14" s="402">
        <f t="shared" si="0"/>
        <v>-2411.9234919921146</v>
      </c>
      <c r="H14" s="404">
        <f>+[4]파주!$Q$20</f>
        <v>59618.753815249271</v>
      </c>
      <c r="I14" s="403">
        <f>+[4]파주!$R$20</f>
        <v>58478.209811859975</v>
      </c>
      <c r="J14" s="402">
        <f t="shared" si="1"/>
        <v>-1140.5440033892955</v>
      </c>
      <c r="K14" s="404">
        <f>+[4]파주!$Q$21</f>
        <v>20579.366618310763</v>
      </c>
      <c r="L14" s="403">
        <f>+[4]파주!$R$21</f>
        <v>19750.009208541716</v>
      </c>
      <c r="M14" s="402">
        <f t="shared" si="2"/>
        <v>-829.35740976904708</v>
      </c>
      <c r="N14" s="404">
        <f>+[4]파주!$Q$22</f>
        <v>211.70454545454544</v>
      </c>
      <c r="O14" s="403">
        <f>+[4]파주!$R$22</f>
        <v>200.34420893863617</v>
      </c>
      <c r="P14" s="402">
        <f t="shared" si="3"/>
        <v>-11.360336515909268</v>
      </c>
      <c r="Q14" s="404">
        <f t="shared" si="4"/>
        <v>80409.824979014578</v>
      </c>
      <c r="R14" s="403">
        <f t="shared" si="5"/>
        <v>78428.563229340332</v>
      </c>
      <c r="S14" s="402">
        <f t="shared" si="6"/>
        <v>-1981.2617496742459</v>
      </c>
      <c r="T14" s="404">
        <f t="shared" si="7"/>
        <v>17318.157602803607</v>
      </c>
      <c r="U14" s="403">
        <f t="shared" si="8"/>
        <v>16887.495860485738</v>
      </c>
      <c r="V14" s="402">
        <f t="shared" si="9"/>
        <v>-430.66174231786863</v>
      </c>
    </row>
    <row r="15" spans="1:22" ht="24" customHeight="1" x14ac:dyDescent="0.3">
      <c r="D15" s="353" t="s">
        <v>108</v>
      </c>
      <c r="E15" s="404">
        <f>+[4]김포!$Q$85</f>
        <v>94210.510000000009</v>
      </c>
      <c r="F15" s="403">
        <f>+[4]김포!$R$85</f>
        <v>96573.794722463077</v>
      </c>
      <c r="G15" s="402">
        <f t="shared" si="0"/>
        <v>2363.2847224630677</v>
      </c>
      <c r="H15" s="404">
        <f>+[4]김포!$Q$20</f>
        <v>56328.908787541717</v>
      </c>
      <c r="I15" s="403">
        <f>+[4]김포!$R$20</f>
        <v>58323.807739126169</v>
      </c>
      <c r="J15" s="402">
        <f t="shared" si="1"/>
        <v>1994.8989515844514</v>
      </c>
      <c r="K15" s="404">
        <f>+[4]김포!$Q$21</f>
        <v>18493.871541353383</v>
      </c>
      <c r="L15" s="403">
        <f>+[4]김포!$R$21</f>
        <v>19362.050770399659</v>
      </c>
      <c r="M15" s="402">
        <f t="shared" si="2"/>
        <v>868.1792290462763</v>
      </c>
      <c r="N15" s="404">
        <f>+[4]김포!$Q$22</f>
        <v>65</v>
      </c>
      <c r="O15" s="403">
        <f>+[4]김포!$R$22</f>
        <v>63.770893925035139</v>
      </c>
      <c r="P15" s="402">
        <f t="shared" si="3"/>
        <v>-1.2291060749648608</v>
      </c>
      <c r="Q15" s="404">
        <f t="shared" si="4"/>
        <v>74887.780328895096</v>
      </c>
      <c r="R15" s="403">
        <f t="shared" si="5"/>
        <v>77749.629403450861</v>
      </c>
      <c r="S15" s="402">
        <f t="shared" si="6"/>
        <v>2861.8490745557647</v>
      </c>
      <c r="T15" s="404">
        <f t="shared" si="7"/>
        <v>19322.729671104913</v>
      </c>
      <c r="U15" s="403">
        <f t="shared" si="8"/>
        <v>18824.165319012216</v>
      </c>
      <c r="V15" s="402">
        <f t="shared" si="9"/>
        <v>-498.56435209269694</v>
      </c>
    </row>
    <row r="16" spans="1:22" ht="24" customHeight="1" x14ac:dyDescent="0.3">
      <c r="D16" s="408" t="s">
        <v>21</v>
      </c>
      <c r="E16" s="407">
        <f>+[4]부산!$Q$85</f>
        <v>107700.20116164706</v>
      </c>
      <c r="F16" s="406">
        <f>+[4]부산!$R$85</f>
        <v>104513.84782946942</v>
      </c>
      <c r="G16" s="405">
        <f t="shared" si="0"/>
        <v>-3186.353332177634</v>
      </c>
      <c r="H16" s="407">
        <f>+[4]부산!$Q$20</f>
        <v>63963.439040727004</v>
      </c>
      <c r="I16" s="406">
        <f>+[4]부산!$R$20</f>
        <v>62594.324433947724</v>
      </c>
      <c r="J16" s="405">
        <f t="shared" si="1"/>
        <v>-1369.1146067792797</v>
      </c>
      <c r="K16" s="407">
        <f>+[4]부산!$Q$21</f>
        <v>20711.933954248365</v>
      </c>
      <c r="L16" s="406">
        <f>+[4]부산!$R$21</f>
        <v>21283.083483082613</v>
      </c>
      <c r="M16" s="405">
        <f t="shared" si="2"/>
        <v>571.14952883424849</v>
      </c>
      <c r="N16" s="407">
        <f>+[4]부산!$Q$22</f>
        <v>117.64705882352941</v>
      </c>
      <c r="O16" s="406">
        <f>+[4]부산!$R$22</f>
        <v>0</v>
      </c>
      <c r="P16" s="405">
        <f t="shared" si="3"/>
        <v>-117.64705882352941</v>
      </c>
      <c r="Q16" s="407">
        <f t="shared" si="4"/>
        <v>84793.020053798886</v>
      </c>
      <c r="R16" s="406">
        <f t="shared" si="5"/>
        <v>83877.40791703033</v>
      </c>
      <c r="S16" s="405">
        <f t="shared" si="6"/>
        <v>-915.6121367685555</v>
      </c>
      <c r="T16" s="407">
        <f t="shared" si="7"/>
        <v>22907.18110784817</v>
      </c>
      <c r="U16" s="406">
        <f t="shared" si="8"/>
        <v>20636.439912439091</v>
      </c>
      <c r="V16" s="405">
        <f t="shared" si="9"/>
        <v>-2270.7411954090785</v>
      </c>
    </row>
    <row r="17" spans="4:22" ht="24" customHeight="1" x14ac:dyDescent="0.3">
      <c r="D17" s="353" t="s">
        <v>22</v>
      </c>
      <c r="E17" s="404">
        <f>+[4]서부산!$Q$85</f>
        <v>99299.849294117768</v>
      </c>
      <c r="F17" s="403">
        <f>+[4]서부산!$R$85</f>
        <v>98356.98450609346</v>
      </c>
      <c r="G17" s="402">
        <f t="shared" si="0"/>
        <v>-942.86478802430793</v>
      </c>
      <c r="H17" s="404">
        <f>+[4]서부산!$Q$20</f>
        <v>59576.816226783973</v>
      </c>
      <c r="I17" s="403">
        <f>+[4]서부산!$R$20</f>
        <v>60194.584640394976</v>
      </c>
      <c r="J17" s="402">
        <f t="shared" si="1"/>
        <v>617.76841361100378</v>
      </c>
      <c r="K17" s="404">
        <f>+[4]서부산!$Q$21</f>
        <v>17698.863381816536</v>
      </c>
      <c r="L17" s="403">
        <f>+[4]서부산!$R$21</f>
        <v>17531.960201101847</v>
      </c>
      <c r="M17" s="402">
        <f t="shared" si="2"/>
        <v>-166.90318071468937</v>
      </c>
      <c r="N17" s="404">
        <f>+[4]서부산!$Q$22</f>
        <v>176.47058823529412</v>
      </c>
      <c r="O17" s="403">
        <f>+[4]서부산!$R$22</f>
        <v>103.40331757834844</v>
      </c>
      <c r="P17" s="402">
        <f t="shared" si="3"/>
        <v>-73.067270656945681</v>
      </c>
      <c r="Q17" s="404">
        <f t="shared" si="4"/>
        <v>77452.150196835806</v>
      </c>
      <c r="R17" s="403">
        <f t="shared" si="5"/>
        <v>77829.948159075182</v>
      </c>
      <c r="S17" s="402">
        <f t="shared" si="6"/>
        <v>377.79796223937592</v>
      </c>
      <c r="T17" s="404">
        <f t="shared" si="7"/>
        <v>21847.699097281962</v>
      </c>
      <c r="U17" s="403">
        <f t="shared" si="8"/>
        <v>20527.036347018278</v>
      </c>
      <c r="V17" s="402">
        <f t="shared" si="9"/>
        <v>-1320.6627502636838</v>
      </c>
    </row>
    <row r="18" spans="4:22" ht="24" customHeight="1" x14ac:dyDescent="0.3">
      <c r="D18" s="353" t="s">
        <v>23</v>
      </c>
      <c r="E18" s="404">
        <f>+[4]김해!$Q$85</f>
        <v>96299.673076923078</v>
      </c>
      <c r="F18" s="403">
        <f>+[4]김해!$R$85</f>
        <v>90295.742516710263</v>
      </c>
      <c r="G18" s="402">
        <f t="shared" si="0"/>
        <v>-6003.9305602128152</v>
      </c>
      <c r="H18" s="404">
        <f>+[4]김해!$Q$20</f>
        <v>56013.214430693522</v>
      </c>
      <c r="I18" s="403">
        <f>+[4]김해!$R$20</f>
        <v>55877.414995640807</v>
      </c>
      <c r="J18" s="402">
        <f t="shared" si="1"/>
        <v>-135.79943505271513</v>
      </c>
      <c r="K18" s="404">
        <f>+[4]김해!$Q$21</f>
        <v>20306.361237067031</v>
      </c>
      <c r="L18" s="403">
        <f>+[4]김해!$R$21</f>
        <v>22481.814007555942</v>
      </c>
      <c r="M18" s="402">
        <f t="shared" si="2"/>
        <v>2175.4527704889115</v>
      </c>
      <c r="N18" s="404">
        <f>+[4]김해!$Q$22</f>
        <v>384.61538461538464</v>
      </c>
      <c r="O18" s="403">
        <f>+[4]김해!$R$22</f>
        <v>596.52324905550711</v>
      </c>
      <c r="P18" s="402">
        <f t="shared" si="3"/>
        <v>211.90786444012247</v>
      </c>
      <c r="Q18" s="404">
        <f t="shared" si="4"/>
        <v>76704.191052375943</v>
      </c>
      <c r="R18" s="403">
        <f t="shared" si="5"/>
        <v>78955.752252252263</v>
      </c>
      <c r="S18" s="402">
        <f t="shared" si="6"/>
        <v>2251.5611998763197</v>
      </c>
      <c r="T18" s="404">
        <f t="shared" si="7"/>
        <v>19595.482024547135</v>
      </c>
      <c r="U18" s="403">
        <f t="shared" si="8"/>
        <v>11339.990264458</v>
      </c>
      <c r="V18" s="402">
        <f t="shared" si="9"/>
        <v>-8255.4917600891349</v>
      </c>
    </row>
    <row r="19" spans="4:22" ht="24" customHeight="1" x14ac:dyDescent="0.3">
      <c r="D19" s="353" t="s">
        <v>24</v>
      </c>
      <c r="E19" s="404">
        <f>+[4]정관!$Q$85</f>
        <v>102000.24504444444</v>
      </c>
      <c r="F19" s="403">
        <f>+[4]정관!$R$85</f>
        <v>96472.016755876204</v>
      </c>
      <c r="G19" s="402">
        <f t="shared" si="0"/>
        <v>-5528.2282885682362</v>
      </c>
      <c r="H19" s="404">
        <f>+[4]정관!$Q$20</f>
        <v>62556.166182204179</v>
      </c>
      <c r="I19" s="403">
        <f>+[4]정관!$R$20</f>
        <v>60775.868845599522</v>
      </c>
      <c r="J19" s="402">
        <f t="shared" si="1"/>
        <v>-1780.2973366046572</v>
      </c>
      <c r="K19" s="404">
        <f>+[4]정관!$Q$21</f>
        <v>19615.744999999999</v>
      </c>
      <c r="L19" s="403">
        <f>+[4]정관!$R$21</f>
        <v>18630.021246919892</v>
      </c>
      <c r="M19" s="402">
        <f t="shared" si="2"/>
        <v>-985.72375308010669</v>
      </c>
      <c r="N19" s="404">
        <f>+[4]정관!$Q$22</f>
        <v>222.2222222222222</v>
      </c>
      <c r="O19" s="403">
        <f>+[4]정관!$R$22</f>
        <v>272.6801803896044</v>
      </c>
      <c r="P19" s="402">
        <f t="shared" si="3"/>
        <v>50.457958167382202</v>
      </c>
      <c r="Q19" s="404">
        <f t="shared" si="4"/>
        <v>82394.133404426393</v>
      </c>
      <c r="R19" s="403">
        <f t="shared" si="5"/>
        <v>79678.570272909026</v>
      </c>
      <c r="S19" s="402">
        <f t="shared" si="6"/>
        <v>-2715.5631315173669</v>
      </c>
      <c r="T19" s="404">
        <f t="shared" si="7"/>
        <v>19606.111640018047</v>
      </c>
      <c r="U19" s="403">
        <f t="shared" si="8"/>
        <v>16793.446482967178</v>
      </c>
      <c r="V19" s="402">
        <f t="shared" si="9"/>
        <v>-2812.6651570508693</v>
      </c>
    </row>
    <row r="20" spans="4:22" ht="24" customHeight="1" x14ac:dyDescent="0.3">
      <c r="D20" s="353" t="s">
        <v>25</v>
      </c>
      <c r="E20" s="404">
        <f>+[4]양산!$Q$85</f>
        <v>94380</v>
      </c>
      <c r="F20" s="403">
        <f>+[4]양산!$R$85</f>
        <v>87727.06278566274</v>
      </c>
      <c r="G20" s="402">
        <f t="shared" si="0"/>
        <v>-6652.9372143372602</v>
      </c>
      <c r="H20" s="404">
        <f>+[4]양산!$Q$20</f>
        <v>54979.456939628129</v>
      </c>
      <c r="I20" s="403">
        <f>+[4]양산!$R$20</f>
        <v>49275.19076256916</v>
      </c>
      <c r="J20" s="402">
        <f t="shared" si="1"/>
        <v>-5704.2661770589693</v>
      </c>
      <c r="K20" s="404">
        <f>+[4]양산!$Q$21</f>
        <v>18206.765423976609</v>
      </c>
      <c r="L20" s="403">
        <f>+[4]양산!$R$21</f>
        <v>22620.79672840991</v>
      </c>
      <c r="M20" s="402">
        <f t="shared" si="2"/>
        <v>4414.0313044333016</v>
      </c>
      <c r="N20" s="404">
        <f>+[4]양산!$Q$22</f>
        <v>66.666666666666671</v>
      </c>
      <c r="O20" s="403">
        <f>+[4]양산!$R$22</f>
        <v>75.943709405821494</v>
      </c>
      <c r="P20" s="402">
        <f t="shared" si="3"/>
        <v>9.2770427391548225</v>
      </c>
      <c r="Q20" s="404">
        <f t="shared" si="4"/>
        <v>73252.889030271414</v>
      </c>
      <c r="R20" s="403">
        <f t="shared" si="5"/>
        <v>71971.93120038489</v>
      </c>
      <c r="S20" s="402">
        <f t="shared" si="6"/>
        <v>-1280.9578298865235</v>
      </c>
      <c r="T20" s="404">
        <f t="shared" si="7"/>
        <v>21127.110969728586</v>
      </c>
      <c r="U20" s="403">
        <f t="shared" si="8"/>
        <v>15755.13158527785</v>
      </c>
      <c r="V20" s="402">
        <f t="shared" si="9"/>
        <v>-5371.9793844507367</v>
      </c>
    </row>
    <row r="21" spans="4:22" ht="24" customHeight="1" x14ac:dyDescent="0.3">
      <c r="D21" s="353" t="s">
        <v>26</v>
      </c>
      <c r="E21" s="404">
        <f>+[4]창원!$Q$85</f>
        <v>101100.38024584616</v>
      </c>
      <c r="F21" s="403">
        <f>+[4]창원!$R$85</f>
        <v>93119.970523212964</v>
      </c>
      <c r="G21" s="402">
        <f t="shared" si="0"/>
        <v>-7980.4097226331942</v>
      </c>
      <c r="H21" s="404">
        <f>+[4]창원!$Q$20</f>
        <v>57643.676195773078</v>
      </c>
      <c r="I21" s="403">
        <f>+[4]창원!$R$20</f>
        <v>51467.609340578638</v>
      </c>
      <c r="J21" s="402">
        <f t="shared" si="1"/>
        <v>-6176.06685519444</v>
      </c>
      <c r="K21" s="404">
        <f>+[4]창원!$Q$21</f>
        <v>18301.509015275507</v>
      </c>
      <c r="L21" s="403">
        <f>+[4]창원!$R$21</f>
        <v>19549.051990013217</v>
      </c>
      <c r="M21" s="402">
        <f t="shared" si="2"/>
        <v>1247.5429747377093</v>
      </c>
      <c r="N21" s="404">
        <f>+[4]창원!$Q$22</f>
        <v>115.38461538461539</v>
      </c>
      <c r="O21" s="403">
        <f>+[4]창원!$R$22</f>
        <v>93.774122484946403</v>
      </c>
      <c r="P21" s="402">
        <f t="shared" si="3"/>
        <v>-21.610492899668984</v>
      </c>
      <c r="Q21" s="404">
        <f t="shared" si="4"/>
        <v>76060.569826433188</v>
      </c>
      <c r="R21" s="403">
        <f t="shared" si="5"/>
        <v>71110.435453076803</v>
      </c>
      <c r="S21" s="402">
        <f t="shared" si="6"/>
        <v>-4950.1343733563845</v>
      </c>
      <c r="T21" s="404">
        <f t="shared" si="7"/>
        <v>25039.81041941297</v>
      </c>
      <c r="U21" s="403">
        <f t="shared" si="8"/>
        <v>22009.53507013616</v>
      </c>
      <c r="V21" s="402">
        <f t="shared" si="9"/>
        <v>-3030.2753492768097</v>
      </c>
    </row>
    <row r="22" spans="4:22" ht="24" customHeight="1" x14ac:dyDescent="0.3">
      <c r="D22" s="353" t="s">
        <v>131</v>
      </c>
      <c r="E22" s="404">
        <f>+[4]대구!$Q$85</f>
        <v>96160.51370000001</v>
      </c>
      <c r="F22" s="403">
        <f>+[4]대구!$R$85</f>
        <v>88369.706477732791</v>
      </c>
      <c r="G22" s="402">
        <f t="shared" si="0"/>
        <v>-7790.8072222672199</v>
      </c>
      <c r="H22" s="404">
        <f>+[4]대구!$Q$20</f>
        <v>53494.537358414869</v>
      </c>
      <c r="I22" s="403">
        <f>+[4]대구!$R$20</f>
        <v>53837.244939271259</v>
      </c>
      <c r="J22" s="402">
        <f t="shared" si="1"/>
        <v>342.70758085638954</v>
      </c>
      <c r="K22" s="404">
        <f>+[4]대구!$Q$21</f>
        <v>18654.754315789476</v>
      </c>
      <c r="L22" s="403">
        <f>+[4]대구!$R$21</f>
        <v>19193.114271255061</v>
      </c>
      <c r="M22" s="402">
        <f t="shared" si="2"/>
        <v>538.35995546558479</v>
      </c>
      <c r="N22" s="404">
        <f>+[4]대구!$Q$22</f>
        <v>384</v>
      </c>
      <c r="O22" s="403">
        <f>+[4]대구!$R$22</f>
        <v>274.26963562753036</v>
      </c>
      <c r="P22" s="402">
        <f t="shared" si="3"/>
        <v>-109.73036437246964</v>
      </c>
      <c r="Q22" s="404">
        <f t="shared" si="4"/>
        <v>72533.291674204345</v>
      </c>
      <c r="R22" s="403">
        <f t="shared" si="5"/>
        <v>73304.62884615385</v>
      </c>
      <c r="S22" s="402">
        <f t="shared" si="6"/>
        <v>771.33717194950441</v>
      </c>
      <c r="T22" s="404">
        <f t="shared" si="7"/>
        <v>23627.222025795665</v>
      </c>
      <c r="U22" s="403">
        <f t="shared" si="8"/>
        <v>15065.077631578941</v>
      </c>
      <c r="V22" s="402">
        <f t="shared" si="9"/>
        <v>-8562.1443942167243</v>
      </c>
    </row>
    <row r="23" spans="4:22" ht="24" customHeight="1" x14ac:dyDescent="0.3">
      <c r="D23" s="353" t="s">
        <v>130</v>
      </c>
      <c r="E23" s="404">
        <f>+[4]울산!$Q$85</f>
        <v>103629.5</v>
      </c>
      <c r="F23" s="403">
        <f>+[4]울산!$R$85</f>
        <v>100490.72045502423</v>
      </c>
      <c r="G23" s="402">
        <f t="shared" si="0"/>
        <v>-3138.7795449757687</v>
      </c>
      <c r="H23" s="404">
        <f>+[4]울산!$Q$20</f>
        <v>60264.080748980348</v>
      </c>
      <c r="I23" s="403">
        <f>+[4]울산!$R$20</f>
        <v>56419.982093954073</v>
      </c>
      <c r="J23" s="402">
        <f t="shared" si="1"/>
        <v>-3844.0986550262751</v>
      </c>
      <c r="K23" s="404">
        <f>+[4]울산!$Q$21</f>
        <v>21116.784857910905</v>
      </c>
      <c r="L23" s="403">
        <f>+[4]울산!$R$21</f>
        <v>22487.475879502843</v>
      </c>
      <c r="M23" s="402">
        <f t="shared" si="2"/>
        <v>1370.6910215919379</v>
      </c>
      <c r="N23" s="404">
        <f>+[4]울산!$Q$22</f>
        <v>280</v>
      </c>
      <c r="O23" s="403">
        <f>+[4]울산!$R$22</f>
        <v>289.47303560143251</v>
      </c>
      <c r="P23" s="402">
        <f t="shared" si="3"/>
        <v>9.4730356014325139</v>
      </c>
      <c r="Q23" s="404">
        <f t="shared" si="4"/>
        <v>81660.865606891253</v>
      </c>
      <c r="R23" s="403">
        <f t="shared" si="5"/>
        <v>79196.931009058346</v>
      </c>
      <c r="S23" s="402">
        <f t="shared" si="6"/>
        <v>-2463.9345978329075</v>
      </c>
      <c r="T23" s="404">
        <f t="shared" si="7"/>
        <v>21968.634393108747</v>
      </c>
      <c r="U23" s="403">
        <f t="shared" si="8"/>
        <v>21293.789445965886</v>
      </c>
      <c r="V23" s="402">
        <f t="shared" si="9"/>
        <v>-674.8449471428612</v>
      </c>
    </row>
    <row r="24" spans="4:22" ht="24" customHeight="1" x14ac:dyDescent="0.3">
      <c r="D24" s="408" t="s">
        <v>27</v>
      </c>
      <c r="E24" s="407">
        <f>+[4]아산!$Q$85</f>
        <v>103000</v>
      </c>
      <c r="F24" s="406">
        <f>+[4]아산!$R$85</f>
        <v>92894.307005224415</v>
      </c>
      <c r="G24" s="405">
        <f t="shared" si="0"/>
        <v>-10105.692994775585</v>
      </c>
      <c r="H24" s="407">
        <f>+[4]아산!$Q$20</f>
        <v>57042.23789554531</v>
      </c>
      <c r="I24" s="406">
        <f>+[4]아산!$R$20</f>
        <v>56195.699040026935</v>
      </c>
      <c r="J24" s="405">
        <f t="shared" si="1"/>
        <v>-846.53885551837448</v>
      </c>
      <c r="K24" s="407">
        <f>+[4]아산!$Q$21</f>
        <v>20195.060790273557</v>
      </c>
      <c r="L24" s="406">
        <f>+[4]아산!$R$21</f>
        <v>21757.364845899061</v>
      </c>
      <c r="M24" s="405">
        <f t="shared" si="2"/>
        <v>1562.3040556255037</v>
      </c>
      <c r="N24" s="407">
        <f>+[4]아산!$Q$22</f>
        <v>119.04761904761904</v>
      </c>
      <c r="O24" s="406">
        <f>+[4]아산!$R$22</f>
        <v>201.95239431875598</v>
      </c>
      <c r="P24" s="405">
        <f t="shared" si="3"/>
        <v>82.904775271136941</v>
      </c>
      <c r="Q24" s="407">
        <f t="shared" si="4"/>
        <v>77356.346304866485</v>
      </c>
      <c r="R24" s="406">
        <f t="shared" si="5"/>
        <v>78155.016280244745</v>
      </c>
      <c r="S24" s="405">
        <f t="shared" si="6"/>
        <v>798.66997537825955</v>
      </c>
      <c r="T24" s="407">
        <f t="shared" si="7"/>
        <v>25643.653695133515</v>
      </c>
      <c r="U24" s="406">
        <f t="shared" si="8"/>
        <v>14739.29072497967</v>
      </c>
      <c r="V24" s="405">
        <f t="shared" si="9"/>
        <v>-10904.362970153845</v>
      </c>
    </row>
    <row r="25" spans="4:22" ht="24" customHeight="1" x14ac:dyDescent="0.3">
      <c r="D25" s="353" t="s">
        <v>129</v>
      </c>
      <c r="E25" s="404">
        <f>+[4]전주!$Q$85</f>
        <v>100384.04</v>
      </c>
      <c r="F25" s="403">
        <f>+[4]전주!$R$85</f>
        <v>98660.897429171047</v>
      </c>
      <c r="G25" s="402">
        <f t="shared" si="0"/>
        <v>-1723.1425708289462</v>
      </c>
      <c r="H25" s="404">
        <f>+[4]전주!$Q$20</f>
        <v>56346.573915461617</v>
      </c>
      <c r="I25" s="403">
        <f>+[4]전주!$R$20</f>
        <v>58785.164349422863</v>
      </c>
      <c r="J25" s="402">
        <f t="shared" si="1"/>
        <v>2438.5904339612462</v>
      </c>
      <c r="K25" s="404">
        <f>+[4]전주!$Q$21</f>
        <v>16092.344210992906</v>
      </c>
      <c r="L25" s="403">
        <f>+[4]전주!$R$21</f>
        <v>16932.899134312695</v>
      </c>
      <c r="M25" s="402">
        <f t="shared" si="2"/>
        <v>840.55492331978894</v>
      </c>
      <c r="N25" s="404">
        <f>+[4]전주!$Q$22</f>
        <v>250</v>
      </c>
      <c r="O25" s="403">
        <f>+[4]전주!$R$22</f>
        <v>311.85899790136409</v>
      </c>
      <c r="P25" s="402">
        <f t="shared" si="3"/>
        <v>61.858997901364091</v>
      </c>
      <c r="Q25" s="404">
        <f t="shared" si="4"/>
        <v>72688.918126454519</v>
      </c>
      <c r="R25" s="403">
        <f t="shared" si="5"/>
        <v>76029.922481636924</v>
      </c>
      <c r="S25" s="402">
        <f t="shared" si="6"/>
        <v>3341.0043551824056</v>
      </c>
      <c r="T25" s="404">
        <f t="shared" si="7"/>
        <v>27695.121873545475</v>
      </c>
      <c r="U25" s="403">
        <f t="shared" si="8"/>
        <v>22630.974947534123</v>
      </c>
      <c r="V25" s="402">
        <f t="shared" si="9"/>
        <v>-5064.1469260113518</v>
      </c>
    </row>
    <row r="26" spans="4:22" ht="24" customHeight="1" x14ac:dyDescent="0.3">
      <c r="D26" s="353" t="s">
        <v>128</v>
      </c>
      <c r="E26" s="404">
        <f>+[4]군산!$Q$85</f>
        <v>111404.61250000002</v>
      </c>
      <c r="F26" s="403">
        <f>+[4]군산!$R$85</f>
        <v>109907.44615733394</v>
      </c>
      <c r="G26" s="402">
        <f t="shared" si="0"/>
        <v>-1497.1663426660816</v>
      </c>
      <c r="H26" s="404">
        <f>+[4]군산!$Q$20</f>
        <v>58275.88741935484</v>
      </c>
      <c r="I26" s="403">
        <f>+[4]군산!$R$20</f>
        <v>57793.923600090675</v>
      </c>
      <c r="J26" s="402">
        <f t="shared" si="1"/>
        <v>-481.96381926416507</v>
      </c>
      <c r="K26" s="404">
        <f>+[4]군산!$Q$21</f>
        <v>14094.098014032073</v>
      </c>
      <c r="L26" s="403">
        <f>+[4]군산!$R$21</f>
        <v>13623.49512582181</v>
      </c>
      <c r="M26" s="402">
        <f t="shared" si="2"/>
        <v>-470.6028882102637</v>
      </c>
      <c r="N26" s="404">
        <f>+[4]군산!$Q$22</f>
        <v>56.25</v>
      </c>
      <c r="O26" s="403">
        <f>+[4]군산!$R$22</f>
        <v>48.837451824982999</v>
      </c>
      <c r="P26" s="402">
        <f t="shared" si="3"/>
        <v>-7.412548175017001</v>
      </c>
      <c r="Q26" s="404">
        <f t="shared" si="4"/>
        <v>72426.235433386915</v>
      </c>
      <c r="R26" s="403">
        <f t="shared" si="5"/>
        <v>71466.256177737465</v>
      </c>
      <c r="S26" s="402">
        <f t="shared" si="6"/>
        <v>-959.97925564945035</v>
      </c>
      <c r="T26" s="404">
        <f t="shared" si="7"/>
        <v>38978.377066613102</v>
      </c>
      <c r="U26" s="403">
        <f t="shared" si="8"/>
        <v>38441.189979596471</v>
      </c>
      <c r="V26" s="402">
        <f t="shared" si="9"/>
        <v>-537.18708701663127</v>
      </c>
    </row>
    <row r="27" spans="4:22" ht="24" customHeight="1" x14ac:dyDescent="0.3">
      <c r="D27" s="353" t="s">
        <v>127</v>
      </c>
      <c r="E27" s="404">
        <f>+[4]원주!$Q$85</f>
        <v>112000</v>
      </c>
      <c r="F27" s="403">
        <f>+[4]원주!$R$85</f>
        <v>112542.31325301203</v>
      </c>
      <c r="G27" s="402">
        <f t="shared" si="0"/>
        <v>542.31325301203469</v>
      </c>
      <c r="H27" s="404">
        <f>+[4]원주!$Q$20</f>
        <v>57608.53333333334</v>
      </c>
      <c r="I27" s="403">
        <f>+[4]원주!$R$20</f>
        <v>55630.372048192774</v>
      </c>
      <c r="J27" s="402">
        <f t="shared" si="1"/>
        <v>-1978.1612851405662</v>
      </c>
      <c r="K27" s="404">
        <f>+[4]원주!$Q$21</f>
        <v>15173.686346409911</v>
      </c>
      <c r="L27" s="403">
        <f>+[4]원주!$R$21</f>
        <v>14676.203855421687</v>
      </c>
      <c r="M27" s="402">
        <f t="shared" si="2"/>
        <v>-497.48249098822453</v>
      </c>
      <c r="N27" s="404">
        <f>+[4]원주!$Q$22</f>
        <v>280</v>
      </c>
      <c r="O27" s="403">
        <f>+[4]원주!$R$22</f>
        <v>580.49975903614461</v>
      </c>
      <c r="P27" s="402">
        <f t="shared" si="3"/>
        <v>300.49975903614461</v>
      </c>
      <c r="Q27" s="404">
        <f t="shared" si="4"/>
        <v>73062.219679743255</v>
      </c>
      <c r="R27" s="403">
        <f t="shared" si="5"/>
        <v>70887.075662650604</v>
      </c>
      <c r="S27" s="402">
        <f t="shared" si="6"/>
        <v>-2175.1440170926508</v>
      </c>
      <c r="T27" s="404">
        <f t="shared" si="7"/>
        <v>38937.780320256745</v>
      </c>
      <c r="U27" s="403">
        <f t="shared" si="8"/>
        <v>41655.23759036143</v>
      </c>
      <c r="V27" s="402">
        <f t="shared" si="9"/>
        <v>2717.4572701046854</v>
      </c>
    </row>
    <row r="28" spans="4:22" ht="24" customHeight="1" x14ac:dyDescent="0.3">
      <c r="D28" s="348" t="s">
        <v>126</v>
      </c>
      <c r="E28" s="401">
        <f>+[4]제주!$Q$85</f>
        <v>122995.55555555556</v>
      </c>
      <c r="F28" s="400">
        <f>+[4]제주!$R$85</f>
        <v>124625.73566729324</v>
      </c>
      <c r="G28" s="399">
        <f t="shared" si="0"/>
        <v>1630.1801117376745</v>
      </c>
      <c r="H28" s="401">
        <f>+[4]제주!$Q$20</f>
        <v>73700.874898034846</v>
      </c>
      <c r="I28" s="400">
        <f>+[4]제주!$R$20</f>
        <v>77177.363721804504</v>
      </c>
      <c r="J28" s="399">
        <f t="shared" si="1"/>
        <v>3476.4888237696578</v>
      </c>
      <c r="K28" s="401">
        <f>+[4]제주!$Q$21</f>
        <v>17407.542955326458</v>
      </c>
      <c r="L28" s="400">
        <f>+[4]제주!$R$21</f>
        <v>18584.632753759397</v>
      </c>
      <c r="M28" s="399">
        <f t="shared" si="2"/>
        <v>1177.0897984329386</v>
      </c>
      <c r="N28" s="401">
        <f>+[4]제주!$Q$22</f>
        <v>277.77777777777777</v>
      </c>
      <c r="O28" s="400">
        <f>+[4]제주!$R$22</f>
        <v>524.68961466165422</v>
      </c>
      <c r="P28" s="399">
        <f t="shared" si="3"/>
        <v>246.91183688387645</v>
      </c>
      <c r="Q28" s="401">
        <f t="shared" si="4"/>
        <v>91386.195631139082</v>
      </c>
      <c r="R28" s="400">
        <f t="shared" si="5"/>
        <v>96286.686090225558</v>
      </c>
      <c r="S28" s="399">
        <f t="shared" si="6"/>
        <v>4900.4904590864753</v>
      </c>
      <c r="T28" s="401">
        <f t="shared" si="7"/>
        <v>31609.35992441648</v>
      </c>
      <c r="U28" s="400">
        <f t="shared" si="8"/>
        <v>28339.049577067679</v>
      </c>
      <c r="V28" s="399">
        <f t="shared" si="9"/>
        <v>-3270.3103473488009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6C93-3AD1-4759-9437-717A6F22A0F1}">
  <sheetPr>
    <tabColor theme="1" tint="0.34998626667073579"/>
    <pageSetUpPr fitToPage="1"/>
  </sheetPr>
  <dimension ref="A1:Y52"/>
  <sheetViews>
    <sheetView showGridLines="0" showZeros="0" view="pageBreakPreview" zoomScale="60" zoomScaleNormal="85" workbookViewId="0">
      <pane xSplit="4" ySplit="7" topLeftCell="E8" activePane="bottomRight" state="frozen"/>
      <selection activeCell="M16" sqref="M16"/>
      <selection pane="topRight" activeCell="M16" sqref="M16"/>
      <selection pane="bottomLeft" activeCell="M16" sqref="M16"/>
      <selection pane="bottomRight" activeCell="M16" sqref="M16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204</v>
      </c>
      <c r="F4" s="398"/>
      <c r="I4" s="398"/>
    </row>
    <row r="5" spans="1:22" ht="21.95" customHeight="1" x14ac:dyDescent="0.3"/>
    <row r="6" spans="1:22" ht="24" customHeight="1" thickBot="1" x14ac:dyDescent="0.35">
      <c r="A6" s="6" t="s">
        <v>139</v>
      </c>
      <c r="D6" s="650" t="s">
        <v>11</v>
      </c>
      <c r="E6" s="396" t="s">
        <v>152</v>
      </c>
      <c r="F6" s="395"/>
      <c r="G6" s="394"/>
      <c r="H6" s="396" t="s">
        <v>151</v>
      </c>
      <c r="I6" s="395"/>
      <c r="J6" s="394"/>
      <c r="K6" s="396" t="s">
        <v>150</v>
      </c>
      <c r="L6" s="395"/>
      <c r="M6" s="394"/>
      <c r="N6" s="396" t="s">
        <v>149</v>
      </c>
      <c r="O6" s="395"/>
      <c r="P6" s="394"/>
      <c r="Q6" s="396" t="s">
        <v>148</v>
      </c>
      <c r="R6" s="395"/>
      <c r="S6" s="394"/>
      <c r="T6" s="396" t="s">
        <v>147</v>
      </c>
      <c r="U6" s="395"/>
      <c r="V6" s="394"/>
    </row>
    <row r="7" spans="1:22" ht="24" customHeight="1" x14ac:dyDescent="0.3">
      <c r="D7" s="651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441">
        <f>+[4]합계!$G$9</f>
        <v>100674.62236600932</v>
      </c>
      <c r="F8" s="440">
        <f>+[4]합계!$H$9</f>
        <v>100428.89716126905</v>
      </c>
      <c r="G8" s="439">
        <f t="shared" ref="G8:G28" si="0">+F8-E8</f>
        <v>-245.7252047402726</v>
      </c>
      <c r="H8" s="441">
        <f>+[4]합계!$G$10</f>
        <v>93982.218340875508</v>
      </c>
      <c r="I8" s="440">
        <f>+[4]합계!$H$10</f>
        <v>93144.645012300083</v>
      </c>
      <c r="J8" s="439">
        <f t="shared" ref="J8:J28" si="1">+I8-H8</f>
        <v>-837.57332857542497</v>
      </c>
      <c r="K8" s="441">
        <f>+[4]합계!$G$12</f>
        <v>63624.798924588584</v>
      </c>
      <c r="L8" s="440">
        <f>+[4]합계!$H$12</f>
        <v>61664.357872436274</v>
      </c>
      <c r="M8" s="439">
        <f t="shared" ref="M8:M28" si="2">+L8-K8</f>
        <v>-1960.4410521523096</v>
      </c>
      <c r="N8" s="441">
        <f>+[4]합계!$G$13</f>
        <v>41250.27968682599</v>
      </c>
      <c r="O8" s="440">
        <f>+[4]합계!$H$13</f>
        <v>36891.069428331124</v>
      </c>
      <c r="P8" s="439">
        <f t="shared" ref="P8:P28" si="3">+O8-N8</f>
        <v>-4359.2102584948661</v>
      </c>
      <c r="Q8" s="441">
        <f>+[4]합계!$G$16</f>
        <v>13326.795911756259</v>
      </c>
      <c r="R8" s="440">
        <f>+[4]합계!$H$16</f>
        <v>12901.016205639153</v>
      </c>
      <c r="S8" s="439">
        <f t="shared" ref="S8:S28" si="4">+R8-Q8</f>
        <v>-425.77970611710589</v>
      </c>
      <c r="T8" s="441">
        <f>+[4]합계!$G$17</f>
        <v>15793.200514005573</v>
      </c>
      <c r="U8" s="440">
        <f>+[4]합계!$H$17</f>
        <v>15697.024716672295</v>
      </c>
      <c r="V8" s="439">
        <f t="shared" ref="V8:V28" si="5">+U8-T8</f>
        <v>-96.175797333278751</v>
      </c>
    </row>
    <row r="9" spans="1:22" ht="24" customHeight="1" x14ac:dyDescent="0.3">
      <c r="D9" s="382" t="s">
        <v>16</v>
      </c>
      <c r="E9" s="438">
        <f>+[4]수도권!$G$9</f>
        <v>100000.00000000001</v>
      </c>
      <c r="F9" s="437">
        <f>+[4]수도권!$H$9</f>
        <v>99818.689132878149</v>
      </c>
      <c r="G9" s="436">
        <f t="shared" si="0"/>
        <v>-181.31086712186516</v>
      </c>
      <c r="H9" s="438">
        <f>+[4]수도권!$G$10</f>
        <v>98000</v>
      </c>
      <c r="I9" s="437">
        <f>+[4]수도권!$H$10</f>
        <v>98904.36541151299</v>
      </c>
      <c r="J9" s="436">
        <f t="shared" si="1"/>
        <v>904.36541151299025</v>
      </c>
      <c r="K9" s="438">
        <f>+[4]수도권!$G$12</f>
        <v>64163.571977751773</v>
      </c>
      <c r="L9" s="437">
        <f>+[4]수도권!$H$12</f>
        <v>62083.53265692979</v>
      </c>
      <c r="M9" s="436">
        <f t="shared" si="2"/>
        <v>-2080.039320821983</v>
      </c>
      <c r="N9" s="438">
        <f>+[4]수도권!$G$13</f>
        <v>47128.589319546576</v>
      </c>
      <c r="O9" s="437">
        <f>+[4]수도권!$H$13</f>
        <v>40968.424012461313</v>
      </c>
      <c r="P9" s="436">
        <f t="shared" si="3"/>
        <v>-6160.1653070852626</v>
      </c>
      <c r="Q9" s="438">
        <f>+[4]수도권!$G$16</f>
        <v>15815.748498279529</v>
      </c>
      <c r="R9" s="437">
        <f>+[4]수도권!$H$16</f>
        <v>15206.982415252523</v>
      </c>
      <c r="S9" s="436">
        <f t="shared" si="4"/>
        <v>-608.76608302700515</v>
      </c>
      <c r="T9" s="438">
        <f>+[4]수도권!$G$17</f>
        <v>14172.938620646477</v>
      </c>
      <c r="U9" s="437">
        <f>+[4]수도권!$H$17</f>
        <v>13778.023012655889</v>
      </c>
      <c r="V9" s="436">
        <f t="shared" si="5"/>
        <v>-394.91560799058789</v>
      </c>
    </row>
    <row r="10" spans="1:22" ht="24" customHeight="1" x14ac:dyDescent="0.3">
      <c r="D10" s="377" t="s">
        <v>17</v>
      </c>
      <c r="E10" s="435">
        <f>+[4]영남권!$G$9</f>
        <v>99999.999999999985</v>
      </c>
      <c r="F10" s="434">
        <f>+[4]영남권!$H$9</f>
        <v>100000.54807820574</v>
      </c>
      <c r="G10" s="433">
        <f t="shared" si="0"/>
        <v>0.54807820575661026</v>
      </c>
      <c r="H10" s="435">
        <f>+[4]영남권!$G$10</f>
        <v>92447.376117156906</v>
      </c>
      <c r="I10" s="434">
        <f>+[4]영남권!$H$10</f>
        <v>92232.060472936428</v>
      </c>
      <c r="J10" s="433">
        <f t="shared" si="1"/>
        <v>-215.31564422047813</v>
      </c>
      <c r="K10" s="435">
        <f>+[4]영남권!$G$12</f>
        <v>62598.068881473475</v>
      </c>
      <c r="L10" s="434">
        <f>+[4]영남권!$H$12</f>
        <v>60942.582879897665</v>
      </c>
      <c r="M10" s="433">
        <f t="shared" si="2"/>
        <v>-1655.4860015758095</v>
      </c>
      <c r="N10" s="435">
        <f>+[4]영남권!$G$13</f>
        <v>35510.261831730721</v>
      </c>
      <c r="O10" s="434">
        <f>+[4]영남권!$H$13</f>
        <v>33810.252619142091</v>
      </c>
      <c r="P10" s="433">
        <f t="shared" si="3"/>
        <v>-1700.0092125886295</v>
      </c>
      <c r="Q10" s="435">
        <f>+[4]영남권!$G$16</f>
        <v>10929.742441479884</v>
      </c>
      <c r="R10" s="434">
        <f>+[4]영남권!$H$16</f>
        <v>11089.197041172723</v>
      </c>
      <c r="S10" s="433">
        <f t="shared" si="4"/>
        <v>159.45459969283911</v>
      </c>
      <c r="T10" s="435">
        <f>+[4]영남권!$G$17</f>
        <v>17649.113939938299</v>
      </c>
      <c r="U10" s="434">
        <f>+[4]영남권!$H$17</f>
        <v>17586.517770399925</v>
      </c>
      <c r="V10" s="433">
        <f t="shared" si="5"/>
        <v>-62.596169538373942</v>
      </c>
    </row>
    <row r="11" spans="1:22" ht="24" customHeight="1" x14ac:dyDescent="0.3">
      <c r="D11" s="372" t="s">
        <v>132</v>
      </c>
      <c r="E11" s="432">
        <f>+[4]중부권!$G$9</f>
        <v>103202.01083087015</v>
      </c>
      <c r="F11" s="431">
        <f>+[4]중부권!$H$9</f>
        <v>102465.90710336178</v>
      </c>
      <c r="G11" s="430">
        <f t="shared" si="0"/>
        <v>-736.10372750836541</v>
      </c>
      <c r="H11" s="432">
        <f>+[4]중부권!$G$10</f>
        <v>98678.00011533362</v>
      </c>
      <c r="I11" s="431">
        <f>+[4]중부권!$H$10</f>
        <v>92335.39226336313</v>
      </c>
      <c r="J11" s="430">
        <f t="shared" si="1"/>
        <v>-6342.6078519704897</v>
      </c>
      <c r="K11" s="432">
        <f>+[4]중부권!$G$12</f>
        <v>64591.361287997119</v>
      </c>
      <c r="L11" s="431">
        <f>+[4]중부권!$H$12</f>
        <v>62257.572091347334</v>
      </c>
      <c r="M11" s="430">
        <f t="shared" si="2"/>
        <v>-2333.7891966497846</v>
      </c>
      <c r="N11" s="432">
        <f>+[4]중부권!$G$13</f>
        <v>41961.036959007237</v>
      </c>
      <c r="O11" s="431">
        <f>+[4]중부권!$H$13</f>
        <v>35312.873326544679</v>
      </c>
      <c r="P11" s="430">
        <f t="shared" si="3"/>
        <v>-6648.1636324625579</v>
      </c>
      <c r="Q11" s="432">
        <f>+[4]중부권!$G$16</f>
        <v>13324.09629099777</v>
      </c>
      <c r="R11" s="431">
        <f>+[4]중부권!$H$16</f>
        <v>13083.873748090318</v>
      </c>
      <c r="S11" s="430">
        <f t="shared" si="4"/>
        <v>-240.2225429074515</v>
      </c>
      <c r="T11" s="432">
        <f>+[4]중부권!$G$17</f>
        <v>14805.226573723134</v>
      </c>
      <c r="U11" s="431">
        <f>+[4]중부권!$H$17</f>
        <v>14489.530063519967</v>
      </c>
      <c r="V11" s="430">
        <f t="shared" si="5"/>
        <v>-315.69651020316633</v>
      </c>
    </row>
    <row r="12" spans="1:22" ht="24" customHeight="1" x14ac:dyDescent="0.3">
      <c r="D12" s="412" t="s">
        <v>18</v>
      </c>
      <c r="E12" s="429">
        <f>+[4]안양!$G$9</f>
        <v>100000</v>
      </c>
      <c r="F12" s="428">
        <f>+[4]안양!$H$9</f>
        <v>99664.497045253593</v>
      </c>
      <c r="G12" s="427">
        <f t="shared" si="0"/>
        <v>-335.50295474640734</v>
      </c>
      <c r="H12" s="429">
        <f>+[4]안양!$G$10</f>
        <v>0</v>
      </c>
      <c r="I12" s="428">
        <f>+[4]안양!$H$10</f>
        <v>0</v>
      </c>
      <c r="J12" s="427">
        <f t="shared" si="1"/>
        <v>0</v>
      </c>
      <c r="K12" s="429">
        <f>+[4]안양!$G$12</f>
        <v>64099.999999999993</v>
      </c>
      <c r="L12" s="428">
        <f>+[4]안양!$H$12</f>
        <v>62093.966811669714</v>
      </c>
      <c r="M12" s="427">
        <f t="shared" si="2"/>
        <v>-2006.0331883302788</v>
      </c>
      <c r="N12" s="429">
        <f>+[4]안양!$G$13</f>
        <v>46100</v>
      </c>
      <c r="O12" s="428">
        <f>+[4]안양!$H$13</f>
        <v>40479.252980067999</v>
      </c>
      <c r="P12" s="427">
        <f t="shared" si="3"/>
        <v>-5620.7470199320014</v>
      </c>
      <c r="Q12" s="429">
        <f>+[4]안양!$G$16</f>
        <v>15800</v>
      </c>
      <c r="R12" s="428">
        <f>+[4]안양!$H$16</f>
        <v>15016.148307256202</v>
      </c>
      <c r="S12" s="427">
        <f t="shared" si="4"/>
        <v>-783.85169274379768</v>
      </c>
      <c r="T12" s="429">
        <f>+[4]안양!$G$17</f>
        <v>15032.258064516132</v>
      </c>
      <c r="U12" s="428">
        <f>+[4]안양!$H$17</f>
        <v>14509.658753109723</v>
      </c>
      <c r="V12" s="427">
        <f t="shared" si="5"/>
        <v>-522.59931140640947</v>
      </c>
    </row>
    <row r="13" spans="1:22" ht="24" customHeight="1" x14ac:dyDescent="0.3">
      <c r="D13" s="353" t="s">
        <v>19</v>
      </c>
      <c r="E13" s="422">
        <f>+[4]인천!$G$9</f>
        <v>100000</v>
      </c>
      <c r="F13" s="421">
        <f>+[4]인천!$H$9</f>
        <v>99773.011824901638</v>
      </c>
      <c r="G13" s="420">
        <f t="shared" si="0"/>
        <v>-226.98817509836226</v>
      </c>
      <c r="H13" s="422">
        <f>+[4]인천!$G$10</f>
        <v>98000</v>
      </c>
      <c r="I13" s="421">
        <f>+[4]인천!$H$10</f>
        <v>98904.36541151299</v>
      </c>
      <c r="J13" s="420">
        <f t="shared" si="1"/>
        <v>904.36541151299025</v>
      </c>
      <c r="K13" s="422">
        <f>+[4]인천!$G$12</f>
        <v>64400.000000000007</v>
      </c>
      <c r="L13" s="421">
        <f>+[4]인천!$H$12</f>
        <v>62204.961095371051</v>
      </c>
      <c r="M13" s="420">
        <f t="shared" si="2"/>
        <v>-2195.0389046289565</v>
      </c>
      <c r="N13" s="422">
        <f>+[4]인천!$G$13</f>
        <v>47600</v>
      </c>
      <c r="O13" s="421">
        <f>+[4]인천!$H$13</f>
        <v>39807.128785778004</v>
      </c>
      <c r="P13" s="420">
        <f t="shared" si="3"/>
        <v>-7792.8712142219956</v>
      </c>
      <c r="Q13" s="422">
        <f>+[4]인천!$G$16</f>
        <v>16000</v>
      </c>
      <c r="R13" s="421">
        <f>+[4]인천!$H$16</f>
        <v>15349.748572450811</v>
      </c>
      <c r="S13" s="420">
        <f t="shared" si="4"/>
        <v>-650.25142754918852</v>
      </c>
      <c r="T13" s="422">
        <f>+[4]인천!$G$17</f>
        <v>14318.131256952169</v>
      </c>
      <c r="U13" s="421">
        <f>+[4]인천!$H$17</f>
        <v>13979.073374847685</v>
      </c>
      <c r="V13" s="420">
        <f t="shared" si="5"/>
        <v>-339.05788210448372</v>
      </c>
    </row>
    <row r="14" spans="1:22" ht="24" customHeight="1" x14ac:dyDescent="0.3">
      <c r="D14" s="353" t="s">
        <v>20</v>
      </c>
      <c r="E14" s="422">
        <f>+[4]파주!$G$9</f>
        <v>100000</v>
      </c>
      <c r="F14" s="421">
        <f>+[4]파주!$H$9</f>
        <v>100084.54401954563</v>
      </c>
      <c r="G14" s="420">
        <f t="shared" si="0"/>
        <v>84.544019545632182</v>
      </c>
      <c r="H14" s="422">
        <f>+[4]파주!$G$10</f>
        <v>0</v>
      </c>
      <c r="I14" s="421">
        <f>+[4]파주!$H$10</f>
        <v>0</v>
      </c>
      <c r="J14" s="420">
        <f t="shared" si="1"/>
        <v>0</v>
      </c>
      <c r="K14" s="422">
        <f>+[4]파주!$G$12</f>
        <v>64300.000000000015</v>
      </c>
      <c r="L14" s="421">
        <f>+[4]파주!$H$12</f>
        <v>62058.854848027353</v>
      </c>
      <c r="M14" s="420">
        <f t="shared" si="2"/>
        <v>-2241.1451519726616</v>
      </c>
      <c r="N14" s="422">
        <f>+[4]파주!$G$13</f>
        <v>48199.999999999993</v>
      </c>
      <c r="O14" s="421">
        <f>+[4]파주!$H$13</f>
        <v>42333.782256886887</v>
      </c>
      <c r="P14" s="420">
        <f t="shared" si="3"/>
        <v>-5866.2177431131058</v>
      </c>
      <c r="Q14" s="422">
        <f>+[4]파주!$G$16</f>
        <v>16333.333333333336</v>
      </c>
      <c r="R14" s="421">
        <f>+[4]파주!$H$16</f>
        <v>15707.421008294266</v>
      </c>
      <c r="S14" s="420">
        <f t="shared" si="4"/>
        <v>-625.9123250390694</v>
      </c>
      <c r="T14" s="422">
        <f>+[4]파주!$G$17</f>
        <v>12580.645161290324</v>
      </c>
      <c r="U14" s="421">
        <f>+[4]파주!$H$17</f>
        <v>11781.215823439585</v>
      </c>
      <c r="V14" s="420">
        <f t="shared" si="5"/>
        <v>-799.4293378507391</v>
      </c>
    </row>
    <row r="15" spans="1:22" ht="24" customHeight="1" x14ac:dyDescent="0.3">
      <c r="D15" s="353" t="s">
        <v>108</v>
      </c>
      <c r="E15" s="422">
        <f>+[4]김포!$G$9</f>
        <v>100000</v>
      </c>
      <c r="F15" s="421">
        <f>+[4]김포!$H$9</f>
        <v>100000</v>
      </c>
      <c r="G15" s="420">
        <f t="shared" si="0"/>
        <v>0</v>
      </c>
      <c r="H15" s="422">
        <f>+[4]김포!$G$10</f>
        <v>0</v>
      </c>
      <c r="I15" s="421">
        <f>+[4]김포!$H$10</f>
        <v>0</v>
      </c>
      <c r="J15" s="420">
        <f t="shared" si="1"/>
        <v>0</v>
      </c>
      <c r="K15" s="422">
        <f>+[4]김포!$G$12</f>
        <v>63800</v>
      </c>
      <c r="L15" s="421">
        <f>+[4]김포!$H$12</f>
        <v>61877.113195695485</v>
      </c>
      <c r="M15" s="420">
        <f t="shared" si="2"/>
        <v>-1922.886804304515</v>
      </c>
      <c r="N15" s="422">
        <f>+[4]김포!$G$13</f>
        <v>47600</v>
      </c>
      <c r="O15" s="421">
        <f>+[4]김포!$H$13</f>
        <v>42314.311110874449</v>
      </c>
      <c r="P15" s="420">
        <f t="shared" si="3"/>
        <v>-5285.6888891255512</v>
      </c>
      <c r="Q15" s="422">
        <f>+[4]김포!$G$16</f>
        <v>14600</v>
      </c>
      <c r="R15" s="421">
        <f>+[4]김포!$H$16</f>
        <v>14641.275723151979</v>
      </c>
      <c r="S15" s="420">
        <f t="shared" si="4"/>
        <v>41.275723151979037</v>
      </c>
      <c r="T15" s="422">
        <f>+[4]김포!$G$17</f>
        <v>13955.222114406079</v>
      </c>
      <c r="U15" s="421">
        <f>+[4]김포!$H$17</f>
        <v>14217.248890999263</v>
      </c>
      <c r="V15" s="420">
        <f t="shared" si="5"/>
        <v>262.02677659318397</v>
      </c>
    </row>
    <row r="16" spans="1:22" ht="24" customHeight="1" x14ac:dyDescent="0.3">
      <c r="D16" s="408" t="s">
        <v>21</v>
      </c>
      <c r="E16" s="425">
        <f>+[4]부산!$G$9</f>
        <v>100000</v>
      </c>
      <c r="F16" s="424">
        <f>+[4]부산!$H$9</f>
        <v>100000.00109378158</v>
      </c>
      <c r="G16" s="423">
        <f t="shared" si="0"/>
        <v>1.0937815823126584E-3</v>
      </c>
      <c r="H16" s="425">
        <f>+[4]부산!$G$10</f>
        <v>92899.999999999985</v>
      </c>
      <c r="I16" s="424">
        <f>+[4]부산!$H$10</f>
        <v>92240.050910528575</v>
      </c>
      <c r="J16" s="423">
        <f t="shared" si="1"/>
        <v>-659.94908947141084</v>
      </c>
      <c r="K16" s="425">
        <f>+[4]부산!$G$12</f>
        <v>0</v>
      </c>
      <c r="L16" s="424">
        <f>+[4]부산!$H$12</f>
        <v>0</v>
      </c>
      <c r="M16" s="423">
        <f t="shared" si="2"/>
        <v>0</v>
      </c>
      <c r="N16" s="425">
        <f>+[4]부산!$G$13</f>
        <v>36500.000000000007</v>
      </c>
      <c r="O16" s="424">
        <f>+[4]부산!$H$13</f>
        <v>34540.978548373139</v>
      </c>
      <c r="P16" s="423">
        <f t="shared" si="3"/>
        <v>-1959.0214516268679</v>
      </c>
      <c r="Q16" s="425">
        <f>+[4]부산!$G$16</f>
        <v>11711.806666666664</v>
      </c>
      <c r="R16" s="424">
        <f>+[4]부산!$H$16</f>
        <v>11839.416008513163</v>
      </c>
      <c r="S16" s="423">
        <f t="shared" si="4"/>
        <v>127.60934184649886</v>
      </c>
      <c r="T16" s="425">
        <f>+[4]부산!$G$17</f>
        <v>18098.229077374239</v>
      </c>
      <c r="U16" s="424">
        <f>+[4]부산!$H$17</f>
        <v>18258.553321556636</v>
      </c>
      <c r="V16" s="423">
        <f t="shared" si="5"/>
        <v>160.3242441823968</v>
      </c>
    </row>
    <row r="17" spans="4:25" ht="24" customHeight="1" x14ac:dyDescent="0.3">
      <c r="D17" s="353" t="s">
        <v>22</v>
      </c>
      <c r="E17" s="422">
        <f>+[4]서부산!$G$9</f>
        <v>100000</v>
      </c>
      <c r="F17" s="421">
        <f>+[4]서부산!$H$9</f>
        <v>100002.20796176858</v>
      </c>
      <c r="G17" s="420">
        <f t="shared" si="0"/>
        <v>2.2079617685812991</v>
      </c>
      <c r="H17" s="422">
        <f>+[4]서부산!$G$10</f>
        <v>92100</v>
      </c>
      <c r="I17" s="421">
        <f>+[4]서부산!$H$10</f>
        <v>92099.997153388817</v>
      </c>
      <c r="J17" s="420">
        <f t="shared" si="1"/>
        <v>-2.8466111834859475E-3</v>
      </c>
      <c r="K17" s="422">
        <f>+[4]서부산!$G$12</f>
        <v>65000</v>
      </c>
      <c r="L17" s="421">
        <f>+[4]서부산!$H$12</f>
        <v>63000.011110343883</v>
      </c>
      <c r="M17" s="420">
        <f t="shared" si="2"/>
        <v>-1999.988889656117</v>
      </c>
      <c r="N17" s="422">
        <f>+[4]서부산!$G$13</f>
        <v>35300</v>
      </c>
      <c r="O17" s="421">
        <f>+[4]서부산!$H$13</f>
        <v>33429.106257797153</v>
      </c>
      <c r="P17" s="420">
        <f t="shared" si="3"/>
        <v>-1870.8937422028466</v>
      </c>
      <c r="Q17" s="422">
        <f>+[4]서부산!$G$16</f>
        <v>11333.333333333334</v>
      </c>
      <c r="R17" s="421">
        <f>+[4]서부산!$H$16</f>
        <v>10673.850336461323</v>
      </c>
      <c r="S17" s="420">
        <f t="shared" si="4"/>
        <v>-659.48299687201143</v>
      </c>
      <c r="T17" s="422">
        <f>+[4]서부산!$G$17</f>
        <v>17721.836699799012</v>
      </c>
      <c r="U17" s="421">
        <f>+[4]서부산!$H$17</f>
        <v>16805.974880570695</v>
      </c>
      <c r="V17" s="420">
        <f t="shared" si="5"/>
        <v>-915.86181922831747</v>
      </c>
    </row>
    <row r="18" spans="4:25" ht="24" customHeight="1" x14ac:dyDescent="0.3">
      <c r="D18" s="353" t="s">
        <v>23</v>
      </c>
      <c r="E18" s="422">
        <f>+[4]김해!$G$9</f>
        <v>100000</v>
      </c>
      <c r="F18" s="421">
        <f>+[4]김해!$H$9</f>
        <v>100000</v>
      </c>
      <c r="G18" s="420">
        <f t="shared" si="0"/>
        <v>0</v>
      </c>
      <c r="H18" s="422">
        <f>+[4]김해!$G$10</f>
        <v>92100</v>
      </c>
      <c r="I18" s="421">
        <f>+[4]김해!$H$10</f>
        <v>92100.000558804051</v>
      </c>
      <c r="J18" s="420">
        <f t="shared" si="1"/>
        <v>5.5880405125208199E-4</v>
      </c>
      <c r="K18" s="422">
        <f>+[4]김해!$G$12</f>
        <v>64000</v>
      </c>
      <c r="L18" s="421">
        <f>+[4]김해!$H$12</f>
        <v>62017.025098575185</v>
      </c>
      <c r="M18" s="420">
        <f t="shared" si="2"/>
        <v>-1982.9749014248155</v>
      </c>
      <c r="N18" s="422">
        <f>+[4]김해!$G$13</f>
        <v>35000</v>
      </c>
      <c r="O18" s="421">
        <f>+[4]김해!$H$13</f>
        <v>33167.363393692023</v>
      </c>
      <c r="P18" s="420">
        <f t="shared" si="3"/>
        <v>-1832.6366063079768</v>
      </c>
      <c r="Q18" s="422">
        <f>+[4]김해!$G$16</f>
        <v>9066.6666666666679</v>
      </c>
      <c r="R18" s="421">
        <f>+[4]김해!$H$16</f>
        <v>9068.6200112422703</v>
      </c>
      <c r="S18" s="420">
        <f t="shared" si="4"/>
        <v>1.9533445756023866</v>
      </c>
      <c r="T18" s="422">
        <f>+[4]김해!$G$17</f>
        <v>15880.190628800196</v>
      </c>
      <c r="U18" s="421">
        <f>+[4]김해!$H$17</f>
        <v>16830.403258203485</v>
      </c>
      <c r="V18" s="420">
        <f t="shared" si="5"/>
        <v>950.21262940328961</v>
      </c>
    </row>
    <row r="19" spans="4:25" ht="24" customHeight="1" x14ac:dyDescent="0.3">
      <c r="D19" s="353" t="s">
        <v>24</v>
      </c>
      <c r="E19" s="422">
        <f>+[4]정관!$G$9</f>
        <v>100000</v>
      </c>
      <c r="F19" s="421">
        <f>+[4]정관!$H$9</f>
        <v>100000.09445566041</v>
      </c>
      <c r="G19" s="420">
        <f t="shared" si="0"/>
        <v>9.4455660408129916E-2</v>
      </c>
      <c r="H19" s="422">
        <f>+[4]정관!$G$10</f>
        <v>92100.000000000015</v>
      </c>
      <c r="I19" s="421">
        <f>+[4]정관!$H$10</f>
        <v>92100.002345785266</v>
      </c>
      <c r="J19" s="420">
        <f t="shared" si="1"/>
        <v>2.3457852512365207E-3</v>
      </c>
      <c r="K19" s="422">
        <f>+[4]정관!$G$12</f>
        <v>62000.000000000007</v>
      </c>
      <c r="L19" s="421">
        <f>+[4]정관!$H$12</f>
        <v>61115.710827362556</v>
      </c>
      <c r="M19" s="420">
        <f t="shared" si="2"/>
        <v>-884.28917263745097</v>
      </c>
      <c r="N19" s="422">
        <f>+[4]정관!$G$13</f>
        <v>35500.000000000007</v>
      </c>
      <c r="O19" s="421">
        <f>+[4]정관!$H$13</f>
        <v>33963.872646154152</v>
      </c>
      <c r="P19" s="420">
        <f t="shared" si="3"/>
        <v>-1536.1273538458554</v>
      </c>
      <c r="Q19" s="422">
        <f>+[4]정관!$G$16</f>
        <v>11362.368900781818</v>
      </c>
      <c r="R19" s="421">
        <f>+[4]정관!$H$16</f>
        <v>11364.525825293695</v>
      </c>
      <c r="S19" s="420">
        <f t="shared" si="4"/>
        <v>2.1569245118771505</v>
      </c>
      <c r="T19" s="422">
        <f>+[4]정관!$G$17</f>
        <v>19373.322747006874</v>
      </c>
      <c r="U19" s="421">
        <f>+[4]정관!$H$17</f>
        <v>18482.4027977443</v>
      </c>
      <c r="V19" s="420">
        <f t="shared" si="5"/>
        <v>-890.91994926257394</v>
      </c>
    </row>
    <row r="20" spans="4:25" ht="24" customHeight="1" x14ac:dyDescent="0.3">
      <c r="D20" s="353" t="s">
        <v>25</v>
      </c>
      <c r="E20" s="422">
        <f>+[4]양산!$G$9</f>
        <v>100000</v>
      </c>
      <c r="F20" s="421">
        <f>+[4]양산!$H$9</f>
        <v>100000.58009485556</v>
      </c>
      <c r="G20" s="420">
        <f t="shared" si="0"/>
        <v>0.58009485555521678</v>
      </c>
      <c r="H20" s="422">
        <f>+[4]양산!$G$10</f>
        <v>0</v>
      </c>
      <c r="I20" s="421">
        <f>+[4]양산!$H$10</f>
        <v>0</v>
      </c>
      <c r="J20" s="420">
        <f t="shared" si="1"/>
        <v>0</v>
      </c>
      <c r="K20" s="422">
        <f>+[4]양산!$G$12</f>
        <v>62200</v>
      </c>
      <c r="L20" s="421">
        <f>+[4]양산!$H$12</f>
        <v>60973.643016056849</v>
      </c>
      <c r="M20" s="420">
        <f t="shared" si="2"/>
        <v>-1226.3569839431511</v>
      </c>
      <c r="N20" s="422">
        <f>+[4]양산!$G$13</f>
        <v>36000</v>
      </c>
      <c r="O20" s="421">
        <f>+[4]양산!$H$13</f>
        <v>34071.79882190792</v>
      </c>
      <c r="P20" s="420">
        <f t="shared" si="3"/>
        <v>-1928.2011780920802</v>
      </c>
      <c r="Q20" s="422">
        <f>+[4]양산!$G$16</f>
        <v>9600</v>
      </c>
      <c r="R20" s="421">
        <f>+[4]양산!$H$16</f>
        <v>9424.7666656748133</v>
      </c>
      <c r="S20" s="420">
        <f t="shared" si="4"/>
        <v>-175.23333432518666</v>
      </c>
      <c r="T20" s="422">
        <f>+[4]양산!$G$17</f>
        <v>17974.860423314243</v>
      </c>
      <c r="U20" s="421">
        <f>+[4]양산!$H$17</f>
        <v>16672.031136560894</v>
      </c>
      <c r="V20" s="420">
        <f t="shared" si="5"/>
        <v>-1302.8292867533492</v>
      </c>
    </row>
    <row r="21" spans="4:25" ht="24" customHeight="1" x14ac:dyDescent="0.3">
      <c r="D21" s="353" t="s">
        <v>26</v>
      </c>
      <c r="E21" s="422">
        <f>+[4]창원!$G$9</f>
        <v>100000</v>
      </c>
      <c r="F21" s="421">
        <f>+[4]창원!$H$9</f>
        <v>100000.0014681592</v>
      </c>
      <c r="G21" s="420">
        <f t="shared" si="0"/>
        <v>1.4681592001579702E-3</v>
      </c>
      <c r="H21" s="422">
        <f>+[4]창원!$G$10</f>
        <v>0</v>
      </c>
      <c r="I21" s="421">
        <f>+[4]창원!$H$10</f>
        <v>0</v>
      </c>
      <c r="J21" s="420">
        <f t="shared" si="1"/>
        <v>0</v>
      </c>
      <c r="K21" s="422">
        <f>+[4]창원!$G$12</f>
        <v>64500</v>
      </c>
      <c r="L21" s="421">
        <f>+[4]창원!$H$12</f>
        <v>62999.998247874981</v>
      </c>
      <c r="M21" s="420">
        <f t="shared" si="2"/>
        <v>-1500.0017521250193</v>
      </c>
      <c r="N21" s="422">
        <f>+[4]창원!$G$13</f>
        <v>33000</v>
      </c>
      <c r="O21" s="421">
        <f>+[4]창원!$H$13</f>
        <v>31150.371365005652</v>
      </c>
      <c r="P21" s="420">
        <f t="shared" si="3"/>
        <v>-1849.6286349943475</v>
      </c>
      <c r="Q21" s="422">
        <f>+[4]창원!$G$16</f>
        <v>11000</v>
      </c>
      <c r="R21" s="421">
        <f>+[4]창원!$H$16</f>
        <v>11446.886870096792</v>
      </c>
      <c r="S21" s="420">
        <f t="shared" si="4"/>
        <v>446.88687009679234</v>
      </c>
      <c r="T21" s="422">
        <f>+[4]창원!$G$17</f>
        <v>17410.359576177849</v>
      </c>
      <c r="U21" s="421">
        <f>+[4]창원!$H$17</f>
        <v>16826.576162581969</v>
      </c>
      <c r="V21" s="420">
        <f t="shared" si="5"/>
        <v>-583.78341359588012</v>
      </c>
      <c r="Y21" s="426"/>
    </row>
    <row r="22" spans="4:25" ht="24" customHeight="1" x14ac:dyDescent="0.3">
      <c r="D22" s="353" t="s">
        <v>131</v>
      </c>
      <c r="E22" s="422">
        <f>+[4]대구!$G$9</f>
        <v>100000</v>
      </c>
      <c r="F22" s="421">
        <f>+[4]대구!$H$9</f>
        <v>100000.00000000012</v>
      </c>
      <c r="G22" s="420">
        <f t="shared" si="0"/>
        <v>1.1641532182693481E-10</v>
      </c>
      <c r="H22" s="422">
        <f>+[4]대구!$G$10</f>
        <v>0</v>
      </c>
      <c r="I22" s="421">
        <f>+[4]대구!$H$10</f>
        <v>96499.955606854273</v>
      </c>
      <c r="J22" s="420">
        <f t="shared" si="1"/>
        <v>96499.955606854273</v>
      </c>
      <c r="K22" s="422">
        <f>+[4]대구!$G$12</f>
        <v>61400</v>
      </c>
      <c r="L22" s="421">
        <f>+[4]대구!$H$12</f>
        <v>59229.146530778205</v>
      </c>
      <c r="M22" s="420">
        <f t="shared" si="2"/>
        <v>-2170.8534692217945</v>
      </c>
      <c r="N22" s="422">
        <f>+[4]대구!$G$13</f>
        <v>35300</v>
      </c>
      <c r="O22" s="421">
        <f>+[4]대구!$H$13</f>
        <v>33322.3895726638</v>
      </c>
      <c r="P22" s="420">
        <f t="shared" si="3"/>
        <v>-1977.6104273361998</v>
      </c>
      <c r="Q22" s="422">
        <f>+[4]대구!$G$16</f>
        <v>11133.333333333332</v>
      </c>
      <c r="R22" s="421">
        <f>+[4]대구!$H$16</f>
        <v>10939.052058105517</v>
      </c>
      <c r="S22" s="420">
        <f t="shared" si="4"/>
        <v>-194.28127522781506</v>
      </c>
      <c r="T22" s="422">
        <f>+[4]대구!$G$17</f>
        <v>14763.292547274748</v>
      </c>
      <c r="U22" s="421">
        <f>+[4]대구!$H$17</f>
        <v>14736.772520199695</v>
      </c>
      <c r="V22" s="420">
        <f t="shared" si="5"/>
        <v>-26.520027075053804</v>
      </c>
    </row>
    <row r="23" spans="4:25" ht="24" customHeight="1" x14ac:dyDescent="0.3">
      <c r="D23" s="353" t="s">
        <v>130</v>
      </c>
      <c r="E23" s="422">
        <f>+[4]울산!$G$9</f>
        <v>100000</v>
      </c>
      <c r="F23" s="421">
        <f>+[4]울산!$H$9</f>
        <v>100000.00000000001</v>
      </c>
      <c r="G23" s="420">
        <f t="shared" si="0"/>
        <v>0</v>
      </c>
      <c r="H23" s="422">
        <f>+[4]울산!$G$10</f>
        <v>0</v>
      </c>
      <c r="I23" s="421">
        <f>+[4]울산!$H$10</f>
        <v>0</v>
      </c>
      <c r="J23" s="420">
        <f t="shared" si="1"/>
        <v>0</v>
      </c>
      <c r="K23" s="422">
        <f>+[4]울산!$G$12</f>
        <v>60200</v>
      </c>
      <c r="L23" s="421">
        <f>+[4]울산!$H$12</f>
        <v>59200.072955481577</v>
      </c>
      <c r="M23" s="420">
        <f t="shared" si="2"/>
        <v>-999.92704451842292</v>
      </c>
      <c r="N23" s="422">
        <f>+[4]울산!$G$13</f>
        <v>37000</v>
      </c>
      <c r="O23" s="421">
        <f>+[4]울산!$H$13</f>
        <v>35011.970888184078</v>
      </c>
      <c r="P23" s="420">
        <f t="shared" si="3"/>
        <v>-1988.0291118159221</v>
      </c>
      <c r="Q23" s="422">
        <f>+[4]울산!$G$16</f>
        <v>11533.333333333334</v>
      </c>
      <c r="R23" s="421">
        <f>+[4]울산!$H$16</f>
        <v>11650.067426156542</v>
      </c>
      <c r="S23" s="420">
        <f t="shared" si="4"/>
        <v>116.7340928232079</v>
      </c>
      <c r="T23" s="422">
        <f>+[4]울산!$G$17</f>
        <v>19459.673714824246</v>
      </c>
      <c r="U23" s="421">
        <f>+[4]울산!$H$17</f>
        <v>20205.544258800714</v>
      </c>
      <c r="V23" s="420">
        <f t="shared" si="5"/>
        <v>745.87054397646716</v>
      </c>
    </row>
    <row r="24" spans="4:25" ht="24" customHeight="1" x14ac:dyDescent="0.3">
      <c r="D24" s="408" t="s">
        <v>27</v>
      </c>
      <c r="E24" s="425">
        <f>+[4]아산!$G$9</f>
        <v>100000</v>
      </c>
      <c r="F24" s="424">
        <f>+[4]아산!$H$9</f>
        <v>99809.58999435381</v>
      </c>
      <c r="G24" s="423">
        <f t="shared" si="0"/>
        <v>-190.41000564619026</v>
      </c>
      <c r="H24" s="425">
        <f>+[4]아산!$G$10</f>
        <v>86800</v>
      </c>
      <c r="I24" s="424">
        <f>+[4]아산!$H$10</f>
        <v>86599.972671764728</v>
      </c>
      <c r="J24" s="423">
        <f t="shared" si="1"/>
        <v>-200.02732823527185</v>
      </c>
      <c r="K24" s="425">
        <f>+[4]아산!$G$12</f>
        <v>64300</v>
      </c>
      <c r="L24" s="424">
        <f>+[4]아산!$H$12</f>
        <v>62155.104664050778</v>
      </c>
      <c r="M24" s="423">
        <f t="shared" si="2"/>
        <v>-2144.8953359492225</v>
      </c>
      <c r="N24" s="425">
        <f>+[4]아산!$G$13</f>
        <v>42900.000000000007</v>
      </c>
      <c r="O24" s="424">
        <f>+[4]아산!$H$13</f>
        <v>34713.652908479613</v>
      </c>
      <c r="P24" s="423">
        <f t="shared" si="3"/>
        <v>-8186.3470915203943</v>
      </c>
      <c r="Q24" s="425">
        <f>+[4]아산!$G$16</f>
        <v>11399.999999999998</v>
      </c>
      <c r="R24" s="424">
        <f>+[4]아산!$H$16</f>
        <v>10855.887335503729</v>
      </c>
      <c r="S24" s="423">
        <f t="shared" si="4"/>
        <v>-544.11266449626964</v>
      </c>
      <c r="T24" s="425">
        <f>+[4]아산!$G$17</f>
        <v>13225.806451612902</v>
      </c>
      <c r="U24" s="424">
        <f>+[4]아산!$H$17</f>
        <v>12567.671232650584</v>
      </c>
      <c r="V24" s="423">
        <f t="shared" si="5"/>
        <v>-658.13521896231759</v>
      </c>
    </row>
    <row r="25" spans="4:25" ht="24" customHeight="1" x14ac:dyDescent="0.3">
      <c r="D25" s="353" t="s">
        <v>129</v>
      </c>
      <c r="E25" s="422">
        <f>+[4]전주!$G$9</f>
        <v>99999.999999999985</v>
      </c>
      <c r="F25" s="421">
        <f>+[4]전주!$H$9</f>
        <v>99999.999446082846</v>
      </c>
      <c r="G25" s="420">
        <f t="shared" si="0"/>
        <v>-5.5391713976860046E-4</v>
      </c>
      <c r="H25" s="422">
        <f>+[4]전주!$G$10</f>
        <v>96800</v>
      </c>
      <c r="I25" s="421">
        <f>+[4]전주!$H$10</f>
        <v>0</v>
      </c>
      <c r="J25" s="420">
        <f t="shared" si="1"/>
        <v>-96800</v>
      </c>
      <c r="K25" s="422">
        <f>+[4]전주!$G$12</f>
        <v>65000</v>
      </c>
      <c r="L25" s="421">
        <f>+[4]전주!$H$12</f>
        <v>62000.027001335555</v>
      </c>
      <c r="M25" s="420">
        <f t="shared" si="2"/>
        <v>-2999.9729986644452</v>
      </c>
      <c r="N25" s="422">
        <f>+[4]전주!$G$13</f>
        <v>36000</v>
      </c>
      <c r="O25" s="421">
        <f>+[4]전주!$H$13</f>
        <v>34086.631003396185</v>
      </c>
      <c r="P25" s="420">
        <f t="shared" si="3"/>
        <v>-1913.3689966038146</v>
      </c>
      <c r="Q25" s="422">
        <f>+[4]전주!$G$16</f>
        <v>13333.333333333332</v>
      </c>
      <c r="R25" s="421">
        <f>+[4]전주!$H$16</f>
        <v>14842.806139534883</v>
      </c>
      <c r="S25" s="420">
        <f t="shared" si="4"/>
        <v>1509.4728062015511</v>
      </c>
      <c r="T25" s="422">
        <f>+[4]전주!$G$17</f>
        <v>15310.195807375589</v>
      </c>
      <c r="U25" s="421">
        <f>+[4]전주!$H$17</f>
        <v>15948.75014808673</v>
      </c>
      <c r="V25" s="420">
        <f t="shared" si="5"/>
        <v>638.55434071114178</v>
      </c>
    </row>
    <row r="26" spans="4:25" ht="24" customHeight="1" x14ac:dyDescent="0.3">
      <c r="D26" s="353" t="s">
        <v>128</v>
      </c>
      <c r="E26" s="422">
        <f>+[4]군산!$G$9</f>
        <v>100000</v>
      </c>
      <c r="F26" s="421">
        <f>+[4]군산!$H$9</f>
        <v>99999.999999999971</v>
      </c>
      <c r="G26" s="420">
        <f t="shared" si="0"/>
        <v>0</v>
      </c>
      <c r="H26" s="422">
        <f>+[4]군산!$G$10</f>
        <v>94200</v>
      </c>
      <c r="I26" s="421">
        <f>+[4]군산!$H$10</f>
        <v>93103.453683779968</v>
      </c>
      <c r="J26" s="420">
        <f t="shared" si="1"/>
        <v>-1096.5463162200322</v>
      </c>
      <c r="K26" s="422">
        <f>+[4]군산!$G$12</f>
        <v>64900.000000000007</v>
      </c>
      <c r="L26" s="421">
        <f>+[4]군산!$H$12</f>
        <v>63404.928863564863</v>
      </c>
      <c r="M26" s="420">
        <f t="shared" si="2"/>
        <v>-1495.0711364351446</v>
      </c>
      <c r="N26" s="422">
        <f>+[4]군산!$G$13</f>
        <v>39300</v>
      </c>
      <c r="O26" s="421">
        <f>+[4]군산!$H$13</f>
        <v>29923.97723670179</v>
      </c>
      <c r="P26" s="420">
        <f t="shared" si="3"/>
        <v>-9376.0227632982096</v>
      </c>
      <c r="Q26" s="422">
        <f>+[4]군산!$G$16</f>
        <v>14200</v>
      </c>
      <c r="R26" s="421">
        <f>+[4]군산!$H$16</f>
        <v>15165.282232306172</v>
      </c>
      <c r="S26" s="420">
        <f t="shared" si="4"/>
        <v>965.28223230617186</v>
      </c>
      <c r="T26" s="422">
        <f>+[4]군산!$G$17</f>
        <v>15212.903225806449</v>
      </c>
      <c r="U26" s="421">
        <f>+[4]군산!$H$17</f>
        <v>15408.674279620151</v>
      </c>
      <c r="V26" s="420">
        <f t="shared" si="5"/>
        <v>195.77105381370166</v>
      </c>
    </row>
    <row r="27" spans="4:25" ht="24" customHeight="1" x14ac:dyDescent="0.3">
      <c r="D27" s="353" t="s">
        <v>127</v>
      </c>
      <c r="E27" s="422">
        <f>+[4]원주!$G$9</f>
        <v>100000</v>
      </c>
      <c r="F27" s="421">
        <f>+[4]원주!$H$9</f>
        <v>100000.00000000001</v>
      </c>
      <c r="G27" s="420">
        <f t="shared" si="0"/>
        <v>0</v>
      </c>
      <c r="H27" s="422">
        <f>+[4]원주!$G$10</f>
        <v>0</v>
      </c>
      <c r="I27" s="421">
        <f>+[4]원주!$H$10</f>
        <v>0</v>
      </c>
      <c r="J27" s="420">
        <f t="shared" si="1"/>
        <v>0</v>
      </c>
      <c r="K27" s="422">
        <f>+[4]원주!$G$12</f>
        <v>64000</v>
      </c>
      <c r="L27" s="421">
        <f>+[4]원주!$H$12</f>
        <v>62011.914276686315</v>
      </c>
      <c r="M27" s="420">
        <f t="shared" si="2"/>
        <v>-1988.0857233136849</v>
      </c>
      <c r="N27" s="422">
        <f>+[4]원주!$G$13</f>
        <v>49000</v>
      </c>
      <c r="O27" s="421">
        <f>+[4]원주!$H$13</f>
        <v>45253.546915655686</v>
      </c>
      <c r="P27" s="420">
        <f t="shared" si="3"/>
        <v>-3746.4530843443135</v>
      </c>
      <c r="Q27" s="422">
        <f>+[4]원주!$G$16</f>
        <v>13666.666666666664</v>
      </c>
      <c r="R27" s="421">
        <f>+[4]원주!$H$16</f>
        <v>12407.969575371426</v>
      </c>
      <c r="S27" s="420">
        <f t="shared" si="4"/>
        <v>-1258.6970912952384</v>
      </c>
      <c r="T27" s="422">
        <f>+[4]원주!$G$17</f>
        <v>13806.451612903225</v>
      </c>
      <c r="U27" s="421">
        <f>+[4]원주!$H$17</f>
        <v>12213.873162144246</v>
      </c>
      <c r="V27" s="420">
        <f t="shared" si="5"/>
        <v>-1592.5784507589797</v>
      </c>
    </row>
    <row r="28" spans="4:25" ht="24" customHeight="1" x14ac:dyDescent="0.3">
      <c r="D28" s="348" t="s">
        <v>126</v>
      </c>
      <c r="E28" s="419">
        <f>+[4]제주!$G$9</f>
        <v>117000</v>
      </c>
      <c r="F28" s="418">
        <f>+[4]제주!$H$9</f>
        <v>116999.99998582674</v>
      </c>
      <c r="G28" s="417">
        <f t="shared" si="0"/>
        <v>-1.4173259842209518E-5</v>
      </c>
      <c r="H28" s="419">
        <f>+[4]제주!$G$10</f>
        <v>117000</v>
      </c>
      <c r="I28" s="418">
        <f>+[4]제주!$H$10</f>
        <v>116999.96935288404</v>
      </c>
      <c r="J28" s="417">
        <f t="shared" si="1"/>
        <v>-3.064711595652625E-2</v>
      </c>
      <c r="K28" s="419">
        <f>+[4]제주!$G$12</f>
        <v>0</v>
      </c>
      <c r="L28" s="418">
        <f>+[4]제주!$H$12</f>
        <v>0</v>
      </c>
      <c r="M28" s="417">
        <f t="shared" si="2"/>
        <v>0</v>
      </c>
      <c r="N28" s="419">
        <f>+[4]제주!$G$13</f>
        <v>0</v>
      </c>
      <c r="O28" s="418">
        <f>+[4]제주!$H$13</f>
        <v>0</v>
      </c>
      <c r="P28" s="417">
        <f t="shared" si="3"/>
        <v>0</v>
      </c>
      <c r="Q28" s="419">
        <f>+[4]제주!$G$16</f>
        <v>17666.666666666668</v>
      </c>
      <c r="R28" s="418">
        <f>+[4]제주!$H$16</f>
        <v>18047.263475476313</v>
      </c>
      <c r="S28" s="417">
        <f t="shared" si="4"/>
        <v>380.59680880964515</v>
      </c>
      <c r="T28" s="419">
        <f>+[4]제주!$G$17</f>
        <v>17551.55520645791</v>
      </c>
      <c r="U28" s="418">
        <f>+[4]제주!$H$17</f>
        <v>19626.790697027925</v>
      </c>
      <c r="V28" s="417">
        <f t="shared" si="5"/>
        <v>2075.2354905700158</v>
      </c>
    </row>
    <row r="29" spans="4:25" ht="24" customHeight="1" x14ac:dyDescent="0.3"/>
    <row r="30" spans="4:25" ht="24" customHeight="1" x14ac:dyDescent="0.3"/>
    <row r="31" spans="4:25" ht="24" customHeight="1" x14ac:dyDescent="0.3"/>
    <row r="32" spans="4:25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EB6A-81D7-4E96-B8DE-9C67D6DAAE69}">
  <sheetPr>
    <tabColor theme="1" tint="0.34998626667073579"/>
    <pageSetUpPr fitToPage="1"/>
  </sheetPr>
  <dimension ref="A1:V52"/>
  <sheetViews>
    <sheetView showGridLines="0" showZeros="0" view="pageBreakPreview" zoomScale="60" zoomScaleNormal="85" workbookViewId="0">
      <pane xSplit="4" ySplit="7" topLeftCell="E8" activePane="bottomRight" state="frozen"/>
      <selection activeCell="M16" sqref="M16"/>
      <selection pane="topRight" activeCell="M16" sqref="M16"/>
      <selection pane="bottomLeft" activeCell="M16" sqref="M16"/>
      <selection pane="bottomRight" activeCell="M16" sqref="M16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203</v>
      </c>
      <c r="F4" s="398"/>
      <c r="I4" s="398"/>
    </row>
    <row r="5" spans="1:22" ht="21.95" customHeight="1" x14ac:dyDescent="0.3">
      <c r="V5" s="397" t="s">
        <v>159</v>
      </c>
    </row>
    <row r="6" spans="1:22" ht="24" customHeight="1" thickBot="1" x14ac:dyDescent="0.35">
      <c r="A6" s="6" t="s">
        <v>139</v>
      </c>
      <c r="D6" s="650" t="s">
        <v>11</v>
      </c>
      <c r="E6" s="396" t="s">
        <v>158</v>
      </c>
      <c r="F6" s="395"/>
      <c r="G6" s="394"/>
      <c r="H6" s="396" t="s">
        <v>157</v>
      </c>
      <c r="I6" s="395"/>
      <c r="J6" s="394"/>
      <c r="K6" s="396" t="s">
        <v>156</v>
      </c>
      <c r="L6" s="395"/>
      <c r="M6" s="394"/>
      <c r="N6" s="396" t="s">
        <v>155</v>
      </c>
      <c r="O6" s="395"/>
      <c r="P6" s="394"/>
      <c r="Q6" s="396" t="s">
        <v>154</v>
      </c>
      <c r="R6" s="395"/>
      <c r="S6" s="394"/>
      <c r="T6" s="396" t="s">
        <v>153</v>
      </c>
      <c r="U6" s="395"/>
      <c r="V6" s="394"/>
    </row>
    <row r="7" spans="1:22" ht="24" customHeight="1" x14ac:dyDescent="0.3">
      <c r="D7" s="651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386">
        <f>+[4]합계!$E$9</f>
        <v>243.08258744266607</v>
      </c>
      <c r="F8" s="385">
        <f>+[4]합계!$F$9</f>
        <v>232.02391955488213</v>
      </c>
      <c r="G8" s="416">
        <f t="shared" ref="G8:G28" si="0">+F8-E8</f>
        <v>-11.05866788778394</v>
      </c>
      <c r="H8" s="386">
        <f>+[4]합계!$E$15</f>
        <v>362.76442864316869</v>
      </c>
      <c r="I8" s="385">
        <f>+[4]합계!$F$15</f>
        <v>366.36054596614224</v>
      </c>
      <c r="J8" s="416">
        <f t="shared" ref="J8:J28" si="1">+I8-H8</f>
        <v>3.596117322973555</v>
      </c>
      <c r="K8" s="478">
        <f>+([4]합계!$E$10*0.4+[4]합계!$E$11+[4]합계!$E$12+[4]합계!$E$13+[4]합계!$E$14)/[4]합계!$E$15</f>
        <v>0.27379520598139323</v>
      </c>
      <c r="L8" s="477">
        <f>+([4]합계!$F$10*0.4+[4]합계!$F$11+[4]합계!$F$12+[4]합계!$F$13+[4]합계!$F$14)/[4]합계!$F$15</f>
        <v>0.28811213435002275</v>
      </c>
      <c r="M8" s="476">
        <f t="shared" ref="M8:M28" si="2">+L8-K8</f>
        <v>1.4316928368629522E-2</v>
      </c>
      <c r="N8" s="386">
        <f>+[4]합계!$E$16</f>
        <v>820.9911820334878</v>
      </c>
      <c r="O8" s="385">
        <f>+[4]합계!$F$16</f>
        <v>796.15650084207164</v>
      </c>
      <c r="P8" s="416">
        <f t="shared" ref="P8:P28" si="3">+O8-N8</f>
        <v>-24.834681191416166</v>
      </c>
      <c r="Q8" s="386">
        <f>+[4]합계!$E$17</f>
        <v>900.66077822591012</v>
      </c>
      <c r="R8" s="385">
        <f>+[4]합계!$F$17</f>
        <v>907.28045313445261</v>
      </c>
      <c r="S8" s="416">
        <f t="shared" ref="S8:S28" si="4">+R8-Q8</f>
        <v>6.6196749085424926</v>
      </c>
      <c r="T8" s="386">
        <f>+[4]합계!$E$19</f>
        <v>3.1189328871719852</v>
      </c>
      <c r="U8" s="385">
        <f>+[4]합계!$F$19</f>
        <v>3.0040697397854546</v>
      </c>
      <c r="V8" s="416">
        <f t="shared" ref="V8:V28" si="5">+U8-T8</f>
        <v>-0.1148631473865307</v>
      </c>
    </row>
    <row r="9" spans="1:22" ht="24" customHeight="1" x14ac:dyDescent="0.3">
      <c r="D9" s="382" t="s">
        <v>16</v>
      </c>
      <c r="E9" s="381">
        <f>+[4]수도권!$E$9</f>
        <v>267.9438725490196</v>
      </c>
      <c r="F9" s="380">
        <f>+[4]수도권!$F$9</f>
        <v>260.8619900480715</v>
      </c>
      <c r="G9" s="415">
        <f t="shared" si="0"/>
        <v>-7.0818825009480975</v>
      </c>
      <c r="H9" s="381">
        <f>+[4]수도권!$E$15</f>
        <v>368.61117647058825</v>
      </c>
      <c r="I9" s="380">
        <f>+[4]수도권!$F$15</f>
        <v>378.61952690501778</v>
      </c>
      <c r="J9" s="415">
        <f t="shared" si="1"/>
        <v>10.008350434429531</v>
      </c>
      <c r="K9" s="475">
        <f>+([4]수도권!$E$10*0.4+[4]수도권!$E$11+[4]수도권!$E$12+[4]수도권!$E$13+[4]수도권!$E$14)/[4]수도권!$E$15</f>
        <v>0.26351442643478407</v>
      </c>
      <c r="L9" s="474">
        <f>+([4]수도권!$F$10*0.4+[4]수도권!$F$11+[4]수도권!$F$12+[4]수도권!$F$13+[4]수도권!$F$14)/[4]수도권!$F$15</f>
        <v>0.28099940423652847</v>
      </c>
      <c r="M9" s="473">
        <f t="shared" si="2"/>
        <v>1.7484977801744406E-2</v>
      </c>
      <c r="N9" s="381">
        <f>+[4]수도권!$E$16</f>
        <v>859.84905910026225</v>
      </c>
      <c r="O9" s="380">
        <f>+[4]수도권!$F$16</f>
        <v>820.31394620509968</v>
      </c>
      <c r="P9" s="415">
        <f t="shared" si="3"/>
        <v>-39.53511289516257</v>
      </c>
      <c r="Q9" s="381">
        <f>+[4]수도권!$E$17</f>
        <v>871.12520990853773</v>
      </c>
      <c r="R9" s="380">
        <f>+[4]수도권!$F$17</f>
        <v>903.76962181973113</v>
      </c>
      <c r="S9" s="415">
        <f t="shared" si="4"/>
        <v>32.644411911193401</v>
      </c>
      <c r="T9" s="381">
        <f>+[4]수도권!$E$19</f>
        <v>3.1776470588235295</v>
      </c>
      <c r="U9" s="380">
        <f>+[4]수도권!$F$19</f>
        <v>3.1371000979126324</v>
      </c>
      <c r="V9" s="415">
        <f t="shared" si="5"/>
        <v>-4.0546960910897045E-2</v>
      </c>
    </row>
    <row r="10" spans="1:22" ht="24" customHeight="1" x14ac:dyDescent="0.3">
      <c r="D10" s="377" t="s">
        <v>17</v>
      </c>
      <c r="E10" s="376">
        <f>+[4]영남권!$E$9</f>
        <v>216.26155013697669</v>
      </c>
      <c r="F10" s="375">
        <f>+[4]영남권!$F$9</f>
        <v>200.80105983663171</v>
      </c>
      <c r="G10" s="414">
        <f t="shared" si="0"/>
        <v>-15.460490300344986</v>
      </c>
      <c r="H10" s="376">
        <f>+[4]영남권!$E$15</f>
        <v>359.82220416262271</v>
      </c>
      <c r="I10" s="375">
        <f>+[4]영남권!$F$15</f>
        <v>359.02093686225487</v>
      </c>
      <c r="J10" s="414">
        <f t="shared" si="1"/>
        <v>-0.80126730036784011</v>
      </c>
      <c r="K10" s="472">
        <f>+([4]영남권!$E$10*0.4+[4]영남권!$E$11+[4]영남권!$E$12+[4]영남권!$E$13+[4]영남권!$E$14)/[4]영남권!$E$15</f>
        <v>0.29881650973291302</v>
      </c>
      <c r="L10" s="471">
        <f>+([4]영남권!$F$10*0.4+[4]영남권!$F$11+[4]영남권!$F$12+[4]영남권!$F$13+[4]영남권!$F$14)/[4]영남권!$F$15</f>
        <v>0.30470283237831547</v>
      </c>
      <c r="M10" s="470">
        <f t="shared" si="2"/>
        <v>5.8863226454024531E-3</v>
      </c>
      <c r="N10" s="376">
        <f>+[4]영남권!$E$16</f>
        <v>794.91093357087448</v>
      </c>
      <c r="O10" s="375">
        <f>+[4]영남권!$F$16</f>
        <v>786.49447089905209</v>
      </c>
      <c r="P10" s="414">
        <f t="shared" si="3"/>
        <v>-8.4164626718223872</v>
      </c>
      <c r="Q10" s="376">
        <f>+[4]영남권!$E$17</f>
        <v>914.45799019793662</v>
      </c>
      <c r="R10" s="375">
        <f>+[4]영남권!$F$17</f>
        <v>895.5535692627335</v>
      </c>
      <c r="S10" s="414">
        <f t="shared" si="4"/>
        <v>-18.90442093520312</v>
      </c>
      <c r="T10" s="376">
        <f>+[4]영남권!$E$19</f>
        <v>3.279827763032261</v>
      </c>
      <c r="U10" s="375">
        <f>+[4]영남권!$F$19</f>
        <v>2.909303865888321</v>
      </c>
      <c r="V10" s="414">
        <f t="shared" si="5"/>
        <v>-0.37052389714393996</v>
      </c>
    </row>
    <row r="11" spans="1:22" ht="24" customHeight="1" x14ac:dyDescent="0.3">
      <c r="D11" s="372" t="s">
        <v>132</v>
      </c>
      <c r="E11" s="371">
        <f>+[4]중부권!$E$9</f>
        <v>252.81272727272724</v>
      </c>
      <c r="F11" s="370">
        <f>+[4]중부권!$F$9</f>
        <v>259.0797772188285</v>
      </c>
      <c r="G11" s="413">
        <f t="shared" si="0"/>
        <v>6.2670499461012525</v>
      </c>
      <c r="H11" s="371">
        <f>+[4]중부권!$E$15</f>
        <v>358.04654545454542</v>
      </c>
      <c r="I11" s="370">
        <f>+[4]중부권!$F$15</f>
        <v>362.31257635644977</v>
      </c>
      <c r="J11" s="413">
        <f t="shared" si="1"/>
        <v>4.2660309019043439</v>
      </c>
      <c r="K11" s="469">
        <f>+([4]중부권!$E$10*0.4+[4]중부권!$E$11+[4]중부권!$E$12+[4]중부권!$E$13+[4]중부권!$E$14)/[4]중부권!$E$15</f>
        <v>0.24107581746608872</v>
      </c>
      <c r="L11" s="468">
        <f>+([4]중부권!$F$10*0.4+[4]중부권!$F$11+[4]중부권!$F$12+[4]중부권!$F$13+[4]중부권!$F$14)/[4]중부권!$F$15</f>
        <v>0.25914404404413344</v>
      </c>
      <c r="M11" s="467">
        <f t="shared" si="2"/>
        <v>1.8068226578044716E-2</v>
      </c>
      <c r="N11" s="371">
        <f>+[4]중부권!$E$16</f>
        <v>803.22181818181809</v>
      </c>
      <c r="O11" s="370">
        <f>+[4]중부권!$F$16</f>
        <v>775.59643646866971</v>
      </c>
      <c r="P11" s="413">
        <f t="shared" si="3"/>
        <v>-27.625381713148386</v>
      </c>
      <c r="Q11" s="371">
        <f>+[4]중부권!$E$17</f>
        <v>926.71254545454553</v>
      </c>
      <c r="R11" s="370">
        <f>+[4]중부권!$F$17</f>
        <v>944.68188686807252</v>
      </c>
      <c r="S11" s="413">
        <f t="shared" si="4"/>
        <v>17.96934141352699</v>
      </c>
      <c r="T11" s="371">
        <f>+[4]중부권!$E$19</f>
        <v>2.6750909090909092</v>
      </c>
      <c r="U11" s="370">
        <f>+[4]중부권!$F$19</f>
        <v>2.9997655269631553</v>
      </c>
      <c r="V11" s="413">
        <f t="shared" si="5"/>
        <v>0.32467461787224616</v>
      </c>
    </row>
    <row r="12" spans="1:22" ht="24" customHeight="1" x14ac:dyDescent="0.3">
      <c r="D12" s="412" t="s">
        <v>18</v>
      </c>
      <c r="E12" s="365">
        <f>+[4]안양!$E$9</f>
        <v>279</v>
      </c>
      <c r="F12" s="364">
        <f>+[4]안양!$F$9</f>
        <v>291.90672604082346</v>
      </c>
      <c r="G12" s="366">
        <f t="shared" si="0"/>
        <v>12.906726040823457</v>
      </c>
      <c r="H12" s="365">
        <f>+[4]안양!$E$15</f>
        <v>373</v>
      </c>
      <c r="I12" s="364">
        <f>+[4]안양!$F$15</f>
        <v>370.93117398900603</v>
      </c>
      <c r="J12" s="366">
        <f t="shared" si="1"/>
        <v>-2.0688260109939733</v>
      </c>
      <c r="K12" s="466">
        <f>+([4]안양!$E$10*0.4+[4]안양!$E$11+[4]안양!$E$12+[4]안양!$E$13+[4]안양!$E$14)/[4]안양!$E$15</f>
        <v>0.25201072386058981</v>
      </c>
      <c r="L12" s="465">
        <f>+([4]안양!$F$10*0.4+[4]안양!$F$11+[4]안양!$F$12+[4]안양!$F$13+[4]안양!$F$14)/[4]안양!$F$15</f>
        <v>0.21304342554536757</v>
      </c>
      <c r="M12" s="464">
        <f t="shared" si="2"/>
        <v>-3.8967298315222249E-2</v>
      </c>
      <c r="N12" s="365">
        <f>+[4]안양!$E$16</f>
        <v>846</v>
      </c>
      <c r="O12" s="364">
        <f>+[4]안양!$F$16</f>
        <v>816.56709421741152</v>
      </c>
      <c r="P12" s="366">
        <f t="shared" si="3"/>
        <v>-29.432905782588477</v>
      </c>
      <c r="Q12" s="365">
        <f>+[4]안양!$E$17</f>
        <v>875</v>
      </c>
      <c r="R12" s="364">
        <f>+[4]안양!$F$17</f>
        <v>885.90957514808019</v>
      </c>
      <c r="S12" s="366">
        <f t="shared" si="4"/>
        <v>10.909575148080194</v>
      </c>
      <c r="T12" s="463">
        <f>+[4]안양!$E$19</f>
        <v>3.38</v>
      </c>
      <c r="U12" s="462">
        <f>+[4]안양!$F$19</f>
        <v>3.0938594622235462</v>
      </c>
      <c r="V12" s="461">
        <f t="shared" si="5"/>
        <v>-0.28614053777645365</v>
      </c>
    </row>
    <row r="13" spans="1:22" ht="24" customHeight="1" x14ac:dyDescent="0.3">
      <c r="D13" s="353" t="s">
        <v>19</v>
      </c>
      <c r="E13" s="351">
        <f>+[4]인천!$E$9</f>
        <v>265.64999999999992</v>
      </c>
      <c r="F13" s="350">
        <f>+[4]인천!$F$9</f>
        <v>238.78038454807941</v>
      </c>
      <c r="G13" s="352">
        <f t="shared" si="0"/>
        <v>-26.869615451920509</v>
      </c>
      <c r="H13" s="351">
        <f>+[4]인천!$E$15</f>
        <v>384.99999999999994</v>
      </c>
      <c r="I13" s="350">
        <f>+[4]인천!$F$15</f>
        <v>399.69827981450686</v>
      </c>
      <c r="J13" s="352">
        <f t="shared" si="1"/>
        <v>14.698279814506918</v>
      </c>
      <c r="K13" s="454">
        <f>+([4]인천!$E$10*0.4+[4]인천!$E$11+[4]인천!$E$12+[4]인천!$E$13+[4]인천!$E$14)/[4]인천!$E$15</f>
        <v>0.27400000000000002</v>
      </c>
      <c r="L13" s="453">
        <f>+([4]인천!$F$10*0.4+[4]인천!$F$11+[4]인천!$F$12+[4]인천!$F$13+[4]인천!$F$14)/[4]인천!$F$15</f>
        <v>0.31711694623167108</v>
      </c>
      <c r="M13" s="452">
        <f t="shared" si="2"/>
        <v>4.3116946231671061E-2</v>
      </c>
      <c r="N13" s="351">
        <f>+[4]인천!$E$16</f>
        <v>901.37380877795181</v>
      </c>
      <c r="O13" s="350">
        <f>+[4]인천!$F$16</f>
        <v>851.03333624989114</v>
      </c>
      <c r="P13" s="352">
        <f t="shared" si="3"/>
        <v>-50.340472528060673</v>
      </c>
      <c r="Q13" s="351">
        <f>+[4]인천!$E$17</f>
        <v>832.03736194887858</v>
      </c>
      <c r="R13" s="350">
        <f>+[4]인천!$F$17</f>
        <v>858.78729547641956</v>
      </c>
      <c r="S13" s="352">
        <f t="shared" si="4"/>
        <v>26.749933527540975</v>
      </c>
      <c r="T13" s="451">
        <f>+[4]인천!$E$19</f>
        <v>3.33</v>
      </c>
      <c r="U13" s="450">
        <f>+[4]인천!$F$19</f>
        <v>3.2651566191267838</v>
      </c>
      <c r="V13" s="449">
        <f t="shared" si="5"/>
        <v>-6.4843380873216283E-2</v>
      </c>
    </row>
    <row r="14" spans="1:22" ht="24" customHeight="1" x14ac:dyDescent="0.3">
      <c r="D14" s="353" t="s">
        <v>20</v>
      </c>
      <c r="E14" s="351">
        <f>+[4]파주!$E$9</f>
        <v>277.24431818181819</v>
      </c>
      <c r="F14" s="350">
        <f>+[4]파주!$F$9</f>
        <v>269.64856950067457</v>
      </c>
      <c r="G14" s="352">
        <f t="shared" si="0"/>
        <v>-7.5957486811436183</v>
      </c>
      <c r="H14" s="351">
        <f>+[4]파주!$E$15</f>
        <v>358.83363636363634</v>
      </c>
      <c r="I14" s="350">
        <f>+[4]파주!$F$15</f>
        <v>372.60697705802954</v>
      </c>
      <c r="J14" s="352">
        <f t="shared" si="1"/>
        <v>13.773340694393198</v>
      </c>
      <c r="K14" s="454">
        <f>+([4]파주!$E$10*0.4+[4]파주!$E$11+[4]파주!$E$12+[4]파주!$E$13+[4]파주!$E$14)/[4]파주!$E$15</f>
        <v>0.22737366264944253</v>
      </c>
      <c r="L14" s="453">
        <f>+([4]파주!$F$10*0.4+[4]파주!$F$11+[4]파주!$F$12+[4]파주!$F$13+[4]파주!$F$14)/[4]파주!$F$15</f>
        <v>0.27631905438346172</v>
      </c>
      <c r="M14" s="452">
        <f t="shared" si="2"/>
        <v>4.8945391734019184E-2</v>
      </c>
      <c r="N14" s="351">
        <f>+[4]파주!$E$16</f>
        <v>870.85840909090905</v>
      </c>
      <c r="O14" s="350">
        <f>+[4]파주!$F$16</f>
        <v>813.24362943557981</v>
      </c>
      <c r="P14" s="352">
        <f t="shared" si="3"/>
        <v>-57.614779655329244</v>
      </c>
      <c r="Q14" s="351">
        <f>+[4]파주!$E$17</f>
        <v>866.44545454545448</v>
      </c>
      <c r="R14" s="350">
        <f>+[4]파주!$F$17</f>
        <v>934.62094149400593</v>
      </c>
      <c r="S14" s="352">
        <f t="shared" si="4"/>
        <v>68.175486948551452</v>
      </c>
      <c r="T14" s="451">
        <f>+[4]파주!$E$19</f>
        <v>2.87</v>
      </c>
      <c r="U14" s="450">
        <f>+[4]파주!$F$19</f>
        <v>3.1039969834087482</v>
      </c>
      <c r="V14" s="449">
        <f t="shared" si="5"/>
        <v>0.23399698340874808</v>
      </c>
    </row>
    <row r="15" spans="1:22" ht="24" customHeight="1" x14ac:dyDescent="0.3">
      <c r="D15" s="353" t="s">
        <v>108</v>
      </c>
      <c r="E15" s="351">
        <f>+[4]김포!$E$9</f>
        <v>226</v>
      </c>
      <c r="F15" s="350">
        <f>+[4]김포!$F$9</f>
        <v>226.70562849253292</v>
      </c>
      <c r="G15" s="352">
        <f t="shared" si="0"/>
        <v>0.7056284925329237</v>
      </c>
      <c r="H15" s="351">
        <f>+[4]김포!$E$15</f>
        <v>341</v>
      </c>
      <c r="I15" s="350">
        <f>+[4]김포!$F$15</f>
        <v>355.57539990523185</v>
      </c>
      <c r="J15" s="352">
        <f t="shared" si="1"/>
        <v>14.575399905231848</v>
      </c>
      <c r="K15" s="454">
        <f>+([4]김포!$E$10*0.4+[4]김포!$E$11+[4]김포!$E$12+[4]김포!$E$13+[4]김포!$E$14)/[4]김포!$E$15</f>
        <v>0.33724340175953077</v>
      </c>
      <c r="L15" s="453">
        <f>+([4]김포!$F$10*0.4+[4]김포!$F$11+[4]김포!$F$12+[4]김포!$F$13+[4]김포!$F$14)/[4]김포!$F$15</f>
        <v>0.36242600429345045</v>
      </c>
      <c r="M15" s="452">
        <f t="shared" si="2"/>
        <v>2.5182602533919685E-2</v>
      </c>
      <c r="N15" s="351">
        <f>+[4]김포!$E$16</f>
        <v>805</v>
      </c>
      <c r="O15" s="350">
        <f>+[4]김포!$F$16</f>
        <v>766.68092954478652</v>
      </c>
      <c r="P15" s="352">
        <f t="shared" si="3"/>
        <v>-38.319070455213478</v>
      </c>
      <c r="Q15" s="351">
        <f>+[4]김포!$E$17</f>
        <v>940</v>
      </c>
      <c r="R15" s="350">
        <f>+[4]김포!$F$17</f>
        <v>1011.8843134211304</v>
      </c>
      <c r="S15" s="352">
        <f t="shared" si="4"/>
        <v>71.8843134211304</v>
      </c>
      <c r="T15" s="451">
        <f>+[4]김포!$E$19</f>
        <v>2.8</v>
      </c>
      <c r="U15" s="450">
        <f>+[4]김포!$F$19</f>
        <v>2.9843898075226298</v>
      </c>
      <c r="V15" s="449">
        <f t="shared" si="5"/>
        <v>0.18438980752263001</v>
      </c>
    </row>
    <row r="16" spans="1:22" ht="24" customHeight="1" x14ac:dyDescent="0.3">
      <c r="D16" s="408" t="s">
        <v>21</v>
      </c>
      <c r="E16" s="358">
        <f>+[4]부산!$E$9</f>
        <v>171.85129411764711</v>
      </c>
      <c r="F16" s="357">
        <f>+[4]부산!$F$9</f>
        <v>140.82138368331871</v>
      </c>
      <c r="G16" s="359">
        <f t="shared" si="0"/>
        <v>-31.0299104343284</v>
      </c>
      <c r="H16" s="358">
        <f>+[4]부산!$E$15</f>
        <v>381.89176470588234</v>
      </c>
      <c r="I16" s="357">
        <f>+[4]부산!$F$15</f>
        <v>374.75534219849038</v>
      </c>
      <c r="J16" s="359">
        <f t="shared" si="1"/>
        <v>-7.1364225073919556</v>
      </c>
      <c r="K16" s="460">
        <f>+([4]부산!$E$10*0.4+[4]부산!$E$11+[4]부산!$E$12+[4]부산!$E$13+[4]부산!$E$14)/[4]부산!$E$15</f>
        <v>0.27399999999999997</v>
      </c>
      <c r="L16" s="459">
        <f>+([4]부산!$F$10*0.4+[4]부산!$F$11+[4]부산!$F$12+[4]부산!$F$13+[4]부산!$F$14)/[4]부산!$F$15</f>
        <v>0.28795482429925912</v>
      </c>
      <c r="M16" s="458">
        <f t="shared" si="2"/>
        <v>1.395482429925915E-2</v>
      </c>
      <c r="N16" s="358">
        <f>+[4]부산!$E$16</f>
        <v>820</v>
      </c>
      <c r="O16" s="357">
        <f>+[4]부산!$F$16</f>
        <v>886.55208707706549</v>
      </c>
      <c r="P16" s="359">
        <f t="shared" si="3"/>
        <v>66.552087077065494</v>
      </c>
      <c r="Q16" s="358">
        <f>+[4]부산!$E$17</f>
        <v>900</v>
      </c>
      <c r="R16" s="357">
        <f>+[4]부산!$F$17</f>
        <v>829.7915490065202</v>
      </c>
      <c r="S16" s="359">
        <f t="shared" si="4"/>
        <v>-70.208450993479801</v>
      </c>
      <c r="T16" s="457">
        <f>+[4]부산!$E$19</f>
        <v>3.6321725741176465</v>
      </c>
      <c r="U16" s="456">
        <f>+[4]부산!$F$19</f>
        <v>2.8307485752425943</v>
      </c>
      <c r="V16" s="455">
        <f t="shared" si="5"/>
        <v>-0.80142399887505222</v>
      </c>
    </row>
    <row r="17" spans="4:22" ht="24" customHeight="1" x14ac:dyDescent="0.3">
      <c r="D17" s="353" t="s">
        <v>22</v>
      </c>
      <c r="E17" s="351">
        <f>+[4]서부산!$E$9</f>
        <v>231</v>
      </c>
      <c r="F17" s="350">
        <f>+[4]서부산!$F$9</f>
        <v>261.86953005990893</v>
      </c>
      <c r="G17" s="352">
        <f t="shared" si="0"/>
        <v>30.869530059908925</v>
      </c>
      <c r="H17" s="351">
        <f>+[4]서부산!$E$15</f>
        <v>364</v>
      </c>
      <c r="I17" s="350">
        <f>+[4]서부산!$F$15</f>
        <v>374.06958184062364</v>
      </c>
      <c r="J17" s="352">
        <f t="shared" si="1"/>
        <v>10.069581840623641</v>
      </c>
      <c r="K17" s="454">
        <f>+([4]서부산!$E$10*0.4+[4]서부산!$E$11+[4]서부산!$E$12+[4]서부산!$E$13+[4]서부산!$E$14)/[4]서부산!$E$15</f>
        <v>0.30769230769230771</v>
      </c>
      <c r="L17" s="453">
        <f>+([4]서부산!$F$10*0.4+[4]서부산!$F$11+[4]서부산!$F$12+[4]서부산!$F$13+[4]서부산!$F$14)/[4]서부산!$F$15</f>
        <v>0.21906332922169799</v>
      </c>
      <c r="M17" s="452">
        <f t="shared" si="2"/>
        <v>-8.8628978470609715E-2</v>
      </c>
      <c r="N17" s="351">
        <f>+[4]서부산!$E$16</f>
        <v>821</v>
      </c>
      <c r="O17" s="350">
        <f>+[4]서부산!$F$16</f>
        <v>847.10991359845832</v>
      </c>
      <c r="P17" s="352">
        <f t="shared" si="3"/>
        <v>26.10991359845832</v>
      </c>
      <c r="Q17" s="351">
        <f>+[4]서부산!$E$17</f>
        <v>909</v>
      </c>
      <c r="R17" s="350">
        <f>+[4]서부산!$F$17</f>
        <v>881.50404913146861</v>
      </c>
      <c r="S17" s="352">
        <f t="shared" si="4"/>
        <v>-27.495950868531395</v>
      </c>
      <c r="T17" s="451">
        <f>+[4]서부산!$E$19</f>
        <v>3.2</v>
      </c>
      <c r="U17" s="450">
        <f>+[4]서부산!$F$19</f>
        <v>3.1254514254749086</v>
      </c>
      <c r="V17" s="449">
        <f t="shared" si="5"/>
        <v>-7.454857452509156E-2</v>
      </c>
    </row>
    <row r="18" spans="4:22" ht="24" customHeight="1" x14ac:dyDescent="0.3">
      <c r="D18" s="353" t="s">
        <v>23</v>
      </c>
      <c r="E18" s="351">
        <f>+[4]김해!$E$9</f>
        <v>153</v>
      </c>
      <c r="F18" s="350">
        <f>+[4]김해!$F$9</f>
        <v>157.83930398140075</v>
      </c>
      <c r="G18" s="352">
        <f t="shared" si="0"/>
        <v>4.8393039814007466</v>
      </c>
      <c r="H18" s="351">
        <f>+[4]김해!$E$15</f>
        <v>340</v>
      </c>
      <c r="I18" s="350">
        <f>+[4]김해!$F$15</f>
        <v>365.14083987213019</v>
      </c>
      <c r="J18" s="352">
        <f t="shared" si="1"/>
        <v>25.140839872130186</v>
      </c>
      <c r="K18" s="454">
        <f>+([4]김해!$E$10*0.4+[4]김해!$E$11+[4]김해!$E$12+[4]김해!$E$13+[4]김해!$E$14)/[4]김해!$E$15</f>
        <v>0.28000000000000003</v>
      </c>
      <c r="L18" s="453">
        <f>+([4]김해!$F$10*0.4+[4]김해!$F$11+[4]김해!$F$12+[4]김해!$F$13+[4]김해!$F$14)/[4]김해!$F$15</f>
        <v>0.36519774135314925</v>
      </c>
      <c r="M18" s="452">
        <f t="shared" si="2"/>
        <v>8.5197741353149226E-2</v>
      </c>
      <c r="N18" s="351">
        <f>+[4]김해!$E$16</f>
        <v>770</v>
      </c>
      <c r="O18" s="350">
        <f>+[4]김해!$F$16</f>
        <v>775.50130775937237</v>
      </c>
      <c r="P18" s="352">
        <f t="shared" si="3"/>
        <v>5.5013077593723665</v>
      </c>
      <c r="Q18" s="351">
        <f>+[4]김해!$E$17</f>
        <v>950</v>
      </c>
      <c r="R18" s="350">
        <f>+[4]김해!$F$17</f>
        <v>889.80238302818918</v>
      </c>
      <c r="S18" s="352">
        <f t="shared" si="4"/>
        <v>-60.197616971810817</v>
      </c>
      <c r="T18" s="451">
        <f>+[4]김해!$E$19</f>
        <v>3.3</v>
      </c>
      <c r="U18" s="450">
        <f>+[4]김해!$F$19</f>
        <v>2.6736195873292639</v>
      </c>
      <c r="V18" s="449">
        <f t="shared" si="5"/>
        <v>-0.62638041267073596</v>
      </c>
    </row>
    <row r="19" spans="4:22" ht="24" customHeight="1" x14ac:dyDescent="0.3">
      <c r="D19" s="353" t="s">
        <v>24</v>
      </c>
      <c r="E19" s="351">
        <f>+[4]정관!$E$9</f>
        <v>228.76157170724969</v>
      </c>
      <c r="F19" s="350">
        <f>+[4]정관!$F$9</f>
        <v>198.85346227160713</v>
      </c>
      <c r="G19" s="352">
        <f t="shared" si="0"/>
        <v>-29.908109435642558</v>
      </c>
      <c r="H19" s="351">
        <f>+[4]정관!$E$15</f>
        <v>363.11360588452328</v>
      </c>
      <c r="I19" s="350">
        <f>+[4]정관!$F$15</f>
        <v>362.27774420010223</v>
      </c>
      <c r="J19" s="352">
        <f t="shared" si="1"/>
        <v>-0.83586168442104736</v>
      </c>
      <c r="K19" s="454">
        <f>+([4]정관!$E$10*0.4+[4]정관!$E$11+[4]정관!$E$12+[4]정관!$E$13+[4]정관!$E$14)/[4]정관!$E$15</f>
        <v>0.25</v>
      </c>
      <c r="L19" s="453">
        <f>+([4]정관!$F$10*0.4+[4]정관!$F$11+[4]정관!$F$12+[4]정관!$F$13+[4]정관!$F$14)/[4]정관!$F$15</f>
        <v>0.30959478952885394</v>
      </c>
      <c r="M19" s="452">
        <f t="shared" si="2"/>
        <v>5.9594789528853942E-2</v>
      </c>
      <c r="N19" s="351">
        <f>+[4]정관!$E$16</f>
        <v>782.82877777777776</v>
      </c>
      <c r="O19" s="350">
        <f>+[4]정관!$F$16</f>
        <v>761.53121948951582</v>
      </c>
      <c r="P19" s="352">
        <f t="shared" si="3"/>
        <v>-21.297558288261939</v>
      </c>
      <c r="Q19" s="351">
        <f>+[4]정관!$E$17</f>
        <v>921.64307848737451</v>
      </c>
      <c r="R19" s="350">
        <f>+[4]정관!$F$17</f>
        <v>958.24492073085685</v>
      </c>
      <c r="S19" s="352">
        <f t="shared" si="4"/>
        <v>36.601842243482338</v>
      </c>
      <c r="T19" s="451">
        <f>+[4]정관!$E$19</f>
        <v>3.4495792559029721</v>
      </c>
      <c r="U19" s="450">
        <f>+[4]정관!$F$19</f>
        <v>2.9347584731972671</v>
      </c>
      <c r="V19" s="449">
        <f t="shared" si="5"/>
        <v>-0.51482078270570497</v>
      </c>
    </row>
    <row r="20" spans="4:22" ht="24" customHeight="1" x14ac:dyDescent="0.3">
      <c r="D20" s="353" t="s">
        <v>25</v>
      </c>
      <c r="E20" s="351">
        <f>+[4]양산!$E$9</f>
        <v>227.25768332944466</v>
      </c>
      <c r="F20" s="350">
        <f>+[4]양산!$F$9</f>
        <v>175.41281934087078</v>
      </c>
      <c r="G20" s="352">
        <f t="shared" si="0"/>
        <v>-51.844863988573877</v>
      </c>
      <c r="H20" s="351">
        <f>+[4]양산!$E$15</f>
        <v>356.01978922490633</v>
      </c>
      <c r="I20" s="350">
        <f>+[4]양산!$F$15</f>
        <v>335.13345441424099</v>
      </c>
      <c r="J20" s="352">
        <f t="shared" si="1"/>
        <v>-20.886334810665346</v>
      </c>
      <c r="K20" s="454">
        <f>+([4]양산!$E$10*0.4+[4]양산!$E$11+[4]양산!$E$12+[4]양산!$E$13+[4]양산!$E$14)/[4]양산!$E$15</f>
        <v>0.36167120422095284</v>
      </c>
      <c r="L20" s="453">
        <f>+([4]양산!$F$10*0.4+[4]양산!$F$11+[4]양산!$F$12+[4]양산!$F$13+[4]양산!$F$14)/[4]양산!$F$15</f>
        <v>0.47658815606020588</v>
      </c>
      <c r="M20" s="452">
        <f t="shared" si="2"/>
        <v>0.11491695183925305</v>
      </c>
      <c r="N20" s="351">
        <f>+[4]양산!$E$16</f>
        <v>777.1</v>
      </c>
      <c r="O20" s="350">
        <f>+[4]양산!$F$16</f>
        <v>727.59923021409656</v>
      </c>
      <c r="P20" s="352">
        <f t="shared" si="3"/>
        <v>-49.500769785903458</v>
      </c>
      <c r="Q20" s="351">
        <f>+[4]양산!$E$17</f>
        <v>877.88719000000003</v>
      </c>
      <c r="R20" s="350">
        <f>+[4]양산!$F$17</f>
        <v>881.37118114024543</v>
      </c>
      <c r="S20" s="352">
        <f t="shared" si="4"/>
        <v>3.4839911402453936</v>
      </c>
      <c r="T20" s="451">
        <f>+[4]양산!$E$19</f>
        <v>3.016951541745037</v>
      </c>
      <c r="U20" s="450">
        <f>+[4]양산!$F$19</f>
        <v>2.5081404859273513</v>
      </c>
      <c r="V20" s="449">
        <f t="shared" si="5"/>
        <v>-0.50881105581768571</v>
      </c>
    </row>
    <row r="21" spans="4:22" ht="24" customHeight="1" x14ac:dyDescent="0.3">
      <c r="D21" s="353" t="s">
        <v>26</v>
      </c>
      <c r="E21" s="351">
        <f>+[4]창원!$E$9</f>
        <v>254.30000000000004</v>
      </c>
      <c r="F21" s="350">
        <f>+[4]창원!$F$9</f>
        <v>200.06610368629751</v>
      </c>
      <c r="G21" s="352">
        <f t="shared" si="0"/>
        <v>-54.23389631370253</v>
      </c>
      <c r="H21" s="351">
        <f>+[4]창원!$E$15</f>
        <v>354.50000000000006</v>
      </c>
      <c r="I21" s="350">
        <f>+[4]창원!$F$15</f>
        <v>299.45591276252014</v>
      </c>
      <c r="J21" s="352">
        <f t="shared" si="1"/>
        <v>-55.044087237479914</v>
      </c>
      <c r="K21" s="454">
        <f>+([4]창원!$E$10*0.4+[4]창원!$E$11+[4]창원!$E$12+[4]창원!$E$13+[4]창원!$E$14)/[4]창원!$E$15</f>
        <v>0.28265162200282085</v>
      </c>
      <c r="L21" s="453">
        <f>+([4]창원!$F$10*0.4+[4]창원!$F$11+[4]창원!$F$12+[4]창원!$F$13+[4]창원!$F$14)/[4]창원!$F$15</f>
        <v>0.33190130780634314</v>
      </c>
      <c r="M21" s="452">
        <f t="shared" si="2"/>
        <v>4.9249685803522292E-2</v>
      </c>
      <c r="N21" s="351">
        <f>+[4]창원!$E$16</f>
        <v>843</v>
      </c>
      <c r="O21" s="350">
        <f>+[4]창원!$F$16</f>
        <v>751.2512850638858</v>
      </c>
      <c r="P21" s="352">
        <f t="shared" si="3"/>
        <v>-91.748714936114197</v>
      </c>
      <c r="Q21" s="351">
        <f>+[4]창원!$E$17</f>
        <v>887.7</v>
      </c>
      <c r="R21" s="350">
        <f>+[4]창원!$F$17</f>
        <v>938.8081950359815</v>
      </c>
      <c r="S21" s="352">
        <f t="shared" si="4"/>
        <v>51.108195035981453</v>
      </c>
      <c r="T21" s="451">
        <f>+[4]창원!$E$19</f>
        <v>3.08</v>
      </c>
      <c r="U21" s="450">
        <f>+[4]창원!$F$19</f>
        <v>2.5103612865325298</v>
      </c>
      <c r="V21" s="449">
        <f t="shared" si="5"/>
        <v>-0.5696387134674703</v>
      </c>
    </row>
    <row r="22" spans="4:22" ht="24" customHeight="1" x14ac:dyDescent="0.3">
      <c r="D22" s="353" t="s">
        <v>131</v>
      </c>
      <c r="E22" s="351">
        <f>+[4]대구!$E$9</f>
        <v>225.55</v>
      </c>
      <c r="F22" s="350">
        <f>+[4]대구!$F$9</f>
        <v>241.38067004048557</v>
      </c>
      <c r="G22" s="352">
        <f t="shared" si="0"/>
        <v>15.830670040485558</v>
      </c>
      <c r="H22" s="351">
        <f>+[4]대구!$E$15</f>
        <v>347</v>
      </c>
      <c r="I22" s="350">
        <f>+[4]대구!$F$15</f>
        <v>338.71206882591065</v>
      </c>
      <c r="J22" s="352">
        <f t="shared" si="1"/>
        <v>-8.2879311740893513</v>
      </c>
      <c r="K22" s="454">
        <f>+([4]대구!$E$10*0.4+[4]대구!$E$11+[4]대구!$E$12+[4]대구!$E$13+[4]대구!$E$14)/[4]대구!$E$15</f>
        <v>0.35000000000000003</v>
      </c>
      <c r="L22" s="453">
        <f>+([4]대구!$F$10*0.4+[4]대구!$F$11+[4]대구!$F$12+[4]대구!$F$13+[4]대구!$F$14)/[4]대구!$F$15</f>
        <v>0.26918293290584777</v>
      </c>
      <c r="M22" s="452">
        <f t="shared" si="2"/>
        <v>-8.0817067094152262E-2</v>
      </c>
      <c r="N22" s="351">
        <f>+[4]대구!$E$16</f>
        <v>731.96671150921088</v>
      </c>
      <c r="O22" s="350">
        <f>+[4]대구!$F$16</f>
        <v>731.14929149797558</v>
      </c>
      <c r="P22" s="352">
        <f t="shared" si="3"/>
        <v>-0.81742001123529917</v>
      </c>
      <c r="Q22" s="351">
        <f>+[4]대구!$E$17</f>
        <v>970.28145479127932</v>
      </c>
      <c r="R22" s="350">
        <f>+[4]대구!$F$17</f>
        <v>933.20516194331958</v>
      </c>
      <c r="S22" s="352">
        <f t="shared" si="4"/>
        <v>-37.076292847959735</v>
      </c>
      <c r="T22" s="451">
        <f>+[4]대구!$E$19</f>
        <v>3.1230000000000002</v>
      </c>
      <c r="U22" s="450">
        <f>+[4]대구!$F$19</f>
        <v>3.2077985829959532</v>
      </c>
      <c r="V22" s="449">
        <f t="shared" si="5"/>
        <v>8.4798582995952998E-2</v>
      </c>
    </row>
    <row r="23" spans="4:22" ht="24" customHeight="1" x14ac:dyDescent="0.3">
      <c r="D23" s="353" t="s">
        <v>130</v>
      </c>
      <c r="E23" s="351">
        <f>+[4]울산!$E$9</f>
        <v>246.2</v>
      </c>
      <c r="F23" s="350">
        <f>+[4]울산!$F$9</f>
        <v>221.98694859911521</v>
      </c>
      <c r="G23" s="352">
        <f t="shared" si="0"/>
        <v>-24.21305140088478</v>
      </c>
      <c r="H23" s="351">
        <f>+[4]울산!$E$15</f>
        <v>362.1</v>
      </c>
      <c r="I23" s="350">
        <f>+[4]울산!$F$15</f>
        <v>362.91474931535703</v>
      </c>
      <c r="J23" s="352">
        <f t="shared" si="1"/>
        <v>0.81474931535700534</v>
      </c>
      <c r="K23" s="454">
        <f>+([4]울산!$E$10*0.4+[4]울산!$E$11+[4]울산!$E$12+[4]울산!$E$13+[4]울산!$E$14)/[4]울산!$E$15</f>
        <v>0.32007732670533001</v>
      </c>
      <c r="L23" s="453">
        <f>+([4]울산!$F$10*0.4+[4]울산!$F$11+[4]울산!$F$12+[4]울산!$F$13+[4]울산!$F$14)/[4]울산!$F$15</f>
        <v>0.38832205354591903</v>
      </c>
      <c r="M23" s="452">
        <f t="shared" si="2"/>
        <v>6.8244726840589021E-2</v>
      </c>
      <c r="N23" s="351">
        <f>+[4]울산!$E$16</f>
        <v>798.80000000000007</v>
      </c>
      <c r="O23" s="350">
        <f>+[4]울산!$F$16</f>
        <v>648.36981251316604</v>
      </c>
      <c r="P23" s="352">
        <f t="shared" si="3"/>
        <v>-150.43018748683403</v>
      </c>
      <c r="Q23" s="351">
        <f>+[4]울산!$E$17</f>
        <v>900.80000000000007</v>
      </c>
      <c r="R23" s="350">
        <f>+[4]울산!$F$17</f>
        <v>853.18759216347189</v>
      </c>
      <c r="S23" s="352">
        <f t="shared" si="4"/>
        <v>-47.612407836528178</v>
      </c>
      <c r="T23" s="451">
        <f>+[4]울산!$E$19</f>
        <v>3.26</v>
      </c>
      <c r="U23" s="450">
        <f>+[4]울산!$F$19</f>
        <v>2.9566515694122608</v>
      </c>
      <c r="V23" s="449">
        <f t="shared" si="5"/>
        <v>-0.30334843058773897</v>
      </c>
    </row>
    <row r="24" spans="4:22" ht="24" customHeight="1" x14ac:dyDescent="0.3">
      <c r="D24" s="408" t="s">
        <v>27</v>
      </c>
      <c r="E24" s="358">
        <f>+[4]아산!$E$9</f>
        <v>250.05714285714288</v>
      </c>
      <c r="F24" s="357">
        <f>+[4]아산!$F$9</f>
        <v>258.07944366473913</v>
      </c>
      <c r="G24" s="359">
        <f t="shared" si="0"/>
        <v>8.0223008075962525</v>
      </c>
      <c r="H24" s="358">
        <f>+[4]아산!$E$15</f>
        <v>379.56190476190477</v>
      </c>
      <c r="I24" s="357">
        <f>+[4]아산!$F$15</f>
        <v>373.53555942289324</v>
      </c>
      <c r="J24" s="359">
        <f t="shared" si="1"/>
        <v>-6.0263453390115274</v>
      </c>
      <c r="K24" s="460">
        <f>+([4]아산!$E$10*0.4+[4]아산!$E$11+[4]아산!$E$12+[4]아산!$E$13+[4]아산!$E$14)/[4]아산!$E$15</f>
        <v>0.28265418778541673</v>
      </c>
      <c r="L24" s="459">
        <f>+([4]아산!$F$10*0.4+[4]아산!$F$11+[4]아산!$F$12+[4]아산!$F$13+[4]아산!$F$14)/[4]아산!$F$15</f>
        <v>0.27963056303264877</v>
      </c>
      <c r="M24" s="458">
        <f t="shared" si="2"/>
        <v>-3.0236247527679616E-3</v>
      </c>
      <c r="N24" s="358">
        <f>+[4]아산!$E$16</f>
        <v>867</v>
      </c>
      <c r="O24" s="357">
        <f>+[4]아산!$F$16</f>
        <v>792.13234575871559</v>
      </c>
      <c r="P24" s="359">
        <f t="shared" si="3"/>
        <v>-74.867654241284413</v>
      </c>
      <c r="Q24" s="358">
        <f>+[4]아산!$E$17</f>
        <v>871</v>
      </c>
      <c r="R24" s="357">
        <f>+[4]아산!$F$17</f>
        <v>946.78695250659632</v>
      </c>
      <c r="S24" s="359">
        <f t="shared" si="4"/>
        <v>75.786952506596322</v>
      </c>
      <c r="T24" s="457">
        <f>+[4]아산!$E$19</f>
        <v>2.8</v>
      </c>
      <c r="U24" s="456">
        <f>+[4]아산!$F$19</f>
        <v>3.1885014876775384</v>
      </c>
      <c r="V24" s="455">
        <f t="shared" si="5"/>
        <v>0.38850148767753856</v>
      </c>
    </row>
    <row r="25" spans="4:22" ht="24" customHeight="1" x14ac:dyDescent="0.3">
      <c r="D25" s="353" t="s">
        <v>129</v>
      </c>
      <c r="E25" s="351">
        <f>+[4]전주!$E$9</f>
        <v>222.35</v>
      </c>
      <c r="F25" s="350">
        <f>+[4]전주!$F$9</f>
        <v>236.79486227701989</v>
      </c>
      <c r="G25" s="352">
        <f t="shared" si="0"/>
        <v>14.444862277019894</v>
      </c>
      <c r="H25" s="351">
        <f>+[4]전주!$E$15</f>
        <v>334.23</v>
      </c>
      <c r="I25" s="350">
        <f>+[4]전주!$F$15</f>
        <v>353.2647088142707</v>
      </c>
      <c r="J25" s="352">
        <f t="shared" si="1"/>
        <v>19.034708814270687</v>
      </c>
      <c r="K25" s="454">
        <f>+([4]전주!$E$10*0.4+[4]전주!$E$11+[4]전주!$E$12+[4]전주!$E$13+[4]전주!$E$14)/[4]전주!$E$15</f>
        <v>0.277024803279179</v>
      </c>
      <c r="L25" s="453">
        <f>+([4]전주!$F$10*0.4+[4]전주!$F$11+[4]전주!$F$12+[4]전주!$F$13+[4]전주!$F$14)/[4]전주!$F$15</f>
        <v>0.32969567474820977</v>
      </c>
      <c r="M25" s="452">
        <f t="shared" si="2"/>
        <v>5.2670871469030767E-2</v>
      </c>
      <c r="N25" s="351">
        <f>+[4]전주!$E$16</f>
        <v>740.85</v>
      </c>
      <c r="O25" s="350">
        <f>+[4]전주!$F$16</f>
        <v>705.0104931794333</v>
      </c>
      <c r="P25" s="352">
        <f t="shared" si="3"/>
        <v>-35.839506820566726</v>
      </c>
      <c r="Q25" s="351">
        <f>+[4]전주!$E$17</f>
        <v>991.87</v>
      </c>
      <c r="R25" s="350">
        <f>+[4]전주!$F$17</f>
        <v>1013.0528593913948</v>
      </c>
      <c r="S25" s="352">
        <f t="shared" si="4"/>
        <v>21.1828593913948</v>
      </c>
      <c r="T25" s="451">
        <f>+[4]전주!$E$19</f>
        <v>2.25</v>
      </c>
      <c r="U25" s="450">
        <f>+[4]전주!$F$19</f>
        <v>2.314618310598112</v>
      </c>
      <c r="V25" s="449">
        <f t="shared" si="5"/>
        <v>6.4618310598111961E-2</v>
      </c>
    </row>
    <row r="26" spans="4:22" ht="24" customHeight="1" x14ac:dyDescent="0.3">
      <c r="D26" s="353" t="s">
        <v>128</v>
      </c>
      <c r="E26" s="351">
        <f>+[4]군산!$E$9</f>
        <v>253.6</v>
      </c>
      <c r="F26" s="350">
        <f>+[4]군산!$F$9</f>
        <v>224.89685332124239</v>
      </c>
      <c r="G26" s="352">
        <f t="shared" si="0"/>
        <v>-28.703146678757605</v>
      </c>
      <c r="H26" s="351">
        <f>+[4]군산!$E$15</f>
        <v>347</v>
      </c>
      <c r="I26" s="350">
        <f>+[4]군산!$F$15</f>
        <v>342.43812060757205</v>
      </c>
      <c r="J26" s="352">
        <f t="shared" si="1"/>
        <v>-4.5618793924279544</v>
      </c>
      <c r="K26" s="454">
        <f>+([4]군산!$E$10*0.4+[4]군산!$E$11+[4]군산!$E$12+[4]군산!$E$13+[4]군산!$E$14)/[4]군산!$E$15</f>
        <v>0.26449567723342937</v>
      </c>
      <c r="L26" s="453">
        <f>+([4]군산!$F$10*0.4+[4]군산!$F$11+[4]군산!$F$12+[4]군산!$F$13+[4]군산!$F$14)/[4]군산!$F$15</f>
        <v>0.27739492605253024</v>
      </c>
      <c r="M26" s="452">
        <f t="shared" si="2"/>
        <v>1.2899248819100873E-2</v>
      </c>
      <c r="N26" s="351">
        <f>+[4]군산!$E$16</f>
        <v>810</v>
      </c>
      <c r="O26" s="350">
        <f>+[4]군산!$F$16</f>
        <v>857.05849013829072</v>
      </c>
      <c r="P26" s="352">
        <f t="shared" si="3"/>
        <v>47.058490138290722</v>
      </c>
      <c r="Q26" s="351">
        <f>+[4]군산!$E$17</f>
        <v>905</v>
      </c>
      <c r="R26" s="350">
        <f>+[4]군산!$F$17</f>
        <v>778.02539106778499</v>
      </c>
      <c r="S26" s="352">
        <f t="shared" si="4"/>
        <v>-126.97460893221501</v>
      </c>
      <c r="T26" s="451">
        <f>+[4]군산!$E$19</f>
        <v>2.77</v>
      </c>
      <c r="U26" s="450">
        <f>+[4]군산!$F$19</f>
        <v>2.9609158920879621</v>
      </c>
      <c r="V26" s="449">
        <f t="shared" si="5"/>
        <v>0.19091589208796211</v>
      </c>
    </row>
    <row r="27" spans="4:22" ht="24" customHeight="1" x14ac:dyDescent="0.3">
      <c r="D27" s="353" t="s">
        <v>127</v>
      </c>
      <c r="E27" s="351">
        <f>+[4]원주!$E$9</f>
        <v>267.5</v>
      </c>
      <c r="F27" s="350">
        <f>+[4]원주!$F$9</f>
        <v>273.5527807228915</v>
      </c>
      <c r="G27" s="352">
        <f t="shared" si="0"/>
        <v>6.052780722891498</v>
      </c>
      <c r="H27" s="351">
        <f>+[4]원주!$E$15</f>
        <v>353.4</v>
      </c>
      <c r="I27" s="350">
        <f>+[4]원주!$F$15</f>
        <v>370.41687710843365</v>
      </c>
      <c r="J27" s="352">
        <f t="shared" si="1"/>
        <v>17.016877108433675</v>
      </c>
      <c r="K27" s="454">
        <f>+([4]원주!$E$10*0.4+[4]원주!$E$11+[4]원주!$E$12+[4]원주!$E$13+[4]원주!$E$14)/[4]원주!$E$15</f>
        <v>0.24306734578381439</v>
      </c>
      <c r="L27" s="453">
        <f>+([4]원주!$F$10*0.4+[4]원주!$F$11+[4]원주!$F$12+[4]원주!$F$13+[4]원주!$F$14)/[4]원주!$F$15</f>
        <v>0.26150022413041057</v>
      </c>
      <c r="M27" s="452">
        <f t="shared" si="2"/>
        <v>1.8432878346596182E-2</v>
      </c>
      <c r="N27" s="351">
        <f>+[4]원주!$E$16</f>
        <v>837.86</v>
      </c>
      <c r="O27" s="350">
        <f>+[4]원주!$F$16</f>
        <v>827.48433734939749</v>
      </c>
      <c r="P27" s="352">
        <f t="shared" si="3"/>
        <v>-10.375662650602521</v>
      </c>
      <c r="Q27" s="351">
        <f>+[4]원주!$E$17</f>
        <v>921.01</v>
      </c>
      <c r="R27" s="350">
        <f>+[4]원주!$F$17</f>
        <v>886.9686746987951</v>
      </c>
      <c r="S27" s="352">
        <f t="shared" si="4"/>
        <v>-34.041325301204893</v>
      </c>
      <c r="T27" s="451">
        <f>+[4]원주!$E$19</f>
        <v>2.9380000000000002</v>
      </c>
      <c r="U27" s="450">
        <f>+[4]원주!$F$19</f>
        <v>2.7632048192771088</v>
      </c>
      <c r="V27" s="449">
        <f t="shared" si="5"/>
        <v>-0.17479518072289135</v>
      </c>
    </row>
    <row r="28" spans="4:22" ht="24" customHeight="1" x14ac:dyDescent="0.3">
      <c r="D28" s="348" t="s">
        <v>126</v>
      </c>
      <c r="E28" s="346">
        <f>+[4]제주!$E$9</f>
        <v>291</v>
      </c>
      <c r="F28" s="445">
        <f>+[4]제주!$F$9</f>
        <v>331.55828477443617</v>
      </c>
      <c r="G28" s="347">
        <f t="shared" si="0"/>
        <v>40.558284774436174</v>
      </c>
      <c r="H28" s="346">
        <f>+[4]제주!$E$15</f>
        <v>352</v>
      </c>
      <c r="I28" s="445">
        <f>+[4]제주!$F$15</f>
        <v>348.19503524436101</v>
      </c>
      <c r="J28" s="347">
        <f t="shared" si="1"/>
        <v>-3.8049647556389914</v>
      </c>
      <c r="K28" s="448">
        <f>+([4]제주!$E$10*0.4+[4]제주!$E$11+[4]제주!$E$12+[4]제주!$E$13+[4]제주!$E$14)/[4]제주!$E$15</f>
        <v>6.931818181818182E-2</v>
      </c>
      <c r="L28" s="447">
        <f>+([4]제주!$F$10*0.4+[4]제주!$F$11+[4]제주!$F$12+[4]제주!$F$13+[4]제주!$F$14)/[4]제주!$F$15</f>
        <v>1.9111990448972653E-2</v>
      </c>
      <c r="M28" s="446">
        <f t="shared" si="2"/>
        <v>-5.0206191369209167E-2</v>
      </c>
      <c r="N28" s="346">
        <f>+[4]제주!$E$16</f>
        <v>712.3</v>
      </c>
      <c r="O28" s="445">
        <f>+[4]제주!$F$16</f>
        <v>723.10502819548879</v>
      </c>
      <c r="P28" s="347">
        <f t="shared" si="3"/>
        <v>10.805028195488831</v>
      </c>
      <c r="Q28" s="346">
        <f>+[4]제주!$E$17</f>
        <v>992.30000000000007</v>
      </c>
      <c r="R28" s="445">
        <f>+[4]제주!$F$17</f>
        <v>1014.2586936090225</v>
      </c>
      <c r="S28" s="347">
        <f t="shared" si="4"/>
        <v>21.958693609022475</v>
      </c>
      <c r="T28" s="444">
        <f>+[4]제주!$E$19</f>
        <v>2.72</v>
      </c>
      <c r="U28" s="443">
        <f>+[4]제주!$F$19</f>
        <v>3.5927725563909774</v>
      </c>
      <c r="V28" s="442">
        <f t="shared" si="5"/>
        <v>0.87277255639097717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E8E1-21AD-4CCE-8D71-F6C81079BE8B}">
  <sheetPr>
    <tabColor theme="1" tint="0.34998626667073579"/>
    <pageSetUpPr fitToPage="1"/>
  </sheetPr>
  <dimension ref="D3:AX55"/>
  <sheetViews>
    <sheetView showGridLines="0" topLeftCell="A4" zoomScale="70" zoomScaleNormal="70" workbookViewId="0">
      <pane ySplit="6" topLeftCell="A13" activePane="bottomLeft" state="frozenSplit"/>
      <selection activeCell="M16" sqref="M16"/>
      <selection pane="bottomLeft" activeCell="M16" sqref="M16"/>
    </sheetView>
  </sheetViews>
  <sheetFormatPr defaultRowHeight="16.5" x14ac:dyDescent="0.3"/>
  <cols>
    <col min="1" max="3" width="5.625" style="6" customWidth="1"/>
    <col min="4" max="5" width="13" style="6" customWidth="1"/>
    <col min="6" max="15" width="15.75" style="6" customWidth="1"/>
    <col min="16" max="17" width="3.25" style="500" customWidth="1"/>
    <col min="18" max="18" width="9" style="6"/>
    <col min="19" max="30" width="10.25" style="6" hidden="1" customWidth="1"/>
    <col min="31" max="39" width="10.25" style="6" customWidth="1"/>
    <col min="40" max="16384" width="9" style="6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398" t="s">
        <v>206</v>
      </c>
      <c r="F6" s="398"/>
      <c r="G6" s="398"/>
      <c r="H6" s="398"/>
      <c r="I6" s="398"/>
      <c r="J6" s="398"/>
      <c r="K6" s="398"/>
      <c r="L6" s="398"/>
      <c r="M6" s="398"/>
    </row>
    <row r="7" spans="4:17" ht="21.95" customHeight="1" thickBot="1" x14ac:dyDescent="0.35">
      <c r="D7" s="501"/>
      <c r="O7" s="397" t="s">
        <v>166</v>
      </c>
    </row>
    <row r="8" spans="4:17" ht="25.5" customHeight="1" thickTop="1" x14ac:dyDescent="0.3">
      <c r="D8" s="652" t="s">
        <v>11</v>
      </c>
      <c r="E8" s="653"/>
      <c r="F8" s="656" t="s">
        <v>190</v>
      </c>
      <c r="G8" s="657"/>
      <c r="H8" s="657"/>
      <c r="I8" s="657"/>
      <c r="J8" s="658"/>
      <c r="K8" s="626" t="s">
        <v>207</v>
      </c>
      <c r="L8" s="626"/>
      <c r="M8" s="626"/>
      <c r="N8" s="626"/>
      <c r="O8" s="629"/>
      <c r="P8" s="502"/>
      <c r="Q8" s="502"/>
    </row>
    <row r="9" spans="4:17" ht="25.5" customHeight="1" x14ac:dyDescent="0.3">
      <c r="D9" s="654"/>
      <c r="E9" s="655"/>
      <c r="F9" s="503" t="s">
        <v>36</v>
      </c>
      <c r="G9" s="504" t="s">
        <v>37</v>
      </c>
      <c r="H9" s="505" t="s">
        <v>56</v>
      </c>
      <c r="I9" s="504" t="s">
        <v>39</v>
      </c>
      <c r="J9" s="506" t="s">
        <v>57</v>
      </c>
      <c r="K9" s="505" t="s">
        <v>36</v>
      </c>
      <c r="L9" s="504" t="s">
        <v>37</v>
      </c>
      <c r="M9" s="505" t="s">
        <v>56</v>
      </c>
      <c r="N9" s="504" t="s">
        <v>39</v>
      </c>
      <c r="O9" s="507" t="s">
        <v>57</v>
      </c>
      <c r="P9" s="502"/>
      <c r="Q9" s="502"/>
    </row>
    <row r="10" spans="4:17" ht="25.5" customHeight="1" x14ac:dyDescent="0.3">
      <c r="D10" s="508" t="s">
        <v>89</v>
      </c>
      <c r="E10" s="509" t="s">
        <v>69</v>
      </c>
      <c r="F10" s="510">
        <f>+IFERROR(HLOOKUP($F$8,[14]손익!$G$5:$AI$63,2,),)</f>
        <v>12600</v>
      </c>
      <c r="G10" s="511">
        <f>+'[6]8월'!$G$8</f>
        <v>6814.7489999999989</v>
      </c>
      <c r="H10" s="512">
        <f>+G10-F10</f>
        <v>-5785.2510000000011</v>
      </c>
      <c r="I10" s="511">
        <f>+IFERROR(HLOOKUP($F$8,[7]월별!$E$2:$T$53,2,),)</f>
        <v>9545.7580000000016</v>
      </c>
      <c r="J10" s="513">
        <f>+G10-I10</f>
        <v>-2731.0090000000027</v>
      </c>
      <c r="K10" s="510">
        <f>+F10+[15]건자재!K10</f>
        <v>88300</v>
      </c>
      <c r="L10" s="511">
        <f>+G10+[15]건자재!L10</f>
        <v>76949.95</v>
      </c>
      <c r="M10" s="512">
        <f>+L10-K10</f>
        <v>-11350.050000000003</v>
      </c>
      <c r="N10" s="511">
        <f>+I10+[15]건자재!N10</f>
        <v>70612.716</v>
      </c>
      <c r="O10" s="513">
        <f>+L10-N10</f>
        <v>6337.2339999999967</v>
      </c>
      <c r="P10" s="514"/>
      <c r="Q10" s="514"/>
    </row>
    <row r="11" spans="4:17" ht="25.5" customHeight="1" x14ac:dyDescent="0.3">
      <c r="D11" s="515" t="s">
        <v>53</v>
      </c>
      <c r="E11" s="516" t="s">
        <v>168</v>
      </c>
      <c r="F11" s="517">
        <f>+F12/F10*1000</f>
        <v>873809.5238095239</v>
      </c>
      <c r="G11" s="518">
        <f>+G12/G10*1000</f>
        <v>765881.71758050087</v>
      </c>
      <c r="H11" s="519">
        <f t="shared" ref="H11:H28" si="0">+G11-F11</f>
        <v>-107927.80622902303</v>
      </c>
      <c r="I11" s="518">
        <f>+I12/I10*1000</f>
        <v>846014.52770958561</v>
      </c>
      <c r="J11" s="520">
        <f t="shared" ref="J11:J28" si="1">+G11-I11</f>
        <v>-80132.810129084741</v>
      </c>
      <c r="K11" s="517">
        <f>+K12/K10*1000</f>
        <v>872650.05662514153</v>
      </c>
      <c r="L11" s="518">
        <f>+L12/L10*1000</f>
        <v>769365.96078360023</v>
      </c>
      <c r="M11" s="519">
        <f t="shared" ref="M11:M28" si="2">+L11-K11</f>
        <v>-103284.0958415413</v>
      </c>
      <c r="N11" s="518">
        <f>+N12/N10*1000</f>
        <v>831664.49170429888</v>
      </c>
      <c r="O11" s="520">
        <f t="shared" ref="O11:O28" si="3">+L11-N11</f>
        <v>-62298.530920698657</v>
      </c>
      <c r="P11" s="514"/>
      <c r="Q11" s="514"/>
    </row>
    <row r="12" spans="4:17" ht="25.5" customHeight="1" x14ac:dyDescent="0.3">
      <c r="D12" s="521" t="s">
        <v>169</v>
      </c>
      <c r="E12" s="522" t="s">
        <v>168</v>
      </c>
      <c r="F12" s="523">
        <f>+IFERROR(HLOOKUP($F$8,[14]손익!$G$5:$AI$63,22,),)</f>
        <v>11010000</v>
      </c>
      <c r="G12" s="524">
        <f>+'[6]8월'!$G$9</f>
        <v>5219291.6689999998</v>
      </c>
      <c r="H12" s="525">
        <f t="shared" si="0"/>
        <v>-5790708.3310000002</v>
      </c>
      <c r="I12" s="524">
        <f>+IFERROR(HLOOKUP($F$8,[7]월별!$E$2:$T$53,5,),)</f>
        <v>8075849.9460000005</v>
      </c>
      <c r="J12" s="526">
        <f t="shared" si="1"/>
        <v>-2856558.2770000007</v>
      </c>
      <c r="K12" s="523">
        <f>+F12+[15]건자재!K12</f>
        <v>77055000</v>
      </c>
      <c r="L12" s="524">
        <f>+G12+[15]건자재!L12</f>
        <v>59202672.214000002</v>
      </c>
      <c r="M12" s="525">
        <f t="shared" si="2"/>
        <v>-17852327.785999998</v>
      </c>
      <c r="N12" s="524">
        <f>+I12+[15]건자재!N12</f>
        <v>58726088.56000001</v>
      </c>
      <c r="O12" s="526">
        <f t="shared" si="3"/>
        <v>476583.65399999171</v>
      </c>
      <c r="P12" s="514"/>
      <c r="Q12" s="514"/>
    </row>
    <row r="13" spans="4:17" ht="25.5" customHeight="1" x14ac:dyDescent="0.3">
      <c r="D13" s="521"/>
      <c r="E13" s="527" t="s">
        <v>170</v>
      </c>
      <c r="F13" s="528">
        <f>+IFERROR(HLOOKUP($F$8,[14]손익!$G$5:$AI$63,23,),)</f>
        <v>2702918.8800000008</v>
      </c>
      <c r="G13" s="529">
        <f>+'[6]8월'!$J$9</f>
        <v>1191782.4460000005</v>
      </c>
      <c r="H13" s="530">
        <f t="shared" si="0"/>
        <v>-1511136.4340000004</v>
      </c>
      <c r="I13" s="529">
        <f>+IFERROR(HLOOKUP($F$8,[7]월별!$E$2:$T$53,6,),)</f>
        <v>1417328.5140000004</v>
      </c>
      <c r="J13" s="531">
        <f t="shared" si="1"/>
        <v>-225546.06799999997</v>
      </c>
      <c r="K13" s="528">
        <f>+F13+[15]건자재!K13</f>
        <v>19436989.990400001</v>
      </c>
      <c r="L13" s="529">
        <f>+G13+[15]건자재!L13</f>
        <v>10084710.021</v>
      </c>
      <c r="M13" s="530">
        <f t="shared" si="2"/>
        <v>-9352279.9694000017</v>
      </c>
      <c r="N13" s="529">
        <f>+I13+[15]건자재!N13</f>
        <v>11485476.635999998</v>
      </c>
      <c r="O13" s="531">
        <f t="shared" si="3"/>
        <v>-1400766.6149999984</v>
      </c>
      <c r="P13" s="514"/>
      <c r="Q13" s="514"/>
    </row>
    <row r="14" spans="4:17" ht="25.5" customHeight="1" x14ac:dyDescent="0.3">
      <c r="D14" s="521"/>
      <c r="E14" s="532" t="s">
        <v>171</v>
      </c>
      <c r="F14" s="533">
        <f>SUM(F12:F13)</f>
        <v>13712918.880000001</v>
      </c>
      <c r="G14" s="534">
        <f>SUM(G12:G13)</f>
        <v>6411074.1150000002</v>
      </c>
      <c r="H14" s="170">
        <f t="shared" si="0"/>
        <v>-7301844.7650000006</v>
      </c>
      <c r="I14" s="534">
        <f>SUM(I12:I13)</f>
        <v>9493178.4600000009</v>
      </c>
      <c r="J14" s="535">
        <f t="shared" si="1"/>
        <v>-3082104.3450000007</v>
      </c>
      <c r="K14" s="533">
        <f>SUM(K12:K13)</f>
        <v>96491989.990400001</v>
      </c>
      <c r="L14" s="534">
        <f>SUM(L12:L13)</f>
        <v>69287382.234999999</v>
      </c>
      <c r="M14" s="170">
        <f t="shared" si="2"/>
        <v>-27204607.755400002</v>
      </c>
      <c r="N14" s="534">
        <f>SUM(N12:N13)</f>
        <v>70211565.19600001</v>
      </c>
      <c r="O14" s="535">
        <f t="shared" si="3"/>
        <v>-924182.96100001037</v>
      </c>
      <c r="P14" s="514"/>
      <c r="Q14" s="514"/>
    </row>
    <row r="15" spans="4:17" ht="25.5" customHeight="1" x14ac:dyDescent="0.3">
      <c r="D15" s="508" t="s">
        <v>5</v>
      </c>
      <c r="E15" s="509" t="s">
        <v>168</v>
      </c>
      <c r="F15" s="510">
        <f>+IFERROR(HLOOKUP($F$8,[14]손익!$G$5:$AI$63,25,),)</f>
        <v>10745115</v>
      </c>
      <c r="G15" s="511">
        <f>+'[6]8월'!$G$11</f>
        <v>5101256.4989999989</v>
      </c>
      <c r="H15" s="512">
        <f t="shared" si="0"/>
        <v>-5643858.5010000011</v>
      </c>
      <c r="I15" s="511">
        <f>+IFERROR(HLOOKUP($F$8,[7]월별!$E$2:$T$53,8,),)</f>
        <v>7922980.0959999999</v>
      </c>
      <c r="J15" s="513">
        <f t="shared" si="1"/>
        <v>-2821723.597000001</v>
      </c>
      <c r="K15" s="510">
        <f>+F15+[15]건자재!K15</f>
        <v>75206862.5</v>
      </c>
      <c r="L15" s="511">
        <f>+G15+[15]건자재!L15</f>
        <v>58355912.636999995</v>
      </c>
      <c r="M15" s="512">
        <f t="shared" si="2"/>
        <v>-16850949.863000005</v>
      </c>
      <c r="N15" s="511">
        <f>+I15+[15]건자재!N15</f>
        <v>57456848.741999999</v>
      </c>
      <c r="O15" s="513">
        <f t="shared" si="3"/>
        <v>899063.89499999583</v>
      </c>
      <c r="P15" s="514"/>
      <c r="Q15" s="514"/>
    </row>
    <row r="16" spans="4:17" ht="25.5" customHeight="1" x14ac:dyDescent="0.3">
      <c r="D16" s="521"/>
      <c r="E16" s="527" t="s">
        <v>170</v>
      </c>
      <c r="F16" s="528">
        <f>+IFERROR(HLOOKUP($F$8,[14]손익!$G$5:$AI$63,26,),)</f>
        <v>2597621.2691918425</v>
      </c>
      <c r="G16" s="529">
        <f>+'[6]8월'!$J$11</f>
        <v>1162527.9860000005</v>
      </c>
      <c r="H16" s="530">
        <f t="shared" si="0"/>
        <v>-1435093.283191842</v>
      </c>
      <c r="I16" s="529">
        <f>+IFERROR(HLOOKUP($F$8,[7]월별!$E$2:$T$53,9,),)</f>
        <v>1369739.6770000001</v>
      </c>
      <c r="J16" s="531">
        <f t="shared" si="1"/>
        <v>-207211.69099999964</v>
      </c>
      <c r="K16" s="528">
        <f>+F16+[15]건자재!K16</f>
        <v>18679783.171343982</v>
      </c>
      <c r="L16" s="529">
        <f>+G16+[15]건자재!L16</f>
        <v>9808688.2980000004</v>
      </c>
      <c r="M16" s="530">
        <f t="shared" si="2"/>
        <v>-8871094.8733439818</v>
      </c>
      <c r="N16" s="529">
        <f>+I16+[15]건자재!N16</f>
        <v>11199940.170000002</v>
      </c>
      <c r="O16" s="531">
        <f t="shared" si="3"/>
        <v>-1391251.8720000014</v>
      </c>
      <c r="P16" s="514"/>
      <c r="Q16" s="514"/>
    </row>
    <row r="17" spans="4:17" ht="25.5" customHeight="1" x14ac:dyDescent="0.3">
      <c r="D17" s="515"/>
      <c r="E17" s="536" t="s">
        <v>172</v>
      </c>
      <c r="F17" s="537">
        <f>SUM(F15:F16)</f>
        <v>13342736.269191843</v>
      </c>
      <c r="G17" s="538">
        <f>SUM(G15:G16)</f>
        <v>6263784.4849999994</v>
      </c>
      <c r="H17" s="539">
        <f t="shared" si="0"/>
        <v>-7078951.7841918431</v>
      </c>
      <c r="I17" s="538">
        <f>SUM(I15:I16)</f>
        <v>9292719.773</v>
      </c>
      <c r="J17" s="540">
        <f t="shared" si="1"/>
        <v>-3028935.2880000006</v>
      </c>
      <c r="K17" s="537">
        <f>SUM(K15:K16)</f>
        <v>93886645.671343982</v>
      </c>
      <c r="L17" s="538">
        <f>SUM(L15:L16)</f>
        <v>68164600.935000002</v>
      </c>
      <c r="M17" s="539">
        <f t="shared" si="2"/>
        <v>-25722044.73634398</v>
      </c>
      <c r="N17" s="538">
        <f>SUM(N15:N16)</f>
        <v>68656788.912</v>
      </c>
      <c r="O17" s="540">
        <f t="shared" si="3"/>
        <v>-492187.97699999809</v>
      </c>
      <c r="P17" s="514"/>
      <c r="Q17" s="514"/>
    </row>
    <row r="18" spans="4:17" ht="25.5" customHeight="1" x14ac:dyDescent="0.3">
      <c r="D18" s="521" t="s">
        <v>15</v>
      </c>
      <c r="E18" s="522" t="s">
        <v>168</v>
      </c>
      <c r="F18" s="523">
        <f>+F12-F15</f>
        <v>264885</v>
      </c>
      <c r="G18" s="524">
        <f>+G12-G15</f>
        <v>118035.17000000086</v>
      </c>
      <c r="H18" s="525">
        <f t="shared" si="0"/>
        <v>-146849.82999999914</v>
      </c>
      <c r="I18" s="524">
        <f>+I12-I15</f>
        <v>152869.85000000056</v>
      </c>
      <c r="J18" s="526">
        <f t="shared" si="1"/>
        <v>-34834.679999999702</v>
      </c>
      <c r="K18" s="523">
        <f>+K12-K15</f>
        <v>1848137.5</v>
      </c>
      <c r="L18" s="524">
        <f>+L12-L15</f>
        <v>846759.57700000703</v>
      </c>
      <c r="M18" s="525">
        <f t="shared" si="2"/>
        <v>-1001377.922999993</v>
      </c>
      <c r="N18" s="524">
        <f>+N12-N15</f>
        <v>1269239.8180000111</v>
      </c>
      <c r="O18" s="526">
        <f t="shared" si="3"/>
        <v>-422480.24100000411</v>
      </c>
      <c r="P18" s="514"/>
      <c r="Q18" s="514"/>
    </row>
    <row r="19" spans="4:17" ht="25.5" customHeight="1" x14ac:dyDescent="0.3">
      <c r="D19" s="521"/>
      <c r="E19" s="541" t="s">
        <v>9</v>
      </c>
      <c r="F19" s="542">
        <f>+F18/F12</f>
        <v>2.4058583106267031E-2</v>
      </c>
      <c r="G19" s="543">
        <f>+G18/G12</f>
        <v>2.2615170311533105E-2</v>
      </c>
      <c r="H19" s="544">
        <f t="shared" si="0"/>
        <v>-1.4434127947339261E-3</v>
      </c>
      <c r="I19" s="543">
        <f>+I18/I12</f>
        <v>1.8929258347069412E-2</v>
      </c>
      <c r="J19" s="545">
        <f t="shared" si="1"/>
        <v>3.685911964463693E-3</v>
      </c>
      <c r="K19" s="542">
        <f>+K18/K12</f>
        <v>2.3984653818700928E-2</v>
      </c>
      <c r="L19" s="543">
        <f>+L18/L12</f>
        <v>1.4302725625951878E-2</v>
      </c>
      <c r="M19" s="544">
        <f t="shared" si="2"/>
        <v>-9.6819281927490505E-3</v>
      </c>
      <c r="N19" s="543">
        <f>+N18/N12</f>
        <v>2.161287851996542E-2</v>
      </c>
      <c r="O19" s="545">
        <f t="shared" si="3"/>
        <v>-7.3101528940135423E-3</v>
      </c>
      <c r="P19" s="514"/>
      <c r="Q19" s="514"/>
    </row>
    <row r="20" spans="4:17" ht="25.5" customHeight="1" x14ac:dyDescent="0.3">
      <c r="D20" s="521"/>
      <c r="E20" s="546" t="s">
        <v>170</v>
      </c>
      <c r="F20" s="533">
        <f>+F13-F16</f>
        <v>105297.61080815829</v>
      </c>
      <c r="G20" s="534">
        <f>+G13-G16</f>
        <v>29254.459999999963</v>
      </c>
      <c r="H20" s="170">
        <f t="shared" si="0"/>
        <v>-76043.150808158331</v>
      </c>
      <c r="I20" s="534">
        <f>+I13-I16</f>
        <v>47588.837000000291</v>
      </c>
      <c r="J20" s="535">
        <f t="shared" si="1"/>
        <v>-18334.377000000328</v>
      </c>
      <c r="K20" s="533">
        <f>+K13-K16</f>
        <v>757206.81905601919</v>
      </c>
      <c r="L20" s="534">
        <f>+L13-L16</f>
        <v>276021.7229999993</v>
      </c>
      <c r="M20" s="170">
        <f t="shared" si="2"/>
        <v>-481185.09605601989</v>
      </c>
      <c r="N20" s="534">
        <f>+N13-N16</f>
        <v>285536.46599999629</v>
      </c>
      <c r="O20" s="535">
        <f t="shared" si="3"/>
        <v>-9514.74299999699</v>
      </c>
      <c r="P20" s="514"/>
      <c r="Q20" s="514"/>
    </row>
    <row r="21" spans="4:17" ht="25.5" customHeight="1" x14ac:dyDescent="0.3">
      <c r="D21" s="521"/>
      <c r="E21" s="547" t="s">
        <v>9</v>
      </c>
      <c r="F21" s="548">
        <f>+F20/F13</f>
        <v>3.895699999999936E-2</v>
      </c>
      <c r="G21" s="549">
        <f>+G20/G13</f>
        <v>2.4546812296310623E-2</v>
      </c>
      <c r="H21" s="550">
        <f t="shared" si="0"/>
        <v>-1.4410187703688737E-2</v>
      </c>
      <c r="I21" s="549">
        <f>+I20/I13</f>
        <v>3.3576433783650161E-2</v>
      </c>
      <c r="J21" s="551">
        <f t="shared" si="1"/>
        <v>-9.0296214873395383E-3</v>
      </c>
      <c r="K21" s="548">
        <f>+K20/K13</f>
        <v>3.8957000000000325E-2</v>
      </c>
      <c r="L21" s="549">
        <f>+L20/L13</f>
        <v>2.7370318276402853E-2</v>
      </c>
      <c r="M21" s="550">
        <f t="shared" si="2"/>
        <v>-1.1586681723597472E-2</v>
      </c>
      <c r="N21" s="549">
        <f>+N20/N13</f>
        <v>2.4860654463830675E-2</v>
      </c>
      <c r="O21" s="551">
        <f t="shared" si="3"/>
        <v>2.5096638125721785E-3</v>
      </c>
      <c r="P21" s="514"/>
      <c r="Q21" s="514"/>
    </row>
    <row r="22" spans="4:17" ht="25.5" customHeight="1" x14ac:dyDescent="0.3">
      <c r="D22" s="521"/>
      <c r="E22" s="532" t="s">
        <v>171</v>
      </c>
      <c r="F22" s="533">
        <f>SUM(F18,F20)</f>
        <v>370182.61080815829</v>
      </c>
      <c r="G22" s="534">
        <f>SUM(G18,G20)</f>
        <v>147289.63000000082</v>
      </c>
      <c r="H22" s="170">
        <f t="shared" si="0"/>
        <v>-222892.98080815747</v>
      </c>
      <c r="I22" s="534">
        <f>SUM(I18,I20)</f>
        <v>200458.68700000085</v>
      </c>
      <c r="J22" s="535">
        <f t="shared" si="1"/>
        <v>-53169.05700000003</v>
      </c>
      <c r="K22" s="533">
        <f>SUM(K18,K20)</f>
        <v>2605344.3190560192</v>
      </c>
      <c r="L22" s="534">
        <f>SUM(L18,L20)</f>
        <v>1122781.3000000063</v>
      </c>
      <c r="M22" s="170">
        <f t="shared" si="2"/>
        <v>-1482563.0190560129</v>
      </c>
      <c r="N22" s="534">
        <f>SUM(N18,N20)</f>
        <v>1554776.2840000074</v>
      </c>
      <c r="O22" s="535">
        <f t="shared" si="3"/>
        <v>-431994.9840000011</v>
      </c>
      <c r="P22" s="514"/>
      <c r="Q22" s="514"/>
    </row>
    <row r="23" spans="4:17" ht="25.5" customHeight="1" x14ac:dyDescent="0.3">
      <c r="D23" s="521"/>
      <c r="E23" s="552" t="s">
        <v>9</v>
      </c>
      <c r="F23" s="542">
        <f>+F22/F14</f>
        <v>2.6995172511963279E-2</v>
      </c>
      <c r="G23" s="543">
        <f>+G22/G14</f>
        <v>2.2974251639890895E-2</v>
      </c>
      <c r="H23" s="544">
        <f t="shared" si="0"/>
        <v>-4.0209208720723838E-3</v>
      </c>
      <c r="I23" s="543">
        <f>+I22/I14</f>
        <v>2.1116076964595568E-2</v>
      </c>
      <c r="J23" s="545">
        <f t="shared" si="1"/>
        <v>1.8581746752953272E-3</v>
      </c>
      <c r="K23" s="542">
        <f>+K22/K14</f>
        <v>2.7000627920672225E-2</v>
      </c>
      <c r="L23" s="543">
        <f>+L22/L14</f>
        <v>1.6204700824053384E-2</v>
      </c>
      <c r="M23" s="544">
        <f t="shared" si="2"/>
        <v>-1.0795927096618842E-2</v>
      </c>
      <c r="N23" s="543">
        <f>+N22/N14</f>
        <v>2.2144162142800142E-2</v>
      </c>
      <c r="O23" s="545">
        <f t="shared" si="3"/>
        <v>-5.9394613187467582E-3</v>
      </c>
      <c r="P23" s="514"/>
      <c r="Q23" s="514"/>
    </row>
    <row r="24" spans="4:17" ht="25.5" customHeight="1" x14ac:dyDescent="0.3">
      <c r="D24" s="508" t="s">
        <v>173</v>
      </c>
      <c r="E24" s="509" t="s">
        <v>174</v>
      </c>
      <c r="F24" s="510">
        <f>+IFERROR(HLOOKUP($F$8,[14]판매4!$G$4:$U$50,7,),)</f>
        <v>89090.290000000008</v>
      </c>
      <c r="G24" s="511">
        <f>+'[6]8월'!$M$19</f>
        <v>90469.843999999997</v>
      </c>
      <c r="H24" s="512">
        <f t="shared" si="0"/>
        <v>1379.5539999999892</v>
      </c>
      <c r="I24" s="511">
        <f>+IFERROR(HLOOKUP($F$8,[7]월별!$E$2:$T$53,17,),)</f>
        <v>83639.914999999994</v>
      </c>
      <c r="J24" s="513">
        <f t="shared" si="1"/>
        <v>6829.9290000000037</v>
      </c>
      <c r="K24" s="510">
        <f>+F24+[15]건자재!K24</f>
        <v>709546.30000000016</v>
      </c>
      <c r="L24" s="511">
        <f>+G24+[15]건자재!L24</f>
        <v>753773.69900000002</v>
      </c>
      <c r="M24" s="512">
        <f t="shared" si="2"/>
        <v>44227.398999999859</v>
      </c>
      <c r="N24" s="511">
        <f>+I24+[15]건자재!N24</f>
        <v>709046.68099999998</v>
      </c>
      <c r="O24" s="513">
        <f t="shared" si="3"/>
        <v>44727.01800000004</v>
      </c>
      <c r="P24" s="514"/>
      <c r="Q24" s="514"/>
    </row>
    <row r="25" spans="4:17" ht="25.5" customHeight="1" x14ac:dyDescent="0.3">
      <c r="D25" s="521"/>
      <c r="E25" s="527" t="s">
        <v>175</v>
      </c>
      <c r="F25" s="528">
        <f>+IFERROR(HLOOKUP($F$8,[14]판매4!$G$4:$U$50,31,),)+IFERROR(HLOOKUP($F$8,[14]판매4!$G$4:$U$50,34,),)</f>
        <v>33200.058000000005</v>
      </c>
      <c r="G25" s="529">
        <f>+'[6]8월'!$M$37+'[6]8월'!$M$40</f>
        <v>38658.752</v>
      </c>
      <c r="H25" s="530">
        <f t="shared" si="0"/>
        <v>5458.6939999999959</v>
      </c>
      <c r="I25" s="529">
        <f>+IFERROR(HLOOKUP($F$8,[7]월별!$E$2:$T$53,35,),)+IFERROR(HLOOKUP($F$8,[7]월별!$E$2:$T$53,38,),)</f>
        <v>37294.018999999993</v>
      </c>
      <c r="J25" s="531">
        <f t="shared" si="1"/>
        <v>1364.7330000000075</v>
      </c>
      <c r="K25" s="528">
        <f>+F25+[15]건자재!K25</f>
        <v>304971.34400000004</v>
      </c>
      <c r="L25" s="529">
        <f>+G25+[15]건자재!L25</f>
        <v>422343.58999999997</v>
      </c>
      <c r="M25" s="530">
        <f t="shared" si="2"/>
        <v>117372.24599999993</v>
      </c>
      <c r="N25" s="529">
        <f>+I25+[15]건자재!N25</f>
        <v>390652.03099999996</v>
      </c>
      <c r="O25" s="531">
        <f t="shared" si="3"/>
        <v>31691.559000000008</v>
      </c>
      <c r="P25" s="514"/>
      <c r="Q25" s="514"/>
    </row>
    <row r="26" spans="4:17" ht="25.5" customHeight="1" x14ac:dyDescent="0.3">
      <c r="D26" s="515"/>
      <c r="E26" s="536" t="s">
        <v>171</v>
      </c>
      <c r="F26" s="537">
        <f>SUM(F24:F25)</f>
        <v>122290.34800000001</v>
      </c>
      <c r="G26" s="538">
        <f>SUM(G24:G25)</f>
        <v>129128.59599999999</v>
      </c>
      <c r="H26" s="539">
        <f t="shared" si="0"/>
        <v>6838.2479999999778</v>
      </c>
      <c r="I26" s="538">
        <f>SUM(I24:I25)</f>
        <v>120933.93399999998</v>
      </c>
      <c r="J26" s="540">
        <f t="shared" si="1"/>
        <v>8194.6620000000112</v>
      </c>
      <c r="K26" s="537">
        <f>SUM(K24:K25)</f>
        <v>1014517.6440000002</v>
      </c>
      <c r="L26" s="538">
        <f>SUM(L24:L25)</f>
        <v>1176117.2889999999</v>
      </c>
      <c r="M26" s="539">
        <f t="shared" si="2"/>
        <v>161599.64499999967</v>
      </c>
      <c r="N26" s="538">
        <f>SUM(N24:N25)</f>
        <v>1099698.7119999998</v>
      </c>
      <c r="O26" s="540">
        <f t="shared" si="3"/>
        <v>76418.577000000048</v>
      </c>
      <c r="P26" s="514"/>
      <c r="Q26" s="514"/>
    </row>
    <row r="27" spans="4:17" ht="25.5" customHeight="1" x14ac:dyDescent="0.3">
      <c r="D27" s="521" t="s">
        <v>7</v>
      </c>
      <c r="E27" s="552"/>
      <c r="F27" s="523">
        <f>+F22-F26</f>
        <v>247892.2628081583</v>
      </c>
      <c r="G27" s="524">
        <f>+G22-G26</f>
        <v>18161.034000000829</v>
      </c>
      <c r="H27" s="525">
        <f t="shared" si="0"/>
        <v>-229731.22880815747</v>
      </c>
      <c r="I27" s="524">
        <f>+I22-I26</f>
        <v>79524.75300000087</v>
      </c>
      <c r="J27" s="526">
        <f t="shared" si="1"/>
        <v>-61363.719000000041</v>
      </c>
      <c r="K27" s="523">
        <f>+K22-K26</f>
        <v>1590826.6750560189</v>
      </c>
      <c r="L27" s="524">
        <f>+L22-L26</f>
        <v>-53335.98899999354</v>
      </c>
      <c r="M27" s="525">
        <f t="shared" si="2"/>
        <v>-1644162.6640560124</v>
      </c>
      <c r="N27" s="524">
        <f>+N22-N26</f>
        <v>455077.57200000761</v>
      </c>
      <c r="O27" s="526">
        <f t="shared" si="3"/>
        <v>-508413.56100000115</v>
      </c>
      <c r="P27" s="514"/>
      <c r="Q27" s="514"/>
    </row>
    <row r="28" spans="4:17" ht="25.5" customHeight="1" thickBot="1" x14ac:dyDescent="0.35">
      <c r="D28" s="521"/>
      <c r="E28" s="553" t="s">
        <v>10</v>
      </c>
      <c r="F28" s="554">
        <f>+F27/F14</f>
        <v>1.8077279168456532E-2</v>
      </c>
      <c r="G28" s="555">
        <f>+G27/G14</f>
        <v>2.8327599516451431E-3</v>
      </c>
      <c r="H28" s="556">
        <f t="shared" si="0"/>
        <v>-1.5244519216811388E-2</v>
      </c>
      <c r="I28" s="555">
        <f>+I27/I14</f>
        <v>8.3770418237772027E-3</v>
      </c>
      <c r="J28" s="557">
        <f t="shared" si="1"/>
        <v>-5.5442818721320591E-3</v>
      </c>
      <c r="K28" s="554">
        <f>+K27/K14</f>
        <v>1.6486618995154835E-2</v>
      </c>
      <c r="L28" s="555">
        <f>+L27/L14</f>
        <v>-7.697792481045888E-4</v>
      </c>
      <c r="M28" s="556">
        <f t="shared" si="2"/>
        <v>-1.7256398243259422E-2</v>
      </c>
      <c r="N28" s="555">
        <f>+N27/N14</f>
        <v>6.4815186889742435E-3</v>
      </c>
      <c r="O28" s="557">
        <f t="shared" si="3"/>
        <v>-7.2512979370788324E-3</v>
      </c>
      <c r="P28" s="514"/>
      <c r="Q28" s="514"/>
    </row>
    <row r="29" spans="4:17" ht="25.5" customHeight="1" thickTop="1" x14ac:dyDescent="0.3">
      <c r="D29" s="659" t="s">
        <v>223</v>
      </c>
      <c r="E29" s="660"/>
      <c r="F29" s="152"/>
      <c r="G29" s="152"/>
      <c r="H29" s="152"/>
      <c r="I29" s="152"/>
      <c r="J29" s="152"/>
      <c r="K29" s="152"/>
      <c r="L29" s="152"/>
      <c r="M29" s="152"/>
      <c r="N29" s="71"/>
      <c r="O29" s="352"/>
      <c r="P29" s="514"/>
      <c r="Q29" s="514"/>
    </row>
    <row r="30" spans="4:17" ht="25.5" customHeight="1" x14ac:dyDescent="0.3">
      <c r="D30" s="661"/>
      <c r="E30" s="662"/>
      <c r="F30" s="152"/>
      <c r="G30" s="152"/>
      <c r="H30" s="152"/>
      <c r="I30" s="152"/>
      <c r="J30" s="152"/>
      <c r="K30" s="152"/>
      <c r="L30" s="152"/>
      <c r="M30" s="152"/>
      <c r="N30" s="71"/>
      <c r="O30" s="352"/>
      <c r="P30" s="514"/>
      <c r="Q30" s="514"/>
    </row>
    <row r="31" spans="4:17" ht="25.5" customHeight="1" x14ac:dyDescent="0.3">
      <c r="D31" s="661"/>
      <c r="E31" s="662"/>
      <c r="F31" s="152"/>
      <c r="G31" s="152"/>
      <c r="H31" s="152"/>
      <c r="I31" s="152"/>
      <c r="J31" s="152"/>
      <c r="K31" s="152"/>
      <c r="L31" s="152"/>
      <c r="M31" s="152"/>
      <c r="N31" s="71"/>
      <c r="O31" s="352"/>
      <c r="P31" s="514"/>
      <c r="Q31" s="514"/>
    </row>
    <row r="32" spans="4:17" ht="25.5" customHeight="1" x14ac:dyDescent="0.3">
      <c r="D32" s="661"/>
      <c r="E32" s="662"/>
      <c r="F32" s="152"/>
      <c r="G32" s="152"/>
      <c r="H32" s="152"/>
      <c r="I32" s="152"/>
      <c r="J32" s="152"/>
      <c r="K32" s="152"/>
      <c r="L32" s="152"/>
      <c r="M32" s="152"/>
      <c r="N32" s="71"/>
      <c r="O32" s="352"/>
      <c r="P32" s="514"/>
      <c r="Q32" s="514"/>
    </row>
    <row r="33" spans="4:50" ht="25.5" customHeight="1" x14ac:dyDescent="0.3">
      <c r="D33" s="661"/>
      <c r="E33" s="662"/>
      <c r="F33" s="152"/>
      <c r="G33" s="152"/>
      <c r="H33" s="152"/>
      <c r="I33" s="152"/>
      <c r="J33" s="152"/>
      <c r="K33" s="152"/>
      <c r="L33" s="152"/>
      <c r="M33" s="152"/>
      <c r="N33" s="71"/>
      <c r="O33" s="352"/>
      <c r="P33" s="514"/>
      <c r="Q33" s="514"/>
    </row>
    <row r="34" spans="4:50" ht="25.5" customHeight="1" x14ac:dyDescent="0.3">
      <c r="D34" s="663"/>
      <c r="E34" s="664"/>
      <c r="F34" s="344"/>
      <c r="G34" s="344"/>
      <c r="H34" s="344"/>
      <c r="I34" s="344"/>
      <c r="J34" s="344"/>
      <c r="K34" s="344"/>
      <c r="L34" s="344"/>
      <c r="M34" s="344"/>
      <c r="N34" s="558"/>
      <c r="O34" s="347"/>
      <c r="R34" s="6" t="s">
        <v>176</v>
      </c>
    </row>
    <row r="35" spans="4:50" ht="21.95" customHeight="1" x14ac:dyDescent="0.3"/>
    <row r="36" spans="4:50" ht="21.95" customHeight="1" x14ac:dyDescent="0.3">
      <c r="F36" s="6">
        <f>+IFERROR(HLOOKUP($F$8,[14]손익!$G$5:$AJ$65,17,),)</f>
        <v>247892.26280815827</v>
      </c>
      <c r="G36" s="6">
        <f>+'[6]8월'!$M$41</f>
        <v>18161.034000000825</v>
      </c>
      <c r="I36" s="6">
        <f>+IFERROR(HLOOKUP($F$8,[7]월별!$E$2:$T$53,39,),)</f>
        <v>79524.75300000087</v>
      </c>
      <c r="R36" s="559"/>
      <c r="S36" s="560" t="s">
        <v>177</v>
      </c>
      <c r="T36" s="560" t="s">
        <v>178</v>
      </c>
      <c r="U36" s="560" t="s">
        <v>179</v>
      </c>
      <c r="V36" s="560" t="s">
        <v>180</v>
      </c>
      <c r="W36" s="560" t="s">
        <v>167</v>
      </c>
      <c r="X36" s="560" t="s">
        <v>160</v>
      </c>
      <c r="Y36" s="560" t="s">
        <v>181</v>
      </c>
      <c r="Z36" s="560" t="s">
        <v>182</v>
      </c>
      <c r="AA36" s="560" t="s">
        <v>183</v>
      </c>
      <c r="AB36" s="560" t="s">
        <v>184</v>
      </c>
      <c r="AC36" s="560" t="s">
        <v>185</v>
      </c>
      <c r="AD36" s="560" t="s">
        <v>186</v>
      </c>
      <c r="AE36" s="560" t="s">
        <v>177</v>
      </c>
      <c r="AF36" s="560" t="s">
        <v>187</v>
      </c>
      <c r="AG36" s="560" t="s">
        <v>188</v>
      </c>
      <c r="AH36" s="560" t="s">
        <v>189</v>
      </c>
      <c r="AI36" s="560" t="s">
        <v>167</v>
      </c>
      <c r="AJ36" s="560" t="s">
        <v>160</v>
      </c>
      <c r="AK36" s="560" t="s">
        <v>181</v>
      </c>
      <c r="AL36" s="560" t="s">
        <v>190</v>
      </c>
      <c r="AM36" s="560" t="s">
        <v>183</v>
      </c>
      <c r="AN36" s="560" t="s">
        <v>184</v>
      </c>
      <c r="AO36" s="560" t="s">
        <v>191</v>
      </c>
      <c r="AP36" s="560" t="s">
        <v>192</v>
      </c>
      <c r="AQ36" s="560" t="s">
        <v>186</v>
      </c>
      <c r="AR36" s="560" t="s">
        <v>187</v>
      </c>
      <c r="AS36" s="560" t="s">
        <v>179</v>
      </c>
      <c r="AT36" s="560" t="s">
        <v>180</v>
      </c>
      <c r="AU36" s="560" t="s">
        <v>193</v>
      </c>
      <c r="AV36" s="560" t="s">
        <v>197</v>
      </c>
      <c r="AW36" s="560" t="s">
        <v>181</v>
      </c>
      <c r="AX36" s="560" t="s">
        <v>190</v>
      </c>
    </row>
    <row r="37" spans="4:50" ht="21.95" customHeight="1" x14ac:dyDescent="0.3">
      <c r="F37" s="6" t="b">
        <f>+F27=F36</f>
        <v>1</v>
      </c>
      <c r="G37" s="6" t="b">
        <f>+G27=G36</f>
        <v>1</v>
      </c>
      <c r="I37" s="6" t="b">
        <f>+I27=I36</f>
        <v>1</v>
      </c>
      <c r="R37" s="561" t="s">
        <v>194</v>
      </c>
      <c r="S37" s="562" t="s">
        <v>177</v>
      </c>
      <c r="T37" s="562" t="s">
        <v>178</v>
      </c>
      <c r="U37" s="562">
        <v>3</v>
      </c>
      <c r="V37" s="562" t="s">
        <v>180</v>
      </c>
      <c r="W37" s="562" t="s">
        <v>167</v>
      </c>
      <c r="X37" s="562" t="s">
        <v>160</v>
      </c>
      <c r="Y37" s="562" t="s">
        <v>181</v>
      </c>
      <c r="Z37" s="562" t="str">
        <f t="shared" ref="Z37:AU37" si="4">+Z36</f>
        <v>8월</v>
      </c>
      <c r="AA37" s="562" t="str">
        <f t="shared" si="4"/>
        <v>9월</v>
      </c>
      <c r="AB37" s="562" t="str">
        <f t="shared" si="4"/>
        <v>10월</v>
      </c>
      <c r="AC37" s="562" t="str">
        <f t="shared" si="4"/>
        <v>11월</v>
      </c>
      <c r="AD37" s="562" t="str">
        <f t="shared" si="4"/>
        <v>1월</v>
      </c>
      <c r="AE37" s="562" t="str">
        <f t="shared" si="4"/>
        <v>1월</v>
      </c>
      <c r="AF37" s="562" t="str">
        <f t="shared" si="4"/>
        <v>2월</v>
      </c>
      <c r="AG37" s="562" t="str">
        <f t="shared" si="4"/>
        <v>3월</v>
      </c>
      <c r="AH37" s="562" t="str">
        <f t="shared" si="4"/>
        <v>4월</v>
      </c>
      <c r="AI37" s="562" t="str">
        <f t="shared" si="4"/>
        <v>5월</v>
      </c>
      <c r="AJ37" s="562" t="str">
        <f t="shared" si="4"/>
        <v>6월</v>
      </c>
      <c r="AK37" s="562" t="str">
        <f t="shared" si="4"/>
        <v>7월</v>
      </c>
      <c r="AL37" s="562" t="str">
        <f t="shared" si="4"/>
        <v>8월</v>
      </c>
      <c r="AM37" s="562" t="str">
        <f t="shared" si="4"/>
        <v>9월</v>
      </c>
      <c r="AN37" s="562" t="str">
        <f t="shared" si="4"/>
        <v>10월</v>
      </c>
      <c r="AO37" s="562" t="str">
        <f t="shared" si="4"/>
        <v>11월</v>
      </c>
      <c r="AP37" s="562" t="str">
        <f t="shared" si="4"/>
        <v>12월</v>
      </c>
      <c r="AQ37" s="562" t="str">
        <f t="shared" si="4"/>
        <v>1월</v>
      </c>
      <c r="AR37" s="562" t="str">
        <f t="shared" si="4"/>
        <v>2월</v>
      </c>
      <c r="AS37" s="562" t="str">
        <f t="shared" si="4"/>
        <v>3월</v>
      </c>
      <c r="AT37" s="562" t="str">
        <f t="shared" si="4"/>
        <v>4월</v>
      </c>
      <c r="AU37" s="562" t="str">
        <f t="shared" si="4"/>
        <v>5월</v>
      </c>
      <c r="AV37" s="562" t="str">
        <f t="shared" ref="AV37:AW37" si="5">+AV36</f>
        <v>6월</v>
      </c>
      <c r="AW37" s="562" t="str">
        <f t="shared" si="5"/>
        <v>7월</v>
      </c>
      <c r="AX37" s="562" t="str">
        <f t="shared" ref="AX37" si="6">+AX36</f>
        <v>8월</v>
      </c>
    </row>
    <row r="38" spans="4:50" ht="21.95" customHeight="1" x14ac:dyDescent="0.3">
      <c r="F38" s="563">
        <f>+F27-F36</f>
        <v>0</v>
      </c>
      <c r="G38" s="563">
        <f>+G27-G36</f>
        <v>0</v>
      </c>
      <c r="I38" s="563">
        <f>+I27-I36</f>
        <v>0</v>
      </c>
      <c r="K38" s="563"/>
      <c r="L38" s="563"/>
      <c r="N38" s="86"/>
      <c r="R38" s="564" t="s">
        <v>195</v>
      </c>
      <c r="S38" s="362">
        <f>+IFERROR(HLOOKUP(S$36,[7]월별!$E$2:$S$67,42,),)</f>
        <v>920730.85338998202</v>
      </c>
      <c r="T38" s="362">
        <f>+IFERROR(HLOOKUP(T$36,[7]월별!$E$2:$S$67,42,),)</f>
        <v>886130.8859870329</v>
      </c>
      <c r="U38" s="362">
        <f>+IFERROR(HLOOKUP(U$36,[7]월별!$E$2:$S$67,42,),)</f>
        <v>873530.5235919673</v>
      </c>
      <c r="V38" s="362">
        <f>+IFERROR(HLOOKUP(V$36,[7]월별!$E$2:$S$67,42,),)</f>
        <v>853042.90795678552</v>
      </c>
      <c r="W38" s="362">
        <f>+IFERROR(HLOOKUP(W$36,[7]월별!$E$2:$S$67,42,),)</f>
        <v>811389.30758305453</v>
      </c>
      <c r="X38" s="362">
        <f>+IFERROR(HLOOKUP(X$36,[7]월별!$E$2:$S$67,42,),)</f>
        <v>785072.67759542307</v>
      </c>
      <c r="Y38" s="362">
        <f>+IFERROR(HLOOKUP(Y$36,[7]월별!$E$2:$S$67,42,),)</f>
        <v>751049.2097042331</v>
      </c>
      <c r="Z38" s="362">
        <f>+IFERROR(HLOOKUP(Z$36,[7]월별!$E$2:$S$67,42,),)</f>
        <v>846014.52770958561</v>
      </c>
      <c r="AA38" s="362">
        <f>+IFERROR(HLOOKUP(AA$36,[7]월별!$E$2:$S$67,42,),)</f>
        <v>879572.42936012533</v>
      </c>
      <c r="AB38" s="362">
        <f>+IFERROR(HLOOKUP(AB$36,[7]월별!$E$2:$S$67,42,),)</f>
        <v>818946.47731031897</v>
      </c>
      <c r="AC38" s="362">
        <f>+IFERROR(HLOOKUP(AC$36,[7]월별!$E$2:$S$67,42,),)</f>
        <v>798803.69146262086</v>
      </c>
      <c r="AD38" s="362">
        <f>+IFERROR(HLOOKUP(AD$36,[7]월별!$E$2:$S$67,42,),)</f>
        <v>920730.85338998202</v>
      </c>
      <c r="AE38" s="362">
        <f>+IFERROR(HLOOKUP(AE$36,[7]월별!$E$2:$S$67,42,),)</f>
        <v>920730.85338998202</v>
      </c>
      <c r="AF38" s="362">
        <f>+IFERROR(HLOOKUP(AF$36,[7]월별!$E$2:$S$67,42,),)</f>
        <v>886130.8859870329</v>
      </c>
      <c r="AG38" s="362">
        <f>+IFERROR(HLOOKUP(AG$36,[7]월별!$E$2:$S$67,42,),)</f>
        <v>873530.5235919673</v>
      </c>
      <c r="AH38" s="362">
        <f>+IFERROR(HLOOKUP(AH$36,[7]월별!$E$2:$S$67,42,),)</f>
        <v>853042.90795678552</v>
      </c>
      <c r="AI38" s="362">
        <f>+IFERROR(HLOOKUP(AI$36,[7]월별!$E$2:$S$67,42,),)</f>
        <v>811389.30758305453</v>
      </c>
      <c r="AJ38" s="362">
        <f>+IFERROR(HLOOKUP(AJ$36,[7]월별!$E$2:$S$67,42,),)</f>
        <v>785072.67759542307</v>
      </c>
      <c r="AK38" s="362">
        <f>+IFERROR(HLOOKUP(AK$36,[7]월별!$E$2:$S$67,42,),)</f>
        <v>751049.2097042331</v>
      </c>
      <c r="AL38" s="362">
        <f>+IFERROR(HLOOKUP(AL$36,[7]월별!$E$2:$S$67,42,),)</f>
        <v>846014.52770958561</v>
      </c>
      <c r="AM38" s="362">
        <f>+IFERROR(HLOOKUP(AM$36,[7]월별!$E$2:$S$67,42,),)</f>
        <v>879572.42936012533</v>
      </c>
      <c r="AN38" s="362">
        <f>+IFERROR(HLOOKUP(AN$36,[7]월별!$E$2:$S$67,42,),)</f>
        <v>818946.47731031897</v>
      </c>
      <c r="AO38" s="362">
        <f>+IFERROR(HLOOKUP(AO$36,[7]월별!$E$2:$S$67,42,),)</f>
        <v>798803.69146262086</v>
      </c>
      <c r="AP38" s="362">
        <f>+IFERROR(HLOOKUP(AP$36,[7]월별!$E$2:$S$67,42,),)</f>
        <v>752238.01942182856</v>
      </c>
      <c r="AQ38" s="362">
        <f>+IFERROR(HLOOKUP(AQ$36,[6]월별!$E$2:$S$67,43,),)</f>
        <v>756420.01123690419</v>
      </c>
      <c r="AR38" s="362">
        <f>+IFERROR(HLOOKUP(AR$36,[6]월별!$E$2:$S$67,43,),)</f>
        <v>744684.72993482568</v>
      </c>
      <c r="AS38" s="362">
        <f>+IFERROR(HLOOKUP(AS$36,[6]월별!$E$2:$S$67,43,),)</f>
        <v>736140.83983969816</v>
      </c>
      <c r="AT38" s="362">
        <f>+IFERROR(HLOOKUP(AT$36,[6]월별!$E$2:$S$67,43,),)</f>
        <v>800210.93236806407</v>
      </c>
      <c r="AU38" s="362">
        <f>+IFERROR(HLOOKUP(AU$36,[6]월별!$E$2:$S$67,43,),)</f>
        <v>798001.52569848381</v>
      </c>
      <c r="AV38" s="362">
        <f>+IFERROR(HLOOKUP(AV$36,[6]월별!$E$2:$S$67,43,),)</f>
        <v>779915.72567572771</v>
      </c>
      <c r="AW38" s="362">
        <f>+IFERROR(HLOOKUP(AW$36,[6]월별!$E$2:$S$67,43,),)</f>
        <v>794077.93162643479</v>
      </c>
      <c r="AX38" s="362">
        <f>+IFERROR(HLOOKUP(AX$36,[6]월별!$E$2:$S$67,43,),)</f>
        <v>765881.71758050087</v>
      </c>
    </row>
    <row r="39" spans="4:50" ht="21.95" customHeight="1" x14ac:dyDescent="0.3">
      <c r="R39" s="565" t="s">
        <v>196</v>
      </c>
      <c r="S39" s="566">
        <f>+IFERROR(HLOOKUP(S$36,[7]월별!$E$2:$S$67,43,),)</f>
        <v>0</v>
      </c>
      <c r="T39" s="566">
        <f>+IFERROR(HLOOKUP(T$36,[7]월별!$E$2:$S$67,43,),)</f>
        <v>0</v>
      </c>
      <c r="U39" s="566">
        <f>+IFERROR(HLOOKUP(U$36,[7]월별!$E$2:$S$67,43,),)</f>
        <v>0</v>
      </c>
      <c r="V39" s="566">
        <f>+IFERROR(HLOOKUP(V$36,[7]월별!$E$2:$S$67,43,),)</f>
        <v>0</v>
      </c>
      <c r="W39" s="566">
        <f>+IFERROR(HLOOKUP(W$36,[7]월별!$E$2:$S$67,43,),)</f>
        <v>0</v>
      </c>
      <c r="X39" s="566">
        <f>+IFERROR(HLOOKUP(X$36,[7]월별!$E$2:$S$67,43,),)</f>
        <v>0</v>
      </c>
      <c r="Y39" s="566">
        <f>+IFERROR(HLOOKUP(Y$36,[7]월별!$E$2:$S$67,43,),)</f>
        <v>0</v>
      </c>
      <c r="Z39" s="566">
        <f>+IFERROR(HLOOKUP(Z$36,[7]월별!$E$2:$S$67,43,),)</f>
        <v>0</v>
      </c>
      <c r="AA39" s="566">
        <f>+IFERROR(HLOOKUP(AA$36,[7]월별!$E$2:$S$67,43,),)</f>
        <v>0</v>
      </c>
      <c r="AB39" s="566">
        <f>+IFERROR(HLOOKUP(AB$36,[7]월별!$E$2:$S$67,43,),)</f>
        <v>0</v>
      </c>
      <c r="AC39" s="566">
        <f>+IFERROR(HLOOKUP(AC$36,[7]월별!$E$2:$S$67,43,),)</f>
        <v>0</v>
      </c>
      <c r="AD39" s="566">
        <f>+IFERROR(HLOOKUP(AD$36,[7]월별!$E$2:$S$67,43,),)</f>
        <v>0</v>
      </c>
      <c r="AE39" s="566">
        <f>+IFERROR(HLOOKUP(AE$36,[7]월별!$E$2:$S$67,51,),)</f>
        <v>2.7823178707229314E-2</v>
      </c>
      <c r="AF39" s="566">
        <f>+IFERROR(HLOOKUP(AF$36,[7]월별!$E$2:$S$67,51,),)</f>
        <v>2.7130154457106714E-2</v>
      </c>
      <c r="AG39" s="566">
        <f>+IFERROR(HLOOKUP(AG$36,[7]월별!$E$2:$S$67,51,),)</f>
        <v>1.8797000201944851E-2</v>
      </c>
      <c r="AH39" s="566">
        <f>+IFERROR(HLOOKUP(AH$36,[7]월별!$E$2:$S$67,51,),)</f>
        <v>1.8146921038230335E-2</v>
      </c>
      <c r="AI39" s="566">
        <f>+IFERROR(HLOOKUP(AI$36,[7]월별!$E$2:$S$67,51,),)</f>
        <v>2.5679335587291203E-2</v>
      </c>
      <c r="AJ39" s="566">
        <f>+IFERROR(HLOOKUP(AJ$36,[7]월별!$E$2:$S$67,51,),)</f>
        <v>3.7059976070507129E-2</v>
      </c>
      <c r="AK39" s="566">
        <f>+IFERROR(HLOOKUP(AK$36,[7]월별!$E$2:$S$67,51,),)</f>
        <v>8.2866316338170258E-3</v>
      </c>
      <c r="AL39" s="566">
        <f>+IFERROR(HLOOKUP(AL$36,[7]월별!$E$2:$S$67,51,),)</f>
        <v>1.8929258347069412E-2</v>
      </c>
      <c r="AM39" s="566">
        <f>+IFERROR(HLOOKUP(AM$36,[7]월별!$E$2:$S$67,51,),)</f>
        <v>1.7296509360740942E-2</v>
      </c>
      <c r="AN39" s="566">
        <f>+IFERROR(HLOOKUP(AN$36,[7]월별!$E$2:$S$67,51,),)</f>
        <v>2.3542137855523892E-2</v>
      </c>
      <c r="AO39" s="566">
        <f>+IFERROR(HLOOKUP(AO$36,[7]월별!$E$2:$S$67,51,),)</f>
        <v>2.3726716491380119E-2</v>
      </c>
      <c r="AP39" s="566">
        <f>+IFERROR(HLOOKUP(AP$36,[7]월별!$E$2:$S$67,51,),)</f>
        <v>1.4154492203434744E-2</v>
      </c>
      <c r="AQ39" s="566">
        <f>+IFERROR(HLOOKUP(AQ$36,[6]월별!$E$2:$S$67,49,),)</f>
        <v>1.7727214453804725E-2</v>
      </c>
      <c r="AR39" s="566">
        <f>+IFERROR(HLOOKUP(AR$36,[6]월별!$E$2:$S$67,49,),)</f>
        <v>1.5585145342365754E-2</v>
      </c>
      <c r="AS39" s="566">
        <f>+IFERROR(HLOOKUP(AS$36,[6]월별!$E$2:$S$67,49,),)</f>
        <v>1.4844907762880278E-3</v>
      </c>
      <c r="AT39" s="566">
        <f>+IFERROR(HLOOKUP(AT$36,[6]월별!$E$2:$S$67,49,),)</f>
        <v>1.4249312193258659E-2</v>
      </c>
      <c r="AU39" s="566">
        <f>+IFERROR(HLOOKUP(AU$36,[6]월별!$E$2:$S$67,49,),)</f>
        <v>1.6605663837480539E-2</v>
      </c>
      <c r="AV39" s="566">
        <f>+IFERROR(HLOOKUP(AV$36,[6]월별!$E$2:$S$67,49,),)</f>
        <v>2.5690430727950502E-2</v>
      </c>
      <c r="AW39" s="566">
        <f>+IFERROR(HLOOKUP(AW$36,[6]월별!$E$2:$S$67,49,),)</f>
        <v>1.3537465010160435E-2</v>
      </c>
      <c r="AX39" s="566">
        <f>+IFERROR(HLOOKUP(AX$36,[6]월별!$E$2:$S$67,49,),)</f>
        <v>2.2615170311533105E-2</v>
      </c>
    </row>
    <row r="40" spans="4:50" ht="21.95" customHeight="1" x14ac:dyDescent="0.3"/>
    <row r="41" spans="4:50" ht="21.95" customHeight="1" x14ac:dyDescent="0.3"/>
    <row r="42" spans="4:50" ht="21.95" customHeight="1" x14ac:dyDescent="0.3"/>
    <row r="43" spans="4:50" ht="21.95" customHeight="1" x14ac:dyDescent="0.3"/>
    <row r="44" spans="4:50" ht="21.95" customHeight="1" x14ac:dyDescent="0.3"/>
    <row r="45" spans="4:50" ht="21.95" customHeight="1" x14ac:dyDescent="0.3"/>
    <row r="46" spans="4:50" ht="21.95" customHeight="1" x14ac:dyDescent="0.3"/>
    <row r="47" spans="4:50" ht="21.95" customHeight="1" x14ac:dyDescent="0.3"/>
    <row r="48" spans="4:50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</sheetData>
  <mergeCells count="4">
    <mergeCell ref="D8:E9"/>
    <mergeCell ref="F8:J8"/>
    <mergeCell ref="K8:O8"/>
    <mergeCell ref="D29:E34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3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12</vt:i4>
      </vt:variant>
    </vt:vector>
  </HeadingPairs>
  <TitlesOfParts>
    <vt:vector size="25" baseType="lpstr">
      <vt:lpstr>파워BI용</vt:lpstr>
      <vt:lpstr>표지</vt:lpstr>
      <vt:lpstr>손익총괄</vt:lpstr>
      <vt:lpstr>레미콘 영업이익</vt:lpstr>
      <vt:lpstr>사업장별(당월)</vt:lpstr>
      <vt:lpstr>사업장별(누계)</vt:lpstr>
      <vt:lpstr>사업장별(당월)_건자재제외</vt:lpstr>
      <vt:lpstr>사업장별(누계)_건자재제외</vt:lpstr>
      <vt:lpstr>영업이익</vt:lpstr>
      <vt:lpstr>공헌이익</vt:lpstr>
      <vt:lpstr>재료비단가</vt:lpstr>
      <vt:lpstr>원단위</vt:lpstr>
      <vt:lpstr>건자재</vt:lpstr>
      <vt:lpstr>건자재!Print_Area</vt:lpstr>
      <vt:lpstr>공헌이익!Print_Area</vt:lpstr>
      <vt:lpstr>'레미콘 영업이익'!Print_Area</vt:lpstr>
      <vt:lpstr>'사업장별(누계)'!Print_Area</vt:lpstr>
      <vt:lpstr>'사업장별(누계)_건자재제외'!Print_Area</vt:lpstr>
      <vt:lpstr>'사업장별(당월)'!Print_Area</vt:lpstr>
      <vt:lpstr>'사업장별(당월)_건자재제외'!Print_Area</vt:lpstr>
      <vt:lpstr>손익총괄!Print_Area</vt:lpstr>
      <vt:lpstr>영업이익!Print_Area</vt:lpstr>
      <vt:lpstr>원단위!Print_Area</vt:lpstr>
      <vt:lpstr>재료비단가!Print_Area</vt:lpstr>
      <vt:lpstr>파워BI용!Print_Area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tyinc</cp:lastModifiedBy>
  <cp:lastPrinted>2025-09-18T22:23:03Z</cp:lastPrinted>
  <dcterms:created xsi:type="dcterms:W3CDTF">2018-12-20T00:38:36Z</dcterms:created>
  <dcterms:modified xsi:type="dcterms:W3CDTF">2025-09-19T07:58:54Z</dcterms:modified>
</cp:coreProperties>
</file>